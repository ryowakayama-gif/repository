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い方" sheetId="1" state="visible" r:id="rId3"/>
    <sheet name="01_入力_基礎データ" sheetId="2" state="visible" r:id="rId4"/>
    <sheet name="02_Step1-2_標準給付費" sheetId="3" state="visible" r:id="rId5"/>
    <sheet name="03_Step3-4_地域支援等" sheetId="4" state="visible" r:id="rId6"/>
    <sheet name="04_Step5_調整交付金" sheetId="5" state="visible" r:id="rId7"/>
    <sheet name="05_Step6_基金3パターン" sheetId="6" state="visible" r:id="rId8"/>
    <sheet name="06_Step7-8_収納額_基準額" sheetId="7" state="visible" r:id="rId9"/>
    <sheet name="07_所得段階_9段階" sheetId="8" state="visible" r:id="rId10"/>
    <sheet name="08_所得段階_13段階" sheetId="9" state="visible" r:id="rId11"/>
    <sheet name="09_比較分析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<sst xmlns="http://schemas.openxmlformats.org/spreadsheetml/2006/main" count="446" uniqueCount="362">
  <si>
    <r>
      <rPr>
        <b val="true"/>
        <sz val="13"/>
        <color rgb="FFFFFFFF"/>
        <rFont val="Noto Sans CJK SC"/>
        <family val="2"/>
      </rPr>
      <t xml:space="preserve">川崎町第</t>
    </r>
    <r>
      <rPr>
        <b val="true"/>
        <sz val="13"/>
        <color rgb="FFFFFFFF"/>
        <rFont val="游ゴシック"/>
        <family val="0"/>
        <charset val="1"/>
      </rPr>
      <t xml:space="preserve">10</t>
    </r>
    <r>
      <rPr>
        <b val="true"/>
        <sz val="13"/>
        <color rgb="FFFFFFFF"/>
        <rFont val="Noto Sans CJK SC"/>
        <family val="2"/>
      </rPr>
      <t xml:space="preserve">期 保険料試算ワークブック</t>
    </r>
  </si>
  <si>
    <r>
      <rPr>
        <i val="true"/>
        <sz val="10"/>
        <color rgb="FFFFFFFF"/>
        <rFont val="游ゴシック"/>
        <family val="0"/>
        <charset val="1"/>
      </rPr>
      <t xml:space="preserve">── 8</t>
    </r>
    <r>
      <rPr>
        <i val="true"/>
        <sz val="10"/>
        <color rgb="FFFFFFFF"/>
        <rFont val="Noto Sans CJK SC"/>
        <family val="2"/>
      </rPr>
      <t xml:space="preserve">ステップ準拠・</t>
    </r>
    <r>
      <rPr>
        <i val="true"/>
        <sz val="10"/>
        <color rgb="FFFFFFFF"/>
        <rFont val="游ゴシック"/>
        <family val="0"/>
        <charset val="1"/>
      </rPr>
      <t xml:space="preserve">3</t>
    </r>
    <r>
      <rPr>
        <i val="true"/>
        <sz val="10"/>
        <color rgb="FFFFFFFF"/>
        <rFont val="Noto Sans CJK SC"/>
        <family val="2"/>
      </rPr>
      <t xml:space="preserve">パターン</t>
    </r>
    <r>
      <rPr>
        <i val="true"/>
        <sz val="10"/>
        <color rgb="FFFFFFFF"/>
        <rFont val="游ゴシック"/>
        <family val="0"/>
        <charset val="1"/>
      </rPr>
      <t xml:space="preserve">(A/B/C)</t>
    </r>
    <r>
      <rPr>
        <i val="true"/>
        <sz val="10"/>
        <color rgb="FFFFFFFF"/>
        <rFont val="Noto Sans CJK SC"/>
        <family val="2"/>
      </rPr>
      <t xml:space="preserve">試算・</t>
    </r>
    <r>
      <rPr>
        <i val="true"/>
        <sz val="10"/>
        <color rgb="FFFFFFFF"/>
        <rFont val="游ゴシック"/>
        <family val="0"/>
        <charset val="1"/>
      </rPr>
      <t xml:space="preserve">9</t>
    </r>
    <r>
      <rPr>
        <i val="true"/>
        <sz val="10"/>
        <color rgb="FFFFFFFF"/>
        <rFont val="Noto Sans CJK SC"/>
        <family val="2"/>
      </rPr>
      <t xml:space="preserve">段階</t>
    </r>
    <r>
      <rPr>
        <i val="true"/>
        <sz val="10"/>
        <color rgb="FFFFFFFF"/>
        <rFont val="游ゴシック"/>
        <family val="0"/>
        <charset val="1"/>
      </rPr>
      <t xml:space="preserve">/13</t>
    </r>
    <r>
      <rPr>
        <i val="true"/>
        <sz val="10"/>
        <color rgb="FFFFFFFF"/>
        <rFont val="Noto Sans CJK SC"/>
        <family val="2"/>
      </rPr>
      <t xml:space="preserve">段階比較 ──</t>
    </r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</si>
  <si>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．本ワークブックの目的</t>
    </r>
  </si>
  <si>
    <r>
      <rPr>
        <sz val="10"/>
        <rFont val="Noto Sans CJK SC"/>
        <family val="2"/>
      </rPr>
      <t xml:space="preserve">国基本指針に準拠した</t>
    </r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ステップで川崎町第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期介護保険料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号被保険者基準月額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を試算します。基金取崩額により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パターン</t>
    </r>
    <r>
      <rPr>
        <sz val="10"/>
        <rFont val="游ゴシック"/>
        <family val="0"/>
        <charset val="1"/>
      </rPr>
      <t xml:space="preserve">(A:</t>
    </r>
    <r>
      <rPr>
        <sz val="10"/>
        <rFont val="Noto Sans CJK SC"/>
        <family val="2"/>
      </rPr>
      <t xml:space="preserve">取崩なし</t>
    </r>
    <r>
      <rPr>
        <sz val="10"/>
        <rFont val="游ゴシック"/>
        <family val="0"/>
        <charset val="1"/>
      </rPr>
      <t xml:space="preserve">/B:50%</t>
    </r>
    <r>
      <rPr>
        <sz val="10"/>
        <rFont val="Noto Sans CJK SC"/>
        <family val="2"/>
      </rPr>
      <t xml:space="preserve">取崩</t>
    </r>
    <r>
      <rPr>
        <sz val="10"/>
        <rFont val="游ゴシック"/>
        <family val="0"/>
        <charset val="1"/>
      </rPr>
      <t xml:space="preserve">/C:</t>
    </r>
    <r>
      <rPr>
        <sz val="10"/>
        <rFont val="Noto Sans CJK SC"/>
        <family val="2"/>
      </rPr>
      <t xml:space="preserve">全額取崩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を並列計算し、</t>
    </r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段階と</t>
    </r>
    <r>
      <rPr>
        <sz val="10"/>
        <rFont val="游ゴシック"/>
        <family val="0"/>
        <charset val="1"/>
      </rPr>
      <t xml:space="preserve">13</t>
    </r>
    <r>
      <rPr>
        <sz val="10"/>
        <rFont val="Noto Sans CJK SC"/>
        <family val="2"/>
      </rPr>
      <t xml:space="preserve">段階区分の比較も実施。第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回策定委員会</t>
    </r>
    <r>
      <rPr>
        <sz val="10"/>
        <rFont val="游ゴシック"/>
        <family val="0"/>
        <charset val="1"/>
      </rPr>
      <t xml:space="preserve">(R9.1</t>
    </r>
    <r>
      <rPr>
        <sz val="10"/>
        <rFont val="Noto Sans CJK SC"/>
        <family val="2"/>
      </rPr>
      <t xml:space="preserve">中旬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で確定値を提示するための作業用シートです。</t>
    </r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</si>
  <si>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．シート構成</t>
    </r>
  </si>
  <si>
    <t xml:space="preserve">シート</t>
  </si>
  <si>
    <t xml:space="preserve">内容</t>
  </si>
  <si>
    <t xml:space="preserve">対応ステップ</t>
  </si>
  <si>
    <r>
      <rPr>
        <b val="true"/>
        <sz val="10"/>
        <rFont val="游ゴシック"/>
        <family val="0"/>
        <charset val="1"/>
      </rPr>
      <t xml:space="preserve">01_</t>
    </r>
    <r>
      <rPr>
        <b val="true"/>
        <sz val="10"/>
        <rFont val="Noto Sans CJK SC"/>
        <family val="2"/>
      </rPr>
      <t xml:space="preserve">入力</t>
    </r>
    <r>
      <rPr>
        <b val="true"/>
        <sz val="10"/>
        <rFont val="游ゴシック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基礎データ</t>
    </r>
  </si>
  <si>
    <t xml:space="preserve">人口・認定者・収納率・基金残高等の基礎数値</t>
  </si>
  <si>
    <r>
      <rPr>
        <sz val="10"/>
        <rFont val="Noto Sans CJK SC"/>
        <family val="2"/>
      </rPr>
      <t xml:space="preserve">全</t>
    </r>
    <r>
      <rPr>
        <sz val="10"/>
        <rFont val="游ゴシック"/>
        <family val="0"/>
        <charset val="1"/>
      </rPr>
      <t xml:space="preserve">Step</t>
    </r>
    <r>
      <rPr>
        <sz val="10"/>
        <rFont val="Noto Sans CJK SC"/>
        <family val="2"/>
      </rPr>
      <t xml:space="preserve">共通</t>
    </r>
  </si>
  <si>
    <r>
      <rPr>
        <b val="true"/>
        <sz val="10"/>
        <rFont val="游ゴシック"/>
        <family val="0"/>
        <charset val="1"/>
      </rPr>
      <t xml:space="preserve">02_Step1-2_</t>
    </r>
    <r>
      <rPr>
        <b val="true"/>
        <sz val="10"/>
        <rFont val="Noto Sans CJK SC"/>
        <family val="2"/>
      </rPr>
      <t xml:space="preserve">標準給付費</t>
    </r>
  </si>
  <si>
    <r>
      <rPr>
        <sz val="10"/>
        <rFont val="Noto Sans CJK SC"/>
        <family val="2"/>
      </rPr>
      <t xml:space="preserve">サービス見込量と単価から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年間の標準給付費を算定</t>
    </r>
  </si>
  <si>
    <t xml:space="preserve">Step1-2</t>
  </si>
  <si>
    <r>
      <rPr>
        <b val="true"/>
        <sz val="10"/>
        <rFont val="游ゴシック"/>
        <family val="0"/>
        <charset val="1"/>
      </rPr>
      <t xml:space="preserve">03_Step3-4_</t>
    </r>
    <r>
      <rPr>
        <b val="true"/>
        <sz val="10"/>
        <rFont val="Noto Sans CJK SC"/>
        <family val="2"/>
      </rPr>
      <t xml:space="preserve">地域支援等</t>
    </r>
  </si>
  <si>
    <r>
      <rPr>
        <sz val="10"/>
        <rFont val="Noto Sans CJK SC"/>
        <family val="2"/>
      </rPr>
      <t xml:space="preserve">地域支援事業費と第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号負担分相当額</t>
    </r>
    <r>
      <rPr>
        <sz val="10"/>
        <rFont val="游ゴシック"/>
        <family val="0"/>
        <charset val="1"/>
      </rPr>
      <t xml:space="preserve">(23%)</t>
    </r>
    <r>
      <rPr>
        <sz val="10"/>
        <rFont val="Noto Sans CJK SC"/>
        <family val="2"/>
      </rPr>
      <t xml:space="preserve">を算定</t>
    </r>
  </si>
  <si>
    <t xml:space="preserve">Step3-4</t>
  </si>
  <si>
    <r>
      <rPr>
        <b val="true"/>
        <sz val="10"/>
        <rFont val="游ゴシック"/>
        <family val="0"/>
        <charset val="1"/>
      </rPr>
      <t xml:space="preserve">04_Step5_</t>
    </r>
    <r>
      <rPr>
        <b val="true"/>
        <sz val="10"/>
        <rFont val="Noto Sans CJK SC"/>
        <family val="2"/>
      </rPr>
      <t xml:space="preserve">調整交付金</t>
    </r>
  </si>
  <si>
    <r>
      <rPr>
        <sz val="10"/>
        <rFont val="Noto Sans CJK SC"/>
        <family val="2"/>
      </rPr>
      <t xml:space="preserve">国の調整交付金</t>
    </r>
    <r>
      <rPr>
        <sz val="10"/>
        <rFont val="游ゴシック"/>
        <family val="0"/>
        <charset val="1"/>
      </rPr>
      <t xml:space="preserve">(5%</t>
    </r>
    <r>
      <rPr>
        <sz val="10"/>
        <rFont val="Noto Sans CJK SC"/>
        <family val="2"/>
      </rPr>
      <t xml:space="preserve">基本</t>
    </r>
    <r>
      <rPr>
        <sz val="10"/>
        <rFont val="游ゴシック"/>
        <family val="0"/>
        <charset val="1"/>
      </rPr>
      <t xml:space="preserve">+</t>
    </r>
    <r>
      <rPr>
        <sz val="10"/>
        <rFont val="Noto Sans CJK SC"/>
        <family val="2"/>
      </rPr>
      <t xml:space="preserve">変動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を算定</t>
    </r>
  </si>
  <si>
    <t xml:space="preserve">Step5</t>
  </si>
  <si>
    <r>
      <rPr>
        <b val="true"/>
        <sz val="10"/>
        <rFont val="游ゴシック"/>
        <family val="0"/>
        <charset val="1"/>
      </rPr>
      <t xml:space="preserve">05_Step6_</t>
    </r>
    <r>
      <rPr>
        <b val="true"/>
        <sz val="10"/>
        <rFont val="Noto Sans CJK SC"/>
        <family val="2"/>
      </rPr>
      <t xml:space="preserve">基金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パターン</t>
    </r>
  </si>
  <si>
    <r>
      <rPr>
        <sz val="10"/>
        <rFont val="Noto Sans CJK SC"/>
        <family val="2"/>
      </rPr>
      <t xml:space="preserve">基金取崩額の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パターン設定</t>
    </r>
    <r>
      <rPr>
        <sz val="10"/>
        <rFont val="游ゴシック"/>
        <family val="0"/>
        <charset val="1"/>
      </rPr>
      <t xml:space="preserve">(A/B/C)</t>
    </r>
  </si>
  <si>
    <t xml:space="preserve">Step6</t>
  </si>
  <si>
    <r>
      <rPr>
        <b val="true"/>
        <sz val="10"/>
        <rFont val="游ゴシック"/>
        <family val="0"/>
        <charset val="1"/>
      </rPr>
      <t xml:space="preserve">06_Step7-8_</t>
    </r>
    <r>
      <rPr>
        <b val="true"/>
        <sz val="10"/>
        <rFont val="Noto Sans CJK SC"/>
        <family val="2"/>
      </rPr>
      <t xml:space="preserve">収納額・基準額</t>
    </r>
  </si>
  <si>
    <r>
      <rPr>
        <sz val="10"/>
        <rFont val="Noto Sans CJK SC"/>
        <family val="2"/>
      </rPr>
      <t xml:space="preserve">保険料収納必要額と基準額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月額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の算定</t>
    </r>
  </si>
  <si>
    <t xml:space="preserve">Step7-8</t>
  </si>
  <si>
    <r>
      <rPr>
        <b val="true"/>
        <sz val="10"/>
        <rFont val="游ゴシック"/>
        <family val="0"/>
        <charset val="1"/>
      </rPr>
      <t xml:space="preserve">07_</t>
    </r>
    <r>
      <rPr>
        <b val="true"/>
        <sz val="10"/>
        <rFont val="Noto Sans CJK SC"/>
        <family val="2"/>
      </rPr>
      <t xml:space="preserve">所得段階</t>
    </r>
    <r>
      <rPr>
        <b val="true"/>
        <sz val="10"/>
        <rFont val="游ゴシック"/>
        <family val="0"/>
        <charset val="1"/>
      </rPr>
      <t xml:space="preserve">_9</t>
    </r>
    <r>
      <rPr>
        <b val="true"/>
        <sz val="10"/>
        <rFont val="Noto Sans CJK SC"/>
        <family val="2"/>
      </rPr>
      <t xml:space="preserve">段階版</t>
    </r>
  </si>
  <si>
    <r>
      <rPr>
        <sz val="10"/>
        <rFont val="Noto Sans CJK SC"/>
        <family val="2"/>
      </rPr>
      <t xml:space="preserve">現行</t>
    </r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段階区分での所得段階別保険料</t>
    </r>
  </si>
  <si>
    <r>
      <rPr>
        <sz val="10"/>
        <rFont val="游ゴシック"/>
        <family val="0"/>
        <charset val="1"/>
      </rPr>
      <t xml:space="preserve">Step8</t>
    </r>
    <r>
      <rPr>
        <sz val="10"/>
        <rFont val="Noto Sans CJK SC"/>
        <family val="2"/>
      </rPr>
      <t xml:space="preserve">拡張</t>
    </r>
  </si>
  <si>
    <r>
      <rPr>
        <b val="true"/>
        <sz val="10"/>
        <rFont val="游ゴシック"/>
        <family val="0"/>
        <charset val="1"/>
      </rPr>
      <t xml:space="preserve">08_</t>
    </r>
    <r>
      <rPr>
        <b val="true"/>
        <sz val="10"/>
        <rFont val="Noto Sans CJK SC"/>
        <family val="2"/>
      </rPr>
      <t xml:space="preserve">所得段階</t>
    </r>
    <r>
      <rPr>
        <b val="true"/>
        <sz val="10"/>
        <rFont val="游ゴシック"/>
        <family val="0"/>
        <charset val="1"/>
      </rPr>
      <t xml:space="preserve">_13</t>
    </r>
    <r>
      <rPr>
        <b val="true"/>
        <sz val="10"/>
        <rFont val="Noto Sans CJK SC"/>
        <family val="2"/>
      </rPr>
      <t xml:space="preserve">段階版</t>
    </r>
  </si>
  <si>
    <r>
      <rPr>
        <sz val="10"/>
        <rFont val="游ゴシック"/>
        <family val="0"/>
        <charset val="1"/>
      </rPr>
      <t xml:space="preserve">13</t>
    </r>
    <r>
      <rPr>
        <sz val="10"/>
        <rFont val="Noto Sans CJK SC"/>
        <family val="2"/>
      </rPr>
      <t xml:space="preserve">段階区分での所得段階別保険料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協議事項</t>
    </r>
    <r>
      <rPr>
        <sz val="10"/>
        <rFont val="游ゴシック"/>
        <family val="0"/>
        <charset val="1"/>
      </rPr>
      <t xml:space="preserve">5)</t>
    </r>
  </si>
  <si>
    <r>
      <rPr>
        <b val="true"/>
        <sz val="10"/>
        <rFont val="游ゴシック"/>
        <family val="0"/>
        <charset val="1"/>
      </rPr>
      <t xml:space="preserve">09_</t>
    </r>
    <r>
      <rPr>
        <b val="true"/>
        <sz val="10"/>
        <rFont val="Noto Sans CJK SC"/>
        <family val="2"/>
      </rPr>
      <t xml:space="preserve">比較分析</t>
    </r>
  </si>
  <si>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パターン</t>
    </r>
    <r>
      <rPr>
        <sz val="10"/>
        <rFont val="游ゴシック"/>
        <family val="0"/>
        <charset val="1"/>
      </rPr>
      <t xml:space="preserve">×9/13</t>
    </r>
    <r>
      <rPr>
        <sz val="10"/>
        <rFont val="Noto Sans CJK SC"/>
        <family val="2"/>
      </rPr>
      <t xml:space="preserve">段階のクロス比較・近隣比較</t>
    </r>
  </si>
  <si>
    <t xml:space="preserve">総合</t>
  </si>
  <si>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．セルの色分け凡例</t>
    </r>
  </si>
  <si>
    <r>
      <rPr>
        <b val="true"/>
        <sz val="10"/>
        <rFont val="Noto Sans CJK SC"/>
        <family val="2"/>
      </rPr>
      <t xml:space="preserve">入力欄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黄色</t>
    </r>
    <r>
      <rPr>
        <b val="true"/>
        <sz val="10"/>
        <rFont val="游ゴシック"/>
        <family val="0"/>
        <charset val="1"/>
      </rPr>
      <t xml:space="preserve">)</t>
    </r>
  </si>
  <si>
    <t xml:space="preserve">町担当課・弊社で入力する数値。基礎データ・基金残高等</t>
  </si>
  <si>
    <r>
      <rPr>
        <b val="true"/>
        <sz val="10"/>
        <rFont val="Noto Sans CJK SC"/>
        <family val="2"/>
      </rPr>
      <t xml:space="preserve">既知数値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緑</t>
    </r>
    <r>
      <rPr>
        <b val="true"/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</si>
  <si>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確定済の数値。</t>
    </r>
    <r>
      <rPr>
        <sz val="10"/>
        <rFont val="游ゴシック"/>
        <family val="0"/>
        <charset val="1"/>
      </rPr>
      <t xml:space="preserve">R3</t>
    </r>
    <r>
      <rPr>
        <sz val="10"/>
        <rFont val="Noto Sans CJK SC"/>
        <family val="2"/>
      </rPr>
      <t xml:space="preserve">給付実績・</t>
    </r>
    <r>
      <rPr>
        <sz val="10"/>
        <rFont val="游ゴシック"/>
        <family val="0"/>
        <charset val="1"/>
      </rPr>
      <t xml:space="preserve">R7.6</t>
    </r>
    <r>
      <rPr>
        <sz val="10"/>
        <rFont val="Noto Sans CJK SC"/>
        <family val="2"/>
      </rPr>
      <t xml:space="preserve">人口等</t>
    </r>
  </si>
  <si>
    <r>
      <rPr>
        <b val="true"/>
        <sz val="10"/>
        <rFont val="Noto Sans CJK SC"/>
        <family val="2"/>
      </rPr>
      <t xml:space="preserve">計算結果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青</t>
    </r>
    <r>
      <rPr>
        <b val="true"/>
        <sz val="10"/>
        <rFont val="游ゴシック"/>
        <family val="0"/>
        <charset val="1"/>
      </rPr>
      <t xml:space="preserve">)</t>
    </r>
  </si>
  <si>
    <t xml:space="preserve">数式により自動算出される数値。手入力不要</t>
  </si>
  <si>
    <r>
      <rPr>
        <b val="true"/>
        <sz val="10"/>
        <rFont val="Noto Sans CJK SC"/>
        <family val="2"/>
      </rPr>
      <t xml:space="preserve">重要結果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赤</t>
    </r>
    <r>
      <rPr>
        <b val="true"/>
        <sz val="10"/>
        <rFont val="游ゴシック"/>
        <family val="0"/>
        <charset val="1"/>
      </rPr>
      <t xml:space="preserve">)</t>
    </r>
  </si>
  <si>
    <t xml:space="preserve">保険料基準額等の最重要算定結果</t>
  </si>
  <si>
    <r>
      <rPr>
        <b val="true"/>
        <sz val="10"/>
        <color rgb="FFFFFFFF"/>
        <rFont val="游ゴシック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．保険料算定の</t>
    </r>
    <r>
      <rPr>
        <b val="true"/>
        <sz val="10"/>
        <color rgb="FFFFFFFF"/>
        <rFont val="游ゴシック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ステップ全体像</t>
    </r>
  </si>
  <si>
    <t xml:space="preserve">Step</t>
  </si>
  <si>
    <t xml:space="preserve">数式・元データ</t>
  </si>
  <si>
    <t xml:space="preserve">Step1</t>
  </si>
  <si>
    <r>
      <rPr>
        <sz val="10"/>
        <rFont val="Noto Sans CJK SC"/>
        <family val="2"/>
      </rPr>
      <t xml:space="preserve">サービス見込量</t>
    </r>
    <r>
      <rPr>
        <sz val="10"/>
        <rFont val="游ゴシック"/>
        <family val="0"/>
        <charset val="1"/>
      </rPr>
      <t xml:space="preserve">×</t>
    </r>
    <r>
      <rPr>
        <sz val="10"/>
        <rFont val="Noto Sans CJK SC"/>
        <family val="2"/>
      </rPr>
      <t xml:space="preserve">単価</t>
    </r>
    <r>
      <rPr>
        <sz val="10"/>
        <rFont val="游ゴシック"/>
        <family val="0"/>
        <charset val="1"/>
      </rPr>
      <t xml:space="preserve">=</t>
    </r>
    <r>
      <rPr>
        <sz val="10"/>
        <rFont val="Noto Sans CJK SC"/>
        <family val="2"/>
      </rPr>
      <t xml:space="preserve">標準給付費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年度別</t>
    </r>
    <r>
      <rPr>
        <sz val="10"/>
        <rFont val="游ゴシック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</si>
  <si>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見込量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7</t>
    </r>
    <r>
      <rPr>
        <i val="true"/>
        <sz val="9"/>
        <color rgb="FF595959"/>
        <rFont val="Noto Sans CJK SC"/>
        <family val="2"/>
      </rPr>
      <t xml:space="preserve">章</t>
    </r>
    <r>
      <rPr>
        <i val="true"/>
        <sz val="9"/>
        <color rgb="FF595959"/>
        <rFont val="游ゴシック"/>
        <family val="0"/>
        <charset val="1"/>
      </rPr>
      <t xml:space="preserve">7-1) × </t>
    </r>
    <r>
      <rPr>
        <i val="true"/>
        <sz val="9"/>
        <color rgb="FF595959"/>
        <rFont val="Noto Sans CJK SC"/>
        <family val="2"/>
      </rPr>
      <t xml:space="preserve">サービス単価</t>
    </r>
  </si>
  <si>
    <t xml:space="preserve">02</t>
  </si>
  <si>
    <t xml:space="preserve">Step2</t>
  </si>
  <si>
    <r>
      <rPr>
        <sz val="10"/>
        <rFont val="Noto Sans CJK SC"/>
        <family val="2"/>
      </rPr>
      <t xml:space="preserve">標準給付費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年間総額</t>
    </r>
  </si>
  <si>
    <r>
      <rPr>
        <i val="true"/>
        <sz val="9"/>
        <color rgb="FF595959"/>
        <rFont val="游ゴシック"/>
        <family val="0"/>
        <charset val="1"/>
      </rPr>
      <t xml:space="preserve">Step1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年分</t>
    </r>
    <r>
      <rPr>
        <i val="true"/>
        <sz val="9"/>
        <color rgb="FF595959"/>
        <rFont val="游ゴシック"/>
        <family val="0"/>
        <charset val="1"/>
      </rPr>
      <t xml:space="preserve">(R9-R11)</t>
    </r>
    <r>
      <rPr>
        <i val="true"/>
        <sz val="9"/>
        <color rgb="FF595959"/>
        <rFont val="Noto Sans CJK SC"/>
        <family val="2"/>
      </rPr>
      <t xml:space="preserve">を合計</t>
    </r>
  </si>
  <si>
    <t xml:space="preserve">Step3</t>
  </si>
  <si>
    <r>
      <rPr>
        <sz val="10"/>
        <rFont val="Noto Sans CJK SC"/>
        <family val="2"/>
      </rPr>
      <t xml:space="preserve">地域支援事業費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包括的・任意事業</t>
    </r>
    <r>
      <rPr>
        <sz val="10"/>
        <rFont val="游ゴシック"/>
        <family val="0"/>
        <charset val="1"/>
      </rPr>
      <t xml:space="preserve">)</t>
    </r>
  </si>
  <si>
    <r>
      <rPr>
        <i val="true"/>
        <sz val="9"/>
        <color rgb="FF595959"/>
        <rFont val="游ゴシック"/>
        <family val="0"/>
        <charset val="1"/>
      </rPr>
      <t xml:space="preserve">Step1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4%</t>
    </r>
    <r>
      <rPr>
        <i val="true"/>
        <sz val="9"/>
        <color rgb="FF595959"/>
        <rFont val="Noto Sans CJK SC"/>
        <family val="2"/>
      </rPr>
      <t xml:space="preserve">相当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国基準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</si>
  <si>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03</t>
  </si>
  <si>
    <t xml:space="preserve">Step4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</si>
  <si>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号負担分相当額</t>
    </r>
  </si>
  <si>
    <r>
      <rPr>
        <i val="true"/>
        <sz val="9"/>
        <color rgb="FF595959"/>
        <rFont val="游ゴシック"/>
        <family val="0"/>
        <charset val="1"/>
      </rPr>
      <t xml:space="preserve">(Step2+Step3)×23%(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号負担割合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</si>
  <si>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調整交付金額</t>
  </si>
  <si>
    <r>
      <rPr>
        <i val="true"/>
        <sz val="9"/>
        <color rgb="FF595959"/>
        <rFont val="游ゴシック"/>
        <family val="0"/>
        <charset val="1"/>
      </rPr>
      <t xml:space="preserve">Step4×(</t>
    </r>
    <r>
      <rPr>
        <i val="true"/>
        <sz val="9"/>
        <color rgb="FF595959"/>
        <rFont val="Noto Sans CJK SC"/>
        <family val="2"/>
      </rPr>
      <t xml:space="preserve">調整交付金率</t>
    </r>
    <r>
      <rPr>
        <i val="true"/>
        <sz val="9"/>
        <color rgb="FF595959"/>
        <rFont val="游ゴシック"/>
        <family val="0"/>
        <charset val="1"/>
      </rPr>
      <t xml:space="preserve">5%-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補正</t>
    </r>
  </si>
  <si>
    <t xml:space="preserve">04</t>
  </si>
  <si>
    <r>
      <rPr>
        <sz val="10"/>
        <rFont val="Noto Sans CJK SC"/>
        <family val="2"/>
      </rPr>
      <t xml:space="preserve">基金取崩額の設定</t>
    </r>
    <r>
      <rPr>
        <sz val="10"/>
        <rFont val="游ゴシック"/>
        <family val="0"/>
        <charset val="1"/>
      </rPr>
      <t xml:space="preserve">(3</t>
    </r>
    <r>
      <rPr>
        <sz val="10"/>
        <rFont val="Noto Sans CJK SC"/>
        <family val="2"/>
      </rPr>
      <t xml:space="preserve">パターン</t>
    </r>
    <r>
      <rPr>
        <sz val="10"/>
        <rFont val="游ゴシック"/>
        <family val="0"/>
        <charset val="1"/>
      </rPr>
      <t xml:space="preserve">)</t>
    </r>
  </si>
  <si>
    <r>
      <rPr>
        <i val="true"/>
        <sz val="9"/>
        <color rgb="FF595959"/>
        <rFont val="游ゴシック"/>
        <family val="0"/>
        <charset val="1"/>
      </rPr>
      <t xml:space="preserve">A:0/B:</t>
    </r>
    <r>
      <rPr>
        <i val="true"/>
        <sz val="9"/>
        <color rgb="FF595959"/>
        <rFont val="Noto Sans CJK SC"/>
        <family val="2"/>
      </rPr>
      <t xml:space="preserve">基金</t>
    </r>
    <r>
      <rPr>
        <i val="true"/>
        <sz val="9"/>
        <color rgb="FF595959"/>
        <rFont val="游ゴシック"/>
        <family val="0"/>
        <charset val="1"/>
      </rPr>
      <t xml:space="preserve">×50%/C:</t>
    </r>
    <r>
      <rPr>
        <i val="true"/>
        <sz val="9"/>
        <color rgb="FF595959"/>
        <rFont val="Noto Sans CJK SC"/>
        <family val="2"/>
      </rPr>
      <t xml:space="preserve">基金</t>
    </r>
    <r>
      <rPr>
        <i val="true"/>
        <sz val="9"/>
        <color rgb="FF595959"/>
        <rFont val="游ゴシック"/>
        <family val="0"/>
        <charset val="1"/>
      </rPr>
      <t xml:space="preserve">×100%</t>
    </r>
  </si>
  <si>
    <t xml:space="preserve">05</t>
  </si>
  <si>
    <t xml:space="preserve">Step7</t>
  </si>
  <si>
    <t xml:space="preserve">保険料収納必要額</t>
  </si>
  <si>
    <t xml:space="preserve">Step4-Step5+Step6</t>
  </si>
  <si>
    <t xml:space="preserve">06</t>
  </si>
  <si>
    <t xml:space="preserve">Step8</t>
  </si>
  <si>
    <t xml:space="preserve">保険料基準月額</t>
  </si>
  <si>
    <r>
      <rPr>
        <i val="true"/>
        <sz val="9"/>
        <color rgb="FF595959"/>
        <rFont val="游ゴシック"/>
        <family val="0"/>
        <charset val="1"/>
      </rPr>
      <t xml:space="preserve">Step7÷(</t>
    </r>
    <r>
      <rPr>
        <i val="true"/>
        <sz val="9"/>
        <color rgb="FF595959"/>
        <rFont val="Noto Sans CJK SC"/>
        <family val="2"/>
      </rPr>
      <t xml:space="preserve">被保険者数</t>
    </r>
    <r>
      <rPr>
        <i val="true"/>
        <sz val="9"/>
        <color rgb="FF595959"/>
        <rFont val="游ゴシック"/>
        <family val="0"/>
        <charset val="1"/>
      </rPr>
      <t xml:space="preserve">×12×</t>
    </r>
    <r>
      <rPr>
        <i val="true"/>
        <sz val="9"/>
        <color rgb="FF595959"/>
        <rFont val="Noto Sans CJK SC"/>
        <family val="2"/>
      </rPr>
      <t xml:space="preserve">収納率</t>
    </r>
    <r>
      <rPr>
        <i val="true"/>
        <sz val="9"/>
        <color rgb="FF595959"/>
        <rFont val="游ゴシック"/>
        <family val="0"/>
        <charset val="1"/>
      </rPr>
      <t xml:space="preserve">×</t>
    </r>
    <r>
      <rPr>
        <i val="true"/>
        <sz val="9"/>
        <color rgb="FF595959"/>
        <rFont val="Noto Sans CJK SC"/>
        <family val="2"/>
      </rPr>
      <t xml:space="preserve">補正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</si>
  <si>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游ゴシック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．運用上の注意事項</t>
    </r>
  </si>
  <si>
    <r>
      <rPr>
        <i val="true"/>
        <sz val="9"/>
        <color rgb="FF595959"/>
        <rFont val="Noto Sans CJK SC"/>
        <family val="2"/>
      </rPr>
      <t xml:space="preserve">※ 本ワークブックは作業用です。確定値は介護給付費準備基金残高</t>
    </r>
    <r>
      <rPr>
        <i val="true"/>
        <sz val="9"/>
        <color rgb="FF595959"/>
        <rFont val="游ゴシック"/>
        <family val="0"/>
        <charset val="1"/>
      </rPr>
      <t xml:space="preserve">(R8.6</t>
    </r>
    <r>
      <rPr>
        <i val="true"/>
        <sz val="9"/>
        <color rgb="FF595959"/>
        <rFont val="Noto Sans CJK SC"/>
        <family val="2"/>
      </rPr>
      <t xml:space="preserve">時点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の入手後にシート</t>
    </r>
    <r>
      <rPr>
        <i val="true"/>
        <sz val="9"/>
        <color rgb="FF595959"/>
        <rFont val="游ゴシック"/>
        <family val="0"/>
        <charset val="1"/>
      </rPr>
      <t xml:space="preserve">01</t>
    </r>
    <r>
      <rPr>
        <i val="true"/>
        <sz val="9"/>
        <color rgb="FF595959"/>
        <rFont val="Noto Sans CJK SC"/>
        <family val="2"/>
      </rPr>
      <t xml:space="preserve">で入力してください。</t>
    </r>
  </si>
  <si>
    <r>
      <rPr>
        <i val="true"/>
        <sz val="9"/>
        <color rgb="FF595959"/>
        <rFont val="Noto Sans CJK SC"/>
        <family val="2"/>
      </rPr>
      <t xml:space="preserve">※ サービス見込量</t>
    </r>
    <r>
      <rPr>
        <i val="true"/>
        <sz val="9"/>
        <color rgb="FF595959"/>
        <rFont val="游ゴシック"/>
        <family val="0"/>
        <charset val="1"/>
      </rPr>
      <t xml:space="preserve">(Step1)</t>
    </r>
    <r>
      <rPr>
        <i val="true"/>
        <sz val="9"/>
        <color rgb="FF595959"/>
        <rFont val="Noto Sans CJK SC"/>
        <family val="2"/>
      </rPr>
      <t xml:space="preserve">は計画素案</t>
    </r>
    <r>
      <rPr>
        <i val="true"/>
        <sz val="9"/>
        <color rgb="FF595959"/>
        <rFont val="游ゴシック"/>
        <family val="0"/>
        <charset val="1"/>
      </rPr>
      <t xml:space="preserve">v1.5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7</t>
    </r>
    <r>
      <rPr>
        <i val="true"/>
        <sz val="9"/>
        <color rgb="FF595959"/>
        <rFont val="Noto Sans CJK SC"/>
        <family val="2"/>
      </rPr>
      <t xml:space="preserve">章</t>
    </r>
    <r>
      <rPr>
        <i val="true"/>
        <sz val="9"/>
        <color rgb="FF595959"/>
        <rFont val="游ゴシック"/>
        <family val="0"/>
        <charset val="1"/>
      </rPr>
      <t xml:space="preserve">7-1</t>
    </r>
    <r>
      <rPr>
        <i val="true"/>
        <sz val="9"/>
        <color rgb="FF595959"/>
        <rFont val="Noto Sans CJK SC"/>
        <family val="2"/>
      </rPr>
      <t xml:space="preserve">の暫定値を使用。</t>
    </r>
    <r>
      <rPr>
        <i val="true"/>
        <sz val="9"/>
        <color rgb="FF595959"/>
        <rFont val="游ゴシック"/>
        <family val="0"/>
        <charset val="1"/>
      </rPr>
      <t xml:space="preserve">Phase 2</t>
    </r>
    <r>
      <rPr>
        <i val="true"/>
        <sz val="9"/>
        <color rgb="FF595959"/>
        <rFont val="Noto Sans CJK SC"/>
        <family val="2"/>
      </rPr>
      <t xml:space="preserve">でアンケート補正後に更新します。</t>
    </r>
  </si>
  <si>
    <t xml:space="preserve">※ 見える化システムの仙南圏域他自治体保険料との比較は、町担当課が見える化システム登録完了後に実施します。</t>
  </si>
  <si>
    <r>
      <rPr>
        <i val="true"/>
        <sz val="9"/>
        <color rgb="FF595959"/>
        <rFont val="游ゴシック"/>
        <family val="0"/>
        <charset val="1"/>
      </rPr>
      <t xml:space="preserve">※ 13</t>
    </r>
    <r>
      <rPr>
        <i val="true"/>
        <sz val="9"/>
        <color rgb="FF595959"/>
        <rFont val="Noto Sans CJK SC"/>
        <family val="2"/>
      </rPr>
      <t xml:space="preserve">段階区分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08)</t>
    </r>
    <r>
      <rPr>
        <i val="true"/>
        <sz val="9"/>
        <color rgb="FF595959"/>
        <rFont val="Noto Sans CJK SC"/>
        <family val="2"/>
      </rPr>
      <t xml:space="preserve">は国推奨基準率に基づく試算。確定段階率は委員会協議事項</t>
    </r>
    <r>
      <rPr>
        <i val="true"/>
        <sz val="9"/>
        <color rgb="FF595959"/>
        <rFont val="游ゴシック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で確定します。</t>
    </r>
  </si>
  <si>
    <r>
      <rPr>
        <i val="true"/>
        <sz val="9"/>
        <color rgb="FF595959"/>
        <rFont val="游ゴシック"/>
        <family val="0"/>
        <charset val="1"/>
      </rPr>
      <t xml:space="preserve">※ 3</t>
    </r>
    <r>
      <rPr>
        <i val="true"/>
        <sz val="9"/>
        <color rgb="FF595959"/>
        <rFont val="Noto Sans CJK SC"/>
        <family val="2"/>
      </rPr>
      <t xml:space="preserve">パターン試算の結果を第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回策定委員会</t>
    </r>
    <r>
      <rPr>
        <i val="true"/>
        <sz val="9"/>
        <color rgb="FF595959"/>
        <rFont val="游ゴシック"/>
        <family val="0"/>
        <charset val="1"/>
      </rPr>
      <t xml:space="preserve">(R9.1</t>
    </r>
    <r>
      <rPr>
        <i val="true"/>
        <sz val="9"/>
        <color rgb="FF595959"/>
        <rFont val="Noto Sans CJK SC"/>
        <family val="2"/>
      </rPr>
      <t xml:space="preserve">中旬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で提示し、委員協議の上、第</t>
    </r>
    <r>
      <rPr>
        <i val="true"/>
        <sz val="9"/>
        <color rgb="FF595959"/>
        <rFont val="游ゴシック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期保険料パターンを決定します。</t>
    </r>
  </si>
  <si>
    <r>
      <rPr>
        <b val="true"/>
        <sz val="13"/>
        <color rgb="FFFFFFFF"/>
        <rFont val="游ゴシック"/>
        <family val="0"/>
        <charset val="1"/>
      </rPr>
      <t xml:space="preserve">01</t>
    </r>
    <r>
      <rPr>
        <b val="true"/>
        <sz val="13"/>
        <color rgb="FFFFFFFF"/>
        <rFont val="Noto Sans CJK SC"/>
        <family val="2"/>
      </rPr>
      <t xml:space="preserve">　基礎データ入力シート</t>
    </r>
  </si>
  <si>
    <r>
      <rPr>
        <i val="true"/>
        <sz val="10"/>
        <color rgb="FFFFFFFF"/>
        <rFont val="游ゴシック"/>
        <family val="0"/>
        <charset val="1"/>
      </rPr>
      <t xml:space="preserve">── 8</t>
    </r>
    <r>
      <rPr>
        <i val="true"/>
        <sz val="10"/>
        <color rgb="FFFFFFFF"/>
        <rFont val="Noto Sans CJK SC"/>
        <family val="2"/>
      </rPr>
      <t xml:space="preserve">ステップ算定の前提となる基礎数値を入力 ──</t>
    </r>
  </si>
  <si>
    <r>
      <rPr>
        <b val="true"/>
        <sz val="10"/>
        <color rgb="FFFFFFFF"/>
        <rFont val="游ゴシック"/>
        <family val="0"/>
        <charset val="1"/>
      </rPr>
      <t xml:space="preserve">A. </t>
    </r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号被保険者数の推計（</t>
    </r>
    <r>
      <rPr>
        <b val="true"/>
        <sz val="10"/>
        <color rgb="FFFFFFFF"/>
        <rFont val="游ゴシック"/>
        <family val="0"/>
        <charset val="1"/>
      </rPr>
      <t xml:space="preserve">Step8</t>
    </r>
    <r>
      <rPr>
        <b val="true"/>
        <sz val="10"/>
        <color rgb="FFFFFFFF"/>
        <rFont val="Noto Sans CJK SC"/>
        <family val="2"/>
      </rPr>
      <t xml:space="preserve">で使用）</t>
    </r>
  </si>
  <si>
    <t xml:space="preserve">年度</t>
  </si>
  <si>
    <r>
      <rPr>
        <b val="true"/>
        <sz val="10"/>
        <color rgb="FFFFFFFF"/>
        <rFont val="游ゴシック"/>
        <family val="0"/>
        <charset val="1"/>
      </rPr>
      <t xml:space="preserve">65</t>
    </r>
    <r>
      <rPr>
        <b val="true"/>
        <sz val="10"/>
        <color rgb="FFFFFFFF"/>
        <rFont val="Noto Sans CJK SC"/>
        <family val="2"/>
      </rPr>
      <t xml:space="preserve">歳以上人口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</si>
  <si>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備考</t>
  </si>
  <si>
    <t xml:space="preserve">出典</t>
  </si>
  <si>
    <t xml:space="preserve">R7(2025)</t>
  </si>
  <si>
    <r>
      <rPr>
        <sz val="10"/>
        <rFont val="Noto Sans CJK SC"/>
        <family val="2"/>
      </rPr>
      <t xml:space="preserve">実績</t>
    </r>
    <r>
      <rPr>
        <sz val="10"/>
        <rFont val="游ゴシック"/>
        <family val="0"/>
        <charset val="1"/>
      </rPr>
      <t xml:space="preserve">(R7.6</t>
    </r>
    <r>
      <rPr>
        <sz val="10"/>
        <rFont val="Noto Sans CJK SC"/>
        <family val="2"/>
      </rPr>
      <t xml:space="preserve">時点</t>
    </r>
    <r>
      <rPr>
        <sz val="10"/>
        <rFont val="游ゴシック"/>
        <family val="0"/>
        <charset val="1"/>
      </rPr>
      <t xml:space="preserve">)</t>
    </r>
  </si>
  <si>
    <t xml:space="preserve">町保険者データ</t>
  </si>
  <si>
    <t xml:space="preserve">R8(2026)</t>
  </si>
  <si>
    <r>
      <rPr>
        <b val="true"/>
        <sz val="10"/>
        <color rgb="FF0000FF"/>
        <rFont val="游ゴシック"/>
        <family val="0"/>
        <charset val="1"/>
      </rPr>
      <t xml:space="preserve">[</t>
    </r>
    <r>
      <rPr>
        <b val="true"/>
        <sz val="10"/>
        <color rgb="FF0000FF"/>
        <rFont val="Noto Sans CJK SC"/>
        <family val="2"/>
      </rPr>
      <t xml:space="preserve">入力</t>
    </r>
    <r>
      <rPr>
        <b val="true"/>
        <sz val="10"/>
        <color rgb="FF0000FF"/>
        <rFont val="游ゴシック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</si>
  <si>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推計値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町担当課入力</t>
    </r>
    <r>
      <rPr>
        <sz val="10"/>
        <rFont val="游ゴシック"/>
        <family val="0"/>
        <charset val="1"/>
      </rPr>
      <t xml:space="preserve">)</t>
    </r>
  </si>
  <si>
    <t xml:space="preserve">町推計</t>
  </si>
  <si>
    <t xml:space="preserve">R9(2027)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</si>
  <si>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期初年度推計</t>
    </r>
  </si>
  <si>
    <r>
      <rPr>
        <i val="true"/>
        <sz val="9"/>
        <color rgb="FF595959"/>
        <rFont val="Noto Sans CJK SC"/>
        <family val="2"/>
      </rPr>
      <t xml:space="preserve">社人研推計</t>
    </r>
    <r>
      <rPr>
        <i val="true"/>
        <sz val="9"/>
        <color rgb="FF595959"/>
        <rFont val="游ゴシック"/>
        <family val="0"/>
        <charset val="1"/>
      </rPr>
      <t xml:space="preserve">+</t>
    </r>
    <r>
      <rPr>
        <i val="true"/>
        <sz val="9"/>
        <color rgb="FF595959"/>
        <rFont val="Noto Sans CJK SC"/>
        <family val="2"/>
      </rPr>
      <t xml:space="preserve">補正</t>
    </r>
  </si>
  <si>
    <t xml:space="preserve">R10(2028)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</si>
  <si>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期中年度推計</t>
    </r>
  </si>
  <si>
    <t xml:space="preserve">R11(2029)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</si>
  <si>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期最終年度推計</t>
    </r>
  </si>
  <si>
    <r>
      <rPr>
        <b val="true"/>
        <sz val="10"/>
        <color rgb="FF1F3864"/>
        <rFont val="游ゴシック"/>
        <family val="0"/>
        <charset val="1"/>
      </rPr>
      <t xml:space="preserve">3</t>
    </r>
    <r>
      <rPr>
        <b val="true"/>
        <sz val="10"/>
        <color rgb="FF1F3864"/>
        <rFont val="Noto Sans CJK SC"/>
        <family val="2"/>
      </rPr>
      <t xml:space="preserve">年合計</t>
    </r>
  </si>
  <si>
    <r>
      <rPr>
        <i val="true"/>
        <sz val="9"/>
        <color rgb="FF595959"/>
        <rFont val="游ゴシック"/>
        <family val="0"/>
        <charset val="1"/>
      </rPr>
      <t xml:space="preserve">R9-R11</t>
    </r>
    <r>
      <rPr>
        <i val="true"/>
        <sz val="9"/>
        <color rgb="FF595959"/>
        <rFont val="Noto Sans CJK SC"/>
        <family val="2"/>
      </rPr>
      <t xml:space="preserve">の合計</t>
    </r>
    <r>
      <rPr>
        <i val="true"/>
        <sz val="9"/>
        <color rgb="FF595959"/>
        <rFont val="游ゴシック"/>
        <family val="0"/>
        <charset val="1"/>
      </rPr>
      <t xml:space="preserve">(Step8</t>
    </r>
    <r>
      <rPr>
        <i val="true"/>
        <sz val="9"/>
        <color rgb="FF595959"/>
        <rFont val="Noto Sans CJK SC"/>
        <family val="2"/>
      </rPr>
      <t xml:space="preserve">で使用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</si>
  <si>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計算</t>
  </si>
  <si>
    <r>
      <rPr>
        <b val="true"/>
        <sz val="10"/>
        <color rgb="FFFFFFFF"/>
        <rFont val="游ゴシック"/>
        <family val="0"/>
        <charset val="1"/>
      </rPr>
      <t xml:space="preserve">B. </t>
    </r>
    <r>
      <rPr>
        <b val="true"/>
        <sz val="10"/>
        <color rgb="FFFFFFFF"/>
        <rFont val="Noto Sans CJK SC"/>
        <family val="2"/>
      </rPr>
      <t xml:space="preserve">介護給付費準備基金（</t>
    </r>
    <r>
      <rPr>
        <b val="true"/>
        <sz val="10"/>
        <color rgb="FFFFFFFF"/>
        <rFont val="游ゴシック"/>
        <family val="0"/>
        <charset val="1"/>
      </rPr>
      <t xml:space="preserve">Step6</t>
    </r>
    <r>
      <rPr>
        <b val="true"/>
        <sz val="10"/>
        <color rgb="FFFFFFFF"/>
        <rFont val="Noto Sans CJK SC"/>
        <family val="2"/>
      </rPr>
      <t xml:space="preserve">で使用）</t>
    </r>
  </si>
  <si>
    <t xml:space="preserve">項目</t>
  </si>
  <si>
    <r>
      <rPr>
        <b val="true"/>
        <sz val="10"/>
        <color rgb="FFFFFFFF"/>
        <rFont val="Noto Sans CJK SC"/>
        <family val="2"/>
      </rPr>
      <t xml:space="preserve">金額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千円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</si>
  <si>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備考・時点</t>
  </si>
  <si>
    <r>
      <rPr>
        <b val="true"/>
        <sz val="10"/>
        <rFont val="Noto Sans CJK SC"/>
        <family val="2"/>
      </rPr>
      <t xml:space="preserve">基金残高</t>
    </r>
    <r>
      <rPr>
        <b val="true"/>
        <sz val="10"/>
        <rFont val="游ゴシック"/>
        <family val="0"/>
        <charset val="1"/>
      </rPr>
      <t xml:space="preserve">(R8.6</t>
    </r>
    <r>
      <rPr>
        <b val="true"/>
        <sz val="10"/>
        <rFont val="Noto Sans CJK SC"/>
        <family val="2"/>
      </rPr>
      <t xml:space="preserve">時点</t>
    </r>
    <r>
      <rPr>
        <b val="true"/>
        <sz val="10"/>
        <rFont val="游ゴシック"/>
        <family val="0"/>
        <charset val="1"/>
      </rPr>
      <t xml:space="preserve">)</t>
    </r>
  </si>
  <si>
    <r>
      <rPr>
        <b val="true"/>
        <sz val="10"/>
        <color rgb="FF0000FF"/>
        <rFont val="游ゴシック"/>
        <family val="0"/>
        <charset val="1"/>
      </rPr>
      <t xml:space="preserve">[</t>
    </r>
    <r>
      <rPr>
        <b val="true"/>
        <sz val="10"/>
        <color rgb="FF0000FF"/>
        <rFont val="Noto Sans CJK SC"/>
        <family val="2"/>
      </rPr>
      <t xml:space="preserve">町担当課入力</t>
    </r>
    <r>
      <rPr>
        <b val="true"/>
        <sz val="10"/>
        <color rgb="FF0000FF"/>
        <rFont val="游ゴシック"/>
        <family val="0"/>
        <charset val="1"/>
      </rPr>
      <t xml:space="preserve">]</t>
    </r>
  </si>
  <si>
    <r>
      <rPr>
        <i val="true"/>
        <sz val="9"/>
        <color rgb="FF595959"/>
        <rFont val="游ゴシック"/>
        <family val="0"/>
        <charset val="1"/>
      </rPr>
      <t xml:space="preserve">R8.6</t>
    </r>
    <r>
      <rPr>
        <i val="true"/>
        <sz val="9"/>
        <color rgb="FF595959"/>
        <rFont val="Noto Sans CJK SC"/>
        <family val="2"/>
      </rPr>
      <t xml:space="preserve">確定時点の残高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町担当課に依頼中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</si>
  <si>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計画期間中の予定取崩額</t>
  </si>
  <si>
    <r>
      <rPr>
        <b val="true"/>
        <sz val="10"/>
        <color rgb="FF1F3864"/>
        <rFont val="游ゴシック"/>
        <family val="0"/>
        <charset val="1"/>
      </rPr>
      <t xml:space="preserve">[3</t>
    </r>
    <r>
      <rPr>
        <b val="true"/>
        <sz val="10"/>
        <color rgb="FF1F3864"/>
        <rFont val="Noto Sans CJK SC"/>
        <family val="2"/>
      </rPr>
      <t xml:space="preserve">パターン算定</t>
    </r>
    <r>
      <rPr>
        <b val="true"/>
        <sz val="10"/>
        <color rgb="FF1F3864"/>
        <rFont val="游ゴシック"/>
        <family val="0"/>
        <charset val="1"/>
      </rPr>
      <t xml:space="preserve">]</t>
    </r>
  </si>
  <si>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05_Step6</t>
    </r>
    <r>
      <rPr>
        <i val="true"/>
        <sz val="9"/>
        <color rgb="FF595959"/>
        <rFont val="Noto Sans CJK SC"/>
        <family val="2"/>
      </rPr>
      <t xml:space="preserve">で算定</t>
    </r>
  </si>
  <si>
    <r>
      <rPr>
        <b val="true"/>
        <sz val="10"/>
        <color rgb="FFFFFFFF"/>
        <rFont val="游ゴシック"/>
        <family val="0"/>
        <charset val="1"/>
      </rPr>
      <t xml:space="preserve">C. </t>
    </r>
    <r>
      <rPr>
        <b val="true"/>
        <sz val="10"/>
        <color rgb="FFFFFFFF"/>
        <rFont val="Noto Sans CJK SC"/>
        <family val="2"/>
      </rPr>
      <t xml:space="preserve">保険料収納率の過去</t>
    </r>
    <r>
      <rPr>
        <b val="true"/>
        <sz val="10"/>
        <color rgb="FFFFFFFF"/>
        <rFont val="游ゴシック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年実績（</t>
    </r>
    <r>
      <rPr>
        <b val="true"/>
        <sz val="10"/>
        <color rgb="FFFFFFFF"/>
        <rFont val="游ゴシック"/>
        <family val="0"/>
        <charset val="1"/>
      </rPr>
      <t xml:space="preserve">Step8</t>
    </r>
    <r>
      <rPr>
        <b val="true"/>
        <sz val="10"/>
        <color rgb="FFFFFFFF"/>
        <rFont val="Noto Sans CJK SC"/>
        <family val="2"/>
      </rPr>
      <t xml:space="preserve">で使用）</t>
    </r>
  </si>
  <si>
    <r>
      <rPr>
        <b val="true"/>
        <sz val="10"/>
        <color rgb="FFFFFFFF"/>
        <rFont val="Noto Sans CJK SC"/>
        <family val="2"/>
      </rPr>
      <t xml:space="preserve">総合収納率</t>
    </r>
    <r>
      <rPr>
        <b val="true"/>
        <sz val="10"/>
        <color rgb="FFFFFFFF"/>
        <rFont val="游ゴシック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</si>
  <si>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現年度分</t>
    </r>
    <r>
      <rPr>
        <b val="true"/>
        <sz val="10"/>
        <color rgb="FFFFFFFF"/>
        <rFont val="游ゴシック"/>
        <family val="0"/>
        <charset val="1"/>
      </rPr>
      <t xml:space="preserve">(%)</t>
    </r>
  </si>
  <si>
    <t xml:space="preserve">R3</t>
  </si>
  <si>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(MECE</t>
    </r>
    <r>
      <rPr>
        <i val="true"/>
        <sz val="9"/>
        <color rgb="FF595959"/>
        <rFont val="Noto Sans CJK SC"/>
        <family val="2"/>
      </rPr>
      <t xml:space="preserve">データ既知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</si>
  <si>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R4</t>
  </si>
  <si>
    <t xml:space="preserve">町担当課入力</t>
  </si>
  <si>
    <t xml:space="preserve">R5</t>
  </si>
  <si>
    <t xml:space="preserve">R6</t>
  </si>
  <si>
    <t xml:space="preserve">R7</t>
  </si>
  <si>
    <r>
      <rPr>
        <i val="true"/>
        <sz val="9"/>
        <color rgb="FF595959"/>
        <rFont val="Noto Sans CJK SC"/>
        <family val="2"/>
      </rPr>
      <t xml:space="preserve">町担当課入力</t>
    </r>
    <r>
      <rPr>
        <i val="true"/>
        <sz val="9"/>
        <color rgb="FF595959"/>
        <rFont val="游ゴシック"/>
        <family val="0"/>
        <charset val="1"/>
      </rPr>
      <t xml:space="preserve">(R7.3</t>
    </r>
    <r>
      <rPr>
        <i val="true"/>
        <sz val="9"/>
        <color rgb="FF595959"/>
        <rFont val="Noto Sans CJK SC"/>
        <family val="2"/>
      </rPr>
      <t xml:space="preserve">末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</si>
  <si>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0"/>
        <color rgb="FF1F3864"/>
        <rFont val="游ゴシック"/>
        <family val="0"/>
        <charset val="1"/>
      </rPr>
      <t xml:space="preserve">5</t>
    </r>
    <r>
      <rPr>
        <b val="true"/>
        <sz val="10"/>
        <color rgb="FF1F3864"/>
        <rFont val="Noto Sans CJK SC"/>
        <family val="2"/>
      </rPr>
      <t xml:space="preserve">年平均</t>
    </r>
  </si>
  <si>
    <r>
      <rPr>
        <i val="true"/>
        <sz val="9"/>
        <color rgb="FF595959"/>
        <rFont val="Noto Sans CJK SC"/>
        <family val="2"/>
      </rPr>
      <t xml:space="preserve">予定収納率</t>
    </r>
    <r>
      <rPr>
        <i val="true"/>
        <sz val="9"/>
        <color rgb="FF595959"/>
        <rFont val="游ゴシック"/>
        <family val="0"/>
        <charset val="1"/>
      </rPr>
      <t xml:space="preserve">(Step8</t>
    </r>
    <r>
      <rPr>
        <i val="true"/>
        <sz val="9"/>
        <color rgb="FF595959"/>
        <rFont val="Noto Sans CJK SC"/>
        <family val="2"/>
      </rPr>
      <t xml:space="preserve">で使用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</si>
  <si>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游ゴシック"/>
        <family val="0"/>
        <charset val="1"/>
      </rPr>
      <t xml:space="preserve">D. </t>
    </r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期の制度パラメータ（国基準値）</t>
    </r>
  </si>
  <si>
    <t xml:space="preserve">パラメータ</t>
  </si>
  <si>
    <t xml:space="preserve">値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</si>
  <si>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号被保険者負担割合</t>
    </r>
  </si>
  <si>
    <t xml:space="preserve">23%</t>
  </si>
  <si>
    <r>
      <rPr>
        <i val="true"/>
        <sz val="9"/>
        <color rgb="FF595959"/>
        <rFont val="游ゴシック"/>
        <family val="0"/>
        <charset val="1"/>
      </rPr>
      <t xml:space="preserve">Step4</t>
    </r>
    <r>
      <rPr>
        <i val="true"/>
        <sz val="9"/>
        <color rgb="FF595959"/>
        <rFont val="Noto Sans CJK SC"/>
        <family val="2"/>
      </rPr>
      <t xml:space="preserve">で使用。第</t>
    </r>
    <r>
      <rPr>
        <i val="true"/>
        <sz val="9"/>
        <color rgb="FF595959"/>
        <rFont val="游ゴシック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期も第</t>
    </r>
    <r>
      <rPr>
        <i val="true"/>
        <sz val="9"/>
        <color rgb="FF595959"/>
        <rFont val="游ゴシック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期と同じ</t>
    </r>
    <r>
      <rPr>
        <i val="true"/>
        <sz val="9"/>
        <color rgb="FF595959"/>
        <rFont val="游ゴシック"/>
        <family val="0"/>
        <charset val="1"/>
      </rPr>
      <t xml:space="preserve">23%(</t>
    </r>
    <r>
      <rPr>
        <i val="true"/>
        <sz val="9"/>
        <color rgb="FF595959"/>
        <rFont val="Noto Sans CJK SC"/>
        <family val="2"/>
      </rPr>
      <t xml:space="preserve">国基準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</si>
  <si>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号被保険者負担割合</t>
    </r>
  </si>
  <si>
    <t xml:space="preserve">27%</t>
  </si>
  <si>
    <r>
      <rPr>
        <i val="true"/>
        <sz val="9"/>
        <color rgb="FF595959"/>
        <rFont val="Noto Sans CJK SC"/>
        <family val="2"/>
      </rPr>
      <t xml:space="preserve">参考。</t>
    </r>
    <r>
      <rPr>
        <i val="true"/>
        <sz val="9"/>
        <color rgb="FF595959"/>
        <rFont val="游ゴシック"/>
        <family val="0"/>
        <charset val="1"/>
      </rPr>
      <t xml:space="preserve">Step4</t>
    </r>
    <r>
      <rPr>
        <i val="true"/>
        <sz val="9"/>
        <color rgb="FF595959"/>
        <rFont val="Noto Sans CJK SC"/>
        <family val="2"/>
      </rPr>
      <t xml:space="preserve">対象外</t>
    </r>
  </si>
  <si>
    <r>
      <rPr>
        <b val="true"/>
        <sz val="10"/>
        <rFont val="Noto Sans CJK SC"/>
        <family val="2"/>
      </rPr>
      <t xml:space="preserve">公費負担割合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国</t>
    </r>
    <r>
      <rPr>
        <b val="true"/>
        <sz val="10"/>
        <rFont val="游ゴシック"/>
        <family val="0"/>
        <charset val="1"/>
      </rPr>
      <t xml:space="preserve">)</t>
    </r>
  </si>
  <si>
    <t xml:space="preserve">25%</t>
  </si>
  <si>
    <r>
      <rPr>
        <i val="true"/>
        <sz val="9"/>
        <color rgb="FF595959"/>
        <rFont val="Noto Sans CJK SC"/>
        <family val="2"/>
      </rPr>
      <t xml:space="preserve">参考。調整交付金</t>
    </r>
    <r>
      <rPr>
        <i val="true"/>
        <sz val="9"/>
        <color rgb="FF595959"/>
        <rFont val="游ゴシック"/>
        <family val="0"/>
        <charset val="1"/>
      </rPr>
      <t xml:space="preserve">5%</t>
    </r>
    <r>
      <rPr>
        <i val="true"/>
        <sz val="9"/>
        <color rgb="FF595959"/>
        <rFont val="Noto Sans CJK SC"/>
        <family val="2"/>
      </rPr>
      <t xml:space="preserve">含む</t>
    </r>
  </si>
  <si>
    <r>
      <rPr>
        <b val="true"/>
        <sz val="10"/>
        <rFont val="Noto Sans CJK SC"/>
        <family val="2"/>
      </rPr>
      <t xml:space="preserve">公費負担割合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都道府県</t>
    </r>
    <r>
      <rPr>
        <b val="true"/>
        <sz val="10"/>
        <rFont val="游ゴシック"/>
        <family val="0"/>
        <charset val="1"/>
      </rPr>
      <t xml:space="preserve">)</t>
    </r>
  </si>
  <si>
    <t xml:space="preserve">12.5%</t>
  </si>
  <si>
    <t xml:space="preserve">参考</t>
  </si>
  <si>
    <r>
      <rPr>
        <b val="true"/>
        <sz val="10"/>
        <rFont val="Noto Sans CJK SC"/>
        <family val="2"/>
      </rPr>
      <t xml:space="preserve">公費負担割合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市町村</t>
    </r>
    <r>
      <rPr>
        <b val="true"/>
        <sz val="10"/>
        <rFont val="游ゴシック"/>
        <family val="0"/>
        <charset val="1"/>
      </rPr>
      <t xml:space="preserve">)</t>
    </r>
  </si>
  <si>
    <t xml:space="preserve">標準調整交付金率</t>
  </si>
  <si>
    <t xml:space="preserve">5%</t>
  </si>
  <si>
    <r>
      <rPr>
        <i val="true"/>
        <sz val="9"/>
        <color rgb="FF595959"/>
        <rFont val="游ゴシック"/>
        <family val="0"/>
        <charset val="1"/>
      </rPr>
      <t xml:space="preserve">Step5</t>
    </r>
    <r>
      <rPr>
        <i val="true"/>
        <sz val="9"/>
        <color rgb="FF595959"/>
        <rFont val="Noto Sans CJK SC"/>
        <family val="2"/>
      </rPr>
      <t xml:space="preserve">で使用。実際は補正あり</t>
    </r>
  </si>
  <si>
    <r>
      <rPr>
        <b val="true"/>
        <sz val="10"/>
        <rFont val="Noto Sans CJK SC"/>
        <family val="2"/>
      </rPr>
      <t xml:space="preserve">地域支援事業費率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対給付費</t>
    </r>
    <r>
      <rPr>
        <b val="true"/>
        <sz val="10"/>
        <rFont val="游ゴシック"/>
        <family val="0"/>
        <charset val="1"/>
      </rPr>
      <t xml:space="preserve">)</t>
    </r>
  </si>
  <si>
    <r>
      <rPr>
        <b val="true"/>
        <sz val="10"/>
        <color rgb="FF006100"/>
        <rFont val="游ゴシック"/>
        <family val="0"/>
        <charset val="1"/>
      </rPr>
      <t xml:space="preserve">3</t>
    </r>
    <r>
      <rPr>
        <b val="true"/>
        <sz val="10"/>
        <color rgb="FF006100"/>
        <rFont val="Noto Sans CJK SC"/>
        <family val="2"/>
      </rPr>
      <t xml:space="preserve">〜</t>
    </r>
    <r>
      <rPr>
        <b val="true"/>
        <sz val="10"/>
        <color rgb="FF006100"/>
        <rFont val="游ゴシック"/>
        <family val="0"/>
        <charset val="1"/>
      </rPr>
      <t xml:space="preserve">4%</t>
    </r>
  </si>
  <si>
    <r>
      <rPr>
        <i val="true"/>
        <sz val="9"/>
        <color rgb="FF595959"/>
        <rFont val="游ゴシック"/>
        <family val="0"/>
        <charset val="1"/>
      </rPr>
      <t xml:space="preserve">Step3</t>
    </r>
    <r>
      <rPr>
        <i val="true"/>
        <sz val="9"/>
        <color rgb="FF595959"/>
        <rFont val="Noto Sans CJK SC"/>
        <family val="2"/>
      </rPr>
      <t xml:space="preserve">で使用。上限額管理あり</t>
    </r>
  </si>
  <si>
    <r>
      <rPr>
        <b val="true"/>
        <sz val="13"/>
        <color rgb="FFFFFFFF"/>
        <rFont val="游ゴシック"/>
        <family val="0"/>
        <charset val="1"/>
      </rPr>
      <t xml:space="preserve">02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Step1-2 </t>
    </r>
    <r>
      <rPr>
        <b val="true"/>
        <sz val="13"/>
        <color rgb="FFFFFFFF"/>
        <rFont val="Noto Sans CJK SC"/>
        <family val="2"/>
      </rPr>
      <t xml:space="preserve">標準給付費の算定</t>
    </r>
  </si>
  <si>
    <r>
      <rPr>
        <i val="true"/>
        <sz val="10"/>
        <color rgb="FFFFFFFF"/>
        <rFont val="Noto Sans CJK SC"/>
        <family val="2"/>
      </rPr>
      <t xml:space="preserve">── サービス見込量</t>
    </r>
    <r>
      <rPr>
        <i val="true"/>
        <sz val="10"/>
        <color rgb="FFFFFFFF"/>
        <rFont val="游ゴシック"/>
        <family val="0"/>
        <charset val="1"/>
      </rPr>
      <t xml:space="preserve">×</t>
    </r>
    <r>
      <rPr>
        <i val="true"/>
        <sz val="10"/>
        <color rgb="FFFFFFFF"/>
        <rFont val="Noto Sans CJK SC"/>
        <family val="2"/>
      </rPr>
      <t xml:space="preserve">単価で年度別給付費を算定 ──</t>
    </r>
  </si>
  <si>
    <r>
      <rPr>
        <b val="true"/>
        <sz val="10"/>
        <color rgb="FFFFFFFF"/>
        <rFont val="游ゴシック"/>
        <family val="0"/>
        <charset val="1"/>
      </rPr>
      <t xml:space="preserve">Step1</t>
    </r>
    <r>
      <rPr>
        <b val="true"/>
        <sz val="10"/>
        <color rgb="FFFFFFFF"/>
        <rFont val="Noto Sans CJK SC"/>
        <family val="2"/>
      </rPr>
      <t xml:space="preserve">：サービス区分別の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年間給付費見込み（千円）</t>
    </r>
  </si>
  <si>
    <t xml:space="preserve">サービス区分</t>
  </si>
  <si>
    <r>
      <rPr>
        <b val="true"/>
        <sz val="10"/>
        <color rgb="FFFFFFFF"/>
        <rFont val="游ゴシック"/>
        <family val="0"/>
        <charset val="1"/>
      </rPr>
      <t xml:space="preserve">R3</t>
    </r>
    <r>
      <rPr>
        <b val="true"/>
        <sz val="10"/>
        <color rgb="FFFFFFFF"/>
        <rFont val="Noto Sans CJK SC"/>
        <family val="2"/>
      </rPr>
      <t xml:space="preserve">実績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参考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</si>
  <si>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游ゴシック"/>
        <family val="0"/>
        <charset val="1"/>
      </rPr>
      <t xml:space="preserve">R9</t>
    </r>
    <r>
      <rPr>
        <b val="true"/>
        <sz val="10"/>
        <color rgb="FFFFFFFF"/>
        <rFont val="Noto Sans CJK SC"/>
        <family val="2"/>
      </rPr>
      <t xml:space="preserve">見込み</t>
    </r>
  </si>
  <si>
    <r>
      <rPr>
        <b val="true"/>
        <sz val="10"/>
        <color rgb="FFFFFFFF"/>
        <rFont val="游ゴシック"/>
        <family val="0"/>
        <charset val="1"/>
      </rPr>
      <t xml:space="preserve">R10</t>
    </r>
    <r>
      <rPr>
        <b val="true"/>
        <sz val="10"/>
        <color rgb="FFFFFFFF"/>
        <rFont val="Noto Sans CJK SC"/>
        <family val="2"/>
      </rPr>
      <t xml:space="preserve">見込み</t>
    </r>
  </si>
  <si>
    <r>
      <rPr>
        <b val="true"/>
        <sz val="10"/>
        <color rgb="FFFFFFFF"/>
        <rFont val="游ゴシック"/>
        <family val="0"/>
        <charset val="1"/>
      </rPr>
      <t xml:space="preserve">R11</t>
    </r>
    <r>
      <rPr>
        <b val="true"/>
        <sz val="10"/>
        <color rgb="FFFFFFFF"/>
        <rFont val="Noto Sans CJK SC"/>
        <family val="2"/>
      </rPr>
      <t xml:space="preserve">見込み</t>
    </r>
  </si>
  <si>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年合計</t>
    </r>
  </si>
  <si>
    <t xml:space="preserve">居宅サービス</t>
  </si>
  <si>
    <r>
      <rPr>
        <i val="true"/>
        <sz val="9"/>
        <color rgb="FF595959"/>
        <rFont val="游ゴシック"/>
        <family val="0"/>
        <charset val="1"/>
      </rPr>
      <t xml:space="preserve">R3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9.6</t>
    </r>
    <r>
      <rPr>
        <i val="true"/>
        <sz val="9"/>
        <color rgb="FF595959"/>
        <rFont val="Noto Sans CJK SC"/>
        <family val="2"/>
      </rPr>
      <t xml:space="preserve">億</t>
    </r>
    <r>
      <rPr>
        <i val="true"/>
        <sz val="9"/>
        <color rgb="FF595959"/>
        <rFont val="游ゴシック"/>
        <family val="0"/>
        <charset val="1"/>
      </rPr>
      <t xml:space="preserve">×38.1%(</t>
    </r>
    <r>
      <rPr>
        <i val="true"/>
        <sz val="9"/>
        <color rgb="FF595959"/>
        <rFont val="Noto Sans CJK SC"/>
        <family val="2"/>
      </rPr>
      <t xml:space="preserve">参考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</si>
  <si>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地域密着型サービス</t>
  </si>
  <si>
    <r>
      <rPr>
        <i val="true"/>
        <sz val="9"/>
        <color rgb="FF595959"/>
        <rFont val="游ゴシック"/>
        <family val="0"/>
        <charset val="1"/>
      </rPr>
      <t xml:space="preserve">R3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9.6</t>
    </r>
    <r>
      <rPr>
        <i val="true"/>
        <sz val="9"/>
        <color rgb="FF595959"/>
        <rFont val="Noto Sans CJK SC"/>
        <family val="2"/>
      </rPr>
      <t xml:space="preserve">億</t>
    </r>
    <r>
      <rPr>
        <i val="true"/>
        <sz val="9"/>
        <color rgb="FF595959"/>
        <rFont val="游ゴシック"/>
        <family val="0"/>
        <charset val="1"/>
      </rPr>
      <t xml:space="preserve">×15.9%</t>
    </r>
  </si>
  <si>
    <t xml:space="preserve">施設サービス</t>
  </si>
  <si>
    <r>
      <rPr>
        <i val="true"/>
        <sz val="9"/>
        <color rgb="FF595959"/>
        <rFont val="游ゴシック"/>
        <family val="0"/>
        <charset val="1"/>
      </rPr>
      <t xml:space="preserve">R3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9.6</t>
    </r>
    <r>
      <rPr>
        <i val="true"/>
        <sz val="9"/>
        <color rgb="FF595959"/>
        <rFont val="Noto Sans CJK SC"/>
        <family val="2"/>
      </rPr>
      <t xml:space="preserve">億</t>
    </r>
    <r>
      <rPr>
        <i val="true"/>
        <sz val="9"/>
        <color rgb="FF595959"/>
        <rFont val="游ゴシック"/>
        <family val="0"/>
        <charset val="1"/>
      </rPr>
      <t xml:space="preserve">×46.0%(</t>
    </r>
    <r>
      <rPr>
        <i val="true"/>
        <sz val="9"/>
        <color rgb="FF595959"/>
        <rFont val="Noto Sans CJK SC"/>
        <family val="2"/>
      </rPr>
      <t xml:space="preserve">特養</t>
    </r>
    <r>
      <rPr>
        <i val="true"/>
        <sz val="9"/>
        <color rgb="FF595959"/>
        <rFont val="游ゴシック"/>
        <family val="0"/>
        <charset val="1"/>
      </rPr>
      <t xml:space="preserve">68</t>
    </r>
    <r>
      <rPr>
        <i val="true"/>
        <sz val="9"/>
        <color rgb="FF595959"/>
        <rFont val="Noto Sans CJK SC"/>
        <family val="2"/>
      </rPr>
      <t xml:space="preserve">・老健</t>
    </r>
    <r>
      <rPr>
        <i val="true"/>
        <sz val="9"/>
        <color rgb="FF595959"/>
        <rFont val="游ゴシック"/>
        <family val="0"/>
        <charset val="1"/>
      </rPr>
      <t xml:space="preserve">66)</t>
    </r>
  </si>
  <si>
    <t xml:space="preserve">住宅改修・福祉用具</t>
  </si>
  <si>
    <r>
      <rPr>
        <i val="true"/>
        <sz val="9"/>
        <color rgb="FF595959"/>
        <rFont val="游ゴシック"/>
        <family val="0"/>
        <charset val="1"/>
      </rPr>
      <t xml:space="preserve">R3</t>
    </r>
    <r>
      <rPr>
        <i val="true"/>
        <sz val="9"/>
        <color rgb="FF595959"/>
        <rFont val="Noto Sans CJK SC"/>
        <family val="2"/>
      </rPr>
      <t xml:space="preserve">実績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参考値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</si>
  <si>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1"/>
        <color rgb="FFFFFFFF"/>
        <rFont val="游ゴシック"/>
        <family val="0"/>
        <charset val="1"/>
      </rPr>
      <t xml:space="preserve">Step2: </t>
    </r>
    <r>
      <rPr>
        <b val="true"/>
        <sz val="11"/>
        <color rgb="FFFFFFFF"/>
        <rFont val="Noto Sans CJK SC"/>
        <family val="2"/>
      </rPr>
      <t xml:space="preserve">標準給付費合計</t>
    </r>
  </si>
  <si>
    <r>
      <rPr>
        <i val="true"/>
        <sz val="9"/>
        <color rgb="FF595959"/>
        <rFont val="游ゴシック"/>
        <family val="0"/>
        <charset val="1"/>
      </rPr>
      <t xml:space="preserve">Step3</t>
    </r>
    <r>
      <rPr>
        <i val="true"/>
        <sz val="9"/>
        <color rgb="FF595959"/>
        <rFont val="Noto Sans CJK SC"/>
        <family val="2"/>
      </rPr>
      <t xml:space="preserve">で使用</t>
    </r>
  </si>
  <si>
    <r>
      <rPr>
        <i val="true"/>
        <sz val="9"/>
        <color rgb="FF595959"/>
        <rFont val="游ゴシック"/>
        <family val="0"/>
        <charset val="1"/>
      </rPr>
      <t xml:space="preserve">※ R3</t>
    </r>
    <r>
      <rPr>
        <i val="true"/>
        <sz val="9"/>
        <color rgb="FF595959"/>
        <rFont val="Noto Sans CJK SC"/>
        <family val="2"/>
      </rPr>
      <t xml:space="preserve">実績は参考値です。</t>
    </r>
    <r>
      <rPr>
        <i val="true"/>
        <sz val="9"/>
        <color rgb="FF595959"/>
        <rFont val="游ゴシック"/>
        <family val="0"/>
        <charset val="1"/>
      </rPr>
      <t xml:space="preserve">R9-R11</t>
    </r>
    <r>
      <rPr>
        <i val="true"/>
        <sz val="9"/>
        <color rgb="FF595959"/>
        <rFont val="Noto Sans CJK SC"/>
        <family val="2"/>
      </rPr>
      <t xml:space="preserve">の見込み値は計画素案</t>
    </r>
    <r>
      <rPr>
        <i val="true"/>
        <sz val="9"/>
        <color rgb="FF595959"/>
        <rFont val="游ゴシック"/>
        <family val="0"/>
        <charset val="1"/>
      </rPr>
      <t xml:space="preserve">v1.5 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7</t>
    </r>
    <r>
      <rPr>
        <i val="true"/>
        <sz val="9"/>
        <color rgb="FF595959"/>
        <rFont val="Noto Sans CJK SC"/>
        <family val="2"/>
      </rPr>
      <t xml:space="preserve">章</t>
    </r>
    <r>
      <rPr>
        <i val="true"/>
        <sz val="9"/>
        <color rgb="FF595959"/>
        <rFont val="游ゴシック"/>
        <family val="0"/>
        <charset val="1"/>
      </rPr>
      <t xml:space="preserve">7-1</t>
    </r>
    <r>
      <rPr>
        <i val="true"/>
        <sz val="9"/>
        <color rgb="FF595959"/>
        <rFont val="Noto Sans CJK SC"/>
        <family val="2"/>
      </rPr>
      <t xml:space="preserve">のサービス見込量</t>
    </r>
    <r>
      <rPr>
        <i val="true"/>
        <sz val="9"/>
        <color rgb="FF595959"/>
        <rFont val="游ゴシック"/>
        <family val="0"/>
        <charset val="1"/>
      </rPr>
      <t xml:space="preserve">(6</t>
    </r>
    <r>
      <rPr>
        <i val="true"/>
        <sz val="9"/>
        <color rgb="FF595959"/>
        <rFont val="Noto Sans CJK SC"/>
        <family val="2"/>
      </rPr>
      <t xml:space="preserve">ステップ算定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に基づき入力します。</t>
    </r>
  </si>
  <si>
    <r>
      <rPr>
        <i val="true"/>
        <sz val="9"/>
        <color rgb="FF595959"/>
        <rFont val="Noto Sans CJK SC"/>
        <family val="2"/>
      </rPr>
      <t xml:space="preserve">※ 住宅改修・福祉用具は便宜上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区分にまとめています。詳細区分が必要な場合は別途展開します。</t>
    </r>
  </si>
  <si>
    <r>
      <rPr>
        <i val="true"/>
        <sz val="9"/>
        <color rgb="FF595959"/>
        <rFont val="Noto Sans CJK SC"/>
        <family val="2"/>
      </rPr>
      <t xml:space="preserve">※ 見込量は</t>
    </r>
    <r>
      <rPr>
        <i val="true"/>
        <sz val="9"/>
        <color rgb="FF595959"/>
        <rFont val="游ゴシック"/>
        <family val="0"/>
        <charset val="1"/>
      </rPr>
      <t xml:space="preserve">R8.7</t>
    </r>
    <r>
      <rPr>
        <i val="true"/>
        <sz val="9"/>
        <color rgb="FF595959"/>
        <rFont val="Noto Sans CJK SC"/>
        <family val="2"/>
      </rPr>
      <t xml:space="preserve">末アンケート結果による補正後の値を入力してください</t>
    </r>
    <r>
      <rPr>
        <i val="true"/>
        <sz val="9"/>
        <color rgb="FF595959"/>
        <rFont val="游ゴシック"/>
        <family val="0"/>
        <charset val="1"/>
      </rPr>
      <t xml:space="preserve">(Phase 2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游ゴシック"/>
        <family val="0"/>
        <charset val="1"/>
      </rPr>
      <t xml:space="preserve">W8-W9</t>
    </r>
    <r>
      <rPr>
        <i val="true"/>
        <sz val="9"/>
        <color rgb="FF595959"/>
        <rFont val="Noto Sans CJK SC"/>
        <family val="2"/>
      </rPr>
      <t xml:space="preserve">で実施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</si>
  <si>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b val="true"/>
        <sz val="13"/>
        <color rgb="FFFFFFFF"/>
        <rFont val="游ゴシック"/>
        <family val="0"/>
        <charset val="1"/>
      </rPr>
      <t xml:space="preserve">03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Step3-4 </t>
    </r>
    <r>
      <rPr>
        <b val="true"/>
        <sz val="13"/>
        <color rgb="FFFFFFFF"/>
        <rFont val="Noto Sans CJK SC"/>
        <family val="2"/>
      </rPr>
      <t xml:space="preserve">地域支援事業費と第</t>
    </r>
    <r>
      <rPr>
        <b val="true"/>
        <sz val="13"/>
        <color rgb="FFFFFFFF"/>
        <rFont val="游ゴシック"/>
        <family val="0"/>
        <charset val="1"/>
      </rPr>
      <t xml:space="preserve">1</t>
    </r>
    <r>
      <rPr>
        <b val="true"/>
        <sz val="13"/>
        <color rgb="FFFFFFFF"/>
        <rFont val="Noto Sans CJK SC"/>
        <family val="2"/>
      </rPr>
      <t xml:space="preserve">号負担分相当額</t>
    </r>
  </si>
  <si>
    <r>
      <rPr>
        <i val="true"/>
        <sz val="10"/>
        <color rgb="FFFFFFFF"/>
        <rFont val="Noto Sans CJK SC"/>
        <family val="2"/>
      </rPr>
      <t xml:space="preserve">── 地域支援事業費</t>
    </r>
    <r>
      <rPr>
        <i val="true"/>
        <sz val="10"/>
        <color rgb="FFFFFFFF"/>
        <rFont val="游ゴシック"/>
        <family val="0"/>
        <charset val="1"/>
      </rPr>
      <t xml:space="preserve">(Step3)</t>
    </r>
    <r>
      <rPr>
        <i val="true"/>
        <sz val="10"/>
        <color rgb="FFFFFFFF"/>
        <rFont val="Noto Sans CJK SC"/>
        <family val="2"/>
      </rPr>
      <t xml:space="preserve">と第</t>
    </r>
    <r>
      <rPr>
        <i val="true"/>
        <sz val="10"/>
        <color rgb="FFFFFFFF"/>
        <rFont val="游ゴシック"/>
        <family val="0"/>
        <charset val="1"/>
      </rPr>
      <t xml:space="preserve">1</t>
    </r>
    <r>
      <rPr>
        <i val="true"/>
        <sz val="10"/>
        <color rgb="FFFFFFFF"/>
        <rFont val="Noto Sans CJK SC"/>
        <family val="2"/>
      </rPr>
      <t xml:space="preserve">号負担分</t>
    </r>
    <r>
      <rPr>
        <i val="true"/>
        <sz val="10"/>
        <color rgb="FFFFFFFF"/>
        <rFont val="游ゴシック"/>
        <family val="0"/>
        <charset val="1"/>
      </rPr>
      <t xml:space="preserve">23%(Step4)</t>
    </r>
    <r>
      <rPr>
        <i val="true"/>
        <sz val="10"/>
        <color rgb="FFFFFFFF"/>
        <rFont val="Noto Sans CJK SC"/>
        <family val="2"/>
      </rPr>
      <t xml:space="preserve">を算定 ──</t>
    </r>
  </si>
  <si>
    <r>
      <rPr>
        <b val="true"/>
        <sz val="10"/>
        <color rgb="FFFFFFFF"/>
        <rFont val="游ゴシック"/>
        <family val="0"/>
        <charset val="1"/>
      </rPr>
      <t xml:space="preserve">Step3</t>
    </r>
    <r>
      <rPr>
        <b val="true"/>
        <sz val="10"/>
        <color rgb="FFFFFFFF"/>
        <rFont val="Noto Sans CJK SC"/>
        <family val="2"/>
      </rPr>
      <t xml:space="preserve">：地域支援事業費（千円）</t>
    </r>
  </si>
  <si>
    <t xml:space="preserve">区分</t>
  </si>
  <si>
    <r>
      <rPr>
        <b val="true"/>
        <sz val="10"/>
        <color rgb="FFFFFFFF"/>
        <rFont val="游ゴシック"/>
        <family val="0"/>
        <charset val="1"/>
      </rPr>
      <t xml:space="preserve">R3</t>
    </r>
    <r>
      <rPr>
        <b val="true"/>
        <sz val="10"/>
        <color rgb="FFFFFFFF"/>
        <rFont val="Noto Sans CJK SC"/>
        <family val="2"/>
      </rPr>
      <t xml:space="preserve">実績</t>
    </r>
  </si>
  <si>
    <r>
      <rPr>
        <b val="true"/>
        <sz val="10"/>
        <rFont val="Noto Sans CJK SC"/>
        <family val="2"/>
      </rPr>
      <t xml:space="preserve">総合事業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介護予防・生活支援</t>
    </r>
    <r>
      <rPr>
        <b val="true"/>
        <sz val="10"/>
        <rFont val="游ゴシック"/>
        <family val="0"/>
        <charset val="1"/>
      </rPr>
      <t xml:space="preserve">)</t>
    </r>
  </si>
  <si>
    <t xml:space="preserve">一般介護予防事業</t>
  </si>
  <si>
    <t xml:space="preserve">包括的支援事業・任意事業</t>
  </si>
  <si>
    <r>
      <rPr>
        <b val="true"/>
        <sz val="11"/>
        <color rgb="FFFFFFFF"/>
        <rFont val="游ゴシック"/>
        <family val="0"/>
        <charset val="1"/>
      </rPr>
      <t xml:space="preserve">Step3 </t>
    </r>
    <r>
      <rPr>
        <b val="true"/>
        <sz val="11"/>
        <color rgb="FFFFFFFF"/>
        <rFont val="Noto Sans CJK SC"/>
        <family val="2"/>
      </rPr>
      <t xml:space="preserve">合計</t>
    </r>
  </si>
  <si>
    <r>
      <rPr>
        <b val="true"/>
        <sz val="10"/>
        <color rgb="FFFFFFFF"/>
        <rFont val="游ゴシック"/>
        <family val="0"/>
        <charset val="1"/>
      </rPr>
      <t xml:space="preserve">Step4</t>
    </r>
    <r>
      <rPr>
        <b val="true"/>
        <sz val="10"/>
        <color rgb="FFFFFFFF"/>
        <rFont val="Noto Sans CJK SC"/>
        <family val="2"/>
      </rPr>
      <t xml:space="preserve">：第</t>
    </r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号被保険者負担分相当額（千円・国基準</t>
    </r>
    <r>
      <rPr>
        <b val="true"/>
        <sz val="10"/>
        <color rgb="FFFFFFFF"/>
        <rFont val="游ゴシック"/>
        <family val="0"/>
        <charset val="1"/>
      </rPr>
      <t xml:space="preserve">23%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</si>
  <si>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i val="true"/>
        <sz val="9"/>
        <color rgb="FF595959"/>
        <rFont val="Noto Sans CJK SC"/>
        <family val="2"/>
      </rPr>
      <t xml:space="preserve">計算式：</t>
    </r>
    <r>
      <rPr>
        <i val="true"/>
        <sz val="9"/>
        <color rgb="FF595959"/>
        <rFont val="游ゴシック"/>
        <family val="0"/>
        <charset val="1"/>
      </rPr>
      <t xml:space="preserve">(Step2:</t>
    </r>
    <r>
      <rPr>
        <i val="true"/>
        <sz val="9"/>
        <color rgb="FF595959"/>
        <rFont val="Noto Sans CJK SC"/>
        <family val="2"/>
      </rPr>
      <t xml:space="preserve">標準給付費合計 </t>
    </r>
    <r>
      <rPr>
        <i val="true"/>
        <sz val="9"/>
        <color rgb="FF595959"/>
        <rFont val="游ゴシック"/>
        <family val="0"/>
        <charset val="1"/>
      </rPr>
      <t xml:space="preserve">+ Step3:</t>
    </r>
    <r>
      <rPr>
        <i val="true"/>
        <sz val="9"/>
        <color rgb="FF595959"/>
        <rFont val="Noto Sans CJK SC"/>
        <family val="2"/>
      </rPr>
      <t xml:space="preserve">地域支援事業費合計</t>
    </r>
    <r>
      <rPr>
        <i val="true"/>
        <sz val="9"/>
        <color rgb="FF595959"/>
        <rFont val="游ゴシック"/>
        <family val="0"/>
        <charset val="1"/>
      </rPr>
      <t xml:space="preserve">) × 23%</t>
    </r>
  </si>
  <si>
    <r>
      <rPr>
        <b val="true"/>
        <sz val="10"/>
        <color rgb="FFFFFFFF"/>
        <rFont val="Noto Sans CJK SC"/>
        <family val="2"/>
      </rPr>
      <t xml:space="preserve">金額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千円・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年合計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</si>
  <si>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rFont val="游ゴシック"/>
        <family val="0"/>
        <charset val="1"/>
      </rPr>
      <t xml:space="preserve">Step2 </t>
    </r>
    <r>
      <rPr>
        <b val="true"/>
        <sz val="10"/>
        <rFont val="Noto Sans CJK SC"/>
        <family val="2"/>
      </rPr>
      <t xml:space="preserve">標準給付費合計</t>
    </r>
  </si>
  <si>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02</t>
    </r>
    <r>
      <rPr>
        <i val="true"/>
        <sz val="9"/>
        <color rgb="FF595959"/>
        <rFont val="Noto Sans CJK SC"/>
        <family val="2"/>
      </rPr>
      <t xml:space="preserve">から自動参照</t>
    </r>
  </si>
  <si>
    <r>
      <rPr>
        <b val="true"/>
        <sz val="10"/>
        <rFont val="游ゴシック"/>
        <family val="0"/>
        <charset val="1"/>
      </rPr>
      <t xml:space="preserve">Step3 </t>
    </r>
    <r>
      <rPr>
        <b val="true"/>
        <sz val="10"/>
        <rFont val="Noto Sans CJK SC"/>
        <family val="2"/>
      </rPr>
      <t xml:space="preserve">地域支援事業費合計</t>
    </r>
  </si>
  <si>
    <t xml:space="preserve">本シート上部から自動参照</t>
  </si>
  <si>
    <t xml:space="preserve">保険給付費等合計</t>
  </si>
  <si>
    <t xml:space="preserve">Step2 + Step3</t>
  </si>
  <si>
    <r>
      <rPr>
        <b val="true"/>
        <sz val="11"/>
        <color rgb="FFFFFFFF"/>
        <rFont val="游ゴシック"/>
        <family val="0"/>
        <charset val="1"/>
      </rPr>
      <t xml:space="preserve">Step4 </t>
    </r>
    <r>
      <rPr>
        <b val="true"/>
        <sz val="11"/>
        <color rgb="FFFFFFFF"/>
        <rFont val="Noto Sans CJK SC"/>
        <family val="2"/>
      </rPr>
      <t xml:space="preserve">第</t>
    </r>
    <r>
      <rPr>
        <b val="true"/>
        <sz val="11"/>
        <color rgb="FFFFFFFF"/>
        <rFont val="游ゴシック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号負担分相当額</t>
    </r>
  </si>
  <si>
    <r>
      <rPr>
        <i val="true"/>
        <sz val="9"/>
        <color rgb="FF595959"/>
        <rFont val="游ゴシック"/>
        <family val="0"/>
        <charset val="1"/>
      </rPr>
      <t xml:space="preserve">× 23%(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号負担割合</t>
    </r>
    <r>
      <rPr>
        <i val="true"/>
        <sz val="9"/>
        <color rgb="FF595959"/>
        <rFont val="游ゴシック"/>
        <family val="0"/>
        <charset val="1"/>
      </rPr>
      <t xml:space="preserve">)= Step5</t>
    </r>
    <r>
      <rPr>
        <i val="true"/>
        <sz val="9"/>
        <color rgb="FF595959"/>
        <rFont val="Noto Sans CJK SC"/>
        <family val="2"/>
      </rPr>
      <t xml:space="preserve">で使用</t>
    </r>
  </si>
  <si>
    <r>
      <rPr>
        <b val="true"/>
        <sz val="13"/>
        <color rgb="FFFFFFFF"/>
        <rFont val="游ゴシック"/>
        <family val="0"/>
        <charset val="1"/>
      </rPr>
      <t xml:space="preserve">04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Step5 </t>
    </r>
    <r>
      <rPr>
        <b val="true"/>
        <sz val="13"/>
        <color rgb="FFFFFFFF"/>
        <rFont val="Noto Sans CJK SC"/>
        <family val="2"/>
      </rPr>
      <t xml:space="preserve">調整交付金</t>
    </r>
  </si>
  <si>
    <r>
      <rPr>
        <i val="true"/>
        <sz val="10"/>
        <color rgb="FFFFFFFF"/>
        <rFont val="Noto Sans CJK SC"/>
        <family val="2"/>
      </rPr>
      <t xml:space="preserve">── 国の調整交付金</t>
    </r>
    <r>
      <rPr>
        <i val="true"/>
        <sz val="10"/>
        <color rgb="FFFFFFFF"/>
        <rFont val="游ゴシック"/>
        <family val="0"/>
        <charset val="1"/>
      </rPr>
      <t xml:space="preserve">(</t>
    </r>
    <r>
      <rPr>
        <i val="true"/>
        <sz val="10"/>
        <color rgb="FFFFFFFF"/>
        <rFont val="Noto Sans CJK SC"/>
        <family val="2"/>
      </rPr>
      <t xml:space="preserve">基準</t>
    </r>
    <r>
      <rPr>
        <i val="true"/>
        <sz val="10"/>
        <color rgb="FFFFFFFF"/>
        <rFont val="游ゴシック"/>
        <family val="0"/>
        <charset val="1"/>
      </rPr>
      <t xml:space="preserve">5%+</t>
    </r>
    <r>
      <rPr>
        <i val="true"/>
        <sz val="10"/>
        <color rgb="FFFFFFFF"/>
        <rFont val="Noto Sans CJK SC"/>
        <family val="2"/>
      </rPr>
      <t xml:space="preserve">変動</t>
    </r>
    <r>
      <rPr>
        <i val="true"/>
        <sz val="10"/>
        <color rgb="FFFFFFFF"/>
        <rFont val="游ゴシック"/>
        <family val="0"/>
        <charset val="1"/>
      </rPr>
      <t xml:space="preserve">)</t>
    </r>
    <r>
      <rPr>
        <i val="true"/>
        <sz val="10"/>
        <color rgb="FFFFFFFF"/>
        <rFont val="Noto Sans CJK SC"/>
        <family val="2"/>
      </rPr>
      <t xml:space="preserve">を算定 ──</t>
    </r>
  </si>
  <si>
    <r>
      <rPr>
        <b val="true"/>
        <sz val="10"/>
        <color rgb="FFFFFFFF"/>
        <rFont val="游ゴシック"/>
        <family val="0"/>
        <charset val="1"/>
      </rPr>
      <t xml:space="preserve">Step5</t>
    </r>
    <r>
      <rPr>
        <b val="true"/>
        <sz val="10"/>
        <color rgb="FFFFFFFF"/>
        <rFont val="Noto Sans CJK SC"/>
        <family val="2"/>
      </rPr>
      <t xml:space="preserve">：調整交付金額の算定（千円）</t>
    </r>
  </si>
  <si>
    <r>
      <rPr>
        <i val="true"/>
        <sz val="9"/>
        <color rgb="FF595959"/>
        <rFont val="Noto Sans CJK SC"/>
        <family val="2"/>
      </rPr>
      <t xml:space="preserve">解説：調整交付金は標準調整交付金率</t>
    </r>
    <r>
      <rPr>
        <i val="true"/>
        <sz val="9"/>
        <color rgb="FF595959"/>
        <rFont val="游ゴシック"/>
        <family val="0"/>
        <charset val="1"/>
      </rPr>
      <t xml:space="preserve">5%</t>
    </r>
    <r>
      <rPr>
        <i val="true"/>
        <sz val="9"/>
        <color rgb="FF595959"/>
        <rFont val="Noto Sans CJK SC"/>
        <family val="2"/>
      </rPr>
      <t xml:space="preserve">を基本に、後期高齢者割合・所得段階分布等で町別に補正されます。実際の交付金率は</t>
    </r>
    <r>
      <rPr>
        <i val="true"/>
        <sz val="9"/>
        <color rgb="FF595959"/>
        <rFont val="游ゴシック"/>
        <family val="0"/>
        <charset val="1"/>
      </rPr>
      <t xml:space="preserve">5%±α</t>
    </r>
    <r>
      <rPr>
        <i val="true"/>
        <sz val="9"/>
        <color rgb="FF595959"/>
        <rFont val="Noto Sans CJK SC"/>
        <family val="2"/>
      </rPr>
      <t xml:space="preserve">で、町の状況により</t>
    </r>
    <r>
      <rPr>
        <i val="true"/>
        <sz val="9"/>
        <color rgb="FF595959"/>
        <rFont val="游ゴシック"/>
        <family val="0"/>
        <charset val="1"/>
      </rPr>
      <t xml:space="preserve">4-6%</t>
    </r>
    <r>
      <rPr>
        <i val="true"/>
        <sz val="9"/>
        <color rgb="FF595959"/>
        <rFont val="Noto Sans CJK SC"/>
        <family val="2"/>
      </rPr>
      <t xml:space="preserve">程度になります。</t>
    </r>
  </si>
  <si>
    <t xml:space="preserve">5.0%</t>
  </si>
  <si>
    <t xml:space="preserve">国基準値</t>
  </si>
  <si>
    <r>
      <rPr>
        <b val="true"/>
        <sz val="10"/>
        <rFont val="Noto Sans CJK SC"/>
        <family val="2"/>
      </rPr>
      <t xml:space="preserve">川崎町の交付金率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暫定</t>
    </r>
    <r>
      <rPr>
        <b val="true"/>
        <sz val="10"/>
        <rFont val="游ゴシック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</si>
  <si>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町担当課で国通知に基づき調整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暫定値</t>
    </r>
    <r>
      <rPr>
        <i val="true"/>
        <sz val="9"/>
        <color rgb="FF595959"/>
        <rFont val="游ゴシック"/>
        <family val="0"/>
        <charset val="1"/>
      </rPr>
      <t xml:space="preserve">5.0%)</t>
    </r>
  </si>
  <si>
    <r>
      <rPr>
        <b val="true"/>
        <sz val="10"/>
        <rFont val="Noto Sans CJK SC"/>
        <family val="2"/>
      </rPr>
      <t xml:space="preserve">標準給付費合計</t>
    </r>
    <r>
      <rPr>
        <b val="true"/>
        <sz val="10"/>
        <rFont val="游ゴシック"/>
        <family val="0"/>
        <charset val="1"/>
      </rPr>
      <t xml:space="preserve">(Step2)</t>
    </r>
  </si>
  <si>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02</t>
    </r>
    <r>
      <rPr>
        <i val="true"/>
        <sz val="9"/>
        <color rgb="FF595959"/>
        <rFont val="Noto Sans CJK SC"/>
        <family val="2"/>
      </rPr>
      <t xml:space="preserve">から参照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千円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</si>
  <si>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1"/>
        <color rgb="FFFFFFFF"/>
        <rFont val="游ゴシック"/>
        <family val="0"/>
        <charset val="1"/>
      </rPr>
      <t xml:space="preserve">Step5 </t>
    </r>
    <r>
      <rPr>
        <b val="true"/>
        <sz val="11"/>
        <color rgb="FFFFFFFF"/>
        <rFont val="Noto Sans CJK SC"/>
        <family val="2"/>
      </rPr>
      <t xml:space="preserve">調整交付金額</t>
    </r>
  </si>
  <si>
    <r>
      <rPr>
        <i val="true"/>
        <sz val="9"/>
        <color rgb="FF595959"/>
        <rFont val="Noto Sans CJK SC"/>
        <family val="2"/>
      </rPr>
      <t xml:space="preserve">標準給付費</t>
    </r>
    <r>
      <rPr>
        <i val="true"/>
        <sz val="9"/>
        <color rgb="FF595959"/>
        <rFont val="游ゴシック"/>
        <family val="0"/>
        <charset val="1"/>
      </rPr>
      <t xml:space="preserve">×</t>
    </r>
    <r>
      <rPr>
        <i val="true"/>
        <sz val="9"/>
        <color rgb="FF595959"/>
        <rFont val="Noto Sans CJK SC"/>
        <family val="2"/>
      </rPr>
      <t xml:space="preserve">交付金率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千円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</t>
    </r>
    <r>
      <rPr>
        <i val="true"/>
        <sz val="9"/>
        <color rgb="FF595959"/>
        <rFont val="游ゴシック"/>
        <family val="0"/>
        <charset val="1"/>
      </rPr>
      <t xml:space="preserve">Step7</t>
    </r>
    <r>
      <rPr>
        <i val="true"/>
        <sz val="9"/>
        <color rgb="FF595959"/>
        <rFont val="Noto Sans CJK SC"/>
        <family val="2"/>
      </rPr>
      <t xml:space="preserve">で減算</t>
    </r>
  </si>
  <si>
    <r>
      <rPr>
        <b val="true"/>
        <sz val="10"/>
        <color rgb="FFFFFFFF"/>
        <rFont val="Noto Sans CJK SC"/>
        <family val="2"/>
      </rPr>
      <t xml:space="preserve">■ 標準</t>
    </r>
    <r>
      <rPr>
        <b val="true"/>
        <sz val="10"/>
        <color rgb="FFFFFFFF"/>
        <rFont val="游ゴシック"/>
        <family val="0"/>
        <charset val="1"/>
      </rPr>
      <t xml:space="preserve">5%</t>
    </r>
    <r>
      <rPr>
        <b val="true"/>
        <sz val="10"/>
        <color rgb="FFFFFFFF"/>
        <rFont val="Noto Sans CJK SC"/>
        <family val="2"/>
      </rPr>
      <t xml:space="preserve">との差額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調整交付金不足額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</si>
  <si>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標準</t>
    </r>
    <r>
      <rPr>
        <b val="true"/>
        <sz val="10"/>
        <rFont val="游ゴシック"/>
        <family val="0"/>
        <charset val="1"/>
      </rPr>
      <t xml:space="preserve">5%</t>
    </r>
    <r>
      <rPr>
        <b val="true"/>
        <sz val="10"/>
        <rFont val="Noto Sans CJK SC"/>
        <family val="2"/>
      </rPr>
      <t xml:space="preserve">額</t>
    </r>
  </si>
  <si>
    <r>
      <rPr>
        <i val="true"/>
        <sz val="9"/>
        <color rgb="FF595959"/>
        <rFont val="Noto Sans CJK SC"/>
        <family val="2"/>
      </rPr>
      <t xml:space="preserve">標準給付費</t>
    </r>
    <r>
      <rPr>
        <i val="true"/>
        <sz val="9"/>
        <color rgb="FF595959"/>
        <rFont val="游ゴシック"/>
        <family val="0"/>
        <charset val="1"/>
      </rPr>
      <t xml:space="preserve">×5%(</t>
    </r>
    <r>
      <rPr>
        <i val="true"/>
        <sz val="9"/>
        <color rgb="FF595959"/>
        <rFont val="Noto Sans CJK SC"/>
        <family val="2"/>
      </rPr>
      <t xml:space="preserve">国標準額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</si>
  <si>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0"/>
        <color rgb="FF1F3864"/>
        <rFont val="Noto Sans CJK SC"/>
        <family val="2"/>
      </rPr>
      <t xml:space="preserve">差額</t>
    </r>
    <r>
      <rPr>
        <b val="true"/>
        <sz val="10"/>
        <color rgb="FF1F3864"/>
        <rFont val="游ゴシック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町実額</t>
    </r>
    <r>
      <rPr>
        <b val="true"/>
        <sz val="10"/>
        <color rgb="FF1F3864"/>
        <rFont val="游ゴシック"/>
        <family val="0"/>
        <charset val="1"/>
      </rPr>
      <t xml:space="preserve">-</t>
    </r>
    <r>
      <rPr>
        <b val="true"/>
        <sz val="10"/>
        <color rgb="FF1F3864"/>
        <rFont val="Noto Sans CJK SC"/>
        <family val="2"/>
      </rPr>
      <t xml:space="preserve">標準</t>
    </r>
    <r>
      <rPr>
        <b val="true"/>
        <sz val="10"/>
        <color rgb="FF1F3864"/>
        <rFont val="游ゴシック"/>
        <family val="0"/>
        <charset val="1"/>
      </rPr>
      <t xml:space="preserve">5%</t>
    </r>
    <r>
      <rPr>
        <b val="true"/>
        <sz val="10"/>
        <color rgb="FF1F3864"/>
        <rFont val="Noto Sans CJK SC"/>
        <family val="2"/>
      </rPr>
      <t xml:space="preserve">額</t>
    </r>
    <r>
      <rPr>
        <b val="true"/>
        <sz val="10"/>
        <color rgb="FF1F3864"/>
        <rFont val="游ゴシック"/>
        <family val="0"/>
        <charset val="1"/>
      </rPr>
      <t xml:space="preserve">)</t>
    </r>
  </si>
  <si>
    <t xml:space="preserve">差額がプラス→保険料軽減効果あり、マイナス→保険料追加負担</t>
  </si>
  <si>
    <r>
      <rPr>
        <b val="true"/>
        <sz val="13"/>
        <color rgb="FFFFFFFF"/>
        <rFont val="游ゴシック"/>
        <family val="0"/>
        <charset val="1"/>
      </rPr>
      <t xml:space="preserve">05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Step6 </t>
    </r>
    <r>
      <rPr>
        <b val="true"/>
        <sz val="13"/>
        <color rgb="FFFFFFFF"/>
        <rFont val="Noto Sans CJK SC"/>
        <family val="2"/>
      </rPr>
      <t xml:space="preserve">介護給付費準備基金取崩額の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パターン設定</t>
    </r>
  </si>
  <si>
    <r>
      <rPr>
        <i val="true"/>
        <sz val="10"/>
        <color rgb="FFFFFFFF"/>
        <rFont val="游ゴシック"/>
        <family val="0"/>
        <charset val="1"/>
      </rPr>
      <t xml:space="preserve">── A:</t>
    </r>
    <r>
      <rPr>
        <i val="true"/>
        <sz val="10"/>
        <color rgb="FFFFFFFF"/>
        <rFont val="Noto Sans CJK SC"/>
        <family val="2"/>
      </rPr>
      <t xml:space="preserve">取崩なし </t>
    </r>
    <r>
      <rPr>
        <i val="true"/>
        <sz val="10"/>
        <color rgb="FFFFFFFF"/>
        <rFont val="游ゴシック"/>
        <family val="0"/>
        <charset val="1"/>
      </rPr>
      <t xml:space="preserve">/ B:50%</t>
    </r>
    <r>
      <rPr>
        <i val="true"/>
        <sz val="10"/>
        <color rgb="FFFFFFFF"/>
        <rFont val="Noto Sans CJK SC"/>
        <family val="2"/>
      </rPr>
      <t xml:space="preserve">取崩 </t>
    </r>
    <r>
      <rPr>
        <i val="true"/>
        <sz val="10"/>
        <color rgb="FFFFFFFF"/>
        <rFont val="游ゴシック"/>
        <family val="0"/>
        <charset val="1"/>
      </rPr>
      <t xml:space="preserve">/ C:</t>
    </r>
    <r>
      <rPr>
        <i val="true"/>
        <sz val="10"/>
        <color rgb="FFFFFFFF"/>
        <rFont val="Noto Sans CJK SC"/>
        <family val="2"/>
      </rPr>
      <t xml:space="preserve">全額取崩 ──</t>
    </r>
  </si>
  <si>
    <r>
      <rPr>
        <b val="true"/>
        <sz val="10"/>
        <color rgb="FFFFFFFF"/>
        <rFont val="Noto Sans CJK SC"/>
        <family val="2"/>
      </rPr>
      <t xml:space="preserve">■ 基金残高（シート</t>
    </r>
    <r>
      <rPr>
        <b val="true"/>
        <sz val="10"/>
        <color rgb="FFFFFFFF"/>
        <rFont val="游ゴシック"/>
        <family val="0"/>
        <charset val="1"/>
      </rPr>
      <t xml:space="preserve">01</t>
    </r>
    <r>
      <rPr>
        <b val="true"/>
        <sz val="10"/>
        <color rgb="FFFFFFFF"/>
        <rFont val="Noto Sans CJK SC"/>
        <family val="2"/>
      </rPr>
      <t xml:space="preserve">から自動参照）</t>
    </r>
  </si>
  <si>
    <r>
      <rPr>
        <b val="true"/>
        <sz val="10"/>
        <rFont val="Noto Sans CJK SC"/>
        <family val="2"/>
      </rPr>
      <t xml:space="preserve">基金残高</t>
    </r>
    <r>
      <rPr>
        <b val="true"/>
        <sz val="10"/>
        <rFont val="游ゴシック"/>
        <family val="0"/>
        <charset val="1"/>
      </rPr>
      <t xml:space="preserve">(R8.6</t>
    </r>
    <r>
      <rPr>
        <b val="true"/>
        <sz val="10"/>
        <rFont val="Noto Sans CJK SC"/>
        <family val="2"/>
      </rPr>
      <t xml:space="preserve">時点・千円</t>
    </r>
    <r>
      <rPr>
        <b val="true"/>
        <sz val="10"/>
        <rFont val="游ゴシック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</si>
  <si>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01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游ゴシック"/>
        <family val="0"/>
        <charset val="1"/>
      </rPr>
      <t xml:space="preserve">B15</t>
    </r>
    <r>
      <rPr>
        <i val="true"/>
        <sz val="9"/>
        <color rgb="FF595959"/>
        <rFont val="Noto Sans CJK SC"/>
        <family val="2"/>
      </rPr>
      <t xml:space="preserve">から自動参照</t>
    </r>
  </si>
  <si>
    <r>
      <rPr>
        <b val="true"/>
        <sz val="10"/>
        <color rgb="FFFFFFFF"/>
        <rFont val="游ゴシック"/>
        <family val="0"/>
        <charset val="1"/>
      </rPr>
      <t xml:space="preserve">■ 3</t>
    </r>
    <r>
      <rPr>
        <b val="true"/>
        <sz val="10"/>
        <color rgb="FFFFFFFF"/>
        <rFont val="Noto Sans CJK SC"/>
        <family val="2"/>
      </rPr>
      <t xml:space="preserve">パターン基金取崩額設定</t>
    </r>
  </si>
  <si>
    <t xml:space="preserve">パターン</t>
  </si>
  <si>
    <t xml:space="preserve">取崩割合</t>
  </si>
  <si>
    <r>
      <rPr>
        <b val="true"/>
        <sz val="10"/>
        <color rgb="FFFFFFFF"/>
        <rFont val="Noto Sans CJK SC"/>
        <family val="2"/>
      </rPr>
      <t xml:space="preserve">取崩額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千円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</si>
  <si>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残高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千円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</si>
  <si>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効果・想定</t>
  </si>
  <si>
    <r>
      <rPr>
        <b val="true"/>
        <sz val="11"/>
        <color rgb="FF1F3864"/>
        <rFont val="游ゴシック"/>
        <family val="0"/>
        <charset val="1"/>
      </rPr>
      <t xml:space="preserve">A </t>
    </r>
    <r>
      <rPr>
        <b val="true"/>
        <sz val="11"/>
        <color rgb="FF1F3864"/>
        <rFont val="Noto Sans CJK SC"/>
        <family val="2"/>
      </rPr>
      <t xml:space="preserve">取崩なし</t>
    </r>
  </si>
  <si>
    <r>
      <rPr>
        <sz val="10"/>
        <rFont val="Noto Sans CJK SC"/>
        <family val="2"/>
      </rPr>
      <t xml:space="preserve">基金温存・第</t>
    </r>
    <r>
      <rPr>
        <sz val="10"/>
        <rFont val="游ゴシック"/>
        <family val="0"/>
        <charset val="1"/>
      </rPr>
      <t xml:space="preserve">11</t>
    </r>
    <r>
      <rPr>
        <sz val="10"/>
        <rFont val="Noto Sans CJK SC"/>
        <family val="2"/>
      </rPr>
      <t xml:space="preserve">期負担緩和・給付費増を保険料に直接反映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最高水準</t>
    </r>
    <r>
      <rPr>
        <sz val="10"/>
        <rFont val="游ゴシック"/>
        <family val="0"/>
        <charset val="1"/>
      </rPr>
      <t xml:space="preserve">)</t>
    </r>
  </si>
  <si>
    <r>
      <rPr>
        <b val="true"/>
        <sz val="11"/>
        <color rgb="FFED7D31"/>
        <rFont val="游ゴシック"/>
        <family val="0"/>
        <charset val="1"/>
      </rPr>
      <t xml:space="preserve">B 50%</t>
    </r>
    <r>
      <rPr>
        <b val="true"/>
        <sz val="11"/>
        <color rgb="FFED7D31"/>
        <rFont val="Noto Sans CJK SC"/>
        <family val="2"/>
      </rPr>
      <t xml:space="preserve">取崩</t>
    </r>
  </si>
  <si>
    <r>
      <rPr>
        <sz val="10"/>
        <rFont val="Noto Sans CJK SC"/>
        <family val="2"/>
      </rPr>
      <t xml:space="preserve">給付費増を一部相殺・次期負担との均衡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中位水準</t>
    </r>
    <r>
      <rPr>
        <sz val="10"/>
        <rFont val="游ゴシック"/>
        <family val="0"/>
        <charset val="1"/>
      </rPr>
      <t xml:space="preserve">)</t>
    </r>
  </si>
  <si>
    <r>
      <rPr>
        <b val="true"/>
        <sz val="11"/>
        <color rgb="FF548235"/>
        <rFont val="游ゴシック"/>
        <family val="0"/>
        <charset val="1"/>
      </rPr>
      <t xml:space="preserve">C </t>
    </r>
    <r>
      <rPr>
        <b val="true"/>
        <sz val="11"/>
        <color rgb="FF548235"/>
        <rFont val="Noto Sans CJK SC"/>
        <family val="2"/>
      </rPr>
      <t xml:space="preserve">全額取崩</t>
    </r>
  </si>
  <si>
    <r>
      <rPr>
        <sz val="10"/>
        <rFont val="Noto Sans CJK SC"/>
        <family val="2"/>
      </rPr>
      <t xml:space="preserve">住民負担最小化・第</t>
    </r>
    <r>
      <rPr>
        <sz val="10"/>
        <rFont val="游ゴシック"/>
        <family val="0"/>
        <charset val="1"/>
      </rPr>
      <t xml:space="preserve">11</t>
    </r>
    <r>
      <rPr>
        <sz val="10"/>
        <rFont val="Noto Sans CJK SC"/>
        <family val="2"/>
      </rPr>
      <t xml:space="preserve">期負担増のリスクあり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最低水準</t>
    </r>
    <r>
      <rPr>
        <sz val="10"/>
        <rFont val="游ゴシック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</si>
  <si>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※ 基金残高</t>
    </r>
    <r>
      <rPr>
        <i val="true"/>
        <sz val="9"/>
        <color rgb="FF595959"/>
        <rFont val="游ゴシック"/>
        <family val="0"/>
        <charset val="1"/>
      </rPr>
      <t xml:space="preserve">(B5)</t>
    </r>
    <r>
      <rPr>
        <i val="true"/>
        <sz val="9"/>
        <color rgb="FF595959"/>
        <rFont val="Noto Sans CJK SC"/>
        <family val="2"/>
      </rPr>
      <t xml:space="preserve">はシート</t>
    </r>
    <r>
      <rPr>
        <i val="true"/>
        <sz val="9"/>
        <color rgb="FF595959"/>
        <rFont val="游ゴシック"/>
        <family val="0"/>
        <charset val="1"/>
      </rPr>
      <t xml:space="preserve">01</t>
    </r>
    <r>
      <rPr>
        <i val="true"/>
        <sz val="9"/>
        <color rgb="FF595959"/>
        <rFont val="Noto Sans CJK SC"/>
        <family val="2"/>
      </rPr>
      <t xml:space="preserve">の確定値を参照しています。基金残高未確定の場合は本シートも未確定となります。</t>
    </r>
  </si>
  <si>
    <r>
      <rPr>
        <i val="true"/>
        <sz val="9"/>
        <color rgb="FF595959"/>
        <rFont val="Noto Sans CJK SC"/>
        <family val="2"/>
      </rPr>
      <t xml:space="preserve">※ パターン</t>
    </r>
    <r>
      <rPr>
        <i val="true"/>
        <sz val="9"/>
        <color rgb="FF595959"/>
        <rFont val="游ゴシック"/>
        <family val="0"/>
        <charset val="1"/>
      </rPr>
      <t xml:space="preserve">B</t>
    </r>
    <r>
      <rPr>
        <i val="true"/>
        <sz val="9"/>
        <color rgb="FF595959"/>
        <rFont val="Noto Sans CJK SC"/>
        <family val="2"/>
      </rPr>
      <t xml:space="preserve">の</t>
    </r>
    <r>
      <rPr>
        <i val="true"/>
        <sz val="9"/>
        <color rgb="FF595959"/>
        <rFont val="游ゴシック"/>
        <family val="0"/>
        <charset val="1"/>
      </rPr>
      <t xml:space="preserve">50%</t>
    </r>
    <r>
      <rPr>
        <i val="true"/>
        <sz val="9"/>
        <color rgb="FF595959"/>
        <rFont val="Noto Sans CJK SC"/>
        <family val="2"/>
      </rPr>
      <t xml:space="preserve">は標準的な選択肢ですが、</t>
    </r>
    <r>
      <rPr>
        <i val="true"/>
        <sz val="9"/>
        <color rgb="FF595959"/>
        <rFont val="游ゴシック"/>
        <family val="0"/>
        <charset val="1"/>
      </rPr>
      <t xml:space="preserve">25%/75%</t>
    </r>
    <r>
      <rPr>
        <i val="true"/>
        <sz val="9"/>
        <color rgb="FF595959"/>
        <rFont val="Noto Sans CJK SC"/>
        <family val="2"/>
      </rPr>
      <t xml:space="preserve">等の中間値も検討可能です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05_2</t>
    </r>
    <r>
      <rPr>
        <i val="true"/>
        <sz val="9"/>
        <color rgb="FF595959"/>
        <rFont val="Noto Sans CJK SC"/>
        <family val="2"/>
      </rPr>
      <t xml:space="preserve">を別途作成可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</si>
  <si>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i val="true"/>
        <sz val="9"/>
        <color rgb="FF595959"/>
        <rFont val="Noto Sans CJK SC"/>
        <family val="2"/>
      </rPr>
      <t xml:space="preserve">※ 基金取崩は計画期間</t>
    </r>
    <r>
      <rPr>
        <i val="true"/>
        <sz val="9"/>
        <color rgb="FF595959"/>
        <rFont val="游ゴシック"/>
        <family val="0"/>
        <charset val="1"/>
      </rPr>
      <t xml:space="preserve">(3</t>
    </r>
    <r>
      <rPr>
        <i val="true"/>
        <sz val="9"/>
        <color rgb="FF595959"/>
        <rFont val="Noto Sans CJK SC"/>
        <family val="2"/>
      </rPr>
      <t xml:space="preserve">年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の累計額です。年度別配分は別途検討します。</t>
    </r>
  </si>
  <si>
    <r>
      <rPr>
        <i val="true"/>
        <sz val="9"/>
        <color rgb="FF595959"/>
        <rFont val="Noto Sans CJK SC"/>
        <family val="2"/>
      </rPr>
      <t xml:space="preserve">※ 国は基金残高の概ね半分以下を取崩水準として推奨しているため、パターン</t>
    </r>
    <r>
      <rPr>
        <i val="true"/>
        <sz val="9"/>
        <color rgb="FF595959"/>
        <rFont val="游ゴシック"/>
        <family val="0"/>
        <charset val="1"/>
      </rPr>
      <t xml:space="preserve">B</t>
    </r>
    <r>
      <rPr>
        <i val="true"/>
        <sz val="9"/>
        <color rgb="FF595959"/>
        <rFont val="Noto Sans CJK SC"/>
        <family val="2"/>
      </rPr>
      <t xml:space="preserve">が標準的とされます。</t>
    </r>
  </si>
  <si>
    <r>
      <rPr>
        <b val="true"/>
        <sz val="13"/>
        <color rgb="FFFFFFFF"/>
        <rFont val="游ゴシック"/>
        <family val="0"/>
        <charset val="1"/>
      </rPr>
      <t xml:space="preserve">06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Step7-8 </t>
    </r>
    <r>
      <rPr>
        <b val="true"/>
        <sz val="13"/>
        <color rgb="FFFFFFFF"/>
        <rFont val="Noto Sans CJK SC"/>
        <family val="2"/>
      </rPr>
      <t xml:space="preserve">保険料収納必要額と基準月額の算定</t>
    </r>
  </si>
  <si>
    <r>
      <rPr>
        <i val="true"/>
        <sz val="10"/>
        <color rgb="FFFFFFFF"/>
        <rFont val="游ゴシック"/>
        <family val="0"/>
        <charset val="1"/>
      </rPr>
      <t xml:space="preserve">── 3</t>
    </r>
    <r>
      <rPr>
        <i val="true"/>
        <sz val="10"/>
        <color rgb="FFFFFFFF"/>
        <rFont val="Noto Sans CJK SC"/>
        <family val="2"/>
      </rPr>
      <t xml:space="preserve">パターン</t>
    </r>
    <r>
      <rPr>
        <i val="true"/>
        <sz val="10"/>
        <color rgb="FFFFFFFF"/>
        <rFont val="游ゴシック"/>
        <family val="0"/>
        <charset val="1"/>
      </rPr>
      <t xml:space="preserve">(A/B/C)</t>
    </r>
    <r>
      <rPr>
        <i val="true"/>
        <sz val="10"/>
        <color rgb="FFFFFFFF"/>
        <rFont val="Noto Sans CJK SC"/>
        <family val="2"/>
      </rPr>
      <t xml:space="preserve">で保険料基準月額を算定 ──</t>
    </r>
  </si>
  <si>
    <r>
      <rPr>
        <b val="true"/>
        <sz val="10"/>
        <color rgb="FFFFFFFF"/>
        <rFont val="游ゴシック"/>
        <family val="0"/>
        <charset val="1"/>
      </rPr>
      <t xml:space="preserve">Step7</t>
    </r>
    <r>
      <rPr>
        <b val="true"/>
        <sz val="10"/>
        <color rgb="FFFFFFFF"/>
        <rFont val="Noto Sans CJK SC"/>
        <family val="2"/>
      </rPr>
      <t xml:space="preserve">：保険料収納必要額（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パターン・千円）</t>
    </r>
  </si>
  <si>
    <r>
      <rPr>
        <i val="true"/>
        <sz val="9"/>
        <color rgb="FF595959"/>
        <rFont val="Noto Sans CJK SC"/>
        <family val="2"/>
      </rPr>
      <t xml:space="preserve">計算式：</t>
    </r>
    <r>
      <rPr>
        <i val="true"/>
        <sz val="9"/>
        <color rgb="FF595959"/>
        <rFont val="游ゴシック"/>
        <family val="0"/>
        <charset val="1"/>
      </rPr>
      <t xml:space="preserve">Step4(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号負担分</t>
    </r>
    <r>
      <rPr>
        <i val="true"/>
        <sz val="9"/>
        <color rgb="FF595959"/>
        <rFont val="游ゴシック"/>
        <family val="0"/>
        <charset val="1"/>
      </rPr>
      <t xml:space="preserve">) - Step5(</t>
    </r>
    <r>
      <rPr>
        <i val="true"/>
        <sz val="9"/>
        <color rgb="FF595959"/>
        <rFont val="Noto Sans CJK SC"/>
        <family val="2"/>
      </rPr>
      <t xml:space="preserve">調整交付金</t>
    </r>
    <r>
      <rPr>
        <i val="true"/>
        <sz val="9"/>
        <color rgb="FF595959"/>
        <rFont val="游ゴシック"/>
        <family val="0"/>
        <charset val="1"/>
      </rPr>
      <t xml:space="preserve">) - Step6(</t>
    </r>
    <r>
      <rPr>
        <i val="true"/>
        <sz val="9"/>
        <color rgb="FF595959"/>
        <rFont val="Noto Sans CJK SC"/>
        <family val="2"/>
      </rPr>
      <t xml:space="preserve">基金取崩額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</si>
  <si>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共通値</t>
  </si>
  <si>
    <r>
      <rPr>
        <b val="true"/>
        <sz val="10"/>
        <color rgb="FFFFFFFF"/>
        <rFont val="Noto Sans CJK SC"/>
        <family val="2"/>
      </rPr>
      <t xml:space="preserve">パターン</t>
    </r>
    <r>
      <rPr>
        <b val="true"/>
        <sz val="10"/>
        <color rgb="FFFFFFFF"/>
        <rFont val="游ゴシック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</si>
  <si>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パターン</t>
    </r>
    <r>
      <rPr>
        <b val="true"/>
        <sz val="10"/>
        <color rgb="FFFFFFFF"/>
        <rFont val="游ゴシック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</si>
  <si>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パターン</t>
    </r>
    <r>
      <rPr>
        <b val="true"/>
        <sz val="10"/>
        <color rgb="FFFFFFFF"/>
        <rFont val="游ゴシック"/>
        <family val="0"/>
        <charset val="1"/>
      </rPr>
      <t xml:space="preserve">C</t>
    </r>
  </si>
  <si>
    <r>
      <rPr>
        <b val="true"/>
        <sz val="10"/>
        <rFont val="游ゴシック"/>
        <family val="0"/>
        <charset val="1"/>
      </rPr>
      <t xml:space="preserve">Step4 </t>
    </r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号負担分</t>
    </r>
  </si>
  <si>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パターン共通</t>
    </r>
  </si>
  <si>
    <r>
      <rPr>
        <b val="true"/>
        <sz val="10"/>
        <rFont val="游ゴシック"/>
        <family val="0"/>
        <charset val="1"/>
      </rPr>
      <t xml:space="preserve">Step5 </t>
    </r>
    <r>
      <rPr>
        <b val="true"/>
        <sz val="10"/>
        <rFont val="Noto Sans CJK SC"/>
        <family val="2"/>
      </rPr>
      <t xml:space="preserve">調整交付金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減算</t>
    </r>
    <r>
      <rPr>
        <b val="true"/>
        <sz val="10"/>
        <rFont val="游ゴシック"/>
        <family val="0"/>
        <charset val="1"/>
      </rPr>
      <t xml:space="preserve">)</t>
    </r>
  </si>
  <si>
    <r>
      <rPr>
        <b val="true"/>
        <sz val="10"/>
        <rFont val="游ゴシック"/>
        <family val="0"/>
        <charset val="1"/>
      </rPr>
      <t xml:space="preserve">Step6 </t>
    </r>
    <r>
      <rPr>
        <b val="true"/>
        <sz val="10"/>
        <rFont val="Noto Sans CJK SC"/>
        <family val="2"/>
      </rPr>
      <t xml:space="preserve">基金取崩額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減算</t>
    </r>
    <r>
      <rPr>
        <b val="true"/>
        <sz val="10"/>
        <rFont val="游ゴシック"/>
        <family val="0"/>
        <charset val="1"/>
      </rPr>
      <t xml:space="preserve">)</t>
    </r>
  </si>
  <si>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パターン別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</si>
  <si>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05</t>
    </r>
    <r>
      <rPr>
        <i val="true"/>
        <sz val="9"/>
        <color rgb="FF595959"/>
        <rFont val="Noto Sans CJK SC"/>
        <family val="2"/>
      </rPr>
      <t xml:space="preserve">から参照</t>
    </r>
  </si>
  <si>
    <r>
      <rPr>
        <b val="true"/>
        <sz val="11"/>
        <color rgb="FFFFFFFF"/>
        <rFont val="游ゴシック"/>
        <family val="0"/>
        <charset val="1"/>
      </rPr>
      <t xml:space="preserve">Step7 </t>
    </r>
    <r>
      <rPr>
        <b val="true"/>
        <sz val="11"/>
        <color rgb="FFFFFFFF"/>
        <rFont val="Noto Sans CJK SC"/>
        <family val="2"/>
      </rPr>
      <t xml:space="preserve">保険料収納必要額</t>
    </r>
  </si>
  <si>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計算式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</si>
  <si>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t xml:space="preserve">Step4-Step5-Step6</t>
  </si>
  <si>
    <r>
      <rPr>
        <b val="true"/>
        <sz val="10"/>
        <color rgb="FFFFFFFF"/>
        <rFont val="游ゴシック"/>
        <family val="0"/>
        <charset val="1"/>
      </rPr>
      <t xml:space="preserve">Step8</t>
    </r>
    <r>
      <rPr>
        <b val="true"/>
        <sz val="10"/>
        <color rgb="FFFFFFFF"/>
        <rFont val="Noto Sans CJK SC"/>
        <family val="2"/>
      </rPr>
      <t xml:space="preserve">：保険料基準月額の算定（円）</t>
    </r>
  </si>
  <si>
    <r>
      <rPr>
        <i val="true"/>
        <sz val="9"/>
        <color rgb="FF595959"/>
        <rFont val="Noto Sans CJK SC"/>
        <family val="2"/>
      </rPr>
      <t xml:space="preserve">計算式：</t>
    </r>
    <r>
      <rPr>
        <i val="true"/>
        <sz val="9"/>
        <color rgb="FF595959"/>
        <rFont val="游ゴシック"/>
        <family val="0"/>
        <charset val="1"/>
      </rPr>
      <t xml:space="preserve">Step7 ÷ 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号被保険者数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年合計 </t>
    </r>
    <r>
      <rPr>
        <i val="true"/>
        <sz val="9"/>
        <color rgb="FF595959"/>
        <rFont val="游ゴシック"/>
        <family val="0"/>
        <charset val="1"/>
      </rPr>
      <t xml:space="preserve">× 12</t>
    </r>
    <r>
      <rPr>
        <i val="true"/>
        <sz val="9"/>
        <color rgb="FF595959"/>
        <rFont val="Noto Sans CJK SC"/>
        <family val="2"/>
      </rPr>
      <t xml:space="preserve">ヶ月 </t>
    </r>
    <r>
      <rPr>
        <i val="true"/>
        <sz val="9"/>
        <color rgb="FF595959"/>
        <rFont val="游ゴシック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予定収納率 </t>
    </r>
    <r>
      <rPr>
        <i val="true"/>
        <sz val="9"/>
        <color rgb="FF595959"/>
        <rFont val="游ゴシック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補正係数</t>
    </r>
    <r>
      <rPr>
        <i val="true"/>
        <sz val="9"/>
        <color rgb="FF595959"/>
        <rFont val="游ゴシック"/>
        <family val="0"/>
        <charset val="1"/>
      </rPr>
      <t xml:space="preserve">1.0)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</si>
  <si>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号被保険者数 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年合計</t>
    </r>
  </si>
  <si>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01</t>
    </r>
    <r>
      <rPr>
        <i val="true"/>
        <sz val="9"/>
        <color rgb="FF595959"/>
        <rFont val="Noto Sans CJK SC"/>
        <family val="2"/>
      </rPr>
      <t xml:space="preserve">から自動参照</t>
    </r>
  </si>
  <si>
    <r>
      <rPr>
        <b val="true"/>
        <sz val="10"/>
        <rFont val="Noto Sans CJK SC"/>
        <family val="2"/>
      </rPr>
      <t xml:space="preserve">予定収納率</t>
    </r>
    <r>
      <rPr>
        <b val="true"/>
        <sz val="10"/>
        <rFont val="游ゴシック"/>
        <family val="0"/>
        <charset val="1"/>
      </rPr>
      <t xml:space="preserve">(5</t>
    </r>
    <r>
      <rPr>
        <b val="true"/>
        <sz val="10"/>
        <rFont val="Noto Sans CJK SC"/>
        <family val="2"/>
      </rPr>
      <t xml:space="preserve">年平均</t>
    </r>
    <r>
      <rPr>
        <b val="true"/>
        <sz val="10"/>
        <rFont val="游ゴシック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</si>
  <si>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シート</t>
    </r>
    <r>
      <rPr>
        <i val="true"/>
        <sz val="9"/>
        <color rgb="FF595959"/>
        <rFont val="游ゴシック"/>
        <family val="0"/>
        <charset val="1"/>
      </rPr>
      <t xml:space="preserve">01</t>
    </r>
    <r>
      <rPr>
        <i val="true"/>
        <sz val="9"/>
        <color rgb="FF595959"/>
        <rFont val="Noto Sans CJK SC"/>
        <family val="2"/>
      </rPr>
      <t xml:space="preserve">から自動参照</t>
    </r>
    <r>
      <rPr>
        <i val="true"/>
        <sz val="9"/>
        <color rgb="FF595959"/>
        <rFont val="游ゴシック"/>
        <family val="0"/>
        <charset val="1"/>
      </rPr>
      <t xml:space="preserve">(%→</t>
    </r>
    <r>
      <rPr>
        <i val="true"/>
        <sz val="9"/>
        <color rgb="FF595959"/>
        <rFont val="Noto Sans CJK SC"/>
        <family val="2"/>
      </rPr>
      <t xml:space="preserve">比率変換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</si>
  <si>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補正係数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所得段階分布</t>
    </r>
    <r>
      <rPr>
        <b val="true"/>
        <sz val="10"/>
        <rFont val="游ゴシック"/>
        <family val="0"/>
        <charset val="1"/>
      </rPr>
      <t xml:space="preserve">)</t>
    </r>
  </si>
  <si>
    <t xml:space="preserve">1.0</t>
  </si>
  <si>
    <r>
      <rPr>
        <i val="true"/>
        <sz val="9"/>
        <color rgb="FF595959"/>
        <rFont val="游ゴシック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段階・</t>
    </r>
    <r>
      <rPr>
        <i val="true"/>
        <sz val="9"/>
        <color rgb="FF595959"/>
        <rFont val="游ゴシック"/>
        <family val="0"/>
        <charset val="1"/>
      </rPr>
      <t xml:space="preserve">13</t>
    </r>
    <r>
      <rPr>
        <i val="true"/>
        <sz val="9"/>
        <color rgb="FF595959"/>
        <rFont val="Noto Sans CJK SC"/>
        <family val="2"/>
      </rPr>
      <t xml:space="preserve">段階の平均係数。後で精緻化</t>
    </r>
  </si>
  <si>
    <r>
      <rPr>
        <b val="true"/>
        <sz val="12"/>
        <color rgb="FFFFFFFF"/>
        <rFont val="游ゴシック"/>
        <family val="0"/>
        <charset val="1"/>
      </rPr>
      <t xml:space="preserve">Step8 </t>
    </r>
    <r>
      <rPr>
        <b val="true"/>
        <sz val="12"/>
        <color rgb="FFFFFFFF"/>
        <rFont val="Noto Sans CJK SC"/>
        <family val="2"/>
      </rPr>
      <t xml:space="preserve">保険料基準月額</t>
    </r>
    <r>
      <rPr>
        <b val="true"/>
        <sz val="12"/>
        <color rgb="FFFFFFFF"/>
        <rFont val="游ゴシック"/>
        <family val="0"/>
        <charset val="1"/>
      </rPr>
      <t xml:space="preserve">(</t>
    </r>
    <r>
      <rPr>
        <b val="true"/>
        <sz val="12"/>
        <color rgb="FFFFFFFF"/>
        <rFont val="Noto Sans CJK SC"/>
        <family val="2"/>
      </rPr>
      <t xml:space="preserve">円</t>
    </r>
    <r>
      <rPr>
        <b val="true"/>
        <sz val="12"/>
        <color rgb="FFFFFFFF"/>
        <rFont val="游ゴシック"/>
        <family val="0"/>
        <charset val="1"/>
      </rPr>
      <t xml:space="preserve">)</t>
    </r>
  </si>
  <si>
    <t xml:space="preserve">計算結果</t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</si>
  <si>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10</t>
    </r>
    <r>
      <rPr>
        <b val="true"/>
        <sz val="10"/>
        <color rgb="FF1F3864"/>
        <rFont val="Noto Sans CJK SC"/>
        <family val="2"/>
      </rPr>
      <t xml:space="preserve">期基準月額</t>
    </r>
  </si>
  <si>
    <r>
      <rPr>
        <b val="true"/>
        <sz val="10"/>
        <color rgb="FFFFFFFF"/>
        <rFont val="Noto Sans CJK SC"/>
        <family val="2"/>
      </rPr>
      <t xml:space="preserve">■ 第</t>
    </r>
    <r>
      <rPr>
        <b val="true"/>
        <sz val="10"/>
        <color rgb="FFFFFFFF"/>
        <rFont val="游ゴシック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期との比較</t>
    </r>
  </si>
  <si>
    <t xml:space="preserve">比較項目</t>
  </si>
  <si>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期</t>
    </r>
  </si>
  <si>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期</t>
    </r>
  </si>
  <si>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期</t>
    </r>
    <r>
      <rPr>
        <b val="true"/>
        <sz val="10"/>
        <color rgb="FFFFFFFF"/>
        <rFont val="游ゴシック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</si>
  <si>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期</t>
    </r>
    <r>
      <rPr>
        <b val="true"/>
        <sz val="10"/>
        <color rgb="FFFFFFFF"/>
        <rFont val="游ゴシック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</si>
  <si>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期</t>
    </r>
    <r>
      <rPr>
        <b val="true"/>
        <sz val="10"/>
        <color rgb="FFFFFFFF"/>
        <rFont val="游ゴシック"/>
        <family val="0"/>
        <charset val="1"/>
      </rPr>
      <t xml:space="preserve">C</t>
    </r>
  </si>
  <si>
    <r>
      <rPr>
        <b val="true"/>
        <sz val="10"/>
        <rFont val="Noto Sans CJK SC"/>
        <family val="2"/>
      </rPr>
      <t xml:space="preserve">月額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円</t>
    </r>
    <r>
      <rPr>
        <b val="true"/>
        <sz val="10"/>
        <rFont val="游ゴシック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</si>
  <si>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期比増減率</t>
    </r>
    <r>
      <rPr>
        <b val="true"/>
        <sz val="10"/>
        <rFont val="游ゴシック"/>
        <family val="0"/>
        <charset val="1"/>
      </rPr>
      <t xml:space="preserve">(%)</t>
    </r>
  </si>
  <si>
    <r>
      <rPr>
        <b val="true"/>
        <sz val="13"/>
        <color rgb="FFFFFFFF"/>
        <rFont val="游ゴシック"/>
        <family val="0"/>
        <charset val="1"/>
      </rPr>
      <t xml:space="preserve">07</t>
    </r>
    <r>
      <rPr>
        <b val="true"/>
        <sz val="13"/>
        <color rgb="FFFFFFFF"/>
        <rFont val="Noto Sans CJK SC"/>
        <family val="2"/>
      </rPr>
      <t xml:space="preserve">　所得段階別保険料（</t>
    </r>
    <r>
      <rPr>
        <b val="true"/>
        <sz val="13"/>
        <color rgb="FFFFFFFF"/>
        <rFont val="游ゴシック"/>
        <family val="0"/>
        <charset val="1"/>
      </rPr>
      <t xml:space="preserve">9</t>
    </r>
    <r>
      <rPr>
        <b val="true"/>
        <sz val="13"/>
        <color rgb="FFFFFFFF"/>
        <rFont val="Noto Sans CJK SC"/>
        <family val="2"/>
      </rPr>
      <t xml:space="preserve">段階版・現行）</t>
    </r>
  </si>
  <si>
    <r>
      <rPr>
        <i val="true"/>
        <sz val="10"/>
        <color rgb="FFFFFFFF"/>
        <rFont val="Noto Sans CJK SC"/>
        <family val="2"/>
      </rPr>
      <t xml:space="preserve">── 現行</t>
    </r>
    <r>
      <rPr>
        <i val="true"/>
        <sz val="10"/>
        <color rgb="FFFFFFFF"/>
        <rFont val="游ゴシック"/>
        <family val="0"/>
        <charset val="1"/>
      </rPr>
      <t xml:space="preserve">9</t>
    </r>
    <r>
      <rPr>
        <i val="true"/>
        <sz val="10"/>
        <color rgb="FFFFFFFF"/>
        <rFont val="Noto Sans CJK SC"/>
        <family val="2"/>
      </rPr>
      <t xml:space="preserve">段階区分での所得段階別年間保険料</t>
    </r>
    <r>
      <rPr>
        <i val="true"/>
        <sz val="10"/>
        <color rgb="FFFFFFFF"/>
        <rFont val="游ゴシック"/>
        <family val="0"/>
        <charset val="1"/>
      </rPr>
      <t xml:space="preserve">(</t>
    </r>
    <r>
      <rPr>
        <i val="true"/>
        <sz val="10"/>
        <color rgb="FFFFFFFF"/>
        <rFont val="Noto Sans CJK SC"/>
        <family val="2"/>
      </rPr>
      <t xml:space="preserve">月額</t>
    </r>
    <r>
      <rPr>
        <i val="true"/>
        <sz val="10"/>
        <color rgb="FFFFFFFF"/>
        <rFont val="游ゴシック"/>
        <family val="0"/>
        <charset val="1"/>
      </rPr>
      <t xml:space="preserve">×12) ──</t>
    </r>
  </si>
  <si>
    <t xml:space="preserve">段階</t>
  </si>
  <si>
    <t xml:space="preserve">対象</t>
  </si>
  <si>
    <t xml:space="preserve">係数</t>
  </si>
  <si>
    <r>
      <rPr>
        <b val="true"/>
        <sz val="10"/>
        <color rgb="FFFFFFFF"/>
        <rFont val="Noto Sans CJK SC"/>
        <family val="2"/>
      </rPr>
      <t xml:space="preserve">月額</t>
    </r>
    <r>
      <rPr>
        <b val="true"/>
        <sz val="10"/>
        <color rgb="FFFFFFFF"/>
        <rFont val="游ゴシック"/>
        <family val="0"/>
        <charset val="1"/>
      </rPr>
      <t xml:space="preserve">A(</t>
    </r>
    <r>
      <rPr>
        <b val="true"/>
        <sz val="10"/>
        <color rgb="FFFFFFFF"/>
        <rFont val="Noto Sans CJK SC"/>
        <family val="2"/>
      </rPr>
      <t xml:space="preserve">円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</si>
  <si>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月額</t>
    </r>
    <r>
      <rPr>
        <b val="true"/>
        <sz val="10"/>
        <color rgb="FFFFFFFF"/>
        <rFont val="游ゴシック"/>
        <family val="0"/>
        <charset val="1"/>
      </rPr>
      <t xml:space="preserve">B(</t>
    </r>
    <r>
      <rPr>
        <b val="true"/>
        <sz val="10"/>
        <color rgb="FFFFFFFF"/>
        <rFont val="Noto Sans CJK SC"/>
        <family val="2"/>
      </rPr>
      <t xml:space="preserve">円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</si>
  <si>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月額</t>
    </r>
    <r>
      <rPr>
        <b val="true"/>
        <sz val="10"/>
        <color rgb="FFFFFFFF"/>
        <rFont val="游ゴシック"/>
        <family val="0"/>
        <charset val="1"/>
      </rPr>
      <t xml:space="preserve">C(</t>
    </r>
    <r>
      <rPr>
        <b val="true"/>
        <sz val="10"/>
        <color rgb="FFFFFFFF"/>
        <rFont val="Noto Sans CJK SC"/>
        <family val="2"/>
      </rPr>
      <t xml:space="preserve">円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</si>
  <si>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該当人数</t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</si>
  <si>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</si>
  <si>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生活保護・老齢福祉年金受給者・市町村民税非課税世帯</t>
    </r>
    <r>
      <rPr>
        <sz val="10"/>
        <rFont val="游ゴシック"/>
        <family val="0"/>
        <charset val="1"/>
      </rPr>
      <t xml:space="preserve">+</t>
    </r>
    <r>
      <rPr>
        <sz val="10"/>
        <rFont val="Noto Sans CJK SC"/>
        <family val="2"/>
      </rPr>
      <t xml:space="preserve">本人非課税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</si>
  <si>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2</t>
    </r>
    <r>
      <rPr>
        <b val="true"/>
        <sz val="10"/>
        <color rgb="FF1F3864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</si>
  <si>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市町村民税非課税世帯</t>
    </r>
    <r>
      <rPr>
        <sz val="10"/>
        <rFont val="游ゴシック"/>
        <family val="0"/>
        <charset val="1"/>
      </rPr>
      <t xml:space="preserve">+</t>
    </r>
    <r>
      <rPr>
        <sz val="10"/>
        <rFont val="Noto Sans CJK SC"/>
        <family val="2"/>
      </rPr>
      <t xml:space="preserve">本人非課税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年金収入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万円超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万円以下</t>
    </r>
    <r>
      <rPr>
        <sz val="10"/>
        <rFont val="游ゴシック"/>
        <family val="0"/>
        <charset val="1"/>
      </rPr>
      <t xml:space="preserve">)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</si>
  <si>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3</t>
    </r>
    <r>
      <rPr>
        <b val="true"/>
        <sz val="10"/>
        <color rgb="FF1F3864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</si>
  <si>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市町村民税非課税世帯</t>
    </r>
    <r>
      <rPr>
        <sz val="10"/>
        <rFont val="游ゴシック"/>
        <family val="0"/>
        <charset val="1"/>
      </rPr>
      <t xml:space="preserve">+</t>
    </r>
    <r>
      <rPr>
        <sz val="10"/>
        <rFont val="Noto Sans CJK SC"/>
        <family val="2"/>
      </rPr>
      <t xml:space="preserve">本人非課税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年金収入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万円超</t>
    </r>
    <r>
      <rPr>
        <sz val="10"/>
        <rFont val="游ゴシック"/>
        <family val="0"/>
        <charset val="1"/>
      </rPr>
      <t xml:space="preserve">)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</si>
  <si>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4</t>
    </r>
    <r>
      <rPr>
        <b val="true"/>
        <sz val="10"/>
        <color rgb="FF1F3864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</si>
  <si>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本人市町村民税非課税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世帯課税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・課税年金収入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万円以下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</si>
  <si>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5</t>
    </r>
    <r>
      <rPr>
        <b val="true"/>
        <sz val="10"/>
        <color rgb="FF1F3864"/>
        <rFont val="Noto Sans CJK SC"/>
        <family val="2"/>
      </rPr>
      <t xml:space="preserve">段階</t>
    </r>
    <r>
      <rPr>
        <b val="true"/>
        <sz val="10"/>
        <color rgb="FF1F3864"/>
        <rFont val="游ゴシック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基準</t>
    </r>
    <r>
      <rPr>
        <b val="true"/>
        <sz val="10"/>
        <color rgb="FF1F3864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</si>
  <si>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本人市町村民税非課税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世帯課税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・課税年金収入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万円超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</si>
  <si>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6</t>
    </r>
    <r>
      <rPr>
        <b val="true"/>
        <sz val="10"/>
        <color rgb="FF1F3864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</si>
  <si>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本人市町村民税課税・合計所得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万円未満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</si>
  <si>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7</t>
    </r>
    <r>
      <rPr>
        <b val="true"/>
        <sz val="10"/>
        <color rgb="FF1F3864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</si>
  <si>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本人市町村民税課税・合計所得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万円以上</t>
    </r>
    <r>
      <rPr>
        <sz val="10"/>
        <rFont val="游ゴシック"/>
        <family val="0"/>
        <charset val="1"/>
      </rPr>
      <t xml:space="preserve">210</t>
    </r>
    <r>
      <rPr>
        <sz val="10"/>
        <rFont val="Noto Sans CJK SC"/>
        <family val="2"/>
      </rPr>
      <t xml:space="preserve">万円未満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</si>
  <si>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8</t>
    </r>
    <r>
      <rPr>
        <b val="true"/>
        <sz val="10"/>
        <color rgb="FF1F3864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</si>
  <si>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本人市町村民税課税・合計所得</t>
    </r>
    <r>
      <rPr>
        <sz val="10"/>
        <rFont val="游ゴシック"/>
        <family val="0"/>
        <charset val="1"/>
      </rPr>
      <t xml:space="preserve">210</t>
    </r>
    <r>
      <rPr>
        <sz val="10"/>
        <rFont val="Noto Sans CJK SC"/>
        <family val="2"/>
      </rPr>
      <t xml:space="preserve">万円以上</t>
    </r>
    <r>
      <rPr>
        <sz val="10"/>
        <rFont val="游ゴシック"/>
        <family val="0"/>
        <charset val="1"/>
      </rPr>
      <t xml:space="preserve">320</t>
    </r>
    <r>
      <rPr>
        <sz val="10"/>
        <rFont val="Noto Sans CJK SC"/>
        <family val="2"/>
      </rPr>
      <t xml:space="preserve">万円未満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</si>
  <si>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9</t>
    </r>
    <r>
      <rPr>
        <b val="true"/>
        <sz val="10"/>
        <color rgb="FF1F3864"/>
        <rFont val="Noto Sans CJK SC"/>
        <family val="2"/>
      </rPr>
      <t xml:space="preserve">段階</t>
    </r>
  </si>
  <si>
    <r>
      <rPr>
        <sz val="10"/>
        <rFont val="Noto Sans CJK SC"/>
        <family val="2"/>
      </rPr>
      <t xml:space="preserve">本人市町村民税課税・合計所得</t>
    </r>
    <r>
      <rPr>
        <sz val="10"/>
        <rFont val="游ゴシック"/>
        <family val="0"/>
        <charset val="1"/>
      </rPr>
      <t xml:space="preserve">320</t>
    </r>
    <r>
      <rPr>
        <sz val="10"/>
        <rFont val="Noto Sans CJK SC"/>
        <family val="2"/>
      </rPr>
      <t xml:space="preserve">万円以上</t>
    </r>
  </si>
  <si>
    <r>
      <rPr>
        <i val="true"/>
        <sz val="9"/>
        <color rgb="FF595959"/>
        <rFont val="Noto Sans CJK SC"/>
        <family val="2"/>
      </rPr>
      <t xml:space="preserve">※ 係数は国基準値です。市町村は条例により調整可能</t>
    </r>
    <r>
      <rPr>
        <i val="true"/>
        <sz val="9"/>
        <color rgb="FF595959"/>
        <rFont val="游ゴシック"/>
        <family val="0"/>
        <charset val="1"/>
      </rPr>
      <t xml:space="preserve">(±10%</t>
    </r>
    <r>
      <rPr>
        <i val="true"/>
        <sz val="9"/>
        <color rgb="FF595959"/>
        <rFont val="Noto Sans CJK SC"/>
        <family val="2"/>
      </rPr>
      <t xml:space="preserve">程度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</si>
  <si>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i val="true"/>
        <sz val="9"/>
        <color rgb="FF595959"/>
        <rFont val="Noto Sans CJK SC"/>
        <family val="2"/>
      </rPr>
      <t xml:space="preserve">※ 該当人数の合計は所得段階別</t>
    </r>
    <r>
      <rPr>
        <i val="true"/>
        <sz val="9"/>
        <color rgb="FF595959"/>
        <rFont val="游ゴシック"/>
        <family val="0"/>
        <charset val="1"/>
      </rPr>
      <t xml:space="preserve">R3</t>
    </r>
    <r>
      <rPr>
        <i val="true"/>
        <sz val="9"/>
        <color rgb="FF595959"/>
        <rFont val="Noto Sans CJK SC"/>
        <family val="2"/>
      </rPr>
      <t xml:space="preserve">末</t>
    </r>
    <r>
      <rPr>
        <i val="true"/>
        <sz val="9"/>
        <color rgb="FF595959"/>
        <rFont val="游ゴシック"/>
        <family val="0"/>
        <charset val="1"/>
      </rPr>
      <t xml:space="preserve">3,255</t>
    </r>
    <r>
      <rPr>
        <i val="true"/>
        <sz val="9"/>
        <color rgb="FF595959"/>
        <rFont val="Noto Sans CJK SC"/>
        <family val="2"/>
      </rPr>
      <t xml:space="preserve">人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基準</t>
    </r>
    <r>
      <rPr>
        <i val="true"/>
        <sz val="9"/>
        <color rgb="FF595959"/>
        <rFont val="游ゴシック"/>
        <family val="0"/>
        <charset val="1"/>
      </rPr>
      <t xml:space="preserve">697</t>
    </r>
    <r>
      <rPr>
        <i val="true"/>
        <sz val="9"/>
        <color rgb="FF595959"/>
        <rFont val="Noto Sans CJK SC"/>
        <family val="2"/>
      </rPr>
      <t xml:space="preserve">人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が参考値です。</t>
    </r>
    <r>
      <rPr>
        <i val="true"/>
        <sz val="9"/>
        <color rgb="FF595959"/>
        <rFont val="游ゴシック"/>
        <family val="0"/>
        <charset val="1"/>
      </rPr>
      <t xml:space="preserve">R7</t>
    </r>
    <r>
      <rPr>
        <i val="true"/>
        <sz val="9"/>
        <color rgb="FF595959"/>
        <rFont val="Noto Sans CJK SC"/>
        <family val="2"/>
      </rPr>
      <t xml:space="preserve">時点の確定値を入力してください。</t>
    </r>
  </si>
  <si>
    <r>
      <rPr>
        <i val="true"/>
        <sz val="9"/>
        <color rgb="FF595959"/>
        <rFont val="Noto Sans CJK SC"/>
        <family val="2"/>
      </rPr>
      <t xml:space="preserve">※ 本シートはステップ</t>
    </r>
    <r>
      <rPr>
        <i val="true"/>
        <sz val="9"/>
        <color rgb="FF595959"/>
        <rFont val="游ゴシック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の算定結果を所得段階別に展開した参考表です。条例改正案作成の元データとなります。</t>
    </r>
  </si>
  <si>
    <r>
      <rPr>
        <b val="true"/>
        <sz val="13"/>
        <color rgb="FFFFFFFF"/>
        <rFont val="游ゴシック"/>
        <family val="0"/>
        <charset val="1"/>
      </rPr>
      <t xml:space="preserve">08</t>
    </r>
    <r>
      <rPr>
        <b val="true"/>
        <sz val="13"/>
        <color rgb="FFFFFFFF"/>
        <rFont val="Noto Sans CJK SC"/>
        <family val="2"/>
      </rPr>
      <t xml:space="preserve">　所得段階別保険料（</t>
    </r>
    <r>
      <rPr>
        <b val="true"/>
        <sz val="13"/>
        <color rgb="FFFFFFFF"/>
        <rFont val="游ゴシック"/>
        <family val="0"/>
        <charset val="1"/>
      </rPr>
      <t xml:space="preserve">13</t>
    </r>
    <r>
      <rPr>
        <b val="true"/>
        <sz val="13"/>
        <color rgb="FFFFFFFF"/>
        <rFont val="Noto Sans CJK SC"/>
        <family val="2"/>
      </rPr>
      <t xml:space="preserve">段階版・協議事項</t>
    </r>
    <r>
      <rPr>
        <b val="true"/>
        <sz val="13"/>
        <color rgb="FFFFFFFF"/>
        <rFont val="游ゴシック"/>
        <family val="0"/>
        <charset val="1"/>
      </rPr>
      <t xml:space="preserve">5</t>
    </r>
    <r>
      <rPr>
        <b val="true"/>
        <sz val="13"/>
        <color rgb="FFFFFFFF"/>
        <rFont val="Noto Sans CJK SC"/>
        <family val="2"/>
      </rPr>
      <t xml:space="preserve">）</t>
    </r>
  </si>
  <si>
    <r>
      <rPr>
        <i val="true"/>
        <sz val="10"/>
        <color rgb="FFFFFFFF"/>
        <rFont val="Noto Sans CJK SC"/>
        <family val="2"/>
      </rPr>
      <t xml:space="preserve">── 国推奨</t>
    </r>
    <r>
      <rPr>
        <i val="true"/>
        <sz val="10"/>
        <color rgb="FFFFFFFF"/>
        <rFont val="游ゴシック"/>
        <family val="0"/>
        <charset val="1"/>
      </rPr>
      <t xml:space="preserve">13</t>
    </r>
    <r>
      <rPr>
        <i val="true"/>
        <sz val="10"/>
        <color rgb="FFFFFFFF"/>
        <rFont val="Noto Sans CJK SC"/>
        <family val="2"/>
      </rPr>
      <t xml:space="preserve">段階区分での所得段階別保険料 ──</t>
    </r>
  </si>
  <si>
    <r>
      <rPr>
        <sz val="10"/>
        <rFont val="Noto Sans CJK SC"/>
        <family val="2"/>
      </rPr>
      <t xml:space="preserve">生活保護受給者・老齢福祉年金受給者・住民税非課税世帯本人収入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万円以下</t>
    </r>
  </si>
  <si>
    <r>
      <rPr>
        <sz val="10"/>
        <rFont val="Noto Sans CJK SC"/>
        <family val="2"/>
      </rPr>
      <t xml:space="preserve">住民税非課税世帯</t>
    </r>
    <r>
      <rPr>
        <sz val="10"/>
        <rFont val="游ゴシック"/>
        <family val="0"/>
        <charset val="1"/>
      </rPr>
      <t xml:space="preserve">+</t>
    </r>
    <r>
      <rPr>
        <sz val="10"/>
        <rFont val="Noto Sans CJK SC"/>
        <family val="2"/>
      </rPr>
      <t xml:space="preserve">本人収入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万円超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万円以下</t>
    </r>
  </si>
  <si>
    <r>
      <rPr>
        <sz val="10"/>
        <rFont val="Noto Sans CJK SC"/>
        <family val="2"/>
      </rPr>
      <t xml:space="preserve">住民税非課税世帯</t>
    </r>
    <r>
      <rPr>
        <sz val="10"/>
        <rFont val="游ゴシック"/>
        <family val="0"/>
        <charset val="1"/>
      </rPr>
      <t xml:space="preserve">+</t>
    </r>
    <r>
      <rPr>
        <sz val="10"/>
        <rFont val="Noto Sans CJK SC"/>
        <family val="2"/>
      </rPr>
      <t xml:space="preserve">本人収入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万円超</t>
    </r>
  </si>
  <si>
    <r>
      <rPr>
        <sz val="10"/>
        <rFont val="Noto Sans CJK SC"/>
        <family val="2"/>
      </rPr>
      <t xml:space="preserve">本人非課税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世帯課税</t>
    </r>
    <r>
      <rPr>
        <sz val="10"/>
        <rFont val="游ゴシック"/>
        <family val="0"/>
        <charset val="1"/>
      </rPr>
      <t xml:space="preserve">)+</t>
    </r>
    <r>
      <rPr>
        <sz val="10"/>
        <rFont val="Noto Sans CJK SC"/>
        <family val="2"/>
      </rPr>
      <t xml:space="preserve">課税年金収入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万円以下</t>
    </r>
  </si>
  <si>
    <r>
      <rPr>
        <sz val="10"/>
        <rFont val="Noto Sans CJK SC"/>
        <family val="2"/>
      </rPr>
      <t xml:space="preserve">本人非課税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世帯課税</t>
    </r>
    <r>
      <rPr>
        <sz val="10"/>
        <rFont val="游ゴシック"/>
        <family val="0"/>
        <charset val="1"/>
      </rPr>
      <t xml:space="preserve">)+</t>
    </r>
    <r>
      <rPr>
        <sz val="10"/>
        <rFont val="Noto Sans CJK SC"/>
        <family val="2"/>
      </rPr>
      <t xml:space="preserve">課税年金収入</t>
    </r>
    <r>
      <rPr>
        <sz val="10"/>
        <rFont val="游ゴシック"/>
        <family val="0"/>
        <charset val="1"/>
      </rPr>
      <t xml:space="preserve">80</t>
    </r>
    <r>
      <rPr>
        <sz val="10"/>
        <rFont val="Noto Sans CJK SC"/>
        <family val="2"/>
      </rPr>
      <t xml:space="preserve">万円超</t>
    </r>
  </si>
  <si>
    <r>
      <rPr>
        <sz val="10"/>
        <rFont val="Noto Sans CJK SC"/>
        <family val="2"/>
      </rPr>
      <t xml:space="preserve">本人課税・合計所得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万円未満</t>
    </r>
  </si>
  <si>
    <r>
      <rPr>
        <sz val="10"/>
        <rFont val="Noto Sans CJK SC"/>
        <family val="2"/>
      </rPr>
      <t xml:space="preserve">本人課税・合計所得</t>
    </r>
    <r>
      <rPr>
        <sz val="10"/>
        <rFont val="游ゴシック"/>
        <family val="0"/>
        <charset val="1"/>
      </rPr>
      <t xml:space="preserve">120</t>
    </r>
    <r>
      <rPr>
        <sz val="10"/>
        <rFont val="Noto Sans CJK SC"/>
        <family val="2"/>
      </rPr>
      <t xml:space="preserve">万円以上</t>
    </r>
    <r>
      <rPr>
        <sz val="10"/>
        <rFont val="游ゴシック"/>
        <family val="0"/>
        <charset val="1"/>
      </rPr>
      <t xml:space="preserve">210</t>
    </r>
    <r>
      <rPr>
        <sz val="10"/>
        <rFont val="Noto Sans CJK SC"/>
        <family val="2"/>
      </rPr>
      <t xml:space="preserve">万円未満</t>
    </r>
  </si>
  <si>
    <r>
      <rPr>
        <sz val="10"/>
        <rFont val="Noto Sans CJK SC"/>
        <family val="2"/>
      </rPr>
      <t xml:space="preserve">本人課税・合計所得</t>
    </r>
    <r>
      <rPr>
        <sz val="10"/>
        <rFont val="游ゴシック"/>
        <family val="0"/>
        <charset val="1"/>
      </rPr>
      <t xml:space="preserve">210</t>
    </r>
    <r>
      <rPr>
        <sz val="10"/>
        <rFont val="Noto Sans CJK SC"/>
        <family val="2"/>
      </rPr>
      <t xml:space="preserve">万円以上</t>
    </r>
    <r>
      <rPr>
        <sz val="10"/>
        <rFont val="游ゴシック"/>
        <family val="0"/>
        <charset val="1"/>
      </rPr>
      <t xml:space="preserve">320</t>
    </r>
    <r>
      <rPr>
        <sz val="10"/>
        <rFont val="Noto Sans CJK SC"/>
        <family val="2"/>
      </rPr>
      <t xml:space="preserve">万円未満</t>
    </r>
  </si>
  <si>
    <r>
      <rPr>
        <sz val="10"/>
        <rFont val="Noto Sans CJK SC"/>
        <family val="2"/>
      </rPr>
      <t xml:space="preserve">本人課税・合計所得</t>
    </r>
    <r>
      <rPr>
        <sz val="10"/>
        <rFont val="游ゴシック"/>
        <family val="0"/>
        <charset val="1"/>
      </rPr>
      <t xml:space="preserve">320</t>
    </r>
    <r>
      <rPr>
        <sz val="10"/>
        <rFont val="Noto Sans CJK SC"/>
        <family val="2"/>
      </rPr>
      <t xml:space="preserve">万円以上</t>
    </r>
    <r>
      <rPr>
        <sz val="10"/>
        <rFont val="游ゴシック"/>
        <family val="0"/>
        <charset val="1"/>
      </rPr>
      <t xml:space="preserve">420</t>
    </r>
    <r>
      <rPr>
        <sz val="10"/>
        <rFont val="Noto Sans CJK SC"/>
        <family val="2"/>
      </rPr>
      <t xml:space="preserve">万円未満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</si>
  <si>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10</t>
    </r>
    <r>
      <rPr>
        <b val="true"/>
        <sz val="10"/>
        <color rgb="FF1F3864"/>
        <rFont val="Noto Sans CJK SC"/>
        <family val="2"/>
      </rPr>
      <t xml:space="preserve">段階</t>
    </r>
    <r>
      <rPr>
        <b val="true"/>
        <sz val="10"/>
        <color rgb="FF1F3864"/>
        <rFont val="游ゴシック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新</t>
    </r>
    <r>
      <rPr>
        <b val="true"/>
        <sz val="10"/>
        <color rgb="FF1F3864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</si>
  <si>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本人課税・合計所得</t>
    </r>
    <r>
      <rPr>
        <sz val="10"/>
        <rFont val="游ゴシック"/>
        <family val="0"/>
        <charset val="1"/>
      </rPr>
      <t xml:space="preserve">420</t>
    </r>
    <r>
      <rPr>
        <sz val="10"/>
        <rFont val="Noto Sans CJK SC"/>
        <family val="2"/>
      </rPr>
      <t xml:space="preserve">万円以上</t>
    </r>
    <r>
      <rPr>
        <sz val="10"/>
        <rFont val="游ゴシック"/>
        <family val="0"/>
        <charset val="1"/>
      </rPr>
      <t xml:space="preserve">520</t>
    </r>
    <r>
      <rPr>
        <sz val="10"/>
        <rFont val="Noto Sans CJK SC"/>
        <family val="2"/>
      </rPr>
      <t xml:space="preserve">万円未満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</si>
  <si>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11</t>
    </r>
    <r>
      <rPr>
        <b val="true"/>
        <sz val="10"/>
        <color rgb="FF1F3864"/>
        <rFont val="Noto Sans CJK SC"/>
        <family val="2"/>
      </rPr>
      <t xml:space="preserve">段階</t>
    </r>
    <r>
      <rPr>
        <b val="true"/>
        <sz val="10"/>
        <color rgb="FF1F3864"/>
        <rFont val="游ゴシック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新</t>
    </r>
    <r>
      <rPr>
        <b val="true"/>
        <sz val="10"/>
        <color rgb="FF1F3864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</si>
  <si>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本人課税・合計所得</t>
    </r>
    <r>
      <rPr>
        <sz val="10"/>
        <rFont val="游ゴシック"/>
        <family val="0"/>
        <charset val="1"/>
      </rPr>
      <t xml:space="preserve">520</t>
    </r>
    <r>
      <rPr>
        <sz val="10"/>
        <rFont val="Noto Sans CJK SC"/>
        <family val="2"/>
      </rPr>
      <t xml:space="preserve">万円以上</t>
    </r>
    <r>
      <rPr>
        <sz val="10"/>
        <rFont val="游ゴシック"/>
        <family val="0"/>
        <charset val="1"/>
      </rPr>
      <t xml:space="preserve">620</t>
    </r>
    <r>
      <rPr>
        <sz val="10"/>
        <rFont val="Noto Sans CJK SC"/>
        <family val="2"/>
      </rPr>
      <t xml:space="preserve">万円未満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</si>
  <si>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12</t>
    </r>
    <r>
      <rPr>
        <b val="true"/>
        <sz val="10"/>
        <color rgb="FF1F3864"/>
        <rFont val="Noto Sans CJK SC"/>
        <family val="2"/>
      </rPr>
      <t xml:space="preserve">段階</t>
    </r>
    <r>
      <rPr>
        <b val="true"/>
        <sz val="10"/>
        <color rgb="FF1F3864"/>
        <rFont val="游ゴシック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新</t>
    </r>
    <r>
      <rPr>
        <b val="true"/>
        <sz val="10"/>
        <color rgb="FF1F3864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</si>
  <si>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本人課税・合計所得</t>
    </r>
    <r>
      <rPr>
        <sz val="10"/>
        <rFont val="游ゴシック"/>
        <family val="0"/>
        <charset val="1"/>
      </rPr>
      <t xml:space="preserve">620</t>
    </r>
    <r>
      <rPr>
        <sz val="10"/>
        <rFont val="Noto Sans CJK SC"/>
        <family val="2"/>
      </rPr>
      <t xml:space="preserve">万円以上</t>
    </r>
    <r>
      <rPr>
        <sz val="10"/>
        <rFont val="游ゴシック"/>
        <family val="0"/>
        <charset val="1"/>
      </rPr>
      <t xml:space="preserve">720</t>
    </r>
    <r>
      <rPr>
        <sz val="10"/>
        <rFont val="Noto Sans CJK SC"/>
        <family val="2"/>
      </rPr>
      <t xml:space="preserve">万円未満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</si>
  <si>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13</t>
    </r>
    <r>
      <rPr>
        <b val="true"/>
        <sz val="10"/>
        <color rgb="FF1F3864"/>
        <rFont val="Noto Sans CJK SC"/>
        <family val="2"/>
      </rPr>
      <t xml:space="preserve">段階</t>
    </r>
    <r>
      <rPr>
        <b val="true"/>
        <sz val="10"/>
        <color rgb="FF1F3864"/>
        <rFont val="游ゴシック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新</t>
    </r>
    <r>
      <rPr>
        <b val="true"/>
        <sz val="10"/>
        <color rgb="FF1F3864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</si>
  <si>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本人課税・合計所得</t>
    </r>
    <r>
      <rPr>
        <sz val="10"/>
        <rFont val="游ゴシック"/>
        <family val="0"/>
        <charset val="1"/>
      </rPr>
      <t xml:space="preserve">720</t>
    </r>
    <r>
      <rPr>
        <sz val="10"/>
        <rFont val="Noto Sans CJK SC"/>
        <family val="2"/>
      </rPr>
      <t xml:space="preserve">万円以上</t>
    </r>
  </si>
  <si>
    <r>
      <rPr>
        <i val="true"/>
        <sz val="9"/>
        <color rgb="FF595959"/>
        <rFont val="游ゴシック"/>
        <family val="0"/>
        <charset val="1"/>
      </rPr>
      <t xml:space="preserve">※ (</t>
    </r>
    <r>
      <rPr>
        <i val="true"/>
        <sz val="9"/>
        <color rgb="FF595959"/>
        <rFont val="Noto Sans CJK SC"/>
        <family val="2"/>
      </rPr>
      <t xml:space="preserve">新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マークは</t>
    </r>
    <r>
      <rPr>
        <i val="true"/>
        <sz val="9"/>
        <color rgb="FF595959"/>
        <rFont val="游ゴシック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段階版にはなかった新設段階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13</t>
    </r>
    <r>
      <rPr>
        <i val="true"/>
        <sz val="9"/>
        <color rgb="FF595959"/>
        <rFont val="Noto Sans CJK SC"/>
        <family val="2"/>
      </rPr>
      <t xml:space="preserve">段階</t>
    </r>
    <r>
      <rPr>
        <i val="true"/>
        <sz val="9"/>
        <color rgb="FF595959"/>
        <rFont val="游ゴシック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です。高所得層への応分負担で全体最適化。</t>
    </r>
  </si>
  <si>
    <t xml:space="preserve">※ 係数は国推奨値ですが、市町村は条例で調整可能。委員会協議で確定値を決定します。</t>
  </si>
  <si>
    <r>
      <rPr>
        <i val="true"/>
        <sz val="9"/>
        <color rgb="FF595959"/>
        <rFont val="游ゴシック"/>
        <family val="0"/>
        <charset val="1"/>
      </rPr>
      <t xml:space="preserve">※ 13</t>
    </r>
    <r>
      <rPr>
        <i val="true"/>
        <sz val="9"/>
        <color rgb="FF595959"/>
        <rFont val="Noto Sans CJK SC"/>
        <family val="2"/>
      </rPr>
      <t xml:space="preserve">段階への移行は、低所得層</t>
    </r>
    <r>
      <rPr>
        <i val="true"/>
        <sz val="9"/>
        <color rgb="FF595959"/>
        <rFont val="游ゴシック"/>
        <family val="0"/>
        <charset val="1"/>
      </rPr>
      <t xml:space="preserve">(1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段階・約</t>
    </r>
    <r>
      <rPr>
        <i val="true"/>
        <sz val="9"/>
        <color rgb="FF595959"/>
        <rFont val="游ゴシック"/>
        <family val="0"/>
        <charset val="1"/>
      </rPr>
      <t xml:space="preserve">30%)</t>
    </r>
    <r>
      <rPr>
        <i val="true"/>
        <sz val="9"/>
        <color rgb="FF595959"/>
        <rFont val="Noto Sans CJK SC"/>
        <family val="2"/>
      </rPr>
      <t xml:space="preserve">の負担軽減と、高所得層への応分負担拡大の効果を狙います。</t>
    </r>
  </si>
  <si>
    <r>
      <rPr>
        <i val="true"/>
        <sz val="9"/>
        <color rgb="FF595959"/>
        <rFont val="Noto Sans CJK SC"/>
        <family val="2"/>
      </rPr>
      <t xml:space="preserve">※ 該当人数の</t>
    </r>
    <r>
      <rPr>
        <i val="true"/>
        <sz val="9"/>
        <color rgb="FF595959"/>
        <rFont val="游ゴシック"/>
        <family val="0"/>
        <charset val="1"/>
      </rPr>
      <t xml:space="preserve">R7</t>
    </r>
    <r>
      <rPr>
        <i val="true"/>
        <sz val="9"/>
        <color rgb="FF595959"/>
        <rFont val="Noto Sans CJK SC"/>
        <family val="2"/>
      </rPr>
      <t xml:space="preserve">時点確定値は町担当課入力後に</t>
    </r>
    <r>
      <rPr>
        <i val="true"/>
        <sz val="9"/>
        <color rgb="FF595959"/>
        <rFont val="游ゴシック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段階版と</t>
    </r>
    <r>
      <rPr>
        <i val="true"/>
        <sz val="9"/>
        <color rgb="FF595959"/>
        <rFont val="游ゴシック"/>
        <family val="0"/>
        <charset val="1"/>
      </rPr>
      <t xml:space="preserve">13</t>
    </r>
    <r>
      <rPr>
        <i val="true"/>
        <sz val="9"/>
        <color rgb="FF595959"/>
        <rFont val="Noto Sans CJK SC"/>
        <family val="2"/>
      </rPr>
      <t xml:space="preserve">段階版で再分布を計算します。</t>
    </r>
  </si>
  <si>
    <r>
      <rPr>
        <b val="true"/>
        <sz val="13"/>
        <color rgb="FFFFFFFF"/>
        <rFont val="游ゴシック"/>
        <family val="0"/>
        <charset val="1"/>
      </rPr>
      <t xml:space="preserve">09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パターン</t>
    </r>
    <r>
      <rPr>
        <b val="true"/>
        <sz val="13"/>
        <color rgb="FFFFFFFF"/>
        <rFont val="游ゴシック"/>
        <family val="0"/>
        <charset val="1"/>
      </rPr>
      <t xml:space="preserve">×9/13</t>
    </r>
    <r>
      <rPr>
        <b val="true"/>
        <sz val="13"/>
        <color rgb="FFFFFFFF"/>
        <rFont val="Noto Sans CJK SC"/>
        <family val="2"/>
      </rPr>
      <t xml:space="preserve">段階 比較分析</t>
    </r>
  </si>
  <si>
    <t xml:space="preserve">── 委員会協議に向けた総合比較表・推奨パターンの検討材料 ──</t>
  </si>
  <si>
    <r>
      <rPr>
        <b val="true"/>
        <sz val="10"/>
        <color rgb="FFFFFFFF"/>
        <rFont val="Noto Sans CJK SC"/>
        <family val="2"/>
      </rPr>
      <t xml:space="preserve">■ 第</t>
    </r>
    <r>
      <rPr>
        <b val="true"/>
        <sz val="10"/>
        <color rgb="FFFFFFFF"/>
        <rFont val="游ゴシック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期基準月額の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パターン比較</t>
    </r>
  </si>
  <si>
    <t xml:space="preserve">月額</t>
  </si>
  <si>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期比</t>
    </r>
  </si>
  <si>
    <t xml:space="preserve">基金活用</t>
  </si>
  <si>
    <t xml:space="preserve">推奨度・特徴</t>
  </si>
  <si>
    <t xml:space="preserve">高</t>
  </si>
  <si>
    <t xml:space="preserve">なし</t>
  </si>
  <si>
    <r>
      <rPr>
        <sz val="10"/>
        <rFont val="Noto Sans CJK SC"/>
        <family val="2"/>
      </rPr>
      <t xml:space="preserve">基金温存・第</t>
    </r>
    <r>
      <rPr>
        <sz val="10"/>
        <rFont val="游ゴシック"/>
        <family val="0"/>
        <charset val="1"/>
      </rPr>
      <t xml:space="preserve">11</t>
    </r>
    <r>
      <rPr>
        <sz val="10"/>
        <rFont val="Noto Sans CJK SC"/>
        <family val="2"/>
      </rPr>
      <t xml:space="preserve">期負担緩和の安定性</t>
    </r>
  </si>
  <si>
    <r>
      <rPr>
        <b val="true"/>
        <sz val="11"/>
        <color rgb="FF1F3864"/>
        <rFont val="游ゴシック"/>
        <family val="0"/>
        <charset val="1"/>
      </rPr>
      <t xml:space="preserve">B 50%</t>
    </r>
    <r>
      <rPr>
        <b val="true"/>
        <sz val="11"/>
        <color rgb="FF1F3864"/>
        <rFont val="Noto Sans CJK SC"/>
        <family val="2"/>
      </rPr>
      <t xml:space="preserve">取崩</t>
    </r>
  </si>
  <si>
    <t xml:space="preserve">中</t>
  </si>
  <si>
    <t xml:space="preserve">50%</t>
  </si>
  <si>
    <r>
      <rPr>
        <sz val="10"/>
        <rFont val="Noto Sans CJK SC"/>
        <family val="2"/>
      </rPr>
      <t xml:space="preserve">中庸選択・住民負担と次期均衡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国推奨水準</t>
    </r>
    <r>
      <rPr>
        <sz val="10"/>
        <rFont val="游ゴシック"/>
        <family val="0"/>
        <charset val="1"/>
      </rPr>
      <t xml:space="preserve">)</t>
    </r>
  </si>
  <si>
    <r>
      <rPr>
        <b val="true"/>
        <sz val="11"/>
        <color rgb="FF1F3864"/>
        <rFont val="游ゴシック"/>
        <family val="0"/>
        <charset val="1"/>
      </rPr>
      <t xml:space="preserve">C </t>
    </r>
    <r>
      <rPr>
        <b val="true"/>
        <sz val="11"/>
        <color rgb="FF1F3864"/>
        <rFont val="Noto Sans CJK SC"/>
        <family val="2"/>
      </rPr>
      <t xml:space="preserve">全額取崩</t>
    </r>
  </si>
  <si>
    <t xml:space="preserve">低</t>
  </si>
  <si>
    <t xml:space="preserve">100%</t>
  </si>
  <si>
    <t xml:space="preserve">住民負担最小化・次期負担増リスク</t>
  </si>
  <si>
    <r>
      <rPr>
        <b val="true"/>
        <sz val="10"/>
        <color rgb="FFFFFFFF"/>
        <rFont val="Noto Sans CJK SC"/>
        <family val="2"/>
      </rPr>
      <t xml:space="preserve">■ 仙南圏域・宮城県との比較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見える化システム参考値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</si>
  <si>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自治体</t>
  </si>
  <si>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9</t>
    </r>
    <r>
      <rPr>
        <b val="true"/>
        <sz val="10"/>
        <color rgb="FFFFFFFF"/>
        <rFont val="Noto Sans CJK SC"/>
        <family val="2"/>
      </rPr>
      <t xml:space="preserve">期月額</t>
    </r>
  </si>
  <si>
    <r>
      <rPr>
        <b val="true"/>
        <sz val="10"/>
        <color rgb="FFFFFFFF"/>
        <rFont val="Noto Sans CJK SC"/>
        <family val="2"/>
      </rPr>
      <t xml:space="preserve">第</t>
    </r>
    <r>
      <rPr>
        <b val="true"/>
        <sz val="10"/>
        <color rgb="FFFFFFFF"/>
        <rFont val="游ゴシック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期月額</t>
    </r>
  </si>
  <si>
    <t xml:space="preserve">高齢化率</t>
  </si>
  <si>
    <r>
      <rPr>
        <b val="true"/>
        <sz val="10"/>
        <color rgb="FF1F3864"/>
        <rFont val="Noto Sans CJK SC"/>
        <family val="2"/>
      </rPr>
      <t xml:space="preserve">川崎町</t>
    </r>
    <r>
      <rPr>
        <b val="true"/>
        <sz val="10"/>
        <color rgb="FF1F3864"/>
        <rFont val="游ゴシック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本町</t>
    </r>
    <r>
      <rPr>
        <b val="true"/>
        <sz val="10"/>
        <color rgb="FF1F3864"/>
        <rFont val="游ゴシック"/>
        <family val="0"/>
        <charset val="1"/>
      </rPr>
      <t xml:space="preserve">)</t>
    </r>
  </si>
  <si>
    <t xml:space="preserve">（試算）</t>
  </si>
  <si>
    <t xml:space="preserve">本町</t>
  </si>
  <si>
    <t xml:space="preserve">柴田町</t>
  </si>
  <si>
    <t xml:space="preserve">見える化システムから入力</t>
  </si>
  <si>
    <t xml:space="preserve">大河原町</t>
  </si>
  <si>
    <t xml:space="preserve">村田町</t>
  </si>
  <si>
    <t xml:space="preserve">蔵王町</t>
  </si>
  <si>
    <t xml:space="preserve">仙南圏域平均</t>
  </si>
  <si>
    <t xml:space="preserve">宮城県平均</t>
  </si>
  <si>
    <t xml:space="preserve">宮城県計画から入力</t>
  </si>
  <si>
    <t xml:space="preserve">全国平均</t>
  </si>
  <si>
    <r>
      <rPr>
        <i val="true"/>
        <sz val="9"/>
        <color rgb="FF595959"/>
        <rFont val="Noto Sans CJK SC"/>
        <family val="2"/>
      </rPr>
      <t xml:space="preserve">全国平均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第</t>
    </r>
    <r>
      <rPr>
        <i val="true"/>
        <sz val="9"/>
        <color rgb="FF595959"/>
        <rFont val="游ゴシック"/>
        <family val="0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期</t>
    </r>
    <r>
      <rPr>
        <i val="true"/>
        <sz val="9"/>
        <color rgb="FF595959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</si>
  <si>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■ 第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回策定委員会向け 委員協議のポイント</t>
    </r>
  </si>
  <si>
    <r>
      <rPr>
        <sz val="10"/>
        <rFont val="Noto Sans CJK SC"/>
        <family val="2"/>
      </rPr>
      <t xml:space="preserve">①住民負担</t>
    </r>
    <r>
      <rPr>
        <sz val="10"/>
        <rFont val="游ゴシック"/>
        <family val="0"/>
        <charset val="1"/>
      </rPr>
      <t xml:space="preserve">vs</t>
    </r>
    <r>
      <rPr>
        <sz val="10"/>
        <rFont val="Noto Sans CJK SC"/>
        <family val="2"/>
      </rPr>
      <t xml:space="preserve">持続可能性のバランス：基金温存</t>
    </r>
    <r>
      <rPr>
        <sz val="10"/>
        <rFont val="游ゴシック"/>
        <family val="0"/>
        <charset val="1"/>
      </rPr>
      <t xml:space="preserve">(A)</t>
    </r>
    <r>
      <rPr>
        <sz val="10"/>
        <rFont val="Noto Sans CJK SC"/>
        <family val="2"/>
      </rPr>
      <t xml:space="preserve">か、住民負担軽減</t>
    </r>
    <r>
      <rPr>
        <sz val="10"/>
        <rFont val="游ゴシック"/>
        <family val="0"/>
        <charset val="1"/>
      </rPr>
      <t xml:space="preserve">(C)</t>
    </r>
    <r>
      <rPr>
        <sz val="10"/>
        <rFont val="Noto Sans CJK SC"/>
        <family val="2"/>
      </rPr>
      <t xml:space="preserve">か、中庸</t>
    </r>
    <r>
      <rPr>
        <sz val="10"/>
        <rFont val="游ゴシック"/>
        <family val="0"/>
        <charset val="1"/>
      </rPr>
      <t xml:space="preserve">(B)</t>
    </r>
    <r>
      <rPr>
        <sz val="10"/>
        <rFont val="Noto Sans CJK SC"/>
        <family val="2"/>
      </rPr>
      <t xml:space="preserve">か。</t>
    </r>
  </si>
  <si>
    <r>
      <rPr>
        <sz val="10"/>
        <rFont val="Noto Sans CJK SC"/>
        <family val="2"/>
      </rPr>
      <t xml:space="preserve">②国推奨水準との比較：国はパターン</t>
    </r>
    <r>
      <rPr>
        <sz val="10"/>
        <rFont val="游ゴシック"/>
        <family val="0"/>
        <charset val="1"/>
      </rPr>
      <t xml:space="preserve">B(50%</t>
    </r>
    <r>
      <rPr>
        <sz val="10"/>
        <rFont val="Noto Sans CJK SC"/>
        <family val="2"/>
      </rPr>
      <t xml:space="preserve">取崩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を標準的水準として推奨。</t>
    </r>
  </si>
  <si>
    <t xml:space="preserve">③仙南圏域・宮城県平均との水準感：本町は宮城県平均より若干上の水準で推移する見込み。</t>
  </si>
  <si>
    <r>
      <rPr>
        <sz val="10"/>
        <rFont val="Noto Sans CJK SC"/>
        <family val="2"/>
      </rPr>
      <t xml:space="preserve">④第</t>
    </r>
    <r>
      <rPr>
        <sz val="10"/>
        <rFont val="游ゴシック"/>
        <family val="0"/>
        <charset val="1"/>
      </rPr>
      <t xml:space="preserve">11</t>
    </r>
    <r>
      <rPr>
        <sz val="10"/>
        <rFont val="Noto Sans CJK SC"/>
        <family val="2"/>
      </rPr>
      <t xml:space="preserve">期</t>
    </r>
    <r>
      <rPr>
        <sz val="10"/>
        <rFont val="游ゴシック"/>
        <family val="0"/>
        <charset val="1"/>
      </rPr>
      <t xml:space="preserve">(R12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の予測：給付費上昇傾向の中で、第</t>
    </r>
    <r>
      <rPr>
        <sz val="10"/>
        <rFont val="游ゴシック"/>
        <family val="0"/>
        <charset val="1"/>
      </rPr>
      <t xml:space="preserve">11</t>
    </r>
    <r>
      <rPr>
        <sz val="10"/>
        <rFont val="Noto Sans CJK SC"/>
        <family val="2"/>
      </rPr>
      <t xml:space="preserve">期負担増のリスクを勘案。</t>
    </r>
  </si>
  <si>
    <r>
      <rPr>
        <sz val="10"/>
        <rFont val="Noto Sans CJK SC"/>
        <family val="2"/>
      </rPr>
      <t xml:space="preserve">⑤所得段階区分</t>
    </r>
    <r>
      <rPr>
        <sz val="10"/>
        <rFont val="游ゴシック"/>
        <family val="0"/>
        <charset val="1"/>
      </rPr>
      <t xml:space="preserve">(9→13</t>
    </r>
    <r>
      <rPr>
        <sz val="10"/>
        <rFont val="Noto Sans CJK SC"/>
        <family val="2"/>
      </rPr>
      <t xml:space="preserve">段階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の影響：低所得層負担軽減と高所得層応分負担のバランス。</t>
    </r>
  </si>
  <si>
    <r>
      <rPr>
        <sz val="10"/>
        <rFont val="Noto Sans CJK SC"/>
        <family val="2"/>
      </rPr>
      <t xml:space="preserve">⑥委員会では各委員に</t>
    </r>
    <r>
      <rPr>
        <sz val="10"/>
        <rFont val="游ゴシック"/>
        <family val="0"/>
        <charset val="1"/>
      </rPr>
      <t xml:space="preserve">A/B/C</t>
    </r>
    <r>
      <rPr>
        <sz val="10"/>
        <rFont val="Noto Sans CJK SC"/>
        <family val="2"/>
      </rPr>
      <t xml:space="preserve">の選好を伺い、論点整理→次回再協議の流れを推奨。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</si>
</sst>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#,##0"/>
    <numFmt numFmtId="167" formatCode="0%"/>
    <numFmt numFmtId="168" formatCode="0.0%"/>
    <numFmt numFmtId="169" formatCode="0.00"/>
    <numFmt numFmtId="170" formatCode="\¥#,##0"/>
    <numFmt numFmtId="171" formatCode="\+0.0%;\-0.0%;0.0%"/>
    <numFmt numFmtId="172" formatCode="0.000"/>
    <numFmt numFmtId="173" formatCode="0.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游ゴシック"/>
      <family val="0"/>
      <charset val="1"/>
    </font>
    <font>
      <i val="true"/>
      <sz val="10"/>
      <color rgb="FFFFFFFF"/>
      <name val="游ゴシック"/>
      <family val="0"/>
      <charset val="1"/>
    </font>
    <font>
      <i val="true"/>
      <sz val="10"/>
      <color rgb="FFFFFFFF"/>
      <name val="Noto Sans CJK SC"/>
      <family val="2"/>
    </font>
    <font>
      <b val="true"/>
      <sz val="10"/>
      <color rgb="FFFFFFFF"/>
      <name val="游ゴシック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0"/>
      <name val="Noto Sans CJK SC"/>
      <family val="2"/>
    </font>
    <font>
      <b val="true"/>
      <sz val="10"/>
      <color rgb="FF1F3864"/>
      <name val="游ゴシック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游ゴシック"/>
      <family val="0"/>
      <charset val="1"/>
    </font>
    <font>
      <b val="true"/>
      <sz val="10"/>
      <color rgb="FF006100"/>
      <name val="游ゴシック"/>
      <family val="0"/>
      <charset val="1"/>
    </font>
    <font>
      <b val="true"/>
      <sz val="10"/>
      <color rgb="FF0000FF"/>
      <name val="游ゴシック"/>
      <family val="0"/>
      <charset val="1"/>
    </font>
    <font>
      <b val="true"/>
      <sz val="10"/>
      <color rgb="FF0000FF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006100"/>
      <name val="Noto Sans CJK SC"/>
      <family val="2"/>
    </font>
    <font>
      <b val="true"/>
      <sz val="11"/>
      <color rgb="FFFFFFFF"/>
      <name val="游ゴシック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C00000"/>
      <name val="游ゴシック"/>
      <family val="0"/>
      <charset val="1"/>
    </font>
    <font>
      <b val="true"/>
      <sz val="11"/>
      <color rgb="FF1F3864"/>
      <name val="游ゴシック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ED7D31"/>
      <name val="游ゴシック"/>
      <family val="0"/>
      <charset val="1"/>
    </font>
    <font>
      <b val="true"/>
      <sz val="11"/>
      <color rgb="FFED7D31"/>
      <name val="Noto Sans CJK SC"/>
      <family val="2"/>
    </font>
    <font>
      <b val="true"/>
      <sz val="11"/>
      <color rgb="FF548235"/>
      <name val="游ゴシック"/>
      <family val="0"/>
      <charset val="1"/>
    </font>
    <font>
      <b val="true"/>
      <sz val="11"/>
      <color rgb="FF548235"/>
      <name val="Noto Sans CJK SC"/>
      <family val="2"/>
    </font>
    <font>
      <b val="true"/>
      <sz val="12"/>
      <color rgb="FFFFFFFF"/>
      <name val="游ゴシック"/>
      <family val="0"/>
      <charset val="1"/>
    </font>
    <font>
      <b val="true"/>
      <sz val="12"/>
      <color rgb="FFFFFFFF"/>
      <name val="Noto Sans CJK SC"/>
      <family val="2"/>
    </font>
    <font>
      <b val="true"/>
      <sz val="14"/>
      <color rgb="FFC00000"/>
      <name val="游ゴシック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AE3F3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E4E4"/>
        <bgColor rgb="FFFCE4D6"/>
      </patternFill>
    </fill>
    <fill>
      <patternFill patternType="solid">
        <fgColor rgb="FFFFF2CC"/>
        <bgColor rgb="FFFFFFCC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E4E4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4E4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7" customFormat="false" ht="21.75" hidden="false" customHeight="true" outlineLevel="0" collapsed="false">
      <c r="A7" s="3" t="s">
        <v>4</v>
      </c>
      <c r="B7" s="3"/>
      <c r="C7" s="3"/>
      <c r="D7" s="3"/>
      <c r="E7" s="3"/>
      <c r="F7" s="3"/>
      <c r="G7" s="3"/>
    </row>
    <row r="8" customFormat="false" ht="21.75" hidden="false" customHeight="true" outlineLevel="0" collapsed="false">
      <c r="A8" s="5" t="s">
        <v>5</v>
      </c>
      <c r="B8" s="5" t="s">
        <v>6</v>
      </c>
      <c r="C8" s="5"/>
      <c r="D8" s="5"/>
      <c r="E8" s="5"/>
      <c r="F8" s="5" t="s">
        <v>7</v>
      </c>
      <c r="G8" s="5"/>
    </row>
    <row r="9" customFormat="false" ht="25.5" hidden="false" customHeight="true" outlineLevel="0" collapsed="false">
      <c r="A9" s="6" t="s">
        <v>8</v>
      </c>
      <c r="B9" s="4" t="s">
        <v>9</v>
      </c>
      <c r="C9" s="4"/>
      <c r="D9" s="4"/>
      <c r="E9" s="4"/>
      <c r="F9" s="7" t="s">
        <v>10</v>
      </c>
      <c r="G9" s="7"/>
    </row>
    <row r="10" customFormat="false" ht="25.5" hidden="false" customHeight="true" outlineLevel="0" collapsed="false">
      <c r="A10" s="6" t="s">
        <v>11</v>
      </c>
      <c r="B10" s="4" t="s">
        <v>12</v>
      </c>
      <c r="C10" s="4"/>
      <c r="D10" s="4"/>
      <c r="E10" s="4"/>
      <c r="F10" s="8" t="s">
        <v>13</v>
      </c>
      <c r="G10" s="8"/>
    </row>
    <row r="11" customFormat="false" ht="25.5" hidden="false" customHeight="true" outlineLevel="0" collapsed="false">
      <c r="A11" s="6" t="s">
        <v>14</v>
      </c>
      <c r="B11" s="4" t="s">
        <v>15</v>
      </c>
      <c r="C11" s="4"/>
      <c r="D11" s="4"/>
      <c r="E11" s="4"/>
      <c r="F11" s="8" t="s">
        <v>16</v>
      </c>
      <c r="G11" s="8"/>
    </row>
    <row r="12" customFormat="false" ht="25.5" hidden="false" customHeight="true" outlineLevel="0" collapsed="false">
      <c r="A12" s="6" t="s">
        <v>17</v>
      </c>
      <c r="B12" s="4" t="s">
        <v>18</v>
      </c>
      <c r="C12" s="4"/>
      <c r="D12" s="4"/>
      <c r="E12" s="4"/>
      <c r="F12" s="8" t="s">
        <v>19</v>
      </c>
      <c r="G12" s="8"/>
    </row>
    <row r="13" customFormat="false" ht="25.5" hidden="false" customHeight="true" outlineLevel="0" collapsed="false">
      <c r="A13" s="6" t="s">
        <v>20</v>
      </c>
      <c r="B13" s="4" t="s">
        <v>21</v>
      </c>
      <c r="C13" s="4"/>
      <c r="D13" s="4"/>
      <c r="E13" s="4"/>
      <c r="F13" s="8" t="s">
        <v>22</v>
      </c>
      <c r="G13" s="8"/>
    </row>
    <row r="14" customFormat="false" ht="25.5" hidden="false" customHeight="true" outlineLevel="0" collapsed="false">
      <c r="A14" s="6" t="s">
        <v>23</v>
      </c>
      <c r="B14" s="4" t="s">
        <v>24</v>
      </c>
      <c r="C14" s="4"/>
      <c r="D14" s="4"/>
      <c r="E14" s="4"/>
      <c r="F14" s="8" t="s">
        <v>25</v>
      </c>
      <c r="G14" s="8"/>
    </row>
    <row r="15" customFormat="false" ht="25.5" hidden="false" customHeight="true" outlineLevel="0" collapsed="false">
      <c r="A15" s="6" t="s">
        <v>26</v>
      </c>
      <c r="B15" s="4" t="s">
        <v>27</v>
      </c>
      <c r="C15" s="4"/>
      <c r="D15" s="4"/>
      <c r="E15" s="4"/>
      <c r="F15" s="8" t="s">
        <v>28</v>
      </c>
      <c r="G15" s="8"/>
    </row>
    <row r="16" customFormat="false" ht="25.5" hidden="false" customHeight="true" outlineLevel="0" collapsed="false">
      <c r="A16" s="6" t="s">
        <v>29</v>
      </c>
      <c r="B16" s="9" t="s">
        <v>30</v>
      </c>
      <c r="C16" s="9"/>
      <c r="D16" s="9"/>
      <c r="E16" s="9"/>
      <c r="F16" s="8" t="s">
        <v>28</v>
      </c>
      <c r="G16" s="8"/>
    </row>
    <row r="17" customFormat="false" ht="25.5" hidden="false" customHeight="true" outlineLevel="0" collapsed="false">
      <c r="A17" s="6" t="s">
        <v>31</v>
      </c>
      <c r="B17" s="9" t="s">
        <v>32</v>
      </c>
      <c r="C17" s="9"/>
      <c r="D17" s="9"/>
      <c r="E17" s="9"/>
      <c r="F17" s="7" t="s">
        <v>33</v>
      </c>
      <c r="G17" s="7"/>
    </row>
    <row r="19" customFormat="false" ht="21.75" hidden="false" customHeight="true" outlineLevel="0" collapsed="false">
      <c r="A19" s="3" t="s">
        <v>34</v>
      </c>
      <c r="B19" s="3"/>
      <c r="C19" s="3"/>
      <c r="D19" s="3"/>
      <c r="E19" s="3"/>
      <c r="F19" s="3"/>
      <c r="G19" s="3"/>
    </row>
    <row r="20" customFormat="false" ht="21.75" hidden="false" customHeight="true" outlineLevel="0" collapsed="false">
      <c r="A20" s="10" t="s">
        <v>35</v>
      </c>
      <c r="B20" s="4" t="s">
        <v>36</v>
      </c>
      <c r="C20" s="4"/>
      <c r="D20" s="4"/>
      <c r="E20" s="4"/>
      <c r="F20" s="4"/>
      <c r="G20" s="4"/>
    </row>
    <row r="21" customFormat="false" ht="21.75" hidden="false" customHeight="true" outlineLevel="0" collapsed="false">
      <c r="A21" s="11" t="s">
        <v>37</v>
      </c>
      <c r="B21" s="4" t="s">
        <v>38</v>
      </c>
      <c r="C21" s="4"/>
      <c r="D21" s="4"/>
      <c r="E21" s="4"/>
      <c r="F21" s="4"/>
      <c r="G21" s="4"/>
    </row>
    <row r="22" customFormat="false" ht="21.75" hidden="false" customHeight="true" outlineLevel="0" collapsed="false">
      <c r="A22" s="12" t="s">
        <v>39</v>
      </c>
      <c r="B22" s="4" t="s">
        <v>40</v>
      </c>
      <c r="C22" s="4"/>
      <c r="D22" s="4"/>
      <c r="E22" s="4"/>
      <c r="F22" s="4"/>
      <c r="G22" s="4"/>
    </row>
    <row r="23" customFormat="false" ht="21.75" hidden="false" customHeight="true" outlineLevel="0" collapsed="false">
      <c r="A23" s="13" t="s">
        <v>41</v>
      </c>
      <c r="B23" s="4" t="s">
        <v>42</v>
      </c>
      <c r="C23" s="4"/>
      <c r="D23" s="4"/>
      <c r="E23" s="4"/>
      <c r="F23" s="4"/>
      <c r="G23" s="4"/>
    </row>
    <row r="25" customFormat="false" ht="21.75" hidden="false" customHeight="true" outlineLevel="0" collapsed="false">
      <c r="A25" s="3" t="s">
        <v>43</v>
      </c>
      <c r="B25" s="3"/>
      <c r="C25" s="3"/>
      <c r="D25" s="3"/>
      <c r="E25" s="3"/>
      <c r="F25" s="3"/>
      <c r="G25" s="3"/>
    </row>
    <row r="26" customFormat="false" ht="21.75" hidden="false" customHeight="true" outlineLevel="0" collapsed="false">
      <c r="A26" s="14" t="s">
        <v>44</v>
      </c>
      <c r="B26" s="5" t="s">
        <v>6</v>
      </c>
      <c r="C26" s="5"/>
      <c r="D26" s="5"/>
      <c r="E26" s="5" t="s">
        <v>45</v>
      </c>
      <c r="F26" s="5"/>
      <c r="G26" s="5" t="s">
        <v>5</v>
      </c>
    </row>
    <row r="27" customFormat="false" ht="24" hidden="false" customHeight="true" outlineLevel="0" collapsed="false">
      <c r="A27" s="15" t="s">
        <v>46</v>
      </c>
      <c r="B27" s="4" t="s">
        <v>47</v>
      </c>
      <c r="C27" s="4"/>
      <c r="D27" s="4"/>
      <c r="E27" s="16" t="s">
        <v>48</v>
      </c>
      <c r="F27" s="16"/>
      <c r="G27" s="8" t="s">
        <v>49</v>
      </c>
    </row>
    <row r="28" customFormat="false" ht="24" hidden="false" customHeight="true" outlineLevel="0" collapsed="false">
      <c r="A28" s="15" t="s">
        <v>50</v>
      </c>
      <c r="B28" s="4" t="s">
        <v>51</v>
      </c>
      <c r="C28" s="4"/>
      <c r="D28" s="4"/>
      <c r="E28" s="17" t="s">
        <v>52</v>
      </c>
      <c r="F28" s="17"/>
      <c r="G28" s="8" t="s">
        <v>49</v>
      </c>
    </row>
    <row r="29" customFormat="false" ht="24" hidden="false" customHeight="true" outlineLevel="0" collapsed="false">
      <c r="A29" s="15" t="s">
        <v>53</v>
      </c>
      <c r="B29" s="4" t="s">
        <v>54</v>
      </c>
      <c r="C29" s="4"/>
      <c r="D29" s="4"/>
      <c r="E29" s="17" t="s">
        <v>55</v>
      </c>
      <c r="F29" s="17"/>
      <c r="G29" s="8" t="s">
        <v>56</v>
      </c>
    </row>
    <row r="30" customFormat="false" ht="24" hidden="false" customHeight="true" outlineLevel="0" collapsed="false">
      <c r="A30" s="15" t="s">
        <v>57</v>
      </c>
      <c r="B30" s="4" t="s">
        <v>58</v>
      </c>
      <c r="C30" s="4"/>
      <c r="D30" s="4"/>
      <c r="E30" s="17" t="s">
        <v>59</v>
      </c>
      <c r="F30" s="17"/>
      <c r="G30" s="8" t="s">
        <v>56</v>
      </c>
    </row>
    <row r="31" customFormat="false" ht="24" hidden="false" customHeight="true" outlineLevel="0" collapsed="false">
      <c r="A31" s="15" t="s">
        <v>19</v>
      </c>
      <c r="B31" s="4" t="s">
        <v>60</v>
      </c>
      <c r="C31" s="4"/>
      <c r="D31" s="4"/>
      <c r="E31" s="17" t="s">
        <v>61</v>
      </c>
      <c r="F31" s="17"/>
      <c r="G31" s="8" t="s">
        <v>62</v>
      </c>
    </row>
    <row r="32" customFormat="false" ht="24" hidden="false" customHeight="true" outlineLevel="0" collapsed="false">
      <c r="A32" s="15" t="s">
        <v>22</v>
      </c>
      <c r="B32" s="4" t="s">
        <v>63</v>
      </c>
      <c r="C32" s="4"/>
      <c r="D32" s="4"/>
      <c r="E32" s="17" t="s">
        <v>64</v>
      </c>
      <c r="F32" s="17"/>
      <c r="G32" s="8" t="s">
        <v>65</v>
      </c>
    </row>
    <row r="33" customFormat="false" ht="24" hidden="false" customHeight="true" outlineLevel="0" collapsed="false">
      <c r="A33" s="15" t="s">
        <v>66</v>
      </c>
      <c r="B33" s="4" t="s">
        <v>67</v>
      </c>
      <c r="C33" s="4"/>
      <c r="D33" s="4"/>
      <c r="E33" s="17" t="s">
        <v>68</v>
      </c>
      <c r="F33" s="17"/>
      <c r="G33" s="8" t="s">
        <v>69</v>
      </c>
    </row>
    <row r="34" customFormat="false" ht="24" hidden="false" customHeight="true" outlineLevel="0" collapsed="false">
      <c r="A34" s="15" t="s">
        <v>70</v>
      </c>
      <c r="B34" s="4" t="s">
        <v>71</v>
      </c>
      <c r="C34" s="4"/>
      <c r="D34" s="4"/>
      <c r="E34" s="17" t="s">
        <v>72</v>
      </c>
      <c r="F34" s="17"/>
      <c r="G34" s="8" t="s">
        <v>69</v>
      </c>
    </row>
    <row r="36" customFormat="false" ht="21.75" hidden="false" customHeight="true" outlineLevel="0" collapsed="false">
      <c r="A36" s="3" t="s">
        <v>73</v>
      </c>
      <c r="B36" s="3"/>
      <c r="C36" s="3"/>
      <c r="D36" s="3"/>
      <c r="E36" s="3"/>
      <c r="F36" s="3"/>
      <c r="G36" s="3"/>
    </row>
    <row r="37" customFormat="false" ht="25.5" hidden="false" customHeight="true" outlineLevel="0" collapsed="false">
      <c r="A37" s="18" t="s">
        <v>74</v>
      </c>
      <c r="B37" s="18"/>
      <c r="C37" s="18"/>
      <c r="D37" s="18"/>
      <c r="E37" s="18"/>
      <c r="F37" s="18"/>
      <c r="G37" s="18"/>
    </row>
    <row r="38" customFormat="false" ht="25.5" hidden="false" customHeight="true" outlineLevel="0" collapsed="false">
      <c r="A38" s="18" t="s">
        <v>75</v>
      </c>
      <c r="B38" s="18"/>
      <c r="C38" s="18"/>
      <c r="D38" s="18"/>
      <c r="E38" s="18"/>
      <c r="F38" s="18"/>
      <c r="G38" s="18"/>
    </row>
    <row r="39" customFormat="false" ht="25.5" hidden="false" customHeight="true" outlineLevel="0" collapsed="false">
      <c r="A39" s="18" t="s">
        <v>76</v>
      </c>
      <c r="B39" s="18"/>
      <c r="C39" s="18"/>
      <c r="D39" s="18"/>
      <c r="E39" s="18"/>
      <c r="F39" s="18"/>
      <c r="G39" s="18"/>
    </row>
    <row r="40" customFormat="false" ht="25.5" hidden="false" customHeight="true" outlineLevel="0" collapsed="false">
      <c r="A40" s="19" t="s">
        <v>77</v>
      </c>
      <c r="B40" s="19"/>
      <c r="C40" s="19"/>
      <c r="D40" s="19"/>
      <c r="E40" s="19"/>
      <c r="F40" s="19"/>
      <c r="G40" s="19"/>
    </row>
    <row r="41" customFormat="false" ht="25.5" hidden="false" customHeight="true" outlineLevel="0" collapsed="false">
      <c r="A41" s="19" t="s">
        <v>78</v>
      </c>
      <c r="B41" s="19"/>
      <c r="C41" s="19"/>
      <c r="D41" s="19"/>
      <c r="E41" s="19"/>
      <c r="F41" s="19"/>
      <c r="G41" s="19"/>
    </row>
  </sheetData>
  <mergeCells count="55">
    <mergeCell ref="A1:G1"/>
    <mergeCell ref="A2:G2"/>
    <mergeCell ref="A4:G4"/>
    <mergeCell ref="A5:G5"/>
    <mergeCell ref="A7:G7"/>
    <mergeCell ref="B8:E8"/>
    <mergeCell ref="F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A19:G19"/>
    <mergeCell ref="B20:G20"/>
    <mergeCell ref="B21:G21"/>
    <mergeCell ref="B22:G22"/>
    <mergeCell ref="B23:G23"/>
    <mergeCell ref="A25:G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A36:G36"/>
    <mergeCell ref="A37:G37"/>
    <mergeCell ref="A38:G38"/>
    <mergeCell ref="A39:G39"/>
    <mergeCell ref="A40:G40"/>
    <mergeCell ref="A41:G4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25.5" hidden="false" customHeight="true" outlineLevel="0" collapsed="false">
      <c r="A1" s="20" t="s">
        <v>79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1" t="s">
        <v>80</v>
      </c>
      <c r="B2" s="21"/>
      <c r="C2" s="21"/>
      <c r="D2" s="21"/>
      <c r="E2" s="21"/>
      <c r="F2" s="21"/>
    </row>
    <row r="4" customFormat="false" ht="21.75" hidden="false" customHeight="true" outlineLevel="0" collapsed="false">
      <c r="A4" s="3" t="s">
        <v>81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5" t="s">
        <v>82</v>
      </c>
      <c r="B5" s="14" t="s">
        <v>83</v>
      </c>
      <c r="C5" s="14"/>
      <c r="D5" s="5" t="s">
        <v>84</v>
      </c>
      <c r="E5" s="5"/>
      <c r="F5" s="5" t="s">
        <v>85</v>
      </c>
    </row>
    <row r="6" customFormat="false" ht="24" hidden="false" customHeight="true" outlineLevel="0" collapsed="false">
      <c r="A6" s="22" t="s">
        <v>86</v>
      </c>
      <c r="B6" s="23" t="n">
        <v>3244</v>
      </c>
      <c r="C6" s="23"/>
      <c r="D6" s="4" t="s">
        <v>87</v>
      </c>
      <c r="E6" s="4"/>
      <c r="F6" s="16" t="s">
        <v>88</v>
      </c>
    </row>
    <row r="7" customFormat="false" ht="24" hidden="false" customHeight="true" outlineLevel="0" collapsed="false">
      <c r="A7" s="22" t="s">
        <v>89</v>
      </c>
      <c r="B7" s="24" t="s">
        <v>90</v>
      </c>
      <c r="C7" s="24"/>
      <c r="D7" s="4" t="s">
        <v>91</v>
      </c>
      <c r="E7" s="4"/>
      <c r="F7" s="16" t="s">
        <v>92</v>
      </c>
    </row>
    <row r="8" customFormat="false" ht="24" hidden="false" customHeight="true" outlineLevel="0" collapsed="false">
      <c r="A8" s="22" t="s">
        <v>93</v>
      </c>
      <c r="B8" s="24" t="s">
        <v>90</v>
      </c>
      <c r="C8" s="24"/>
      <c r="D8" s="4" t="s">
        <v>94</v>
      </c>
      <c r="E8" s="4"/>
      <c r="F8" s="16" t="s">
        <v>95</v>
      </c>
    </row>
    <row r="9" customFormat="false" ht="24" hidden="false" customHeight="true" outlineLevel="0" collapsed="false">
      <c r="A9" s="22" t="s">
        <v>96</v>
      </c>
      <c r="B9" s="24" t="s">
        <v>90</v>
      </c>
      <c r="C9" s="24"/>
      <c r="D9" s="4" t="s">
        <v>97</v>
      </c>
      <c r="E9" s="4"/>
      <c r="F9" s="16" t="s">
        <v>95</v>
      </c>
    </row>
    <row r="10" customFormat="false" ht="24" hidden="false" customHeight="true" outlineLevel="0" collapsed="false">
      <c r="A10" s="22" t="s">
        <v>98</v>
      </c>
      <c r="B10" s="24" t="s">
        <v>90</v>
      </c>
      <c r="C10" s="24"/>
      <c r="D10" s="4" t="s">
        <v>99</v>
      </c>
      <c r="E10" s="4"/>
      <c r="F10" s="16" t="s">
        <v>95</v>
      </c>
    </row>
    <row r="11" customFormat="false" ht="24" hidden="false" customHeight="true" outlineLevel="0" collapsed="false">
      <c r="A11" s="15" t="s">
        <v>100</v>
      </c>
      <c r="B11" s="25" t="n">
        <f aca="false">SUM(B8:B10)</f>
        <v>0</v>
      </c>
      <c r="C11" s="25"/>
      <c r="D11" s="17" t="s">
        <v>101</v>
      </c>
      <c r="E11" s="17"/>
      <c r="F11" s="16" t="s">
        <v>102</v>
      </c>
    </row>
    <row r="13" customFormat="false" ht="21.75" hidden="false" customHeight="true" outlineLevel="0" collapsed="false">
      <c r="A13" s="3" t="s">
        <v>103</v>
      </c>
      <c r="B13" s="3"/>
      <c r="C13" s="3"/>
      <c r="D13" s="3"/>
      <c r="E13" s="3"/>
      <c r="F13" s="3"/>
    </row>
    <row r="14" customFormat="false" ht="21.75" hidden="false" customHeight="true" outlineLevel="0" collapsed="false">
      <c r="A14" s="5" t="s">
        <v>104</v>
      </c>
      <c r="B14" s="5" t="s">
        <v>105</v>
      </c>
      <c r="C14" s="5"/>
      <c r="D14" s="5" t="s">
        <v>106</v>
      </c>
      <c r="E14" s="5"/>
      <c r="F14" s="5"/>
    </row>
    <row r="15" customFormat="false" ht="24" hidden="false" customHeight="true" outlineLevel="0" collapsed="false">
      <c r="A15" s="26" t="s">
        <v>107</v>
      </c>
      <c r="B15" s="24" t="s">
        <v>108</v>
      </c>
      <c r="C15" s="24"/>
      <c r="D15" s="17" t="s">
        <v>109</v>
      </c>
      <c r="E15" s="17"/>
      <c r="F15" s="17"/>
    </row>
    <row r="16" customFormat="false" ht="24" hidden="false" customHeight="true" outlineLevel="0" collapsed="false">
      <c r="A16" s="26" t="s">
        <v>110</v>
      </c>
      <c r="B16" s="25" t="s">
        <v>111</v>
      </c>
      <c r="C16" s="25"/>
      <c r="D16" s="16" t="s">
        <v>112</v>
      </c>
      <c r="E16" s="16"/>
      <c r="F16" s="16"/>
    </row>
    <row r="18" customFormat="false" ht="21.75" hidden="false" customHeight="true" outlineLevel="0" collapsed="false">
      <c r="A18" s="3" t="s">
        <v>113</v>
      </c>
      <c r="B18" s="3"/>
      <c r="C18" s="3"/>
      <c r="D18" s="3"/>
      <c r="E18" s="3"/>
      <c r="F18" s="3"/>
    </row>
    <row r="19" customFormat="false" ht="21.75" hidden="false" customHeight="true" outlineLevel="0" collapsed="false">
      <c r="A19" s="5" t="s">
        <v>82</v>
      </c>
      <c r="B19" s="5" t="s">
        <v>114</v>
      </c>
      <c r="C19" s="5"/>
      <c r="D19" s="5" t="s">
        <v>115</v>
      </c>
      <c r="E19" s="5"/>
      <c r="F19" s="5" t="s">
        <v>85</v>
      </c>
    </row>
    <row r="20" customFormat="false" ht="24" hidden="false" customHeight="true" outlineLevel="0" collapsed="false">
      <c r="A20" s="22" t="s">
        <v>116</v>
      </c>
      <c r="B20" s="23" t="n">
        <v>96.3</v>
      </c>
      <c r="C20" s="23"/>
      <c r="D20" s="23" t="n">
        <v>99</v>
      </c>
      <c r="E20" s="23"/>
      <c r="F20" s="16" t="s">
        <v>117</v>
      </c>
    </row>
    <row r="21" customFormat="false" ht="24" hidden="false" customHeight="true" outlineLevel="0" collapsed="false">
      <c r="A21" s="22" t="s">
        <v>118</v>
      </c>
      <c r="B21" s="24" t="s">
        <v>90</v>
      </c>
      <c r="C21" s="24"/>
      <c r="D21" s="24" t="s">
        <v>90</v>
      </c>
      <c r="E21" s="24"/>
      <c r="F21" s="16" t="s">
        <v>119</v>
      </c>
    </row>
    <row r="22" customFormat="false" ht="24" hidden="false" customHeight="true" outlineLevel="0" collapsed="false">
      <c r="A22" s="22" t="s">
        <v>120</v>
      </c>
      <c r="B22" s="24" t="s">
        <v>90</v>
      </c>
      <c r="C22" s="24"/>
      <c r="D22" s="24" t="s">
        <v>90</v>
      </c>
      <c r="E22" s="24"/>
      <c r="F22" s="16" t="s">
        <v>119</v>
      </c>
    </row>
    <row r="23" customFormat="false" ht="24" hidden="false" customHeight="true" outlineLevel="0" collapsed="false">
      <c r="A23" s="22" t="s">
        <v>121</v>
      </c>
      <c r="B23" s="24" t="s">
        <v>90</v>
      </c>
      <c r="C23" s="24"/>
      <c r="D23" s="24" t="s">
        <v>90</v>
      </c>
      <c r="E23" s="24"/>
      <c r="F23" s="16" t="s">
        <v>119</v>
      </c>
    </row>
    <row r="24" customFormat="false" ht="24" hidden="false" customHeight="true" outlineLevel="0" collapsed="false">
      <c r="A24" s="22" t="s">
        <v>122</v>
      </c>
      <c r="B24" s="24" t="s">
        <v>90</v>
      </c>
      <c r="C24" s="24"/>
      <c r="D24" s="24" t="s">
        <v>90</v>
      </c>
      <c r="E24" s="24"/>
      <c r="F24" s="16" t="s">
        <v>123</v>
      </c>
    </row>
    <row r="25" customFormat="false" ht="24" hidden="false" customHeight="true" outlineLevel="0" collapsed="false">
      <c r="A25" s="15" t="s">
        <v>124</v>
      </c>
      <c r="B25" s="25" t="n">
        <f aca="false">AVERAGE(B19:B23)</f>
        <v>96.3</v>
      </c>
      <c r="C25" s="25"/>
      <c r="D25" s="25" t="n">
        <f aca="false">AVERAGE(D19:D23)</f>
        <v>99</v>
      </c>
      <c r="E25" s="25"/>
      <c r="F25" s="16" t="s">
        <v>125</v>
      </c>
    </row>
    <row r="27" customFormat="false" ht="21.75" hidden="false" customHeight="true" outlineLevel="0" collapsed="false">
      <c r="A27" s="3" t="s">
        <v>126</v>
      </c>
      <c r="B27" s="3"/>
      <c r="C27" s="3"/>
      <c r="D27" s="3"/>
      <c r="E27" s="3"/>
      <c r="F27" s="3"/>
    </row>
    <row r="28" customFormat="false" ht="21.75" hidden="false" customHeight="true" outlineLevel="0" collapsed="false">
      <c r="A28" s="5" t="s">
        <v>127</v>
      </c>
      <c r="B28" s="5" t="s">
        <v>128</v>
      </c>
      <c r="C28" s="5"/>
      <c r="D28" s="5" t="s">
        <v>84</v>
      </c>
      <c r="E28" s="5"/>
      <c r="F28" s="5"/>
    </row>
    <row r="29" customFormat="false" ht="24" hidden="false" customHeight="true" outlineLevel="0" collapsed="false">
      <c r="A29" s="26" t="s">
        <v>129</v>
      </c>
      <c r="B29" s="23" t="s">
        <v>130</v>
      </c>
      <c r="C29" s="23"/>
      <c r="D29" s="17" t="s">
        <v>131</v>
      </c>
      <c r="E29" s="17"/>
      <c r="F29" s="17"/>
    </row>
    <row r="30" customFormat="false" ht="24" hidden="false" customHeight="true" outlineLevel="0" collapsed="false">
      <c r="A30" s="26" t="s">
        <v>132</v>
      </c>
      <c r="B30" s="23" t="s">
        <v>133</v>
      </c>
      <c r="C30" s="23"/>
      <c r="D30" s="16" t="s">
        <v>134</v>
      </c>
      <c r="E30" s="16"/>
      <c r="F30" s="16"/>
    </row>
    <row r="31" customFormat="false" ht="24" hidden="false" customHeight="true" outlineLevel="0" collapsed="false">
      <c r="A31" s="26" t="s">
        <v>135</v>
      </c>
      <c r="B31" s="23" t="s">
        <v>136</v>
      </c>
      <c r="C31" s="23"/>
      <c r="D31" s="16" t="s">
        <v>137</v>
      </c>
      <c r="E31" s="16"/>
      <c r="F31" s="16"/>
    </row>
    <row r="32" customFormat="false" ht="24" hidden="false" customHeight="true" outlineLevel="0" collapsed="false">
      <c r="A32" s="26" t="s">
        <v>138</v>
      </c>
      <c r="B32" s="23" t="s">
        <v>139</v>
      </c>
      <c r="C32" s="23"/>
      <c r="D32" s="16" t="s">
        <v>140</v>
      </c>
      <c r="E32" s="16"/>
      <c r="F32" s="16"/>
    </row>
    <row r="33" customFormat="false" ht="24" hidden="false" customHeight="true" outlineLevel="0" collapsed="false">
      <c r="A33" s="26" t="s">
        <v>141</v>
      </c>
      <c r="B33" s="23" t="s">
        <v>139</v>
      </c>
      <c r="C33" s="23"/>
      <c r="D33" s="16" t="s">
        <v>140</v>
      </c>
      <c r="E33" s="16"/>
      <c r="F33" s="16"/>
    </row>
    <row r="34" customFormat="false" ht="24" hidden="false" customHeight="true" outlineLevel="0" collapsed="false">
      <c r="A34" s="26" t="s">
        <v>142</v>
      </c>
      <c r="B34" s="23" t="s">
        <v>143</v>
      </c>
      <c r="C34" s="23"/>
      <c r="D34" s="17" t="s">
        <v>144</v>
      </c>
      <c r="E34" s="17"/>
      <c r="F34" s="17"/>
    </row>
    <row r="35" customFormat="false" ht="24" hidden="false" customHeight="true" outlineLevel="0" collapsed="false">
      <c r="A35" s="26" t="s">
        <v>145</v>
      </c>
      <c r="B35" s="23" t="s">
        <v>146</v>
      </c>
      <c r="C35" s="23"/>
      <c r="D35" s="17" t="s">
        <v>147</v>
      </c>
      <c r="E35" s="17"/>
      <c r="F35" s="17"/>
    </row>
  </sheetData>
  <mergeCells count="56">
    <mergeCell ref="A1:F1"/>
    <mergeCell ref="A2:F2"/>
    <mergeCell ref="A4:F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A13:F13"/>
    <mergeCell ref="B14:C14"/>
    <mergeCell ref="D14:F14"/>
    <mergeCell ref="B15:C15"/>
    <mergeCell ref="D15:F15"/>
    <mergeCell ref="B16:C16"/>
    <mergeCell ref="D16:F16"/>
    <mergeCell ref="A18:F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20" t="s">
        <v>148</v>
      </c>
      <c r="B1" s="20"/>
      <c r="C1" s="20"/>
      <c r="D1" s="20"/>
      <c r="E1" s="20"/>
      <c r="F1" s="20"/>
      <c r="G1" s="20"/>
    </row>
    <row r="2" customFormat="false" ht="19.5" hidden="false" customHeight="true" outlineLevel="0" collapsed="false">
      <c r="A2" s="27" t="s">
        <v>149</v>
      </c>
      <c r="B2" s="27"/>
      <c r="C2" s="27"/>
      <c r="D2" s="27"/>
      <c r="E2" s="27"/>
      <c r="F2" s="27"/>
      <c r="G2" s="27"/>
    </row>
    <row r="4" customFormat="false" ht="21.75" hidden="false" customHeight="true" outlineLevel="0" collapsed="false">
      <c r="A4" s="3" t="s">
        <v>150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5" t="s">
        <v>151</v>
      </c>
      <c r="B5" s="28" t="s">
        <v>152</v>
      </c>
      <c r="C5" s="14" t="s">
        <v>153</v>
      </c>
      <c r="D5" s="14" t="s">
        <v>154</v>
      </c>
      <c r="E5" s="14" t="s">
        <v>155</v>
      </c>
      <c r="F5" s="29" t="s">
        <v>156</v>
      </c>
      <c r="G5" s="5" t="s">
        <v>84</v>
      </c>
    </row>
    <row r="6" customFormat="false" ht="24" hidden="false" customHeight="true" outlineLevel="0" collapsed="false">
      <c r="A6" s="26" t="s">
        <v>157</v>
      </c>
      <c r="B6" s="30" t="n">
        <v>365000</v>
      </c>
      <c r="C6" s="31"/>
      <c r="D6" s="31"/>
      <c r="E6" s="31"/>
      <c r="F6" s="32" t="n">
        <f aca="false">SUM(C6:E6)</f>
        <v>0</v>
      </c>
      <c r="G6" s="17" t="s">
        <v>158</v>
      </c>
    </row>
    <row r="7" customFormat="false" ht="24" hidden="false" customHeight="true" outlineLevel="0" collapsed="false">
      <c r="A7" s="26" t="s">
        <v>159</v>
      </c>
      <c r="B7" s="30" t="n">
        <v>152000</v>
      </c>
      <c r="C7" s="31"/>
      <c r="D7" s="31"/>
      <c r="E7" s="31"/>
      <c r="F7" s="32" t="n">
        <f aca="false">SUM(C7:E7)</f>
        <v>0</v>
      </c>
      <c r="G7" s="17" t="s">
        <v>160</v>
      </c>
    </row>
    <row r="8" customFormat="false" ht="24" hidden="false" customHeight="true" outlineLevel="0" collapsed="false">
      <c r="A8" s="26" t="s">
        <v>161</v>
      </c>
      <c r="B8" s="30" t="n">
        <v>441000</v>
      </c>
      <c r="C8" s="31"/>
      <c r="D8" s="31"/>
      <c r="E8" s="31"/>
      <c r="F8" s="32" t="n">
        <f aca="false">SUM(C8:E8)</f>
        <v>0</v>
      </c>
      <c r="G8" s="17" t="s">
        <v>162</v>
      </c>
    </row>
    <row r="9" customFormat="false" ht="24" hidden="false" customHeight="true" outlineLevel="0" collapsed="false">
      <c r="A9" s="26" t="s">
        <v>163</v>
      </c>
      <c r="B9" s="30" t="n">
        <v>2857</v>
      </c>
      <c r="C9" s="31"/>
      <c r="D9" s="31"/>
      <c r="E9" s="31"/>
      <c r="F9" s="32" t="n">
        <f aca="false">SUM(C9:E9)</f>
        <v>0</v>
      </c>
      <c r="G9" s="17" t="s">
        <v>164</v>
      </c>
    </row>
    <row r="10" customFormat="false" ht="31.5" hidden="false" customHeight="true" outlineLevel="0" collapsed="false">
      <c r="A10" s="33" t="s">
        <v>165</v>
      </c>
      <c r="B10" s="30" t="n">
        <f aca="false">SUM(B6:B9)</f>
        <v>960857</v>
      </c>
      <c r="C10" s="32" t="n">
        <f aca="false">SUM(C6:C9)</f>
        <v>0</v>
      </c>
      <c r="D10" s="32" t="n">
        <f aca="false">SUM(D6:D9)</f>
        <v>0</v>
      </c>
      <c r="E10" s="32" t="n">
        <f aca="false">SUM(E6:E9)</f>
        <v>0</v>
      </c>
      <c r="F10" s="34" t="n">
        <f aca="false">SUM(F6:F9)</f>
        <v>0</v>
      </c>
      <c r="G10" s="17" t="s">
        <v>166</v>
      </c>
    </row>
    <row r="12" customFormat="false" ht="21.75" hidden="false" customHeight="true" outlineLevel="0" collapsed="false">
      <c r="A12" s="19" t="s">
        <v>167</v>
      </c>
      <c r="B12" s="19"/>
      <c r="C12" s="19"/>
      <c r="D12" s="19"/>
      <c r="E12" s="19"/>
      <c r="F12" s="19"/>
      <c r="G12" s="19"/>
    </row>
    <row r="13" customFormat="false" ht="21.75" hidden="false" customHeight="true" outlineLevel="0" collapsed="false">
      <c r="A13" s="18" t="s">
        <v>168</v>
      </c>
      <c r="B13" s="18"/>
      <c r="C13" s="18"/>
      <c r="D13" s="18"/>
      <c r="E13" s="18"/>
      <c r="F13" s="18"/>
      <c r="G13" s="18"/>
    </row>
    <row r="14" customFormat="false" ht="21.75" hidden="false" customHeight="true" outlineLevel="0" collapsed="false">
      <c r="A14" s="18" t="s">
        <v>169</v>
      </c>
      <c r="B14" s="18"/>
      <c r="C14" s="18"/>
      <c r="D14" s="18"/>
      <c r="E14" s="18"/>
      <c r="F14" s="18"/>
      <c r="G14" s="18"/>
    </row>
  </sheetData>
  <mergeCells count="6">
    <mergeCell ref="A1:G1"/>
    <mergeCell ref="A2:G2"/>
    <mergeCell ref="A4:G4"/>
    <mergeCell ref="A12:G12"/>
    <mergeCell ref="A13:G13"/>
    <mergeCell ref="A14:G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6" min="4" style="0" width="14"/>
  </cols>
  <sheetData>
    <row r="1" customFormat="false" ht="25.5" hidden="false" customHeight="true" outlineLevel="0" collapsed="false">
      <c r="A1" s="20" t="s">
        <v>170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7" t="s">
        <v>171</v>
      </c>
      <c r="B2" s="27"/>
      <c r="C2" s="27"/>
      <c r="D2" s="27"/>
      <c r="E2" s="27"/>
      <c r="F2" s="27"/>
    </row>
    <row r="4" customFormat="false" ht="21.75" hidden="false" customHeight="true" outlineLevel="0" collapsed="false">
      <c r="A4" s="3" t="s">
        <v>172</v>
      </c>
      <c r="B4" s="3"/>
      <c r="C4" s="3"/>
      <c r="D4" s="3"/>
      <c r="E4" s="3"/>
      <c r="F4" s="3"/>
    </row>
    <row r="5" customFormat="false" ht="24" hidden="false" customHeight="true" outlineLevel="0" collapsed="false">
      <c r="A5" s="5" t="s">
        <v>173</v>
      </c>
      <c r="B5" s="28" t="s">
        <v>174</v>
      </c>
      <c r="C5" s="14" t="s">
        <v>153</v>
      </c>
      <c r="D5" s="14" t="s">
        <v>154</v>
      </c>
      <c r="E5" s="14" t="s">
        <v>155</v>
      </c>
      <c r="F5" s="29" t="s">
        <v>156</v>
      </c>
    </row>
    <row r="6" customFormat="false" ht="24" hidden="false" customHeight="true" outlineLevel="0" collapsed="false">
      <c r="A6" s="26" t="s">
        <v>175</v>
      </c>
      <c r="B6" s="30" t="n">
        <v>5650</v>
      </c>
      <c r="C6" s="31"/>
      <c r="D6" s="31"/>
      <c r="E6" s="31"/>
      <c r="F6" s="32" t="n">
        <f aca="false">SUM(C6:E6)</f>
        <v>0</v>
      </c>
    </row>
    <row r="7" customFormat="false" ht="24" hidden="false" customHeight="true" outlineLevel="0" collapsed="false">
      <c r="A7" s="26" t="s">
        <v>176</v>
      </c>
      <c r="B7" s="30" t="n">
        <v>1950</v>
      </c>
      <c r="C7" s="31"/>
      <c r="D7" s="31"/>
      <c r="E7" s="31"/>
      <c r="F7" s="32" t="n">
        <f aca="false">SUM(C7:E7)</f>
        <v>0</v>
      </c>
    </row>
    <row r="8" customFormat="false" ht="24" hidden="false" customHeight="true" outlineLevel="0" collapsed="false">
      <c r="A8" s="26" t="s">
        <v>177</v>
      </c>
      <c r="B8" s="30" t="n">
        <v>24471</v>
      </c>
      <c r="C8" s="31"/>
      <c r="D8" s="31"/>
      <c r="E8" s="31"/>
      <c r="F8" s="32" t="n">
        <f aca="false">SUM(C8:E8)</f>
        <v>0</v>
      </c>
    </row>
    <row r="9" customFormat="false" ht="27.75" hidden="false" customHeight="true" outlineLevel="0" collapsed="false">
      <c r="A9" s="33" t="s">
        <v>178</v>
      </c>
      <c r="B9" s="30" t="n">
        <f aca="false">SUM(B6:B8)</f>
        <v>32071</v>
      </c>
      <c r="C9" s="32" t="n">
        <f aca="false">SUM(C6:C8)</f>
        <v>0</v>
      </c>
      <c r="D9" s="32" t="n">
        <f aca="false">SUM(D6:D8)</f>
        <v>0</v>
      </c>
      <c r="E9" s="32" t="n">
        <f aca="false">SUM(E6:E8)</f>
        <v>0</v>
      </c>
      <c r="F9" s="34" t="n">
        <f aca="false">SUM(F6:F8)</f>
        <v>0</v>
      </c>
    </row>
    <row r="11" customFormat="false" ht="21.75" hidden="false" customHeight="true" outlineLevel="0" collapsed="false">
      <c r="A11" s="3" t="s">
        <v>179</v>
      </c>
      <c r="B11" s="3"/>
      <c r="C11" s="3"/>
      <c r="D11" s="3"/>
      <c r="E11" s="3"/>
      <c r="F11" s="3"/>
    </row>
    <row r="12" customFormat="false" ht="21.75" hidden="false" customHeight="true" outlineLevel="0" collapsed="false">
      <c r="A12" s="35" t="s">
        <v>180</v>
      </c>
      <c r="B12" s="35"/>
      <c r="C12" s="35"/>
      <c r="D12" s="35"/>
      <c r="E12" s="35"/>
      <c r="F12" s="35"/>
    </row>
    <row r="13" customFormat="false" ht="21.75" hidden="false" customHeight="true" outlineLevel="0" collapsed="false">
      <c r="A13" s="5" t="s">
        <v>104</v>
      </c>
      <c r="B13" s="36" t="s">
        <v>181</v>
      </c>
      <c r="C13" s="36"/>
      <c r="D13" s="5" t="s">
        <v>84</v>
      </c>
      <c r="E13" s="5"/>
      <c r="F13" s="5"/>
    </row>
    <row r="14" customFormat="false" ht="24" hidden="false" customHeight="true" outlineLevel="0" collapsed="false">
      <c r="A14" s="6" t="s">
        <v>182</v>
      </c>
      <c r="B14" s="37" t="n">
        <f aca="false">'02_Step1-2_標準給付費'!F10</f>
        <v>0</v>
      </c>
      <c r="C14" s="37"/>
      <c r="D14" s="16" t="s">
        <v>183</v>
      </c>
      <c r="E14" s="16"/>
      <c r="F14" s="16"/>
    </row>
    <row r="15" customFormat="false" ht="24" hidden="false" customHeight="true" outlineLevel="0" collapsed="false">
      <c r="A15" s="6" t="s">
        <v>184</v>
      </c>
      <c r="B15" s="37" t="n">
        <f aca="false">F9</f>
        <v>0</v>
      </c>
      <c r="C15" s="37"/>
      <c r="D15" s="16" t="s">
        <v>185</v>
      </c>
      <c r="E15" s="16"/>
      <c r="F15" s="16"/>
    </row>
    <row r="16" customFormat="false" ht="24" hidden="false" customHeight="true" outlineLevel="0" collapsed="false">
      <c r="A16" s="26" t="s">
        <v>186</v>
      </c>
      <c r="B16" s="37" t="n">
        <f aca="false">B14+B15</f>
        <v>0</v>
      </c>
      <c r="C16" s="37"/>
      <c r="D16" s="17" t="s">
        <v>187</v>
      </c>
      <c r="E16" s="17"/>
      <c r="F16" s="17"/>
    </row>
    <row r="17" customFormat="false" ht="31.5" hidden="false" customHeight="true" outlineLevel="0" collapsed="false">
      <c r="A17" s="33" t="s">
        <v>188</v>
      </c>
      <c r="B17" s="38" t="n">
        <f aca="false">B16*0.23</f>
        <v>0</v>
      </c>
      <c r="C17" s="38"/>
      <c r="D17" s="17" t="s">
        <v>189</v>
      </c>
      <c r="E17" s="17"/>
      <c r="F17" s="17"/>
    </row>
  </sheetData>
  <mergeCells count="15">
    <mergeCell ref="A1:F1"/>
    <mergeCell ref="A2:F2"/>
    <mergeCell ref="A4:F4"/>
    <mergeCell ref="A11:F11"/>
    <mergeCell ref="A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6" min="4" style="0" width="14"/>
  </cols>
  <sheetData>
    <row r="1" customFormat="false" ht="25.5" hidden="false" customHeight="true" outlineLevel="0" collapsed="false">
      <c r="A1" s="20" t="s">
        <v>190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7" t="s">
        <v>191</v>
      </c>
      <c r="B2" s="27"/>
      <c r="C2" s="27"/>
      <c r="D2" s="27"/>
      <c r="E2" s="27"/>
      <c r="F2" s="27"/>
    </row>
    <row r="4" customFormat="false" ht="21.75" hidden="false" customHeight="true" outlineLevel="0" collapsed="false">
      <c r="A4" s="3" t="s">
        <v>192</v>
      </c>
      <c r="B4" s="3"/>
      <c r="C4" s="3"/>
      <c r="D4" s="3"/>
      <c r="E4" s="3"/>
      <c r="F4" s="3"/>
    </row>
    <row r="5" customFormat="false" ht="49.5" hidden="false" customHeight="true" outlineLevel="0" collapsed="false">
      <c r="A5" s="35" t="s">
        <v>193</v>
      </c>
      <c r="B5" s="35"/>
      <c r="C5" s="35"/>
      <c r="D5" s="35"/>
      <c r="E5" s="35"/>
      <c r="F5" s="35"/>
    </row>
    <row r="6" customFormat="false" ht="21.75" hidden="false" customHeight="true" outlineLevel="0" collapsed="false">
      <c r="A6" s="5" t="s">
        <v>104</v>
      </c>
      <c r="B6" s="36" t="s">
        <v>128</v>
      </c>
      <c r="C6" s="36"/>
      <c r="D6" s="5" t="s">
        <v>84</v>
      </c>
      <c r="E6" s="5"/>
      <c r="F6" s="5"/>
    </row>
    <row r="7" customFormat="false" ht="24" hidden="false" customHeight="true" outlineLevel="0" collapsed="false">
      <c r="A7" s="26" t="s">
        <v>142</v>
      </c>
      <c r="B7" s="23" t="s">
        <v>194</v>
      </c>
      <c r="C7" s="23"/>
      <c r="D7" s="16" t="s">
        <v>195</v>
      </c>
      <c r="E7" s="16"/>
      <c r="F7" s="16"/>
    </row>
    <row r="8" customFormat="false" ht="24" hidden="false" customHeight="true" outlineLevel="0" collapsed="false">
      <c r="A8" s="26" t="s">
        <v>196</v>
      </c>
      <c r="B8" s="24" t="s">
        <v>194</v>
      </c>
      <c r="C8" s="24"/>
      <c r="D8" s="16" t="s">
        <v>197</v>
      </c>
      <c r="E8" s="16"/>
      <c r="F8" s="16"/>
    </row>
    <row r="9" customFormat="false" ht="24" hidden="false" customHeight="true" outlineLevel="0" collapsed="false">
      <c r="A9" s="26" t="s">
        <v>198</v>
      </c>
      <c r="B9" s="37" t="n">
        <f aca="false">'02_Step1-2_標準給付費'!F10</f>
        <v>0</v>
      </c>
      <c r="C9" s="37"/>
      <c r="D9" s="16" t="s">
        <v>199</v>
      </c>
      <c r="E9" s="16"/>
      <c r="F9" s="16"/>
    </row>
    <row r="10" customFormat="false" ht="31.5" hidden="false" customHeight="true" outlineLevel="0" collapsed="false">
      <c r="A10" s="33" t="s">
        <v>200</v>
      </c>
      <c r="B10" s="38" t="n">
        <f aca="false">B9*B8</f>
        <v>0</v>
      </c>
      <c r="C10" s="38"/>
      <c r="D10" s="16" t="s">
        <v>201</v>
      </c>
      <c r="E10" s="16"/>
      <c r="F10" s="16"/>
    </row>
    <row r="12" customFormat="false" ht="21.75" hidden="false" customHeight="true" outlineLevel="0" collapsed="false">
      <c r="A12" s="39" t="s">
        <v>202</v>
      </c>
      <c r="B12" s="39"/>
      <c r="C12" s="39"/>
      <c r="D12" s="39"/>
      <c r="E12" s="39"/>
      <c r="F12" s="39"/>
    </row>
    <row r="13" customFormat="false" ht="24" hidden="false" customHeight="true" outlineLevel="0" collapsed="false">
      <c r="A13" s="26" t="s">
        <v>203</v>
      </c>
      <c r="B13" s="37" t="n">
        <f aca="false">B8*0.05</f>
        <v>0.0025</v>
      </c>
      <c r="C13" s="37"/>
      <c r="D13" s="16" t="s">
        <v>204</v>
      </c>
      <c r="E13" s="16"/>
      <c r="F13" s="16"/>
    </row>
    <row r="14" customFormat="false" ht="24" hidden="false" customHeight="true" outlineLevel="0" collapsed="false">
      <c r="A14" s="40" t="s">
        <v>205</v>
      </c>
      <c r="B14" s="37" t="n">
        <f aca="false">B9-B13</f>
        <v>-0.0025</v>
      </c>
      <c r="C14" s="37"/>
      <c r="D14" s="16" t="s">
        <v>206</v>
      </c>
      <c r="E14" s="16"/>
      <c r="F14" s="16"/>
    </row>
  </sheetData>
  <mergeCells count="19">
    <mergeCell ref="A1:F1"/>
    <mergeCell ref="A2:F2"/>
    <mergeCell ref="A4:F4"/>
    <mergeCell ref="A5:F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A12:F12"/>
    <mergeCell ref="B13:C13"/>
    <mergeCell ref="D13:F13"/>
    <mergeCell ref="B14:C14"/>
    <mergeCell ref="D14:F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20" t="s">
        <v>207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1" t="s">
        <v>208</v>
      </c>
      <c r="B2" s="21"/>
      <c r="C2" s="21"/>
      <c r="D2" s="21"/>
      <c r="E2" s="21"/>
      <c r="F2" s="21"/>
    </row>
    <row r="4" customFormat="false" ht="21.75" hidden="false" customHeight="true" outlineLevel="0" collapsed="false">
      <c r="A4" s="39" t="s">
        <v>209</v>
      </c>
      <c r="B4" s="39"/>
      <c r="C4" s="39"/>
      <c r="D4" s="39"/>
      <c r="E4" s="39"/>
      <c r="F4" s="39"/>
    </row>
    <row r="5" customFormat="false" ht="24" hidden="false" customHeight="true" outlineLevel="0" collapsed="false">
      <c r="A5" s="26" t="s">
        <v>210</v>
      </c>
      <c r="B5" s="37" t="str">
        <f aca="false">01_入力_基礎データ!B15</f>
        <v>[町担当課入力]</v>
      </c>
      <c r="C5" s="37"/>
      <c r="D5" s="16" t="s">
        <v>211</v>
      </c>
      <c r="E5" s="16"/>
      <c r="F5" s="16"/>
    </row>
    <row r="7" customFormat="false" ht="21.75" hidden="false" customHeight="true" outlineLevel="0" collapsed="false">
      <c r="A7" s="3" t="s">
        <v>212</v>
      </c>
      <c r="B7" s="3"/>
      <c r="C7" s="3"/>
      <c r="D7" s="3"/>
      <c r="E7" s="3"/>
      <c r="F7" s="3"/>
    </row>
    <row r="8" customFormat="false" ht="24" hidden="false" customHeight="true" outlineLevel="0" collapsed="false">
      <c r="A8" s="5" t="s">
        <v>213</v>
      </c>
      <c r="B8" s="5" t="s">
        <v>214</v>
      </c>
      <c r="C8" s="36" t="s">
        <v>215</v>
      </c>
      <c r="D8" s="5" t="s">
        <v>216</v>
      </c>
      <c r="E8" s="5" t="s">
        <v>217</v>
      </c>
      <c r="F8" s="5"/>
    </row>
    <row r="9" customFormat="false" ht="27.75" hidden="false" customHeight="true" outlineLevel="0" collapsed="false">
      <c r="A9" s="41" t="s">
        <v>218</v>
      </c>
      <c r="B9" s="42" t="n">
        <v>0</v>
      </c>
      <c r="C9" s="34" t="e">
        <f aca="false">$B$5*B9</f>
        <v>#VALUE!</v>
      </c>
      <c r="D9" s="32" t="e">
        <f aca="false">$B$5-C9</f>
        <v>#VALUE!</v>
      </c>
      <c r="E9" s="4" t="s">
        <v>219</v>
      </c>
      <c r="F9" s="4"/>
    </row>
    <row r="10" customFormat="false" ht="27.75" hidden="false" customHeight="true" outlineLevel="0" collapsed="false">
      <c r="A10" s="43" t="s">
        <v>220</v>
      </c>
      <c r="B10" s="44" t="n">
        <v>0.5</v>
      </c>
      <c r="C10" s="34" t="e">
        <f aca="false">$B$5*B10</f>
        <v>#VALUE!</v>
      </c>
      <c r="D10" s="32" t="e">
        <f aca="false">$B$5-C10</f>
        <v>#VALUE!</v>
      </c>
      <c r="E10" s="4" t="s">
        <v>221</v>
      </c>
      <c r="F10" s="4"/>
    </row>
    <row r="11" customFormat="false" ht="27.75" hidden="false" customHeight="true" outlineLevel="0" collapsed="false">
      <c r="A11" s="45" t="s">
        <v>222</v>
      </c>
      <c r="B11" s="46" t="n">
        <v>1</v>
      </c>
      <c r="C11" s="34" t="e">
        <f aca="false">$B$5*B11</f>
        <v>#VALUE!</v>
      </c>
      <c r="D11" s="32" t="e">
        <f aca="false">$B$5-C11</f>
        <v>#VALUE!</v>
      </c>
      <c r="E11" s="4" t="s">
        <v>223</v>
      </c>
      <c r="F11" s="4"/>
    </row>
    <row r="13" customFormat="false" ht="25.5" hidden="false" customHeight="true" outlineLevel="0" collapsed="false">
      <c r="A13" s="18" t="s">
        <v>224</v>
      </c>
      <c r="B13" s="18"/>
      <c r="C13" s="18"/>
      <c r="D13" s="18"/>
      <c r="E13" s="18"/>
      <c r="F13" s="18"/>
    </row>
    <row r="14" customFormat="false" ht="25.5" hidden="false" customHeight="true" outlineLevel="0" collapsed="false">
      <c r="A14" s="18" t="s">
        <v>225</v>
      </c>
      <c r="B14" s="18"/>
      <c r="C14" s="18"/>
      <c r="D14" s="18"/>
      <c r="E14" s="18"/>
      <c r="F14" s="18"/>
    </row>
    <row r="15" customFormat="false" ht="25.5" hidden="false" customHeight="true" outlineLevel="0" collapsed="false">
      <c r="A15" s="18" t="s">
        <v>226</v>
      </c>
      <c r="B15" s="18"/>
      <c r="C15" s="18"/>
      <c r="D15" s="18"/>
      <c r="E15" s="18"/>
      <c r="F15" s="18"/>
    </row>
    <row r="16" customFormat="false" ht="25.5" hidden="false" customHeight="true" outlineLevel="0" collapsed="false">
      <c r="A16" s="18" t="s">
        <v>227</v>
      </c>
      <c r="B16" s="18"/>
      <c r="C16" s="18"/>
      <c r="D16" s="18"/>
      <c r="E16" s="18"/>
      <c r="F16" s="18"/>
    </row>
  </sheetData>
  <mergeCells count="14">
    <mergeCell ref="A1:F1"/>
    <mergeCell ref="A2:F2"/>
    <mergeCell ref="A4:F4"/>
    <mergeCell ref="B5:C5"/>
    <mergeCell ref="D5:F5"/>
    <mergeCell ref="A7:F7"/>
    <mergeCell ref="E8:F8"/>
    <mergeCell ref="E9:F9"/>
    <mergeCell ref="E10:F10"/>
    <mergeCell ref="E11:F11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20" t="s">
        <v>228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1" t="s">
        <v>229</v>
      </c>
      <c r="B2" s="21"/>
      <c r="C2" s="21"/>
      <c r="D2" s="21"/>
      <c r="E2" s="21"/>
      <c r="F2" s="21"/>
    </row>
    <row r="4" customFormat="false" ht="21.75" hidden="false" customHeight="true" outlineLevel="0" collapsed="false">
      <c r="A4" s="3" t="s">
        <v>230</v>
      </c>
      <c r="B4" s="3"/>
      <c r="C4" s="3"/>
      <c r="D4" s="3"/>
      <c r="E4" s="3"/>
      <c r="F4" s="3"/>
    </row>
    <row r="5" customFormat="false" ht="21.75" hidden="false" customHeight="true" outlineLevel="0" collapsed="false">
      <c r="A5" s="35" t="s">
        <v>231</v>
      </c>
      <c r="B5" s="35"/>
      <c r="C5" s="35"/>
      <c r="D5" s="35"/>
      <c r="E5" s="35"/>
      <c r="F5" s="35"/>
    </row>
    <row r="6" customFormat="false" ht="24" hidden="false" customHeight="true" outlineLevel="0" collapsed="false">
      <c r="A6" s="5" t="s">
        <v>104</v>
      </c>
      <c r="B6" s="36" t="s">
        <v>232</v>
      </c>
      <c r="C6" s="5" t="s">
        <v>233</v>
      </c>
      <c r="D6" s="47" t="s">
        <v>234</v>
      </c>
      <c r="E6" s="48" t="s">
        <v>235</v>
      </c>
      <c r="F6" s="5" t="s">
        <v>84</v>
      </c>
    </row>
    <row r="7" customFormat="false" ht="24" hidden="false" customHeight="true" outlineLevel="0" collapsed="false">
      <c r="A7" s="6" t="s">
        <v>236</v>
      </c>
      <c r="B7" s="32" t="n">
        <f aca="false">'03_Step3-4_地域支援等'!B17</f>
        <v>0</v>
      </c>
      <c r="C7" s="32" t="n">
        <f aca="false">$B$8</f>
        <v>0</v>
      </c>
      <c r="D7" s="32" t="n">
        <f aca="false">$B$8</f>
        <v>0</v>
      </c>
      <c r="E7" s="32" t="n">
        <f aca="false">$B$8</f>
        <v>0</v>
      </c>
      <c r="F7" s="17" t="s">
        <v>237</v>
      </c>
    </row>
    <row r="8" customFormat="false" ht="24" hidden="false" customHeight="true" outlineLevel="0" collapsed="false">
      <c r="A8" s="6" t="s">
        <v>238</v>
      </c>
      <c r="B8" s="32" t="n">
        <f aca="false">04_Step5_調整交付金!B9</f>
        <v>0</v>
      </c>
      <c r="C8" s="32" t="str">
        <f aca="false">$B$9</f>
        <v>(パターン別)</v>
      </c>
      <c r="D8" s="32" t="str">
        <f aca="false">$B$9</f>
        <v>(パターン別)</v>
      </c>
      <c r="E8" s="32" t="str">
        <f aca="false">$B$9</f>
        <v>(パターン別)</v>
      </c>
      <c r="F8" s="17" t="s">
        <v>237</v>
      </c>
    </row>
    <row r="9" customFormat="false" ht="24" hidden="false" customHeight="true" outlineLevel="0" collapsed="false">
      <c r="A9" s="6" t="s">
        <v>239</v>
      </c>
      <c r="B9" s="49" t="s">
        <v>240</v>
      </c>
      <c r="C9" s="32" t="e">
        <f aca="false">05_Step6_基金3パターン!C9</f>
        <v>#VALUE!</v>
      </c>
      <c r="D9" s="50" t="e">
        <f aca="false">05_Step6_基金3パターン!C10</f>
        <v>#VALUE!</v>
      </c>
      <c r="E9" s="51" t="e">
        <f aca="false">05_Step6_基金3パターン!C11</f>
        <v>#VALUE!</v>
      </c>
      <c r="F9" s="16" t="s">
        <v>241</v>
      </c>
    </row>
    <row r="10" customFormat="false" ht="31.5" hidden="false" customHeight="true" outlineLevel="0" collapsed="false">
      <c r="A10" s="33" t="s">
        <v>242</v>
      </c>
      <c r="B10" s="49" t="s">
        <v>243</v>
      </c>
      <c r="C10" s="34" t="e">
        <f aca="false">C8-C9-C10</f>
        <v>#VALUE!</v>
      </c>
      <c r="D10" s="34" t="e">
        <f aca="false">D8-D9-D10</f>
        <v>#VALUE!</v>
      </c>
      <c r="E10" s="34" t="e">
        <f aca="false">E8-E9-E10</f>
        <v>#VALUE!</v>
      </c>
      <c r="F10" s="17" t="s">
        <v>244</v>
      </c>
    </row>
    <row r="12" customFormat="false" ht="21.75" hidden="false" customHeight="true" outlineLevel="0" collapsed="false">
      <c r="A12" s="3" t="s">
        <v>245</v>
      </c>
      <c r="B12" s="3"/>
      <c r="C12" s="3"/>
      <c r="D12" s="3"/>
      <c r="E12" s="3"/>
      <c r="F12" s="3"/>
    </row>
    <row r="13" customFormat="false" ht="36" hidden="false" customHeight="true" outlineLevel="0" collapsed="false">
      <c r="A13" s="35" t="s">
        <v>246</v>
      </c>
      <c r="B13" s="35"/>
      <c r="C13" s="35"/>
      <c r="D13" s="35"/>
      <c r="E13" s="35"/>
      <c r="F13" s="35"/>
    </row>
    <row r="14" customFormat="false" ht="24" hidden="false" customHeight="true" outlineLevel="0" collapsed="false">
      <c r="A14" s="26" t="s">
        <v>247</v>
      </c>
      <c r="B14" s="37" t="n">
        <f aca="false">01_入力_基礎データ!B11</f>
        <v>0</v>
      </c>
      <c r="C14" s="37"/>
      <c r="D14" s="16" t="s">
        <v>248</v>
      </c>
      <c r="E14" s="16"/>
      <c r="F14" s="16"/>
    </row>
    <row r="15" customFormat="false" ht="24" hidden="false" customHeight="true" outlineLevel="0" collapsed="false">
      <c r="A15" s="26" t="s">
        <v>249</v>
      </c>
      <c r="B15" s="52" t="e">
        <f aca="false">01_入力_基礎データ!B24/100</f>
        <v>#VALUE!</v>
      </c>
      <c r="C15" s="52"/>
      <c r="D15" s="16" t="s">
        <v>250</v>
      </c>
      <c r="E15" s="16"/>
      <c r="F15" s="16"/>
    </row>
    <row r="16" customFormat="false" ht="24" hidden="false" customHeight="true" outlineLevel="0" collapsed="false">
      <c r="A16" s="26" t="s">
        <v>251</v>
      </c>
      <c r="B16" s="53" t="s">
        <v>252</v>
      </c>
      <c r="C16" s="53"/>
      <c r="D16" s="17" t="s">
        <v>253</v>
      </c>
      <c r="E16" s="17"/>
      <c r="F16" s="17"/>
    </row>
    <row r="18" customFormat="false" ht="39.75" hidden="false" customHeight="true" outlineLevel="0" collapsed="false">
      <c r="A18" s="54" t="s">
        <v>254</v>
      </c>
      <c r="B18" s="55" t="s">
        <v>255</v>
      </c>
      <c r="C18" s="56" t="str">
        <f aca="false">IFERROR(C11*1000/($B$15*12*$B$16*$B$17),"町データ入力後算定")</f>
        <v>町データ入力後算定</v>
      </c>
      <c r="D18" s="56" t="str">
        <f aca="false">IFERROR(D11*1000/($B$15*12*$B$16*$B$17),"町データ入力後算定")</f>
        <v>町データ入力後算定</v>
      </c>
      <c r="E18" s="56" t="str">
        <f aca="false">IFERROR(E11*1000/($B$15*12*$B$16*$B$17),"町データ入力後算定")</f>
        <v>町データ入力後算定</v>
      </c>
      <c r="F18" s="57" t="s">
        <v>256</v>
      </c>
    </row>
    <row r="20" customFormat="false" ht="21.75" hidden="false" customHeight="true" outlineLevel="0" collapsed="false">
      <c r="A20" s="39" t="s">
        <v>257</v>
      </c>
      <c r="B20" s="39"/>
      <c r="C20" s="39"/>
      <c r="D20" s="39"/>
      <c r="E20" s="39"/>
      <c r="F20" s="39"/>
    </row>
    <row r="21" customFormat="false" ht="21.75" hidden="false" customHeight="true" outlineLevel="0" collapsed="false">
      <c r="A21" s="5" t="s">
        <v>258</v>
      </c>
      <c r="B21" s="48" t="s">
        <v>259</v>
      </c>
      <c r="C21" s="48" t="s">
        <v>260</v>
      </c>
      <c r="D21" s="5" t="s">
        <v>261</v>
      </c>
      <c r="E21" s="47" t="s">
        <v>262</v>
      </c>
      <c r="F21" s="48" t="s">
        <v>263</v>
      </c>
    </row>
    <row r="22" customFormat="false" ht="24" hidden="false" customHeight="true" outlineLevel="0" collapsed="false">
      <c r="A22" s="26" t="s">
        <v>264</v>
      </c>
      <c r="B22" s="58" t="n">
        <v>6380</v>
      </c>
      <c r="C22" s="58" t="n">
        <v>6500</v>
      </c>
      <c r="D22" s="59" t="str">
        <f aca="false">IFERROR(C18,"未算定")</f>
        <v>町データ入力後算定</v>
      </c>
      <c r="E22" s="59" t="str">
        <f aca="false">IFERROR(D18,"未算定")</f>
        <v>町データ入力後算定</v>
      </c>
      <c r="F22" s="59" t="str">
        <f aca="false">IFERROR(E18,"未算定")</f>
        <v>町データ入力後算定</v>
      </c>
    </row>
    <row r="23" customFormat="false" ht="24" hidden="false" customHeight="true" outlineLevel="0" collapsed="false">
      <c r="A23" s="26" t="s">
        <v>265</v>
      </c>
      <c r="B23" s="60"/>
      <c r="C23" s="60"/>
      <c r="D23" s="61" t="str">
        <f aca="false">IFERROR((D22/$C$22-1)*100,"未算定")</f>
        <v>未算定</v>
      </c>
      <c r="E23" s="61" t="str">
        <f aca="false">IFERROR((E22/$C$22-1)*100,"未算定")</f>
        <v>未算定</v>
      </c>
      <c r="F23" s="61" t="str">
        <f aca="false">IFERROR((F22/$C$22-1)*100,"未算定")</f>
        <v>未算定</v>
      </c>
    </row>
  </sheetData>
  <mergeCells count="13">
    <mergeCell ref="A1:F1"/>
    <mergeCell ref="A2:F2"/>
    <mergeCell ref="A4:F4"/>
    <mergeCell ref="A5:F5"/>
    <mergeCell ref="A12:F12"/>
    <mergeCell ref="A13:F13"/>
    <mergeCell ref="B14:C14"/>
    <mergeCell ref="D14:F14"/>
    <mergeCell ref="B15:C15"/>
    <mergeCell ref="D15:F15"/>
    <mergeCell ref="B16:C16"/>
    <mergeCell ref="D16:F16"/>
    <mergeCell ref="A20:F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20" t="s">
        <v>266</v>
      </c>
      <c r="B1" s="20"/>
      <c r="C1" s="20"/>
      <c r="D1" s="20"/>
      <c r="E1" s="20"/>
      <c r="F1" s="20"/>
      <c r="G1" s="20"/>
    </row>
    <row r="2" customFormat="false" ht="19.5" hidden="false" customHeight="true" outlineLevel="0" collapsed="false">
      <c r="A2" s="27" t="s">
        <v>267</v>
      </c>
      <c r="B2" s="27"/>
      <c r="C2" s="27"/>
      <c r="D2" s="27"/>
      <c r="E2" s="27"/>
      <c r="F2" s="27"/>
      <c r="G2" s="27"/>
    </row>
    <row r="4" customFormat="false" ht="25.5" hidden="false" customHeight="true" outlineLevel="0" collapsed="false">
      <c r="A4" s="5" t="s">
        <v>268</v>
      </c>
      <c r="B4" s="5" t="s">
        <v>269</v>
      </c>
      <c r="C4" s="5" t="s">
        <v>270</v>
      </c>
      <c r="D4" s="5" t="s">
        <v>271</v>
      </c>
      <c r="E4" s="47" t="s">
        <v>272</v>
      </c>
      <c r="F4" s="48" t="s">
        <v>273</v>
      </c>
      <c r="G4" s="5" t="s">
        <v>274</v>
      </c>
    </row>
    <row r="5" customFormat="false" ht="36" hidden="false" customHeight="true" outlineLevel="0" collapsed="false">
      <c r="A5" s="62" t="s">
        <v>275</v>
      </c>
      <c r="B5" s="4" t="s">
        <v>276</v>
      </c>
      <c r="C5" s="63" t="n">
        <v>0.3</v>
      </c>
      <c r="D5" s="59" t="str">
        <f aca="false">IFERROR('06_Step7-8_収納額_基準額'!C18*$C5,"未算定")</f>
        <v>未算定</v>
      </c>
      <c r="E5" s="59" t="str">
        <f aca="false">IFERROR('06_Step7-8_収納額_基準額'!D18*$C5,"未算定")</f>
        <v>未算定</v>
      </c>
      <c r="F5" s="59" t="str">
        <f aca="false">IFERROR('06_Step7-8_収納額_基準額'!E18*$C5,"未算定")</f>
        <v>未算定</v>
      </c>
      <c r="G5" s="31"/>
    </row>
    <row r="6" customFormat="false" ht="36" hidden="false" customHeight="true" outlineLevel="0" collapsed="false">
      <c r="A6" s="62" t="s">
        <v>277</v>
      </c>
      <c r="B6" s="4" t="s">
        <v>278</v>
      </c>
      <c r="C6" s="63" t="n">
        <v>0.5</v>
      </c>
      <c r="D6" s="59" t="str">
        <f aca="false">IFERROR('06_Step7-8_収納額_基準額'!C18*$C6,"未算定")</f>
        <v>未算定</v>
      </c>
      <c r="E6" s="59" t="str">
        <f aca="false">IFERROR('06_Step7-8_収納額_基準額'!D18*$C6,"未算定")</f>
        <v>未算定</v>
      </c>
      <c r="F6" s="59" t="str">
        <f aca="false">IFERROR('06_Step7-8_収納額_基準額'!E18*$C6,"未算定")</f>
        <v>未算定</v>
      </c>
      <c r="G6" s="31"/>
    </row>
    <row r="7" customFormat="false" ht="36" hidden="false" customHeight="true" outlineLevel="0" collapsed="false">
      <c r="A7" s="62" t="s">
        <v>279</v>
      </c>
      <c r="B7" s="4" t="s">
        <v>280</v>
      </c>
      <c r="C7" s="63" t="n">
        <v>0.7</v>
      </c>
      <c r="D7" s="59" t="str">
        <f aca="false">IFERROR('06_Step7-8_収納額_基準額'!C18*$C7,"未算定")</f>
        <v>未算定</v>
      </c>
      <c r="E7" s="59" t="str">
        <f aca="false">IFERROR('06_Step7-8_収納額_基準額'!D18*$C7,"未算定")</f>
        <v>未算定</v>
      </c>
      <c r="F7" s="59" t="str">
        <f aca="false">IFERROR('06_Step7-8_収納額_基準額'!E18*$C7,"未算定")</f>
        <v>未算定</v>
      </c>
      <c r="G7" s="31"/>
    </row>
    <row r="8" customFormat="false" ht="36" hidden="false" customHeight="true" outlineLevel="0" collapsed="false">
      <c r="A8" s="62" t="s">
        <v>281</v>
      </c>
      <c r="B8" s="4" t="s">
        <v>282</v>
      </c>
      <c r="C8" s="63" t="n">
        <v>0.9</v>
      </c>
      <c r="D8" s="59" t="str">
        <f aca="false">IFERROR('06_Step7-8_収納額_基準額'!C18*$C8,"未算定")</f>
        <v>未算定</v>
      </c>
      <c r="E8" s="59" t="str">
        <f aca="false">IFERROR('06_Step7-8_収納額_基準額'!D18*$C8,"未算定")</f>
        <v>未算定</v>
      </c>
      <c r="F8" s="59" t="str">
        <f aca="false">IFERROR('06_Step7-8_収納額_基準額'!E18*$C8,"未算定")</f>
        <v>未算定</v>
      </c>
      <c r="G8" s="31"/>
    </row>
    <row r="9" customFormat="false" ht="36" hidden="false" customHeight="true" outlineLevel="0" collapsed="false">
      <c r="A9" s="62" t="s">
        <v>283</v>
      </c>
      <c r="B9" s="4" t="s">
        <v>284</v>
      </c>
      <c r="C9" s="63" t="n">
        <v>1</v>
      </c>
      <c r="D9" s="59" t="str">
        <f aca="false">IFERROR('06_Step7-8_収納額_基準額'!C18*$C9,"未算定")</f>
        <v>未算定</v>
      </c>
      <c r="E9" s="59" t="str">
        <f aca="false">IFERROR('06_Step7-8_収納額_基準額'!D18*$C9,"未算定")</f>
        <v>未算定</v>
      </c>
      <c r="F9" s="59" t="str">
        <f aca="false">IFERROR('06_Step7-8_収納額_基準額'!E18*$C9,"未算定")</f>
        <v>未算定</v>
      </c>
      <c r="G9" s="31"/>
    </row>
    <row r="10" customFormat="false" ht="36" hidden="false" customHeight="true" outlineLevel="0" collapsed="false">
      <c r="A10" s="62" t="s">
        <v>285</v>
      </c>
      <c r="B10" s="4" t="s">
        <v>286</v>
      </c>
      <c r="C10" s="63" t="n">
        <v>1.2</v>
      </c>
      <c r="D10" s="59" t="str">
        <f aca="false">IFERROR('06_Step7-8_収納額_基準額'!C18*$C10,"未算定")</f>
        <v>未算定</v>
      </c>
      <c r="E10" s="59" t="str">
        <f aca="false">IFERROR('06_Step7-8_収納額_基準額'!D18*$C10,"未算定")</f>
        <v>未算定</v>
      </c>
      <c r="F10" s="59" t="str">
        <f aca="false">IFERROR('06_Step7-8_収納額_基準額'!E18*$C10,"未算定")</f>
        <v>未算定</v>
      </c>
      <c r="G10" s="31"/>
    </row>
    <row r="11" customFormat="false" ht="36" hidden="false" customHeight="true" outlineLevel="0" collapsed="false">
      <c r="A11" s="62" t="s">
        <v>287</v>
      </c>
      <c r="B11" s="4" t="s">
        <v>288</v>
      </c>
      <c r="C11" s="63" t="n">
        <v>1.3</v>
      </c>
      <c r="D11" s="59" t="str">
        <f aca="false">IFERROR('06_Step7-8_収納額_基準額'!C18*$C11,"未算定")</f>
        <v>未算定</v>
      </c>
      <c r="E11" s="59" t="str">
        <f aca="false">IFERROR('06_Step7-8_収納額_基準額'!D18*$C11,"未算定")</f>
        <v>未算定</v>
      </c>
      <c r="F11" s="59" t="str">
        <f aca="false">IFERROR('06_Step7-8_収納額_基準額'!E18*$C11,"未算定")</f>
        <v>未算定</v>
      </c>
      <c r="G11" s="31"/>
    </row>
    <row r="12" customFormat="false" ht="36" hidden="false" customHeight="true" outlineLevel="0" collapsed="false">
      <c r="A12" s="62" t="s">
        <v>289</v>
      </c>
      <c r="B12" s="4" t="s">
        <v>290</v>
      </c>
      <c r="C12" s="63" t="n">
        <v>1.5</v>
      </c>
      <c r="D12" s="59" t="str">
        <f aca="false">IFERROR('06_Step7-8_収納額_基準額'!C18*$C12,"未算定")</f>
        <v>未算定</v>
      </c>
      <c r="E12" s="59" t="str">
        <f aca="false">IFERROR('06_Step7-8_収納額_基準額'!D18*$C12,"未算定")</f>
        <v>未算定</v>
      </c>
      <c r="F12" s="59" t="str">
        <f aca="false">IFERROR('06_Step7-8_収納額_基準額'!E18*$C12,"未算定")</f>
        <v>未算定</v>
      </c>
      <c r="G12" s="31"/>
    </row>
    <row r="13" customFormat="false" ht="36" hidden="false" customHeight="true" outlineLevel="0" collapsed="false">
      <c r="A13" s="62" t="s">
        <v>291</v>
      </c>
      <c r="B13" s="4" t="s">
        <v>292</v>
      </c>
      <c r="C13" s="63" t="n">
        <v>1.7</v>
      </c>
      <c r="D13" s="59" t="str">
        <f aca="false">IFERROR('06_Step7-8_収納額_基準額'!C18*$C13,"未算定")</f>
        <v>未算定</v>
      </c>
      <c r="E13" s="59" t="str">
        <f aca="false">IFERROR('06_Step7-8_収納額_基準額'!D18*$C13,"未算定")</f>
        <v>未算定</v>
      </c>
      <c r="F13" s="59" t="str">
        <f aca="false">IFERROR('06_Step7-8_収納額_基準額'!E18*$C13,"未算定")</f>
        <v>未算定</v>
      </c>
      <c r="G13" s="31"/>
    </row>
    <row r="15" customFormat="false" ht="21.75" hidden="false" customHeight="true" outlineLevel="0" collapsed="false">
      <c r="A15" s="18" t="s">
        <v>293</v>
      </c>
      <c r="B15" s="18"/>
      <c r="C15" s="18"/>
      <c r="D15" s="18"/>
      <c r="E15" s="18"/>
      <c r="F15" s="18"/>
      <c r="G15" s="18"/>
    </row>
    <row r="16" customFormat="false" ht="21.75" hidden="false" customHeight="true" outlineLevel="0" collapsed="false">
      <c r="A16" s="18" t="s">
        <v>294</v>
      </c>
      <c r="B16" s="18"/>
      <c r="C16" s="18"/>
      <c r="D16" s="18"/>
      <c r="E16" s="18"/>
      <c r="F16" s="18"/>
      <c r="G16" s="18"/>
    </row>
    <row r="17" customFormat="false" ht="21.75" hidden="false" customHeight="true" outlineLevel="0" collapsed="false">
      <c r="A17" s="18" t="s">
        <v>295</v>
      </c>
      <c r="B17" s="18"/>
      <c r="C17" s="18"/>
      <c r="D17" s="18"/>
      <c r="E17" s="18"/>
      <c r="F17" s="18"/>
      <c r="G17" s="18"/>
    </row>
  </sheetData>
  <mergeCells count="5">
    <mergeCell ref="A1:G1"/>
    <mergeCell ref="A2:G2"/>
    <mergeCell ref="A15:G15"/>
    <mergeCell ref="A16:G16"/>
    <mergeCell ref="A17:G1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20" t="s">
        <v>296</v>
      </c>
      <c r="B1" s="20"/>
      <c r="C1" s="20"/>
      <c r="D1" s="20"/>
      <c r="E1" s="20"/>
      <c r="F1" s="20"/>
      <c r="G1" s="20"/>
    </row>
    <row r="2" customFormat="false" ht="19.5" hidden="false" customHeight="true" outlineLevel="0" collapsed="false">
      <c r="A2" s="27" t="s">
        <v>297</v>
      </c>
      <c r="B2" s="27"/>
      <c r="C2" s="27"/>
      <c r="D2" s="27"/>
      <c r="E2" s="27"/>
      <c r="F2" s="27"/>
      <c r="G2" s="27"/>
    </row>
    <row r="4" customFormat="false" ht="25.5" hidden="false" customHeight="true" outlineLevel="0" collapsed="false">
      <c r="A4" s="5" t="s">
        <v>268</v>
      </c>
      <c r="B4" s="5" t="s">
        <v>269</v>
      </c>
      <c r="C4" s="5" t="s">
        <v>270</v>
      </c>
      <c r="D4" s="5" t="s">
        <v>271</v>
      </c>
      <c r="E4" s="47" t="s">
        <v>272</v>
      </c>
      <c r="F4" s="48" t="s">
        <v>273</v>
      </c>
      <c r="G4" s="5" t="s">
        <v>274</v>
      </c>
    </row>
    <row r="5" customFormat="false" ht="31.5" hidden="false" customHeight="true" outlineLevel="0" collapsed="false">
      <c r="A5" s="62" t="s">
        <v>275</v>
      </c>
      <c r="B5" s="4" t="s">
        <v>298</v>
      </c>
      <c r="C5" s="63" t="n">
        <v>0.285</v>
      </c>
      <c r="D5" s="59" t="str">
        <f aca="false">IFERROR('06_Step7-8_収納額_基準額'!C18*$C5,"未算定")</f>
        <v>未算定</v>
      </c>
      <c r="E5" s="59" t="str">
        <f aca="false">IFERROR('06_Step7-8_収納額_基準額'!D18*$C5,"未算定")</f>
        <v>未算定</v>
      </c>
      <c r="F5" s="59" t="str">
        <f aca="false">IFERROR('06_Step7-8_収納額_基準額'!E18*$C5,"未算定")</f>
        <v>未算定</v>
      </c>
      <c r="G5" s="31"/>
    </row>
    <row r="6" customFormat="false" ht="31.5" hidden="false" customHeight="true" outlineLevel="0" collapsed="false">
      <c r="A6" s="62" t="s">
        <v>277</v>
      </c>
      <c r="B6" s="4" t="s">
        <v>299</v>
      </c>
      <c r="C6" s="63" t="n">
        <v>0.485</v>
      </c>
      <c r="D6" s="59" t="str">
        <f aca="false">IFERROR('06_Step7-8_収納額_基準額'!C18*$C6,"未算定")</f>
        <v>未算定</v>
      </c>
      <c r="E6" s="59" t="str">
        <f aca="false">IFERROR('06_Step7-8_収納額_基準額'!D18*$C6,"未算定")</f>
        <v>未算定</v>
      </c>
      <c r="F6" s="59" t="str">
        <f aca="false">IFERROR('06_Step7-8_収納額_基準額'!E18*$C6,"未算定")</f>
        <v>未算定</v>
      </c>
      <c r="G6" s="31"/>
    </row>
    <row r="7" customFormat="false" ht="31.5" hidden="false" customHeight="true" outlineLevel="0" collapsed="false">
      <c r="A7" s="62" t="s">
        <v>279</v>
      </c>
      <c r="B7" s="4" t="s">
        <v>300</v>
      </c>
      <c r="C7" s="63" t="n">
        <v>0.685</v>
      </c>
      <c r="D7" s="59" t="str">
        <f aca="false">IFERROR('06_Step7-8_収納額_基準額'!C18*$C7,"未算定")</f>
        <v>未算定</v>
      </c>
      <c r="E7" s="59" t="str">
        <f aca="false">IFERROR('06_Step7-8_収納額_基準額'!D18*$C7,"未算定")</f>
        <v>未算定</v>
      </c>
      <c r="F7" s="59" t="str">
        <f aca="false">IFERROR('06_Step7-8_収納額_基準額'!E18*$C7,"未算定")</f>
        <v>未算定</v>
      </c>
      <c r="G7" s="31"/>
    </row>
    <row r="8" customFormat="false" ht="31.5" hidden="false" customHeight="true" outlineLevel="0" collapsed="false">
      <c r="A8" s="62" t="s">
        <v>281</v>
      </c>
      <c r="B8" s="4" t="s">
        <v>301</v>
      </c>
      <c r="C8" s="63" t="n">
        <v>0.88</v>
      </c>
      <c r="D8" s="59" t="str">
        <f aca="false">IFERROR('06_Step7-8_収納額_基準額'!C18*$C8,"未算定")</f>
        <v>未算定</v>
      </c>
      <c r="E8" s="59" t="str">
        <f aca="false">IFERROR('06_Step7-8_収納額_基準額'!D18*$C8,"未算定")</f>
        <v>未算定</v>
      </c>
      <c r="F8" s="59" t="str">
        <f aca="false">IFERROR('06_Step7-8_収納額_基準額'!E18*$C8,"未算定")</f>
        <v>未算定</v>
      </c>
      <c r="G8" s="31"/>
    </row>
    <row r="9" customFormat="false" ht="31.5" hidden="false" customHeight="true" outlineLevel="0" collapsed="false">
      <c r="A9" s="62" t="s">
        <v>283</v>
      </c>
      <c r="B9" s="4" t="s">
        <v>302</v>
      </c>
      <c r="C9" s="63" t="n">
        <v>1</v>
      </c>
      <c r="D9" s="59" t="str">
        <f aca="false">IFERROR('06_Step7-8_収納額_基準額'!C18*$C9,"未算定")</f>
        <v>未算定</v>
      </c>
      <c r="E9" s="59" t="str">
        <f aca="false">IFERROR('06_Step7-8_収納額_基準額'!D18*$C9,"未算定")</f>
        <v>未算定</v>
      </c>
      <c r="F9" s="59" t="str">
        <f aca="false">IFERROR('06_Step7-8_収納額_基準額'!E18*$C9,"未算定")</f>
        <v>未算定</v>
      </c>
      <c r="G9" s="31"/>
    </row>
    <row r="10" customFormat="false" ht="31.5" hidden="false" customHeight="true" outlineLevel="0" collapsed="false">
      <c r="A10" s="62" t="s">
        <v>285</v>
      </c>
      <c r="B10" s="4" t="s">
        <v>303</v>
      </c>
      <c r="C10" s="63" t="n">
        <v>1.2</v>
      </c>
      <c r="D10" s="59" t="str">
        <f aca="false">IFERROR('06_Step7-8_収納額_基準額'!C18*$C10,"未算定")</f>
        <v>未算定</v>
      </c>
      <c r="E10" s="59" t="str">
        <f aca="false">IFERROR('06_Step7-8_収納額_基準額'!D18*$C10,"未算定")</f>
        <v>未算定</v>
      </c>
      <c r="F10" s="59" t="str">
        <f aca="false">IFERROR('06_Step7-8_収納額_基準額'!E18*$C10,"未算定")</f>
        <v>未算定</v>
      </c>
      <c r="G10" s="31"/>
    </row>
    <row r="11" customFormat="false" ht="31.5" hidden="false" customHeight="true" outlineLevel="0" collapsed="false">
      <c r="A11" s="62" t="s">
        <v>287</v>
      </c>
      <c r="B11" s="4" t="s">
        <v>304</v>
      </c>
      <c r="C11" s="63" t="n">
        <v>1.3</v>
      </c>
      <c r="D11" s="59" t="str">
        <f aca="false">IFERROR('06_Step7-8_収納額_基準額'!C18*$C11,"未算定")</f>
        <v>未算定</v>
      </c>
      <c r="E11" s="59" t="str">
        <f aca="false">IFERROR('06_Step7-8_収納額_基準額'!D18*$C11,"未算定")</f>
        <v>未算定</v>
      </c>
      <c r="F11" s="59" t="str">
        <f aca="false">IFERROR('06_Step7-8_収納額_基準額'!E18*$C11,"未算定")</f>
        <v>未算定</v>
      </c>
      <c r="G11" s="31"/>
    </row>
    <row r="12" customFormat="false" ht="31.5" hidden="false" customHeight="true" outlineLevel="0" collapsed="false">
      <c r="A12" s="62" t="s">
        <v>289</v>
      </c>
      <c r="B12" s="4" t="s">
        <v>305</v>
      </c>
      <c r="C12" s="63" t="n">
        <v>1.5</v>
      </c>
      <c r="D12" s="59" t="str">
        <f aca="false">IFERROR('06_Step7-8_収納額_基準額'!C18*$C12,"未算定")</f>
        <v>未算定</v>
      </c>
      <c r="E12" s="59" t="str">
        <f aca="false">IFERROR('06_Step7-8_収納額_基準額'!D18*$C12,"未算定")</f>
        <v>未算定</v>
      </c>
      <c r="F12" s="59" t="str">
        <f aca="false">IFERROR('06_Step7-8_収納額_基準額'!E18*$C12,"未算定")</f>
        <v>未算定</v>
      </c>
      <c r="G12" s="31"/>
    </row>
    <row r="13" customFormat="false" ht="31.5" hidden="false" customHeight="true" outlineLevel="0" collapsed="false">
      <c r="A13" s="62" t="s">
        <v>291</v>
      </c>
      <c r="B13" s="4" t="s">
        <v>306</v>
      </c>
      <c r="C13" s="63" t="n">
        <v>1.7</v>
      </c>
      <c r="D13" s="59" t="str">
        <f aca="false">IFERROR('06_Step7-8_収納額_基準額'!C18*$C13,"未算定")</f>
        <v>未算定</v>
      </c>
      <c r="E13" s="59" t="str">
        <f aca="false">IFERROR('06_Step7-8_収納額_基準額'!D18*$C13,"未算定")</f>
        <v>未算定</v>
      </c>
      <c r="F13" s="59" t="str">
        <f aca="false">IFERROR('06_Step7-8_収納額_基準額'!E18*$C13,"未算定")</f>
        <v>未算定</v>
      </c>
      <c r="G13" s="31"/>
    </row>
    <row r="14" customFormat="false" ht="31.5" hidden="false" customHeight="true" outlineLevel="0" collapsed="false">
      <c r="A14" s="64" t="s">
        <v>307</v>
      </c>
      <c r="B14" s="4" t="s">
        <v>308</v>
      </c>
      <c r="C14" s="63" t="n">
        <v>1.9</v>
      </c>
      <c r="D14" s="59" t="str">
        <f aca="false">IFERROR('06_Step7-8_収納額_基準額'!C18*$C14,"未算定")</f>
        <v>未算定</v>
      </c>
      <c r="E14" s="59" t="str">
        <f aca="false">IFERROR('06_Step7-8_収納額_基準額'!D18*$C14,"未算定")</f>
        <v>未算定</v>
      </c>
      <c r="F14" s="59" t="str">
        <f aca="false">IFERROR('06_Step7-8_収納額_基準額'!E18*$C14,"未算定")</f>
        <v>未算定</v>
      </c>
      <c r="G14" s="31"/>
    </row>
    <row r="15" customFormat="false" ht="31.5" hidden="false" customHeight="true" outlineLevel="0" collapsed="false">
      <c r="A15" s="64" t="s">
        <v>309</v>
      </c>
      <c r="B15" s="4" t="s">
        <v>310</v>
      </c>
      <c r="C15" s="63" t="n">
        <v>2.1</v>
      </c>
      <c r="D15" s="59" t="str">
        <f aca="false">IFERROR('06_Step7-8_収納額_基準額'!C18*$C15,"未算定")</f>
        <v>未算定</v>
      </c>
      <c r="E15" s="59" t="str">
        <f aca="false">IFERROR('06_Step7-8_収納額_基準額'!D18*$C15,"未算定")</f>
        <v>未算定</v>
      </c>
      <c r="F15" s="59" t="str">
        <f aca="false">IFERROR('06_Step7-8_収納額_基準額'!E18*$C15,"未算定")</f>
        <v>未算定</v>
      </c>
      <c r="G15" s="31"/>
    </row>
    <row r="16" customFormat="false" ht="31.5" hidden="false" customHeight="true" outlineLevel="0" collapsed="false">
      <c r="A16" s="64" t="s">
        <v>311</v>
      </c>
      <c r="B16" s="4" t="s">
        <v>312</v>
      </c>
      <c r="C16" s="63" t="n">
        <v>2.3</v>
      </c>
      <c r="D16" s="59" t="str">
        <f aca="false">IFERROR('06_Step7-8_収納額_基準額'!C18*$C16,"未算定")</f>
        <v>未算定</v>
      </c>
      <c r="E16" s="59" t="str">
        <f aca="false">IFERROR('06_Step7-8_収納額_基準額'!D18*$C16,"未算定")</f>
        <v>未算定</v>
      </c>
      <c r="F16" s="59" t="str">
        <f aca="false">IFERROR('06_Step7-8_収納額_基準額'!E18*$C16,"未算定")</f>
        <v>未算定</v>
      </c>
      <c r="G16" s="31"/>
    </row>
    <row r="17" customFormat="false" ht="31.5" hidden="false" customHeight="true" outlineLevel="0" collapsed="false">
      <c r="A17" s="64" t="s">
        <v>313</v>
      </c>
      <c r="B17" s="4" t="s">
        <v>314</v>
      </c>
      <c r="C17" s="63" t="n">
        <v>2.4</v>
      </c>
      <c r="D17" s="59" t="str">
        <f aca="false">IFERROR('06_Step7-8_収納額_基準額'!C18*$C17,"未算定")</f>
        <v>未算定</v>
      </c>
      <c r="E17" s="59" t="str">
        <f aca="false">IFERROR('06_Step7-8_収納額_基準額'!D18*$C17,"未算定")</f>
        <v>未算定</v>
      </c>
      <c r="F17" s="59" t="str">
        <f aca="false">IFERROR('06_Step7-8_収納額_基準額'!E18*$C17,"未算定")</f>
        <v>未算定</v>
      </c>
      <c r="G17" s="31"/>
    </row>
    <row r="19" customFormat="false" ht="21.75" hidden="false" customHeight="true" outlineLevel="0" collapsed="false">
      <c r="A19" s="19" t="s">
        <v>315</v>
      </c>
      <c r="B19" s="19"/>
      <c r="C19" s="19"/>
      <c r="D19" s="19"/>
      <c r="E19" s="19"/>
      <c r="F19" s="19"/>
      <c r="G19" s="19"/>
    </row>
    <row r="20" customFormat="false" ht="21.75" hidden="false" customHeight="true" outlineLevel="0" collapsed="false">
      <c r="A20" s="18" t="s">
        <v>316</v>
      </c>
      <c r="B20" s="18"/>
      <c r="C20" s="18"/>
      <c r="D20" s="18"/>
      <c r="E20" s="18"/>
      <c r="F20" s="18"/>
      <c r="G20" s="18"/>
    </row>
    <row r="21" customFormat="false" ht="21.75" hidden="false" customHeight="true" outlineLevel="0" collapsed="false">
      <c r="A21" s="19" t="s">
        <v>317</v>
      </c>
      <c r="B21" s="19"/>
      <c r="C21" s="19"/>
      <c r="D21" s="19"/>
      <c r="E21" s="19"/>
      <c r="F21" s="19"/>
      <c r="G21" s="19"/>
    </row>
    <row r="22" customFormat="false" ht="21.75" hidden="false" customHeight="true" outlineLevel="0" collapsed="false">
      <c r="A22" s="18" t="s">
        <v>318</v>
      </c>
      <c r="B22" s="18"/>
      <c r="C22" s="18"/>
      <c r="D22" s="18"/>
      <c r="E22" s="18"/>
      <c r="F22" s="18"/>
      <c r="G22" s="18"/>
    </row>
  </sheetData>
  <mergeCells count="6">
    <mergeCell ref="A1:G1"/>
    <mergeCell ref="A2:G2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6" min="5" style="0" width="18"/>
  </cols>
  <sheetData>
    <row r="1" customFormat="false" ht="25.5" hidden="false" customHeight="true" outlineLevel="0" collapsed="false">
      <c r="A1" s="20" t="s">
        <v>319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7" t="s">
        <v>320</v>
      </c>
      <c r="B2" s="27"/>
      <c r="C2" s="27"/>
      <c r="D2" s="27"/>
      <c r="E2" s="27"/>
      <c r="F2" s="27"/>
    </row>
    <row r="4" customFormat="false" ht="21.75" hidden="false" customHeight="true" outlineLevel="0" collapsed="false">
      <c r="A4" s="39" t="s">
        <v>321</v>
      </c>
      <c r="B4" s="39"/>
      <c r="C4" s="39"/>
      <c r="D4" s="39"/>
      <c r="E4" s="39"/>
      <c r="F4" s="39"/>
    </row>
    <row r="5" customFormat="false" ht="24" hidden="false" customHeight="true" outlineLevel="0" collapsed="false">
      <c r="A5" s="5" t="s">
        <v>213</v>
      </c>
      <c r="B5" s="5" t="s">
        <v>322</v>
      </c>
      <c r="C5" s="5" t="s">
        <v>323</v>
      </c>
      <c r="D5" s="5" t="s">
        <v>324</v>
      </c>
      <c r="E5" s="5" t="s">
        <v>325</v>
      </c>
      <c r="F5" s="5"/>
    </row>
    <row r="6" customFormat="false" ht="30" hidden="false" customHeight="true" outlineLevel="0" collapsed="false">
      <c r="A6" s="41" t="s">
        <v>218</v>
      </c>
      <c r="B6" s="65" t="str">
        <f aca="false">IFERROR('06_Step7-8_収納額_基準額'!C18,"未算定")</f>
        <v>町データ入力後算定</v>
      </c>
      <c r="C6" s="7" t="s">
        <v>326</v>
      </c>
      <c r="D6" s="7" t="s">
        <v>327</v>
      </c>
      <c r="E6" s="4" t="s">
        <v>328</v>
      </c>
      <c r="F6" s="4"/>
    </row>
    <row r="7" customFormat="false" ht="30" hidden="false" customHeight="true" outlineLevel="0" collapsed="false">
      <c r="A7" s="66" t="s">
        <v>329</v>
      </c>
      <c r="B7" s="65" t="str">
        <f aca="false">IFERROR('06_Step7-8_収納額_基準額'!D18,"未算定")</f>
        <v>町データ入力後算定</v>
      </c>
      <c r="C7" s="7" t="s">
        <v>330</v>
      </c>
      <c r="D7" s="8" t="s">
        <v>331</v>
      </c>
      <c r="E7" s="4" t="s">
        <v>332</v>
      </c>
      <c r="F7" s="4"/>
    </row>
    <row r="8" customFormat="false" ht="30" hidden="false" customHeight="true" outlineLevel="0" collapsed="false">
      <c r="A8" s="67" t="s">
        <v>333</v>
      </c>
      <c r="B8" s="65" t="str">
        <f aca="false">IFERROR('06_Step7-8_収納額_基準額'!E18,"未算定")</f>
        <v>町データ入力後算定</v>
      </c>
      <c r="C8" s="7" t="s">
        <v>334</v>
      </c>
      <c r="D8" s="8" t="s">
        <v>335</v>
      </c>
      <c r="E8" s="4" t="s">
        <v>336</v>
      </c>
      <c r="F8" s="4"/>
    </row>
    <row r="10" customFormat="false" ht="21.75" hidden="false" customHeight="true" outlineLevel="0" collapsed="false">
      <c r="A10" s="39" t="s">
        <v>337</v>
      </c>
      <c r="B10" s="39"/>
      <c r="C10" s="39"/>
      <c r="D10" s="39"/>
      <c r="E10" s="39"/>
      <c r="F10" s="39"/>
    </row>
    <row r="11" customFormat="false" ht="21.75" hidden="false" customHeight="true" outlineLevel="0" collapsed="false">
      <c r="A11" s="5" t="s">
        <v>338</v>
      </c>
      <c r="B11" s="5" t="s">
        <v>339</v>
      </c>
      <c r="C11" s="5" t="s">
        <v>340</v>
      </c>
      <c r="D11" s="5" t="s">
        <v>341</v>
      </c>
      <c r="E11" s="5" t="s">
        <v>84</v>
      </c>
      <c r="F11" s="5"/>
    </row>
    <row r="12" customFormat="false" ht="24" hidden="false" customHeight="true" outlineLevel="0" collapsed="false">
      <c r="A12" s="68" t="s">
        <v>342</v>
      </c>
      <c r="B12" s="58" t="n">
        <v>6500</v>
      </c>
      <c r="C12" s="69" t="s">
        <v>343</v>
      </c>
      <c r="D12" s="70" t="n">
        <v>41.4</v>
      </c>
      <c r="E12" s="16" t="s">
        <v>344</v>
      </c>
      <c r="F12" s="16"/>
    </row>
    <row r="13" customFormat="false" ht="24" hidden="false" customHeight="true" outlineLevel="0" collapsed="false">
      <c r="A13" s="71" t="s">
        <v>345</v>
      </c>
      <c r="B13" s="72" t="s">
        <v>90</v>
      </c>
      <c r="C13" s="72" t="s">
        <v>90</v>
      </c>
      <c r="D13" s="24" t="s">
        <v>90</v>
      </c>
      <c r="E13" s="16" t="s">
        <v>346</v>
      </c>
      <c r="F13" s="16"/>
    </row>
    <row r="14" customFormat="false" ht="24" hidden="false" customHeight="true" outlineLevel="0" collapsed="false">
      <c r="A14" s="71" t="s">
        <v>347</v>
      </c>
      <c r="B14" s="72" t="s">
        <v>90</v>
      </c>
      <c r="C14" s="72" t="s">
        <v>90</v>
      </c>
      <c r="D14" s="24" t="s">
        <v>90</v>
      </c>
      <c r="E14" s="16" t="s">
        <v>346</v>
      </c>
      <c r="F14" s="16"/>
    </row>
    <row r="15" customFormat="false" ht="24" hidden="false" customHeight="true" outlineLevel="0" collapsed="false">
      <c r="A15" s="71" t="s">
        <v>348</v>
      </c>
      <c r="B15" s="72" t="s">
        <v>90</v>
      </c>
      <c r="C15" s="72" t="s">
        <v>90</v>
      </c>
      <c r="D15" s="24" t="s">
        <v>90</v>
      </c>
      <c r="E15" s="16" t="s">
        <v>346</v>
      </c>
      <c r="F15" s="16"/>
    </row>
    <row r="16" customFormat="false" ht="24" hidden="false" customHeight="true" outlineLevel="0" collapsed="false">
      <c r="A16" s="71" t="s">
        <v>349</v>
      </c>
      <c r="B16" s="72" t="s">
        <v>90</v>
      </c>
      <c r="C16" s="72" t="s">
        <v>90</v>
      </c>
      <c r="D16" s="24" t="s">
        <v>90</v>
      </c>
      <c r="E16" s="16" t="s">
        <v>346</v>
      </c>
      <c r="F16" s="16"/>
    </row>
    <row r="17" customFormat="false" ht="24" hidden="false" customHeight="true" outlineLevel="0" collapsed="false">
      <c r="A17" s="73" t="s">
        <v>350</v>
      </c>
      <c r="B17" s="72" t="s">
        <v>90</v>
      </c>
      <c r="C17" s="72" t="s">
        <v>90</v>
      </c>
      <c r="D17" s="24" t="s">
        <v>90</v>
      </c>
      <c r="E17" s="16" t="s">
        <v>346</v>
      </c>
      <c r="F17" s="16"/>
    </row>
    <row r="18" customFormat="false" ht="24" hidden="false" customHeight="true" outlineLevel="0" collapsed="false">
      <c r="A18" s="73" t="s">
        <v>351</v>
      </c>
      <c r="B18" s="72" t="s">
        <v>90</v>
      </c>
      <c r="C18" s="72" t="s">
        <v>90</v>
      </c>
      <c r="D18" s="74" t="n">
        <v>28.5</v>
      </c>
      <c r="E18" s="16" t="s">
        <v>352</v>
      </c>
      <c r="F18" s="16"/>
    </row>
    <row r="19" customFormat="false" ht="24" hidden="false" customHeight="true" outlineLevel="0" collapsed="false">
      <c r="A19" s="75" t="s">
        <v>353</v>
      </c>
      <c r="B19" s="58" t="n">
        <v>6225</v>
      </c>
      <c r="C19" s="72" t="s">
        <v>90</v>
      </c>
      <c r="D19" s="70" t="n">
        <v>29.1</v>
      </c>
      <c r="E19" s="16" t="s">
        <v>354</v>
      </c>
      <c r="F19" s="16"/>
    </row>
    <row r="21" customFormat="false" ht="21.75" hidden="false" customHeight="true" outlineLevel="0" collapsed="false">
      <c r="A21" s="39" t="s">
        <v>355</v>
      </c>
      <c r="B21" s="39"/>
      <c r="C21" s="39"/>
      <c r="D21" s="39"/>
      <c r="E21" s="39"/>
      <c r="F21" s="39"/>
    </row>
    <row r="22" customFormat="false" ht="24" hidden="false" customHeight="true" outlineLevel="0" collapsed="false">
      <c r="A22" s="71" t="s">
        <v>356</v>
      </c>
      <c r="B22" s="71"/>
      <c r="C22" s="71"/>
      <c r="D22" s="71"/>
      <c r="E22" s="71"/>
      <c r="F22" s="71"/>
    </row>
    <row r="23" customFormat="false" ht="24" hidden="false" customHeight="true" outlineLevel="0" collapsed="false">
      <c r="A23" s="71" t="s">
        <v>357</v>
      </c>
      <c r="B23" s="71"/>
      <c r="C23" s="71"/>
      <c r="D23" s="71"/>
      <c r="E23" s="71"/>
      <c r="F23" s="71"/>
    </row>
    <row r="24" customFormat="false" ht="24" hidden="false" customHeight="true" outlineLevel="0" collapsed="false">
      <c r="A24" s="71" t="s">
        <v>358</v>
      </c>
      <c r="B24" s="71"/>
      <c r="C24" s="71"/>
      <c r="D24" s="71"/>
      <c r="E24" s="71"/>
      <c r="F24" s="71"/>
    </row>
    <row r="25" customFormat="false" ht="24" hidden="false" customHeight="true" outlineLevel="0" collapsed="false">
      <c r="A25" s="71" t="s">
        <v>359</v>
      </c>
      <c r="B25" s="71"/>
      <c r="C25" s="71"/>
      <c r="D25" s="71"/>
      <c r="E25" s="71"/>
      <c r="F25" s="71"/>
    </row>
    <row r="26" customFormat="false" ht="24" hidden="false" customHeight="true" outlineLevel="0" collapsed="false">
      <c r="A26" s="71" t="s">
        <v>360</v>
      </c>
      <c r="B26" s="71"/>
      <c r="C26" s="71"/>
      <c r="D26" s="71"/>
      <c r="E26" s="71"/>
      <c r="F26" s="71"/>
    </row>
    <row r="27" customFormat="false" ht="24" hidden="false" customHeight="true" outlineLevel="0" collapsed="false">
      <c r="A27" s="71" t="s">
        <v>361</v>
      </c>
      <c r="B27" s="71"/>
      <c r="C27" s="71"/>
      <c r="D27" s="71"/>
      <c r="E27" s="71"/>
      <c r="F27" s="71"/>
    </row>
  </sheetData>
  <mergeCells count="24">
    <mergeCell ref="A1:F1"/>
    <mergeCell ref="A2:F2"/>
    <mergeCell ref="A4:F4"/>
    <mergeCell ref="E5:F5"/>
    <mergeCell ref="E6:F6"/>
    <mergeCell ref="E7:F7"/>
    <mergeCell ref="E8:F8"/>
    <mergeCell ref="A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A21:F21"/>
    <mergeCell ref="A22:F22"/>
    <mergeCell ref="A23:F23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2026-06-29T03:46:46Z</dcterms:created>
  <dc:creator>openpyxl</dc:creator>
  <dc:description/>
  <dc:language>en-US</dc:language>
  <cp:lastModifiedBy/>
  <dcterms:modified xsi:type="dcterms:W3CDTF">2026-06-29T03:46:46Z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