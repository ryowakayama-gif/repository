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/>
  <xr:revisionPtr revIDLastSave="0" documentId="8_{7045F1B6-FDB8-4AF2-BE57-662CCA44C4E8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グラフ（時系列）" sheetId="2" r:id="rId1"/>
    <sheet name="グラフの数値データ（時系列）" sheetId="22" r:id="rId2"/>
    <sheet name="グラフ設定（時系列）" sheetId="23" r:id="rId3"/>
    <sheet name="表形式（時系列）" sheetId="25" r:id="rId4"/>
  </sheets>
  <definedNames>
    <definedName name="_xlnm.Print_Area" localSheetId="0">'グラフ（時系列）'!$A$1:$U$32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" l="1"/>
  <c r="B259" i="25"/>
  <c r="B2" i="23"/>
  <c r="A2" i="23" l="1"/>
  <c r="F2" i="23" l="1"/>
  <c r="J2" i="23" l="1"/>
  <c r="B260" i="25" l="1"/>
</calcChain>
</file>

<file path=xl/sharedStrings.xml><?xml version="1.0" encoding="utf-8"?>
<sst xmlns="http://schemas.openxmlformats.org/spreadsheetml/2006/main" count="1307" uniqueCount="949">
  <si>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</si>
  <si>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</si>
  <si>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</si>
  <si>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</si>
  <si>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</si>
  <si>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</si>
  <si>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月報出典</t>
    <rPh sb="0" eb="2">
      <t>ゲッポウ</t>
    </rPh>
    <rPh sb="2" eb="4">
      <t>シュッテン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</si>
  <si>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</si>
  <si>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</si>
  <si>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</si>
  <si>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</si>
  <si>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</si>
  <si>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</si>
  <si>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</si>
  <si>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</si>
  <si>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</si>
  <si>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</si>
  <si>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</si>
  <si>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</si>
  <si>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</si>
  <si>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</si>
  <si>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</si>
  <si>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</si>
  <si>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</si>
  <si>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</si>
  <si>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</si>
  <si>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</si>
  <si>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</si>
  <si>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</si>
  <si>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</si>
  <si>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</si>
  <si>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</si>
  <si>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</si>
  <si>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</si>
  <si>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</si>
  <si>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</si>
  <si>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</si>
  <si>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</si>
  <si>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</si>
  <si>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</si>
  <si>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</si>
  <si>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</si>
  <si>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</si>
  <si>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</si>
  <si>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</si>
  <si>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</si>
  <si>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</si>
  <si>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</si>
  <si>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</si>
  <si>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</si>
  <si>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</si>
  <si>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</si>
  <si>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</si>
  <si>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</si>
  <si>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</si>
  <si>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</si>
  <si>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</si>
  <si>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</si>
  <si>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</si>
  <si>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</si>
  <si>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</si>
  <si>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</si>
  <si>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</si>
  <si>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</si>
  <si>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</si>
  <si>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</si>
  <si>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</si>
  <si>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</si>
  <si>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</si>
  <si>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</si>
  <si>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</si>
  <si>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</si>
  <si>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</si>
  <si>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</si>
  <si>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</si>
  <si>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</si>
  <si>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</si>
  <si>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</si>
  <si>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</si>
  <si>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</si>
  <si>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</si>
  <si>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</si>
  <si>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</si>
  <si>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</si>
  <si>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</si>
  <si>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</si>
  <si>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</si>
  <si>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</si>
  <si>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</si>
  <si>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</si>
  <si>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</si>
  <si>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</si>
  <si>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</si>
  <si>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</si>
  <si>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</si>
  <si>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</si>
  <si>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</si>
  <si>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</si>
  <si>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</si>
  <si>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</si>
  <si>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</si>
  <si>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</si>
  <si>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</si>
  <si>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</si>
  <si>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</si>
  <si>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</si>
  <si>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</si>
  <si>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</si>
  <si>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</si>
  <si>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</si>
  <si>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</si>
  <si>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</si>
  <si>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</si>
  <si>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</si>
  <si>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</si>
  <si>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</si>
  <si>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</si>
  <si>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</si>
  <si>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</si>
  <si>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</si>
  <si>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</si>
  <si>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</si>
  <si>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</si>
  <si>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</si>
  <si>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</si>
  <si>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</si>
  <si>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</si>
  <si>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</si>
  <si>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</si>
  <si>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</si>
  <si>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</si>
  <si>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</si>
  <si>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</si>
  <si>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</si>
  <si>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</si>
  <si>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</si>
  <si>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</si>
  <si>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</si>
  <si>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</si>
  <si>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</si>
  <si>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</si>
  <si>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</si>
  <si>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</si>
  <si>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</si>
  <si>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</si>
  <si>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</si>
  <si>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</si>
  <si>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</si>
  <si>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</si>
  <si>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</si>
  <si>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</si>
  <si>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</si>
  <si>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</si>
  <si>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</si>
  <si>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</si>
  <si>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</si>
  <si>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</si>
  <si>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</si>
  <si>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</si>
  <si>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</si>
  <si>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</si>
  <si>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</si>
  <si>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</si>
  <si>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</si>
  <si>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</si>
  <si>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</si>
  <si>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</si>
  <si>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</si>
  <si>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</si>
  <si>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</si>
  <si>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</si>
  <si>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</si>
  <si>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</si>
  <si>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</si>
  <si>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</si>
  <si>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</si>
  <si>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</si>
  <si>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</si>
  <si>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</si>
  <si>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</si>
  <si>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</si>
  <si>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</si>
  <si>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</si>
  <si>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</si>
  <si>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</si>
  <si>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</si>
  <si>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</si>
  <si>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</si>
  <si>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</si>
  <si>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</si>
  <si>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</si>
  <si>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</si>
  <si>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</si>
  <si>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</si>
  <si>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</si>
  <si>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</si>
  <si>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</si>
  <si>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</si>
  <si>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</si>
  <si>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</si>
  <si>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</si>
  <si>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</si>
  <si>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</si>
  <si>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</si>
  <si>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</si>
  <si>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</si>
  <si>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</si>
  <si>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</si>
  <si>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</si>
  <si>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</si>
  <si>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</si>
  <si>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</si>
  <si>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</si>
  <si>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</si>
  <si>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</si>
  <si>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</si>
  <si>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</si>
  <si>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</si>
  <si>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</si>
  <si>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</si>
  <si>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</si>
  <si>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</si>
  <si>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</si>
  <si>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</si>
  <si>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</si>
  <si>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</si>
  <si>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</si>
  <si>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</si>
  <si>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</si>
  <si>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</si>
  <si>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</si>
  <si>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</si>
  <si>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</si>
  <si>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</si>
  <si>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</si>
  <si>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</si>
  <si>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</si>
  <si>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</si>
  <si>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</si>
  <si>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</si>
  <si>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</si>
  <si>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</si>
  <si>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</si>
  <si>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</si>
  <si>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</si>
  <si>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</si>
  <si>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</si>
  <si>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</si>
  <si>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</si>
  <si>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</si>
  <si>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</si>
  <si>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</si>
  <si>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</si>
  <si>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</si>
  <si>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</si>
  <si>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</si>
  <si>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</si>
  <si>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</si>
  <si>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</si>
  <si>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</si>
  <si>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</si>
  <si>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</si>
  <si>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</si>
  <si>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</si>
  <si>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</si>
  <si>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</si>
  <si>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</si>
  <si>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</si>
  <si>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</si>
  <si>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</si>
  <si>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</si>
  <si>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</si>
  <si>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</si>
  <si>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</si>
  <si>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</si>
  <si>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</si>
  <si>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</si>
  <si>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</si>
  <si>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</si>
  <si>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</si>
  <si>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</si>
  <si>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</si>
  <si>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</si>
  <si>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</si>
  <si>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</si>
  <si>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</si>
  <si>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</si>
  <si>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</si>
  <si>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</si>
  <si>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</si>
  <si>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</si>
  <si>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</si>
  <si>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</si>
  <si>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</si>
  <si>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</si>
  <si>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</si>
  <si>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</si>
  <si>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</si>
  <si>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</si>
  <si>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</si>
  <si>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</si>
  <si>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</si>
  <si>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</si>
  <si>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</si>
  <si>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</si>
  <si>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</si>
  <si>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</si>
  <si>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</si>
  <si>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</si>
  <si>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</si>
  <si>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</si>
  <si>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</si>
  <si>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</si>
  <si>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</si>
  <si>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</si>
  <si>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</si>
  <si>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</si>
  <si>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</si>
  <si>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</si>
  <si>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</si>
  <si>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</si>
  <si>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</si>
  <si>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</si>
  <si>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</si>
  <si>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</si>
  <si>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</si>
  <si>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</si>
  <si>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</si>
  <si>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</si>
  <si>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</si>
  <si>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</si>
  <si>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</si>
  <si>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</si>
  <si>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</si>
  <si>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</si>
  <si>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</si>
  <si>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</si>
  <si>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</si>
  <si>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</si>
  <si>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</si>
  <si>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</si>
  <si>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</si>
  <si>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</si>
  <si>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</si>
  <si>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</si>
  <si>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</si>
  <si>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</si>
  <si>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</si>
  <si>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</si>
  <si>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</si>
  <si>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</si>
  <si>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</si>
  <si>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</si>
  <si>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</si>
  <si>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</si>
  <si>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</si>
  <si>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</si>
  <si>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</si>
  <si>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</si>
  <si>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</si>
  <si>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</si>
  <si>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</si>
  <si>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</si>
  <si>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</si>
  <si>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</si>
  <si>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</si>
  <si>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</si>
  <si>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</si>
  <si>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</si>
  <si>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</si>
  <si>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</si>
  <si>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</si>
  <si>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</si>
  <si>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</si>
  <si>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</si>
  <si>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</si>
  <si>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</si>
  <si>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</si>
  <si>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</si>
  <si>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</si>
  <si>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</si>
  <si>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</si>
  <si>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</si>
  <si>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</si>
  <si>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</si>
  <si>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</si>
  <si>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</si>
  <si>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</si>
  <si>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</si>
  <si>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</si>
  <si>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</si>
  <si>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</si>
  <si>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</si>
  <si>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</si>
  <si>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</si>
  <si>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</si>
  <si>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</si>
  <si>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</si>
  <si>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</si>
  <si>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</si>
  <si>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</si>
  <si>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</si>
  <si>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</si>
  <si>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</si>
  <si>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</si>
  <si>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</si>
  <si>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</si>
  <si>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</si>
  <si>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</si>
  <si>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</si>
  <si>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</si>
  <si>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</si>
  <si>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</si>
  <si>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</si>
  <si>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</si>
  <si>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</si>
  <si>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</si>
  <si>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</si>
  <si>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</si>
  <si>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</si>
  <si>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</si>
  <si>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</si>
  <si>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</si>
  <si>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</si>
  <si>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</si>
  <si>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</si>
  <si>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</si>
  <si>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</si>
  <si>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</si>
  <si>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</si>
  <si>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</si>
  <si>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</si>
  <si>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</si>
  <si>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</si>
  <si>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</si>
  <si>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</si>
  <si>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</si>
  <si>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</si>
  <si>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</si>
  <si>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</si>
  <si>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</si>
  <si>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</si>
  <si>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</si>
  <si>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</si>
  <si>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</si>
  <si>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</si>
  <si>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</si>
  <si>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</si>
  <si>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</si>
  <si>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</si>
  <si>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</si>
  <si>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</si>
  <si>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</si>
  <si>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</si>
  <si>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</si>
  <si>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</si>
  <si>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</si>
  <si>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</si>
  <si>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</si>
  <si>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</si>
  <si>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</si>
  <si>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</si>
  <si>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</si>
  <si>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</si>
  <si>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</si>
  <si>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</si>
  <si>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</si>
  <si>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</si>
  <si>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</si>
  <si>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</si>
  <si>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</si>
  <si>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</si>
  <si>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</si>
  <si>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</si>
  <si>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</si>
  <si>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</si>
  <si>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</si>
  <si>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</si>
  <si>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</si>
  <si>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</si>
  <si>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</si>
  <si>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</si>
  <si>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</si>
  <si>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</si>
  <si>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</si>
  <si>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</si>
  <si>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</si>
  <si>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</si>
  <si>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</si>
  <si>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</si>
  <si>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</si>
  <si>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</si>
  <si>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</si>
  <si>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</si>
  <si>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</si>
  <si>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</si>
  <si>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</si>
  <si>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</si>
  <si>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</si>
  <si>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</si>
  <si>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</si>
  <si>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</si>
  <si>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</si>
  <si>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</si>
  <si>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</si>
  <si>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</si>
  <si>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</si>
  <si>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</si>
  <si>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</si>
  <si>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</si>
  <si>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</si>
  <si>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</si>
  <si>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</si>
  <si>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</si>
  <si>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</si>
  <si>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</si>
  <si>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</si>
  <si>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</si>
  <si>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</si>
  <si>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</si>
  <si>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</si>
  <si>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</si>
  <si>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</si>
  <si>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</si>
  <si>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</si>
  <si>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</si>
  <si>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</si>
  <si>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</si>
  <si>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</si>
  <si>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</si>
  <si>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</si>
  <si>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</si>
  <si>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</si>
  <si>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</si>
  <si>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</si>
  <si>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</si>
  <si>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</si>
  <si>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</si>
  <si>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</si>
  <si>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</si>
  <si>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</si>
  <si>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</si>
  <si>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</si>
  <si>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</si>
  <si>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</si>
  <si>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</si>
  <si>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</si>
  <si>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</si>
  <si>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</si>
  <si>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</si>
  <si>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</si>
  <si>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</si>
  <si>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</si>
  <si>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</si>
  <si>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</si>
  <si>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</si>
  <si>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</si>
  <si>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</si>
  <si>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</si>
  <si>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</si>
  <si>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</si>
  <si>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</si>
  <si>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</si>
  <si>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</si>
  <si>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</si>
  <si>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</si>
  <si>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</si>
  <si>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</si>
  <si>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</si>
  <si>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</si>
  <si>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</si>
  <si>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</si>
  <si>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</si>
  <si>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</si>
  <si>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</si>
  <si>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</si>
  <si>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</si>
  <si>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</si>
  <si>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</si>
  <si>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</si>
  <si>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</si>
  <si>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</si>
  <si>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</si>
  <si>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</si>
  <si>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</si>
  <si>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</si>
  <si>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</si>
  <si>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</si>
  <si>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</si>
  <si>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</si>
  <si>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</si>
  <si>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</si>
  <si>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</si>
  <si>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</si>
  <si>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</si>
  <si>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</si>
  <si>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</si>
  <si>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</si>
  <si>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</si>
  <si>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</si>
  <si>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</si>
  <si>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</si>
  <si>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</si>
  <si>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</si>
  <si>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</si>
  <si>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</si>
  <si>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</si>
  <si>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</si>
  <si>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</si>
  <si>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</si>
  <si>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</si>
  <si>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</si>
  <si>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</si>
  <si>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</si>
  <si>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</si>
  <si>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</si>
  <si>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</si>
  <si>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</si>
  <si>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</si>
  <si>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</si>
  <si>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</si>
  <si>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</si>
  <si>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</si>
  <si>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</si>
  <si>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</si>
  <si>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</si>
  <si>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</si>
  <si>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</si>
  <si>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</si>
  <si>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</si>
  <si>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</si>
  <si>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</si>
  <si>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</si>
  <si>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</si>
  <si>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</si>
  <si>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</si>
  <si>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</si>
  <si>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</si>
  <si>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</si>
  <si>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</si>
  <si>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</si>
  <si>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</si>
  <si>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</si>
  <si>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</si>
  <si>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</si>
  <si>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</si>
  <si>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</si>
  <si>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</si>
  <si>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</si>
  <si>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</si>
  <si>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</si>
  <si>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</si>
  <si>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</si>
  <si>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</si>
  <si>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</si>
  <si>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</si>
  <si>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</si>
  <si>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</si>
  <si>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</si>
  <si>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</si>
  <si>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</si>
  <si>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</si>
  <si>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</si>
  <si>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</si>
  <si>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</si>
  <si>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</si>
  <si>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</si>
  <si>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</si>
  <si>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</si>
  <si>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</si>
  <si>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</si>
  <si>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</si>
  <si>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</si>
  <si>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</si>
  <si>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</si>
  <si>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</si>
  <si>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</si>
  <si>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</si>
  <si>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</si>
  <si>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</si>
  <si>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</si>
  <si>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</si>
  <si>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</si>
  <si>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</si>
  <si>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</si>
  <si>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</si>
  <si>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</si>
  <si>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</si>
  <si>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</si>
  <si>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</si>
  <si>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</si>
  <si>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</si>
  <si>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</si>
  <si>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</si>
  <si>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</si>
  <si>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</si>
  <si>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</si>
  <si>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</si>
  <si>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</si>
  <si>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</si>
  <si>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</si>
  <si>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</si>
  <si>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</si>
  <si>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</si>
  <si>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</si>
  <si>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</si>
  <si>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</si>
  <si>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</si>
  <si>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</si>
  <si>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</si>
  <si>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</si>
  <si>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</si>
  <si>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</si>
  <si>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</si>
  <si>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</si>
  <si>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</si>
  <si>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</si>
  <si>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</si>
  <si>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</si>
  <si>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</si>
  <si>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</si>
  <si>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</si>
  <si>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</si>
  <si>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</si>
  <si>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</si>
  <si>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</si>
  <si>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</si>
  <si>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</si>
  <si>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</si>
  <si>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</si>
  <si>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</si>
  <si>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</si>
  <si>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</si>
  <si>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</si>
  <si>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</si>
  <si>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</si>
  <si>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</si>
  <si>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</si>
  <si>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</si>
  <si>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</si>
  <si>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</si>
  <si>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</si>
  <si>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</si>
  <si>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</si>
  <si>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</si>
  <si>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</si>
  <si>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</si>
  <si>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</si>
  <si>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</si>
  <si>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</si>
  <si>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</si>
  <si>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</si>
  <si>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</si>
  <si>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</si>
  <si>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</si>
  <si>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</si>
  <si>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</si>
  <si>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</si>
  <si>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</si>
  <si>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</si>
  <si>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</si>
  <si>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</si>
  <si>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</si>
  <si>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</si>
  <si>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</si>
  <si>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</si>
  <si>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</si>
  <si>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</si>
  <si>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</si>
  <si>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</si>
  <si>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</si>
  <si>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</si>
  <si>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</si>
  <si>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</si>
  <si>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</si>
  <si>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</si>
  <si>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</si>
  <si>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</si>
  <si>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</si>
  <si>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</si>
  <si>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</si>
  <si>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</si>
  <si>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</si>
  <si>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</si>
  <si>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</si>
  <si>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</si>
  <si>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</si>
  <si>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</si>
  <si>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</si>
  <si>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</si>
  <si>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</si>
  <si>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</si>
  <si>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</si>
  <si>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</si>
  <si>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</si>
  <si>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</si>
  <si>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</si>
  <si>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</si>
  <si>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</si>
  <si>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</si>
  <si>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</si>
  <si>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</si>
  <si>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</si>
  <si>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</si>
  <si>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</si>
  <si>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</si>
  <si>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</si>
  <si>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</si>
  <si>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</si>
  <si>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</si>
  <si>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</si>
  <si>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</si>
  <si>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</si>
  <si>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</si>
  <si>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</si>
  <si>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</si>
  <si>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</si>
  <si>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</si>
  <si>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</si>
  <si>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</si>
  <si>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</si>
  <si>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</si>
  <si>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</si>
  <si>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</si>
  <si>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</si>
  <si>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</si>
  <si>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</si>
  <si>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</si>
  <si>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</si>
  <si>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</si>
  <si>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</si>
  <si>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</si>
  <si>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</si>
  <si>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</si>
  <si>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</si>
  <si>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</si>
  <si>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</si>
  <si>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</si>
  <si>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</si>
  <si>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</si>
  <si>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</si>
  <si>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</si>
  <si>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</si>
  <si>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</si>
  <si>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</si>
  <si>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</si>
  <si>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</si>
  <si>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</si>
  <si>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</si>
  <si>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</si>
  <si>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</si>
  <si>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</si>
  <si>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</si>
  <si>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</si>
  <si>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</si>
  <si>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</si>
  <si>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</si>
  <si>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</si>
  <si>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</si>
  <si>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</si>
  <si>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</si>
  <si>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</si>
  <si>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</si>
  <si>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</si>
  <si>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</si>
  <si>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</si>
  <si>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サブタイトル（注目する地域）</t>
    <rPh sb="7" eb="9">
      <t>チュウモク</t>
    </rPh>
    <rPh sb="11" eb="13">
      <t>チイキ</t>
    </rPh>
    <phoneticPr fontId="1"/>
  </si>
  <si>
    <t>平成27年
3月末</t>
  </si>
  <si>
    <t>平成28年
3月末</t>
  </si>
  <si>
    <t>平成29年
3月末</t>
  </si>
  <si>
    <t>平成30年
3月末</t>
  </si>
  <si>
    <t>令和元年
3月末</t>
  </si>
  <si>
    <t>令和2年
3月末</t>
  </si>
  <si>
    <t>令和3年
3月末</t>
  </si>
  <si>
    <t>令和4年
3月末</t>
  </si>
  <si>
    <t>令和5年
3月末</t>
  </si>
  <si>
    <t>令和6年
3月末</t>
  </si>
  <si>
    <t>介護サービス事業勘定繰出金</t>
  </si>
  <si>
    <t>他会計繰出金</t>
  </si>
  <si>
    <t>その他</t>
  </si>
  <si>
    <t>福島市</t>
  </si>
  <si>
    <t>会津若松市</t>
  </si>
  <si>
    <t>郡山市</t>
  </si>
  <si>
    <t>いわき市</t>
  </si>
  <si>
    <t>白河市</t>
  </si>
  <si>
    <t>須賀川市</t>
  </si>
  <si>
    <t>喜多方市</t>
  </si>
  <si>
    <t>相馬市</t>
  </si>
  <si>
    <t>二本松市</t>
  </si>
  <si>
    <t>田村市</t>
  </si>
  <si>
    <t>南相馬市</t>
  </si>
  <si>
    <t>伊達市</t>
  </si>
  <si>
    <t>本宮市</t>
  </si>
  <si>
    <t>桑折町</t>
  </si>
  <si>
    <t>国見町</t>
  </si>
  <si>
    <t>川俣町</t>
  </si>
  <si>
    <t>大玉村</t>
  </si>
  <si>
    <t>鏡石町</t>
  </si>
  <si>
    <t>天栄村</t>
  </si>
  <si>
    <t>下郷町</t>
  </si>
  <si>
    <t>檜枝岐村</t>
  </si>
  <si>
    <t>只見町</t>
  </si>
  <si>
    <t>南会津町</t>
  </si>
  <si>
    <t>北塩原村</t>
  </si>
  <si>
    <t>西会津町</t>
  </si>
  <si>
    <t>磐梯町</t>
  </si>
  <si>
    <t>猪苗代町</t>
  </si>
  <si>
    <t>会津坂下町</t>
  </si>
  <si>
    <t>湯川村</t>
  </si>
  <si>
    <t>柳津町</t>
  </si>
  <si>
    <t>三島町</t>
  </si>
  <si>
    <t>金山町</t>
  </si>
  <si>
    <t>昭和村</t>
  </si>
  <si>
    <t>会津美里町</t>
  </si>
  <si>
    <t>西郷村</t>
  </si>
  <si>
    <t>泉崎村</t>
  </si>
  <si>
    <t>中島村</t>
  </si>
  <si>
    <t>矢吹町</t>
  </si>
  <si>
    <t>棚倉町</t>
  </si>
  <si>
    <t>矢祭町</t>
  </si>
  <si>
    <t>塙町</t>
  </si>
  <si>
    <t>鮫川村</t>
  </si>
  <si>
    <t>石川町</t>
  </si>
  <si>
    <t>玉川村</t>
  </si>
  <si>
    <t>平田村</t>
  </si>
  <si>
    <t>浅川町</t>
  </si>
  <si>
    <t>古殿町</t>
  </si>
  <si>
    <t>三春町</t>
  </si>
  <si>
    <t>広野町</t>
  </si>
  <si>
    <t>楢葉町</t>
  </si>
  <si>
    <t>富岡町</t>
  </si>
  <si>
    <t>川内村</t>
  </si>
  <si>
    <t>大熊町</t>
  </si>
  <si>
    <t>双葉町</t>
  </si>
  <si>
    <t>浪江町</t>
  </si>
  <si>
    <t>葛尾村</t>
  </si>
  <si>
    <t>新地町</t>
  </si>
  <si>
    <t>飯舘村</t>
  </si>
  <si>
    <t>福島県</t>
  </si>
  <si>
    <t>歳出（諸支出金）</t>
  </si>
  <si>
    <t>令和5年(2023年)</t>
  </si>
  <si>
    <t>小野町</t>
  </si>
  <si>
    <t>歳出費</t>
  </si>
  <si>
    <t>円</t>
  </si>
  <si>
    <t>厚生労働省「介護保険事業状況報告」年報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</si>
  <si>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</si>
  <si>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出力日:2026/08/04</t>
  </si>
  <si>
    <t>（円）</t>
  </si>
  <si>
    <t>合計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</si>
</sst>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#,##0.0_ "/>
  </numFmts>
  <fonts count="133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sz val="11"/>
      <color rgb="FFFF0000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535">
    <xf numFmtId="0" fontId="0" fillId="0" borderId="0" xfId="0">
      <alignment vertical="center"/>
    </xf>
    <xf numFmtId="0" fontId="3" fillId="4" borderId="0" xfId="0" applyFont="1" applyFill="1">
      <alignment vertical="center"/>
    </xf>
    <xf numFmtId="0" fontId="3" fillId="4" borderId="0" xfId="0" applyFont="1" applyFill="1" applyAlignment="1">
      <alignment horizontal="right" vertical="center"/>
    </xf>
    <xf numFmtId="0" fontId="4" fillId="4" borderId="0" xfId="0" applyFont="1" applyFill="1">
      <alignment vertical="center"/>
    </xf>
    <xf numFmtId="0" fontId="4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49" fontId="4" fillId="5" borderId="1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49" fontId="4" fillId="4" borderId="1" xfId="0" applyNumberFormat="1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176" fontId="4" fillId="4" borderId="0" xfId="0" applyNumberFormat="1" applyFont="1" applyFill="1" applyBorder="1">
      <alignment vertical="center"/>
    </xf>
    <xf numFmtId="0" fontId="4" fillId="4" borderId="0" xfId="0" applyFont="1" applyFill="1" applyBorder="1">
      <alignment vertical="center"/>
    </xf>
    <xf numFmtId="0" fontId="4" fillId="4" borderId="0" xfId="0" applyFont="1" applyFill="1" applyBorder="1" applyAlignment="1">
      <alignment horizontal="left" vertical="center"/>
    </xf>
    <xf numFmtId="0" fontId="5" fillId="4" borderId="0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 shrinkToFit="1"/>
    </xf>
    <xf numFmtId="176" fontId="4" fillId="4" borderId="1" xfId="0" applyNumberFormat="1" applyFont="1" applyFill="1" applyBorder="1" applyAlignment="1">
      <alignment vertical="center" shrinkToFit="1"/>
    </xf>
    <xf numFmtId="0" fontId="4" fillId="4" borderId="0" xfId="0" applyFont="1" applyFill="1" applyAlignment="1">
      <alignment horizontal="left" vertical="top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top" wrapText="1"/>
    </xf>
    <xf numFmtId="0" fontId="6" fillId="0" borderId="5" xfId="0" applyBorder="true" applyFont="true"/>
    <xf numFmtId="0" fontId="6" fillId="0" borderId="5" xfId="0" applyBorder="true" applyFont="true"/>
    <xf numFmtId="0" fontId="6" fillId="7" borderId="5" xfId="0" applyBorder="true" applyFont="true" applyFill="true">
      <alignment wrapText="true" vertical="center" horizontal="center"/>
    </xf>
    <xf numFmtId="0" fontId="6" fillId="0" borderId="5" xfId="0" applyBorder="true" applyFont="true"/>
    <xf numFmtId="0" fontId="7" fillId="0" borderId="5" xfId="0" applyBorder="true" applyFont="true"/>
    <xf numFmtId="3" fontId="7" fillId="0" borderId="5" xfId="0" applyBorder="true" applyFont="true" applyNumberFormat="true">
      <alignment shrinkToFit="true"/>
    </xf>
    <xf numFmtId="0" fontId="7" fillId="0" borderId="5" xfId="0" applyBorder="true" applyFont="true"/>
    <xf numFmtId="0" fontId="7" fillId="0" borderId="5" xfId="0" applyBorder="true" applyFont="true"/>
    <xf numFmtId="0" fontId="8" fillId="0" borderId="5" xfId="0" applyBorder="true" applyFont="true"/>
    <xf numFmtId="3" fontId="8" fillId="0" borderId="5" xfId="0" applyBorder="true" applyFont="true" applyNumberFormat="true">
      <alignment shrinkToFit="true"/>
    </xf>
    <xf numFmtId="0" fontId="8" fillId="0" borderId="5" xfId="0" applyBorder="true" applyFont="true"/>
    <xf numFmtId="0" fontId="8" fillId="0" borderId="5" xfId="0" applyBorder="true" applyFont="true"/>
    <xf numFmtId="0" fontId="9" fillId="0" borderId="5" xfId="0" applyBorder="true" applyFont="true"/>
    <xf numFmtId="3" fontId="9" fillId="0" borderId="5" xfId="0" applyBorder="true" applyFont="true" applyNumberFormat="true">
      <alignment shrinkToFit="true"/>
    </xf>
    <xf numFmtId="0" fontId="9" fillId="0" borderId="5" xfId="0" applyBorder="true" applyFont="true"/>
    <xf numFmtId="0" fontId="9" fillId="0" borderId="5" xfId="0" applyBorder="true" applyFont="true"/>
    <xf numFmtId="0" fontId="10" fillId="0" borderId="5" xfId="0" applyBorder="true" applyFont="true"/>
    <xf numFmtId="3" fontId="10" fillId="0" borderId="5" xfId="0" applyBorder="true" applyFont="true" applyNumberFormat="true">
      <alignment shrinkToFit="true"/>
    </xf>
    <xf numFmtId="0" fontId="10" fillId="0" borderId="5" xfId="0" applyBorder="true" applyFont="true"/>
    <xf numFmtId="0" fontId="10" fillId="0" borderId="5" xfId="0" applyBorder="true" applyFont="true"/>
    <xf numFmtId="0" fontId="11" fillId="0" borderId="5" xfId="0" applyBorder="true" applyFont="true"/>
    <xf numFmtId="3" fontId="11" fillId="0" borderId="5" xfId="0" applyBorder="true" applyFont="true" applyNumberFormat="true">
      <alignment shrinkToFit="true"/>
    </xf>
    <xf numFmtId="0" fontId="11" fillId="0" borderId="5" xfId="0" applyBorder="true" applyFont="true"/>
    <xf numFmtId="0" fontId="11" fillId="0" borderId="5" xfId="0" applyBorder="true" applyFont="true"/>
    <xf numFmtId="0" fontId="12" fillId="0" borderId="5" xfId="0" applyBorder="true" applyFont="true"/>
    <xf numFmtId="3" fontId="12" fillId="0" borderId="5" xfId="0" applyBorder="true" applyFont="true" applyNumberFormat="true">
      <alignment shrinkToFit="true"/>
    </xf>
    <xf numFmtId="0" fontId="12" fillId="0" borderId="5" xfId="0" applyBorder="true" applyFont="true"/>
    <xf numFmtId="0" fontId="12" fillId="0" borderId="5" xfId="0" applyBorder="true" applyFont="true"/>
    <xf numFmtId="0" fontId="13" fillId="0" borderId="5" xfId="0" applyBorder="true" applyFont="true"/>
    <xf numFmtId="3" fontId="13" fillId="0" borderId="5" xfId="0" applyBorder="true" applyFont="true" applyNumberFormat="true">
      <alignment shrinkToFit="true"/>
    </xf>
    <xf numFmtId="0" fontId="13" fillId="0" borderId="5" xfId="0" applyBorder="true" applyFont="true"/>
    <xf numFmtId="0" fontId="13" fillId="0" borderId="5" xfId="0" applyBorder="true" applyFont="true"/>
    <xf numFmtId="0" fontId="14" fillId="0" borderId="5" xfId="0" applyBorder="true" applyFont="true"/>
    <xf numFmtId="3" fontId="14" fillId="0" borderId="5" xfId="0" applyBorder="true" applyFont="true" applyNumberFormat="true">
      <alignment shrinkToFit="true"/>
    </xf>
    <xf numFmtId="0" fontId="14" fillId="0" borderId="5" xfId="0" applyBorder="true" applyFont="true"/>
    <xf numFmtId="0" fontId="14" fillId="0" borderId="5" xfId="0" applyBorder="true" applyFont="true"/>
    <xf numFmtId="0" fontId="15" fillId="0" borderId="5" xfId="0" applyBorder="true" applyFont="true"/>
    <xf numFmtId="3" fontId="15" fillId="0" borderId="5" xfId="0" applyBorder="true" applyFont="true" applyNumberFormat="true">
      <alignment shrinkToFit="true"/>
    </xf>
    <xf numFmtId="0" fontId="15" fillId="0" borderId="5" xfId="0" applyBorder="true" applyFont="true"/>
    <xf numFmtId="0" fontId="15" fillId="0" borderId="5" xfId="0" applyBorder="true" applyFont="true"/>
    <xf numFmtId="0" fontId="16" fillId="0" borderId="5" xfId="0" applyBorder="true" applyFont="true"/>
    <xf numFmtId="3" fontId="16" fillId="0" borderId="5" xfId="0" applyBorder="true" applyFont="true" applyNumberFormat="true">
      <alignment shrinkToFit="true"/>
    </xf>
    <xf numFmtId="0" fontId="16" fillId="0" borderId="5" xfId="0" applyBorder="true" applyFont="true"/>
    <xf numFmtId="0" fontId="16" fillId="0" borderId="5" xfId="0" applyBorder="true" applyFont="true"/>
    <xf numFmtId="0" fontId="17" fillId="0" borderId="5" xfId="0" applyBorder="true" applyFont="true"/>
    <xf numFmtId="3" fontId="17" fillId="0" borderId="5" xfId="0" applyBorder="true" applyFont="true" applyNumberFormat="true">
      <alignment shrinkToFit="true"/>
    </xf>
    <xf numFmtId="0" fontId="17" fillId="0" borderId="5" xfId="0" applyBorder="true" applyFont="true"/>
    <xf numFmtId="0" fontId="17" fillId="0" borderId="5" xfId="0" applyBorder="true" applyFont="true"/>
    <xf numFmtId="0" fontId="18" fillId="0" borderId="5" xfId="0" applyBorder="true" applyFont="true"/>
    <xf numFmtId="3" fontId="18" fillId="0" borderId="5" xfId="0" applyBorder="true" applyFont="true" applyNumberFormat="true">
      <alignment shrinkToFit="true"/>
    </xf>
    <xf numFmtId="0" fontId="18" fillId="0" borderId="5" xfId="0" applyBorder="true" applyFont="true"/>
    <xf numFmtId="0" fontId="18" fillId="0" borderId="5" xfId="0" applyBorder="true" applyFont="true"/>
    <xf numFmtId="0" fontId="19" fillId="0" borderId="5" xfId="0" applyBorder="true" applyFont="true"/>
    <xf numFmtId="3" fontId="19" fillId="0" borderId="5" xfId="0" applyBorder="true" applyFont="true" applyNumberFormat="true">
      <alignment shrinkToFit="true"/>
    </xf>
    <xf numFmtId="0" fontId="19" fillId="0" borderId="5" xfId="0" applyBorder="true" applyFont="true"/>
    <xf numFmtId="0" fontId="19" fillId="0" borderId="5" xfId="0" applyBorder="true" applyFont="true"/>
    <xf numFmtId="0" fontId="20" fillId="0" borderId="5" xfId="0" applyBorder="true" applyFont="true"/>
    <xf numFmtId="3" fontId="20" fillId="0" borderId="5" xfId="0" applyBorder="true" applyFont="true" applyNumberFormat="true">
      <alignment shrinkToFit="true"/>
    </xf>
    <xf numFmtId="0" fontId="20" fillId="0" borderId="5" xfId="0" applyBorder="true" applyFont="true"/>
    <xf numFmtId="0" fontId="20" fillId="0" borderId="5" xfId="0" applyBorder="true" applyFont="true"/>
    <xf numFmtId="0" fontId="21" fillId="0" borderId="5" xfId="0" applyBorder="true" applyFont="true"/>
    <xf numFmtId="3" fontId="21" fillId="0" borderId="5" xfId="0" applyBorder="true" applyFont="true" applyNumberFormat="true">
      <alignment shrinkToFit="true"/>
    </xf>
    <xf numFmtId="0" fontId="21" fillId="0" borderId="5" xfId="0" applyBorder="true" applyFont="true"/>
    <xf numFmtId="0" fontId="21" fillId="0" borderId="5" xfId="0" applyBorder="true" applyFont="true"/>
    <xf numFmtId="0" fontId="22" fillId="0" borderId="5" xfId="0" applyBorder="true" applyFont="true"/>
    <xf numFmtId="3" fontId="22" fillId="0" borderId="5" xfId="0" applyBorder="true" applyFont="true" applyNumberFormat="true">
      <alignment shrinkToFit="true"/>
    </xf>
    <xf numFmtId="0" fontId="22" fillId="0" borderId="5" xfId="0" applyBorder="true" applyFont="true"/>
    <xf numFmtId="0" fontId="22" fillId="0" borderId="5" xfId="0" applyBorder="true" applyFont="true"/>
    <xf numFmtId="0" fontId="23" fillId="0" borderId="5" xfId="0" applyBorder="true" applyFont="true"/>
    <xf numFmtId="3" fontId="23" fillId="0" borderId="5" xfId="0" applyBorder="true" applyFont="true" applyNumberFormat="true">
      <alignment shrinkToFit="true"/>
    </xf>
    <xf numFmtId="0" fontId="23" fillId="0" borderId="5" xfId="0" applyBorder="true" applyFont="true"/>
    <xf numFmtId="0" fontId="23" fillId="0" borderId="5" xfId="0" applyBorder="true" applyFont="true"/>
    <xf numFmtId="0" fontId="24" fillId="0" borderId="5" xfId="0" applyBorder="true" applyFont="true"/>
    <xf numFmtId="3" fontId="24" fillId="0" borderId="5" xfId="0" applyBorder="true" applyFont="true" applyNumberFormat="true">
      <alignment shrinkToFit="true"/>
    </xf>
    <xf numFmtId="0" fontId="24" fillId="0" borderId="5" xfId="0" applyBorder="true" applyFont="true"/>
    <xf numFmtId="0" fontId="24" fillId="0" borderId="5" xfId="0" applyBorder="true" applyFont="true"/>
    <xf numFmtId="0" fontId="25" fillId="0" borderId="5" xfId="0" applyBorder="true" applyFont="true"/>
    <xf numFmtId="3" fontId="25" fillId="0" borderId="5" xfId="0" applyBorder="true" applyFont="true" applyNumberFormat="true">
      <alignment shrinkToFit="true"/>
    </xf>
    <xf numFmtId="0" fontId="25" fillId="0" borderId="5" xfId="0" applyBorder="true" applyFont="true"/>
    <xf numFmtId="0" fontId="25" fillId="0" borderId="5" xfId="0" applyBorder="true" applyFont="true"/>
    <xf numFmtId="0" fontId="26" fillId="0" borderId="5" xfId="0" applyBorder="true" applyFont="true"/>
    <xf numFmtId="3" fontId="26" fillId="0" borderId="5" xfId="0" applyBorder="true" applyFont="true" applyNumberFormat="true">
      <alignment shrinkToFit="true"/>
    </xf>
    <xf numFmtId="0" fontId="26" fillId="0" borderId="5" xfId="0" applyBorder="true" applyFont="true"/>
    <xf numFmtId="0" fontId="26" fillId="0" borderId="5" xfId="0" applyBorder="true" applyFont="true"/>
    <xf numFmtId="0" fontId="27" fillId="0" borderId="5" xfId="0" applyBorder="true" applyFont="true"/>
    <xf numFmtId="3" fontId="27" fillId="0" borderId="5" xfId="0" applyBorder="true" applyFont="true" applyNumberFormat="true">
      <alignment shrinkToFit="true"/>
    </xf>
    <xf numFmtId="0" fontId="27" fillId="0" borderId="5" xfId="0" applyBorder="true" applyFont="true"/>
    <xf numFmtId="0" fontId="27" fillId="0" borderId="5" xfId="0" applyBorder="true" applyFont="true"/>
    <xf numFmtId="0" fontId="28" fillId="0" borderId="5" xfId="0" applyBorder="true" applyFont="true"/>
    <xf numFmtId="3" fontId="28" fillId="0" borderId="5" xfId="0" applyBorder="true" applyFont="true" applyNumberFormat="true">
      <alignment shrinkToFit="true"/>
    </xf>
    <xf numFmtId="0" fontId="28" fillId="0" borderId="5" xfId="0" applyBorder="true" applyFont="true"/>
    <xf numFmtId="0" fontId="28" fillId="0" borderId="5" xfId="0" applyBorder="true" applyFont="true"/>
    <xf numFmtId="0" fontId="29" fillId="0" borderId="5" xfId="0" applyBorder="true" applyFont="true"/>
    <xf numFmtId="3" fontId="29" fillId="0" borderId="5" xfId="0" applyBorder="true" applyFont="true" applyNumberFormat="true">
      <alignment shrinkToFit="true"/>
    </xf>
    <xf numFmtId="0" fontId="29" fillId="0" borderId="5" xfId="0" applyBorder="true" applyFont="true"/>
    <xf numFmtId="0" fontId="29" fillId="0" borderId="5" xfId="0" applyBorder="true" applyFont="true"/>
    <xf numFmtId="0" fontId="30" fillId="0" borderId="5" xfId="0" applyBorder="true" applyFont="true"/>
    <xf numFmtId="3" fontId="30" fillId="0" borderId="5" xfId="0" applyBorder="true" applyFont="true" applyNumberFormat="true">
      <alignment shrinkToFit="true"/>
    </xf>
    <xf numFmtId="0" fontId="30" fillId="0" borderId="5" xfId="0" applyBorder="true" applyFont="true"/>
    <xf numFmtId="0" fontId="30" fillId="0" borderId="5" xfId="0" applyBorder="true" applyFont="true"/>
    <xf numFmtId="0" fontId="31" fillId="0" borderId="5" xfId="0" applyBorder="true" applyFont="true"/>
    <xf numFmtId="3" fontId="31" fillId="0" borderId="5" xfId="0" applyBorder="true" applyFont="true" applyNumberFormat="true">
      <alignment shrinkToFit="true"/>
    </xf>
    <xf numFmtId="0" fontId="31" fillId="0" borderId="5" xfId="0" applyBorder="true" applyFont="true"/>
    <xf numFmtId="0" fontId="31" fillId="0" borderId="5" xfId="0" applyBorder="true" applyFont="true"/>
    <xf numFmtId="0" fontId="32" fillId="0" borderId="5" xfId="0" applyBorder="true" applyFont="true"/>
    <xf numFmtId="3" fontId="32" fillId="0" borderId="5" xfId="0" applyBorder="true" applyFont="true" applyNumberFormat="true">
      <alignment shrinkToFit="true"/>
    </xf>
    <xf numFmtId="0" fontId="32" fillId="0" borderId="5" xfId="0" applyBorder="true" applyFont="true"/>
    <xf numFmtId="0" fontId="32" fillId="0" borderId="5" xfId="0" applyBorder="true" applyFont="true"/>
    <xf numFmtId="0" fontId="33" fillId="0" borderId="5" xfId="0" applyBorder="true" applyFont="true"/>
    <xf numFmtId="3" fontId="33" fillId="0" borderId="5" xfId="0" applyBorder="true" applyFont="true" applyNumberFormat="true">
      <alignment shrinkToFit="true"/>
    </xf>
    <xf numFmtId="0" fontId="33" fillId="0" borderId="5" xfId="0" applyBorder="true" applyFont="true"/>
    <xf numFmtId="0" fontId="33" fillId="0" borderId="5" xfId="0" applyBorder="true" applyFont="true"/>
    <xf numFmtId="0" fontId="34" fillId="0" borderId="5" xfId="0" applyBorder="true" applyFont="true"/>
    <xf numFmtId="3" fontId="34" fillId="0" borderId="5" xfId="0" applyBorder="true" applyFont="true" applyNumberFormat="true">
      <alignment shrinkToFit="true"/>
    </xf>
    <xf numFmtId="0" fontId="34" fillId="0" borderId="5" xfId="0" applyBorder="true" applyFont="true"/>
    <xf numFmtId="0" fontId="34" fillId="0" borderId="5" xfId="0" applyBorder="true" applyFont="true"/>
    <xf numFmtId="0" fontId="35" fillId="0" borderId="5" xfId="0" applyBorder="true" applyFont="true"/>
    <xf numFmtId="3" fontId="35" fillId="0" borderId="5" xfId="0" applyBorder="true" applyFont="true" applyNumberFormat="true">
      <alignment shrinkToFit="true"/>
    </xf>
    <xf numFmtId="0" fontId="35" fillId="0" borderId="5" xfId="0" applyBorder="true" applyFont="true"/>
    <xf numFmtId="0" fontId="35" fillId="0" borderId="5" xfId="0" applyBorder="true" applyFont="true"/>
    <xf numFmtId="0" fontId="36" fillId="0" borderId="5" xfId="0" applyBorder="true" applyFont="true"/>
    <xf numFmtId="3" fontId="36" fillId="0" borderId="5" xfId="0" applyBorder="true" applyFont="true" applyNumberFormat="true">
      <alignment shrinkToFit="true"/>
    </xf>
    <xf numFmtId="0" fontId="36" fillId="0" borderId="5" xfId="0" applyBorder="true" applyFont="true"/>
    <xf numFmtId="0" fontId="36" fillId="0" borderId="5" xfId="0" applyBorder="true" applyFont="true"/>
    <xf numFmtId="0" fontId="37" fillId="0" borderId="5" xfId="0" applyBorder="true" applyFont="true"/>
    <xf numFmtId="3" fontId="37" fillId="0" borderId="5" xfId="0" applyBorder="true" applyFont="true" applyNumberFormat="true">
      <alignment shrinkToFit="true"/>
    </xf>
    <xf numFmtId="0" fontId="37" fillId="0" borderId="5" xfId="0" applyBorder="true" applyFont="true"/>
    <xf numFmtId="0" fontId="37" fillId="0" borderId="5" xfId="0" applyBorder="true" applyFont="true"/>
    <xf numFmtId="0" fontId="38" fillId="0" borderId="5" xfId="0" applyBorder="true" applyFont="true"/>
    <xf numFmtId="3" fontId="38" fillId="0" borderId="5" xfId="0" applyBorder="true" applyFont="true" applyNumberFormat="true">
      <alignment shrinkToFit="true"/>
    </xf>
    <xf numFmtId="0" fontId="38" fillId="0" borderId="5" xfId="0" applyBorder="true" applyFont="true"/>
    <xf numFmtId="0" fontId="38" fillId="0" borderId="5" xfId="0" applyBorder="true" applyFont="true"/>
    <xf numFmtId="0" fontId="39" fillId="0" borderId="5" xfId="0" applyBorder="true" applyFont="true"/>
    <xf numFmtId="3" fontId="39" fillId="0" borderId="5" xfId="0" applyBorder="true" applyFont="true" applyNumberFormat="true">
      <alignment shrinkToFit="true"/>
    </xf>
    <xf numFmtId="0" fontId="39" fillId="0" borderId="5" xfId="0" applyBorder="true" applyFont="true"/>
    <xf numFmtId="0" fontId="39" fillId="0" borderId="5" xfId="0" applyBorder="true" applyFont="true"/>
    <xf numFmtId="0" fontId="40" fillId="0" borderId="5" xfId="0" applyBorder="true" applyFont="true"/>
    <xf numFmtId="3" fontId="40" fillId="0" borderId="5" xfId="0" applyBorder="true" applyFont="true" applyNumberFormat="true">
      <alignment shrinkToFit="true"/>
    </xf>
    <xf numFmtId="0" fontId="40" fillId="0" borderId="5" xfId="0" applyBorder="true" applyFont="true"/>
    <xf numFmtId="0" fontId="40" fillId="0" borderId="5" xfId="0" applyBorder="true" applyFont="true"/>
    <xf numFmtId="0" fontId="41" fillId="0" borderId="5" xfId="0" applyBorder="true" applyFont="true"/>
    <xf numFmtId="3" fontId="41" fillId="0" borderId="5" xfId="0" applyBorder="true" applyFont="true" applyNumberFormat="true">
      <alignment shrinkToFit="true"/>
    </xf>
    <xf numFmtId="0" fontId="41" fillId="0" borderId="5" xfId="0" applyBorder="true" applyFont="true"/>
    <xf numFmtId="0" fontId="41" fillId="0" borderId="5" xfId="0" applyBorder="true" applyFont="true"/>
    <xf numFmtId="0" fontId="42" fillId="0" borderId="5" xfId="0" applyBorder="true" applyFont="true"/>
    <xf numFmtId="3" fontId="42" fillId="0" borderId="5" xfId="0" applyBorder="true" applyFont="true" applyNumberFormat="true">
      <alignment shrinkToFit="true"/>
    </xf>
    <xf numFmtId="0" fontId="42" fillId="0" borderId="5" xfId="0" applyBorder="true" applyFont="true"/>
    <xf numFmtId="0" fontId="42" fillId="0" borderId="5" xfId="0" applyBorder="true" applyFont="true"/>
    <xf numFmtId="0" fontId="43" fillId="0" borderId="5" xfId="0" applyBorder="true" applyFont="true"/>
    <xf numFmtId="3" fontId="43" fillId="0" borderId="5" xfId="0" applyBorder="true" applyFont="true" applyNumberFormat="true">
      <alignment shrinkToFit="true"/>
    </xf>
    <xf numFmtId="0" fontId="43" fillId="0" borderId="5" xfId="0" applyBorder="true" applyFont="true"/>
    <xf numFmtId="0" fontId="43" fillId="0" borderId="5" xfId="0" applyBorder="true" applyFont="true"/>
    <xf numFmtId="0" fontId="44" fillId="0" borderId="5" xfId="0" applyBorder="true" applyFont="true"/>
    <xf numFmtId="3" fontId="44" fillId="0" borderId="5" xfId="0" applyBorder="true" applyFont="true" applyNumberFormat="true">
      <alignment shrinkToFit="true"/>
    </xf>
    <xf numFmtId="0" fontId="44" fillId="0" borderId="5" xfId="0" applyBorder="true" applyFont="true"/>
    <xf numFmtId="0" fontId="44" fillId="0" borderId="5" xfId="0" applyBorder="true" applyFont="true"/>
    <xf numFmtId="0" fontId="45" fillId="0" borderId="5" xfId="0" applyBorder="true" applyFont="true"/>
    <xf numFmtId="3" fontId="45" fillId="0" borderId="5" xfId="0" applyBorder="true" applyFont="true" applyNumberFormat="true">
      <alignment shrinkToFit="true"/>
    </xf>
    <xf numFmtId="0" fontId="45" fillId="0" borderId="5" xfId="0" applyBorder="true" applyFont="true"/>
    <xf numFmtId="0" fontId="45" fillId="0" borderId="5" xfId="0" applyBorder="true" applyFont="true"/>
    <xf numFmtId="0" fontId="46" fillId="0" borderId="5" xfId="0" applyBorder="true" applyFont="true"/>
    <xf numFmtId="3" fontId="46" fillId="0" borderId="5" xfId="0" applyBorder="true" applyFont="true" applyNumberFormat="true">
      <alignment shrinkToFit="true"/>
    </xf>
    <xf numFmtId="0" fontId="46" fillId="0" borderId="5" xfId="0" applyBorder="true" applyFont="true"/>
    <xf numFmtId="0" fontId="46" fillId="0" borderId="5" xfId="0" applyBorder="true" applyFont="true"/>
    <xf numFmtId="0" fontId="47" fillId="0" borderId="5" xfId="0" applyBorder="true" applyFont="true"/>
    <xf numFmtId="3" fontId="47" fillId="0" borderId="5" xfId="0" applyBorder="true" applyFont="true" applyNumberFormat="true">
      <alignment shrinkToFit="true"/>
    </xf>
    <xf numFmtId="0" fontId="47" fillId="0" borderId="5" xfId="0" applyBorder="true" applyFont="true"/>
    <xf numFmtId="0" fontId="47" fillId="0" borderId="5" xfId="0" applyBorder="true" applyFont="true"/>
    <xf numFmtId="0" fontId="48" fillId="0" borderId="5" xfId="0" applyBorder="true" applyFont="true"/>
    <xf numFmtId="3" fontId="48" fillId="0" borderId="5" xfId="0" applyBorder="true" applyFont="true" applyNumberFormat="true">
      <alignment shrinkToFit="true"/>
    </xf>
    <xf numFmtId="0" fontId="48" fillId="0" borderId="5" xfId="0" applyBorder="true" applyFont="true"/>
    <xf numFmtId="0" fontId="48" fillId="0" borderId="5" xfId="0" applyBorder="true" applyFont="true"/>
    <xf numFmtId="0" fontId="49" fillId="0" borderId="5" xfId="0" applyBorder="true" applyFont="true"/>
    <xf numFmtId="3" fontId="49" fillId="0" borderId="5" xfId="0" applyBorder="true" applyFont="true" applyNumberFormat="true">
      <alignment shrinkToFit="true"/>
    </xf>
    <xf numFmtId="0" fontId="49" fillId="0" borderId="5" xfId="0" applyBorder="true" applyFont="true"/>
    <xf numFmtId="0" fontId="49" fillId="0" borderId="5" xfId="0" applyBorder="true" applyFont="true"/>
    <xf numFmtId="0" fontId="50" fillId="0" borderId="5" xfId="0" applyBorder="true" applyFont="true"/>
    <xf numFmtId="3" fontId="50" fillId="0" borderId="5" xfId="0" applyBorder="true" applyFont="true" applyNumberFormat="true">
      <alignment shrinkToFit="true"/>
    </xf>
    <xf numFmtId="0" fontId="50" fillId="0" borderId="5" xfId="0" applyBorder="true" applyFont="true"/>
    <xf numFmtId="0" fontId="50" fillId="0" borderId="5" xfId="0" applyBorder="true" applyFont="true"/>
    <xf numFmtId="0" fontId="51" fillId="0" borderId="5" xfId="0" applyBorder="true" applyFont="true"/>
    <xf numFmtId="3" fontId="51" fillId="0" borderId="5" xfId="0" applyBorder="true" applyFont="true" applyNumberFormat="true">
      <alignment shrinkToFit="true"/>
    </xf>
    <xf numFmtId="0" fontId="51" fillId="0" borderId="5" xfId="0" applyBorder="true" applyFont="true"/>
    <xf numFmtId="0" fontId="51" fillId="0" borderId="5" xfId="0" applyBorder="true" applyFont="true"/>
    <xf numFmtId="0" fontId="52" fillId="0" borderId="5" xfId="0" applyBorder="true" applyFont="true"/>
    <xf numFmtId="3" fontId="52" fillId="0" borderId="5" xfId="0" applyBorder="true" applyFont="true" applyNumberFormat="true">
      <alignment shrinkToFit="true"/>
    </xf>
    <xf numFmtId="0" fontId="52" fillId="0" borderId="5" xfId="0" applyBorder="true" applyFont="true"/>
    <xf numFmtId="0" fontId="52" fillId="0" borderId="5" xfId="0" applyBorder="true" applyFont="true"/>
    <xf numFmtId="0" fontId="53" fillId="0" borderId="5" xfId="0" applyBorder="true" applyFont="true"/>
    <xf numFmtId="3" fontId="53" fillId="0" borderId="5" xfId="0" applyBorder="true" applyFont="true" applyNumberFormat="true">
      <alignment shrinkToFit="true"/>
    </xf>
    <xf numFmtId="0" fontId="53" fillId="0" borderId="5" xfId="0" applyBorder="true" applyFont="true"/>
    <xf numFmtId="0" fontId="53" fillId="0" borderId="5" xfId="0" applyBorder="true" applyFont="true"/>
    <xf numFmtId="0" fontId="54" fillId="0" borderId="5" xfId="0" applyBorder="true" applyFont="true"/>
    <xf numFmtId="3" fontId="54" fillId="0" borderId="5" xfId="0" applyBorder="true" applyFont="true" applyNumberFormat="true">
      <alignment shrinkToFit="true"/>
    </xf>
    <xf numFmtId="0" fontId="54" fillId="0" borderId="5" xfId="0" applyBorder="true" applyFont="true"/>
    <xf numFmtId="0" fontId="54" fillId="0" borderId="5" xfId="0" applyBorder="true" applyFont="true"/>
    <xf numFmtId="0" fontId="55" fillId="0" borderId="5" xfId="0" applyBorder="true" applyFont="true"/>
    <xf numFmtId="3" fontId="55" fillId="0" borderId="5" xfId="0" applyBorder="true" applyFont="true" applyNumberFormat="true">
      <alignment shrinkToFit="true"/>
    </xf>
    <xf numFmtId="0" fontId="55" fillId="0" borderId="5" xfId="0" applyBorder="true" applyFont="true"/>
    <xf numFmtId="0" fontId="55" fillId="0" borderId="5" xfId="0" applyBorder="true" applyFont="true"/>
    <xf numFmtId="0" fontId="56" fillId="0" borderId="5" xfId="0" applyBorder="true" applyFont="true"/>
    <xf numFmtId="3" fontId="56" fillId="0" borderId="5" xfId="0" applyBorder="true" applyFont="true" applyNumberFormat="true">
      <alignment shrinkToFit="true"/>
    </xf>
    <xf numFmtId="0" fontId="56" fillId="0" borderId="5" xfId="0" applyBorder="true" applyFont="true"/>
    <xf numFmtId="0" fontId="56" fillId="0" borderId="5" xfId="0" applyBorder="true" applyFont="true"/>
    <xf numFmtId="0" fontId="57" fillId="0" borderId="5" xfId="0" applyBorder="true" applyFont="true"/>
    <xf numFmtId="3" fontId="57" fillId="0" borderId="5" xfId="0" applyBorder="true" applyFont="true" applyNumberFormat="true">
      <alignment shrinkToFit="true"/>
    </xf>
    <xf numFmtId="0" fontId="57" fillId="0" borderId="5" xfId="0" applyBorder="true" applyFont="true"/>
    <xf numFmtId="0" fontId="57" fillId="0" borderId="5" xfId="0" applyBorder="true" applyFont="true"/>
    <xf numFmtId="0" fontId="58" fillId="0" borderId="5" xfId="0" applyBorder="true" applyFont="true"/>
    <xf numFmtId="3" fontId="58" fillId="0" borderId="5" xfId="0" applyBorder="true" applyFont="true" applyNumberFormat="true">
      <alignment shrinkToFit="true"/>
    </xf>
    <xf numFmtId="0" fontId="58" fillId="0" borderId="5" xfId="0" applyBorder="true" applyFont="true"/>
    <xf numFmtId="0" fontId="58" fillId="0" borderId="5" xfId="0" applyBorder="true" applyFont="true"/>
    <xf numFmtId="0" fontId="59" fillId="0" borderId="5" xfId="0" applyBorder="true" applyFont="true"/>
    <xf numFmtId="3" fontId="59" fillId="0" borderId="5" xfId="0" applyBorder="true" applyFont="true" applyNumberFormat="true">
      <alignment shrinkToFit="true"/>
    </xf>
    <xf numFmtId="0" fontId="59" fillId="0" borderId="5" xfId="0" applyBorder="true" applyFont="true"/>
    <xf numFmtId="0" fontId="59" fillId="0" borderId="5" xfId="0" applyBorder="true" applyFont="true"/>
    <xf numFmtId="0" fontId="60" fillId="0" borderId="5" xfId="0" applyBorder="true" applyFont="true"/>
    <xf numFmtId="3" fontId="60" fillId="0" borderId="5" xfId="0" applyBorder="true" applyFont="true" applyNumberFormat="true">
      <alignment shrinkToFit="true"/>
    </xf>
    <xf numFmtId="0" fontId="60" fillId="0" borderId="5" xfId="0" applyBorder="true" applyFont="true"/>
    <xf numFmtId="0" fontId="60" fillId="0" borderId="5" xfId="0" applyBorder="true" applyFont="true"/>
    <xf numFmtId="0" fontId="61" fillId="0" borderId="5" xfId="0" applyBorder="true" applyFont="true"/>
    <xf numFmtId="3" fontId="61" fillId="0" borderId="5" xfId="0" applyBorder="true" applyFont="true" applyNumberFormat="true">
      <alignment shrinkToFit="true"/>
    </xf>
    <xf numFmtId="0" fontId="61" fillId="0" borderId="5" xfId="0" applyBorder="true" applyFont="true"/>
    <xf numFmtId="0" fontId="61" fillId="0" borderId="5" xfId="0" applyBorder="true" applyFont="true"/>
    <xf numFmtId="0" fontId="62" fillId="0" borderId="5" xfId="0" applyBorder="true" applyFont="true"/>
    <xf numFmtId="3" fontId="62" fillId="0" borderId="5" xfId="0" applyBorder="true" applyFont="true" applyNumberFormat="true">
      <alignment shrinkToFit="true"/>
    </xf>
    <xf numFmtId="0" fontId="62" fillId="0" borderId="5" xfId="0" applyBorder="true" applyFont="true"/>
    <xf numFmtId="0" fontId="62" fillId="0" borderId="5" xfId="0" applyBorder="true" applyFont="true"/>
    <xf numFmtId="0" fontId="63" fillId="0" borderId="5" xfId="0" applyBorder="true" applyFont="true"/>
    <xf numFmtId="3" fontId="63" fillId="0" borderId="5" xfId="0" applyBorder="true" applyFont="true" applyNumberFormat="true">
      <alignment shrinkToFit="true"/>
    </xf>
    <xf numFmtId="0" fontId="63" fillId="0" borderId="5" xfId="0" applyBorder="true" applyFont="true"/>
    <xf numFmtId="0" fontId="63" fillId="0" borderId="5" xfId="0" applyBorder="true" applyFont="true"/>
    <xf numFmtId="0" fontId="64" fillId="0" borderId="5" xfId="0" applyBorder="true" applyFont="true"/>
    <xf numFmtId="3" fontId="64" fillId="0" borderId="5" xfId="0" applyBorder="true" applyFont="true" applyNumberFormat="true">
      <alignment shrinkToFit="true"/>
    </xf>
    <xf numFmtId="0" fontId="64" fillId="0" borderId="5" xfId="0" applyBorder="true" applyFont="true"/>
    <xf numFmtId="0" fontId="64" fillId="0" borderId="5" xfId="0" applyBorder="true" applyFont="true"/>
    <xf numFmtId="0" fontId="65" fillId="0" borderId="5" xfId="0" applyBorder="true" applyFont="true"/>
    <xf numFmtId="3" fontId="65" fillId="0" borderId="5" xfId="0" applyBorder="true" applyFont="true" applyNumberFormat="true">
      <alignment shrinkToFit="true"/>
    </xf>
    <xf numFmtId="0" fontId="65" fillId="0" borderId="5" xfId="0" applyBorder="true" applyFont="true"/>
    <xf numFmtId="0" fontId="65" fillId="0" borderId="5" xfId="0" applyBorder="true" applyFont="true"/>
    <xf numFmtId="0" fontId="66" fillId="0" borderId="5" xfId="0" applyBorder="true" applyFont="true"/>
    <xf numFmtId="3" fontId="66" fillId="0" borderId="5" xfId="0" applyBorder="true" applyFont="true" applyNumberFormat="true">
      <alignment shrinkToFit="true"/>
    </xf>
    <xf numFmtId="0" fontId="66" fillId="0" borderId="5" xfId="0" applyBorder="true" applyFont="true"/>
    <xf numFmtId="0" fontId="66" fillId="0" borderId="5" xfId="0" applyBorder="true" applyFont="true"/>
    <xf numFmtId="0" fontId="67" fillId="0" borderId="5" xfId="0" applyBorder="true" applyFont="true"/>
    <xf numFmtId="3" fontId="67" fillId="0" borderId="5" xfId="0" applyBorder="true" applyFont="true" applyNumberFormat="true">
      <alignment shrinkToFit="true"/>
    </xf>
    <xf numFmtId="0" fontId="67" fillId="0" borderId="5" xfId="0" applyBorder="true" applyFont="true"/>
    <xf numFmtId="0" fontId="67" fillId="0" borderId="5" xfId="0" applyBorder="true" applyFont="true"/>
    <xf numFmtId="0" fontId="68" fillId="0" borderId="5" xfId="0" applyBorder="true" applyFont="true"/>
    <xf numFmtId="3" fontId="68" fillId="0" borderId="5" xfId="0" applyBorder="true" applyFont="true" applyNumberFormat="true">
      <alignment shrinkToFit="true"/>
    </xf>
    <xf numFmtId="0" fontId="68" fillId="0" borderId="5" xfId="0" applyBorder="true" applyFont="true"/>
    <xf numFmtId="0" fontId="68" fillId="0" borderId="5" xfId="0" applyBorder="true" applyFont="true"/>
    <xf numFmtId="0" fontId="69" fillId="0" borderId="5" xfId="0" applyBorder="true" applyFont="true"/>
    <xf numFmtId="0" fontId="69" fillId="0" borderId="5" xfId="0" applyBorder="true" applyFont="true"/>
    <xf numFmtId="0" fontId="69" fillId="7" borderId="5" xfId="0" applyBorder="true" applyFont="true" applyFill="true">
      <alignment wrapText="true" vertical="center" horizontal="center"/>
    </xf>
    <xf numFmtId="0" fontId="69" fillId="0" borderId="5" xfId="0" applyBorder="true" applyFont="true"/>
    <xf numFmtId="0" fontId="70" fillId="0" borderId="5" xfId="0" applyBorder="true" applyFont="true"/>
    <xf numFmtId="3" fontId="70" fillId="0" borderId="5" xfId="0" applyBorder="true" applyFont="true" applyNumberFormat="true">
      <alignment shrinkToFit="true"/>
    </xf>
    <xf numFmtId="0" fontId="70" fillId="0" borderId="5" xfId="0" applyBorder="true" applyFont="true"/>
    <xf numFmtId="0" fontId="70" fillId="0" borderId="5" xfId="0" applyBorder="true" applyFont="true"/>
    <xf numFmtId="0" fontId="71" fillId="0" borderId="5" xfId="0" applyBorder="true" applyFont="true"/>
    <xf numFmtId="3" fontId="71" fillId="0" borderId="5" xfId="0" applyBorder="true" applyFont="true" applyNumberFormat="true">
      <alignment shrinkToFit="true"/>
    </xf>
    <xf numFmtId="0" fontId="71" fillId="0" borderId="5" xfId="0" applyBorder="true" applyFont="true"/>
    <xf numFmtId="0" fontId="71" fillId="0" borderId="5" xfId="0" applyBorder="true" applyFont="true"/>
    <xf numFmtId="0" fontId="72" fillId="0" borderId="5" xfId="0" applyBorder="true" applyFont="true"/>
    <xf numFmtId="3" fontId="72" fillId="0" borderId="5" xfId="0" applyBorder="true" applyFont="true" applyNumberFormat="true">
      <alignment shrinkToFit="true"/>
    </xf>
    <xf numFmtId="0" fontId="72" fillId="0" borderId="5" xfId="0" applyBorder="true" applyFont="true"/>
    <xf numFmtId="0" fontId="72" fillId="0" borderId="5" xfId="0" applyBorder="true" applyFont="true"/>
    <xf numFmtId="0" fontId="73" fillId="0" borderId="5" xfId="0" applyBorder="true" applyFont="true"/>
    <xf numFmtId="3" fontId="73" fillId="0" borderId="5" xfId="0" applyBorder="true" applyFont="true" applyNumberFormat="true">
      <alignment shrinkToFit="true"/>
    </xf>
    <xf numFmtId="0" fontId="73" fillId="0" borderId="5" xfId="0" applyBorder="true" applyFont="true"/>
    <xf numFmtId="0" fontId="73" fillId="0" borderId="5" xfId="0" applyBorder="true" applyFont="true"/>
    <xf numFmtId="0" fontId="74" fillId="0" borderId="5" xfId="0" applyBorder="true" applyFont="true"/>
    <xf numFmtId="3" fontId="74" fillId="0" borderId="5" xfId="0" applyBorder="true" applyFont="true" applyNumberFormat="true">
      <alignment shrinkToFit="true"/>
    </xf>
    <xf numFmtId="0" fontId="74" fillId="0" borderId="5" xfId="0" applyBorder="true" applyFont="true"/>
    <xf numFmtId="0" fontId="74" fillId="0" borderId="5" xfId="0" applyBorder="true" applyFont="true"/>
    <xf numFmtId="0" fontId="75" fillId="0" borderId="5" xfId="0" applyBorder="true" applyFont="true"/>
    <xf numFmtId="3" fontId="75" fillId="0" borderId="5" xfId="0" applyBorder="true" applyFont="true" applyNumberFormat="true">
      <alignment shrinkToFit="true"/>
    </xf>
    <xf numFmtId="0" fontId="75" fillId="0" borderId="5" xfId="0" applyBorder="true" applyFont="true"/>
    <xf numFmtId="0" fontId="75" fillId="0" borderId="5" xfId="0" applyBorder="true" applyFont="true"/>
    <xf numFmtId="0" fontId="76" fillId="0" borderId="5" xfId="0" applyBorder="true" applyFont="true"/>
    <xf numFmtId="3" fontId="76" fillId="0" borderId="5" xfId="0" applyBorder="true" applyFont="true" applyNumberFormat="true">
      <alignment shrinkToFit="true"/>
    </xf>
    <xf numFmtId="0" fontId="76" fillId="0" borderId="5" xfId="0" applyBorder="true" applyFont="true"/>
    <xf numFmtId="0" fontId="76" fillId="0" borderId="5" xfId="0" applyBorder="true" applyFont="true"/>
    <xf numFmtId="0" fontId="77" fillId="0" borderId="5" xfId="0" applyBorder="true" applyFont="true"/>
    <xf numFmtId="3" fontId="77" fillId="0" borderId="5" xfId="0" applyBorder="true" applyFont="true" applyNumberFormat="true">
      <alignment shrinkToFit="true"/>
    </xf>
    <xf numFmtId="0" fontId="77" fillId="0" borderId="5" xfId="0" applyBorder="true" applyFont="true"/>
    <xf numFmtId="0" fontId="77" fillId="0" borderId="5" xfId="0" applyBorder="true" applyFont="true"/>
    <xf numFmtId="0" fontId="78" fillId="0" borderId="5" xfId="0" applyBorder="true" applyFont="true"/>
    <xf numFmtId="3" fontId="78" fillId="0" borderId="5" xfId="0" applyBorder="true" applyFont="true" applyNumberFormat="true">
      <alignment shrinkToFit="true"/>
    </xf>
    <xf numFmtId="0" fontId="78" fillId="0" borderId="5" xfId="0" applyBorder="true" applyFont="true"/>
    <xf numFmtId="0" fontId="78" fillId="0" borderId="5" xfId="0" applyBorder="true" applyFont="true"/>
    <xf numFmtId="0" fontId="79" fillId="0" borderId="5" xfId="0" applyBorder="true" applyFont="true"/>
    <xf numFmtId="3" fontId="79" fillId="0" borderId="5" xfId="0" applyBorder="true" applyFont="true" applyNumberFormat="true">
      <alignment shrinkToFit="true"/>
    </xf>
    <xf numFmtId="0" fontId="79" fillId="0" borderId="5" xfId="0" applyBorder="true" applyFont="true"/>
    <xf numFmtId="0" fontId="79" fillId="0" borderId="5" xfId="0" applyBorder="true" applyFont="true"/>
    <xf numFmtId="0" fontId="80" fillId="0" borderId="5" xfId="0" applyBorder="true" applyFont="true"/>
    <xf numFmtId="3" fontId="80" fillId="0" borderId="5" xfId="0" applyBorder="true" applyFont="true" applyNumberFormat="true">
      <alignment shrinkToFit="true"/>
    </xf>
    <xf numFmtId="0" fontId="80" fillId="0" borderId="5" xfId="0" applyBorder="true" applyFont="true"/>
    <xf numFmtId="0" fontId="80" fillId="0" borderId="5" xfId="0" applyBorder="true" applyFont="true"/>
    <xf numFmtId="0" fontId="81" fillId="0" borderId="5" xfId="0" applyBorder="true" applyFont="true"/>
    <xf numFmtId="3" fontId="81" fillId="0" borderId="5" xfId="0" applyBorder="true" applyFont="true" applyNumberFormat="true">
      <alignment shrinkToFit="true"/>
    </xf>
    <xf numFmtId="0" fontId="81" fillId="0" borderId="5" xfId="0" applyBorder="true" applyFont="true"/>
    <xf numFmtId="0" fontId="81" fillId="0" borderId="5" xfId="0" applyBorder="true" applyFont="true"/>
    <xf numFmtId="0" fontId="82" fillId="0" borderId="5" xfId="0" applyBorder="true" applyFont="true"/>
    <xf numFmtId="3" fontId="82" fillId="0" borderId="5" xfId="0" applyBorder="true" applyFont="true" applyNumberFormat="true">
      <alignment shrinkToFit="true"/>
    </xf>
    <xf numFmtId="0" fontId="82" fillId="0" borderId="5" xfId="0" applyBorder="true" applyFont="true"/>
    <xf numFmtId="0" fontId="82" fillId="0" borderId="5" xfId="0" applyBorder="true" applyFont="true"/>
    <xf numFmtId="0" fontId="83" fillId="0" borderId="5" xfId="0" applyBorder="true" applyFont="true"/>
    <xf numFmtId="3" fontId="83" fillId="0" borderId="5" xfId="0" applyBorder="true" applyFont="true" applyNumberFormat="true">
      <alignment shrinkToFit="true"/>
    </xf>
    <xf numFmtId="0" fontId="83" fillId="0" borderId="5" xfId="0" applyBorder="true" applyFont="true"/>
    <xf numFmtId="0" fontId="83" fillId="0" borderId="5" xfId="0" applyBorder="true" applyFont="true"/>
    <xf numFmtId="0" fontId="84" fillId="0" borderId="5" xfId="0" applyBorder="true" applyFont="true"/>
    <xf numFmtId="3" fontId="84" fillId="0" borderId="5" xfId="0" applyBorder="true" applyFont="true" applyNumberFormat="true">
      <alignment shrinkToFit="true"/>
    </xf>
    <xf numFmtId="0" fontId="84" fillId="0" borderId="5" xfId="0" applyBorder="true" applyFont="true"/>
    <xf numFmtId="0" fontId="84" fillId="0" borderId="5" xfId="0" applyBorder="true" applyFont="true"/>
    <xf numFmtId="0" fontId="85" fillId="0" borderId="5" xfId="0" applyBorder="true" applyFont="true"/>
    <xf numFmtId="3" fontId="85" fillId="0" borderId="5" xfId="0" applyBorder="true" applyFont="true" applyNumberFormat="true">
      <alignment shrinkToFit="true"/>
    </xf>
    <xf numFmtId="0" fontId="85" fillId="0" borderId="5" xfId="0" applyBorder="true" applyFont="true"/>
    <xf numFmtId="0" fontId="85" fillId="0" borderId="5" xfId="0" applyBorder="true" applyFont="true"/>
    <xf numFmtId="0" fontId="86" fillId="0" borderId="5" xfId="0" applyBorder="true" applyFont="true"/>
    <xf numFmtId="3" fontId="86" fillId="0" borderId="5" xfId="0" applyBorder="true" applyFont="true" applyNumberFormat="true">
      <alignment shrinkToFit="true"/>
    </xf>
    <xf numFmtId="0" fontId="86" fillId="0" borderId="5" xfId="0" applyBorder="true" applyFont="true"/>
    <xf numFmtId="0" fontId="86" fillId="0" borderId="5" xfId="0" applyBorder="true" applyFont="true"/>
    <xf numFmtId="0" fontId="87" fillId="0" borderId="5" xfId="0" applyBorder="true" applyFont="true"/>
    <xf numFmtId="3" fontId="87" fillId="0" borderId="5" xfId="0" applyBorder="true" applyFont="true" applyNumberFormat="true">
      <alignment shrinkToFit="true"/>
    </xf>
    <xf numFmtId="0" fontId="87" fillId="0" borderId="5" xfId="0" applyBorder="true" applyFont="true"/>
    <xf numFmtId="0" fontId="87" fillId="0" borderId="5" xfId="0" applyBorder="true" applyFont="true"/>
    <xf numFmtId="0" fontId="88" fillId="0" borderId="5" xfId="0" applyBorder="true" applyFont="true"/>
    <xf numFmtId="3" fontId="88" fillId="0" borderId="5" xfId="0" applyBorder="true" applyFont="true" applyNumberFormat="true">
      <alignment shrinkToFit="true"/>
    </xf>
    <xf numFmtId="0" fontId="88" fillId="0" borderId="5" xfId="0" applyBorder="true" applyFont="true"/>
    <xf numFmtId="0" fontId="88" fillId="0" borderId="5" xfId="0" applyBorder="true" applyFont="true"/>
    <xf numFmtId="0" fontId="89" fillId="0" borderId="5" xfId="0" applyBorder="true" applyFont="true"/>
    <xf numFmtId="3" fontId="89" fillId="0" borderId="5" xfId="0" applyBorder="true" applyFont="true" applyNumberFormat="true">
      <alignment shrinkToFit="true"/>
    </xf>
    <xf numFmtId="0" fontId="89" fillId="0" borderId="5" xfId="0" applyBorder="true" applyFont="true"/>
    <xf numFmtId="0" fontId="89" fillId="0" borderId="5" xfId="0" applyBorder="true" applyFont="true"/>
    <xf numFmtId="0" fontId="90" fillId="0" borderId="5" xfId="0" applyBorder="true" applyFont="true"/>
    <xf numFmtId="3" fontId="90" fillId="0" borderId="5" xfId="0" applyBorder="true" applyFont="true" applyNumberFormat="true">
      <alignment shrinkToFit="true"/>
    </xf>
    <xf numFmtId="0" fontId="90" fillId="0" borderId="5" xfId="0" applyBorder="true" applyFont="true"/>
    <xf numFmtId="0" fontId="90" fillId="0" borderId="5" xfId="0" applyBorder="true" applyFont="true"/>
    <xf numFmtId="0" fontId="91" fillId="0" borderId="5" xfId="0" applyBorder="true" applyFont="true"/>
    <xf numFmtId="3" fontId="91" fillId="0" borderId="5" xfId="0" applyBorder="true" applyFont="true" applyNumberFormat="true">
      <alignment shrinkToFit="true"/>
    </xf>
    <xf numFmtId="0" fontId="91" fillId="0" borderId="5" xfId="0" applyBorder="true" applyFont="true"/>
    <xf numFmtId="0" fontId="91" fillId="0" borderId="5" xfId="0" applyBorder="true" applyFont="true"/>
    <xf numFmtId="0" fontId="92" fillId="0" borderId="5" xfId="0" applyBorder="true" applyFont="true"/>
    <xf numFmtId="3" fontId="92" fillId="0" borderId="5" xfId="0" applyBorder="true" applyFont="true" applyNumberFormat="true">
      <alignment shrinkToFit="true"/>
    </xf>
    <xf numFmtId="0" fontId="92" fillId="0" borderId="5" xfId="0" applyBorder="true" applyFont="true"/>
    <xf numFmtId="0" fontId="92" fillId="0" borderId="5" xfId="0" applyBorder="true" applyFont="true"/>
    <xf numFmtId="0" fontId="93" fillId="0" borderId="5" xfId="0" applyBorder="true" applyFont="true"/>
    <xf numFmtId="3" fontId="93" fillId="0" borderId="5" xfId="0" applyBorder="true" applyFont="true" applyNumberFormat="true">
      <alignment shrinkToFit="true"/>
    </xf>
    <xf numFmtId="0" fontId="93" fillId="0" borderId="5" xfId="0" applyBorder="true" applyFont="true"/>
    <xf numFmtId="0" fontId="93" fillId="0" borderId="5" xfId="0" applyBorder="true" applyFont="true"/>
    <xf numFmtId="0" fontId="94" fillId="0" borderId="5" xfId="0" applyBorder="true" applyFont="true"/>
    <xf numFmtId="3" fontId="94" fillId="0" borderId="5" xfId="0" applyBorder="true" applyFont="true" applyNumberFormat="true">
      <alignment shrinkToFit="true"/>
    </xf>
    <xf numFmtId="0" fontId="94" fillId="0" borderId="5" xfId="0" applyBorder="true" applyFont="true"/>
    <xf numFmtId="0" fontId="94" fillId="0" borderId="5" xfId="0" applyBorder="true" applyFont="true"/>
    <xf numFmtId="0" fontId="95" fillId="0" borderId="5" xfId="0" applyBorder="true" applyFont="true"/>
    <xf numFmtId="3" fontId="95" fillId="0" borderId="5" xfId="0" applyBorder="true" applyFont="true" applyNumberFormat="true">
      <alignment shrinkToFit="true"/>
    </xf>
    <xf numFmtId="0" fontId="95" fillId="0" borderId="5" xfId="0" applyBorder="true" applyFont="true"/>
    <xf numFmtId="0" fontId="95" fillId="0" borderId="5" xfId="0" applyBorder="true" applyFont="true"/>
    <xf numFmtId="0" fontId="96" fillId="0" borderId="5" xfId="0" applyBorder="true" applyFont="true"/>
    <xf numFmtId="3" fontId="96" fillId="0" borderId="5" xfId="0" applyBorder="true" applyFont="true" applyNumberFormat="true">
      <alignment shrinkToFit="true"/>
    </xf>
    <xf numFmtId="0" fontId="96" fillId="0" borderId="5" xfId="0" applyBorder="true" applyFont="true"/>
    <xf numFmtId="0" fontId="96" fillId="0" borderId="5" xfId="0" applyBorder="true" applyFont="true"/>
    <xf numFmtId="0" fontId="97" fillId="0" borderId="5" xfId="0" applyBorder="true" applyFont="true"/>
    <xf numFmtId="3" fontId="97" fillId="0" borderId="5" xfId="0" applyBorder="true" applyFont="true" applyNumberFormat="true">
      <alignment shrinkToFit="true"/>
    </xf>
    <xf numFmtId="0" fontId="97" fillId="0" borderId="5" xfId="0" applyBorder="true" applyFont="true"/>
    <xf numFmtId="0" fontId="97" fillId="0" borderId="5" xfId="0" applyBorder="true" applyFont="true"/>
    <xf numFmtId="0" fontId="98" fillId="0" borderId="5" xfId="0" applyBorder="true" applyFont="true"/>
    <xf numFmtId="3" fontId="98" fillId="0" borderId="5" xfId="0" applyBorder="true" applyFont="true" applyNumberFormat="true">
      <alignment shrinkToFit="true"/>
    </xf>
    <xf numFmtId="0" fontId="98" fillId="0" borderId="5" xfId="0" applyBorder="true" applyFont="true"/>
    <xf numFmtId="0" fontId="98" fillId="0" borderId="5" xfId="0" applyBorder="true" applyFont="true"/>
    <xf numFmtId="0" fontId="99" fillId="0" borderId="5" xfId="0" applyBorder="true" applyFont="true"/>
    <xf numFmtId="3" fontId="99" fillId="0" borderId="5" xfId="0" applyBorder="true" applyFont="true" applyNumberFormat="true">
      <alignment shrinkToFit="true"/>
    </xf>
    <xf numFmtId="0" fontId="99" fillId="0" borderId="5" xfId="0" applyBorder="true" applyFont="true"/>
    <xf numFmtId="0" fontId="99" fillId="0" borderId="5" xfId="0" applyBorder="true" applyFont="true"/>
    <xf numFmtId="0" fontId="100" fillId="0" borderId="5" xfId="0" applyBorder="true" applyFont="true"/>
    <xf numFmtId="3" fontId="100" fillId="0" borderId="5" xfId="0" applyBorder="true" applyFont="true" applyNumberFormat="true">
      <alignment shrinkToFit="true"/>
    </xf>
    <xf numFmtId="0" fontId="100" fillId="0" borderId="5" xfId="0" applyBorder="true" applyFont="true"/>
    <xf numFmtId="0" fontId="100" fillId="0" borderId="5" xfId="0" applyBorder="true" applyFont="true"/>
    <xf numFmtId="0" fontId="101" fillId="0" borderId="5" xfId="0" applyBorder="true" applyFont="true"/>
    <xf numFmtId="3" fontId="101" fillId="0" borderId="5" xfId="0" applyBorder="true" applyFont="true" applyNumberFormat="true">
      <alignment shrinkToFit="true"/>
    </xf>
    <xf numFmtId="0" fontId="101" fillId="0" borderId="5" xfId="0" applyBorder="true" applyFont="true"/>
    <xf numFmtId="0" fontId="101" fillId="0" borderId="5" xfId="0" applyBorder="true" applyFont="true"/>
    <xf numFmtId="0" fontId="102" fillId="0" borderId="5" xfId="0" applyBorder="true" applyFont="true"/>
    <xf numFmtId="3" fontId="102" fillId="0" borderId="5" xfId="0" applyBorder="true" applyFont="true" applyNumberFormat="true">
      <alignment shrinkToFit="true"/>
    </xf>
    <xf numFmtId="0" fontId="102" fillId="0" borderId="5" xfId="0" applyBorder="true" applyFont="true"/>
    <xf numFmtId="0" fontId="102" fillId="0" borderId="5" xfId="0" applyBorder="true" applyFont="true"/>
    <xf numFmtId="0" fontId="103" fillId="0" borderId="5" xfId="0" applyBorder="true" applyFont="true"/>
    <xf numFmtId="3" fontId="103" fillId="0" borderId="5" xfId="0" applyBorder="true" applyFont="true" applyNumberFormat="true">
      <alignment shrinkToFit="true"/>
    </xf>
    <xf numFmtId="0" fontId="103" fillId="0" borderId="5" xfId="0" applyBorder="true" applyFont="true"/>
    <xf numFmtId="0" fontId="103" fillId="0" borderId="5" xfId="0" applyBorder="true" applyFont="true"/>
    <xf numFmtId="0" fontId="104" fillId="0" borderId="5" xfId="0" applyBorder="true" applyFont="true"/>
    <xf numFmtId="3" fontId="104" fillId="0" borderId="5" xfId="0" applyBorder="true" applyFont="true" applyNumberFormat="true">
      <alignment shrinkToFit="true"/>
    </xf>
    <xf numFmtId="0" fontId="104" fillId="0" borderId="5" xfId="0" applyBorder="true" applyFont="true"/>
    <xf numFmtId="0" fontId="104" fillId="0" borderId="5" xfId="0" applyBorder="true" applyFont="true"/>
    <xf numFmtId="0" fontId="105" fillId="0" borderId="5" xfId="0" applyBorder="true" applyFont="true"/>
    <xf numFmtId="3" fontId="105" fillId="0" borderId="5" xfId="0" applyBorder="true" applyFont="true" applyNumberFormat="true">
      <alignment shrinkToFit="true"/>
    </xf>
    <xf numFmtId="0" fontId="105" fillId="0" borderId="5" xfId="0" applyBorder="true" applyFont="true"/>
    <xf numFmtId="0" fontId="105" fillId="0" borderId="5" xfId="0" applyBorder="true" applyFont="true"/>
    <xf numFmtId="0" fontId="106" fillId="0" borderId="5" xfId="0" applyBorder="true" applyFont="true"/>
    <xf numFmtId="3" fontId="106" fillId="0" borderId="5" xfId="0" applyBorder="true" applyFont="true" applyNumberFormat="true">
      <alignment shrinkToFit="true"/>
    </xf>
    <xf numFmtId="0" fontId="106" fillId="0" borderId="5" xfId="0" applyBorder="true" applyFont="true"/>
    <xf numFmtId="0" fontId="106" fillId="0" borderId="5" xfId="0" applyBorder="true" applyFont="true"/>
    <xf numFmtId="0" fontId="107" fillId="0" borderId="5" xfId="0" applyBorder="true" applyFont="true"/>
    <xf numFmtId="3" fontId="107" fillId="0" borderId="5" xfId="0" applyBorder="true" applyFont="true" applyNumberFormat="true">
      <alignment shrinkToFit="true"/>
    </xf>
    <xf numFmtId="0" fontId="107" fillId="0" borderId="5" xfId="0" applyBorder="true" applyFont="true"/>
    <xf numFmtId="0" fontId="107" fillId="0" borderId="5" xfId="0" applyBorder="true" applyFont="true"/>
    <xf numFmtId="0" fontId="108" fillId="0" borderId="5" xfId="0" applyBorder="true" applyFont="true"/>
    <xf numFmtId="3" fontId="108" fillId="0" borderId="5" xfId="0" applyBorder="true" applyFont="true" applyNumberFormat="true">
      <alignment shrinkToFit="true"/>
    </xf>
    <xf numFmtId="0" fontId="108" fillId="0" borderId="5" xfId="0" applyBorder="true" applyFont="true"/>
    <xf numFmtId="0" fontId="108" fillId="0" borderId="5" xfId="0" applyBorder="true" applyFont="true"/>
    <xf numFmtId="0" fontId="109" fillId="0" borderId="5" xfId="0" applyBorder="true" applyFont="true"/>
    <xf numFmtId="3" fontId="109" fillId="0" borderId="5" xfId="0" applyBorder="true" applyFont="true" applyNumberFormat="true">
      <alignment shrinkToFit="true"/>
    </xf>
    <xf numFmtId="0" fontId="109" fillId="0" borderId="5" xfId="0" applyBorder="true" applyFont="true"/>
    <xf numFmtId="0" fontId="109" fillId="0" borderId="5" xfId="0" applyBorder="true" applyFont="true"/>
    <xf numFmtId="0" fontId="110" fillId="0" borderId="5" xfId="0" applyBorder="true" applyFont="true"/>
    <xf numFmtId="3" fontId="110" fillId="0" borderId="5" xfId="0" applyBorder="true" applyFont="true" applyNumberFormat="true">
      <alignment shrinkToFit="true"/>
    </xf>
    <xf numFmtId="0" fontId="110" fillId="0" borderId="5" xfId="0" applyBorder="true" applyFont="true"/>
    <xf numFmtId="0" fontId="110" fillId="0" borderId="5" xfId="0" applyBorder="true" applyFont="true"/>
    <xf numFmtId="0" fontId="111" fillId="0" borderId="5" xfId="0" applyBorder="true" applyFont="true"/>
    <xf numFmtId="3" fontId="111" fillId="0" borderId="5" xfId="0" applyBorder="true" applyFont="true" applyNumberFormat="true">
      <alignment shrinkToFit="true"/>
    </xf>
    <xf numFmtId="0" fontId="111" fillId="0" borderId="5" xfId="0" applyBorder="true" applyFont="true"/>
    <xf numFmtId="0" fontId="111" fillId="0" borderId="5" xfId="0" applyBorder="true" applyFont="true"/>
    <xf numFmtId="0" fontId="112" fillId="0" borderId="5" xfId="0" applyBorder="true" applyFont="true"/>
    <xf numFmtId="3" fontId="112" fillId="0" borderId="5" xfId="0" applyBorder="true" applyFont="true" applyNumberFormat="true">
      <alignment shrinkToFit="true"/>
    </xf>
    <xf numFmtId="0" fontId="112" fillId="0" borderId="5" xfId="0" applyBorder="true" applyFont="true"/>
    <xf numFmtId="0" fontId="112" fillId="0" borderId="5" xfId="0" applyBorder="true" applyFont="true"/>
    <xf numFmtId="0" fontId="113" fillId="0" borderId="5" xfId="0" applyBorder="true" applyFont="true"/>
    <xf numFmtId="3" fontId="113" fillId="0" borderId="5" xfId="0" applyBorder="true" applyFont="true" applyNumberFormat="true">
      <alignment shrinkToFit="true"/>
    </xf>
    <xf numFmtId="0" fontId="113" fillId="0" borderId="5" xfId="0" applyBorder="true" applyFont="true"/>
    <xf numFmtId="0" fontId="113" fillId="0" borderId="5" xfId="0" applyBorder="true" applyFont="true"/>
    <xf numFmtId="0" fontId="114" fillId="0" borderId="5" xfId="0" applyBorder="true" applyFont="true"/>
    <xf numFmtId="3" fontId="114" fillId="0" borderId="5" xfId="0" applyBorder="true" applyFont="true" applyNumberFormat="true">
      <alignment shrinkToFit="true"/>
    </xf>
    <xf numFmtId="0" fontId="114" fillId="0" borderId="5" xfId="0" applyBorder="true" applyFont="true"/>
    <xf numFmtId="0" fontId="114" fillId="0" borderId="5" xfId="0" applyBorder="true" applyFont="true"/>
    <xf numFmtId="0" fontId="115" fillId="0" borderId="5" xfId="0" applyBorder="true" applyFont="true"/>
    <xf numFmtId="3" fontId="115" fillId="0" borderId="5" xfId="0" applyBorder="true" applyFont="true" applyNumberFormat="true">
      <alignment shrinkToFit="true"/>
    </xf>
    <xf numFmtId="0" fontId="115" fillId="0" borderId="5" xfId="0" applyBorder="true" applyFont="true"/>
    <xf numFmtId="0" fontId="115" fillId="0" borderId="5" xfId="0" applyBorder="true" applyFont="true"/>
    <xf numFmtId="0" fontId="116" fillId="0" borderId="5" xfId="0" applyBorder="true" applyFont="true"/>
    <xf numFmtId="3" fontId="116" fillId="0" borderId="5" xfId="0" applyBorder="true" applyFont="true" applyNumberFormat="true">
      <alignment shrinkToFit="true"/>
    </xf>
    <xf numFmtId="0" fontId="116" fillId="0" borderId="5" xfId="0" applyBorder="true" applyFont="true"/>
    <xf numFmtId="0" fontId="116" fillId="0" borderId="5" xfId="0" applyBorder="true" applyFont="true"/>
    <xf numFmtId="0" fontId="117" fillId="0" borderId="5" xfId="0" applyBorder="true" applyFont="true"/>
    <xf numFmtId="3" fontId="117" fillId="0" borderId="5" xfId="0" applyBorder="true" applyFont="true" applyNumberFormat="true">
      <alignment shrinkToFit="true"/>
    </xf>
    <xf numFmtId="0" fontId="117" fillId="0" borderId="5" xfId="0" applyBorder="true" applyFont="true"/>
    <xf numFmtId="0" fontId="117" fillId="0" borderId="5" xfId="0" applyBorder="true" applyFont="true"/>
    <xf numFmtId="0" fontId="118" fillId="0" borderId="5" xfId="0" applyBorder="true" applyFont="true"/>
    <xf numFmtId="3" fontId="118" fillId="0" borderId="5" xfId="0" applyBorder="true" applyFont="true" applyNumberFormat="true">
      <alignment shrinkToFit="true"/>
    </xf>
    <xf numFmtId="0" fontId="118" fillId="0" borderId="5" xfId="0" applyBorder="true" applyFont="true"/>
    <xf numFmtId="0" fontId="118" fillId="0" borderId="5" xfId="0" applyBorder="true" applyFont="true"/>
    <xf numFmtId="0" fontId="119" fillId="0" borderId="5" xfId="0" applyBorder="true" applyFont="true"/>
    <xf numFmtId="3" fontId="119" fillId="0" borderId="5" xfId="0" applyBorder="true" applyFont="true" applyNumberFormat="true">
      <alignment shrinkToFit="true"/>
    </xf>
    <xf numFmtId="0" fontId="119" fillId="0" borderId="5" xfId="0" applyBorder="true" applyFont="true"/>
    <xf numFmtId="0" fontId="119" fillId="0" borderId="5" xfId="0" applyBorder="true" applyFont="true"/>
    <xf numFmtId="0" fontId="120" fillId="0" borderId="5" xfId="0" applyBorder="true" applyFont="true"/>
    <xf numFmtId="3" fontId="120" fillId="0" borderId="5" xfId="0" applyBorder="true" applyFont="true" applyNumberFormat="true">
      <alignment shrinkToFit="true"/>
    </xf>
    <xf numFmtId="0" fontId="120" fillId="0" borderId="5" xfId="0" applyBorder="true" applyFont="true"/>
    <xf numFmtId="0" fontId="120" fillId="0" borderId="5" xfId="0" applyBorder="true" applyFont="true"/>
    <xf numFmtId="0" fontId="121" fillId="0" borderId="5" xfId="0" applyBorder="true" applyFont="true"/>
    <xf numFmtId="3" fontId="121" fillId="0" borderId="5" xfId="0" applyBorder="true" applyFont="true" applyNumberFormat="true">
      <alignment shrinkToFit="true"/>
    </xf>
    <xf numFmtId="0" fontId="121" fillId="0" borderId="5" xfId="0" applyBorder="true" applyFont="true"/>
    <xf numFmtId="0" fontId="121" fillId="0" borderId="5" xfId="0" applyBorder="true" applyFont="true"/>
    <xf numFmtId="0" fontId="122" fillId="0" borderId="5" xfId="0" applyBorder="true" applyFont="true"/>
    <xf numFmtId="3" fontId="122" fillId="0" borderId="5" xfId="0" applyBorder="true" applyFont="true" applyNumberFormat="true">
      <alignment shrinkToFit="true"/>
    </xf>
    <xf numFmtId="0" fontId="122" fillId="0" borderId="5" xfId="0" applyBorder="true" applyFont="true"/>
    <xf numFmtId="0" fontId="122" fillId="0" borderId="5" xfId="0" applyBorder="true" applyFont="true"/>
    <xf numFmtId="0" fontId="123" fillId="0" borderId="5" xfId="0" applyBorder="true" applyFont="true"/>
    <xf numFmtId="3" fontId="123" fillId="0" borderId="5" xfId="0" applyBorder="true" applyFont="true" applyNumberFormat="true">
      <alignment shrinkToFit="true"/>
    </xf>
    <xf numFmtId="0" fontId="123" fillId="0" borderId="5" xfId="0" applyBorder="true" applyFont="true"/>
    <xf numFmtId="0" fontId="123" fillId="0" borderId="5" xfId="0" applyBorder="true" applyFont="true"/>
    <xf numFmtId="0" fontId="124" fillId="0" borderId="5" xfId="0" applyBorder="true" applyFont="true"/>
    <xf numFmtId="3" fontId="124" fillId="0" borderId="5" xfId="0" applyBorder="true" applyFont="true" applyNumberFormat="true">
      <alignment shrinkToFit="true"/>
    </xf>
    <xf numFmtId="0" fontId="124" fillId="0" borderId="5" xfId="0" applyBorder="true" applyFont="true"/>
    <xf numFmtId="0" fontId="124" fillId="0" borderId="5" xfId="0" applyBorder="true" applyFont="true"/>
    <xf numFmtId="0" fontId="125" fillId="0" borderId="5" xfId="0" applyBorder="true" applyFont="true"/>
    <xf numFmtId="3" fontId="125" fillId="0" borderId="5" xfId="0" applyBorder="true" applyFont="true" applyNumberFormat="true">
      <alignment shrinkToFit="true"/>
    </xf>
    <xf numFmtId="0" fontId="125" fillId="0" borderId="5" xfId="0" applyBorder="true" applyFont="true"/>
    <xf numFmtId="0" fontId="125" fillId="0" borderId="5" xfId="0" applyBorder="true" applyFont="true"/>
    <xf numFmtId="0" fontId="126" fillId="0" borderId="5" xfId="0" applyBorder="true" applyFont="true"/>
    <xf numFmtId="3" fontId="126" fillId="0" borderId="5" xfId="0" applyBorder="true" applyFont="true" applyNumberFormat="true">
      <alignment shrinkToFit="true"/>
    </xf>
    <xf numFmtId="0" fontId="126" fillId="0" borderId="5" xfId="0" applyBorder="true" applyFont="true"/>
    <xf numFmtId="0" fontId="126" fillId="0" borderId="5" xfId="0" applyBorder="true" applyFont="true"/>
    <xf numFmtId="0" fontId="127" fillId="0" borderId="5" xfId="0" applyBorder="true" applyFont="true"/>
    <xf numFmtId="3" fontId="127" fillId="0" borderId="5" xfId="0" applyBorder="true" applyFont="true" applyNumberFormat="true">
      <alignment shrinkToFit="true"/>
    </xf>
    <xf numFmtId="0" fontId="127" fillId="0" borderId="5" xfId="0" applyBorder="true" applyFont="true"/>
    <xf numFmtId="0" fontId="127" fillId="0" borderId="5" xfId="0" applyBorder="true" applyFont="true"/>
    <xf numFmtId="0" fontId="128" fillId="0" borderId="5" xfId="0" applyBorder="true" applyFont="true"/>
    <xf numFmtId="3" fontId="128" fillId="0" borderId="5" xfId="0" applyBorder="true" applyFont="true" applyNumberFormat="true">
      <alignment shrinkToFit="true"/>
    </xf>
    <xf numFmtId="0" fontId="128" fillId="0" borderId="5" xfId="0" applyBorder="true" applyFont="true"/>
    <xf numFmtId="0" fontId="128" fillId="0" borderId="5" xfId="0" applyBorder="true" applyFont="true"/>
    <xf numFmtId="0" fontId="129" fillId="0" borderId="5" xfId="0" applyBorder="true" applyFont="true"/>
    <xf numFmtId="3" fontId="129" fillId="0" borderId="5" xfId="0" applyBorder="true" applyFont="true" applyNumberFormat="true">
      <alignment shrinkToFit="true"/>
    </xf>
    <xf numFmtId="0" fontId="129" fillId="0" borderId="5" xfId="0" applyBorder="true" applyFont="true"/>
    <xf numFmtId="0" fontId="129" fillId="0" borderId="5" xfId="0" applyBorder="true" applyFont="true"/>
    <xf numFmtId="0" fontId="130" fillId="0" borderId="5" xfId="0" applyBorder="true" applyFont="true"/>
    <xf numFmtId="3" fontId="130" fillId="0" borderId="5" xfId="0" applyBorder="true" applyFont="true" applyNumberFormat="true">
      <alignment shrinkToFit="true"/>
    </xf>
    <xf numFmtId="0" fontId="130" fillId="0" borderId="5" xfId="0" applyBorder="true" applyFont="true"/>
    <xf numFmtId="0" fontId="130" fillId="0" borderId="5" xfId="0" applyBorder="true" applyFont="true"/>
    <xf numFmtId="0" fontId="131" fillId="0" borderId="5" xfId="0" applyBorder="true" applyFont="true"/>
    <xf numFmtId="3" fontId="131" fillId="0" borderId="5" xfId="0" applyBorder="true" applyFont="true" applyNumberFormat="true">
      <alignment shrinkToFit="true"/>
    </xf>
    <xf numFmtId="0" fontId="131" fillId="0" borderId="5" xfId="0" applyBorder="true" applyFont="true"/>
    <xf numFmtId="0" fontId="131" fillId="0" borderId="5" xfId="0" applyBorder="true" applyFont="true"/>
    <xf numFmtId="0" fontId="132" fillId="0" borderId="5" xfId="0" applyBorder="true" applyFont="true"/>
    <xf numFmtId="3" fontId="132" fillId="0" borderId="5" xfId="0" applyBorder="true" applyFont="true" applyNumberFormat="true">
      <alignment shrinkToFit="true"/>
    </xf>
    <xf numFmtId="0" fontId="132" fillId="0" borderId="5" xfId="0" applyBorder="true" applyFont="true"/>
    <xf numFmtId="0" fontId="132" fillId="0" borderId="5" xfId="0" applyBorder="true" applyFont="true"/>
  </cellXfs>
  <cellStyles count="2">
    <cellStyle name="20% - アクセント 6" xfId="1" builtinId="50"/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E0C45"/>
      <color rgb="FFBE2C75"/>
      <color rgb="FFE798BF"/>
      <color rgb="FF5B93EE"/>
      <color rgb="FFA8CFF7"/>
      <color rgb="FF2BAA00"/>
      <color rgb="FFA8BF00"/>
      <color rgb="FFE6FA5A"/>
      <color rgb="FFDBDB64"/>
      <color rgb="FF33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'グラフ設定（時系列）'!$A$2</c:f>
          <c:strCache>
            <c:ptCount val="1"/>
            <c:pt idx="0">
              <c:v>（）</c:v>
            </c:pt>
          </c:strCache>
        </c:strRef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5760199225633598"/>
          <c:y val="0.28060728647451177"/>
          <c:w val="0.73602782473389905"/>
          <c:h val="0.4570106434537409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'グラフの数値データ（時系列）'!$B$3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E6FA5A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'グラフの数値データ（時系列）'!$C$3:$IW$3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BD8E-46F1-9B9C-AB47D64653C7}"/>
            </c:ext>
          </c:extLst>
        </c:ser>
        <c:ser>
          <c:idx val="1"/>
          <c:order val="1"/>
          <c:tx>
            <c:strRef>
              <c:f>'グラフの数値データ（時系列）'!$B$4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A8BF00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'グラフの数値データ（時系列）'!$C$4:$IW$4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BD8E-46F1-9B9C-AB47D64653C7}"/>
            </c:ext>
          </c:extLst>
        </c:ser>
        <c:ser>
          <c:idx val="2"/>
          <c:order val="2"/>
          <c:tx>
            <c:strRef>
              <c:f>'グラフの数値データ（時系列）'!$B$5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2BAA00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'グラフの数値データ（時系列）'!$C$5:$IW$5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BD8E-46F1-9B9C-AB47D64653C7}"/>
            </c:ext>
          </c:extLst>
        </c:ser>
        <c:ser>
          <c:idx val="3"/>
          <c:order val="3"/>
          <c:tx>
            <c:strRef>
              <c:f>'グラフの数値データ（時系列）'!$B$6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A8CFF7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'グラフの数値データ（時系列）'!$C$6:$IW$6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BD8E-46F1-9B9C-AB47D64653C7}"/>
            </c:ext>
          </c:extLst>
        </c:ser>
        <c:ser>
          <c:idx val="4"/>
          <c:order val="4"/>
          <c:tx>
            <c:strRef>
              <c:f>'グラフの数値データ（時系列）'!$B$7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B93EE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'グラフの数値データ（時系列）'!$C$7:$IW$7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BD8E-46F1-9B9C-AB47D64653C7}"/>
            </c:ext>
          </c:extLst>
        </c:ser>
        <c:ser>
          <c:idx val="5"/>
          <c:order val="5"/>
          <c:tx>
            <c:strRef>
              <c:f>'グラフの数値データ（時系列）'!$B$8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E798BF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'グラフの数値データ（時系列）'!$C$8:$IW$8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BD8E-46F1-9B9C-AB47D64653C7}"/>
            </c:ext>
          </c:extLst>
        </c:ser>
        <c:ser>
          <c:idx val="6"/>
          <c:order val="6"/>
          <c:tx>
            <c:strRef>
              <c:f>'グラフの数値データ（時系列）'!$B$9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BE2C75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'グラフの数値データ（時系列）'!$C$9:$IW$9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BD8E-46F1-9B9C-AB47D64653C7}"/>
            </c:ext>
          </c:extLst>
        </c:ser>
        <c:ser>
          <c:idx val="7"/>
          <c:order val="7"/>
          <c:tx>
            <c:strRef>
              <c:f>'グラフの数値データ（時系列）'!$B$10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7E0C45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'グラフの数値データ（時系列）'!$C$10:$IW$10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BD8E-46F1-9B9C-AB47D64653C7}"/>
            </c:ext>
          </c:extLst>
        </c:ser>
        <c:ser>
          <c:idx val="8"/>
          <c:order val="8"/>
          <c:tx>
            <c:strRef>
              <c:f>'グラフの数値データ（時系列）'!$B$11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'グラフの数値データ（時系列）'!$C$11:$IW$11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BD8E-46F1-9B9C-AB47D64653C7}"/>
            </c:ext>
          </c:extLst>
        </c:ser>
        <c:ser>
          <c:idx val="9"/>
          <c:order val="9"/>
          <c:tx>
            <c:strRef>
              <c:f>'グラフの数値データ（時系列）'!$B$12</c:f>
              <c:strCache>
                <c:ptCount val="1"/>
                <c:pt idx="0">
                  <c:v>行10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'グラフの数値データ（時系列）'!$C$12:$IW$12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BD8E-46F1-9B9C-AB47D64653C7}"/>
            </c:ext>
          </c:extLst>
        </c:ser>
        <c:ser>
          <c:idx val="10"/>
          <c:order val="10"/>
          <c:tx>
            <c:strRef>
              <c:f>'グラフの数値データ（時系列）'!$B$13</c:f>
              <c:strCache>
                <c:ptCount val="1"/>
                <c:pt idx="0">
                  <c:v>行11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'グラフの数値データ（時系列）'!$C$13:$IW$13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BD8E-46F1-9B9C-AB47D64653C7}"/>
            </c:ext>
          </c:extLst>
        </c:ser>
        <c:ser>
          <c:idx val="11"/>
          <c:order val="11"/>
          <c:tx>
            <c:strRef>
              <c:f>'グラフの数値データ（時系列）'!$B$14</c:f>
              <c:strCache>
                <c:ptCount val="1"/>
                <c:pt idx="0">
                  <c:v>行12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'グラフの数値データ（時系列）'!$C$14:$IW$14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BD8E-46F1-9B9C-AB47D64653C7}"/>
            </c:ext>
          </c:extLst>
        </c:ser>
        <c:ser>
          <c:idx val="12"/>
          <c:order val="12"/>
          <c:tx>
            <c:strRef>
              <c:f>'グラフの数値データ（時系列）'!$B$15</c:f>
              <c:strCache>
                <c:ptCount val="1"/>
                <c:pt idx="0">
                  <c:v>行13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'グラフの数値データ（時系列）'!$C$15:$IW$15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BD8E-46F1-9B9C-AB47D64653C7}"/>
            </c:ext>
          </c:extLst>
        </c:ser>
        <c:ser>
          <c:idx val="13"/>
          <c:order val="13"/>
          <c:tx>
            <c:strRef>
              <c:f>'グラフの数値データ（時系列）'!$B$16</c:f>
              <c:strCache>
                <c:ptCount val="1"/>
                <c:pt idx="0">
                  <c:v>行14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'グラフの数値データ（時系列）'!$C$16:$IW$16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BD8E-46F1-9B9C-AB47D64653C7}"/>
            </c:ext>
          </c:extLst>
        </c:ser>
        <c:ser>
          <c:idx val="14"/>
          <c:order val="14"/>
          <c:tx>
            <c:strRef>
              <c:f>'グラフの数値データ（時系列）'!$B$17</c:f>
              <c:strCache>
                <c:ptCount val="1"/>
                <c:pt idx="0">
                  <c:v>行15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'グラフの数値データ（時系列）'!$C$17:$IW$17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BD8E-46F1-9B9C-AB47D64653C7}"/>
            </c:ext>
          </c:extLst>
        </c:ser>
        <c:ser>
          <c:idx val="15"/>
          <c:order val="15"/>
          <c:tx>
            <c:strRef>
              <c:f>'グラフの数値データ（時系列）'!$B$18</c:f>
              <c:strCache>
                <c:ptCount val="1"/>
                <c:pt idx="0">
                  <c:v>行16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'グラフの数値データ（時系列）'!$C$18:$IW$18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BD8E-46F1-9B9C-AB47D64653C7}"/>
            </c:ext>
          </c:extLst>
        </c:ser>
        <c:ser>
          <c:idx val="16"/>
          <c:order val="16"/>
          <c:tx>
            <c:strRef>
              <c:f>'グラフの数値データ（時系列）'!$B$19</c:f>
              <c:strCache>
                <c:ptCount val="1"/>
                <c:pt idx="0">
                  <c:v>行17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'グラフの数値データ（時系列）'!$C$19:$IW$19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BD8E-46F1-9B9C-AB47D64653C7}"/>
            </c:ext>
          </c:extLst>
        </c:ser>
        <c:ser>
          <c:idx val="17"/>
          <c:order val="17"/>
          <c:tx>
            <c:strRef>
              <c:f>'グラフの数値データ（時系列）'!$B$20</c:f>
              <c:strCache>
                <c:ptCount val="1"/>
                <c:pt idx="0">
                  <c:v>行18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'グラフの数値データ（時系列）'!$C$20:$IW$20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BD8E-46F1-9B9C-AB47D64653C7}"/>
            </c:ext>
          </c:extLst>
        </c:ser>
        <c:ser>
          <c:idx val="18"/>
          <c:order val="18"/>
          <c:tx>
            <c:strRef>
              <c:f>'グラフの数値データ（時系列）'!$B$21</c:f>
              <c:strCache>
                <c:ptCount val="1"/>
                <c:pt idx="0">
                  <c:v>行19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'グラフの数値データ（時系列）'!$C$21:$IW$21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BD8E-46F1-9B9C-AB47D64653C7}"/>
            </c:ext>
          </c:extLst>
        </c:ser>
        <c:ser>
          <c:idx val="19"/>
          <c:order val="19"/>
          <c:tx>
            <c:strRef>
              <c:f>'グラフの数値データ（時系列）'!$B$22</c:f>
              <c:strCache>
                <c:ptCount val="1"/>
                <c:pt idx="0">
                  <c:v>行20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'グラフの数値データ（時系列）'!$C$22:$IW$22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BD8E-46F1-9B9C-AB47D64653C7}"/>
            </c:ext>
          </c:extLst>
        </c:ser>
        <c:ser>
          <c:idx val="20"/>
          <c:order val="20"/>
          <c:tx>
            <c:strRef>
              <c:f>'グラフの数値データ（時系列）'!$B$23</c:f>
              <c:strCache>
                <c:ptCount val="1"/>
                <c:pt idx="0">
                  <c:v>行21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'グラフの数値データ（時系列）'!$C$23:$IW$23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BD8E-46F1-9B9C-AB47D64653C7}"/>
            </c:ext>
          </c:extLst>
        </c:ser>
        <c:ser>
          <c:idx val="21"/>
          <c:order val="21"/>
          <c:tx>
            <c:strRef>
              <c:f>'グラフの数値データ（時系列）'!$B$24</c:f>
              <c:strCache>
                <c:ptCount val="1"/>
                <c:pt idx="0">
                  <c:v>行22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'グラフの数値データ（時系列）'!$C$24:$IW$24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BD8E-46F1-9B9C-AB47D64653C7}"/>
            </c:ext>
          </c:extLst>
        </c:ser>
        <c:ser>
          <c:idx val="22"/>
          <c:order val="22"/>
          <c:tx>
            <c:strRef>
              <c:f>'グラフの数値データ（時系列）'!$B$25</c:f>
              <c:strCache>
                <c:ptCount val="1"/>
                <c:pt idx="0">
                  <c:v>行23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'グラフの数値データ（時系列）'!$C$25:$IW$25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BD8E-46F1-9B9C-AB47D64653C7}"/>
            </c:ext>
          </c:extLst>
        </c:ser>
        <c:ser>
          <c:idx val="23"/>
          <c:order val="23"/>
          <c:tx>
            <c:strRef>
              <c:f>'グラフの数値データ（時系列）'!$B$26</c:f>
              <c:strCache>
                <c:ptCount val="1"/>
                <c:pt idx="0">
                  <c:v>行24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'グラフの数値データ（時系列）'!$C$26:$IW$26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BD8E-46F1-9B9C-AB47D64653C7}"/>
            </c:ext>
          </c:extLst>
        </c:ser>
        <c:ser>
          <c:idx val="24"/>
          <c:order val="24"/>
          <c:tx>
            <c:strRef>
              <c:f>'グラフの数値データ（時系列）'!$B$27</c:f>
              <c:strCache>
                <c:ptCount val="1"/>
                <c:pt idx="0">
                  <c:v>行25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'グラフの数値データ（時系列）'!$C$27:$IW$27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BD8E-46F1-9B9C-AB47D64653C7}"/>
            </c:ext>
          </c:extLst>
        </c:ser>
        <c:ser>
          <c:idx val="25"/>
          <c:order val="25"/>
          <c:tx>
            <c:strRef>
              <c:f>'グラフの数値データ（時系列）'!$B$28</c:f>
              <c:strCache>
                <c:ptCount val="1"/>
                <c:pt idx="0">
                  <c:v>行26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'グラフの数値データ（時系列）'!$C$28:$IW$28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BD8E-46F1-9B9C-AB47D64653C7}"/>
            </c:ext>
          </c:extLst>
        </c:ser>
        <c:ser>
          <c:idx val="26"/>
          <c:order val="26"/>
          <c:tx>
            <c:strRef>
              <c:f>'グラフの数値データ（時系列）'!$B$29</c:f>
              <c:strCache>
                <c:ptCount val="1"/>
                <c:pt idx="0">
                  <c:v>行27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'グラフの数値データ（時系列）'!$C$29:$IW$29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BD8E-46F1-9B9C-AB47D64653C7}"/>
            </c:ext>
          </c:extLst>
        </c:ser>
        <c:ser>
          <c:idx val="27"/>
          <c:order val="27"/>
          <c:tx>
            <c:strRef>
              <c:f>'グラフの数値データ（時系列）'!$B$30</c:f>
              <c:strCache>
                <c:ptCount val="1"/>
                <c:pt idx="0">
                  <c:v>行28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'グラフの数値データ（時系列）'!$C$30:$IW$30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BD8E-46F1-9B9C-AB47D64653C7}"/>
            </c:ext>
          </c:extLst>
        </c:ser>
        <c:ser>
          <c:idx val="28"/>
          <c:order val="28"/>
          <c:tx>
            <c:strRef>
              <c:f>'グラフの数値データ（時系列）'!$B$31</c:f>
              <c:strCache>
                <c:ptCount val="1"/>
                <c:pt idx="0">
                  <c:v>行29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'グラフの数値データ（時系列）'!$C$31:$IW$31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BD8E-46F1-9B9C-AB47D64653C7}"/>
            </c:ext>
          </c:extLst>
        </c:ser>
        <c:ser>
          <c:idx val="29"/>
          <c:order val="29"/>
          <c:tx>
            <c:strRef>
              <c:f>'グラフの数値データ（時系列）'!$B$32</c:f>
              <c:strCache>
                <c:ptCount val="1"/>
                <c:pt idx="0">
                  <c:v>行30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'グラフの数値データ（時系列）'!$C$32:$IW$32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BD8E-46F1-9B9C-AB47D64653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50600608"/>
        <c:axId val="450601168"/>
      </c:barChart>
      <c:lineChart>
        <c:grouping val="standard"/>
        <c:varyColors val="0"/>
        <c:ser>
          <c:idx val="30"/>
          <c:order val="30"/>
          <c:tx>
            <c:strRef>
              <c:f>'グラフの数値データ（時系列）'!$B$33</c:f>
              <c:strCache>
                <c:ptCount val="1"/>
                <c:pt idx="0">
                  <c:v>行31</c:v>
                </c:pt>
              </c:strCache>
            </c:strRef>
          </c:tx>
          <c:spPr>
            <a:ln w="28575" cap="rnd" cmpd="sng" algn="ctr">
              <a:solidFill>
                <a:srgbClr val="80BFF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80BFFF"/>
              </a:solidFill>
              <a:ln w="9525" cap="rnd" cmpd="sng" algn="ctr">
                <a:solidFill>
                  <a:srgbClr val="80BFFF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'グラフの数値データ（時系列）'!$C$33:$IW$33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BD8E-46F1-9B9C-AB47D64653C7}"/>
            </c:ext>
          </c:extLst>
        </c:ser>
        <c:ser>
          <c:idx val="31"/>
          <c:order val="31"/>
          <c:tx>
            <c:strRef>
              <c:f>'グラフの数値データ（時系列）'!$B$34</c:f>
              <c:strCache>
                <c:ptCount val="1"/>
                <c:pt idx="0">
                  <c:v>行32</c:v>
                </c:pt>
              </c:strCache>
            </c:strRef>
          </c:tx>
          <c:spPr>
            <a:ln w="28575" cap="rnd" cmpd="sng" algn="ctr">
              <a:solidFill>
                <a:srgbClr val="78CF5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78CF5A"/>
              </a:solidFill>
              <a:ln w="9525" cap="rnd" cmpd="sng" algn="ctr">
                <a:solidFill>
                  <a:srgbClr val="78CF5A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'グラフの数値データ（時系列）'!$C$34:$IW$34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BD8E-46F1-9B9C-AB47D64653C7}"/>
            </c:ext>
          </c:extLst>
        </c:ser>
        <c:ser>
          <c:idx val="32"/>
          <c:order val="32"/>
          <c:tx>
            <c:strRef>
              <c:f>'グラフの数値データ（時系列）'!$B$35</c:f>
              <c:strCache>
                <c:ptCount val="1"/>
                <c:pt idx="0">
                  <c:v>行33</c:v>
                </c:pt>
              </c:strCache>
            </c:strRef>
          </c:tx>
          <c:spPr>
            <a:ln w="28575" cap="rnd" cmpd="sng" algn="ctr">
              <a:solidFill>
                <a:srgbClr val="AB6BEB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AB6BEB"/>
              </a:solidFill>
              <a:ln w="9525" cap="rnd" cmpd="sng" algn="ctr">
                <a:solidFill>
                  <a:srgbClr val="AB6BEB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'グラフの数値データ（時系列）'!$C$35:$IW$35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BD8E-46F1-9B9C-AB47D64653C7}"/>
            </c:ext>
          </c:extLst>
        </c:ser>
        <c:ser>
          <c:idx val="33"/>
          <c:order val="33"/>
          <c:tx>
            <c:strRef>
              <c:f>'グラフの数値データ（時系列）'!$B$36</c:f>
              <c:strCache>
                <c:ptCount val="1"/>
                <c:pt idx="0">
                  <c:v>行34</c:v>
                </c:pt>
              </c:strCache>
            </c:strRef>
          </c:tx>
          <c:spPr>
            <a:ln w="28575" cap="rnd" cmpd="sng" algn="ctr">
              <a:solidFill>
                <a:srgbClr val="DA4594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DA4594"/>
              </a:solidFill>
              <a:ln w="9525" cap="rnd" cmpd="sng" algn="ctr">
                <a:solidFill>
                  <a:srgbClr val="DA4594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'グラフの数値データ（時系列）'!$C$36:$IW$36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BD8E-46F1-9B9C-AB47D64653C7}"/>
            </c:ext>
          </c:extLst>
        </c:ser>
        <c:ser>
          <c:idx val="34"/>
          <c:order val="34"/>
          <c:tx>
            <c:strRef>
              <c:f>'グラフの数値データ（時系列）'!$B$37</c:f>
              <c:strCache>
                <c:ptCount val="1"/>
                <c:pt idx="0">
                  <c:v>行35</c:v>
                </c:pt>
              </c:strCache>
            </c:strRef>
          </c:tx>
          <c:spPr>
            <a:ln w="28575" cap="rnd" cmpd="sng" algn="ctr">
              <a:solidFill>
                <a:srgbClr val="078D8D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078D8D"/>
              </a:solidFill>
              <a:ln w="9525" cap="rnd" cmpd="sng" algn="ctr">
                <a:solidFill>
                  <a:srgbClr val="078D8D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'グラフの数値データ（時系列）'!$C$37:$IW$37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BD8E-46F1-9B9C-AB47D64653C7}"/>
            </c:ext>
          </c:extLst>
        </c:ser>
        <c:ser>
          <c:idx val="35"/>
          <c:order val="35"/>
          <c:tx>
            <c:strRef>
              <c:f>'グラフの数値データ（時系列）'!$B$38</c:f>
              <c:strCache>
                <c:ptCount val="1"/>
                <c:pt idx="0">
                  <c:v>行36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'グラフの数値データ（時系列）'!$C$38:$IW$38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BD8E-46F1-9B9C-AB47D64653C7}"/>
            </c:ext>
          </c:extLst>
        </c:ser>
        <c:ser>
          <c:idx val="36"/>
          <c:order val="36"/>
          <c:tx>
            <c:strRef>
              <c:f>'グラフの数値データ（時系列）'!$B$39</c:f>
              <c:strCache>
                <c:ptCount val="1"/>
                <c:pt idx="0">
                  <c:v>行37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'グラフの数値データ（時系列）'!$C$39:$IW$39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BD8E-46F1-9B9C-AB47D64653C7}"/>
            </c:ext>
          </c:extLst>
        </c:ser>
        <c:ser>
          <c:idx val="37"/>
          <c:order val="37"/>
          <c:tx>
            <c:strRef>
              <c:f>'グラフの数値データ（時系列）'!$B$40</c:f>
              <c:strCache>
                <c:ptCount val="1"/>
                <c:pt idx="0">
                  <c:v>行38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'グラフの数値データ（時系列）'!$C$40:$IW$40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BD8E-46F1-9B9C-AB47D64653C7}"/>
            </c:ext>
          </c:extLst>
        </c:ser>
        <c:ser>
          <c:idx val="38"/>
          <c:order val="38"/>
          <c:tx>
            <c:strRef>
              <c:f>'グラフの数値データ（時系列）'!$B$41</c:f>
              <c:strCache>
                <c:ptCount val="1"/>
                <c:pt idx="0">
                  <c:v>行39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shade val="52000"/>
                </a:srgbClr>
              </a:solidFill>
              <a:ln w="9525" cap="flat" cmpd="sng" algn="ctr">
                <a:solidFill>
                  <a:srgbClr val="9BBB59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'グラフの数値データ（時系列）'!$C$41:$IW$41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BD8E-46F1-9B9C-AB47D64653C7}"/>
            </c:ext>
          </c:extLst>
        </c:ser>
        <c:ser>
          <c:idx val="39"/>
          <c:order val="39"/>
          <c:tx>
            <c:strRef>
              <c:f>'グラフの数値データ（時系列）'!$B$42</c:f>
              <c:strCache>
                <c:ptCount val="1"/>
                <c:pt idx="0">
                  <c:v>行40</c:v>
                </c:pt>
              </c:strCache>
            </c:strRef>
          </c:tx>
          <c:spPr>
            <a:ln w="28575" cap="rnd" cmpd="sng" algn="ctr">
              <a:solidFill>
                <a:srgbClr val="8064A2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8064A2">
                  <a:shade val="52000"/>
                </a:srgbClr>
              </a:solidFill>
              <a:ln w="9525" cap="flat" cmpd="sng" algn="ctr">
                <a:solidFill>
                  <a:srgbClr val="8064A2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'グラフの数値データ（時系列）'!$C$42:$IW$42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BD8E-46F1-9B9C-AB47D64653C7}"/>
            </c:ext>
          </c:extLst>
        </c:ser>
        <c:ser>
          <c:idx val="40"/>
          <c:order val="40"/>
          <c:tx>
            <c:strRef>
              <c:f>'グラフの数値データ（時系列）'!$B$43</c:f>
              <c:strCache>
                <c:ptCount val="1"/>
                <c:pt idx="0">
                  <c:v>行41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'グラフの数値データ（時系列）'!$C$43:$IW$43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BD8E-46F1-9B9C-AB47D64653C7}"/>
            </c:ext>
          </c:extLst>
        </c:ser>
        <c:ser>
          <c:idx val="41"/>
          <c:order val="41"/>
          <c:tx>
            <c:strRef>
              <c:f>'グラフの数値データ（時系列）'!$B$44</c:f>
              <c:strCache>
                <c:ptCount val="1"/>
                <c:pt idx="0">
                  <c:v>行42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'グラフの数値データ（時系列）'!$C$44:$IW$44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BD8E-46F1-9B9C-AB47D64653C7}"/>
            </c:ext>
          </c:extLst>
        </c:ser>
        <c:ser>
          <c:idx val="42"/>
          <c:order val="42"/>
          <c:tx>
            <c:strRef>
              <c:f>'グラフの数値データ（時系列）'!$B$45</c:f>
              <c:strCache>
                <c:ptCount val="1"/>
                <c:pt idx="0">
                  <c:v>行43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'グラフの数値データ（時系列）'!$C$45:$IW$45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BD8E-46F1-9B9C-AB47D64653C7}"/>
            </c:ext>
          </c:extLst>
        </c:ser>
        <c:ser>
          <c:idx val="43"/>
          <c:order val="43"/>
          <c:tx>
            <c:strRef>
              <c:f>'グラフの数値データ（時系列）'!$B$46</c:f>
              <c:strCache>
                <c:ptCount val="1"/>
                <c:pt idx="0">
                  <c:v>行44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'グラフの数値データ（時系列）'!$C$46:$IW$46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BD8E-46F1-9B9C-AB47D64653C7}"/>
            </c:ext>
          </c:extLst>
        </c:ser>
        <c:ser>
          <c:idx val="44"/>
          <c:order val="44"/>
          <c:tx>
            <c:strRef>
              <c:f>'グラフの数値データ（時系列）'!$B$47</c:f>
              <c:strCache>
                <c:ptCount val="1"/>
                <c:pt idx="0">
                  <c:v>行45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'グラフの数値データ（時系列）'!$C$47:$IW$47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BD8E-46F1-9B9C-AB47D64653C7}"/>
            </c:ext>
          </c:extLst>
        </c:ser>
        <c:ser>
          <c:idx val="45"/>
          <c:order val="45"/>
          <c:tx>
            <c:strRef>
              <c:f>'グラフの数値データ（時系列）'!$B$48</c:f>
              <c:strCache>
                <c:ptCount val="1"/>
                <c:pt idx="0">
                  <c:v>行46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'グラフの数値データ（時系列）'!$C$48:$IW$48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BD8E-46F1-9B9C-AB47D64653C7}"/>
            </c:ext>
          </c:extLst>
        </c:ser>
        <c:ser>
          <c:idx val="46"/>
          <c:order val="46"/>
          <c:tx>
            <c:strRef>
              <c:f>'グラフの数値データ（時系列）'!$B$49</c:f>
              <c:strCache>
                <c:ptCount val="1"/>
                <c:pt idx="0">
                  <c:v>行47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'グラフの数値データ（時系列）'!$C$49:$IW$49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BD8E-46F1-9B9C-AB47D64653C7}"/>
            </c:ext>
          </c:extLst>
        </c:ser>
        <c:ser>
          <c:idx val="47"/>
          <c:order val="47"/>
          <c:tx>
            <c:strRef>
              <c:f>'グラフの数値データ（時系列）'!$B$50</c:f>
              <c:strCache>
                <c:ptCount val="1"/>
                <c:pt idx="0">
                  <c:v>行48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'グラフの数値データ（時系列）'!$C$50:$IW$50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BD8E-46F1-9B9C-AB47D64653C7}"/>
            </c:ext>
          </c:extLst>
        </c:ser>
        <c:ser>
          <c:idx val="48"/>
          <c:order val="48"/>
          <c:tx>
            <c:strRef>
              <c:f>'グラフの数値データ（時系列）'!$B$51</c:f>
              <c:strCache>
                <c:ptCount val="1"/>
                <c:pt idx="0">
                  <c:v>行49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'グラフの数値データ（時系列）'!$C$51:$IW$51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BD8E-46F1-9B9C-AB47D64653C7}"/>
            </c:ext>
          </c:extLst>
        </c:ser>
        <c:ser>
          <c:idx val="49"/>
          <c:order val="49"/>
          <c:tx>
            <c:strRef>
              <c:f>'グラフの数値データ（時系列）'!$B$52</c:f>
              <c:strCache>
                <c:ptCount val="1"/>
                <c:pt idx="0">
                  <c:v>行50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'グラフの数値データ（時系列）'!$C$52:$IW$52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BD8E-46F1-9B9C-AB47D64653C7}"/>
            </c:ext>
          </c:extLst>
        </c:ser>
        <c:ser>
          <c:idx val="50"/>
          <c:order val="50"/>
          <c:tx>
            <c:strRef>
              <c:f>'グラフの数値データ（時系列）'!$B$53</c:f>
              <c:strCache>
                <c:ptCount val="1"/>
                <c:pt idx="0">
                  <c:v>行51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'グラフの数値データ（時系列）'!$C$53:$IW$53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BD8E-46F1-9B9C-AB47D64653C7}"/>
            </c:ext>
          </c:extLst>
        </c:ser>
        <c:ser>
          <c:idx val="51"/>
          <c:order val="51"/>
          <c:tx>
            <c:strRef>
              <c:f>'グラフの数値データ（時系列）'!$B$54</c:f>
              <c:strCache>
                <c:ptCount val="1"/>
                <c:pt idx="0">
                  <c:v>行52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'グラフの数値データ（時系列）'!$C$54:$IW$54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BD8E-46F1-9B9C-AB47D64653C7}"/>
            </c:ext>
          </c:extLst>
        </c:ser>
        <c:ser>
          <c:idx val="52"/>
          <c:order val="52"/>
          <c:tx>
            <c:strRef>
              <c:f>'グラフの数値データ（時系列）'!$B$55</c:f>
              <c:strCache>
                <c:ptCount val="1"/>
                <c:pt idx="0">
                  <c:v>行53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'グラフの数値データ（時系列）'!$C$55:$IW$55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BD8E-46F1-9B9C-AB47D64653C7}"/>
            </c:ext>
          </c:extLst>
        </c:ser>
        <c:ser>
          <c:idx val="53"/>
          <c:order val="53"/>
          <c:tx>
            <c:strRef>
              <c:f>'グラフの数値データ（時系列）'!$B$56</c:f>
              <c:strCache>
                <c:ptCount val="1"/>
                <c:pt idx="0">
                  <c:v>行54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'グラフの数値データ（時系列）'!$C$56:$IW$56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BD8E-46F1-9B9C-AB47D64653C7}"/>
            </c:ext>
          </c:extLst>
        </c:ser>
        <c:ser>
          <c:idx val="54"/>
          <c:order val="54"/>
          <c:tx>
            <c:strRef>
              <c:f>'グラフの数値データ（時系列）'!$B$57</c:f>
              <c:strCache>
                <c:ptCount val="1"/>
                <c:pt idx="0">
                  <c:v>行55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'グラフの数値データ（時系列）'!$C$57:$IW$57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BD8E-46F1-9B9C-AB47D64653C7}"/>
            </c:ext>
          </c:extLst>
        </c:ser>
        <c:ser>
          <c:idx val="55"/>
          <c:order val="55"/>
          <c:tx>
            <c:strRef>
              <c:f>'グラフの数値データ（時系列）'!$B$58</c:f>
              <c:strCache>
                <c:ptCount val="1"/>
                <c:pt idx="0">
                  <c:v>行56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'グラフの数値データ（時系列）'!$C$58:$IW$58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BD8E-46F1-9B9C-AB47D64653C7}"/>
            </c:ext>
          </c:extLst>
        </c:ser>
        <c:ser>
          <c:idx val="56"/>
          <c:order val="56"/>
          <c:tx>
            <c:strRef>
              <c:f>'グラフの数値データ（時系列）'!$B$59</c:f>
              <c:strCache>
                <c:ptCount val="1"/>
                <c:pt idx="0">
                  <c:v>行57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'グラフの数値データ（時系列）'!$C$59:$IW$59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BD8E-46F1-9B9C-AB47D64653C7}"/>
            </c:ext>
          </c:extLst>
        </c:ser>
        <c:ser>
          <c:idx val="57"/>
          <c:order val="57"/>
          <c:tx>
            <c:strRef>
              <c:f>'グラフの数値データ（時系列）'!$B$60</c:f>
              <c:strCache>
                <c:ptCount val="1"/>
                <c:pt idx="0">
                  <c:v>行58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'グラフの数値データ（時系列）'!$C$60:$IW$60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BD8E-46F1-9B9C-AB47D64653C7}"/>
            </c:ext>
          </c:extLst>
        </c:ser>
        <c:ser>
          <c:idx val="58"/>
          <c:order val="58"/>
          <c:tx>
            <c:strRef>
              <c:f>'グラフの数値データ（時系列）'!$B$61</c:f>
              <c:strCache>
                <c:ptCount val="1"/>
                <c:pt idx="0">
                  <c:v>行59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'グラフの数値データ（時系列）'!$C$61:$IW$61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BD8E-46F1-9B9C-AB47D64653C7}"/>
            </c:ext>
          </c:extLst>
        </c:ser>
        <c:ser>
          <c:idx val="59"/>
          <c:order val="59"/>
          <c:tx>
            <c:strRef>
              <c:f>'グラフの数値データ（時系列）'!$B$62</c:f>
              <c:strCache>
                <c:ptCount val="1"/>
                <c:pt idx="0">
                  <c:v>行60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'グラフの数値データ（時系列）'!$C$62:$IW$62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BD8E-46F1-9B9C-AB47D64653C7}"/>
            </c:ext>
          </c:extLst>
        </c:ser>
        <c:ser>
          <c:idx val="60"/>
          <c:order val="60"/>
          <c:tx>
            <c:strRef>
              <c:f>'グラフの数値データ（時系列）'!$B$63</c:f>
              <c:strCache>
                <c:ptCount val="1"/>
                <c:pt idx="0">
                  <c:v>行61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'グラフの数値データ（時系列）'!$C$63:$IW$63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BD8E-46F1-9B9C-AB47D64653C7}"/>
            </c:ext>
          </c:extLst>
        </c:ser>
        <c:ser>
          <c:idx val="61"/>
          <c:order val="61"/>
          <c:tx>
            <c:strRef>
              <c:f>'グラフの数値データ（時系列）'!$B$64</c:f>
              <c:strCache>
                <c:ptCount val="1"/>
                <c:pt idx="0">
                  <c:v>行62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'グラフの数値データ（時系列）'!$C$64:$IW$64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BD8E-46F1-9B9C-AB47D64653C7}"/>
            </c:ext>
          </c:extLst>
        </c:ser>
        <c:ser>
          <c:idx val="62"/>
          <c:order val="62"/>
          <c:tx>
            <c:strRef>
              <c:f>'グラフの数値データ（時系列）'!$B$65</c:f>
              <c:strCache>
                <c:ptCount val="1"/>
                <c:pt idx="0">
                  <c:v>行63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'グラフの数値データ（時系列）'!$C$65:$IW$65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BD8E-46F1-9B9C-AB47D64653C7}"/>
            </c:ext>
          </c:extLst>
        </c:ser>
        <c:ser>
          <c:idx val="63"/>
          <c:order val="63"/>
          <c:tx>
            <c:strRef>
              <c:f>'グラフの数値データ（時系列）'!$B$66</c:f>
              <c:strCache>
                <c:ptCount val="1"/>
                <c:pt idx="0">
                  <c:v>行64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'グラフの数値データ（時系列）'!$C$66:$IW$66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BD8E-46F1-9B9C-AB47D64653C7}"/>
            </c:ext>
          </c:extLst>
        </c:ser>
        <c:ser>
          <c:idx val="64"/>
          <c:order val="64"/>
          <c:tx>
            <c:strRef>
              <c:f>'グラフの数値データ（時系列）'!$B$67</c:f>
              <c:strCache>
                <c:ptCount val="1"/>
                <c:pt idx="0">
                  <c:v>行65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'グラフの数値データ（時系列）'!$C$67:$IW$67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BD8E-46F1-9B9C-AB47D64653C7}"/>
            </c:ext>
          </c:extLst>
        </c:ser>
        <c:ser>
          <c:idx val="65"/>
          <c:order val="65"/>
          <c:tx>
            <c:strRef>
              <c:f>'グラフの数値データ（時系列）'!$B$68</c:f>
              <c:strCache>
                <c:ptCount val="1"/>
                <c:pt idx="0">
                  <c:v>行66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'グラフの数値データ（時系列）'!$C$68:$IW$68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BD8E-46F1-9B9C-AB47D64653C7}"/>
            </c:ext>
          </c:extLst>
        </c:ser>
        <c:ser>
          <c:idx val="66"/>
          <c:order val="66"/>
          <c:tx>
            <c:strRef>
              <c:f>'グラフの数値データ（時系列）'!$B$69</c:f>
              <c:strCache>
                <c:ptCount val="1"/>
                <c:pt idx="0">
                  <c:v>行67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'グラフの数値データ（時系列）'!$C$69:$IW$69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BD8E-46F1-9B9C-AB47D64653C7}"/>
            </c:ext>
          </c:extLst>
        </c:ser>
        <c:ser>
          <c:idx val="67"/>
          <c:order val="67"/>
          <c:tx>
            <c:strRef>
              <c:f>'グラフの数値データ（時系列）'!$B$70</c:f>
              <c:strCache>
                <c:ptCount val="1"/>
                <c:pt idx="0">
                  <c:v>行68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'グラフの数値データ（時系列）'!$C$70:$IW$70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BD8E-46F1-9B9C-AB47D64653C7}"/>
            </c:ext>
          </c:extLst>
        </c:ser>
        <c:ser>
          <c:idx val="68"/>
          <c:order val="68"/>
          <c:tx>
            <c:strRef>
              <c:f>'グラフの数値データ（時系列）'!$B$71</c:f>
              <c:strCache>
                <c:ptCount val="1"/>
                <c:pt idx="0">
                  <c:v>行69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'グラフの数値データ（時系列）'!$C$71:$IW$71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BD8E-46F1-9B9C-AB47D64653C7}"/>
            </c:ext>
          </c:extLst>
        </c:ser>
        <c:ser>
          <c:idx val="69"/>
          <c:order val="69"/>
          <c:tx>
            <c:strRef>
              <c:f>'グラフの数値データ（時系列）'!$B$72</c:f>
              <c:strCache>
                <c:ptCount val="1"/>
                <c:pt idx="0">
                  <c:v>行70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'グラフの数値データ（時系列）'!$C$72:$IW$72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BD8E-46F1-9B9C-AB47D64653C7}"/>
            </c:ext>
          </c:extLst>
        </c:ser>
        <c:ser>
          <c:idx val="70"/>
          <c:order val="70"/>
          <c:tx>
            <c:strRef>
              <c:f>'グラフの数値データ（時系列）'!$B$73</c:f>
              <c:strCache>
                <c:ptCount val="1"/>
                <c:pt idx="0">
                  <c:v>行71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'グラフの数値データ（時系列）'!$C$73:$IW$73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BD8E-46F1-9B9C-AB47D64653C7}"/>
            </c:ext>
          </c:extLst>
        </c:ser>
        <c:ser>
          <c:idx val="71"/>
          <c:order val="71"/>
          <c:tx>
            <c:strRef>
              <c:f>'グラフの数値データ（時系列）'!$B$74</c:f>
              <c:strCache>
                <c:ptCount val="1"/>
                <c:pt idx="0">
                  <c:v>行72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'グラフの数値データ（時系列）'!$C$74:$IW$74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BD8E-46F1-9B9C-AB47D64653C7}"/>
            </c:ext>
          </c:extLst>
        </c:ser>
        <c:ser>
          <c:idx val="72"/>
          <c:order val="72"/>
          <c:tx>
            <c:strRef>
              <c:f>'グラフの数値データ（時系列）'!$B$75</c:f>
              <c:strCache>
                <c:ptCount val="1"/>
                <c:pt idx="0">
                  <c:v>行73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'グラフの数値データ（時系列）'!$C$75:$IW$75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BD8E-46F1-9B9C-AB47D64653C7}"/>
            </c:ext>
          </c:extLst>
        </c:ser>
        <c:ser>
          <c:idx val="73"/>
          <c:order val="73"/>
          <c:tx>
            <c:strRef>
              <c:f>'グラフの数値データ（時系列）'!$B$76</c:f>
              <c:strCache>
                <c:ptCount val="1"/>
                <c:pt idx="0">
                  <c:v>行74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'グラフの数値データ（時系列）'!$C$76:$IW$76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BD8E-46F1-9B9C-AB47D64653C7}"/>
            </c:ext>
          </c:extLst>
        </c:ser>
        <c:ser>
          <c:idx val="74"/>
          <c:order val="74"/>
          <c:tx>
            <c:strRef>
              <c:f>'グラフの数値データ（時系列）'!$B$77</c:f>
              <c:strCache>
                <c:ptCount val="1"/>
                <c:pt idx="0">
                  <c:v>行75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'グラフの数値データ（時系列）'!$C$77:$IW$77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BD8E-46F1-9B9C-AB47D64653C7}"/>
            </c:ext>
          </c:extLst>
        </c:ser>
        <c:ser>
          <c:idx val="75"/>
          <c:order val="75"/>
          <c:tx>
            <c:strRef>
              <c:f>'グラフの数値データ（時系列）'!$B$78</c:f>
              <c:strCache>
                <c:ptCount val="1"/>
                <c:pt idx="0">
                  <c:v>行76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'グラフの数値データ（時系列）'!$C$78:$IW$78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BD8E-46F1-9B9C-AB47D64653C7}"/>
            </c:ext>
          </c:extLst>
        </c:ser>
        <c:ser>
          <c:idx val="76"/>
          <c:order val="76"/>
          <c:tx>
            <c:strRef>
              <c:f>'グラフの数値データ（時系列）'!$B$79</c:f>
              <c:strCache>
                <c:ptCount val="1"/>
                <c:pt idx="0">
                  <c:v>行77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'グラフの数値データ（時系列）'!$C$79:$IW$79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BD8E-46F1-9B9C-AB47D64653C7}"/>
            </c:ext>
          </c:extLst>
        </c:ser>
        <c:ser>
          <c:idx val="77"/>
          <c:order val="77"/>
          <c:tx>
            <c:strRef>
              <c:f>'グラフの数値データ（時系列）'!$B$80</c:f>
              <c:strCache>
                <c:ptCount val="1"/>
                <c:pt idx="0">
                  <c:v>行78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'グラフの数値データ（時系列）'!$C$80:$IW$80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BD8E-46F1-9B9C-AB47D64653C7}"/>
            </c:ext>
          </c:extLst>
        </c:ser>
        <c:ser>
          <c:idx val="78"/>
          <c:order val="78"/>
          <c:tx>
            <c:strRef>
              <c:f>'グラフの数値データ（時系列）'!$B$81</c:f>
              <c:strCache>
                <c:ptCount val="1"/>
                <c:pt idx="0">
                  <c:v>行79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'グラフの数値データ（時系列）'!$C$81:$IW$81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BD8E-46F1-9B9C-AB47D64653C7}"/>
            </c:ext>
          </c:extLst>
        </c:ser>
        <c:ser>
          <c:idx val="79"/>
          <c:order val="79"/>
          <c:tx>
            <c:strRef>
              <c:f>'グラフの数値データ（時系列）'!$B$82</c:f>
              <c:strCache>
                <c:ptCount val="1"/>
                <c:pt idx="0">
                  <c:v>行80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'グラフの数値データ（時系列）'!$C$82:$IW$82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BD8E-46F1-9B9C-AB47D64653C7}"/>
            </c:ext>
          </c:extLst>
        </c:ser>
        <c:ser>
          <c:idx val="80"/>
          <c:order val="80"/>
          <c:tx>
            <c:strRef>
              <c:f>'グラフの数値データ（時系列）'!$B$83</c:f>
              <c:strCache>
                <c:ptCount val="1"/>
                <c:pt idx="0">
                  <c:v>行81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'グラフの数値データ（時系列）'!$C$83:$IW$83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BD8E-46F1-9B9C-AB47D64653C7}"/>
            </c:ext>
          </c:extLst>
        </c:ser>
        <c:ser>
          <c:idx val="81"/>
          <c:order val="81"/>
          <c:tx>
            <c:strRef>
              <c:f>'グラフの数値データ（時系列）'!$B$84</c:f>
              <c:strCache>
                <c:ptCount val="1"/>
                <c:pt idx="0">
                  <c:v>行82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'グラフの数値データ（時系列）'!$C$84:$IW$84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BD8E-46F1-9B9C-AB47D64653C7}"/>
            </c:ext>
          </c:extLst>
        </c:ser>
        <c:ser>
          <c:idx val="82"/>
          <c:order val="82"/>
          <c:tx>
            <c:strRef>
              <c:f>'グラフの数値データ（時系列）'!$B$85</c:f>
              <c:strCache>
                <c:ptCount val="1"/>
                <c:pt idx="0">
                  <c:v>行83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'グラフの数値データ（時系列）'!$C$85:$IW$85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BD8E-46F1-9B9C-AB47D64653C7}"/>
            </c:ext>
          </c:extLst>
        </c:ser>
        <c:ser>
          <c:idx val="83"/>
          <c:order val="83"/>
          <c:tx>
            <c:strRef>
              <c:f>'グラフの数値データ（時系列）'!$B$86</c:f>
              <c:strCache>
                <c:ptCount val="1"/>
                <c:pt idx="0">
                  <c:v>行84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'グラフの数値データ（時系列）'!$C$86:$IW$86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BD8E-46F1-9B9C-AB47D64653C7}"/>
            </c:ext>
          </c:extLst>
        </c:ser>
        <c:ser>
          <c:idx val="84"/>
          <c:order val="84"/>
          <c:tx>
            <c:strRef>
              <c:f>'グラフの数値データ（時系列）'!$B$87</c:f>
              <c:strCache>
                <c:ptCount val="1"/>
                <c:pt idx="0">
                  <c:v>行85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'グラフの数値データ（時系列）'!$C$87:$IW$87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BD8E-46F1-9B9C-AB47D64653C7}"/>
            </c:ext>
          </c:extLst>
        </c:ser>
        <c:ser>
          <c:idx val="85"/>
          <c:order val="85"/>
          <c:tx>
            <c:strRef>
              <c:f>'グラフの数値データ（時系列）'!$B$88</c:f>
              <c:strCache>
                <c:ptCount val="1"/>
                <c:pt idx="0">
                  <c:v>行86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'グラフの数値データ（時系列）'!$C$88:$IW$88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BD8E-46F1-9B9C-AB47D64653C7}"/>
            </c:ext>
          </c:extLst>
        </c:ser>
        <c:ser>
          <c:idx val="86"/>
          <c:order val="86"/>
          <c:tx>
            <c:strRef>
              <c:f>'グラフの数値データ（時系列）'!$B$89</c:f>
              <c:strCache>
                <c:ptCount val="1"/>
                <c:pt idx="0">
                  <c:v>行87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'グラフの数値データ（時系列）'!$C$89:$IW$89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BD8E-46F1-9B9C-AB47D64653C7}"/>
            </c:ext>
          </c:extLst>
        </c:ser>
        <c:ser>
          <c:idx val="87"/>
          <c:order val="87"/>
          <c:tx>
            <c:strRef>
              <c:f>'グラフの数値データ（時系列）'!$B$90</c:f>
              <c:strCache>
                <c:ptCount val="1"/>
                <c:pt idx="0">
                  <c:v>行88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'グラフの数値データ（時系列）'!$C$90:$IW$90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BD8E-46F1-9B9C-AB47D64653C7}"/>
            </c:ext>
          </c:extLst>
        </c:ser>
        <c:ser>
          <c:idx val="88"/>
          <c:order val="88"/>
          <c:tx>
            <c:strRef>
              <c:f>'グラフの数値データ（時系列）'!$B$91</c:f>
              <c:strCache>
                <c:ptCount val="1"/>
                <c:pt idx="0">
                  <c:v>行89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'グラフの数値データ（時系列）'!$C$91:$IW$91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BD8E-46F1-9B9C-AB47D64653C7}"/>
            </c:ext>
          </c:extLst>
        </c:ser>
        <c:ser>
          <c:idx val="89"/>
          <c:order val="89"/>
          <c:tx>
            <c:strRef>
              <c:f>'グラフの数値データ（時系列）'!$B$92</c:f>
              <c:strCache>
                <c:ptCount val="1"/>
                <c:pt idx="0">
                  <c:v>行90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'グラフの数値データ（時系列）'!$C$92:$IW$92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BD8E-46F1-9B9C-AB47D64653C7}"/>
            </c:ext>
          </c:extLst>
        </c:ser>
        <c:ser>
          <c:idx val="90"/>
          <c:order val="90"/>
          <c:tx>
            <c:strRef>
              <c:f>'グラフの数値データ（時系列）'!$B$93</c:f>
              <c:strCache>
                <c:ptCount val="1"/>
                <c:pt idx="0">
                  <c:v>行91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'グラフの数値データ（時系列）'!$C$93:$IW$93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BD8E-46F1-9B9C-AB47D64653C7}"/>
            </c:ext>
          </c:extLst>
        </c:ser>
        <c:ser>
          <c:idx val="91"/>
          <c:order val="91"/>
          <c:tx>
            <c:strRef>
              <c:f>'グラフの数値データ（時系列）'!$B$94</c:f>
              <c:strCache>
                <c:ptCount val="1"/>
                <c:pt idx="0">
                  <c:v>行92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'グラフの数値データ（時系列）'!$C$94:$IW$94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BD8E-46F1-9B9C-AB47D64653C7}"/>
            </c:ext>
          </c:extLst>
        </c:ser>
        <c:ser>
          <c:idx val="92"/>
          <c:order val="92"/>
          <c:tx>
            <c:strRef>
              <c:f>'グラフの数値データ（時系列）'!$B$95</c:f>
              <c:strCache>
                <c:ptCount val="1"/>
                <c:pt idx="0">
                  <c:v>行93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'グラフの数値データ（時系列）'!$C$95:$IW$95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BD8E-46F1-9B9C-AB47D64653C7}"/>
            </c:ext>
          </c:extLst>
        </c:ser>
        <c:ser>
          <c:idx val="93"/>
          <c:order val="93"/>
          <c:tx>
            <c:strRef>
              <c:f>'グラフの数値データ（時系列）'!$B$96</c:f>
              <c:strCache>
                <c:ptCount val="1"/>
                <c:pt idx="0">
                  <c:v>行94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'グラフの数値データ（時系列）'!$C$96:$IW$96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BD8E-46F1-9B9C-AB47D64653C7}"/>
            </c:ext>
          </c:extLst>
        </c:ser>
        <c:ser>
          <c:idx val="94"/>
          <c:order val="94"/>
          <c:tx>
            <c:strRef>
              <c:f>'グラフの数値データ（時系列）'!$B$97</c:f>
              <c:strCache>
                <c:ptCount val="1"/>
                <c:pt idx="0">
                  <c:v>行95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'グラフの数値データ（時系列）'!$C$97:$IW$97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BD8E-46F1-9B9C-AB47D64653C7}"/>
            </c:ext>
          </c:extLst>
        </c:ser>
        <c:ser>
          <c:idx val="95"/>
          <c:order val="95"/>
          <c:tx>
            <c:strRef>
              <c:f>'グラフの数値データ（時系列）'!$B$98</c:f>
              <c:strCache>
                <c:ptCount val="1"/>
                <c:pt idx="0">
                  <c:v>行96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'グラフの数値データ（時系列）'!$C$98:$IW$98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BD8E-46F1-9B9C-AB47D64653C7}"/>
            </c:ext>
          </c:extLst>
        </c:ser>
        <c:ser>
          <c:idx val="96"/>
          <c:order val="96"/>
          <c:tx>
            <c:strRef>
              <c:f>'グラフの数値データ（時系列）'!$B$99</c:f>
              <c:strCache>
                <c:ptCount val="1"/>
                <c:pt idx="0">
                  <c:v>行97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'グラフの数値データ（時系列）'!$C$99:$IW$99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BD8E-46F1-9B9C-AB47D64653C7}"/>
            </c:ext>
          </c:extLst>
        </c:ser>
        <c:ser>
          <c:idx val="97"/>
          <c:order val="97"/>
          <c:tx>
            <c:strRef>
              <c:f>'グラフの数値データ（時系列）'!$B$100</c:f>
              <c:strCache>
                <c:ptCount val="1"/>
                <c:pt idx="0">
                  <c:v>行98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'グラフの数値データ（時系列）'!$C$100:$IW$100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BD8E-46F1-9B9C-AB47D64653C7}"/>
            </c:ext>
          </c:extLst>
        </c:ser>
        <c:ser>
          <c:idx val="98"/>
          <c:order val="98"/>
          <c:tx>
            <c:strRef>
              <c:f>'グラフの数値データ（時系列）'!$B$101</c:f>
              <c:strCache>
                <c:ptCount val="1"/>
                <c:pt idx="0">
                  <c:v>行99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'グラフの数値データ（時系列）'!$C$101:$IW$101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BD8E-46F1-9B9C-AB47D64653C7}"/>
            </c:ext>
          </c:extLst>
        </c:ser>
        <c:ser>
          <c:idx val="99"/>
          <c:order val="99"/>
          <c:tx>
            <c:strRef>
              <c:f>'グラフの数値データ（時系列）'!$B$102</c:f>
              <c:strCache>
                <c:ptCount val="1"/>
                <c:pt idx="0">
                  <c:v>行100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'グラフの数値データ（時系列）'!$C$102:$IW$102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BD8E-46F1-9B9C-AB47D64653C7}"/>
            </c:ext>
          </c:extLst>
        </c:ser>
        <c:ser>
          <c:idx val="100"/>
          <c:order val="100"/>
          <c:tx>
            <c:strRef>
              <c:f>'グラフの数値データ（時系列）'!$B$103</c:f>
              <c:strCache>
                <c:ptCount val="1"/>
                <c:pt idx="0">
                  <c:v>行101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'グラフの数値データ（時系列）'!$C$103:$IW$103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BD8E-46F1-9B9C-AB47D64653C7}"/>
            </c:ext>
          </c:extLst>
        </c:ser>
        <c:ser>
          <c:idx val="101"/>
          <c:order val="101"/>
          <c:tx>
            <c:strRef>
              <c:f>'グラフの数値データ（時系列）'!$B$104</c:f>
              <c:strCache>
                <c:ptCount val="1"/>
                <c:pt idx="0">
                  <c:v>行102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'グラフの数値データ（時系列）'!$C$104:$IW$104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BD8E-46F1-9B9C-AB47D64653C7}"/>
            </c:ext>
          </c:extLst>
        </c:ser>
        <c:ser>
          <c:idx val="102"/>
          <c:order val="102"/>
          <c:tx>
            <c:strRef>
              <c:f>'グラフの数値データ（時系列）'!$B$105</c:f>
              <c:strCache>
                <c:ptCount val="1"/>
                <c:pt idx="0">
                  <c:v>行103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'グラフの数値データ（時系列）'!$C$105:$IW$105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BD8E-46F1-9B9C-AB47D64653C7}"/>
            </c:ext>
          </c:extLst>
        </c:ser>
        <c:ser>
          <c:idx val="103"/>
          <c:order val="103"/>
          <c:tx>
            <c:strRef>
              <c:f>'グラフの数値データ（時系列）'!$B$106</c:f>
              <c:strCache>
                <c:ptCount val="1"/>
                <c:pt idx="0">
                  <c:v>行104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'グラフの数値データ（時系列）'!$C$106:$IW$106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7-BD8E-46F1-9B9C-AB47D64653C7}"/>
            </c:ext>
          </c:extLst>
        </c:ser>
        <c:ser>
          <c:idx val="104"/>
          <c:order val="104"/>
          <c:tx>
            <c:strRef>
              <c:f>'グラフの数値データ（時系列）'!$B$107</c:f>
              <c:strCache>
                <c:ptCount val="1"/>
                <c:pt idx="0">
                  <c:v>行105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'グラフの数値データ（時系列）'!$C$107:$IW$107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BD8E-46F1-9B9C-AB47D64653C7}"/>
            </c:ext>
          </c:extLst>
        </c:ser>
        <c:ser>
          <c:idx val="105"/>
          <c:order val="105"/>
          <c:tx>
            <c:strRef>
              <c:f>'グラフの数値データ（時系列）'!$B$108</c:f>
              <c:strCache>
                <c:ptCount val="1"/>
                <c:pt idx="0">
                  <c:v>行106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'グラフの数値データ（時系列）'!$C$108:$IW$108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9-BD8E-46F1-9B9C-AB47D64653C7}"/>
            </c:ext>
          </c:extLst>
        </c:ser>
        <c:ser>
          <c:idx val="106"/>
          <c:order val="106"/>
          <c:tx>
            <c:strRef>
              <c:f>'グラフの数値データ（時系列）'!$B$109</c:f>
              <c:strCache>
                <c:ptCount val="1"/>
                <c:pt idx="0">
                  <c:v>行107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'グラフの数値データ（時系列）'!$C$109:$IW$109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BD8E-46F1-9B9C-AB47D64653C7}"/>
            </c:ext>
          </c:extLst>
        </c:ser>
        <c:ser>
          <c:idx val="107"/>
          <c:order val="107"/>
          <c:tx>
            <c:strRef>
              <c:f>'グラフの数値データ（時系列）'!$B$110</c:f>
              <c:strCache>
                <c:ptCount val="1"/>
                <c:pt idx="0">
                  <c:v>行108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'グラフの数値データ（時系列）'!$C$110:$IW$110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B-BD8E-46F1-9B9C-AB47D64653C7}"/>
            </c:ext>
          </c:extLst>
        </c:ser>
        <c:ser>
          <c:idx val="108"/>
          <c:order val="108"/>
          <c:tx>
            <c:strRef>
              <c:f>'グラフの数値データ（時系列）'!$B$111</c:f>
              <c:strCache>
                <c:ptCount val="1"/>
                <c:pt idx="0">
                  <c:v>行109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'グラフの数値データ（時系列）'!$C$111:$IW$111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BD8E-46F1-9B9C-AB47D64653C7}"/>
            </c:ext>
          </c:extLst>
        </c:ser>
        <c:ser>
          <c:idx val="109"/>
          <c:order val="109"/>
          <c:tx>
            <c:strRef>
              <c:f>'グラフの数値データ（時系列）'!$B$112</c:f>
              <c:strCache>
                <c:ptCount val="1"/>
                <c:pt idx="0">
                  <c:v>行110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'グラフの数値データ（時系列）'!$C$112:$IW$112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D-BD8E-46F1-9B9C-AB47D64653C7}"/>
            </c:ext>
          </c:extLst>
        </c:ser>
        <c:ser>
          <c:idx val="110"/>
          <c:order val="110"/>
          <c:tx>
            <c:strRef>
              <c:f>'グラフの数値データ（時系列）'!$B$113</c:f>
              <c:strCache>
                <c:ptCount val="1"/>
                <c:pt idx="0">
                  <c:v>行111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'グラフの数値データ（時系列）'!$C$113:$IW$113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BD8E-46F1-9B9C-AB47D64653C7}"/>
            </c:ext>
          </c:extLst>
        </c:ser>
        <c:ser>
          <c:idx val="111"/>
          <c:order val="111"/>
          <c:tx>
            <c:strRef>
              <c:f>'グラフの数値データ（時系列）'!$B$114</c:f>
              <c:strCache>
                <c:ptCount val="1"/>
                <c:pt idx="0">
                  <c:v>行112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'グラフの数値データ（時系列）'!$C$114:$IW$114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F-BD8E-46F1-9B9C-AB47D64653C7}"/>
            </c:ext>
          </c:extLst>
        </c:ser>
        <c:ser>
          <c:idx val="112"/>
          <c:order val="112"/>
          <c:tx>
            <c:strRef>
              <c:f>'グラフの数値データ（時系列）'!$B$115</c:f>
              <c:strCache>
                <c:ptCount val="1"/>
                <c:pt idx="0">
                  <c:v>行113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'グラフの数値データ（時系列）'!$C$115:$IW$115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BD8E-46F1-9B9C-AB47D64653C7}"/>
            </c:ext>
          </c:extLst>
        </c:ser>
        <c:ser>
          <c:idx val="113"/>
          <c:order val="113"/>
          <c:tx>
            <c:strRef>
              <c:f>'グラフの数値データ（時系列）'!$B$116</c:f>
              <c:strCache>
                <c:ptCount val="1"/>
                <c:pt idx="0">
                  <c:v>行114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'グラフの数値データ（時系列）'!$C$116:$IW$116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1-BD8E-46F1-9B9C-AB47D64653C7}"/>
            </c:ext>
          </c:extLst>
        </c:ser>
        <c:ser>
          <c:idx val="114"/>
          <c:order val="114"/>
          <c:tx>
            <c:strRef>
              <c:f>'グラフの数値データ（時系列）'!$B$117</c:f>
              <c:strCache>
                <c:ptCount val="1"/>
                <c:pt idx="0">
                  <c:v>行115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'グラフの数値データ（時系列）'!$C$117:$IW$117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BD8E-46F1-9B9C-AB47D64653C7}"/>
            </c:ext>
          </c:extLst>
        </c:ser>
        <c:ser>
          <c:idx val="115"/>
          <c:order val="115"/>
          <c:tx>
            <c:strRef>
              <c:f>'グラフの数値データ（時系列）'!$B$118</c:f>
              <c:strCache>
                <c:ptCount val="1"/>
                <c:pt idx="0">
                  <c:v>行116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'グラフの数値データ（時系列）'!$C$118:$IW$118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3-BD8E-46F1-9B9C-AB47D64653C7}"/>
            </c:ext>
          </c:extLst>
        </c:ser>
        <c:ser>
          <c:idx val="116"/>
          <c:order val="116"/>
          <c:tx>
            <c:strRef>
              <c:f>'グラフの数値データ（時系列）'!$B$119</c:f>
              <c:strCache>
                <c:ptCount val="1"/>
                <c:pt idx="0">
                  <c:v>行117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'グラフの数値データ（時系列）'!$C$119:$IW$119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BD8E-46F1-9B9C-AB47D64653C7}"/>
            </c:ext>
          </c:extLst>
        </c:ser>
        <c:ser>
          <c:idx val="117"/>
          <c:order val="117"/>
          <c:tx>
            <c:strRef>
              <c:f>'グラフの数値データ（時系列）'!$B$120</c:f>
              <c:strCache>
                <c:ptCount val="1"/>
                <c:pt idx="0">
                  <c:v>行118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'グラフの数値データ（時系列）'!$C$120:$IW$120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BD8E-46F1-9B9C-AB47D64653C7}"/>
            </c:ext>
          </c:extLst>
        </c:ser>
        <c:ser>
          <c:idx val="118"/>
          <c:order val="118"/>
          <c:tx>
            <c:strRef>
              <c:f>'グラフの数値データ（時系列）'!$B$121</c:f>
              <c:strCache>
                <c:ptCount val="1"/>
                <c:pt idx="0">
                  <c:v>行119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'グラフの数値データ（時系列）'!$C$121:$IW$121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BD8E-46F1-9B9C-AB47D64653C7}"/>
            </c:ext>
          </c:extLst>
        </c:ser>
        <c:ser>
          <c:idx val="119"/>
          <c:order val="119"/>
          <c:tx>
            <c:strRef>
              <c:f>'グラフの数値データ（時系列）'!$B$122</c:f>
              <c:strCache>
                <c:ptCount val="1"/>
                <c:pt idx="0">
                  <c:v>行120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'グラフの数値データ（時系列）'!$C$122:$IW$122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7-BD8E-46F1-9B9C-AB47D64653C7}"/>
            </c:ext>
          </c:extLst>
        </c:ser>
        <c:ser>
          <c:idx val="120"/>
          <c:order val="120"/>
          <c:tx>
            <c:strRef>
              <c:f>'グラフの数値データ（時系列）'!$B$123</c:f>
              <c:strCache>
                <c:ptCount val="1"/>
                <c:pt idx="0">
                  <c:v>行121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'グラフの数値データ（時系列）'!$C$123:$IW$123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BD8E-46F1-9B9C-AB47D64653C7}"/>
            </c:ext>
          </c:extLst>
        </c:ser>
        <c:ser>
          <c:idx val="121"/>
          <c:order val="121"/>
          <c:tx>
            <c:strRef>
              <c:f>'グラフの数値データ（時系列）'!$B$124</c:f>
              <c:strCache>
                <c:ptCount val="1"/>
                <c:pt idx="0">
                  <c:v>行122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'グラフの数値データ（時系列）'!$C$124:$IW$124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BD8E-46F1-9B9C-AB47D64653C7}"/>
            </c:ext>
          </c:extLst>
        </c:ser>
        <c:ser>
          <c:idx val="122"/>
          <c:order val="122"/>
          <c:tx>
            <c:strRef>
              <c:f>'グラフの数値データ（時系列）'!$B$125</c:f>
              <c:strCache>
                <c:ptCount val="1"/>
                <c:pt idx="0">
                  <c:v>行123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'グラフの数値データ（時系列）'!$C$125:$IW$125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BD8E-46F1-9B9C-AB47D64653C7}"/>
            </c:ext>
          </c:extLst>
        </c:ser>
        <c:ser>
          <c:idx val="123"/>
          <c:order val="123"/>
          <c:tx>
            <c:strRef>
              <c:f>'グラフの数値データ（時系列）'!$B$126</c:f>
              <c:strCache>
                <c:ptCount val="1"/>
                <c:pt idx="0">
                  <c:v>行124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'グラフの数値データ（時系列）'!$C$126:$IW$126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B-BD8E-46F1-9B9C-AB47D64653C7}"/>
            </c:ext>
          </c:extLst>
        </c:ser>
        <c:ser>
          <c:idx val="124"/>
          <c:order val="124"/>
          <c:tx>
            <c:strRef>
              <c:f>'グラフの数値データ（時系列）'!$B$127</c:f>
              <c:strCache>
                <c:ptCount val="1"/>
                <c:pt idx="0">
                  <c:v>行125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'グラフの数値データ（時系列）'!$C$127:$IW$127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BD8E-46F1-9B9C-AB47D64653C7}"/>
            </c:ext>
          </c:extLst>
        </c:ser>
        <c:ser>
          <c:idx val="125"/>
          <c:order val="125"/>
          <c:tx>
            <c:strRef>
              <c:f>'グラフの数値データ（時系列）'!$B$128</c:f>
              <c:strCache>
                <c:ptCount val="1"/>
                <c:pt idx="0">
                  <c:v>行126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'グラフの数値データ（時系列）'!$C$128:$IW$128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D-BD8E-46F1-9B9C-AB47D64653C7}"/>
            </c:ext>
          </c:extLst>
        </c:ser>
        <c:ser>
          <c:idx val="126"/>
          <c:order val="126"/>
          <c:tx>
            <c:strRef>
              <c:f>'グラフの数値データ（時系列）'!$B$129</c:f>
              <c:strCache>
                <c:ptCount val="1"/>
                <c:pt idx="0">
                  <c:v>行127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'グラフの数値データ（時系列）'!$C$129:$IW$129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BD8E-46F1-9B9C-AB47D64653C7}"/>
            </c:ext>
          </c:extLst>
        </c:ser>
        <c:ser>
          <c:idx val="127"/>
          <c:order val="127"/>
          <c:tx>
            <c:strRef>
              <c:f>'グラフの数値データ（時系列）'!$B$130</c:f>
              <c:strCache>
                <c:ptCount val="1"/>
                <c:pt idx="0">
                  <c:v>行128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'グラフの数値データ（時系列）'!$C$130:$IW$130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F-BD8E-46F1-9B9C-AB47D64653C7}"/>
            </c:ext>
          </c:extLst>
        </c:ser>
        <c:ser>
          <c:idx val="128"/>
          <c:order val="128"/>
          <c:tx>
            <c:strRef>
              <c:f>'グラフの数値データ（時系列）'!$B$131</c:f>
              <c:strCache>
                <c:ptCount val="1"/>
                <c:pt idx="0">
                  <c:v>行129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'グラフの数値データ（時系列）'!$C$131:$IW$131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BD8E-46F1-9B9C-AB47D64653C7}"/>
            </c:ext>
          </c:extLst>
        </c:ser>
        <c:ser>
          <c:idx val="129"/>
          <c:order val="129"/>
          <c:tx>
            <c:strRef>
              <c:f>'グラフの数値データ（時系列）'!$B$132</c:f>
              <c:strCache>
                <c:ptCount val="1"/>
                <c:pt idx="0">
                  <c:v>行130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'グラフの数値データ（時系列）'!$C$132:$IW$132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1-BD8E-46F1-9B9C-AB47D64653C7}"/>
            </c:ext>
          </c:extLst>
        </c:ser>
        <c:ser>
          <c:idx val="130"/>
          <c:order val="130"/>
          <c:tx>
            <c:strRef>
              <c:f>'グラフの数値データ（時系列）'!$B$133</c:f>
              <c:strCache>
                <c:ptCount val="1"/>
                <c:pt idx="0">
                  <c:v>行131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'グラフの数値データ（時系列）'!$C$133:$IW$133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BD8E-46F1-9B9C-AB47D64653C7}"/>
            </c:ext>
          </c:extLst>
        </c:ser>
        <c:ser>
          <c:idx val="131"/>
          <c:order val="131"/>
          <c:tx>
            <c:strRef>
              <c:f>'グラフの数値データ（時系列）'!$B$134</c:f>
              <c:strCache>
                <c:ptCount val="1"/>
                <c:pt idx="0">
                  <c:v>行132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'グラフの数値データ（時系列）'!$C$134:$IW$134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3-BD8E-46F1-9B9C-AB47D64653C7}"/>
            </c:ext>
          </c:extLst>
        </c:ser>
        <c:ser>
          <c:idx val="132"/>
          <c:order val="132"/>
          <c:tx>
            <c:strRef>
              <c:f>'グラフの数値データ（時系列）'!$B$135</c:f>
              <c:strCache>
                <c:ptCount val="1"/>
                <c:pt idx="0">
                  <c:v>行133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'グラフの数値データ（時系列）'!$C$135:$IW$135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BD8E-46F1-9B9C-AB47D64653C7}"/>
            </c:ext>
          </c:extLst>
        </c:ser>
        <c:ser>
          <c:idx val="133"/>
          <c:order val="133"/>
          <c:tx>
            <c:strRef>
              <c:f>'グラフの数値データ（時系列）'!$B$136</c:f>
              <c:strCache>
                <c:ptCount val="1"/>
                <c:pt idx="0">
                  <c:v>行134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'グラフの数値データ（時系列）'!$C$136:$IW$136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5-BD8E-46F1-9B9C-AB47D64653C7}"/>
            </c:ext>
          </c:extLst>
        </c:ser>
        <c:ser>
          <c:idx val="134"/>
          <c:order val="134"/>
          <c:tx>
            <c:strRef>
              <c:f>'グラフの数値データ（時系列）'!$B$137</c:f>
              <c:strCache>
                <c:ptCount val="1"/>
                <c:pt idx="0">
                  <c:v>行135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'グラフの数値データ（時系列）'!$C$137:$IW$137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BD8E-46F1-9B9C-AB47D64653C7}"/>
            </c:ext>
          </c:extLst>
        </c:ser>
        <c:ser>
          <c:idx val="135"/>
          <c:order val="135"/>
          <c:tx>
            <c:strRef>
              <c:f>'グラフの数値データ（時系列）'!$B$138</c:f>
              <c:strCache>
                <c:ptCount val="1"/>
                <c:pt idx="0">
                  <c:v>行136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'グラフの数値データ（時系列）'!$C$138:$IW$138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7-BD8E-46F1-9B9C-AB47D64653C7}"/>
            </c:ext>
          </c:extLst>
        </c:ser>
        <c:ser>
          <c:idx val="136"/>
          <c:order val="136"/>
          <c:tx>
            <c:strRef>
              <c:f>'グラフの数値データ（時系列）'!$B$139</c:f>
              <c:strCache>
                <c:ptCount val="1"/>
                <c:pt idx="0">
                  <c:v>行137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'グラフの数値データ（時系列）'!$C$139:$IW$139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BD8E-46F1-9B9C-AB47D64653C7}"/>
            </c:ext>
          </c:extLst>
        </c:ser>
        <c:ser>
          <c:idx val="137"/>
          <c:order val="137"/>
          <c:tx>
            <c:strRef>
              <c:f>'グラフの数値データ（時系列）'!$B$140</c:f>
              <c:strCache>
                <c:ptCount val="1"/>
                <c:pt idx="0">
                  <c:v>行138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'グラフの数値データ（時系列）'!$C$140:$IW$140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9-BD8E-46F1-9B9C-AB47D64653C7}"/>
            </c:ext>
          </c:extLst>
        </c:ser>
        <c:ser>
          <c:idx val="138"/>
          <c:order val="138"/>
          <c:tx>
            <c:strRef>
              <c:f>'グラフの数値データ（時系列）'!$B$141</c:f>
              <c:strCache>
                <c:ptCount val="1"/>
                <c:pt idx="0">
                  <c:v>行139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'グラフの数値データ（時系列）'!$C$141:$IW$141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BD8E-46F1-9B9C-AB47D64653C7}"/>
            </c:ext>
          </c:extLst>
        </c:ser>
        <c:ser>
          <c:idx val="139"/>
          <c:order val="139"/>
          <c:tx>
            <c:strRef>
              <c:f>'グラフの数値データ（時系列）'!$B$142</c:f>
              <c:strCache>
                <c:ptCount val="1"/>
                <c:pt idx="0">
                  <c:v>行140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'グラフの数値データ（時系列）'!$C$142:$IW$142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B-BD8E-46F1-9B9C-AB47D64653C7}"/>
            </c:ext>
          </c:extLst>
        </c:ser>
        <c:ser>
          <c:idx val="140"/>
          <c:order val="140"/>
          <c:tx>
            <c:strRef>
              <c:f>'グラフの数値データ（時系列）'!$B$143</c:f>
              <c:strCache>
                <c:ptCount val="1"/>
                <c:pt idx="0">
                  <c:v>行141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'グラフの数値データ（時系列）'!$C$143:$IW$143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BD8E-46F1-9B9C-AB47D64653C7}"/>
            </c:ext>
          </c:extLst>
        </c:ser>
        <c:ser>
          <c:idx val="141"/>
          <c:order val="141"/>
          <c:tx>
            <c:strRef>
              <c:f>'グラフの数値データ（時系列）'!$B$144</c:f>
              <c:strCache>
                <c:ptCount val="1"/>
                <c:pt idx="0">
                  <c:v>行142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'グラフの数値データ（時系列）'!$C$144:$IW$144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D-BD8E-46F1-9B9C-AB47D64653C7}"/>
            </c:ext>
          </c:extLst>
        </c:ser>
        <c:ser>
          <c:idx val="142"/>
          <c:order val="142"/>
          <c:tx>
            <c:strRef>
              <c:f>'グラフの数値データ（時系列）'!$B$145</c:f>
              <c:strCache>
                <c:ptCount val="1"/>
                <c:pt idx="0">
                  <c:v>行143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'グラフの数値データ（時系列）'!$C$145:$IW$145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BD8E-46F1-9B9C-AB47D64653C7}"/>
            </c:ext>
          </c:extLst>
        </c:ser>
        <c:ser>
          <c:idx val="143"/>
          <c:order val="143"/>
          <c:tx>
            <c:strRef>
              <c:f>'グラフの数値データ（時系列）'!$B$146</c:f>
              <c:strCache>
                <c:ptCount val="1"/>
                <c:pt idx="0">
                  <c:v>行144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'グラフの数値データ（時系列）'!$C$146:$IW$146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F-BD8E-46F1-9B9C-AB47D64653C7}"/>
            </c:ext>
          </c:extLst>
        </c:ser>
        <c:ser>
          <c:idx val="144"/>
          <c:order val="144"/>
          <c:tx>
            <c:strRef>
              <c:f>'グラフの数値データ（時系列）'!$B$147</c:f>
              <c:strCache>
                <c:ptCount val="1"/>
                <c:pt idx="0">
                  <c:v>行145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'グラフの数値データ（時系列）'!$C$147:$IW$147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BD8E-46F1-9B9C-AB47D64653C7}"/>
            </c:ext>
          </c:extLst>
        </c:ser>
        <c:ser>
          <c:idx val="145"/>
          <c:order val="145"/>
          <c:tx>
            <c:strRef>
              <c:f>'グラフの数値データ（時系列）'!$B$148</c:f>
              <c:strCache>
                <c:ptCount val="1"/>
                <c:pt idx="0">
                  <c:v>行146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'グラフの数値データ（時系列）'!$C$148:$IW$148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1-BD8E-46F1-9B9C-AB47D64653C7}"/>
            </c:ext>
          </c:extLst>
        </c:ser>
        <c:ser>
          <c:idx val="146"/>
          <c:order val="146"/>
          <c:tx>
            <c:strRef>
              <c:f>'グラフの数値データ（時系列）'!$B$149</c:f>
              <c:strCache>
                <c:ptCount val="1"/>
                <c:pt idx="0">
                  <c:v>行147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'グラフの数値データ（時系列）'!$C$149:$IW$149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BD8E-46F1-9B9C-AB47D64653C7}"/>
            </c:ext>
          </c:extLst>
        </c:ser>
        <c:ser>
          <c:idx val="147"/>
          <c:order val="147"/>
          <c:tx>
            <c:strRef>
              <c:f>'グラフの数値データ（時系列）'!$B$150</c:f>
              <c:strCache>
                <c:ptCount val="1"/>
                <c:pt idx="0">
                  <c:v>行148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'グラフの数値データ（時系列）'!$C$150:$IW$150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3-BD8E-46F1-9B9C-AB47D64653C7}"/>
            </c:ext>
          </c:extLst>
        </c:ser>
        <c:ser>
          <c:idx val="148"/>
          <c:order val="148"/>
          <c:tx>
            <c:strRef>
              <c:f>'グラフの数値データ（時系列）'!$B$151</c:f>
              <c:strCache>
                <c:ptCount val="1"/>
                <c:pt idx="0">
                  <c:v>行149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'グラフの数値データ（時系列）'!$C$151:$IW$151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BD8E-46F1-9B9C-AB47D64653C7}"/>
            </c:ext>
          </c:extLst>
        </c:ser>
        <c:ser>
          <c:idx val="149"/>
          <c:order val="149"/>
          <c:tx>
            <c:strRef>
              <c:f>'グラフの数値データ（時系列）'!$B$152</c:f>
              <c:strCache>
                <c:ptCount val="1"/>
                <c:pt idx="0">
                  <c:v>行150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'グラフの数値データ（時系列）'!$C$152:$IW$152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5-BD8E-46F1-9B9C-AB47D64653C7}"/>
            </c:ext>
          </c:extLst>
        </c:ser>
        <c:ser>
          <c:idx val="150"/>
          <c:order val="150"/>
          <c:tx>
            <c:strRef>
              <c:f>'グラフの数値データ（時系列）'!$B$153</c:f>
              <c:strCache>
                <c:ptCount val="1"/>
                <c:pt idx="0">
                  <c:v>行151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'グラフの数値データ（時系列）'!$C$153:$IW$153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BD8E-46F1-9B9C-AB47D64653C7}"/>
            </c:ext>
          </c:extLst>
        </c:ser>
        <c:ser>
          <c:idx val="151"/>
          <c:order val="151"/>
          <c:tx>
            <c:strRef>
              <c:f>'グラフの数値データ（時系列）'!$B$154</c:f>
              <c:strCache>
                <c:ptCount val="1"/>
                <c:pt idx="0">
                  <c:v>行152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'グラフの数値データ（時系列）'!$C$154:$IW$154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7-BD8E-46F1-9B9C-AB47D64653C7}"/>
            </c:ext>
          </c:extLst>
        </c:ser>
        <c:ser>
          <c:idx val="152"/>
          <c:order val="152"/>
          <c:tx>
            <c:strRef>
              <c:f>'グラフの数値データ（時系列）'!$B$155</c:f>
              <c:strCache>
                <c:ptCount val="1"/>
                <c:pt idx="0">
                  <c:v>行153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'グラフの数値データ（時系列）'!$C$155:$IW$155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BD8E-46F1-9B9C-AB47D64653C7}"/>
            </c:ext>
          </c:extLst>
        </c:ser>
        <c:ser>
          <c:idx val="153"/>
          <c:order val="153"/>
          <c:tx>
            <c:strRef>
              <c:f>'グラフの数値データ（時系列）'!$B$156</c:f>
              <c:strCache>
                <c:ptCount val="1"/>
                <c:pt idx="0">
                  <c:v>行154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'グラフの数値データ（時系列）'!$C$156:$IW$156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9-BD8E-46F1-9B9C-AB47D64653C7}"/>
            </c:ext>
          </c:extLst>
        </c:ser>
        <c:ser>
          <c:idx val="154"/>
          <c:order val="154"/>
          <c:tx>
            <c:strRef>
              <c:f>'グラフの数値データ（時系列）'!$B$157</c:f>
              <c:strCache>
                <c:ptCount val="1"/>
                <c:pt idx="0">
                  <c:v>行155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'グラフの数値データ（時系列）'!$C$157:$IW$157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BD8E-46F1-9B9C-AB47D64653C7}"/>
            </c:ext>
          </c:extLst>
        </c:ser>
        <c:ser>
          <c:idx val="155"/>
          <c:order val="155"/>
          <c:tx>
            <c:strRef>
              <c:f>'グラフの数値データ（時系列）'!$B$158</c:f>
              <c:strCache>
                <c:ptCount val="1"/>
                <c:pt idx="0">
                  <c:v>行156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'グラフの数値データ（時系列）'!$C$158:$IW$158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B-BD8E-46F1-9B9C-AB47D64653C7}"/>
            </c:ext>
          </c:extLst>
        </c:ser>
        <c:ser>
          <c:idx val="156"/>
          <c:order val="156"/>
          <c:tx>
            <c:strRef>
              <c:f>'グラフの数値データ（時系列）'!$B$159</c:f>
              <c:strCache>
                <c:ptCount val="1"/>
                <c:pt idx="0">
                  <c:v>行157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'グラフの数値データ（時系列）'!$C$159:$IW$159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BD8E-46F1-9B9C-AB47D64653C7}"/>
            </c:ext>
          </c:extLst>
        </c:ser>
        <c:ser>
          <c:idx val="157"/>
          <c:order val="157"/>
          <c:tx>
            <c:strRef>
              <c:f>'グラフの数値データ（時系列）'!$B$160</c:f>
              <c:strCache>
                <c:ptCount val="1"/>
                <c:pt idx="0">
                  <c:v>行158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'グラフの数値データ（時系列）'!$C$160:$IW$160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D-BD8E-46F1-9B9C-AB47D64653C7}"/>
            </c:ext>
          </c:extLst>
        </c:ser>
        <c:ser>
          <c:idx val="158"/>
          <c:order val="158"/>
          <c:tx>
            <c:strRef>
              <c:f>'グラフの数値データ（時系列）'!$B$161</c:f>
              <c:strCache>
                <c:ptCount val="1"/>
                <c:pt idx="0">
                  <c:v>行159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'グラフの数値データ（時系列）'!$C$161:$IW$161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BD8E-46F1-9B9C-AB47D64653C7}"/>
            </c:ext>
          </c:extLst>
        </c:ser>
        <c:ser>
          <c:idx val="159"/>
          <c:order val="159"/>
          <c:tx>
            <c:strRef>
              <c:f>'グラフの数値データ（時系列）'!$B$162</c:f>
              <c:strCache>
                <c:ptCount val="1"/>
                <c:pt idx="0">
                  <c:v>行160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'グラフの数値データ（時系列）'!$C$162:$IW$162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F-BD8E-46F1-9B9C-AB47D64653C7}"/>
            </c:ext>
          </c:extLst>
        </c:ser>
        <c:ser>
          <c:idx val="160"/>
          <c:order val="160"/>
          <c:tx>
            <c:strRef>
              <c:f>'グラフの数値データ（時系列）'!$B$163</c:f>
              <c:strCache>
                <c:ptCount val="1"/>
                <c:pt idx="0">
                  <c:v>行161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'グラフの数値データ（時系列）'!$C$163:$IW$163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BD8E-46F1-9B9C-AB47D64653C7}"/>
            </c:ext>
          </c:extLst>
        </c:ser>
        <c:ser>
          <c:idx val="161"/>
          <c:order val="161"/>
          <c:tx>
            <c:strRef>
              <c:f>'グラフの数値データ（時系列）'!$B$164</c:f>
              <c:strCache>
                <c:ptCount val="1"/>
                <c:pt idx="0">
                  <c:v>行162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'グラフの数値データ（時系列）'!$C$164:$IW$164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1-BD8E-46F1-9B9C-AB47D64653C7}"/>
            </c:ext>
          </c:extLst>
        </c:ser>
        <c:ser>
          <c:idx val="162"/>
          <c:order val="162"/>
          <c:tx>
            <c:strRef>
              <c:f>'グラフの数値データ（時系列）'!$B$165</c:f>
              <c:strCache>
                <c:ptCount val="1"/>
                <c:pt idx="0">
                  <c:v>行163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'グラフの数値データ（時系列）'!$C$165:$IW$165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BD8E-46F1-9B9C-AB47D64653C7}"/>
            </c:ext>
          </c:extLst>
        </c:ser>
        <c:ser>
          <c:idx val="163"/>
          <c:order val="163"/>
          <c:tx>
            <c:strRef>
              <c:f>'グラフの数値データ（時系列）'!$B$166</c:f>
              <c:strCache>
                <c:ptCount val="1"/>
                <c:pt idx="0">
                  <c:v>行164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'グラフの数値データ（時系列）'!$C$166:$IW$166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3-BD8E-46F1-9B9C-AB47D64653C7}"/>
            </c:ext>
          </c:extLst>
        </c:ser>
        <c:ser>
          <c:idx val="164"/>
          <c:order val="164"/>
          <c:tx>
            <c:strRef>
              <c:f>'グラフの数値データ（時系列）'!$B$167</c:f>
              <c:strCache>
                <c:ptCount val="1"/>
                <c:pt idx="0">
                  <c:v>行165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'グラフの数値データ（時系列）'!$C$167:$IW$167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BD8E-46F1-9B9C-AB47D64653C7}"/>
            </c:ext>
          </c:extLst>
        </c:ser>
        <c:ser>
          <c:idx val="165"/>
          <c:order val="165"/>
          <c:tx>
            <c:strRef>
              <c:f>'グラフの数値データ（時系列）'!$B$168</c:f>
              <c:strCache>
                <c:ptCount val="1"/>
                <c:pt idx="0">
                  <c:v>行166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'グラフの数値データ（時系列）'!$C$168:$IW$168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5-BD8E-46F1-9B9C-AB47D64653C7}"/>
            </c:ext>
          </c:extLst>
        </c:ser>
        <c:ser>
          <c:idx val="166"/>
          <c:order val="166"/>
          <c:tx>
            <c:strRef>
              <c:f>'グラフの数値データ（時系列）'!$B$169</c:f>
              <c:strCache>
                <c:ptCount val="1"/>
                <c:pt idx="0">
                  <c:v>行167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'グラフの数値データ（時系列）'!$C$169:$IW$169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BD8E-46F1-9B9C-AB47D64653C7}"/>
            </c:ext>
          </c:extLst>
        </c:ser>
        <c:ser>
          <c:idx val="167"/>
          <c:order val="167"/>
          <c:tx>
            <c:strRef>
              <c:f>'グラフの数値データ（時系列）'!$B$170</c:f>
              <c:strCache>
                <c:ptCount val="1"/>
                <c:pt idx="0">
                  <c:v>行168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'グラフの数値データ（時系列）'!$C$170:$IW$170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7-BD8E-46F1-9B9C-AB47D64653C7}"/>
            </c:ext>
          </c:extLst>
        </c:ser>
        <c:ser>
          <c:idx val="168"/>
          <c:order val="168"/>
          <c:tx>
            <c:strRef>
              <c:f>'グラフの数値データ（時系列）'!$B$171</c:f>
              <c:strCache>
                <c:ptCount val="1"/>
                <c:pt idx="0">
                  <c:v>行169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'グラフの数値データ（時系列）'!$C$171:$IW$171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BD8E-46F1-9B9C-AB47D64653C7}"/>
            </c:ext>
          </c:extLst>
        </c:ser>
        <c:ser>
          <c:idx val="169"/>
          <c:order val="169"/>
          <c:tx>
            <c:strRef>
              <c:f>'グラフの数値データ（時系列）'!$B$172</c:f>
              <c:strCache>
                <c:ptCount val="1"/>
                <c:pt idx="0">
                  <c:v>行170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'グラフの数値データ（時系列）'!$C$172:$IW$172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9-BD8E-46F1-9B9C-AB47D64653C7}"/>
            </c:ext>
          </c:extLst>
        </c:ser>
        <c:ser>
          <c:idx val="170"/>
          <c:order val="170"/>
          <c:tx>
            <c:strRef>
              <c:f>'グラフの数値データ（時系列）'!$B$173</c:f>
              <c:strCache>
                <c:ptCount val="1"/>
                <c:pt idx="0">
                  <c:v>行171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'グラフの数値データ（時系列）'!$C$173:$IW$173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BD8E-46F1-9B9C-AB47D64653C7}"/>
            </c:ext>
          </c:extLst>
        </c:ser>
        <c:ser>
          <c:idx val="171"/>
          <c:order val="171"/>
          <c:tx>
            <c:strRef>
              <c:f>'グラフの数値データ（時系列）'!$B$174</c:f>
              <c:strCache>
                <c:ptCount val="1"/>
                <c:pt idx="0">
                  <c:v>行172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'グラフの数値データ（時系列）'!$C$174:$IW$174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B-BD8E-46F1-9B9C-AB47D64653C7}"/>
            </c:ext>
          </c:extLst>
        </c:ser>
        <c:ser>
          <c:idx val="172"/>
          <c:order val="172"/>
          <c:tx>
            <c:strRef>
              <c:f>'グラフの数値データ（時系列）'!$B$175</c:f>
              <c:strCache>
                <c:ptCount val="1"/>
                <c:pt idx="0">
                  <c:v>行173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'グラフの数値データ（時系列）'!$C$175:$IW$175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BD8E-46F1-9B9C-AB47D64653C7}"/>
            </c:ext>
          </c:extLst>
        </c:ser>
        <c:ser>
          <c:idx val="173"/>
          <c:order val="173"/>
          <c:tx>
            <c:strRef>
              <c:f>'グラフの数値データ（時系列）'!$B$176</c:f>
              <c:strCache>
                <c:ptCount val="1"/>
                <c:pt idx="0">
                  <c:v>行174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'グラフの数値データ（時系列）'!$C$176:$IW$176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D-BD8E-46F1-9B9C-AB47D64653C7}"/>
            </c:ext>
          </c:extLst>
        </c:ser>
        <c:ser>
          <c:idx val="174"/>
          <c:order val="174"/>
          <c:tx>
            <c:strRef>
              <c:f>'グラフの数値データ（時系列）'!$B$177</c:f>
              <c:strCache>
                <c:ptCount val="1"/>
                <c:pt idx="0">
                  <c:v>行175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'グラフの数値データ（時系列）'!$C$177:$IW$177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BD8E-46F1-9B9C-AB47D64653C7}"/>
            </c:ext>
          </c:extLst>
        </c:ser>
        <c:ser>
          <c:idx val="175"/>
          <c:order val="175"/>
          <c:tx>
            <c:strRef>
              <c:f>'グラフの数値データ（時系列）'!$B$178</c:f>
              <c:strCache>
                <c:ptCount val="1"/>
                <c:pt idx="0">
                  <c:v>行176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'グラフの数値データ（時系列）'!$C$178:$IW$178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F-BD8E-46F1-9B9C-AB47D64653C7}"/>
            </c:ext>
          </c:extLst>
        </c:ser>
        <c:ser>
          <c:idx val="176"/>
          <c:order val="176"/>
          <c:tx>
            <c:strRef>
              <c:f>'グラフの数値データ（時系列）'!$B$179</c:f>
              <c:strCache>
                <c:ptCount val="1"/>
                <c:pt idx="0">
                  <c:v>行177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'グラフの数値データ（時系列）'!$C$179:$IW$179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BD8E-46F1-9B9C-AB47D64653C7}"/>
            </c:ext>
          </c:extLst>
        </c:ser>
        <c:ser>
          <c:idx val="177"/>
          <c:order val="177"/>
          <c:tx>
            <c:strRef>
              <c:f>'グラフの数値データ（時系列）'!$B$180</c:f>
              <c:strCache>
                <c:ptCount val="1"/>
                <c:pt idx="0">
                  <c:v>行178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'グラフの数値データ（時系列）'!$C$180:$IW$180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1-BD8E-46F1-9B9C-AB47D64653C7}"/>
            </c:ext>
          </c:extLst>
        </c:ser>
        <c:ser>
          <c:idx val="178"/>
          <c:order val="178"/>
          <c:tx>
            <c:strRef>
              <c:f>'グラフの数値データ（時系列）'!$B$181</c:f>
              <c:strCache>
                <c:ptCount val="1"/>
                <c:pt idx="0">
                  <c:v>行179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'グラフの数値データ（時系列）'!$C$181:$IW$181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BD8E-46F1-9B9C-AB47D64653C7}"/>
            </c:ext>
          </c:extLst>
        </c:ser>
        <c:ser>
          <c:idx val="179"/>
          <c:order val="179"/>
          <c:tx>
            <c:strRef>
              <c:f>'グラフの数値データ（時系列）'!$B$182</c:f>
              <c:strCache>
                <c:ptCount val="1"/>
                <c:pt idx="0">
                  <c:v>行180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'グラフの数値データ（時系列）'!$C$182:$IW$182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3-BD8E-46F1-9B9C-AB47D64653C7}"/>
            </c:ext>
          </c:extLst>
        </c:ser>
        <c:ser>
          <c:idx val="180"/>
          <c:order val="180"/>
          <c:tx>
            <c:strRef>
              <c:f>'グラフの数値データ（時系列）'!$B$183</c:f>
              <c:strCache>
                <c:ptCount val="1"/>
                <c:pt idx="0">
                  <c:v>行181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'グラフの数値データ（時系列）'!$C$183:$IW$183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BD8E-46F1-9B9C-AB47D64653C7}"/>
            </c:ext>
          </c:extLst>
        </c:ser>
        <c:ser>
          <c:idx val="181"/>
          <c:order val="181"/>
          <c:tx>
            <c:strRef>
              <c:f>'グラフの数値データ（時系列）'!$B$184</c:f>
              <c:strCache>
                <c:ptCount val="1"/>
                <c:pt idx="0">
                  <c:v>行182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'グラフの数値データ（時系列）'!$C$184:$IW$184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5-BD8E-46F1-9B9C-AB47D64653C7}"/>
            </c:ext>
          </c:extLst>
        </c:ser>
        <c:ser>
          <c:idx val="182"/>
          <c:order val="182"/>
          <c:tx>
            <c:strRef>
              <c:f>'グラフの数値データ（時系列）'!$B$185</c:f>
              <c:strCache>
                <c:ptCount val="1"/>
                <c:pt idx="0">
                  <c:v>行183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'グラフの数値データ（時系列）'!$C$185:$IW$185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BD8E-46F1-9B9C-AB47D64653C7}"/>
            </c:ext>
          </c:extLst>
        </c:ser>
        <c:ser>
          <c:idx val="183"/>
          <c:order val="183"/>
          <c:tx>
            <c:strRef>
              <c:f>'グラフの数値データ（時系列）'!$B$186</c:f>
              <c:strCache>
                <c:ptCount val="1"/>
                <c:pt idx="0">
                  <c:v>行184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'グラフの数値データ（時系列）'!$C$186:$IW$186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7-BD8E-46F1-9B9C-AB47D64653C7}"/>
            </c:ext>
          </c:extLst>
        </c:ser>
        <c:ser>
          <c:idx val="184"/>
          <c:order val="184"/>
          <c:tx>
            <c:strRef>
              <c:f>'グラフの数値データ（時系列）'!$B$187</c:f>
              <c:strCache>
                <c:ptCount val="1"/>
                <c:pt idx="0">
                  <c:v>行185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'グラフの数値データ（時系列）'!$C$187:$IW$187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BD8E-46F1-9B9C-AB47D64653C7}"/>
            </c:ext>
          </c:extLst>
        </c:ser>
        <c:ser>
          <c:idx val="185"/>
          <c:order val="185"/>
          <c:tx>
            <c:strRef>
              <c:f>'グラフの数値データ（時系列）'!$B$188</c:f>
              <c:strCache>
                <c:ptCount val="1"/>
                <c:pt idx="0">
                  <c:v>行186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'グラフの数値データ（時系列）'!$C$188:$IW$188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9-BD8E-46F1-9B9C-AB47D64653C7}"/>
            </c:ext>
          </c:extLst>
        </c:ser>
        <c:ser>
          <c:idx val="186"/>
          <c:order val="186"/>
          <c:tx>
            <c:strRef>
              <c:f>'グラフの数値データ（時系列）'!$B$189</c:f>
              <c:strCache>
                <c:ptCount val="1"/>
                <c:pt idx="0">
                  <c:v>行187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'グラフの数値データ（時系列）'!$C$189:$IW$189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BD8E-46F1-9B9C-AB47D64653C7}"/>
            </c:ext>
          </c:extLst>
        </c:ser>
        <c:ser>
          <c:idx val="187"/>
          <c:order val="187"/>
          <c:tx>
            <c:strRef>
              <c:f>'グラフの数値データ（時系列）'!$B$190</c:f>
              <c:strCache>
                <c:ptCount val="1"/>
                <c:pt idx="0">
                  <c:v>行188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'グラフの数値データ（時系列）'!$C$190:$IW$190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B-BD8E-46F1-9B9C-AB47D64653C7}"/>
            </c:ext>
          </c:extLst>
        </c:ser>
        <c:ser>
          <c:idx val="188"/>
          <c:order val="188"/>
          <c:tx>
            <c:strRef>
              <c:f>'グラフの数値データ（時系列）'!$B$191</c:f>
              <c:strCache>
                <c:ptCount val="1"/>
                <c:pt idx="0">
                  <c:v>行189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'グラフの数値データ（時系列）'!$C$191:$IW$191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BD8E-46F1-9B9C-AB47D64653C7}"/>
            </c:ext>
          </c:extLst>
        </c:ser>
        <c:ser>
          <c:idx val="189"/>
          <c:order val="189"/>
          <c:tx>
            <c:strRef>
              <c:f>'グラフの数値データ（時系列）'!$B$192</c:f>
              <c:strCache>
                <c:ptCount val="1"/>
                <c:pt idx="0">
                  <c:v>行190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'グラフの数値データ（時系列）'!$C$192:$IW$192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D-BD8E-46F1-9B9C-AB47D64653C7}"/>
            </c:ext>
          </c:extLst>
        </c:ser>
        <c:ser>
          <c:idx val="190"/>
          <c:order val="190"/>
          <c:tx>
            <c:strRef>
              <c:f>'グラフの数値データ（時系列）'!$B$193</c:f>
              <c:strCache>
                <c:ptCount val="1"/>
                <c:pt idx="0">
                  <c:v>行191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'グラフの数値データ（時系列）'!$C$193:$IW$193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BD8E-46F1-9B9C-AB47D64653C7}"/>
            </c:ext>
          </c:extLst>
        </c:ser>
        <c:ser>
          <c:idx val="191"/>
          <c:order val="191"/>
          <c:tx>
            <c:strRef>
              <c:f>'グラフの数値データ（時系列）'!$B$194</c:f>
              <c:strCache>
                <c:ptCount val="1"/>
                <c:pt idx="0">
                  <c:v>行192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'グラフの数値データ（時系列）'!$C$194:$IW$194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F-BD8E-46F1-9B9C-AB47D64653C7}"/>
            </c:ext>
          </c:extLst>
        </c:ser>
        <c:ser>
          <c:idx val="192"/>
          <c:order val="192"/>
          <c:tx>
            <c:strRef>
              <c:f>'グラフの数値データ（時系列）'!$B$195</c:f>
              <c:strCache>
                <c:ptCount val="1"/>
                <c:pt idx="0">
                  <c:v>行193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'グラフの数値データ（時系列）'!$C$195:$IW$195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BD8E-46F1-9B9C-AB47D64653C7}"/>
            </c:ext>
          </c:extLst>
        </c:ser>
        <c:ser>
          <c:idx val="193"/>
          <c:order val="193"/>
          <c:tx>
            <c:strRef>
              <c:f>'グラフの数値データ（時系列）'!$B$196</c:f>
              <c:strCache>
                <c:ptCount val="1"/>
                <c:pt idx="0">
                  <c:v>行194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'グラフの数値データ（時系列）'!$C$196:$IW$196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1-BD8E-46F1-9B9C-AB47D64653C7}"/>
            </c:ext>
          </c:extLst>
        </c:ser>
        <c:ser>
          <c:idx val="194"/>
          <c:order val="194"/>
          <c:tx>
            <c:strRef>
              <c:f>'グラフの数値データ（時系列）'!$B$197</c:f>
              <c:strCache>
                <c:ptCount val="1"/>
                <c:pt idx="0">
                  <c:v>行195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'グラフの数値データ（時系列）'!$C$197:$IW$197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BD8E-46F1-9B9C-AB47D64653C7}"/>
            </c:ext>
          </c:extLst>
        </c:ser>
        <c:ser>
          <c:idx val="195"/>
          <c:order val="195"/>
          <c:tx>
            <c:strRef>
              <c:f>'グラフの数値データ（時系列）'!$B$198</c:f>
              <c:strCache>
                <c:ptCount val="1"/>
                <c:pt idx="0">
                  <c:v>行196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'グラフの数値データ（時系列）'!$C$198:$IW$198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3-BD8E-46F1-9B9C-AB47D64653C7}"/>
            </c:ext>
          </c:extLst>
        </c:ser>
        <c:ser>
          <c:idx val="196"/>
          <c:order val="196"/>
          <c:tx>
            <c:strRef>
              <c:f>'グラフの数値データ（時系列）'!$B$199</c:f>
              <c:strCache>
                <c:ptCount val="1"/>
                <c:pt idx="0">
                  <c:v>行197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'グラフの数値データ（時系列）'!$C$199:$IW$199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BD8E-46F1-9B9C-AB47D64653C7}"/>
            </c:ext>
          </c:extLst>
        </c:ser>
        <c:ser>
          <c:idx val="197"/>
          <c:order val="197"/>
          <c:tx>
            <c:strRef>
              <c:f>'グラフの数値データ（時系列）'!$B$200</c:f>
              <c:strCache>
                <c:ptCount val="1"/>
                <c:pt idx="0">
                  <c:v>行198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'グラフの数値データ（時系列）'!$C$200:$IW$200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5-BD8E-46F1-9B9C-AB47D64653C7}"/>
            </c:ext>
          </c:extLst>
        </c:ser>
        <c:ser>
          <c:idx val="198"/>
          <c:order val="198"/>
          <c:tx>
            <c:strRef>
              <c:f>'グラフの数値データ（時系列）'!$B$201</c:f>
              <c:strCache>
                <c:ptCount val="1"/>
                <c:pt idx="0">
                  <c:v>行199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'グラフの数値データ（時系列）'!$C$201:$IW$201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BD8E-46F1-9B9C-AB47D64653C7}"/>
            </c:ext>
          </c:extLst>
        </c:ser>
        <c:ser>
          <c:idx val="199"/>
          <c:order val="199"/>
          <c:tx>
            <c:strRef>
              <c:f>'グラフの数値データ（時系列）'!$B$202</c:f>
              <c:strCache>
                <c:ptCount val="1"/>
                <c:pt idx="0">
                  <c:v>行200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'グラフの数値データ（時系列）'!$C$202:$IW$202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7-BD8E-46F1-9B9C-AB47D64653C7}"/>
            </c:ext>
          </c:extLst>
        </c:ser>
        <c:ser>
          <c:idx val="200"/>
          <c:order val="200"/>
          <c:tx>
            <c:strRef>
              <c:f>'グラフの数値データ（時系列）'!$B$203</c:f>
              <c:strCache>
                <c:ptCount val="1"/>
                <c:pt idx="0">
                  <c:v>行201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'グラフの数値データ（時系列）'!$C$203:$IW$203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BD8E-46F1-9B9C-AB47D64653C7}"/>
            </c:ext>
          </c:extLst>
        </c:ser>
        <c:ser>
          <c:idx val="201"/>
          <c:order val="201"/>
          <c:tx>
            <c:strRef>
              <c:f>'グラフの数値データ（時系列）'!$B$204</c:f>
              <c:strCache>
                <c:ptCount val="1"/>
                <c:pt idx="0">
                  <c:v>行202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'グラフの数値データ（時系列）'!$C$204:$IW$204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9-BD8E-46F1-9B9C-AB47D64653C7}"/>
            </c:ext>
          </c:extLst>
        </c:ser>
        <c:ser>
          <c:idx val="202"/>
          <c:order val="202"/>
          <c:tx>
            <c:strRef>
              <c:f>'グラフの数値データ（時系列）'!$B$205</c:f>
              <c:strCache>
                <c:ptCount val="1"/>
                <c:pt idx="0">
                  <c:v>行203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'グラフの数値データ（時系列）'!$C$205:$IW$205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BD8E-46F1-9B9C-AB47D64653C7}"/>
            </c:ext>
          </c:extLst>
        </c:ser>
        <c:ser>
          <c:idx val="203"/>
          <c:order val="203"/>
          <c:tx>
            <c:strRef>
              <c:f>'グラフの数値データ（時系列）'!$B$206</c:f>
              <c:strCache>
                <c:ptCount val="1"/>
                <c:pt idx="0">
                  <c:v>行204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'グラフの数値データ（時系列）'!$C$206:$IW$206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B-BD8E-46F1-9B9C-AB47D64653C7}"/>
            </c:ext>
          </c:extLst>
        </c:ser>
        <c:ser>
          <c:idx val="204"/>
          <c:order val="204"/>
          <c:tx>
            <c:strRef>
              <c:f>'グラフの数値データ（時系列）'!$B$207</c:f>
              <c:strCache>
                <c:ptCount val="1"/>
                <c:pt idx="0">
                  <c:v>行205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'グラフの数値データ（時系列）'!$C$207:$IW$207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BD8E-46F1-9B9C-AB47D64653C7}"/>
            </c:ext>
          </c:extLst>
        </c:ser>
        <c:ser>
          <c:idx val="205"/>
          <c:order val="205"/>
          <c:tx>
            <c:strRef>
              <c:f>'グラフの数値データ（時系列）'!$B$208</c:f>
              <c:strCache>
                <c:ptCount val="1"/>
                <c:pt idx="0">
                  <c:v>行206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'グラフの数値データ（時系列）'!$C$208:$IW$208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D-BD8E-46F1-9B9C-AB47D64653C7}"/>
            </c:ext>
          </c:extLst>
        </c:ser>
        <c:ser>
          <c:idx val="206"/>
          <c:order val="206"/>
          <c:tx>
            <c:strRef>
              <c:f>'グラフの数値データ（時系列）'!$B$209</c:f>
              <c:strCache>
                <c:ptCount val="1"/>
                <c:pt idx="0">
                  <c:v>行207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'グラフの数値データ（時系列）'!$C$209:$IW$209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BD8E-46F1-9B9C-AB47D64653C7}"/>
            </c:ext>
          </c:extLst>
        </c:ser>
        <c:ser>
          <c:idx val="207"/>
          <c:order val="207"/>
          <c:tx>
            <c:strRef>
              <c:f>'グラフの数値データ（時系列）'!$B$210</c:f>
              <c:strCache>
                <c:ptCount val="1"/>
                <c:pt idx="0">
                  <c:v>行208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'グラフの数値データ（時系列）'!$C$210:$IW$210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F-BD8E-46F1-9B9C-AB47D64653C7}"/>
            </c:ext>
          </c:extLst>
        </c:ser>
        <c:ser>
          <c:idx val="208"/>
          <c:order val="208"/>
          <c:tx>
            <c:strRef>
              <c:f>'グラフの数値データ（時系列）'!$B$211</c:f>
              <c:strCache>
                <c:ptCount val="1"/>
                <c:pt idx="0">
                  <c:v>行209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'グラフの数値データ（時系列）'!$C$211:$IW$211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BD8E-46F1-9B9C-AB47D64653C7}"/>
            </c:ext>
          </c:extLst>
        </c:ser>
        <c:ser>
          <c:idx val="209"/>
          <c:order val="209"/>
          <c:tx>
            <c:strRef>
              <c:f>'グラフの数値データ（時系列）'!$B$212</c:f>
              <c:strCache>
                <c:ptCount val="1"/>
                <c:pt idx="0">
                  <c:v>行210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'グラフの数値データ（時系列）'!$C$212:$IW$212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1-BD8E-46F1-9B9C-AB47D64653C7}"/>
            </c:ext>
          </c:extLst>
        </c:ser>
        <c:ser>
          <c:idx val="210"/>
          <c:order val="210"/>
          <c:tx>
            <c:strRef>
              <c:f>'グラフの数値データ（時系列）'!$B$213</c:f>
              <c:strCache>
                <c:ptCount val="1"/>
                <c:pt idx="0">
                  <c:v>行211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'グラフの数値データ（時系列）'!$C$213:$IW$213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BD8E-46F1-9B9C-AB47D64653C7}"/>
            </c:ext>
          </c:extLst>
        </c:ser>
        <c:ser>
          <c:idx val="211"/>
          <c:order val="211"/>
          <c:tx>
            <c:strRef>
              <c:f>'グラフの数値データ（時系列）'!$B$214</c:f>
              <c:strCache>
                <c:ptCount val="1"/>
                <c:pt idx="0">
                  <c:v>行212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'グラフの数値データ（時系列）'!$C$214:$IW$214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3-BD8E-46F1-9B9C-AB47D64653C7}"/>
            </c:ext>
          </c:extLst>
        </c:ser>
        <c:ser>
          <c:idx val="212"/>
          <c:order val="212"/>
          <c:tx>
            <c:strRef>
              <c:f>'グラフの数値データ（時系列）'!$B$215</c:f>
              <c:strCache>
                <c:ptCount val="1"/>
                <c:pt idx="0">
                  <c:v>行213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'グラフの数値データ（時系列）'!$C$215:$IW$215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BD8E-46F1-9B9C-AB47D64653C7}"/>
            </c:ext>
          </c:extLst>
        </c:ser>
        <c:ser>
          <c:idx val="213"/>
          <c:order val="213"/>
          <c:tx>
            <c:strRef>
              <c:f>'グラフの数値データ（時系列）'!$B$216</c:f>
              <c:strCache>
                <c:ptCount val="1"/>
                <c:pt idx="0">
                  <c:v>行214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'グラフの数値データ（時系列）'!$C$216:$IW$216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5-BD8E-46F1-9B9C-AB47D64653C7}"/>
            </c:ext>
          </c:extLst>
        </c:ser>
        <c:ser>
          <c:idx val="214"/>
          <c:order val="214"/>
          <c:tx>
            <c:strRef>
              <c:f>'グラフの数値データ（時系列）'!$B$217</c:f>
              <c:strCache>
                <c:ptCount val="1"/>
                <c:pt idx="0">
                  <c:v>行215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'グラフの数値データ（時系列）'!$C$217:$IW$217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BD8E-46F1-9B9C-AB47D64653C7}"/>
            </c:ext>
          </c:extLst>
        </c:ser>
        <c:ser>
          <c:idx val="215"/>
          <c:order val="215"/>
          <c:tx>
            <c:strRef>
              <c:f>'グラフの数値データ（時系列）'!$B$218</c:f>
              <c:strCache>
                <c:ptCount val="1"/>
                <c:pt idx="0">
                  <c:v>行216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'グラフの数値データ（時系列）'!$C$218:$IW$218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7-BD8E-46F1-9B9C-AB47D64653C7}"/>
            </c:ext>
          </c:extLst>
        </c:ser>
        <c:ser>
          <c:idx val="216"/>
          <c:order val="216"/>
          <c:tx>
            <c:strRef>
              <c:f>'グラフの数値データ（時系列）'!$B$219</c:f>
              <c:strCache>
                <c:ptCount val="1"/>
                <c:pt idx="0">
                  <c:v>行217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'グラフの数値データ（時系列）'!$C$219:$IW$219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BD8E-46F1-9B9C-AB47D64653C7}"/>
            </c:ext>
          </c:extLst>
        </c:ser>
        <c:ser>
          <c:idx val="217"/>
          <c:order val="217"/>
          <c:tx>
            <c:strRef>
              <c:f>'グラフの数値データ（時系列）'!$B$220</c:f>
              <c:strCache>
                <c:ptCount val="1"/>
                <c:pt idx="0">
                  <c:v>行218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'グラフの数値データ（時系列）'!$C$220:$IW$220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9-BD8E-46F1-9B9C-AB47D64653C7}"/>
            </c:ext>
          </c:extLst>
        </c:ser>
        <c:ser>
          <c:idx val="218"/>
          <c:order val="218"/>
          <c:tx>
            <c:strRef>
              <c:f>'グラフの数値データ（時系列）'!$B$221</c:f>
              <c:strCache>
                <c:ptCount val="1"/>
                <c:pt idx="0">
                  <c:v>行219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'グラフの数値データ（時系列）'!$C$221:$IW$221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BD8E-46F1-9B9C-AB47D64653C7}"/>
            </c:ext>
          </c:extLst>
        </c:ser>
        <c:ser>
          <c:idx val="219"/>
          <c:order val="219"/>
          <c:tx>
            <c:strRef>
              <c:f>'グラフの数値データ（時系列）'!$B$222</c:f>
              <c:strCache>
                <c:ptCount val="1"/>
                <c:pt idx="0">
                  <c:v>行220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'グラフの数値データ（時系列）'!$C$222:$IW$222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B-BD8E-46F1-9B9C-AB47D64653C7}"/>
            </c:ext>
          </c:extLst>
        </c:ser>
        <c:ser>
          <c:idx val="220"/>
          <c:order val="220"/>
          <c:tx>
            <c:strRef>
              <c:f>'グラフの数値データ（時系列）'!$B$223</c:f>
              <c:strCache>
                <c:ptCount val="1"/>
                <c:pt idx="0">
                  <c:v>行221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'グラフの数値データ（時系列）'!$C$223:$IW$223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BD8E-46F1-9B9C-AB47D64653C7}"/>
            </c:ext>
          </c:extLst>
        </c:ser>
        <c:ser>
          <c:idx val="221"/>
          <c:order val="221"/>
          <c:tx>
            <c:strRef>
              <c:f>'グラフの数値データ（時系列）'!$B$224</c:f>
              <c:strCache>
                <c:ptCount val="1"/>
                <c:pt idx="0">
                  <c:v>行222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'グラフの数値データ（時系列）'!$C$224:$IW$224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D-BD8E-46F1-9B9C-AB47D64653C7}"/>
            </c:ext>
          </c:extLst>
        </c:ser>
        <c:ser>
          <c:idx val="222"/>
          <c:order val="222"/>
          <c:tx>
            <c:strRef>
              <c:f>'グラフの数値データ（時系列）'!$B$225</c:f>
              <c:strCache>
                <c:ptCount val="1"/>
                <c:pt idx="0">
                  <c:v>行223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'グラフの数値データ（時系列）'!$C$225:$IW$225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BD8E-46F1-9B9C-AB47D64653C7}"/>
            </c:ext>
          </c:extLst>
        </c:ser>
        <c:ser>
          <c:idx val="223"/>
          <c:order val="223"/>
          <c:tx>
            <c:strRef>
              <c:f>'グラフの数値データ（時系列）'!$B$226</c:f>
              <c:strCache>
                <c:ptCount val="1"/>
                <c:pt idx="0">
                  <c:v>行224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'グラフの数値データ（時系列）'!$C$226:$IW$226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F-BD8E-46F1-9B9C-AB47D64653C7}"/>
            </c:ext>
          </c:extLst>
        </c:ser>
        <c:ser>
          <c:idx val="224"/>
          <c:order val="224"/>
          <c:tx>
            <c:strRef>
              <c:f>'グラフの数値データ（時系列）'!$B$227</c:f>
              <c:strCache>
                <c:ptCount val="1"/>
                <c:pt idx="0">
                  <c:v>行225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'グラフの数値データ（時系列）'!$C$227:$IW$227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BD8E-46F1-9B9C-AB47D64653C7}"/>
            </c:ext>
          </c:extLst>
        </c:ser>
        <c:ser>
          <c:idx val="225"/>
          <c:order val="225"/>
          <c:tx>
            <c:strRef>
              <c:f>'グラフの数値データ（時系列）'!$B$228</c:f>
              <c:strCache>
                <c:ptCount val="1"/>
                <c:pt idx="0">
                  <c:v>行226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'グラフの数値データ（時系列）'!$C$228:$IW$228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1-BD8E-46F1-9B9C-AB47D64653C7}"/>
            </c:ext>
          </c:extLst>
        </c:ser>
        <c:ser>
          <c:idx val="226"/>
          <c:order val="226"/>
          <c:tx>
            <c:strRef>
              <c:f>'グラフの数値データ（時系列）'!$B$229</c:f>
              <c:strCache>
                <c:ptCount val="1"/>
                <c:pt idx="0">
                  <c:v>行227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'グラフの数値データ（時系列）'!$C$229:$IW$229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BD8E-46F1-9B9C-AB47D64653C7}"/>
            </c:ext>
          </c:extLst>
        </c:ser>
        <c:ser>
          <c:idx val="227"/>
          <c:order val="227"/>
          <c:tx>
            <c:strRef>
              <c:f>'グラフの数値データ（時系列）'!$B$230</c:f>
              <c:strCache>
                <c:ptCount val="1"/>
                <c:pt idx="0">
                  <c:v>行228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'グラフの数値データ（時系列）'!$C$230:$IW$230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3-BD8E-46F1-9B9C-AB47D64653C7}"/>
            </c:ext>
          </c:extLst>
        </c:ser>
        <c:ser>
          <c:idx val="228"/>
          <c:order val="228"/>
          <c:tx>
            <c:strRef>
              <c:f>'グラフの数値データ（時系列）'!$B$231</c:f>
              <c:strCache>
                <c:ptCount val="1"/>
                <c:pt idx="0">
                  <c:v>行229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'グラフの数値データ（時系列）'!$C$231:$IW$231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BD8E-46F1-9B9C-AB47D64653C7}"/>
            </c:ext>
          </c:extLst>
        </c:ser>
        <c:ser>
          <c:idx val="229"/>
          <c:order val="229"/>
          <c:tx>
            <c:strRef>
              <c:f>'グラフの数値データ（時系列）'!$B$232</c:f>
              <c:strCache>
                <c:ptCount val="1"/>
                <c:pt idx="0">
                  <c:v>行230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'グラフの数値データ（時系列）'!$C$232:$IW$232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5-BD8E-46F1-9B9C-AB47D64653C7}"/>
            </c:ext>
          </c:extLst>
        </c:ser>
        <c:ser>
          <c:idx val="230"/>
          <c:order val="230"/>
          <c:tx>
            <c:strRef>
              <c:f>'グラフの数値データ（時系列）'!$B$233</c:f>
              <c:strCache>
                <c:ptCount val="1"/>
                <c:pt idx="0">
                  <c:v>行231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'グラフの数値データ（時系列）'!$C$233:$IW$233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BD8E-46F1-9B9C-AB47D64653C7}"/>
            </c:ext>
          </c:extLst>
        </c:ser>
        <c:ser>
          <c:idx val="231"/>
          <c:order val="231"/>
          <c:tx>
            <c:strRef>
              <c:f>'グラフの数値データ（時系列）'!$B$234</c:f>
              <c:strCache>
                <c:ptCount val="1"/>
                <c:pt idx="0">
                  <c:v>行232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'グラフの数値データ（時系列）'!$C$234:$IW$234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7-BD8E-46F1-9B9C-AB47D64653C7}"/>
            </c:ext>
          </c:extLst>
        </c:ser>
        <c:ser>
          <c:idx val="232"/>
          <c:order val="232"/>
          <c:tx>
            <c:strRef>
              <c:f>'グラフの数値データ（時系列）'!$B$235</c:f>
              <c:strCache>
                <c:ptCount val="1"/>
                <c:pt idx="0">
                  <c:v>行233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'グラフの数値データ（時系列）'!$C$235:$IW$235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BD8E-46F1-9B9C-AB47D64653C7}"/>
            </c:ext>
          </c:extLst>
        </c:ser>
        <c:ser>
          <c:idx val="233"/>
          <c:order val="233"/>
          <c:tx>
            <c:strRef>
              <c:f>'グラフの数値データ（時系列）'!$B$236</c:f>
              <c:strCache>
                <c:ptCount val="1"/>
                <c:pt idx="0">
                  <c:v>行234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'グラフの数値データ（時系列）'!$C$236:$IW$236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9-BD8E-46F1-9B9C-AB47D64653C7}"/>
            </c:ext>
          </c:extLst>
        </c:ser>
        <c:ser>
          <c:idx val="234"/>
          <c:order val="234"/>
          <c:tx>
            <c:strRef>
              <c:f>'グラフの数値データ（時系列）'!$B$237</c:f>
              <c:strCache>
                <c:ptCount val="1"/>
                <c:pt idx="0">
                  <c:v>行235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'グラフの数値データ（時系列）'!$C$237:$IW$237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BD8E-46F1-9B9C-AB47D64653C7}"/>
            </c:ext>
          </c:extLst>
        </c:ser>
        <c:ser>
          <c:idx val="235"/>
          <c:order val="235"/>
          <c:tx>
            <c:strRef>
              <c:f>'グラフの数値データ（時系列）'!$B$238</c:f>
              <c:strCache>
                <c:ptCount val="1"/>
                <c:pt idx="0">
                  <c:v>行236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'グラフの数値データ（時系列）'!$C$238:$IW$238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B-BD8E-46F1-9B9C-AB47D64653C7}"/>
            </c:ext>
          </c:extLst>
        </c:ser>
        <c:ser>
          <c:idx val="236"/>
          <c:order val="236"/>
          <c:tx>
            <c:strRef>
              <c:f>'グラフの数値データ（時系列）'!$B$239</c:f>
              <c:strCache>
                <c:ptCount val="1"/>
                <c:pt idx="0">
                  <c:v>行237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'グラフの数値データ（時系列）'!$C$239:$IW$239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BD8E-46F1-9B9C-AB47D64653C7}"/>
            </c:ext>
          </c:extLst>
        </c:ser>
        <c:ser>
          <c:idx val="237"/>
          <c:order val="237"/>
          <c:tx>
            <c:strRef>
              <c:f>'グラフの数値データ（時系列）'!$B$240</c:f>
              <c:strCache>
                <c:ptCount val="1"/>
                <c:pt idx="0">
                  <c:v>行238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'グラフの数値データ（時系列）'!$C$240:$IW$240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D-BD8E-46F1-9B9C-AB47D64653C7}"/>
            </c:ext>
          </c:extLst>
        </c:ser>
        <c:ser>
          <c:idx val="238"/>
          <c:order val="238"/>
          <c:tx>
            <c:strRef>
              <c:f>'グラフの数値データ（時系列）'!$B$241</c:f>
              <c:strCache>
                <c:ptCount val="1"/>
                <c:pt idx="0">
                  <c:v>行239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'グラフの数値データ（時系列）'!$C$241:$IW$241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BD8E-46F1-9B9C-AB47D64653C7}"/>
            </c:ext>
          </c:extLst>
        </c:ser>
        <c:ser>
          <c:idx val="239"/>
          <c:order val="239"/>
          <c:tx>
            <c:strRef>
              <c:f>'グラフの数値データ（時系列）'!$B$242</c:f>
              <c:strCache>
                <c:ptCount val="1"/>
                <c:pt idx="0">
                  <c:v>行240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'グラフの数値データ（時系列）'!$C$242:$IW$242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F-BD8E-46F1-9B9C-AB47D64653C7}"/>
            </c:ext>
          </c:extLst>
        </c:ser>
        <c:ser>
          <c:idx val="240"/>
          <c:order val="240"/>
          <c:tx>
            <c:strRef>
              <c:f>'グラフの数値データ（時系列）'!$B$243</c:f>
              <c:strCache>
                <c:ptCount val="1"/>
                <c:pt idx="0">
                  <c:v>行241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'グラフの数値データ（時系列）'!$C$243:$IW$243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BD8E-46F1-9B9C-AB47D64653C7}"/>
            </c:ext>
          </c:extLst>
        </c:ser>
        <c:ser>
          <c:idx val="241"/>
          <c:order val="241"/>
          <c:tx>
            <c:strRef>
              <c:f>'グラフの数値データ（時系列）'!$B$244</c:f>
              <c:strCache>
                <c:ptCount val="1"/>
                <c:pt idx="0">
                  <c:v>行242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'グラフの数値データ（時系列）'!$C$244:$IW$244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1-BD8E-46F1-9B9C-AB47D64653C7}"/>
            </c:ext>
          </c:extLst>
        </c:ser>
        <c:ser>
          <c:idx val="242"/>
          <c:order val="242"/>
          <c:tx>
            <c:strRef>
              <c:f>'グラフの数値データ（時系列）'!$B$245</c:f>
              <c:strCache>
                <c:ptCount val="1"/>
                <c:pt idx="0">
                  <c:v>行243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'グラフの数値データ（時系列）'!$C$245:$IW$245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BD8E-46F1-9B9C-AB47D64653C7}"/>
            </c:ext>
          </c:extLst>
        </c:ser>
        <c:ser>
          <c:idx val="243"/>
          <c:order val="243"/>
          <c:tx>
            <c:strRef>
              <c:f>'グラフの数値データ（時系列）'!$B$246</c:f>
              <c:strCache>
                <c:ptCount val="1"/>
                <c:pt idx="0">
                  <c:v>行244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'グラフの数値データ（時系列）'!$C$246:$IW$246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3-BD8E-46F1-9B9C-AB47D64653C7}"/>
            </c:ext>
          </c:extLst>
        </c:ser>
        <c:ser>
          <c:idx val="244"/>
          <c:order val="244"/>
          <c:tx>
            <c:strRef>
              <c:f>'グラフの数値データ（時系列）'!$B$247</c:f>
              <c:strCache>
                <c:ptCount val="1"/>
                <c:pt idx="0">
                  <c:v>行245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'グラフの数値データ（時系列）'!$C$247:$IW$247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BD8E-46F1-9B9C-AB47D64653C7}"/>
            </c:ext>
          </c:extLst>
        </c:ser>
        <c:ser>
          <c:idx val="245"/>
          <c:order val="245"/>
          <c:tx>
            <c:strRef>
              <c:f>'グラフの数値データ（時系列）'!$B$248</c:f>
              <c:strCache>
                <c:ptCount val="1"/>
                <c:pt idx="0">
                  <c:v>行246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'グラフの数値データ（時系列）'!$C$248:$IW$248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5-BD8E-46F1-9B9C-AB47D64653C7}"/>
            </c:ext>
          </c:extLst>
        </c:ser>
        <c:ser>
          <c:idx val="246"/>
          <c:order val="246"/>
          <c:tx>
            <c:strRef>
              <c:f>'グラフの数値データ（時系列）'!$B$249</c:f>
              <c:strCache>
                <c:ptCount val="1"/>
                <c:pt idx="0">
                  <c:v>行247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'グラフの数値データ（時系列）'!$C$249:$IW$249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6-BD8E-46F1-9B9C-AB47D64653C7}"/>
            </c:ext>
          </c:extLst>
        </c:ser>
        <c:ser>
          <c:idx val="247"/>
          <c:order val="247"/>
          <c:tx>
            <c:strRef>
              <c:f>'グラフの数値データ（時系列）'!$B$250</c:f>
              <c:strCache>
                <c:ptCount val="1"/>
                <c:pt idx="0">
                  <c:v>行248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'グラフの数値データ（時系列）'!$C$250:$IW$250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7-BD8E-46F1-9B9C-AB47D64653C7}"/>
            </c:ext>
          </c:extLst>
        </c:ser>
        <c:ser>
          <c:idx val="248"/>
          <c:order val="248"/>
          <c:tx>
            <c:strRef>
              <c:f>'グラフの数値データ（時系列）'!$B$251</c:f>
              <c:strCache>
                <c:ptCount val="1"/>
                <c:pt idx="0">
                  <c:v>行249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'グラフの数値データ（時系列）'!$C$251:$IW$251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8-BD8E-46F1-9B9C-AB47D64653C7}"/>
            </c:ext>
          </c:extLst>
        </c:ser>
        <c:ser>
          <c:idx val="249"/>
          <c:order val="249"/>
          <c:tx>
            <c:strRef>
              <c:f>'グラフの数値データ（時系列）'!$B$252</c:f>
              <c:strCache>
                <c:ptCount val="1"/>
                <c:pt idx="0">
                  <c:v>行250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'グラフの数値データ（時系列）'!$C$252:$IW$252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9-BD8E-46F1-9B9C-AB47D64653C7}"/>
            </c:ext>
          </c:extLst>
        </c:ser>
        <c:ser>
          <c:idx val="250"/>
          <c:order val="250"/>
          <c:tx>
            <c:strRef>
              <c:f>'グラフの数値データ（時系列）'!$B$253</c:f>
              <c:strCache>
                <c:ptCount val="1"/>
                <c:pt idx="0">
                  <c:v>行251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'グラフの数値データ（時系列）'!$C$253:$IW$253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A-BD8E-46F1-9B9C-AB47D64653C7}"/>
            </c:ext>
          </c:extLst>
        </c:ser>
        <c:ser>
          <c:idx val="251"/>
          <c:order val="251"/>
          <c:tx>
            <c:strRef>
              <c:f>'グラフの数値データ（時系列）'!$B$254</c:f>
              <c:strCache>
                <c:ptCount val="1"/>
                <c:pt idx="0">
                  <c:v>行252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'グラフの数値データ（時系列）'!$C$254:$IW$254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B-BD8E-46F1-9B9C-AB47D64653C7}"/>
            </c:ext>
          </c:extLst>
        </c:ser>
        <c:ser>
          <c:idx val="252"/>
          <c:order val="252"/>
          <c:tx>
            <c:strRef>
              <c:f>'グラフの数値データ（時系列）'!$B$255</c:f>
              <c:strCache>
                <c:ptCount val="1"/>
                <c:pt idx="0">
                  <c:v>行253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'グラフの数値データ（時系列）'!$C$255:$IW$255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C-BD8E-46F1-9B9C-AB47D64653C7}"/>
            </c:ext>
          </c:extLst>
        </c:ser>
        <c:ser>
          <c:idx val="253"/>
          <c:order val="253"/>
          <c:tx>
            <c:strRef>
              <c:f>'グラフの数値データ（時系列）'!$B$256</c:f>
              <c:strCache>
                <c:ptCount val="1"/>
                <c:pt idx="0">
                  <c:v>行254</c:v>
                </c:pt>
              </c:strCache>
            </c:strRef>
          </c:tx>
          <c:spPr>
            <a:ln w="28575" cap="rnd" cmpd="sng" algn="ctr">
              <a:solidFill>
                <a:srgbClr val="3333CC"/>
              </a:solidFill>
              <a:prstDash val="solid"/>
              <a:round/>
            </a:ln>
            <a:effectLst/>
          </c:spPr>
          <c:marker>
            <c:symbol val="square"/>
            <c:size val="7"/>
            <c:spPr>
              <a:solidFill>
                <a:srgbClr val="3333CC"/>
              </a:solidFill>
              <a:ln w="9525" cap="flat" cmpd="sng" algn="ctr">
                <a:solidFill>
                  <a:srgbClr val="3333CC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'グラフの数値データ（時系列）'!$C$256:$IW$256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D-BD8E-46F1-9B9C-AB47D64653C7}"/>
            </c:ext>
          </c:extLst>
        </c:ser>
        <c:ser>
          <c:idx val="254"/>
          <c:order val="254"/>
          <c:tx>
            <c:strRef>
              <c:f>'グラフの数値データ（時系列）'!$B$257</c:f>
              <c:strCache>
                <c:ptCount val="1"/>
                <c:pt idx="0">
                  <c:v>行255</c:v>
                </c:pt>
              </c:strCache>
            </c:strRef>
          </c:tx>
          <c:spPr>
            <a:ln w="28575" cap="rnd" cmpd="sng" algn="ctr">
              <a:solidFill>
                <a:srgbClr val="690135"/>
              </a:solidFill>
              <a:prstDash val="solid"/>
              <a:round/>
            </a:ln>
            <a:effectLst/>
          </c:spPr>
          <c:marker>
            <c:symbol val="triangle"/>
            <c:size val="7"/>
            <c:spPr>
              <a:solidFill>
                <a:srgbClr val="690135"/>
              </a:solidFill>
              <a:ln w="9525" cap="flat" cmpd="sng" algn="ctr">
                <a:solidFill>
                  <a:srgbClr val="690135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'グラフの数値データ（時系列）'!$C$257:$IW$257</c:f>
              <c:numCache>
                <c:formatCode>#,##0.0_ 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E-BD8E-46F1-9B9C-AB47D64653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0600608"/>
        <c:axId val="450601168"/>
      </c:lineChart>
      <c:catAx>
        <c:axId val="4506006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450601168"/>
        <c:crosses val="autoZero"/>
        <c:auto val="1"/>
        <c:lblAlgn val="ctr"/>
        <c:lblOffset val="100"/>
        <c:tickLblSkip val="1"/>
        <c:noMultiLvlLbl val="0"/>
      </c:catAx>
      <c:valAx>
        <c:axId val="45060116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450600608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0973853056465472"/>
          <c:y val="0.15190043523026625"/>
          <c:w val="0.63170159686363403"/>
          <c:h val="0.1047307823802556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20</xdr:col>
      <xdr:colOff>0</xdr:colOff>
      <xdr:row>31</xdr:row>
      <xdr:rowOff>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71441</xdr:colOff>
      <xdr:row>1</xdr:row>
      <xdr:rowOff>71438</xdr:rowOff>
    </xdr:from>
    <xdr:to>
      <xdr:col>1</xdr:col>
      <xdr:colOff>488160</xdr:colOff>
      <xdr:row>27</xdr:row>
      <xdr:rowOff>83344</xdr:rowOff>
    </xdr:to>
    <xdr:sp macro="" textlink="'グラフ設定（時系列）'!$F$2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71504" y="273844"/>
          <a:ext cx="416719" cy="52744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C2FEFD16-2180-4EAF-B9B8-F55889DF54FF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（）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0.00591</cdr:x>
      <cdr:y>0.88419</cdr:y>
    </cdr:from>
    <cdr:to>
      <cdr:x>0.81999</cdr:x>
      <cdr:y>0.94654</cdr:y>
    </cdr:to>
    <cdr:sp macro="" textlink="'グラフ設定（時系列）'!$B$2">
      <cdr:nvSpPr>
        <cdr:cNvPr id="2" name="テキスト ボックス 1"/>
        <cdr:cNvSpPr txBox="1"/>
      </cdr:nvSpPr>
      <cdr:spPr>
        <a:xfrm xmlns:a="http://schemas.openxmlformats.org/drawingml/2006/main">
          <a:off x="56820" y="5329506"/>
          <a:ext cx="7826807" cy="37581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85BB1A13-4201-43E3-875E-29BB332C91E4}" type="TxLink">
            <a:rPr kumimoji="1" lang="en-US" altLang="en-US" sz="800" b="0" i="0" u="none" strike="noStrike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pPr/>
            <a:t>（注目する地域）</a:t>
          </a:fld>
          <a:endParaRPr kumimoji="1" lang="en-US" altLang="en-US" sz="8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0.00558</cdr:x>
      <cdr:y>0.91657</cdr:y>
    </cdr:from>
    <cdr:to>
      <cdr:x>0.98194</cdr:x>
      <cdr:y>0.97892</cdr:y>
    </cdr:to>
    <cdr:sp macro="" textlink="'グラフ設定（時系列）'!$J$2">
      <cdr:nvSpPr>
        <cdr:cNvPr id="3" name="テキスト ボックス 2"/>
        <cdr:cNvSpPr txBox="1"/>
      </cdr:nvSpPr>
      <cdr:spPr>
        <a:xfrm xmlns:a="http://schemas.openxmlformats.org/drawingml/2006/main">
          <a:off x="53401" y="5540430"/>
          <a:ext cx="9344540" cy="37688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B62F7CB3-9838-4B82-AB23-2476939F457A}" type="TxLink">
            <a:rPr kumimoji="1" lang="en-US" altLang="en-US" sz="800" b="0" i="0" u="none" strike="noStrike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pPr/>
            <a:t>（出典）</a:t>
          </a:fld>
          <a:endParaRPr kumimoji="1" lang="ja-JP" altLang="en-US" sz="8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5" tint="0.39997558519241921"/>
  </sheetPr>
  <dimension ref="A1:C23"/>
  <sheetViews>
    <sheetView tabSelected="1" view="pageBreakPreview" zoomScale="80" zoomScaleNormal="100" zoomScaleSheetLayoutView="8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6384" style="1" width="6.625" collapsed="false"/>
  </cols>
  <sheetData>
    <row r="1" spans="1:1" x14ac:dyDescent="0.15">
      <c r="A1" s="1" t="str">
        <f>IF('表形式（時系列）'!A1="","",'表形式（時系列）'!A1)</f>
        <v>出力日:2026/08/04</v>
      </c>
    </row>
    <row r="23" spans="2:2" x14ac:dyDescent="0.15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5" tint="0.39997558519241921"/>
  </sheetPr>
  <dimension ref="B2:IX259"/>
  <sheetViews>
    <sheetView zoomScaleNormal="100" workbookViewId="0"/>
  </sheetViews>
  <sheetFormatPr defaultRowHeight="18.75" x14ac:dyDescent="0.15"/>
  <cols>
    <col min="257" max="257" customWidth="true" style="3" width="14.625" collapsed="true" hidden="true"/>
    <col min="256" max="256" customWidth="true" style="3" width="14.625" collapsed="true" hidden="true"/>
    <col min="255" max="255" customWidth="true" style="3" width="14.625" collapsed="true" hidden="true"/>
    <col min="254" max="254" customWidth="true" style="3" width="14.625" collapsed="true" hidden="true"/>
    <col min="253" max="253" customWidth="true" style="3" width="14.625" collapsed="true" hidden="true"/>
    <col min="252" max="252" customWidth="true" style="3" width="14.625" collapsed="true" hidden="true"/>
    <col min="251" max="251" customWidth="true" style="3" width="14.625" collapsed="true" hidden="true"/>
    <col min="250" max="250" customWidth="true" style="3" width="14.625" collapsed="true" hidden="true"/>
    <col min="249" max="249" customWidth="true" style="3" width="14.625" collapsed="true" hidden="true"/>
    <col min="248" max="248" customWidth="true" style="3" width="14.625" collapsed="true" hidden="true"/>
    <col min="247" max="247" customWidth="true" style="3" width="14.625" collapsed="true" hidden="true"/>
    <col min="246" max="246" customWidth="true" style="3" width="14.625" collapsed="true" hidden="true"/>
    <col min="245" max="245" customWidth="true" style="3" width="14.625" collapsed="true" hidden="true"/>
    <col min="244" max="244" customWidth="true" style="3" width="14.625" collapsed="true" hidden="true"/>
    <col min="243" max="243" customWidth="true" style="3" width="14.625" collapsed="true" hidden="true"/>
    <col min="242" max="242" customWidth="true" style="3" width="14.625" collapsed="true" hidden="true"/>
    <col min="241" max="241" customWidth="true" style="3" width="14.625" collapsed="true" hidden="true"/>
    <col min="240" max="240" customWidth="true" style="3" width="14.625" collapsed="true" hidden="true"/>
    <col min="239" max="239" customWidth="true" style="3" width="14.625" collapsed="true" hidden="true"/>
    <col min="238" max="238" customWidth="true" style="3" width="14.625" collapsed="true" hidden="true"/>
    <col min="237" max="237" customWidth="true" style="3" width="14.625" collapsed="true" hidden="true"/>
    <col min="236" max="236" customWidth="true" style="3" width="14.625" collapsed="true" hidden="true"/>
    <col min="235" max="235" customWidth="true" style="3" width="14.625" collapsed="true" hidden="true"/>
    <col min="234" max="234" customWidth="true" style="3" width="14.625" collapsed="true" hidden="true"/>
    <col min="233" max="233" customWidth="true" style="3" width="14.625" collapsed="true" hidden="true"/>
    <col min="232" max="232" customWidth="true" style="3" width="14.625" collapsed="true" hidden="true"/>
    <col min="231" max="231" customWidth="true" style="3" width="14.625" collapsed="true" hidden="true"/>
    <col min="230" max="230" customWidth="true" style="3" width="14.625" collapsed="true" hidden="true"/>
    <col min="229" max="229" customWidth="true" style="3" width="14.625" collapsed="true" hidden="true"/>
    <col min="228" max="228" customWidth="true" style="3" width="14.625" collapsed="true" hidden="true"/>
    <col min="227" max="227" customWidth="true" style="3" width="14.625" collapsed="true" hidden="true"/>
    <col min="226" max="226" customWidth="true" style="3" width="14.625" collapsed="true" hidden="true"/>
    <col min="225" max="225" customWidth="true" style="3" width="14.625" collapsed="true" hidden="true"/>
    <col min="224" max="224" customWidth="true" style="3" width="14.625" collapsed="true" hidden="true"/>
    <col min="223" max="223" customWidth="true" style="3" width="14.625" collapsed="true" hidden="true"/>
    <col min="222" max="222" customWidth="true" style="3" width="14.625" collapsed="true" hidden="true"/>
    <col min="221" max="221" customWidth="true" style="3" width="14.625" collapsed="true" hidden="true"/>
    <col min="220" max="220" customWidth="true" style="3" width="14.625" collapsed="true" hidden="true"/>
    <col min="219" max="219" customWidth="true" style="3" width="14.625" collapsed="true" hidden="true"/>
    <col min="218" max="218" customWidth="true" style="3" width="14.625" collapsed="true" hidden="true"/>
    <col min="217" max="217" customWidth="true" style="3" width="14.625" collapsed="true" hidden="true"/>
    <col min="216" max="216" customWidth="true" style="3" width="14.625" collapsed="true" hidden="true"/>
    <col min="215" max="215" customWidth="true" style="3" width="14.625" collapsed="true" hidden="true"/>
    <col min="214" max="214" customWidth="true" style="3" width="14.625" collapsed="true" hidden="true"/>
    <col min="213" max="213" customWidth="true" style="3" width="14.625" collapsed="true" hidden="true"/>
    <col min="212" max="212" customWidth="true" style="3" width="14.625" collapsed="true" hidden="true"/>
    <col min="211" max="211" customWidth="true" style="3" width="14.625" collapsed="true" hidden="true"/>
    <col min="210" max="210" customWidth="true" style="3" width="14.625" collapsed="true" hidden="true"/>
    <col min="209" max="209" customWidth="true" style="3" width="14.625" collapsed="true" hidden="true"/>
    <col min="208" max="208" customWidth="true" style="3" width="14.625" collapsed="true" hidden="true"/>
    <col min="207" max="207" customWidth="true" style="3" width="14.625" collapsed="true" hidden="true"/>
    <col min="206" max="206" customWidth="true" style="3" width="14.625" collapsed="true" hidden="true"/>
    <col min="205" max="205" customWidth="true" style="3" width="14.625" collapsed="true" hidden="true"/>
    <col min="204" max="204" customWidth="true" style="3" width="14.625" collapsed="true" hidden="true"/>
    <col min="203" max="203" customWidth="true" style="3" width="14.625" collapsed="true" hidden="true"/>
    <col min="202" max="202" customWidth="true" style="3" width="14.625" collapsed="true" hidden="true"/>
    <col min="201" max="201" customWidth="true" style="3" width="14.625" collapsed="true" hidden="true"/>
    <col min="200" max="200" customWidth="true" style="3" width="14.625" collapsed="true" hidden="true"/>
    <col min="199" max="199" customWidth="true" style="3" width="14.625" collapsed="true" hidden="true"/>
    <col min="198" max="198" customWidth="true" style="3" width="14.625" collapsed="true" hidden="true"/>
    <col min="197" max="197" customWidth="true" style="3" width="14.625" collapsed="true" hidden="true"/>
    <col min="196" max="196" customWidth="true" style="3" width="14.625" collapsed="true" hidden="true"/>
    <col min="195" max="195" customWidth="true" style="3" width="14.625" collapsed="true" hidden="true"/>
    <col min="194" max="194" customWidth="true" style="3" width="14.625" collapsed="true" hidden="true"/>
    <col min="193" max="193" customWidth="true" style="3" width="14.625" collapsed="true" hidden="true"/>
    <col min="192" max="192" customWidth="true" style="3" width="14.625" collapsed="true" hidden="true"/>
    <col min="191" max="191" customWidth="true" style="3" width="14.625" collapsed="true" hidden="true"/>
    <col min="190" max="190" customWidth="true" style="3" width="14.625" collapsed="true" hidden="true"/>
    <col min="189" max="189" customWidth="true" style="3" width="14.625" collapsed="true" hidden="true"/>
    <col min="188" max="188" customWidth="true" style="3" width="14.625" collapsed="true" hidden="true"/>
    <col min="187" max="187" customWidth="true" style="3" width="14.625" collapsed="true" hidden="true"/>
    <col min="186" max="186" customWidth="true" style="3" width="14.625" collapsed="true" hidden="true"/>
    <col min="185" max="185" customWidth="true" style="3" width="14.625" collapsed="true" hidden="true"/>
    <col min="184" max="184" customWidth="true" style="3" width="14.625" collapsed="true" hidden="true"/>
    <col min="183" max="183" customWidth="true" style="3" width="14.625" collapsed="true" hidden="true"/>
    <col min="182" max="182" customWidth="true" style="3" width="14.625" collapsed="true" hidden="true"/>
    <col min="181" max="181" customWidth="true" style="3" width="14.625" collapsed="true" hidden="true"/>
    <col min="180" max="180" customWidth="true" style="3" width="14.625" collapsed="true" hidden="true"/>
    <col min="179" max="179" customWidth="true" style="3" width="14.625" collapsed="true" hidden="true"/>
    <col min="178" max="178" customWidth="true" style="3" width="14.625" collapsed="true" hidden="true"/>
    <col min="177" max="177" customWidth="true" style="3" width="14.625" collapsed="true" hidden="true"/>
    <col min="176" max="176" customWidth="true" style="3" width="14.625" collapsed="true" hidden="true"/>
    <col min="175" max="175" customWidth="true" style="3" width="14.625" collapsed="true" hidden="true"/>
    <col min="174" max="174" customWidth="true" style="3" width="14.625" collapsed="true" hidden="true"/>
    <col min="173" max="173" customWidth="true" style="3" width="14.625" collapsed="true" hidden="true"/>
    <col min="172" max="172" customWidth="true" style="3" width="14.625" collapsed="true" hidden="true"/>
    <col min="171" max="171" customWidth="true" style="3" width="14.625" collapsed="true" hidden="true"/>
    <col min="170" max="170" customWidth="true" style="3" width="14.625" collapsed="true" hidden="true"/>
    <col min="169" max="169" customWidth="true" style="3" width="14.625" collapsed="true" hidden="true"/>
    <col min="168" max="168" customWidth="true" style="3" width="14.625" collapsed="true" hidden="true"/>
    <col min="167" max="167" customWidth="true" style="3" width="14.625" collapsed="true" hidden="true"/>
    <col min="166" max="166" customWidth="true" style="3" width="14.625" collapsed="true" hidden="true"/>
    <col min="165" max="165" customWidth="true" style="3" width="14.625" collapsed="true" hidden="true"/>
    <col min="164" max="164" customWidth="true" style="3" width="14.625" collapsed="true" hidden="true"/>
    <col min="163" max="163" customWidth="true" style="3" width="14.625" collapsed="true" hidden="true"/>
    <col min="162" max="162" customWidth="true" style="3" width="14.625" collapsed="true" hidden="true"/>
    <col min="161" max="161" customWidth="true" style="3" width="14.625" collapsed="true" hidden="true"/>
    <col min="160" max="160" customWidth="true" style="3" width="14.625" collapsed="true" hidden="true"/>
    <col min="159" max="159" customWidth="true" style="3" width="14.625" collapsed="true" hidden="true"/>
    <col min="158" max="158" customWidth="true" style="3" width="14.625" collapsed="true" hidden="true"/>
    <col min="157" max="157" customWidth="true" style="3" width="14.625" collapsed="true" hidden="true"/>
    <col min="156" max="156" customWidth="true" style="3" width="14.625" collapsed="true" hidden="true"/>
    <col min="155" max="155" customWidth="true" style="3" width="14.625" collapsed="true" hidden="true"/>
    <col min="154" max="154" customWidth="true" style="3" width="14.625" collapsed="true" hidden="true"/>
    <col min="153" max="153" customWidth="true" style="3" width="14.625" collapsed="true" hidden="true"/>
    <col min="152" max="152" customWidth="true" style="3" width="14.625" collapsed="true" hidden="true"/>
    <col min="151" max="151" customWidth="true" style="3" width="14.625" collapsed="true" hidden="true"/>
    <col min="150" max="150" customWidth="true" style="3" width="14.625" collapsed="true" hidden="true"/>
    <col min="149" max="149" customWidth="true" style="3" width="14.625" collapsed="true" hidden="true"/>
    <col min="148" max="148" customWidth="true" style="3" width="14.625" collapsed="true" hidden="true"/>
    <col min="147" max="147" customWidth="true" style="3" width="14.625" collapsed="true" hidden="true"/>
    <col min="146" max="146" customWidth="true" style="3" width="14.625" collapsed="true" hidden="true"/>
    <col min="145" max="145" customWidth="true" style="3" width="14.625" collapsed="true" hidden="true"/>
    <col min="144" max="144" customWidth="true" style="3" width="14.625" collapsed="true" hidden="true"/>
    <col min="143" max="143" customWidth="true" style="3" width="14.625" collapsed="true" hidden="true"/>
    <col min="142" max="142" customWidth="true" style="3" width="14.625" collapsed="true" hidden="true"/>
    <col min="141" max="141" customWidth="true" style="3" width="14.625" collapsed="true" hidden="true"/>
    <col min="140" max="140" customWidth="true" style="3" width="14.625" collapsed="true" hidden="true"/>
    <col min="139" max="139" customWidth="true" style="3" width="14.625" collapsed="true" hidden="true"/>
    <col min="138" max="138" customWidth="true" style="3" width="14.625" collapsed="true" hidden="true"/>
    <col min="137" max="137" customWidth="true" style="3" width="14.625" collapsed="true" hidden="true"/>
    <col min="136" max="136" customWidth="true" style="3" width="14.625" collapsed="true" hidden="true"/>
    <col min="135" max="135" customWidth="true" style="3" width="14.625" collapsed="true" hidden="true"/>
    <col min="134" max="134" customWidth="true" style="3" width="14.625" collapsed="true" hidden="true"/>
    <col min="133" max="133" customWidth="true" style="3" width="14.625" collapsed="true" hidden="true"/>
    <col min="132" max="132" customWidth="true" style="3" width="14.625" collapsed="true" hidden="true"/>
    <col min="131" max="131" customWidth="true" style="3" width="14.625" collapsed="true" hidden="true"/>
    <col min="130" max="130" customWidth="true" style="3" width="14.625" collapsed="true" hidden="true"/>
    <col min="129" max="129" customWidth="true" style="3" width="14.625" collapsed="true" hidden="true"/>
    <col min="128" max="128" customWidth="true" style="3" width="14.625" collapsed="true" hidden="true"/>
    <col min="127" max="127" customWidth="true" style="3" width="14.625" collapsed="true" hidden="true"/>
    <col min="126" max="126" customWidth="true" style="3" width="14.625" collapsed="true" hidden="true"/>
    <col min="125" max="125" customWidth="true" style="3" width="14.625" collapsed="true" hidden="true"/>
    <col min="124" max="124" customWidth="true" style="3" width="14.625" collapsed="true" hidden="true"/>
    <col min="123" max="123" customWidth="true" style="3" width="14.625" collapsed="true" hidden="true"/>
    <col min="122" max="122" customWidth="true" style="3" width="14.625" collapsed="true" hidden="true"/>
    <col min="121" max="121" customWidth="true" style="3" width="14.625" collapsed="true" hidden="true"/>
    <col min="120" max="120" customWidth="true" style="3" width="14.625" collapsed="true" hidden="true"/>
    <col min="119" max="119" customWidth="true" style="3" width="14.625" collapsed="true" hidden="true"/>
    <col min="118" max="118" customWidth="true" style="3" width="14.625" collapsed="true" hidden="true"/>
    <col min="117" max="117" customWidth="true" style="3" width="14.625" collapsed="true" hidden="true"/>
    <col min="116" max="116" customWidth="true" style="3" width="14.625" collapsed="true" hidden="true"/>
    <col min="115" max="115" customWidth="true" style="3" width="14.625" collapsed="true" hidden="true"/>
    <col min="114" max="114" customWidth="true" style="3" width="14.625" collapsed="true" hidden="true"/>
    <col min="113" max="113" customWidth="true" style="3" width="14.625" collapsed="true" hidden="true"/>
    <col min="112" max="112" customWidth="true" style="3" width="14.625" collapsed="true" hidden="true"/>
    <col min="111" max="111" customWidth="true" style="3" width="14.625" collapsed="true" hidden="true"/>
    <col min="110" max="110" customWidth="true" style="3" width="14.625" collapsed="true" hidden="true"/>
    <col min="109" max="109" customWidth="true" style="3" width="14.625" collapsed="true" hidden="true"/>
    <col min="108" max="108" customWidth="true" style="3" width="14.625" collapsed="true" hidden="true"/>
    <col min="107" max="107" customWidth="true" style="3" width="14.625" collapsed="true" hidden="true"/>
    <col min="106" max="106" customWidth="true" style="3" width="14.625" collapsed="true" hidden="true"/>
    <col min="105" max="105" customWidth="true" style="3" width="14.625" collapsed="true" hidden="true"/>
    <col min="104" max="104" customWidth="true" style="3" width="14.625" collapsed="true" hidden="true"/>
    <col min="103" max="103" customWidth="true" style="3" width="14.625" collapsed="true" hidden="true"/>
    <col min="102" max="102" customWidth="true" style="3" width="14.625" collapsed="true" hidden="true"/>
    <col min="101" max="101" customWidth="true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3" max="12" customWidth="true" style="3" width="14.625" collapsed="true"/>
    <col min="1" max="1" style="3" width="9.0" collapsed="false"/>
    <col min="2" max="2" customWidth="true" style="14" width="29.8359375" collapsed="false" bestFit="true"/>
    <col min="13" max="13" customWidth="true" style="3" width="14.625" collapsed="false" hidden="true"/>
    <col min="258" max="16384" style="3" width="9.0" collapsed="false"/>
  </cols>
  <sheetData>
    <row r="2" spans="2:257" s="10" customFormat="1" x14ac:dyDescent="0.15">
      <c r="B2" s="15"/>
      <c r="C2" s="29" t="s">
        <v>867</v>
      </c>
      <c r="D2" s="29" t="s">
        <v>868</v>
      </c>
      <c r="E2" s="29" t="s">
        <v>869</v>
      </c>
      <c r="F2" s="29" t="s">
        <v>870</v>
      </c>
      <c r="G2" s="29" t="s">
        <v>871</v>
      </c>
      <c r="H2" s="29" t="s">
        <v>872</v>
      </c>
      <c r="I2" s="29" t="s">
        <v>873</v>
      </c>
      <c r="J2" s="29" t="s">
        <v>874</v>
      </c>
      <c r="K2" s="29" t="s">
        <v>875</v>
      </c>
      <c r="L2" s="29" t="s">
        <v>876</v>
      </c>
      <c r="M2" s="9" t="s">
        <v>48</v>
      </c>
      <c r="N2" s="9" t="s">
        <v>49</v>
      </c>
      <c r="O2" s="9" t="s">
        <v>50</v>
      </c>
      <c r="P2" s="9" t="s">
        <v>51</v>
      </c>
      <c r="Q2" s="9" t="s">
        <v>52</v>
      </c>
      <c r="R2" s="9" t="s">
        <v>53</v>
      </c>
      <c r="S2" s="9" t="s">
        <v>54</v>
      </c>
      <c r="T2" s="9" t="s">
        <v>55</v>
      </c>
      <c r="U2" s="9" t="s">
        <v>56</v>
      </c>
      <c r="V2" s="9" t="s">
        <v>57</v>
      </c>
      <c r="W2" s="9" t="s">
        <v>58</v>
      </c>
      <c r="X2" s="9" t="s">
        <v>59</v>
      </c>
      <c r="Y2" s="9" t="s">
        <v>60</v>
      </c>
      <c r="Z2" s="9" t="s">
        <v>61</v>
      </c>
      <c r="AA2" s="9" t="s">
        <v>62</v>
      </c>
      <c r="AB2" s="9" t="s">
        <v>63</v>
      </c>
      <c r="AC2" s="9" t="s">
        <v>64</v>
      </c>
      <c r="AD2" s="9" t="s">
        <v>65</v>
      </c>
      <c r="AE2" s="9" t="s">
        <v>66</v>
      </c>
      <c r="AF2" s="9" t="s">
        <v>67</v>
      </c>
      <c r="AG2" s="9" t="s">
        <v>68</v>
      </c>
      <c r="AH2" s="9" t="s">
        <v>69</v>
      </c>
      <c r="AI2" s="9" t="s">
        <v>70</v>
      </c>
      <c r="AJ2" s="9" t="s">
        <v>71</v>
      </c>
      <c r="AK2" s="9" t="s">
        <v>72</v>
      </c>
      <c r="AL2" s="9" t="s">
        <v>73</v>
      </c>
      <c r="AM2" s="9" t="s">
        <v>74</v>
      </c>
      <c r="AN2" s="9" t="s">
        <v>75</v>
      </c>
      <c r="AO2" s="9" t="s">
        <v>76</v>
      </c>
      <c r="AP2" s="9" t="s">
        <v>77</v>
      </c>
      <c r="AQ2" s="9" t="s">
        <v>78</v>
      </c>
      <c r="AR2" s="9" t="s">
        <v>79</v>
      </c>
      <c r="AS2" s="9" t="s">
        <v>80</v>
      </c>
      <c r="AT2" s="9" t="s">
        <v>81</v>
      </c>
      <c r="AU2" s="9" t="s">
        <v>82</v>
      </c>
      <c r="AV2" s="9" t="s">
        <v>83</v>
      </c>
      <c r="AW2" s="9" t="s">
        <v>84</v>
      </c>
      <c r="AX2" s="9" t="s">
        <v>85</v>
      </c>
      <c r="AY2" s="9" t="s">
        <v>86</v>
      </c>
      <c r="AZ2" s="9" t="s">
        <v>87</v>
      </c>
      <c r="BA2" s="9" t="s">
        <v>88</v>
      </c>
      <c r="BB2" s="9" t="s">
        <v>89</v>
      </c>
      <c r="BC2" s="9" t="s">
        <v>90</v>
      </c>
      <c r="BD2" s="9" t="s">
        <v>91</v>
      </c>
      <c r="BE2" s="9" t="s">
        <v>92</v>
      </c>
      <c r="BF2" s="9" t="s">
        <v>93</v>
      </c>
      <c r="BG2" s="9" t="s">
        <v>94</v>
      </c>
      <c r="BH2" s="9" t="s">
        <v>95</v>
      </c>
      <c r="BI2" s="9" t="s">
        <v>96</v>
      </c>
      <c r="BJ2" s="9" t="s">
        <v>97</v>
      </c>
      <c r="BK2" s="9" t="s">
        <v>98</v>
      </c>
      <c r="BL2" s="9" t="s">
        <v>99</v>
      </c>
      <c r="BM2" s="9" t="s">
        <v>100</v>
      </c>
      <c r="BN2" s="9" t="s">
        <v>101</v>
      </c>
      <c r="BO2" s="9" t="s">
        <v>102</v>
      </c>
      <c r="BP2" s="9" t="s">
        <v>103</v>
      </c>
      <c r="BQ2" s="9" t="s">
        <v>104</v>
      </c>
      <c r="BR2" s="9" t="s">
        <v>105</v>
      </c>
      <c r="BS2" s="9" t="s">
        <v>106</v>
      </c>
      <c r="BT2" s="9" t="s">
        <v>107</v>
      </c>
      <c r="BU2" s="9" t="s">
        <v>108</v>
      </c>
      <c r="BV2" s="9" t="s">
        <v>109</v>
      </c>
      <c r="BW2" s="9" t="s">
        <v>110</v>
      </c>
      <c r="BX2" s="9" t="s">
        <v>111</v>
      </c>
      <c r="BY2" s="9" t="s">
        <v>112</v>
      </c>
      <c r="BZ2" s="9" t="s">
        <v>113</v>
      </c>
      <c r="CA2" s="9" t="s">
        <v>114</v>
      </c>
      <c r="CB2" s="9" t="s">
        <v>115</v>
      </c>
      <c r="CC2" s="9" t="s">
        <v>116</v>
      </c>
      <c r="CD2" s="9" t="s">
        <v>117</v>
      </c>
      <c r="CE2" s="9" t="s">
        <v>118</v>
      </c>
      <c r="CF2" s="9" t="s">
        <v>119</v>
      </c>
      <c r="CG2" s="9" t="s">
        <v>120</v>
      </c>
      <c r="CH2" s="9" t="s">
        <v>121</v>
      </c>
      <c r="CI2" s="9" t="s">
        <v>122</v>
      </c>
      <c r="CJ2" s="9" t="s">
        <v>123</v>
      </c>
      <c r="CK2" s="9" t="s">
        <v>124</v>
      </c>
      <c r="CL2" s="9" t="s">
        <v>125</v>
      </c>
      <c r="CM2" s="9" t="s">
        <v>126</v>
      </c>
      <c r="CN2" s="9" t="s">
        <v>127</v>
      </c>
      <c r="CO2" s="9" t="s">
        <v>128</v>
      </c>
      <c r="CP2" s="9" t="s">
        <v>129</v>
      </c>
      <c r="CQ2" s="9" t="s">
        <v>130</v>
      </c>
      <c r="CR2" s="9" t="s">
        <v>131</v>
      </c>
      <c r="CS2" s="9" t="s">
        <v>132</v>
      </c>
      <c r="CT2" s="9" t="s">
        <v>133</v>
      </c>
      <c r="CU2" s="9" t="s">
        <v>134</v>
      </c>
      <c r="CV2" s="9" t="s">
        <v>135</v>
      </c>
      <c r="CW2" s="9" t="s">
        <v>136</v>
      </c>
      <c r="CX2" s="9" t="s">
        <v>137</v>
      </c>
      <c r="CY2" s="9" t="s">
        <v>138</v>
      </c>
      <c r="CZ2" s="9" t="s">
        <v>139</v>
      </c>
      <c r="DA2" s="9" t="s">
        <v>140</v>
      </c>
      <c r="DB2" s="9" t="s">
        <v>141</v>
      </c>
      <c r="DC2" s="9" t="s">
        <v>142</v>
      </c>
      <c r="DD2" s="9" t="s">
        <v>143</v>
      </c>
      <c r="DE2" s="9" t="s">
        <v>144</v>
      </c>
      <c r="DF2" s="9" t="s">
        <v>145</v>
      </c>
      <c r="DG2" s="9" t="s">
        <v>146</v>
      </c>
      <c r="DH2" s="9" t="s">
        <v>147</v>
      </c>
      <c r="DI2" s="9" t="s">
        <v>148</v>
      </c>
      <c r="DJ2" s="9" t="s">
        <v>149</v>
      </c>
      <c r="DK2" s="9" t="s">
        <v>150</v>
      </c>
      <c r="DL2" s="9" t="s">
        <v>151</v>
      </c>
      <c r="DM2" s="9" t="s">
        <v>152</v>
      </c>
      <c r="DN2" s="9" t="s">
        <v>153</v>
      </c>
      <c r="DO2" s="9" t="s">
        <v>154</v>
      </c>
      <c r="DP2" s="9" t="s">
        <v>155</v>
      </c>
      <c r="DQ2" s="9" t="s">
        <v>156</v>
      </c>
      <c r="DR2" s="9" t="s">
        <v>157</v>
      </c>
      <c r="DS2" s="9" t="s">
        <v>158</v>
      </c>
      <c r="DT2" s="9" t="s">
        <v>159</v>
      </c>
      <c r="DU2" s="9" t="s">
        <v>160</v>
      </c>
      <c r="DV2" s="9" t="s">
        <v>161</v>
      </c>
      <c r="DW2" s="9" t="s">
        <v>162</v>
      </c>
      <c r="DX2" s="9" t="s">
        <v>163</v>
      </c>
      <c r="DY2" s="9" t="s">
        <v>164</v>
      </c>
      <c r="DZ2" s="9" t="s">
        <v>165</v>
      </c>
      <c r="EA2" s="9" t="s">
        <v>166</v>
      </c>
      <c r="EB2" s="9" t="s">
        <v>167</v>
      </c>
      <c r="EC2" s="9" t="s">
        <v>168</v>
      </c>
      <c r="ED2" s="9" t="s">
        <v>169</v>
      </c>
      <c r="EE2" s="9" t="s">
        <v>170</v>
      </c>
      <c r="EF2" s="9" t="s">
        <v>171</v>
      </c>
      <c r="EG2" s="9" t="s">
        <v>172</v>
      </c>
      <c r="EH2" s="9" t="s">
        <v>173</v>
      </c>
      <c r="EI2" s="9" t="s">
        <v>174</v>
      </c>
      <c r="EJ2" s="9" t="s">
        <v>175</v>
      </c>
      <c r="EK2" s="9" t="s">
        <v>176</v>
      </c>
      <c r="EL2" s="9" t="s">
        <v>177</v>
      </c>
      <c r="EM2" s="9" t="s">
        <v>178</v>
      </c>
      <c r="EN2" s="9" t="s">
        <v>179</v>
      </c>
      <c r="EO2" s="9" t="s">
        <v>180</v>
      </c>
      <c r="EP2" s="9" t="s">
        <v>181</v>
      </c>
      <c r="EQ2" s="9" t="s">
        <v>182</v>
      </c>
      <c r="ER2" s="9" t="s">
        <v>183</v>
      </c>
      <c r="ES2" s="9" t="s">
        <v>184</v>
      </c>
      <c r="ET2" s="9" t="s">
        <v>185</v>
      </c>
      <c r="EU2" s="9" t="s">
        <v>186</v>
      </c>
      <c r="EV2" s="9" t="s">
        <v>187</v>
      </c>
      <c r="EW2" s="9" t="s">
        <v>188</v>
      </c>
      <c r="EX2" s="9" t="s">
        <v>189</v>
      </c>
      <c r="EY2" s="9" t="s">
        <v>190</v>
      </c>
      <c r="EZ2" s="9" t="s">
        <v>191</v>
      </c>
      <c r="FA2" s="9" t="s">
        <v>192</v>
      </c>
      <c r="FB2" s="9" t="s">
        <v>193</v>
      </c>
      <c r="FC2" s="9" t="s">
        <v>194</v>
      </c>
      <c r="FD2" s="9" t="s">
        <v>195</v>
      </c>
      <c r="FE2" s="9" t="s">
        <v>196</v>
      </c>
      <c r="FF2" s="9" t="s">
        <v>197</v>
      </c>
      <c r="FG2" s="9" t="s">
        <v>198</v>
      </c>
      <c r="FH2" s="9" t="s">
        <v>199</v>
      </c>
      <c r="FI2" s="9" t="s">
        <v>200</v>
      </c>
      <c r="FJ2" s="9" t="s">
        <v>201</v>
      </c>
      <c r="FK2" s="9" t="s">
        <v>202</v>
      </c>
      <c r="FL2" s="9" t="s">
        <v>203</v>
      </c>
      <c r="FM2" s="9" t="s">
        <v>204</v>
      </c>
      <c r="FN2" s="9" t="s">
        <v>205</v>
      </c>
      <c r="FO2" s="9" t="s">
        <v>206</v>
      </c>
      <c r="FP2" s="9" t="s">
        <v>207</v>
      </c>
      <c r="FQ2" s="9" t="s">
        <v>208</v>
      </c>
      <c r="FR2" s="9" t="s">
        <v>209</v>
      </c>
      <c r="FS2" s="9" t="s">
        <v>210</v>
      </c>
      <c r="FT2" s="9" t="s">
        <v>211</v>
      </c>
      <c r="FU2" s="9" t="s">
        <v>212</v>
      </c>
      <c r="FV2" s="9" t="s">
        <v>213</v>
      </c>
      <c r="FW2" s="9" t="s">
        <v>214</v>
      </c>
      <c r="FX2" s="9" t="s">
        <v>215</v>
      </c>
      <c r="FY2" s="9" t="s">
        <v>216</v>
      </c>
      <c r="FZ2" s="9" t="s">
        <v>217</v>
      </c>
      <c r="GA2" s="9" t="s">
        <v>218</v>
      </c>
      <c r="GB2" s="9" t="s">
        <v>219</v>
      </c>
      <c r="GC2" s="9" t="s">
        <v>220</v>
      </c>
      <c r="GD2" s="9" t="s">
        <v>221</v>
      </c>
      <c r="GE2" s="9" t="s">
        <v>222</v>
      </c>
      <c r="GF2" s="9" t="s">
        <v>223</v>
      </c>
      <c r="GG2" s="9" t="s">
        <v>224</v>
      </c>
      <c r="GH2" s="9" t="s">
        <v>225</v>
      </c>
      <c r="GI2" s="9" t="s">
        <v>226</v>
      </c>
      <c r="GJ2" s="9" t="s">
        <v>227</v>
      </c>
      <c r="GK2" s="9" t="s">
        <v>228</v>
      </c>
      <c r="GL2" s="9" t="s">
        <v>229</v>
      </c>
      <c r="GM2" s="9" t="s">
        <v>230</v>
      </c>
      <c r="GN2" s="9" t="s">
        <v>231</v>
      </c>
      <c r="GO2" s="9" t="s">
        <v>232</v>
      </c>
      <c r="GP2" s="9" t="s">
        <v>233</v>
      </c>
      <c r="GQ2" s="9" t="s">
        <v>234</v>
      </c>
      <c r="GR2" s="9" t="s">
        <v>235</v>
      </c>
      <c r="GS2" s="9" t="s">
        <v>236</v>
      </c>
      <c r="GT2" s="9" t="s">
        <v>237</v>
      </c>
      <c r="GU2" s="9" t="s">
        <v>238</v>
      </c>
      <c r="GV2" s="9" t="s">
        <v>239</v>
      </c>
      <c r="GW2" s="9" t="s">
        <v>240</v>
      </c>
      <c r="GX2" s="9" t="s">
        <v>241</v>
      </c>
      <c r="GY2" s="9" t="s">
        <v>242</v>
      </c>
      <c r="GZ2" s="9" t="s">
        <v>243</v>
      </c>
      <c r="HA2" s="9" t="s">
        <v>244</v>
      </c>
      <c r="HB2" s="9" t="s">
        <v>245</v>
      </c>
      <c r="HC2" s="9" t="s">
        <v>246</v>
      </c>
      <c r="HD2" s="9" t="s">
        <v>247</v>
      </c>
      <c r="HE2" s="9" t="s">
        <v>248</v>
      </c>
      <c r="HF2" s="9" t="s">
        <v>249</v>
      </c>
      <c r="HG2" s="9" t="s">
        <v>250</v>
      </c>
      <c r="HH2" s="9" t="s">
        <v>251</v>
      </c>
      <c r="HI2" s="9" t="s">
        <v>252</v>
      </c>
      <c r="HJ2" s="9" t="s">
        <v>253</v>
      </c>
      <c r="HK2" s="9" t="s">
        <v>254</v>
      </c>
      <c r="HL2" s="9" t="s">
        <v>255</v>
      </c>
      <c r="HM2" s="9" t="s">
        <v>256</v>
      </c>
      <c r="HN2" s="9" t="s">
        <v>257</v>
      </c>
      <c r="HO2" s="9" t="s">
        <v>258</v>
      </c>
      <c r="HP2" s="9" t="s">
        <v>259</v>
      </c>
      <c r="HQ2" s="9" t="s">
        <v>260</v>
      </c>
      <c r="HR2" s="9" t="s">
        <v>261</v>
      </c>
      <c r="HS2" s="9" t="s">
        <v>262</v>
      </c>
      <c r="HT2" s="9" t="s">
        <v>263</v>
      </c>
      <c r="HU2" s="9" t="s">
        <v>264</v>
      </c>
      <c r="HV2" s="9" t="s">
        <v>265</v>
      </c>
      <c r="HW2" s="9" t="s">
        <v>266</v>
      </c>
      <c r="HX2" s="9" t="s">
        <v>267</v>
      </c>
      <c r="HY2" s="9" t="s">
        <v>268</v>
      </c>
      <c r="HZ2" s="9" t="s">
        <v>269</v>
      </c>
      <c r="IA2" s="9" t="s">
        <v>270</v>
      </c>
      <c r="IB2" s="9" t="s">
        <v>271</v>
      </c>
      <c r="IC2" s="9" t="s">
        <v>272</v>
      </c>
      <c r="ID2" s="9" t="s">
        <v>273</v>
      </c>
      <c r="IE2" s="9" t="s">
        <v>274</v>
      </c>
      <c r="IF2" s="9" t="s">
        <v>275</v>
      </c>
      <c r="IG2" s="9" t="s">
        <v>276</v>
      </c>
      <c r="IH2" s="9" t="s">
        <v>277</v>
      </c>
      <c r="II2" s="9" t="s">
        <v>278</v>
      </c>
      <c r="IJ2" s="9" t="s">
        <v>279</v>
      </c>
      <c r="IK2" s="9" t="s">
        <v>280</v>
      </c>
      <c r="IL2" s="9" t="s">
        <v>281</v>
      </c>
      <c r="IM2" s="9" t="s">
        <v>282</v>
      </c>
      <c r="IN2" s="9" t="s">
        <v>283</v>
      </c>
      <c r="IO2" s="9" t="s">
        <v>284</v>
      </c>
      <c r="IP2" s="9" t="s">
        <v>285</v>
      </c>
      <c r="IQ2" s="9" t="s">
        <v>286</v>
      </c>
      <c r="IR2" s="9" t="s">
        <v>287</v>
      </c>
      <c r="IS2" s="9" t="s">
        <v>288</v>
      </c>
      <c r="IT2" s="9" t="s">
        <v>289</v>
      </c>
      <c r="IU2" s="9" t="s">
        <v>290</v>
      </c>
      <c r="IV2" s="9" t="s">
        <v>291</v>
      </c>
      <c r="IW2" s="9" t="s">
        <v>292</v>
      </c>
    </row>
    <row r="3" spans="2:257" x14ac:dyDescent="0.15">
      <c r="B3" s="16" t="s">
        <v>877</v>
      </c>
      <c r="C3" s="32" t="n">
        <v>0.0</v>
      </c>
      <c r="D3" s="32" t="n">
        <v>0.0</v>
      </c>
      <c r="E3" s="32" t="n">
        <v>1051200.0</v>
      </c>
      <c r="F3" s="32" t="n">
        <v>133300.0</v>
      </c>
      <c r="G3" s="32" t="n">
        <v>0.0</v>
      </c>
      <c r="H3" s="32" t="n">
        <v>0.0</v>
      </c>
      <c r="I3" s="32" t="n">
        <v>0.0</v>
      </c>
      <c r="J3" s="32" t="n">
        <v>0.0</v>
      </c>
      <c r="K3" s="32" t="n">
        <v>0.0</v>
      </c>
      <c r="L3" s="32" t="n">
        <v>0.0</v>
      </c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</row>
    <row r="4" spans="2:257" x14ac:dyDescent="0.15">
      <c r="B4" s="16" t="s">
        <v>878</v>
      </c>
      <c r="C4" s="36" t="n">
        <v>368000.0</v>
      </c>
      <c r="D4" s="36" t="n">
        <v>395224.0</v>
      </c>
      <c r="E4" s="36" t="n">
        <v>0.0</v>
      </c>
      <c r="F4" s="36" t="n">
        <v>0.0</v>
      </c>
      <c r="G4" s="36" t="n">
        <v>0.0</v>
      </c>
      <c r="H4" s="36" t="n">
        <v>0.0</v>
      </c>
      <c r="I4" s="36" t="n">
        <v>0.0</v>
      </c>
      <c r="J4" s="36" t="n">
        <v>0.0</v>
      </c>
      <c r="K4" s="36" t="n">
        <v>0.0</v>
      </c>
      <c r="L4" s="36" t="n">
        <v>0.0</v>
      </c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</row>
    <row r="5" spans="2:257" x14ac:dyDescent="0.15">
      <c r="B5" s="16" t="s">
        <v>879</v>
      </c>
      <c r="C5" s="40" t="n">
        <v>1.4448382E7</v>
      </c>
      <c r="D5" s="40" t="n">
        <v>1.381209E7</v>
      </c>
      <c r="E5" s="40" t="n">
        <v>6289881.0</v>
      </c>
      <c r="F5" s="40" t="n">
        <v>1.2017685E7</v>
      </c>
      <c r="G5" s="40" t="n">
        <v>2.0187163E7</v>
      </c>
      <c r="H5" s="40" t="n">
        <v>2.5060705E7</v>
      </c>
      <c r="I5" s="40" t="n">
        <v>5.3657666E7</v>
      </c>
      <c r="J5" s="40" t="n">
        <v>6.5986265E7</v>
      </c>
      <c r="K5" s="40" t="n">
        <v>7.0779127E7</v>
      </c>
      <c r="L5" s="40" t="n">
        <v>6.310443E7</v>
      </c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</row>
    <row r="6" spans="2:257" x14ac:dyDescent="0.15" hidden="true">
      <c r="B6" s="16" t="s">
        <v>15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</row>
    <row r="7" spans="2:257" x14ac:dyDescent="0.15" hidden="true">
      <c r="B7" s="16" t="s">
        <v>16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</row>
    <row r="8" spans="2:257" x14ac:dyDescent="0.15" hidden="true">
      <c r="B8" s="16" t="s">
        <v>17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</row>
    <row r="9" spans="2:257" x14ac:dyDescent="0.15" hidden="true">
      <c r="B9" s="16" t="s">
        <v>18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</row>
    <row r="10" spans="2:257" x14ac:dyDescent="0.15" hidden="true">
      <c r="B10" s="16" t="s">
        <v>19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</row>
    <row r="11" spans="2:257" x14ac:dyDescent="0.15" hidden="true">
      <c r="B11" s="16" t="s">
        <v>20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</row>
    <row r="12" spans="2:257" x14ac:dyDescent="0.15" hidden="true">
      <c r="B12" s="16" t="s">
        <v>21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</row>
    <row r="13" spans="2:257" x14ac:dyDescent="0.15" hidden="true">
      <c r="B13" s="16" t="s">
        <v>22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</row>
    <row r="14" spans="2:257" x14ac:dyDescent="0.15" hidden="true">
      <c r="B14" s="16" t="s">
        <v>23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</row>
    <row r="15" spans="2:257" x14ac:dyDescent="0.15" hidden="true">
      <c r="B15" s="16" t="s">
        <v>24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</row>
    <row r="16" spans="2:257" x14ac:dyDescent="0.15" hidden="true">
      <c r="B16" s="16" t="s">
        <v>25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</row>
    <row r="17" spans="2:257" x14ac:dyDescent="0.15" hidden="true">
      <c r="B17" s="16" t="s">
        <v>26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</row>
    <row r="18" spans="2:257" x14ac:dyDescent="0.15" hidden="true">
      <c r="B18" s="16" t="s">
        <v>27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</row>
    <row r="19" spans="2:257" x14ac:dyDescent="0.15" hidden="true">
      <c r="B19" s="16" t="s">
        <v>28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</row>
    <row r="20" spans="2:257" x14ac:dyDescent="0.15" hidden="true">
      <c r="B20" s="16" t="s">
        <v>29</v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</row>
    <row r="21" spans="2:257" x14ac:dyDescent="0.15" hidden="true">
      <c r="B21" s="16" t="s">
        <v>30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</row>
    <row r="22" spans="2:257" x14ac:dyDescent="0.15" hidden="true">
      <c r="B22" s="16" t="s">
        <v>31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</row>
    <row r="23" spans="2:257" x14ac:dyDescent="0.15" hidden="true">
      <c r="B23" s="16" t="s">
        <v>32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</row>
    <row r="24" spans="2:257" x14ac:dyDescent="0.15" hidden="true">
      <c r="B24" s="16" t="s">
        <v>33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</row>
    <row r="25" spans="2:257" x14ac:dyDescent="0.15" hidden="true">
      <c r="B25" s="16" t="s">
        <v>34</v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</row>
    <row r="26" spans="2:257" x14ac:dyDescent="0.15" hidden="true">
      <c r="B26" s="16" t="s">
        <v>35</v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</row>
    <row r="27" spans="2:257" x14ac:dyDescent="0.15" hidden="true">
      <c r="B27" s="16" t="s">
        <v>36</v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</row>
    <row r="28" spans="2:257" x14ac:dyDescent="0.15" hidden="true">
      <c r="B28" s="16" t="s">
        <v>37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</row>
    <row r="29" spans="2:257" x14ac:dyDescent="0.15" hidden="true">
      <c r="B29" s="16" t="s">
        <v>38</v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</row>
    <row r="30" spans="2:257" x14ac:dyDescent="0.15" hidden="true">
      <c r="B30" s="16" t="s">
        <v>39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</row>
    <row r="31" spans="2:257" x14ac:dyDescent="0.15" hidden="true">
      <c r="B31" s="16" t="s">
        <v>40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</row>
    <row r="32" spans="2:257" x14ac:dyDescent="0.15" hidden="true">
      <c r="B32" s="16" t="s">
        <v>41</v>
      </c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</row>
    <row r="33" spans="2:257" x14ac:dyDescent="0.15" hidden="true">
      <c r="B33" s="16" t="s">
        <v>42</v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</row>
    <row r="34" spans="2:257" x14ac:dyDescent="0.15" hidden="true">
      <c r="B34" s="16" t="s">
        <v>293</v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</row>
    <row r="35" spans="2:257" x14ac:dyDescent="0.15" hidden="true">
      <c r="B35" s="16" t="s">
        <v>294</v>
      </c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</row>
    <row r="36" spans="2:257" x14ac:dyDescent="0.15">
      <c r="B36" s="16" t="s">
        <v>880</v>
      </c>
      <c r="C36" s="44" t="n">
        <v>1.09491444E8</v>
      </c>
      <c r="D36" s="44" t="n">
        <v>1.24207622E8</v>
      </c>
      <c r="E36" s="44" t="n">
        <v>1.0587161E8</v>
      </c>
      <c r="F36" s="44" t="n">
        <v>2.08904445E8</v>
      </c>
      <c r="G36" s="44" t="n">
        <v>1.72384318E8</v>
      </c>
      <c r="H36" s="44" t="n">
        <v>3.15928967E8</v>
      </c>
      <c r="I36" s="44" t="n">
        <v>7.0042139E7</v>
      </c>
      <c r="J36" s="44" t="n">
        <v>2.25682251E8</v>
      </c>
      <c r="K36" s="44" t="n">
        <v>2.34703564E8</v>
      </c>
      <c r="L36" s="44" t="n">
        <v>2.70735709E8</v>
      </c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</row>
    <row r="37" spans="2:257" x14ac:dyDescent="0.15">
      <c r="B37" s="16" t="s">
        <v>881</v>
      </c>
      <c r="C37" s="48" t="n">
        <v>9.2078567E7</v>
      </c>
      <c r="D37" s="48" t="n">
        <v>1.51623666E8</v>
      </c>
      <c r="E37" s="48" t="n">
        <v>1.46617186E8</v>
      </c>
      <c r="F37" s="48" t="n">
        <v>1.21811827E8</v>
      </c>
      <c r="G37" s="48" t="n">
        <v>1.82097492E8</v>
      </c>
      <c r="H37" s="48" t="n">
        <v>2.02147146E8</v>
      </c>
      <c r="I37" s="48" t="n">
        <v>1.98617806E8</v>
      </c>
      <c r="J37" s="48" t="n">
        <v>4.10967757E8</v>
      </c>
      <c r="K37" s="48" t="n">
        <v>2.44277149E8</v>
      </c>
      <c r="L37" s="48" t="n">
        <v>4.92139961E8</v>
      </c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</row>
    <row r="38" spans="2:257" x14ac:dyDescent="0.15">
      <c r="B38" s="16" t="s">
        <v>882</v>
      </c>
      <c r="C38" s="52" t="n">
        <v>3.27559174E8</v>
      </c>
      <c r="D38" s="52" t="n">
        <v>3.16677411E8</v>
      </c>
      <c r="E38" s="52" t="n">
        <v>2.45662442E8</v>
      </c>
      <c r="F38" s="52" t="n">
        <v>3.82782891E8</v>
      </c>
      <c r="G38" s="52" t="n">
        <v>2.69637794E8</v>
      </c>
      <c r="H38" s="52" t="n">
        <v>2.97286532E8</v>
      </c>
      <c r="I38" s="52" t="n">
        <v>3.16908785E8</v>
      </c>
      <c r="J38" s="52" t="n">
        <v>4.1165663E8</v>
      </c>
      <c r="K38" s="52" t="n">
        <v>4.59872461E8</v>
      </c>
      <c r="L38" s="52" t="n">
        <v>3.55768626E8</v>
      </c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</row>
    <row r="39" spans="2:257" x14ac:dyDescent="0.15">
      <c r="B39" s="16" t="s">
        <v>883</v>
      </c>
      <c r="C39" s="56" t="n">
        <v>7.53186131E8</v>
      </c>
      <c r="D39" s="56" t="n">
        <v>3.91818964E8</v>
      </c>
      <c r="E39" s="56" t="n">
        <v>3.20720193E8</v>
      </c>
      <c r="F39" s="56" t="n">
        <v>6.72980657E8</v>
      </c>
      <c r="G39" s="56" t="n">
        <v>5.86122582E8</v>
      </c>
      <c r="H39" s="56" t="n">
        <v>5.34540293E8</v>
      </c>
      <c r="I39" s="56" t="n">
        <v>1.45539943E8</v>
      </c>
      <c r="J39" s="56" t="n">
        <v>1.3405135E8</v>
      </c>
      <c r="K39" s="56" t="n">
        <v>4.94132927E8</v>
      </c>
      <c r="L39" s="56" t="n">
        <v>8.249623E8</v>
      </c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</row>
    <row r="40" spans="2:257" x14ac:dyDescent="0.15">
      <c r="B40" s="16" t="s">
        <v>884</v>
      </c>
      <c r="C40" s="60" t="n">
        <v>5.436215E7</v>
      </c>
      <c r="D40" s="60" t="n">
        <v>2.8996917E7</v>
      </c>
      <c r="E40" s="60" t="n">
        <v>4.5339615E7</v>
      </c>
      <c r="F40" s="60" t="n">
        <v>5.1569162E7</v>
      </c>
      <c r="G40" s="60" t="n">
        <v>3.5116911E7</v>
      </c>
      <c r="H40" s="60" t="n">
        <v>7.4520373E7</v>
      </c>
      <c r="I40" s="60" t="n">
        <v>1.08666844E8</v>
      </c>
      <c r="J40" s="60" t="n">
        <v>8.1954613E7</v>
      </c>
      <c r="K40" s="60" t="n">
        <v>7.3730844E7</v>
      </c>
      <c r="L40" s="60" t="n">
        <v>8.0142908E7</v>
      </c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</row>
    <row r="41" spans="2:257" x14ac:dyDescent="0.15">
      <c r="B41" s="16" t="s">
        <v>885</v>
      </c>
      <c r="C41" s="64" t="n">
        <v>7.4655779E7</v>
      </c>
      <c r="D41" s="64" t="n">
        <v>4.8208786E7</v>
      </c>
      <c r="E41" s="64" t="n">
        <v>6.6255296E7</v>
      </c>
      <c r="F41" s="64" t="n">
        <v>2.44755249E8</v>
      </c>
      <c r="G41" s="64" t="n">
        <v>1.02031959E8</v>
      </c>
      <c r="H41" s="64" t="n">
        <v>5.957799E7</v>
      </c>
      <c r="I41" s="64" t="n">
        <v>2.3021746E7</v>
      </c>
      <c r="J41" s="64" t="n">
        <v>4.1441545E7</v>
      </c>
      <c r="K41" s="64" t="n">
        <v>1.11445438E8</v>
      </c>
      <c r="L41" s="64" t="n">
        <v>1.95771089E8</v>
      </c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</row>
    <row r="42" spans="2:257" x14ac:dyDescent="0.15">
      <c r="B42" s="16" t="s">
        <v>886</v>
      </c>
      <c r="C42" s="68" t="n">
        <v>2.2874559E7</v>
      </c>
      <c r="D42" s="68" t="n">
        <v>5.7562839E7</v>
      </c>
      <c r="E42" s="68" t="n">
        <v>4.8864818E7</v>
      </c>
      <c r="F42" s="68" t="n">
        <v>6.8957585E7</v>
      </c>
      <c r="G42" s="68" t="n">
        <v>1.8262403E7</v>
      </c>
      <c r="H42" s="68" t="n">
        <v>4.1137634E7</v>
      </c>
      <c r="I42" s="68" t="n">
        <v>4.6224647E7</v>
      </c>
      <c r="J42" s="68" t="n">
        <v>3.8899527E7</v>
      </c>
      <c r="K42" s="68" t="n">
        <v>1.73106943E8</v>
      </c>
      <c r="L42" s="68" t="n">
        <v>6.5570242E7</v>
      </c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</row>
    <row r="43" spans="2:257" x14ac:dyDescent="0.15">
      <c r="B43" s="16" t="s">
        <v>887</v>
      </c>
      <c r="C43" s="72" t="n">
        <v>4.7240006E7</v>
      </c>
      <c r="D43" s="72" t="n">
        <v>4.5795969E7</v>
      </c>
      <c r="E43" s="72" t="n">
        <v>5.2369931E7</v>
      </c>
      <c r="F43" s="72" t="n">
        <v>1.23072889E8</v>
      </c>
      <c r="G43" s="72" t="n">
        <v>7.0128863E7</v>
      </c>
      <c r="H43" s="72" t="n">
        <v>8.3015074E7</v>
      </c>
      <c r="I43" s="72" t="n">
        <v>1.23851008E8</v>
      </c>
      <c r="J43" s="72" t="n">
        <v>1.33683728E8</v>
      </c>
      <c r="K43" s="72" t="n">
        <v>9.503053E7</v>
      </c>
      <c r="L43" s="72" t="n">
        <v>1.31115752E8</v>
      </c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</row>
    <row r="44" spans="2:257" x14ac:dyDescent="0.15">
      <c r="B44" s="16" t="s">
        <v>888</v>
      </c>
      <c r="C44" s="76" t="n">
        <v>4.2552666E7</v>
      </c>
      <c r="D44" s="76" t="n">
        <v>4.8054461E7</v>
      </c>
      <c r="E44" s="76" t="n">
        <v>8.3471586E7</v>
      </c>
      <c r="F44" s="76" t="n">
        <v>1.64188647E8</v>
      </c>
      <c r="G44" s="76" t="n">
        <v>1.33572571E8</v>
      </c>
      <c r="H44" s="76" t="n">
        <v>1.00631203E8</v>
      </c>
      <c r="I44" s="76" t="n">
        <v>6.473729E7</v>
      </c>
      <c r="J44" s="76" t="n">
        <v>1.2854701E8</v>
      </c>
      <c r="K44" s="76" t="n">
        <v>7.6066066E7</v>
      </c>
      <c r="L44" s="76" t="n">
        <v>9.6875387E7</v>
      </c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</row>
    <row r="45" spans="2:257" x14ac:dyDescent="0.15">
      <c r="B45" s="16" t="s">
        <v>889</v>
      </c>
      <c r="C45" s="80" t="n">
        <v>5.8423715E7</v>
      </c>
      <c r="D45" s="80" t="n">
        <v>6.0639475E7</v>
      </c>
      <c r="E45" s="80" t="n">
        <v>4.1086188E7</v>
      </c>
      <c r="F45" s="80" t="n">
        <v>3.9645541E7</v>
      </c>
      <c r="G45" s="80" t="n">
        <v>3.2460039E7</v>
      </c>
      <c r="H45" s="80" t="n">
        <v>7.038746E7</v>
      </c>
      <c r="I45" s="80" t="n">
        <v>1.21745103E8</v>
      </c>
      <c r="J45" s="80" t="n">
        <v>6.2227229E7</v>
      </c>
      <c r="K45" s="80" t="n">
        <v>2.4790366E7</v>
      </c>
      <c r="L45" s="80" t="n">
        <v>1.00974792E8</v>
      </c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</row>
    <row r="46" spans="2:257" x14ac:dyDescent="0.15">
      <c r="B46" s="16" t="s">
        <v>890</v>
      </c>
      <c r="C46" s="84" t="n">
        <v>7.7276855E7</v>
      </c>
      <c r="D46" s="84" t="n">
        <v>8.3944544E7</v>
      </c>
      <c r="E46" s="84" t="n">
        <v>1.46685495E8</v>
      </c>
      <c r="F46" s="84" t="n">
        <v>9.1309041E7</v>
      </c>
      <c r="G46" s="84" t="n">
        <v>1.09701515E8</v>
      </c>
      <c r="H46" s="84" t="n">
        <v>1.12142864E8</v>
      </c>
      <c r="I46" s="84" t="n">
        <v>2.32368868E8</v>
      </c>
      <c r="J46" s="84" t="n">
        <v>1.76509567E8</v>
      </c>
      <c r="K46" s="84" t="n">
        <v>2.66398072E8</v>
      </c>
      <c r="L46" s="84" t="n">
        <v>1.4312105E8</v>
      </c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</row>
    <row r="47" spans="2:257" x14ac:dyDescent="0.15">
      <c r="B47" s="16" t="s">
        <v>891</v>
      </c>
      <c r="C47" s="88" t="n">
        <v>8.7995377E7</v>
      </c>
      <c r="D47" s="88" t="n">
        <v>7.0309442E7</v>
      </c>
      <c r="E47" s="88" t="n">
        <v>9.8036182E7</v>
      </c>
      <c r="F47" s="88" t="n">
        <v>1.23522902E8</v>
      </c>
      <c r="G47" s="88" t="n">
        <v>4.6252394E7</v>
      </c>
      <c r="H47" s="88" t="n">
        <v>1.18411313E8</v>
      </c>
      <c r="I47" s="88" t="n">
        <v>5.518758E7</v>
      </c>
      <c r="J47" s="88" t="n">
        <v>6.6137601E7</v>
      </c>
      <c r="K47" s="88" t="n">
        <v>2.01966318E8</v>
      </c>
      <c r="L47" s="88" t="n">
        <v>3.1956077E8</v>
      </c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</row>
    <row r="48" spans="2:257" x14ac:dyDescent="0.15">
      <c r="B48" s="16" t="s">
        <v>892</v>
      </c>
      <c r="C48" s="92" t="n">
        <v>1.9186182E7</v>
      </c>
      <c r="D48" s="92" t="n">
        <v>2.7831408E7</v>
      </c>
      <c r="E48" s="92" t="n">
        <v>4.3387129E7</v>
      </c>
      <c r="F48" s="92" t="n">
        <v>6.8411858E7</v>
      </c>
      <c r="G48" s="92" t="n">
        <v>7.4078092E7</v>
      </c>
      <c r="H48" s="92" t="n">
        <v>7.6091863E7</v>
      </c>
      <c r="I48" s="92" t="n">
        <v>1.18683952E8</v>
      </c>
      <c r="J48" s="92" t="n">
        <v>1.34388597E8</v>
      </c>
      <c r="K48" s="92" t="n">
        <v>1.31210106E8</v>
      </c>
      <c r="L48" s="92" t="n">
        <v>1.32596887E8</v>
      </c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</row>
    <row r="49" spans="2:257" x14ac:dyDescent="0.15">
      <c r="B49" s="16" t="s">
        <v>893</v>
      </c>
      <c r="C49" s="96" t="n">
        <v>2.3847734E7</v>
      </c>
      <c r="D49" s="96" t="n">
        <v>1.343777E7</v>
      </c>
      <c r="E49" s="96" t="n">
        <v>2.3836669E7</v>
      </c>
      <c r="F49" s="96" t="n">
        <v>2.4216291E7</v>
      </c>
      <c r="G49" s="96" t="n">
        <v>2.346937E7</v>
      </c>
      <c r="H49" s="96" t="n">
        <v>2.9126548E7</v>
      </c>
      <c r="I49" s="96" t="n">
        <v>2.6883522E7</v>
      </c>
      <c r="J49" s="96" t="n">
        <v>3.4669883E7</v>
      </c>
      <c r="K49" s="96" t="n">
        <v>3.144505E7</v>
      </c>
      <c r="L49" s="96" t="n">
        <v>1.01260895E8</v>
      </c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</row>
    <row r="50" spans="2:257" x14ac:dyDescent="0.15">
      <c r="B50" s="16" t="s">
        <v>894</v>
      </c>
      <c r="C50" s="100" t="n">
        <v>8564762.0</v>
      </c>
      <c r="D50" s="100" t="n">
        <v>1.7065237E7</v>
      </c>
      <c r="E50" s="100" t="n">
        <v>2.3475177E7</v>
      </c>
      <c r="F50" s="100" t="n">
        <v>1.4746887E7</v>
      </c>
      <c r="G50" s="100" t="n">
        <v>2.6278719E7</v>
      </c>
      <c r="H50" s="100" t="n">
        <v>1.0558531E7</v>
      </c>
      <c r="I50" s="100" t="n">
        <v>3.6632722E7</v>
      </c>
      <c r="J50" s="100" t="n">
        <v>2.8057215E7</v>
      </c>
      <c r="K50" s="100" t="n">
        <v>2.8060947E7</v>
      </c>
      <c r="L50" s="100" t="n">
        <v>8.4662119E7</v>
      </c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</row>
    <row r="51" spans="2:257" x14ac:dyDescent="0.15">
      <c r="B51" s="16" t="s">
        <v>895</v>
      </c>
      <c r="C51" s="104" t="n">
        <v>1.8761454E7</v>
      </c>
      <c r="D51" s="104" t="n">
        <v>1.9889488E7</v>
      </c>
      <c r="E51" s="104" t="n">
        <v>5.4019907E7</v>
      </c>
      <c r="F51" s="104" t="n">
        <v>2.8099936E7</v>
      </c>
      <c r="G51" s="104" t="n">
        <v>3.7185524E7</v>
      </c>
      <c r="H51" s="104" t="n">
        <v>5.8268196E7</v>
      </c>
      <c r="I51" s="104" t="n">
        <v>5.107937E7</v>
      </c>
      <c r="J51" s="104" t="n">
        <v>2.724687E7</v>
      </c>
      <c r="K51" s="104" t="n">
        <v>4.8886805E7</v>
      </c>
      <c r="L51" s="104" t="n">
        <v>7.0011928E7</v>
      </c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</row>
    <row r="52" spans="2:257" x14ac:dyDescent="0.15">
      <c r="B52" s="16" t="s">
        <v>896</v>
      </c>
      <c r="C52" s="108" t="n">
        <v>2.6755057E7</v>
      </c>
      <c r="D52" s="108" t="n">
        <v>2.5125289E7</v>
      </c>
      <c r="E52" s="108" t="n">
        <v>1.5829166E7</v>
      </c>
      <c r="F52" s="108" t="n">
        <v>2.8007459E7</v>
      </c>
      <c r="G52" s="108" t="n">
        <v>2.5004825E7</v>
      </c>
      <c r="H52" s="108" t="n">
        <v>2.5169408E7</v>
      </c>
      <c r="I52" s="108" t="n">
        <v>2.5979243E7</v>
      </c>
      <c r="J52" s="108" t="n">
        <v>1.9082512E7</v>
      </c>
      <c r="K52" s="108" t="n">
        <v>2.8082615E7</v>
      </c>
      <c r="L52" s="108" t="n">
        <v>1.8895288E7</v>
      </c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</row>
    <row r="53" spans="2:257" x14ac:dyDescent="0.15">
      <c r="B53" s="16" t="s">
        <v>897</v>
      </c>
      <c r="C53" s="112" t="n">
        <v>9640448.0</v>
      </c>
      <c r="D53" s="112" t="n">
        <v>2511753.0</v>
      </c>
      <c r="E53" s="112" t="n">
        <v>1870210.0</v>
      </c>
      <c r="F53" s="112" t="n">
        <v>2.6641642E7</v>
      </c>
      <c r="G53" s="112" t="n">
        <v>8612639.0</v>
      </c>
      <c r="H53" s="112" t="n">
        <v>1.5390861E7</v>
      </c>
      <c r="I53" s="112" t="n">
        <v>6553452.0</v>
      </c>
      <c r="J53" s="112" t="n">
        <v>7554759.0</v>
      </c>
      <c r="K53" s="112" t="n">
        <v>8973483.0</v>
      </c>
      <c r="L53" s="112" t="n">
        <v>3.5716254E7</v>
      </c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</row>
    <row r="54" spans="2:257" x14ac:dyDescent="0.15">
      <c r="B54" s="16" t="s">
        <v>898</v>
      </c>
      <c r="C54" s="116" t="n">
        <v>8787456.0</v>
      </c>
      <c r="D54" s="116" t="n">
        <v>2.18614E7</v>
      </c>
      <c r="E54" s="116" t="n">
        <v>2.3521065E7</v>
      </c>
      <c r="F54" s="116" t="n">
        <v>2.0921417E7</v>
      </c>
      <c r="G54" s="116" t="n">
        <v>1.4487281E7</v>
      </c>
      <c r="H54" s="116" t="n">
        <v>2.1114671E7</v>
      </c>
      <c r="I54" s="116" t="n">
        <v>9587918.0</v>
      </c>
      <c r="J54" s="116" t="n">
        <v>6595754.0</v>
      </c>
      <c r="K54" s="116" t="n">
        <v>1.3030439E7</v>
      </c>
      <c r="L54" s="116" t="n">
        <v>5.950738E7</v>
      </c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</row>
    <row r="55" spans="2:257" x14ac:dyDescent="0.15">
      <c r="B55" s="16" t="s">
        <v>899</v>
      </c>
      <c r="C55" s="120" t="n">
        <v>1.217302E7</v>
      </c>
      <c r="D55" s="120" t="n">
        <v>1344349.0</v>
      </c>
      <c r="E55" s="120" t="n">
        <v>1.3358871E7</v>
      </c>
      <c r="F55" s="120" t="n">
        <v>1.7659124E7</v>
      </c>
      <c r="G55" s="120" t="n">
        <v>1.2412383E7</v>
      </c>
      <c r="H55" s="120" t="n">
        <v>2.5583686E7</v>
      </c>
      <c r="I55" s="120" t="n">
        <v>2.5894349E7</v>
      </c>
      <c r="J55" s="120" t="n">
        <v>3.9094409E7</v>
      </c>
      <c r="K55" s="120" t="n">
        <v>2.2789771E7</v>
      </c>
      <c r="L55" s="120" t="n">
        <v>3.4844071E7</v>
      </c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</row>
    <row r="56" spans="2:257" x14ac:dyDescent="0.15">
      <c r="B56" s="16" t="s">
        <v>900</v>
      </c>
      <c r="C56" s="124" t="n">
        <v>546945.0</v>
      </c>
      <c r="D56" s="124" t="n">
        <v>37104.0</v>
      </c>
      <c r="E56" s="124" t="n">
        <v>864807.0</v>
      </c>
      <c r="F56" s="124" t="n">
        <v>1653501.0</v>
      </c>
      <c r="G56" s="124" t="n">
        <v>2722025.0</v>
      </c>
      <c r="H56" s="124" t="n">
        <v>1221988.0</v>
      </c>
      <c r="I56" s="124" t="n">
        <v>6742153.0</v>
      </c>
      <c r="J56" s="124" t="n">
        <v>8003575.0</v>
      </c>
      <c r="K56" s="124" t="n">
        <v>5308231.0</v>
      </c>
      <c r="L56" s="124" t="n">
        <v>9764507.0</v>
      </c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</row>
    <row r="57" spans="2:257" x14ac:dyDescent="0.15">
      <c r="B57" s="16" t="s">
        <v>901</v>
      </c>
      <c r="C57" s="128" t="n">
        <v>1456218.0</v>
      </c>
      <c r="D57" s="128" t="n">
        <v>6812614.0</v>
      </c>
      <c r="E57" s="128" t="n">
        <v>1.0443742E7</v>
      </c>
      <c r="F57" s="128" t="n">
        <v>1.6306882E7</v>
      </c>
      <c r="G57" s="128" t="n">
        <v>9659279.0</v>
      </c>
      <c r="H57" s="128" t="n">
        <v>5199091.0</v>
      </c>
      <c r="I57" s="128" t="n">
        <v>4904339.0</v>
      </c>
      <c r="J57" s="128" t="n">
        <v>4189290.0</v>
      </c>
      <c r="K57" s="128" t="n">
        <v>1.2508302E7</v>
      </c>
      <c r="L57" s="128" t="n">
        <v>2.0162463E7</v>
      </c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</row>
    <row r="58" spans="2:257" x14ac:dyDescent="0.15">
      <c r="B58" s="16" t="s">
        <v>902</v>
      </c>
      <c r="C58" s="132" t="n">
        <v>1.6727299E7</v>
      </c>
      <c r="D58" s="132" t="n">
        <v>2.4019122E7</v>
      </c>
      <c r="E58" s="132" t="n">
        <v>1.3713499E7</v>
      </c>
      <c r="F58" s="132" t="n">
        <v>6.7188803E7</v>
      </c>
      <c r="G58" s="132" t="n">
        <v>2.582747E7</v>
      </c>
      <c r="H58" s="132" t="n">
        <v>2.2750398E7</v>
      </c>
      <c r="I58" s="132" t="n">
        <v>9790166.0</v>
      </c>
      <c r="J58" s="132" t="n">
        <v>2.6449767E7</v>
      </c>
      <c r="K58" s="132" t="n">
        <v>8.2480506E7</v>
      </c>
      <c r="L58" s="132" t="n">
        <v>6.390557E7</v>
      </c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</row>
    <row r="59" spans="2:257" x14ac:dyDescent="0.15">
      <c r="B59" s="16" t="s">
        <v>903</v>
      </c>
      <c r="C59" s="136" t="n">
        <v>4591194.0</v>
      </c>
      <c r="D59" s="136" t="n">
        <v>2838939.0</v>
      </c>
      <c r="E59" s="136" t="n">
        <v>4132190.0</v>
      </c>
      <c r="F59" s="136" t="n">
        <v>4338526.0</v>
      </c>
      <c r="G59" s="136" t="n">
        <v>1.0130396E7</v>
      </c>
      <c r="H59" s="136" t="n">
        <v>1.19696E7</v>
      </c>
      <c r="I59" s="136" t="n">
        <v>1.5137525E7</v>
      </c>
      <c r="J59" s="136" t="n">
        <v>1843356.0</v>
      </c>
      <c r="K59" s="136" t="n">
        <v>1.5673241E7</v>
      </c>
      <c r="L59" s="136" t="n">
        <v>9377444.0</v>
      </c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</row>
    <row r="60" spans="2:257" x14ac:dyDescent="0.15">
      <c r="B60" s="16" t="s">
        <v>904</v>
      </c>
      <c r="C60" s="140" t="n">
        <v>1.2348832E7</v>
      </c>
      <c r="D60" s="140" t="n">
        <v>2.1010406E7</v>
      </c>
      <c r="E60" s="140" t="n">
        <v>1.9051272E7</v>
      </c>
      <c r="F60" s="140" t="n">
        <v>2.3166556E7</v>
      </c>
      <c r="G60" s="140" t="n">
        <v>1.3893627E7</v>
      </c>
      <c r="H60" s="140" t="n">
        <v>2.2383617E7</v>
      </c>
      <c r="I60" s="140" t="n">
        <v>1.1510167E7</v>
      </c>
      <c r="J60" s="140" t="n">
        <v>1.4826316E7</v>
      </c>
      <c r="K60" s="140" t="n">
        <v>4.1613552E7</v>
      </c>
      <c r="L60" s="140" t="n">
        <v>4.0085848E7</v>
      </c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</row>
    <row r="61" spans="2:257" x14ac:dyDescent="0.15">
      <c r="B61" s="16" t="s">
        <v>905</v>
      </c>
      <c r="C61" s="144" t="n">
        <v>1.2789878E7</v>
      </c>
      <c r="D61" s="144" t="n">
        <v>1.2280347E7</v>
      </c>
      <c r="E61" s="144" t="n">
        <v>9348153.0</v>
      </c>
      <c r="F61" s="144" t="n">
        <v>1.0084124E7</v>
      </c>
      <c r="G61" s="144" t="n">
        <v>1.1845688E7</v>
      </c>
      <c r="H61" s="144" t="n">
        <v>6679249.0</v>
      </c>
      <c r="I61" s="144" t="n">
        <v>8709727.0</v>
      </c>
      <c r="J61" s="144" t="n">
        <v>4.1556708E7</v>
      </c>
      <c r="K61" s="144" t="n">
        <v>8487030.0</v>
      </c>
      <c r="L61" s="144" t="n">
        <v>4.0810968E7</v>
      </c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</row>
    <row r="62" spans="2:257" x14ac:dyDescent="0.15">
      <c r="B62" s="16" t="s">
        <v>906</v>
      </c>
      <c r="C62" s="148" t="n">
        <v>1.6121582E7</v>
      </c>
      <c r="D62" s="148" t="n">
        <v>1.3506833E7</v>
      </c>
      <c r="E62" s="148" t="n">
        <v>2.1795686E7</v>
      </c>
      <c r="F62" s="148" t="n">
        <v>4.191978E7</v>
      </c>
      <c r="G62" s="148" t="n">
        <v>1.1465411E7</v>
      </c>
      <c r="H62" s="148" t="n">
        <v>2.6032582E7</v>
      </c>
      <c r="I62" s="148" t="n">
        <v>3.3170109E7</v>
      </c>
      <c r="J62" s="148" t="n">
        <v>3.8546609E7</v>
      </c>
      <c r="K62" s="148" t="n">
        <v>6.4943932E7</v>
      </c>
      <c r="L62" s="148" t="n">
        <v>5.1061363E7</v>
      </c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</row>
    <row r="63" spans="2:257" x14ac:dyDescent="0.15">
      <c r="B63" s="16" t="s">
        <v>907</v>
      </c>
      <c r="C63" s="152" t="n">
        <v>2.4090888E7</v>
      </c>
      <c r="D63" s="152" t="n">
        <v>3.3091832E7</v>
      </c>
      <c r="E63" s="152" t="n">
        <v>8663209.0</v>
      </c>
      <c r="F63" s="152" t="n">
        <v>5.8229609E7</v>
      </c>
      <c r="G63" s="152" t="n">
        <v>2.7290984E7</v>
      </c>
      <c r="H63" s="152" t="n">
        <v>3.9311492E7</v>
      </c>
      <c r="I63" s="152" t="n">
        <v>4.2763243E7</v>
      </c>
      <c r="J63" s="152" t="n">
        <v>1.4768194E7</v>
      </c>
      <c r="K63" s="152" t="n">
        <v>7179380.0</v>
      </c>
      <c r="L63" s="152" t="n">
        <v>3.9159008E7</v>
      </c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</row>
    <row r="64" spans="2:257" x14ac:dyDescent="0.15">
      <c r="B64" s="16" t="s">
        <v>908</v>
      </c>
      <c r="C64" s="156" t="n">
        <v>374761.0</v>
      </c>
      <c r="D64" s="156" t="n">
        <v>1.1025809E7</v>
      </c>
      <c r="E64" s="156" t="n">
        <v>1.4516484E7</v>
      </c>
      <c r="F64" s="156" t="n">
        <v>4746171.0</v>
      </c>
      <c r="G64" s="156" t="n">
        <v>1.0976275E7</v>
      </c>
      <c r="H64" s="156" t="n">
        <v>7670563.0</v>
      </c>
      <c r="I64" s="156" t="n">
        <v>2395355.0</v>
      </c>
      <c r="J64" s="156" t="n">
        <v>6111186.0</v>
      </c>
      <c r="K64" s="156" t="n">
        <v>1.3630645E7</v>
      </c>
      <c r="L64" s="156" t="n">
        <v>2.9465535E7</v>
      </c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</row>
    <row r="65" spans="2:257" x14ac:dyDescent="0.15">
      <c r="B65" s="16" t="s">
        <v>909</v>
      </c>
      <c r="C65" s="160" t="n">
        <v>3958296.0</v>
      </c>
      <c r="D65" s="160" t="n">
        <v>8644771.0</v>
      </c>
      <c r="E65" s="160" t="n">
        <v>5338097.0</v>
      </c>
      <c r="F65" s="160" t="n">
        <v>1.4916404E7</v>
      </c>
      <c r="G65" s="160" t="n">
        <v>2.0996882E7</v>
      </c>
      <c r="H65" s="160" t="n">
        <v>1.2329259E7</v>
      </c>
      <c r="I65" s="160" t="n">
        <v>4889020.0</v>
      </c>
      <c r="J65" s="160" t="n">
        <v>6517091.0</v>
      </c>
      <c r="K65" s="160" t="n">
        <v>5426793.0</v>
      </c>
      <c r="L65" s="160" t="n">
        <v>1.1814052E7</v>
      </c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</row>
    <row r="66" spans="2:257" x14ac:dyDescent="0.15">
      <c r="B66" s="16" t="s">
        <v>910</v>
      </c>
      <c r="C66" s="164" t="n">
        <v>1.5092839E7</v>
      </c>
      <c r="D66" s="164" t="n">
        <v>7357307.0</v>
      </c>
      <c r="E66" s="164" t="n">
        <v>7761808.0</v>
      </c>
      <c r="F66" s="164" t="n">
        <v>1.2028446E7</v>
      </c>
      <c r="G66" s="164" t="n">
        <v>4480809.0</v>
      </c>
      <c r="H66" s="164" t="n">
        <v>2706146.0</v>
      </c>
      <c r="I66" s="164" t="n">
        <v>3939351.0</v>
      </c>
      <c r="J66" s="164" t="n">
        <v>7274974.0</v>
      </c>
      <c r="K66" s="164" t="n">
        <v>2601057.0</v>
      </c>
      <c r="L66" s="164" t="n">
        <v>0.0</v>
      </c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</row>
    <row r="67" spans="2:257" x14ac:dyDescent="0.15">
      <c r="B67" s="16" t="s">
        <v>911</v>
      </c>
      <c r="C67" s="168" t="n">
        <v>432660.0</v>
      </c>
      <c r="D67" s="168" t="n">
        <v>1.2314088E7</v>
      </c>
      <c r="E67" s="168" t="n">
        <v>20400.0</v>
      </c>
      <c r="F67" s="168" t="n">
        <v>32400.0</v>
      </c>
      <c r="G67" s="168" t="n">
        <v>3260336.0</v>
      </c>
      <c r="H67" s="168" t="n">
        <v>7088491.0</v>
      </c>
      <c r="I67" s="168" t="n">
        <v>1.7226718E7</v>
      </c>
      <c r="J67" s="168" t="n">
        <v>1.417248E7</v>
      </c>
      <c r="K67" s="168" t="n">
        <v>6403652.0</v>
      </c>
      <c r="L67" s="168" t="n">
        <v>1.5411294E7</v>
      </c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</row>
    <row r="68" spans="2:257" x14ac:dyDescent="0.15">
      <c r="B68" s="16" t="s">
        <v>912</v>
      </c>
      <c r="C68" s="172" t="n">
        <v>3344951.0</v>
      </c>
      <c r="D68" s="172" t="n">
        <v>3.5570173E7</v>
      </c>
      <c r="E68" s="172" t="n">
        <v>1.6049328E7</v>
      </c>
      <c r="F68" s="172" t="n">
        <v>2.8787787E7</v>
      </c>
      <c r="G68" s="172" t="n">
        <v>1.9675558E7</v>
      </c>
      <c r="H68" s="172" t="n">
        <v>1.1727421E7</v>
      </c>
      <c r="I68" s="172" t="n">
        <v>2.2569455E7</v>
      </c>
      <c r="J68" s="172" t="n">
        <v>1.6982419E7</v>
      </c>
      <c r="K68" s="172" t="n">
        <v>2798148.0</v>
      </c>
      <c r="L68" s="172" t="n">
        <v>7627111.0</v>
      </c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</row>
    <row r="69" spans="2:257" x14ac:dyDescent="0.15">
      <c r="B69" s="16" t="s">
        <v>913</v>
      </c>
      <c r="C69" s="176" t="n">
        <v>4.0558322E7</v>
      </c>
      <c r="D69" s="176" t="n">
        <v>6.2799093E7</v>
      </c>
      <c r="E69" s="176" t="n">
        <v>3.0666467E7</v>
      </c>
      <c r="F69" s="176" t="n">
        <v>3.9881028E7</v>
      </c>
      <c r="G69" s="176" t="n">
        <v>3.1129291E7</v>
      </c>
      <c r="H69" s="176" t="n">
        <v>5.3503335E7</v>
      </c>
      <c r="I69" s="176" t="n">
        <v>4.1452423E7</v>
      </c>
      <c r="J69" s="176" t="n">
        <v>3.0744977E7</v>
      </c>
      <c r="K69" s="176" t="n">
        <v>4.1083429E7</v>
      </c>
      <c r="L69" s="176" t="n">
        <v>9.4693058E7</v>
      </c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</row>
    <row r="70" spans="2:257" x14ac:dyDescent="0.15">
      <c r="B70" s="16" t="s">
        <v>914</v>
      </c>
      <c r="C70" s="180" t="n">
        <v>4.1881351E7</v>
      </c>
      <c r="D70" s="180" t="n">
        <v>2.4133826E7</v>
      </c>
      <c r="E70" s="180" t="n">
        <v>2.4615412E7</v>
      </c>
      <c r="F70" s="180" t="n">
        <v>6.0767801E7</v>
      </c>
      <c r="G70" s="180" t="n">
        <v>3.0584036E7</v>
      </c>
      <c r="H70" s="180" t="n">
        <v>3.1764824E7</v>
      </c>
      <c r="I70" s="180" t="n">
        <v>4.8106021E7</v>
      </c>
      <c r="J70" s="180" t="n">
        <v>1.9660759E7</v>
      </c>
      <c r="K70" s="180" t="n">
        <v>4.0126256E7</v>
      </c>
      <c r="L70" s="180" t="n">
        <v>4.3447438E7</v>
      </c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</row>
    <row r="71" spans="2:257" x14ac:dyDescent="0.15">
      <c r="B71" s="16" t="s">
        <v>915</v>
      </c>
      <c r="C71" s="184" t="n">
        <v>7170261.0</v>
      </c>
      <c r="D71" s="184" t="n">
        <v>2.1631113E7</v>
      </c>
      <c r="E71" s="184" t="n">
        <v>1.9652834E7</v>
      </c>
      <c r="F71" s="184" t="n">
        <v>1.1485743E7</v>
      </c>
      <c r="G71" s="184" t="n">
        <v>3.4624174E7</v>
      </c>
      <c r="H71" s="184" t="n">
        <v>2.1579209E7</v>
      </c>
      <c r="I71" s="184" t="n">
        <v>1.4103561E7</v>
      </c>
      <c r="J71" s="184" t="n">
        <v>4185374.0</v>
      </c>
      <c r="K71" s="184" t="n">
        <v>1.3997892E7</v>
      </c>
      <c r="L71" s="184" t="n">
        <v>1.7736905E7</v>
      </c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</row>
    <row r="72" spans="2:257" x14ac:dyDescent="0.15">
      <c r="B72" s="16" t="s">
        <v>916</v>
      </c>
      <c r="C72" s="188" t="n">
        <v>5928102.0</v>
      </c>
      <c r="D72" s="188" t="n">
        <v>1.6239309E7</v>
      </c>
      <c r="E72" s="188" t="n">
        <v>1.9049651E7</v>
      </c>
      <c r="F72" s="188" t="n">
        <v>2.9534999E7</v>
      </c>
      <c r="G72" s="188" t="n">
        <v>3.0465068E7</v>
      </c>
      <c r="H72" s="188" t="n">
        <v>1.5817537E7</v>
      </c>
      <c r="I72" s="188" t="n">
        <v>2.8301349E7</v>
      </c>
      <c r="J72" s="188" t="n">
        <v>2.4847583E7</v>
      </c>
      <c r="K72" s="188" t="n">
        <v>1.8491977E7</v>
      </c>
      <c r="L72" s="188" t="n">
        <v>1.9792418E7</v>
      </c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</row>
    <row r="73" spans="2:257" x14ac:dyDescent="0.15">
      <c r="B73" s="16" t="s">
        <v>917</v>
      </c>
      <c r="C73" s="192" t="n">
        <v>6047262.0</v>
      </c>
      <c r="D73" s="192" t="n">
        <v>8445073.0</v>
      </c>
      <c r="E73" s="192" t="n">
        <v>1.4072505E7</v>
      </c>
      <c r="F73" s="192" t="n">
        <v>1.2465648E7</v>
      </c>
      <c r="G73" s="192" t="n">
        <v>1.8225224E7</v>
      </c>
      <c r="H73" s="192" t="n">
        <v>1.396177E7</v>
      </c>
      <c r="I73" s="192" t="n">
        <v>1146782.0</v>
      </c>
      <c r="J73" s="192" t="n">
        <v>1480988.0</v>
      </c>
      <c r="K73" s="192" t="n">
        <v>2.9967654E7</v>
      </c>
      <c r="L73" s="192" t="n">
        <v>2.3001325E7</v>
      </c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</row>
    <row r="74" spans="2:257" x14ac:dyDescent="0.15">
      <c r="B74" s="16" t="s">
        <v>918</v>
      </c>
      <c r="C74" s="196" t="n">
        <v>1.0396236E7</v>
      </c>
      <c r="D74" s="196" t="n">
        <v>1.51064E7</v>
      </c>
      <c r="E74" s="196" t="n">
        <v>2.5923104E7</v>
      </c>
      <c r="F74" s="196" t="n">
        <v>4.2712061E7</v>
      </c>
      <c r="G74" s="196" t="n">
        <v>2.2758301E7</v>
      </c>
      <c r="H74" s="196" t="n">
        <v>1.3891056E7</v>
      </c>
      <c r="I74" s="196" t="n">
        <v>2.0498673E7</v>
      </c>
      <c r="J74" s="196" t="n">
        <v>1.9290916E7</v>
      </c>
      <c r="K74" s="196" t="n">
        <v>2.5284536E7</v>
      </c>
      <c r="L74" s="196" t="n">
        <v>3.4295972E7</v>
      </c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</row>
    <row r="75" spans="2:257" x14ac:dyDescent="0.15">
      <c r="B75" s="16" t="s">
        <v>919</v>
      </c>
      <c r="C75" s="200" t="n">
        <v>2184871.0</v>
      </c>
      <c r="D75" s="200" t="n">
        <v>2.8826434E7</v>
      </c>
      <c r="E75" s="200" t="n">
        <v>9117005.0</v>
      </c>
      <c r="F75" s="200" t="n">
        <v>1.2813874E7</v>
      </c>
      <c r="G75" s="200" t="n">
        <v>1.5442791E7</v>
      </c>
      <c r="H75" s="200" t="n">
        <v>7550576.0</v>
      </c>
      <c r="I75" s="200" t="n">
        <v>2100083.0</v>
      </c>
      <c r="J75" s="200" t="n">
        <v>1472748.0</v>
      </c>
      <c r="K75" s="200" t="n">
        <v>1.8170192E7</v>
      </c>
      <c r="L75" s="200" t="n">
        <v>1.8444963E7</v>
      </c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</row>
    <row r="76" spans="2:257" x14ac:dyDescent="0.15">
      <c r="B76" s="16" t="s">
        <v>920</v>
      </c>
      <c r="C76" s="204" t="n">
        <v>5777882.0</v>
      </c>
      <c r="D76" s="204" t="n">
        <v>1.1693352E7</v>
      </c>
      <c r="E76" s="204" t="n">
        <v>1.5567704E7</v>
      </c>
      <c r="F76" s="204" t="n">
        <v>1.0803478E7</v>
      </c>
      <c r="G76" s="204" t="n">
        <v>1.6774801E7</v>
      </c>
      <c r="H76" s="204" t="n">
        <v>2.7911693E7</v>
      </c>
      <c r="I76" s="204" t="n">
        <v>2.1173402E7</v>
      </c>
      <c r="J76" s="204" t="n">
        <v>1.2656693E7</v>
      </c>
      <c r="K76" s="204" t="n">
        <v>4437115.0</v>
      </c>
      <c r="L76" s="204" t="n">
        <v>2.7008558E7</v>
      </c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</row>
    <row r="77" spans="2:257" x14ac:dyDescent="0.15">
      <c r="B77" s="16" t="s">
        <v>921</v>
      </c>
      <c r="C77" s="208" t="n">
        <v>3051436.0</v>
      </c>
      <c r="D77" s="208" t="n">
        <v>9215343.0</v>
      </c>
      <c r="E77" s="208" t="n">
        <v>7419806.0</v>
      </c>
      <c r="F77" s="208" t="n">
        <v>7804519.0</v>
      </c>
      <c r="G77" s="208" t="n">
        <v>6205969.0</v>
      </c>
      <c r="H77" s="208" t="n">
        <v>1.2896446E7</v>
      </c>
      <c r="I77" s="208" t="n">
        <v>2696151.0</v>
      </c>
      <c r="J77" s="208" t="n">
        <v>5177661.0</v>
      </c>
      <c r="K77" s="208" t="n">
        <v>4.8446051E7</v>
      </c>
      <c r="L77" s="208" t="n">
        <v>2.5904757E7</v>
      </c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</row>
    <row r="78" spans="2:257" x14ac:dyDescent="0.15">
      <c r="B78" s="16" t="s">
        <v>922</v>
      </c>
      <c r="C78" s="212" t="n">
        <v>1.6406082E7</v>
      </c>
      <c r="D78" s="212" t="n">
        <v>2.7527576E7</v>
      </c>
      <c r="E78" s="212" t="n">
        <v>1.630848E7</v>
      </c>
      <c r="F78" s="212" t="n">
        <v>2.0289451E7</v>
      </c>
      <c r="G78" s="212" t="n">
        <v>1.643084E7</v>
      </c>
      <c r="H78" s="212" t="n">
        <v>2.6732182E7</v>
      </c>
      <c r="I78" s="212" t="n">
        <v>4.5837235E7</v>
      </c>
      <c r="J78" s="212" t="n">
        <v>3.4512843E7</v>
      </c>
      <c r="K78" s="212" t="n">
        <v>2.495494E7</v>
      </c>
      <c r="L78" s="212" t="n">
        <v>7.3147772E7</v>
      </c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</row>
    <row r="79" spans="2:257" x14ac:dyDescent="0.15">
      <c r="B79" s="16" t="s">
        <v>923</v>
      </c>
      <c r="C79" s="216" t="n">
        <v>5921481.0</v>
      </c>
      <c r="D79" s="216" t="n">
        <v>4540965.0</v>
      </c>
      <c r="E79" s="216" t="n">
        <v>8553620.0</v>
      </c>
      <c r="F79" s="216" t="n">
        <v>1.7724003E7</v>
      </c>
      <c r="G79" s="216" t="n">
        <v>6564569.0</v>
      </c>
      <c r="H79" s="216" t="n">
        <v>4445205.0</v>
      </c>
      <c r="I79" s="216" t="n">
        <v>4998059.0</v>
      </c>
      <c r="J79" s="216" t="n">
        <v>6567862.0</v>
      </c>
      <c r="K79" s="216" t="n">
        <v>1.2351995E7</v>
      </c>
      <c r="L79" s="216" t="n">
        <v>5.2814169E7</v>
      </c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</row>
    <row r="80" spans="2:257" x14ac:dyDescent="0.15">
      <c r="B80" s="16" t="s">
        <v>924</v>
      </c>
      <c r="C80" s="220" t="n">
        <v>1374609.0</v>
      </c>
      <c r="D80" s="220" t="n">
        <v>7342304.0</v>
      </c>
      <c r="E80" s="220" t="n">
        <v>5217445.0</v>
      </c>
      <c r="F80" s="220" t="n">
        <v>1.6104203E7</v>
      </c>
      <c r="G80" s="220" t="n">
        <v>2.4116104E7</v>
      </c>
      <c r="H80" s="220" t="n">
        <v>9684169.0</v>
      </c>
      <c r="I80" s="220" t="n">
        <v>6610499.0</v>
      </c>
      <c r="J80" s="220" t="n">
        <v>2.0402176E7</v>
      </c>
      <c r="K80" s="220" t="n">
        <v>2.127898E7</v>
      </c>
      <c r="L80" s="220" t="n">
        <v>1.9418652E7</v>
      </c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</row>
    <row r="81" spans="2:257" x14ac:dyDescent="0.15">
      <c r="B81" s="16" t="s">
        <v>925</v>
      </c>
      <c r="C81" s="224" t="n">
        <v>2.1159521E7</v>
      </c>
      <c r="D81" s="224" t="n">
        <v>1.4592607E7</v>
      </c>
      <c r="E81" s="224" t="n">
        <v>1.6382154E7</v>
      </c>
      <c r="F81" s="224" t="n">
        <v>2.1960026E7</v>
      </c>
      <c r="G81" s="224" t="n">
        <v>1.3711897E7</v>
      </c>
      <c r="H81" s="224" t="n">
        <v>1.3548631E7</v>
      </c>
      <c r="I81" s="224" t="n">
        <v>1.1659889E7</v>
      </c>
      <c r="J81" s="224" t="n">
        <v>2.230695E7</v>
      </c>
      <c r="K81" s="224" t="n">
        <v>1.9694443E7</v>
      </c>
      <c r="L81" s="224" t="n">
        <v>3.6496555E7</v>
      </c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</row>
    <row r="82" spans="2:257" x14ac:dyDescent="0.15">
      <c r="B82" s="16" t="s">
        <v>926</v>
      </c>
      <c r="C82" s="228" t="n">
        <v>9767635.0</v>
      </c>
      <c r="D82" s="228" t="n">
        <v>9537945.0</v>
      </c>
      <c r="E82" s="228" t="n">
        <v>1.1170555E7</v>
      </c>
      <c r="F82" s="228" t="n">
        <v>3.0770695E7</v>
      </c>
      <c r="G82" s="228" t="n">
        <v>1.5756434E7</v>
      </c>
      <c r="H82" s="228" t="n">
        <v>1.7230622E7</v>
      </c>
      <c r="I82" s="228" t="n">
        <v>2.0739973E7</v>
      </c>
      <c r="J82" s="228" t="n">
        <v>1.4657134E7</v>
      </c>
      <c r="K82" s="228" t="n">
        <v>5.8990822E7</v>
      </c>
      <c r="L82" s="228" t="n">
        <v>3.6039745E7</v>
      </c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</row>
    <row r="83" spans="2:257" x14ac:dyDescent="0.15">
      <c r="B83" s="16" t="s">
        <v>927</v>
      </c>
      <c r="C83" s="232" t="n">
        <v>1.4409349E7</v>
      </c>
      <c r="D83" s="232" t="n">
        <v>4182437.0</v>
      </c>
      <c r="E83" s="232" t="n">
        <v>9203333.0</v>
      </c>
      <c r="F83" s="232" t="n">
        <v>1.6605694E7</v>
      </c>
      <c r="G83" s="232" t="n">
        <v>1.351367E7</v>
      </c>
      <c r="H83" s="232" t="n">
        <v>2.3327875E7</v>
      </c>
      <c r="I83" s="232" t="n">
        <v>3.6967672E7</v>
      </c>
      <c r="J83" s="232" t="n">
        <v>3.7084707E7</v>
      </c>
      <c r="K83" s="232" t="n">
        <v>5.1761213E7</v>
      </c>
      <c r="L83" s="232" t="n">
        <v>3.0129217E7</v>
      </c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</row>
    <row r="84" spans="2:257" x14ac:dyDescent="0.15">
      <c r="B84" s="16" t="s">
        <v>928</v>
      </c>
      <c r="C84" s="236" t="n">
        <v>2.2239816E7</v>
      </c>
      <c r="D84" s="236" t="n">
        <v>3.4828698E7</v>
      </c>
      <c r="E84" s="236" t="n">
        <v>3.077969E7</v>
      </c>
      <c r="F84" s="236" t="n">
        <v>2.4714683E7</v>
      </c>
      <c r="G84" s="236" t="n">
        <v>1.3282281E7</v>
      </c>
      <c r="H84" s="236" t="n">
        <v>1.2738345E7</v>
      </c>
      <c r="I84" s="236" t="n">
        <v>2.3966518E7</v>
      </c>
      <c r="J84" s="236" t="n">
        <v>1.318486E7</v>
      </c>
      <c r="K84" s="236" t="n">
        <v>4.3847491E7</v>
      </c>
      <c r="L84" s="236" t="n">
        <v>1.30542213E8</v>
      </c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</row>
    <row r="85" spans="2:257" x14ac:dyDescent="0.15">
      <c r="B85" s="16" t="s">
        <v>929</v>
      </c>
      <c r="C85" s="240" t="n">
        <v>4.7385881E7</v>
      </c>
      <c r="D85" s="240" t="n">
        <v>2.7981224E7</v>
      </c>
      <c r="E85" s="240" t="n">
        <v>3.9630709E7</v>
      </c>
      <c r="F85" s="240" t="n">
        <v>5.4034168E7</v>
      </c>
      <c r="G85" s="240" t="n">
        <v>4.4751891E7</v>
      </c>
      <c r="H85" s="240" t="n">
        <v>3.351661E7</v>
      </c>
      <c r="I85" s="240" t="n">
        <v>4.9888643E7</v>
      </c>
      <c r="J85" s="240" t="n">
        <v>5.4342373E7</v>
      </c>
      <c r="K85" s="240" t="n">
        <v>3.8666476E7</v>
      </c>
      <c r="L85" s="240" t="n">
        <v>6.9551568E7</v>
      </c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</row>
    <row r="86" spans="2:257" x14ac:dyDescent="0.15">
      <c r="B86" s="16" t="s">
        <v>930</v>
      </c>
      <c r="C86" s="244" t="n">
        <v>4.3806153E7</v>
      </c>
      <c r="D86" s="244" t="n">
        <v>6855212.0</v>
      </c>
      <c r="E86" s="244" t="n">
        <v>3.8369018E7</v>
      </c>
      <c r="F86" s="244" t="n">
        <v>3.1959273E7</v>
      </c>
      <c r="G86" s="244" t="n">
        <v>3.9770931E7</v>
      </c>
      <c r="H86" s="244" t="n">
        <v>2.3145762E7</v>
      </c>
      <c r="I86" s="244" t="n">
        <v>8.6115713E7</v>
      </c>
      <c r="J86" s="244" t="n">
        <v>1.13176832E8</v>
      </c>
      <c r="K86" s="244" t="n">
        <v>6.5088E7</v>
      </c>
      <c r="L86" s="244" t="n">
        <v>5.3420649E7</v>
      </c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</row>
    <row r="87" spans="2:257" x14ac:dyDescent="0.15">
      <c r="B87" s="16" t="s">
        <v>931</v>
      </c>
      <c r="C87" s="248" t="n">
        <v>4.0636353E7</v>
      </c>
      <c r="D87" s="248" t="n">
        <v>6439738.0</v>
      </c>
      <c r="E87" s="248" t="n">
        <v>1.3389554E7</v>
      </c>
      <c r="F87" s="248" t="n">
        <v>1.3792726E7</v>
      </c>
      <c r="G87" s="248" t="n">
        <v>1.4383571E7</v>
      </c>
      <c r="H87" s="248" t="n">
        <v>2.7240273E7</v>
      </c>
      <c r="I87" s="248" t="n">
        <v>3.0939252E7</v>
      </c>
      <c r="J87" s="248" t="n">
        <v>2.2225544E7</v>
      </c>
      <c r="K87" s="248" t="n">
        <v>3.0973906E7</v>
      </c>
      <c r="L87" s="248" t="n">
        <v>1.2762216E7</v>
      </c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</row>
    <row r="88" spans="2:257" x14ac:dyDescent="0.15">
      <c r="B88" s="16" t="s">
        <v>932</v>
      </c>
      <c r="C88" s="252" t="n">
        <v>5.4158212E7</v>
      </c>
      <c r="D88" s="252" t="n">
        <v>4.1047602E7</v>
      </c>
      <c r="E88" s="252" t="n">
        <v>4.6977985E7</v>
      </c>
      <c r="F88" s="252" t="n">
        <v>6.2860684E7</v>
      </c>
      <c r="G88" s="252" t="n">
        <v>5.1396113E7</v>
      </c>
      <c r="H88" s="252" t="n">
        <v>4.0065737E7</v>
      </c>
      <c r="I88" s="252" t="n">
        <v>4.5989008E7</v>
      </c>
      <c r="J88" s="252" t="n">
        <v>5.5874829E7</v>
      </c>
      <c r="K88" s="252" t="n">
        <v>3.5990626E7</v>
      </c>
      <c r="L88" s="252" t="n">
        <v>5.5889618E7</v>
      </c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</row>
    <row r="89" spans="2:257" x14ac:dyDescent="0.15">
      <c r="B89" s="16" t="s">
        <v>933</v>
      </c>
      <c r="C89" s="256" t="n">
        <v>9.6751875E7</v>
      </c>
      <c r="D89" s="256" t="n">
        <v>3.1961586E7</v>
      </c>
      <c r="E89" s="256" t="n">
        <v>5.7392169E7</v>
      </c>
      <c r="F89" s="256" t="n">
        <v>2.1729616E7</v>
      </c>
      <c r="G89" s="256" t="n">
        <v>5.1660792E7</v>
      </c>
      <c r="H89" s="256" t="n">
        <v>3.8230489E7</v>
      </c>
      <c r="I89" s="256" t="n">
        <v>2.86819594E8</v>
      </c>
      <c r="J89" s="256" t="n">
        <v>1.80929388E8</v>
      </c>
      <c r="K89" s="256" t="n">
        <v>0.0</v>
      </c>
      <c r="L89" s="256" t="n">
        <v>0.0</v>
      </c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</row>
    <row r="90" spans="2:257" x14ac:dyDescent="0.15">
      <c r="B90" s="16" t="s">
        <v>934</v>
      </c>
      <c r="C90" s="260" t="n">
        <v>2.62471734E8</v>
      </c>
      <c r="D90" s="260" t="n">
        <v>5.808776E7</v>
      </c>
      <c r="E90" s="260" t="n">
        <v>2.5873451E7</v>
      </c>
      <c r="F90" s="260" t="n">
        <v>4.56803293E8</v>
      </c>
      <c r="G90" s="260" t="n">
        <v>3.20013571E8</v>
      </c>
      <c r="H90" s="260" t="n">
        <v>3.46087413E8</v>
      </c>
      <c r="I90" s="260" t="n">
        <v>1.45709808E8</v>
      </c>
      <c r="J90" s="260" t="n">
        <v>1.54033012E8</v>
      </c>
      <c r="K90" s="260" t="n">
        <v>2.55375239E8</v>
      </c>
      <c r="L90" s="260" t="n">
        <v>1.37877971E8</v>
      </c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</row>
    <row r="91" spans="2:257" x14ac:dyDescent="0.15">
      <c r="B91" s="16" t="s">
        <v>935</v>
      </c>
      <c r="C91" s="264" t="n">
        <v>1.9566766E7</v>
      </c>
      <c r="D91" s="264" t="n">
        <v>3876240.0</v>
      </c>
      <c r="E91" s="264" t="n">
        <v>1.5199257E7</v>
      </c>
      <c r="F91" s="264" t="n">
        <v>2.4334217E7</v>
      </c>
      <c r="G91" s="264" t="n">
        <v>3855533.0</v>
      </c>
      <c r="H91" s="264" t="n">
        <v>1.3270137E7</v>
      </c>
      <c r="I91" s="264" t="n">
        <v>3.3206612E7</v>
      </c>
      <c r="J91" s="264" t="n">
        <v>2.2093607E7</v>
      </c>
      <c r="K91" s="264" t="n">
        <v>5.4338331E7</v>
      </c>
      <c r="L91" s="264" t="n">
        <v>4.3522436E7</v>
      </c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</row>
    <row r="92" spans="2:257" x14ac:dyDescent="0.15">
      <c r="B92" s="16" t="s">
        <v>936</v>
      </c>
      <c r="C92" s="268" t="n">
        <v>6119894.0</v>
      </c>
      <c r="D92" s="268" t="n">
        <v>7965492.0</v>
      </c>
      <c r="E92" s="268" t="n">
        <v>5155708.0</v>
      </c>
      <c r="F92" s="268" t="n">
        <v>1.365382E7</v>
      </c>
      <c r="G92" s="268" t="n">
        <v>1.8036837E7</v>
      </c>
      <c r="H92" s="268" t="n">
        <v>1.5084927E7</v>
      </c>
      <c r="I92" s="268" t="n">
        <v>5.8868582E7</v>
      </c>
      <c r="J92" s="268" t="n">
        <v>1.9253245E7</v>
      </c>
      <c r="K92" s="268" t="n">
        <v>1.4935715E7</v>
      </c>
      <c r="L92" s="268" t="n">
        <v>3.3392633E7</v>
      </c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</row>
    <row r="93" spans="2:257" x14ac:dyDescent="0.15">
      <c r="B93" s="16" t="s">
        <v>937</v>
      </c>
      <c r="C93" s="272" t="n">
        <v>7.2809344E7</v>
      </c>
      <c r="D93" s="272" t="n">
        <v>2264583.0</v>
      </c>
      <c r="E93" s="272" t="n">
        <v>2.4139305E7</v>
      </c>
      <c r="F93" s="272" t="n">
        <v>8750865.0</v>
      </c>
      <c r="G93" s="272" t="n">
        <v>2.1543055E7</v>
      </c>
      <c r="H93" s="272" t="n">
        <v>5.0164677E7</v>
      </c>
      <c r="I93" s="272" t="n">
        <v>7.4802557E7</v>
      </c>
      <c r="J93" s="272" t="n">
        <v>7.2682855E7</v>
      </c>
      <c r="K93" s="272" t="n">
        <v>4.3910607E7</v>
      </c>
      <c r="L93" s="272" t="n">
        <v>3.5129688E7</v>
      </c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</row>
    <row r="94" spans="2:257" x14ac:dyDescent="0.15" hidden="true">
      <c r="B94" s="16" t="s">
        <v>353</v>
      </c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</row>
    <row r="95" spans="2:257" x14ac:dyDescent="0.15" hidden="true">
      <c r="B95" s="16" t="s">
        <v>354</v>
      </c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</row>
    <row r="96" spans="2:257" x14ac:dyDescent="0.15" hidden="true">
      <c r="B96" s="16" t="s">
        <v>355</v>
      </c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</row>
    <row r="97" spans="2:257" x14ac:dyDescent="0.15" hidden="true">
      <c r="B97" s="16" t="s">
        <v>356</v>
      </c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</row>
    <row r="98" spans="2:257" x14ac:dyDescent="0.15" hidden="true">
      <c r="B98" s="16" t="s">
        <v>357</v>
      </c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</row>
    <row r="99" spans="2:257" x14ac:dyDescent="0.15" hidden="true">
      <c r="B99" s="16" t="s">
        <v>358</v>
      </c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</row>
    <row r="100" spans="2:257" x14ac:dyDescent="0.15" hidden="true">
      <c r="B100" s="16" t="s">
        <v>359</v>
      </c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</row>
    <row r="101" spans="2:257" x14ac:dyDescent="0.15" hidden="true">
      <c r="B101" s="16" t="s">
        <v>360</v>
      </c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</row>
    <row r="102" spans="2:257" x14ac:dyDescent="0.15" hidden="true">
      <c r="B102" s="16" t="s">
        <v>361</v>
      </c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</row>
    <row r="103" spans="2:257" x14ac:dyDescent="0.15" hidden="true">
      <c r="B103" s="16" t="s">
        <v>362</v>
      </c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</row>
    <row r="104" spans="2:257" x14ac:dyDescent="0.15" hidden="true">
      <c r="B104" s="16" t="s">
        <v>363</v>
      </c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</row>
    <row r="105" spans="2:257" x14ac:dyDescent="0.15" hidden="true">
      <c r="B105" s="16" t="s">
        <v>364</v>
      </c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</row>
    <row r="106" spans="2:257" x14ac:dyDescent="0.15" hidden="true">
      <c r="B106" s="16" t="s">
        <v>365</v>
      </c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</row>
    <row r="107" spans="2:257" x14ac:dyDescent="0.15" hidden="true">
      <c r="B107" s="16" t="s">
        <v>366</v>
      </c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</row>
    <row r="108" spans="2:257" x14ac:dyDescent="0.15" hidden="true">
      <c r="B108" s="16" t="s">
        <v>367</v>
      </c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</row>
    <row r="109" spans="2:257" x14ac:dyDescent="0.15" hidden="true">
      <c r="B109" s="16" t="s">
        <v>368</v>
      </c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</row>
    <row r="110" spans="2:257" x14ac:dyDescent="0.15" hidden="true">
      <c r="B110" s="16" t="s">
        <v>369</v>
      </c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</row>
    <row r="111" spans="2:257" x14ac:dyDescent="0.15" hidden="true">
      <c r="B111" s="16" t="s">
        <v>370</v>
      </c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</row>
    <row r="112" spans="2:257" x14ac:dyDescent="0.15" hidden="true">
      <c r="B112" s="16" t="s">
        <v>371</v>
      </c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</row>
    <row r="113" spans="2:257" x14ac:dyDescent="0.15" hidden="true">
      <c r="B113" s="16" t="s">
        <v>372</v>
      </c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</row>
    <row r="114" spans="2:257" x14ac:dyDescent="0.15" hidden="true">
      <c r="B114" s="16" t="s">
        <v>373</v>
      </c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</row>
    <row r="115" spans="2:257" x14ac:dyDescent="0.15" hidden="true">
      <c r="B115" s="16" t="s">
        <v>374</v>
      </c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</row>
    <row r="116" spans="2:257" x14ac:dyDescent="0.15" hidden="true">
      <c r="B116" s="16" t="s">
        <v>375</v>
      </c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</row>
    <row r="117" spans="2:257" x14ac:dyDescent="0.15" hidden="true">
      <c r="B117" s="16" t="s">
        <v>376</v>
      </c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</row>
    <row r="118" spans="2:257" x14ac:dyDescent="0.15" hidden="true">
      <c r="B118" s="16" t="s">
        <v>377</v>
      </c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</row>
    <row r="119" spans="2:257" x14ac:dyDescent="0.15" hidden="true">
      <c r="B119" s="16" t="s">
        <v>378</v>
      </c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</row>
    <row r="120" spans="2:257" x14ac:dyDescent="0.15" hidden="true">
      <c r="B120" s="16" t="s">
        <v>379</v>
      </c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</row>
    <row r="121" spans="2:257" x14ac:dyDescent="0.15" hidden="true">
      <c r="B121" s="16" t="s">
        <v>380</v>
      </c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</row>
    <row r="122" spans="2:257" x14ac:dyDescent="0.15" hidden="true">
      <c r="B122" s="16" t="s">
        <v>381</v>
      </c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</row>
    <row r="123" spans="2:257" x14ac:dyDescent="0.15" hidden="true">
      <c r="B123" s="16" t="s">
        <v>382</v>
      </c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</row>
    <row r="124" spans="2:257" x14ac:dyDescent="0.15" hidden="true">
      <c r="B124" s="16" t="s">
        <v>383</v>
      </c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</row>
    <row r="125" spans="2:257" x14ac:dyDescent="0.15" hidden="true">
      <c r="B125" s="16" t="s">
        <v>384</v>
      </c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</row>
    <row r="126" spans="2:257" x14ac:dyDescent="0.15" hidden="true">
      <c r="B126" s="16" t="s">
        <v>385</v>
      </c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</row>
    <row r="127" spans="2:257" x14ac:dyDescent="0.15" hidden="true">
      <c r="B127" s="16" t="s">
        <v>386</v>
      </c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</row>
    <row r="128" spans="2:257" x14ac:dyDescent="0.15" hidden="true">
      <c r="B128" s="16" t="s">
        <v>387</v>
      </c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</row>
    <row r="129" spans="2:257" x14ac:dyDescent="0.15" hidden="true">
      <c r="B129" s="16" t="s">
        <v>388</v>
      </c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</row>
    <row r="130" spans="2:257" x14ac:dyDescent="0.15" hidden="true">
      <c r="B130" s="16" t="s">
        <v>389</v>
      </c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</row>
    <row r="131" spans="2:257" x14ac:dyDescent="0.15" hidden="true">
      <c r="B131" s="16" t="s">
        <v>390</v>
      </c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</row>
    <row r="132" spans="2:257" x14ac:dyDescent="0.15" hidden="true">
      <c r="B132" s="16" t="s">
        <v>391</v>
      </c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</row>
    <row r="133" spans="2:257" x14ac:dyDescent="0.15" hidden="true">
      <c r="B133" s="16" t="s">
        <v>392</v>
      </c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</row>
    <row r="134" spans="2:257" x14ac:dyDescent="0.15" hidden="true">
      <c r="B134" s="16" t="s">
        <v>393</v>
      </c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</row>
    <row r="135" spans="2:257" x14ac:dyDescent="0.15" hidden="true">
      <c r="B135" s="16" t="s">
        <v>394</v>
      </c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</row>
    <row r="136" spans="2:257" x14ac:dyDescent="0.15" hidden="true">
      <c r="B136" s="16" t="s">
        <v>395</v>
      </c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</row>
    <row r="137" spans="2:257" x14ac:dyDescent="0.15" hidden="true">
      <c r="B137" s="16" t="s">
        <v>396</v>
      </c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</row>
    <row r="138" spans="2:257" x14ac:dyDescent="0.15" hidden="true">
      <c r="B138" s="16" t="s">
        <v>397</v>
      </c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</row>
    <row r="139" spans="2:257" x14ac:dyDescent="0.15" hidden="true">
      <c r="B139" s="16" t="s">
        <v>398</v>
      </c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</row>
    <row r="140" spans="2:257" x14ac:dyDescent="0.15" hidden="true">
      <c r="B140" s="16" t="s">
        <v>399</v>
      </c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</row>
    <row r="141" spans="2:257" x14ac:dyDescent="0.15" hidden="true">
      <c r="B141" s="16" t="s">
        <v>400</v>
      </c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</row>
    <row r="142" spans="2:257" x14ac:dyDescent="0.15" hidden="true">
      <c r="B142" s="16" t="s">
        <v>401</v>
      </c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</row>
    <row r="143" spans="2:257" x14ac:dyDescent="0.15" hidden="true">
      <c r="B143" s="16" t="s">
        <v>402</v>
      </c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</row>
    <row r="144" spans="2:257" x14ac:dyDescent="0.15" hidden="true">
      <c r="B144" s="16" t="s">
        <v>403</v>
      </c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</row>
    <row r="145" spans="2:257" x14ac:dyDescent="0.15" hidden="true">
      <c r="B145" s="16" t="s">
        <v>404</v>
      </c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</row>
    <row r="146" spans="2:257" x14ac:dyDescent="0.15" hidden="true">
      <c r="B146" s="16" t="s">
        <v>405</v>
      </c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</row>
    <row r="147" spans="2:257" x14ac:dyDescent="0.15" hidden="true">
      <c r="B147" s="16" t="s">
        <v>406</v>
      </c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</row>
    <row r="148" spans="2:257" x14ac:dyDescent="0.15" hidden="true">
      <c r="B148" s="16" t="s">
        <v>407</v>
      </c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</row>
    <row r="149" spans="2:257" x14ac:dyDescent="0.15" hidden="true">
      <c r="B149" s="16" t="s">
        <v>408</v>
      </c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</row>
    <row r="150" spans="2:257" x14ac:dyDescent="0.15" hidden="true">
      <c r="B150" s="16" t="s">
        <v>409</v>
      </c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</row>
    <row r="151" spans="2:257" x14ac:dyDescent="0.15" hidden="true">
      <c r="B151" s="16" t="s">
        <v>410</v>
      </c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</row>
    <row r="152" spans="2:257" x14ac:dyDescent="0.15" hidden="true">
      <c r="B152" s="16" t="s">
        <v>411</v>
      </c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</row>
    <row r="153" spans="2:257" x14ac:dyDescent="0.15" hidden="true">
      <c r="B153" s="16" t="s">
        <v>412</v>
      </c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</row>
    <row r="154" spans="2:257" x14ac:dyDescent="0.15" hidden="true">
      <c r="B154" s="16" t="s">
        <v>413</v>
      </c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</row>
    <row r="155" spans="2:257" x14ac:dyDescent="0.15" hidden="true">
      <c r="B155" s="16" t="s">
        <v>414</v>
      </c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</row>
    <row r="156" spans="2:257" x14ac:dyDescent="0.15" hidden="true">
      <c r="B156" s="16" t="s">
        <v>415</v>
      </c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</row>
    <row r="157" spans="2:257" x14ac:dyDescent="0.15" hidden="true">
      <c r="B157" s="16" t="s">
        <v>416</v>
      </c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</row>
    <row r="158" spans="2:257" x14ac:dyDescent="0.15" hidden="true">
      <c r="B158" s="16" t="s">
        <v>417</v>
      </c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</row>
    <row r="159" spans="2:257" x14ac:dyDescent="0.15" hidden="true">
      <c r="B159" s="16" t="s">
        <v>418</v>
      </c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</row>
    <row r="160" spans="2:257" x14ac:dyDescent="0.15" hidden="true">
      <c r="B160" s="16" t="s">
        <v>419</v>
      </c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</row>
    <row r="161" spans="2:257" x14ac:dyDescent="0.15" hidden="true">
      <c r="B161" s="16" t="s">
        <v>420</v>
      </c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</row>
    <row r="162" spans="2:257" x14ac:dyDescent="0.15" hidden="true">
      <c r="B162" s="16" t="s">
        <v>421</v>
      </c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</row>
    <row r="163" spans="2:257" x14ac:dyDescent="0.15" hidden="true">
      <c r="B163" s="16" t="s">
        <v>422</v>
      </c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</row>
    <row r="164" spans="2:257" x14ac:dyDescent="0.15" hidden="true">
      <c r="B164" s="16" t="s">
        <v>423</v>
      </c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</row>
    <row r="165" spans="2:257" x14ac:dyDescent="0.15" hidden="true">
      <c r="B165" s="16" t="s">
        <v>424</v>
      </c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</row>
    <row r="166" spans="2:257" x14ac:dyDescent="0.15" hidden="true">
      <c r="B166" s="16" t="s">
        <v>425</v>
      </c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</row>
    <row r="167" spans="2:257" x14ac:dyDescent="0.15" hidden="true">
      <c r="B167" s="16" t="s">
        <v>426</v>
      </c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</row>
    <row r="168" spans="2:257" x14ac:dyDescent="0.15" hidden="true">
      <c r="B168" s="16" t="s">
        <v>427</v>
      </c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</row>
    <row r="169" spans="2:257" x14ac:dyDescent="0.15" hidden="true">
      <c r="B169" s="16" t="s">
        <v>428</v>
      </c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</row>
    <row r="170" spans="2:257" x14ac:dyDescent="0.15" hidden="true">
      <c r="B170" s="16" t="s">
        <v>429</v>
      </c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</row>
    <row r="171" spans="2:257" x14ac:dyDescent="0.15" hidden="true">
      <c r="B171" s="16" t="s">
        <v>430</v>
      </c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</row>
    <row r="172" spans="2:257" x14ac:dyDescent="0.15" hidden="true">
      <c r="B172" s="16" t="s">
        <v>431</v>
      </c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</row>
    <row r="173" spans="2:257" x14ac:dyDescent="0.15" hidden="true">
      <c r="B173" s="16" t="s">
        <v>432</v>
      </c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</row>
    <row r="174" spans="2:257" x14ac:dyDescent="0.15" hidden="true">
      <c r="B174" s="16" t="s">
        <v>433</v>
      </c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</row>
    <row r="175" spans="2:257" x14ac:dyDescent="0.15" hidden="true">
      <c r="B175" s="16" t="s">
        <v>434</v>
      </c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</row>
    <row r="176" spans="2:257" x14ac:dyDescent="0.15" hidden="true">
      <c r="B176" s="16" t="s">
        <v>435</v>
      </c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</row>
    <row r="177" spans="2:257" x14ac:dyDescent="0.15" hidden="true">
      <c r="B177" s="16" t="s">
        <v>436</v>
      </c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</row>
    <row r="178" spans="2:257" x14ac:dyDescent="0.15" hidden="true">
      <c r="B178" s="16" t="s">
        <v>437</v>
      </c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</row>
    <row r="179" spans="2:257" x14ac:dyDescent="0.15" hidden="true">
      <c r="B179" s="16" t="s">
        <v>438</v>
      </c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</row>
    <row r="180" spans="2:257" x14ac:dyDescent="0.15" hidden="true">
      <c r="B180" s="16" t="s">
        <v>439</v>
      </c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</row>
    <row r="181" spans="2:257" x14ac:dyDescent="0.15" hidden="true">
      <c r="B181" s="16" t="s">
        <v>440</v>
      </c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</row>
    <row r="182" spans="2:257" x14ac:dyDescent="0.15" hidden="true">
      <c r="B182" s="16" t="s">
        <v>441</v>
      </c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</row>
    <row r="183" spans="2:257" x14ac:dyDescent="0.15" hidden="true">
      <c r="B183" s="16" t="s">
        <v>442</v>
      </c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</row>
    <row r="184" spans="2:257" x14ac:dyDescent="0.15" hidden="true">
      <c r="B184" s="16" t="s">
        <v>443</v>
      </c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</row>
    <row r="185" spans="2:257" x14ac:dyDescent="0.15" hidden="true">
      <c r="B185" s="16" t="s">
        <v>444</v>
      </c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</row>
    <row r="186" spans="2:257" x14ac:dyDescent="0.15" hidden="true">
      <c r="B186" s="16" t="s">
        <v>445</v>
      </c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</row>
    <row r="187" spans="2:257" x14ac:dyDescent="0.15" hidden="true">
      <c r="B187" s="16" t="s">
        <v>446</v>
      </c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</row>
    <row r="188" spans="2:257" x14ac:dyDescent="0.15" hidden="true">
      <c r="B188" s="16" t="s">
        <v>447</v>
      </c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</row>
    <row r="189" spans="2:257" x14ac:dyDescent="0.15" hidden="true">
      <c r="B189" s="16" t="s">
        <v>448</v>
      </c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</row>
    <row r="190" spans="2:257" x14ac:dyDescent="0.15" hidden="true">
      <c r="B190" s="16" t="s">
        <v>449</v>
      </c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</row>
    <row r="191" spans="2:257" x14ac:dyDescent="0.15" hidden="true">
      <c r="B191" s="16" t="s">
        <v>450</v>
      </c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</row>
    <row r="192" spans="2:257" x14ac:dyDescent="0.15" hidden="true">
      <c r="B192" s="16" t="s">
        <v>451</v>
      </c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</row>
    <row r="193" spans="2:257" x14ac:dyDescent="0.15" hidden="true">
      <c r="B193" s="16" t="s">
        <v>452</v>
      </c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</row>
    <row r="194" spans="2:257" x14ac:dyDescent="0.15" hidden="true">
      <c r="B194" s="16" t="s">
        <v>453</v>
      </c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</row>
    <row r="195" spans="2:257" x14ac:dyDescent="0.15" hidden="true">
      <c r="B195" s="16" t="s">
        <v>454</v>
      </c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</row>
    <row r="196" spans="2:257" x14ac:dyDescent="0.15" hidden="true">
      <c r="B196" s="16" t="s">
        <v>455</v>
      </c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</row>
    <row r="197" spans="2:257" x14ac:dyDescent="0.15" hidden="true">
      <c r="B197" s="16" t="s">
        <v>456</v>
      </c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</row>
    <row r="198" spans="2:257" x14ac:dyDescent="0.15" hidden="true">
      <c r="B198" s="16" t="s">
        <v>457</v>
      </c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</row>
    <row r="199" spans="2:257" x14ac:dyDescent="0.15" hidden="true">
      <c r="B199" s="16" t="s">
        <v>458</v>
      </c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</row>
    <row r="200" spans="2:257" x14ac:dyDescent="0.15" hidden="true">
      <c r="B200" s="16" t="s">
        <v>459</v>
      </c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</row>
    <row r="201" spans="2:257" x14ac:dyDescent="0.15" hidden="true">
      <c r="B201" s="16" t="s">
        <v>460</v>
      </c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</row>
    <row r="202" spans="2:257" x14ac:dyDescent="0.15" hidden="true">
      <c r="B202" s="16" t="s">
        <v>461</v>
      </c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</row>
    <row r="203" spans="2:257" x14ac:dyDescent="0.15" hidden="true">
      <c r="B203" s="16" t="s">
        <v>462</v>
      </c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</row>
    <row r="204" spans="2:257" x14ac:dyDescent="0.15" hidden="true">
      <c r="B204" s="16" t="s">
        <v>463</v>
      </c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</row>
    <row r="205" spans="2:257" x14ac:dyDescent="0.15" hidden="true">
      <c r="B205" s="16" t="s">
        <v>464</v>
      </c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</row>
    <row r="206" spans="2:257" x14ac:dyDescent="0.15" hidden="true">
      <c r="B206" s="16" t="s">
        <v>465</v>
      </c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</row>
    <row r="207" spans="2:257" x14ac:dyDescent="0.15" hidden="true">
      <c r="B207" s="16" t="s">
        <v>466</v>
      </c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</row>
    <row r="208" spans="2:257" x14ac:dyDescent="0.15" hidden="true">
      <c r="B208" s="16" t="s">
        <v>467</v>
      </c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</row>
    <row r="209" spans="2:257" x14ac:dyDescent="0.15" hidden="true">
      <c r="B209" s="16" t="s">
        <v>468</v>
      </c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</row>
    <row r="210" spans="2:257" x14ac:dyDescent="0.15" hidden="true">
      <c r="B210" s="16" t="s">
        <v>469</v>
      </c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</row>
    <row r="211" spans="2:257" x14ac:dyDescent="0.15" hidden="true">
      <c r="B211" s="16" t="s">
        <v>470</v>
      </c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</row>
    <row r="212" spans="2:257" x14ac:dyDescent="0.15" hidden="true">
      <c r="B212" s="16" t="s">
        <v>471</v>
      </c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</row>
    <row r="213" spans="2:257" x14ac:dyDescent="0.15" hidden="true">
      <c r="B213" s="16" t="s">
        <v>472</v>
      </c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</row>
    <row r="214" spans="2:257" x14ac:dyDescent="0.15" hidden="true">
      <c r="B214" s="16" t="s">
        <v>473</v>
      </c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</row>
    <row r="215" spans="2:257" x14ac:dyDescent="0.15" hidden="true">
      <c r="B215" s="16" t="s">
        <v>474</v>
      </c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</row>
    <row r="216" spans="2:257" x14ac:dyDescent="0.15" hidden="true">
      <c r="B216" s="16" t="s">
        <v>475</v>
      </c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</row>
    <row r="217" spans="2:257" x14ac:dyDescent="0.15" hidden="true">
      <c r="B217" s="16" t="s">
        <v>476</v>
      </c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</row>
    <row r="218" spans="2:257" x14ac:dyDescent="0.15" hidden="true">
      <c r="B218" s="16" t="s">
        <v>477</v>
      </c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</row>
    <row r="219" spans="2:257" x14ac:dyDescent="0.15" hidden="true">
      <c r="B219" s="16" t="s">
        <v>478</v>
      </c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</row>
    <row r="220" spans="2:257" x14ac:dyDescent="0.15" hidden="true">
      <c r="B220" s="16" t="s">
        <v>479</v>
      </c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</row>
    <row r="221" spans="2:257" x14ac:dyDescent="0.15" hidden="true">
      <c r="B221" s="16" t="s">
        <v>480</v>
      </c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</row>
    <row r="222" spans="2:257" x14ac:dyDescent="0.15" hidden="true">
      <c r="B222" s="16" t="s">
        <v>481</v>
      </c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</row>
    <row r="223" spans="2:257" x14ac:dyDescent="0.15" hidden="true">
      <c r="B223" s="16" t="s">
        <v>482</v>
      </c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</row>
    <row r="224" spans="2:257" x14ac:dyDescent="0.15" hidden="true">
      <c r="B224" s="16" t="s">
        <v>483</v>
      </c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</row>
    <row r="225" spans="2:257" x14ac:dyDescent="0.15" hidden="true">
      <c r="B225" s="16" t="s">
        <v>484</v>
      </c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</row>
    <row r="226" spans="2:257" x14ac:dyDescent="0.15" hidden="true">
      <c r="B226" s="16" t="s">
        <v>485</v>
      </c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</row>
    <row r="227" spans="2:257" x14ac:dyDescent="0.15" hidden="true">
      <c r="B227" s="16" t="s">
        <v>486</v>
      </c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</row>
    <row r="228" spans="2:257" x14ac:dyDescent="0.15" hidden="true">
      <c r="B228" s="16" t="s">
        <v>487</v>
      </c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</row>
    <row r="229" spans="2:257" x14ac:dyDescent="0.15" hidden="true">
      <c r="B229" s="16" t="s">
        <v>488</v>
      </c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</row>
    <row r="230" spans="2:257" x14ac:dyDescent="0.15" hidden="true">
      <c r="B230" s="16" t="s">
        <v>489</v>
      </c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</row>
    <row r="231" spans="2:257" x14ac:dyDescent="0.15" hidden="true">
      <c r="B231" s="16" t="s">
        <v>490</v>
      </c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</row>
    <row r="232" spans="2:257" x14ac:dyDescent="0.15" hidden="true">
      <c r="B232" s="16" t="s">
        <v>491</v>
      </c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</row>
    <row r="233" spans="2:257" x14ac:dyDescent="0.15" hidden="true">
      <c r="B233" s="16" t="s">
        <v>492</v>
      </c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</row>
    <row r="234" spans="2:257" x14ac:dyDescent="0.15" hidden="true">
      <c r="B234" s="16" t="s">
        <v>493</v>
      </c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</row>
    <row r="235" spans="2:257" x14ac:dyDescent="0.15" hidden="true">
      <c r="B235" s="16" t="s">
        <v>494</v>
      </c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</row>
    <row r="236" spans="2:257" x14ac:dyDescent="0.15" hidden="true">
      <c r="B236" s="16" t="s">
        <v>495</v>
      </c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</row>
    <row r="237" spans="2:257" x14ac:dyDescent="0.15" hidden="true">
      <c r="B237" s="16" t="s">
        <v>496</v>
      </c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</row>
    <row r="238" spans="2:257" x14ac:dyDescent="0.15" hidden="true">
      <c r="B238" s="16" t="s">
        <v>497</v>
      </c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</row>
    <row r="239" spans="2:257" x14ac:dyDescent="0.15" hidden="true">
      <c r="B239" s="16" t="s">
        <v>498</v>
      </c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</row>
    <row r="240" spans="2:257" x14ac:dyDescent="0.15" hidden="true">
      <c r="B240" s="16" t="s">
        <v>499</v>
      </c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</row>
    <row r="241" spans="2:257" x14ac:dyDescent="0.15" hidden="true">
      <c r="B241" s="16" t="s">
        <v>500</v>
      </c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</row>
    <row r="242" spans="2:257" x14ac:dyDescent="0.15" hidden="true">
      <c r="B242" s="16" t="s">
        <v>501</v>
      </c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</row>
    <row r="243" spans="2:257" x14ac:dyDescent="0.15" hidden="true">
      <c r="B243" s="16" t="s">
        <v>502</v>
      </c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</row>
    <row r="244" spans="2:257" x14ac:dyDescent="0.15" hidden="true">
      <c r="B244" s="16" t="s">
        <v>503</v>
      </c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</row>
    <row r="245" spans="2:257" x14ac:dyDescent="0.15" hidden="true">
      <c r="B245" s="16" t="s">
        <v>504</v>
      </c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</row>
    <row r="246" spans="2:257" x14ac:dyDescent="0.15" hidden="true">
      <c r="B246" s="16" t="s">
        <v>505</v>
      </c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</row>
    <row r="247" spans="2:257" x14ac:dyDescent="0.15" hidden="true">
      <c r="B247" s="16" t="s">
        <v>506</v>
      </c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</row>
    <row r="248" spans="2:257" x14ac:dyDescent="0.15" hidden="true">
      <c r="B248" s="16" t="s">
        <v>507</v>
      </c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</row>
    <row r="249" spans="2:257" x14ac:dyDescent="0.15" hidden="true">
      <c r="B249" s="16" t="s">
        <v>508</v>
      </c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</row>
    <row r="250" spans="2:257" x14ac:dyDescent="0.15" hidden="true">
      <c r="B250" s="16" t="s">
        <v>509</v>
      </c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</row>
    <row r="251" spans="2:257" x14ac:dyDescent="0.15" hidden="true">
      <c r="B251" s="16" t="s">
        <v>510</v>
      </c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</row>
    <row r="252" spans="2:257" x14ac:dyDescent="0.15" hidden="true">
      <c r="B252" s="16" t="s">
        <v>511</v>
      </c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</row>
    <row r="253" spans="2:257" x14ac:dyDescent="0.15" hidden="true">
      <c r="B253" s="16" t="s">
        <v>512</v>
      </c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</row>
    <row r="254" spans="2:257" x14ac:dyDescent="0.15" hidden="true">
      <c r="B254" s="16" t="s">
        <v>513</v>
      </c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</row>
    <row r="255" spans="2:257" x14ac:dyDescent="0.15" hidden="true">
      <c r="B255" s="16" t="s">
        <v>514</v>
      </c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</row>
    <row r="256" spans="2:257" x14ac:dyDescent="0.15">
      <c r="B256" s="16" t="s">
        <v>938</v>
      </c>
      <c r="C256" s="276" t="n">
        <v>2.860085689E9</v>
      </c>
      <c r="D256" s="276" t="n">
        <v>2.246745361E9</v>
      </c>
      <c r="E256" s="276" t="n">
        <v>2.269145413E9</v>
      </c>
      <c r="F256" s="276" t="n">
        <v>3.882111992E9</v>
      </c>
      <c r="G256" s="276" t="n">
        <v>3.046707321E9</v>
      </c>
      <c r="H256" s="276" t="n">
        <v>3.366550715E9</v>
      </c>
      <c r="I256" s="276" t="n">
        <v>3.18830934E9</v>
      </c>
      <c r="J256" s="276" t="n">
        <v>3.438522953E9</v>
      </c>
      <c r="K256" s="276" t="n">
        <v>4.119997376E9</v>
      </c>
      <c r="L256" s="276" t="n">
        <v>5.140443497E9</v>
      </c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</row>
    <row r="257" spans="2:257" x14ac:dyDescent="0.15" hidden="true">
      <c r="B257" s="16" t="s">
        <v>516</v>
      </c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23"/>
      <c r="BU257" s="23"/>
      <c r="BV257" s="23"/>
      <c r="BW257" s="23"/>
      <c r="BX257" s="23"/>
      <c r="BY257" s="23"/>
      <c r="BZ257" s="23"/>
      <c r="CA257" s="23"/>
      <c r="CB257" s="23"/>
      <c r="CC257" s="23"/>
      <c r="CD257" s="23"/>
      <c r="CE257" s="23"/>
      <c r="CF257" s="23"/>
      <c r="CG257" s="23"/>
      <c r="CH257" s="23"/>
      <c r="CI257" s="23"/>
      <c r="CJ257" s="23"/>
      <c r="CK257" s="23"/>
      <c r="CL257" s="23"/>
      <c r="CM257" s="23"/>
      <c r="CN257" s="23"/>
      <c r="CO257" s="23"/>
      <c r="CP257" s="23"/>
      <c r="CQ257" s="23"/>
      <c r="CR257" s="23"/>
      <c r="CS257" s="23"/>
      <c r="CT257" s="23"/>
      <c r="CU257" s="23"/>
      <c r="CV257" s="23"/>
      <c r="CW257" s="23"/>
      <c r="CX257" s="23"/>
      <c r="CY257" s="23"/>
      <c r="CZ257" s="23"/>
      <c r="DA257" s="23"/>
      <c r="DB257" s="23"/>
      <c r="DC257" s="23"/>
      <c r="DD257" s="23"/>
      <c r="DE257" s="23"/>
      <c r="DF257" s="23"/>
      <c r="DG257" s="23"/>
      <c r="DH257" s="23"/>
      <c r="DI257" s="23"/>
      <c r="DJ257" s="23"/>
      <c r="DK257" s="23"/>
      <c r="DL257" s="23"/>
      <c r="DM257" s="23"/>
      <c r="DN257" s="23"/>
      <c r="DO257" s="23"/>
      <c r="DP257" s="23"/>
      <c r="DQ257" s="23"/>
      <c r="DR257" s="23"/>
      <c r="DS257" s="23"/>
      <c r="DT257" s="23"/>
      <c r="DU257" s="23"/>
      <c r="DV257" s="23"/>
      <c r="DW257" s="23"/>
      <c r="DX257" s="23"/>
      <c r="DY257" s="23"/>
      <c r="DZ257" s="23"/>
      <c r="EA257" s="23"/>
      <c r="EB257" s="23"/>
      <c r="EC257" s="23"/>
      <c r="ED257" s="23"/>
      <c r="EE257" s="23"/>
      <c r="EF257" s="23"/>
      <c r="EG257" s="23"/>
      <c r="EH257" s="23"/>
      <c r="EI257" s="23"/>
      <c r="EJ257" s="23"/>
      <c r="EK257" s="23"/>
      <c r="EL257" s="23"/>
      <c r="EM257" s="23"/>
      <c r="EN257" s="23"/>
      <c r="EO257" s="23"/>
      <c r="EP257" s="23"/>
      <c r="EQ257" s="23"/>
      <c r="ER257" s="23"/>
      <c r="ES257" s="23"/>
      <c r="ET257" s="23"/>
      <c r="EU257" s="23"/>
      <c r="EV257" s="23"/>
      <c r="EW257" s="23"/>
      <c r="EX257" s="23"/>
      <c r="EY257" s="23"/>
      <c r="EZ257" s="23"/>
      <c r="FA257" s="23"/>
      <c r="FB257" s="23"/>
      <c r="FC257" s="23"/>
      <c r="FD257" s="23"/>
      <c r="FE257" s="23"/>
      <c r="FF257" s="23"/>
      <c r="FG257" s="23"/>
      <c r="FH257" s="23"/>
      <c r="FI257" s="23"/>
      <c r="FJ257" s="23"/>
      <c r="FK257" s="23"/>
      <c r="FL257" s="23"/>
      <c r="FM257" s="23"/>
      <c r="FN257" s="23"/>
      <c r="FO257" s="23"/>
      <c r="FP257" s="23"/>
      <c r="FQ257" s="23"/>
      <c r="FR257" s="23"/>
      <c r="FS257" s="23"/>
      <c r="FT257" s="23"/>
      <c r="FU257" s="23"/>
      <c r="FV257" s="23"/>
      <c r="FW257" s="23"/>
      <c r="FX257" s="23"/>
      <c r="FY257" s="23"/>
      <c r="FZ257" s="23"/>
      <c r="GA257" s="23"/>
      <c r="GB257" s="23"/>
      <c r="GC257" s="23"/>
      <c r="GD257" s="23"/>
      <c r="GE257" s="23"/>
      <c r="GF257" s="23"/>
      <c r="GG257" s="23"/>
      <c r="GH257" s="23"/>
      <c r="GI257" s="23"/>
      <c r="GJ257" s="23"/>
      <c r="GK257" s="23"/>
      <c r="GL257" s="23"/>
      <c r="GM257" s="23"/>
      <c r="GN257" s="23"/>
      <c r="GO257" s="23"/>
      <c r="GP257" s="23"/>
      <c r="GQ257" s="23"/>
      <c r="GR257" s="23"/>
      <c r="GS257" s="23"/>
      <c r="GT257" s="23"/>
      <c r="GU257" s="23"/>
      <c r="GV257" s="23"/>
      <c r="GW257" s="23"/>
      <c r="GX257" s="23"/>
      <c r="GY257" s="23"/>
      <c r="GZ257" s="23"/>
      <c r="HA257" s="23"/>
      <c r="HB257" s="23"/>
      <c r="HC257" s="23"/>
      <c r="HD257" s="23"/>
      <c r="HE257" s="23"/>
      <c r="HF257" s="23"/>
      <c r="HG257" s="23"/>
      <c r="HH257" s="23"/>
      <c r="HI257" s="23"/>
      <c r="HJ257" s="23"/>
      <c r="HK257" s="23"/>
      <c r="HL257" s="23"/>
      <c r="HM257" s="23"/>
      <c r="HN257" s="23"/>
      <c r="HO257" s="23"/>
      <c r="HP257" s="23"/>
      <c r="HQ257" s="23"/>
      <c r="HR257" s="23"/>
      <c r="HS257" s="23"/>
      <c r="HT257" s="23"/>
      <c r="HU257" s="23"/>
      <c r="HV257" s="23"/>
      <c r="HW257" s="23"/>
      <c r="HX257" s="23"/>
      <c r="HY257" s="23"/>
      <c r="HZ257" s="23"/>
      <c r="IA257" s="23"/>
      <c r="IB257" s="23"/>
      <c r="IC257" s="23"/>
      <c r="ID257" s="23"/>
      <c r="IE257" s="23"/>
      <c r="IF257" s="23"/>
      <c r="IG257" s="23"/>
      <c r="IH257" s="23"/>
      <c r="II257" s="23"/>
      <c r="IJ257" s="23"/>
      <c r="IK257" s="23"/>
      <c r="IL257" s="23"/>
      <c r="IM257" s="23"/>
      <c r="IN257" s="23"/>
      <c r="IO257" s="23"/>
      <c r="IP257" s="23"/>
      <c r="IQ257" s="23"/>
      <c r="IR257" s="23"/>
      <c r="IS257" s="23"/>
      <c r="IT257" s="23"/>
      <c r="IU257" s="23"/>
      <c r="IV257" s="23"/>
      <c r="IW257" s="23"/>
    </row>
    <row r="258" spans="2:257" ht="16.5" customHeight="1" x14ac:dyDescent="0.15">
      <c r="B258" s="24"/>
      <c r="C258" s="24"/>
      <c r="D258" s="24"/>
      <c r="E258" s="24"/>
      <c r="F258" s="24"/>
      <c r="G258" s="24"/>
    </row>
    <row r="259" spans="2:257" x14ac:dyDescent="0.15">
      <c r="B259" s="25"/>
      <c r="C259" s="25"/>
      <c r="D259" s="25"/>
      <c r="E259" s="25"/>
      <c r="F259" s="25"/>
      <c r="G259" s="25"/>
    </row>
  </sheetData>
  <mergeCells count="2">
    <mergeCell ref="B258:G258"/>
    <mergeCell ref="B259:G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5" tint="0.39997558519241921"/>
  </sheetPr>
  <dimension ref="A1:K2"/>
  <sheetViews>
    <sheetView topLeftCell="C1" zoomScaleNormal="100" workbookViewId="0">
      <selection activeCell="C1" sqref="C1"/>
    </sheetView>
  </sheetViews>
  <sheetFormatPr defaultRowHeight="18.75" x14ac:dyDescent="0.15"/>
  <cols>
    <col min="1" max="1" customWidth="true" hidden="true" style="7" width="19.5" collapsed="false"/>
    <col min="2" max="2" customWidth="true" hidden="true" style="7" width="18.25" collapsed="false"/>
    <col min="3" max="3" customWidth="true" style="7" width="32.0" collapsed="false"/>
    <col min="4" max="5" customWidth="true" style="7" width="19.5" collapsed="false"/>
    <col min="6" max="6" customWidth="true" hidden="true" style="7" width="12.0" collapsed="false"/>
    <col min="7" max="7" customWidth="true" style="7" width="10.375" collapsed="false"/>
    <col min="8" max="8" customWidth="true" style="7" width="10.25" collapsed="false"/>
    <col min="9" max="9" customWidth="true" style="7" width="67.5" collapsed="false"/>
    <col min="10" max="10" customWidth="true" hidden="true" style="7" width="9.0" collapsed="false"/>
    <col min="11" max="16384" style="7" width="9.0" collapsed="false"/>
  </cols>
  <sheetData>
    <row r="1" spans="1:10" s="4" customFormat="1" x14ac:dyDescent="0.15">
      <c r="A1" s="4" t="s">
        <v>945</v>
      </c>
      <c r="C1" s="5" t="s">
        <v>0</v>
      </c>
      <c r="D1" s="5" t="s">
        <v>5</v>
      </c>
      <c r="E1" s="5" t="s">
        <v>866</v>
      </c>
      <c r="F1" s="6" t="s">
        <v>4</v>
      </c>
      <c r="G1" s="5" t="s">
        <v>1</v>
      </c>
      <c r="H1" s="5" t="s">
        <v>3</v>
      </c>
      <c r="I1" s="5" t="s">
        <v>6</v>
      </c>
    </row>
    <row r="2" spans="1:10" x14ac:dyDescent="0.15">
      <c r="A2" s="7" t="str">
        <f>C2 &amp; "（" &amp; E2 &amp; "）"</f>
        <v>歳出（諸支出金）（小野町）</v>
      </c>
      <c r="B2" s="7" t="str">
        <f>"（注目する地域）" &amp; E2</f>
        <v>（注目する地域）小野町</v>
      </c>
      <c r="C2" s="8" t="s">
        <v>939</v>
      </c>
      <c r="D2" s="8" t="s">
        <v>940</v>
      </c>
      <c r="E2" s="8" t="s">
        <v>941</v>
      </c>
      <c r="F2" s="8" t="str">
        <f>G2 &amp; "（" &amp; H2 &amp; "）"</f>
        <v>歳出費（円）</v>
      </c>
      <c r="G2" s="8" t="s">
        <v>942</v>
      </c>
      <c r="H2" s="8" t="s">
        <v>943</v>
      </c>
      <c r="I2" s="8" t="s">
        <v>944</v>
      </c>
      <c r="J2" s="7" t="str">
        <f>"（出典）" &amp; I2</f>
        <v>（出典）厚生労働省「介護保険事業状況報告」年報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rgb="FFFFFF66"/>
  </sheetPr>
  <dimension ref="A1:IZ260"/>
  <sheetViews>
    <sheetView workbookViewId="0"/>
  </sheetViews>
  <sheetFormatPr defaultColWidth="14.625" defaultRowHeight="18.75" x14ac:dyDescent="0.15"/>
  <cols>
    <col min="260" max="16384" style="3" width="14.625" collapsed="true"/>
    <col min="259" max="259" style="3" width="14.625" collapsed="true" hidden="true"/>
    <col min="258" max="258" style="3" width="14.625" collapsed="true" hidden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3" max="123" style="3" width="14.625" collapsed="true" hidden="true"/>
    <col min="122" max="122" style="3" width="14.625" collapsed="true" hidden="true"/>
    <col min="121" max="121" style="3" width="14.625" collapsed="true" hidden="true"/>
    <col min="120" max="120" style="3" width="14.625" collapsed="true" hidden="true"/>
    <col min="119" max="119" style="3" width="14.625" collapsed="true" hidden="true"/>
    <col min="118" max="118" style="3" width="14.625" collapsed="true" hidden="true"/>
    <col min="117" max="117" style="3" width="14.625" collapsed="true" hidden="true"/>
    <col min="116" max="116" style="3" width="14.625" collapsed="true" hidden="true"/>
    <col min="115" max="115" style="3" width="14.625" collapsed="true" hidden="true"/>
    <col min="114" max="114" style="3" width="14.625" collapsed="true" hidden="true"/>
    <col min="113" max="113" style="3" width="14.625" collapsed="true" hidden="true"/>
    <col min="112" max="112" style="3" width="14.625" collapsed="true" hidden="true"/>
    <col min="111" max="111" style="3" width="14.625" collapsed="true" hidden="true"/>
    <col min="110" max="110" style="3" width="14.625" collapsed="true" hidden="true"/>
    <col min="109" max="109" style="3" width="14.625" collapsed="true" hidden="true"/>
    <col min="108" max="108" style="3" width="14.625" collapsed="true" hidden="true"/>
    <col min="107" max="107" style="3" width="14.625" collapsed="true" hidden="true"/>
    <col min="106" max="106" style="3" width="14.625" collapsed="true" hidden="true"/>
    <col min="105" max="105" style="3" width="14.625" collapsed="true" hidden="true"/>
    <col min="104" max="104" style="3" width="14.625" collapsed="true" hidden="true"/>
    <col min="103" max="103" style="3" width="14.625" collapsed="true" hidden="true"/>
    <col min="102" max="102" style="3" width="14.625" collapsed="true" hidden="true"/>
    <col min="101" max="101" style="3" width="14.625" collapsed="true" hidden="true"/>
    <col min="100" max="100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5" max="14" customWidth="true" style="3" width="14.625" collapsed="true"/>
    <col min="1" max="1" customWidth="true" style="3" width="9.0" collapsed="false"/>
    <col min="2" max="2" customWidth="true" style="10" width="12.234375" collapsed="false" bestFit="true"/>
    <col min="3" max="3" customWidth="true" style="10" width="29.8359375" collapsed="false" bestFit="true"/>
    <col min="4" max="4" customWidth="true" style="10" width="7.8359375" collapsed="false" bestFit="true"/>
    <col min="15" max="15" customWidth="true" style="3" width="14.625" collapsed="false" hidden="true"/>
    <col min="99" max="99" style="3" width="14.625" collapsed="false" hidden="true"/>
  </cols>
  <sheetData>
    <row r="1">
      <c r="A1" t="s">
        <v>946</v>
      </c>
    </row>
    <row r="2" spans="2:259" s="10" customFormat="1" x14ac:dyDescent="0.15">
      <c r="B2" s="11"/>
      <c r="C2" s="11"/>
      <c r="D2" s="11"/>
      <c r="E2" s="281" t="s">
        <v>867</v>
      </c>
      <c r="F2" s="281" t="s">
        <v>868</v>
      </c>
      <c r="G2" s="281" t="s">
        <v>869</v>
      </c>
      <c r="H2" s="281" t="s">
        <v>870</v>
      </c>
      <c r="I2" s="281" t="s">
        <v>871</v>
      </c>
      <c r="J2" s="281" t="s">
        <v>872</v>
      </c>
      <c r="K2" s="281" t="s">
        <v>873</v>
      </c>
      <c r="L2" s="281" t="s">
        <v>874</v>
      </c>
      <c r="M2" s="281" t="s">
        <v>875</v>
      </c>
      <c r="N2" s="281" t="s">
        <v>876</v>
      </c>
      <c r="O2" s="12" t="s">
        <v>782</v>
      </c>
      <c r="P2" s="12" t="s">
        <v>783</v>
      </c>
      <c r="Q2" s="12" t="s">
        <v>784</v>
      </c>
      <c r="R2" s="12" t="s">
        <v>785</v>
      </c>
      <c r="S2" s="12" t="s">
        <v>786</v>
      </c>
      <c r="T2" s="12" t="s">
        <v>787</v>
      </c>
      <c r="U2" s="12" t="s">
        <v>788</v>
      </c>
      <c r="V2" s="12" t="s">
        <v>789</v>
      </c>
      <c r="W2" s="12" t="s">
        <v>790</v>
      </c>
      <c r="X2" s="12" t="s">
        <v>791</v>
      </c>
      <c r="Y2" s="12" t="s">
        <v>792</v>
      </c>
      <c r="Z2" s="12" t="s">
        <v>793</v>
      </c>
      <c r="AA2" s="12" t="s">
        <v>794</v>
      </c>
      <c r="AB2" s="12" t="s">
        <v>795</v>
      </c>
      <c r="AC2" s="12" t="s">
        <v>796</v>
      </c>
      <c r="AD2" s="12" t="s">
        <v>797</v>
      </c>
      <c r="AE2" s="12" t="s">
        <v>798</v>
      </c>
      <c r="AF2" s="12" t="s">
        <v>799</v>
      </c>
      <c r="AG2" s="12" t="s">
        <v>800</v>
      </c>
      <c r="AH2" s="12" t="s">
        <v>801</v>
      </c>
      <c r="AI2" s="12" t="s">
        <v>802</v>
      </c>
      <c r="AJ2" s="12" t="s">
        <v>803</v>
      </c>
      <c r="AK2" s="12" t="s">
        <v>804</v>
      </c>
      <c r="AL2" s="12" t="s">
        <v>805</v>
      </c>
      <c r="AM2" s="12" t="s">
        <v>806</v>
      </c>
      <c r="AN2" s="12" t="s">
        <v>807</v>
      </c>
      <c r="AO2" s="12" t="s">
        <v>808</v>
      </c>
      <c r="AP2" s="12" t="s">
        <v>809</v>
      </c>
      <c r="AQ2" s="12" t="s">
        <v>810</v>
      </c>
      <c r="AR2" s="12" t="s">
        <v>811</v>
      </c>
      <c r="AS2" s="12" t="s">
        <v>812</v>
      </c>
      <c r="AT2" s="12" t="s">
        <v>813</v>
      </c>
      <c r="AU2" s="12" t="s">
        <v>814</v>
      </c>
      <c r="AV2" s="12" t="s">
        <v>815</v>
      </c>
      <c r="AW2" s="12" t="s">
        <v>816</v>
      </c>
      <c r="AX2" s="12" t="s">
        <v>817</v>
      </c>
      <c r="AY2" s="12" t="s">
        <v>818</v>
      </c>
      <c r="AZ2" s="12" t="s">
        <v>819</v>
      </c>
      <c r="BA2" s="12" t="s">
        <v>820</v>
      </c>
      <c r="BB2" s="12" t="s">
        <v>821</v>
      </c>
      <c r="BC2" s="12" t="s">
        <v>822</v>
      </c>
      <c r="BD2" s="12" t="s">
        <v>823</v>
      </c>
      <c r="BE2" s="12" t="s">
        <v>824</v>
      </c>
      <c r="BF2" s="12" t="s">
        <v>825</v>
      </c>
      <c r="BG2" s="12" t="s">
        <v>826</v>
      </c>
      <c r="BH2" s="12" t="s">
        <v>827</v>
      </c>
      <c r="BI2" s="12" t="s">
        <v>828</v>
      </c>
      <c r="BJ2" s="12" t="s">
        <v>829</v>
      </c>
      <c r="BK2" s="12" t="s">
        <v>830</v>
      </c>
      <c r="BL2" s="12" t="s">
        <v>831</v>
      </c>
      <c r="BM2" s="12" t="s">
        <v>832</v>
      </c>
      <c r="BN2" s="12" t="s">
        <v>833</v>
      </c>
      <c r="BO2" s="12" t="s">
        <v>834</v>
      </c>
      <c r="BP2" s="12" t="s">
        <v>835</v>
      </c>
      <c r="BQ2" s="12" t="s">
        <v>836</v>
      </c>
      <c r="BR2" s="12" t="s">
        <v>837</v>
      </c>
      <c r="BS2" s="12" t="s">
        <v>838</v>
      </c>
      <c r="BT2" s="12" t="s">
        <v>839</v>
      </c>
      <c r="BU2" s="12" t="s">
        <v>840</v>
      </c>
      <c r="BV2" s="12" t="s">
        <v>841</v>
      </c>
      <c r="BW2" s="12" t="s">
        <v>842</v>
      </c>
      <c r="BX2" s="12" t="s">
        <v>843</v>
      </c>
      <c r="BY2" s="12" t="s">
        <v>844</v>
      </c>
      <c r="BZ2" s="12" t="s">
        <v>845</v>
      </c>
      <c r="CA2" s="12" t="s">
        <v>846</v>
      </c>
      <c r="CB2" s="12" t="s">
        <v>847</v>
      </c>
      <c r="CC2" s="12" t="s">
        <v>848</v>
      </c>
      <c r="CD2" s="12" t="s">
        <v>849</v>
      </c>
      <c r="CE2" s="12" t="s">
        <v>850</v>
      </c>
      <c r="CF2" s="12" t="s">
        <v>851</v>
      </c>
      <c r="CG2" s="12" t="s">
        <v>852</v>
      </c>
      <c r="CH2" s="12" t="s">
        <v>853</v>
      </c>
      <c r="CI2" s="12" t="s">
        <v>854</v>
      </c>
      <c r="CJ2" s="12" t="s">
        <v>855</v>
      </c>
      <c r="CK2" s="12" t="s">
        <v>856</v>
      </c>
      <c r="CL2" s="12" t="s">
        <v>857</v>
      </c>
      <c r="CM2" s="12" t="s">
        <v>858</v>
      </c>
      <c r="CN2" s="12" t="s">
        <v>859</v>
      </c>
      <c r="CO2" s="12" t="s">
        <v>860</v>
      </c>
      <c r="CP2" s="12" t="s">
        <v>861</v>
      </c>
      <c r="CQ2" s="12" t="s">
        <v>862</v>
      </c>
      <c r="CR2" s="12" t="s">
        <v>863</v>
      </c>
      <c r="CS2" s="12" t="s">
        <v>864</v>
      </c>
      <c r="CT2" s="12" t="s">
        <v>865</v>
      </c>
      <c r="CU2" s="12" t="s">
        <v>132</v>
      </c>
      <c r="CV2" s="12" t="s">
        <v>133</v>
      </c>
      <c r="CW2" s="12" t="s">
        <v>134</v>
      </c>
      <c r="CX2" s="12" t="s">
        <v>135</v>
      </c>
      <c r="CY2" s="12" t="s">
        <v>136</v>
      </c>
      <c r="CZ2" s="12" t="s">
        <v>137</v>
      </c>
      <c r="DA2" s="12" t="s">
        <v>138</v>
      </c>
      <c r="DB2" s="12" t="s">
        <v>139</v>
      </c>
      <c r="DC2" s="12" t="s">
        <v>140</v>
      </c>
      <c r="DD2" s="12" t="s">
        <v>141</v>
      </c>
      <c r="DE2" s="12" t="s">
        <v>142</v>
      </c>
      <c r="DF2" s="12" t="s">
        <v>143</v>
      </c>
      <c r="DG2" s="12" t="s">
        <v>144</v>
      </c>
      <c r="DH2" s="12" t="s">
        <v>145</v>
      </c>
      <c r="DI2" s="12" t="s">
        <v>146</v>
      </c>
      <c r="DJ2" s="12" t="s">
        <v>147</v>
      </c>
      <c r="DK2" s="12" t="s">
        <v>148</v>
      </c>
      <c r="DL2" s="12" t="s">
        <v>149</v>
      </c>
      <c r="DM2" s="12" t="s">
        <v>150</v>
      </c>
      <c r="DN2" s="12" t="s">
        <v>151</v>
      </c>
      <c r="DO2" s="12" t="s">
        <v>152</v>
      </c>
      <c r="DP2" s="12" t="s">
        <v>153</v>
      </c>
      <c r="DQ2" s="12" t="s">
        <v>154</v>
      </c>
      <c r="DR2" s="12" t="s">
        <v>155</v>
      </c>
      <c r="DS2" s="12" t="s">
        <v>156</v>
      </c>
      <c r="DT2" s="12" t="s">
        <v>157</v>
      </c>
      <c r="DU2" s="12" t="s">
        <v>158</v>
      </c>
      <c r="DV2" s="12" t="s">
        <v>159</v>
      </c>
      <c r="DW2" s="12" t="s">
        <v>160</v>
      </c>
      <c r="DX2" s="12" t="s">
        <v>161</v>
      </c>
      <c r="DY2" s="12" t="s">
        <v>162</v>
      </c>
      <c r="DZ2" s="12" t="s">
        <v>163</v>
      </c>
      <c r="EA2" s="12" t="s">
        <v>164</v>
      </c>
      <c r="EB2" s="12" t="s">
        <v>165</v>
      </c>
      <c r="EC2" s="12" t="s">
        <v>166</v>
      </c>
      <c r="ED2" s="12" t="s">
        <v>167</v>
      </c>
      <c r="EE2" s="12" t="s">
        <v>168</v>
      </c>
      <c r="EF2" s="12" t="s">
        <v>169</v>
      </c>
      <c r="EG2" s="12" t="s">
        <v>170</v>
      </c>
      <c r="EH2" s="12" t="s">
        <v>171</v>
      </c>
      <c r="EI2" s="12" t="s">
        <v>172</v>
      </c>
      <c r="EJ2" s="12" t="s">
        <v>173</v>
      </c>
      <c r="EK2" s="12" t="s">
        <v>174</v>
      </c>
      <c r="EL2" s="12" t="s">
        <v>175</v>
      </c>
      <c r="EM2" s="12" t="s">
        <v>176</v>
      </c>
      <c r="EN2" s="12" t="s">
        <v>177</v>
      </c>
      <c r="EO2" s="12" t="s">
        <v>178</v>
      </c>
      <c r="EP2" s="12" t="s">
        <v>179</v>
      </c>
      <c r="EQ2" s="12" t="s">
        <v>180</v>
      </c>
      <c r="ER2" s="12" t="s">
        <v>181</v>
      </c>
      <c r="ES2" s="12" t="s">
        <v>182</v>
      </c>
      <c r="ET2" s="12" t="s">
        <v>183</v>
      </c>
      <c r="EU2" s="12" t="s">
        <v>184</v>
      </c>
      <c r="EV2" s="12" t="s">
        <v>185</v>
      </c>
      <c r="EW2" s="12" t="s">
        <v>186</v>
      </c>
      <c r="EX2" s="12" t="s">
        <v>187</v>
      </c>
      <c r="EY2" s="12" t="s">
        <v>188</v>
      </c>
      <c r="EZ2" s="12" t="s">
        <v>189</v>
      </c>
      <c r="FA2" s="12" t="s">
        <v>190</v>
      </c>
      <c r="FB2" s="12" t="s">
        <v>191</v>
      </c>
      <c r="FC2" s="12" t="s">
        <v>192</v>
      </c>
      <c r="FD2" s="12" t="s">
        <v>193</v>
      </c>
      <c r="FE2" s="12" t="s">
        <v>194</v>
      </c>
      <c r="FF2" s="12" t="s">
        <v>195</v>
      </c>
      <c r="FG2" s="12" t="s">
        <v>196</v>
      </c>
      <c r="FH2" s="12" t="s">
        <v>197</v>
      </c>
      <c r="FI2" s="12" t="s">
        <v>198</v>
      </c>
      <c r="FJ2" s="12" t="s">
        <v>199</v>
      </c>
      <c r="FK2" s="12" t="s">
        <v>200</v>
      </c>
      <c r="FL2" s="12" t="s">
        <v>201</v>
      </c>
      <c r="FM2" s="12" t="s">
        <v>202</v>
      </c>
      <c r="FN2" s="12" t="s">
        <v>203</v>
      </c>
      <c r="FO2" s="12" t="s">
        <v>204</v>
      </c>
      <c r="FP2" s="12" t="s">
        <v>205</v>
      </c>
      <c r="FQ2" s="12" t="s">
        <v>206</v>
      </c>
      <c r="FR2" s="12" t="s">
        <v>207</v>
      </c>
      <c r="FS2" s="12" t="s">
        <v>208</v>
      </c>
      <c r="FT2" s="12" t="s">
        <v>209</v>
      </c>
      <c r="FU2" s="12" t="s">
        <v>210</v>
      </c>
      <c r="FV2" s="12" t="s">
        <v>211</v>
      </c>
      <c r="FW2" s="12" t="s">
        <v>212</v>
      </c>
      <c r="FX2" s="12" t="s">
        <v>213</v>
      </c>
      <c r="FY2" s="12" t="s">
        <v>214</v>
      </c>
      <c r="FZ2" s="12" t="s">
        <v>215</v>
      </c>
      <c r="GA2" s="12" t="s">
        <v>216</v>
      </c>
      <c r="GB2" s="12" t="s">
        <v>217</v>
      </c>
      <c r="GC2" s="12" t="s">
        <v>218</v>
      </c>
      <c r="GD2" s="12" t="s">
        <v>219</v>
      </c>
      <c r="GE2" s="12" t="s">
        <v>220</v>
      </c>
      <c r="GF2" s="12" t="s">
        <v>221</v>
      </c>
      <c r="GG2" s="12" t="s">
        <v>222</v>
      </c>
      <c r="GH2" s="12" t="s">
        <v>223</v>
      </c>
      <c r="GI2" s="12" t="s">
        <v>224</v>
      </c>
      <c r="GJ2" s="12" t="s">
        <v>225</v>
      </c>
      <c r="GK2" s="12" t="s">
        <v>226</v>
      </c>
      <c r="GL2" s="12" t="s">
        <v>227</v>
      </c>
      <c r="GM2" s="12" t="s">
        <v>228</v>
      </c>
      <c r="GN2" s="12" t="s">
        <v>229</v>
      </c>
      <c r="GO2" s="12" t="s">
        <v>230</v>
      </c>
      <c r="GP2" s="12" t="s">
        <v>231</v>
      </c>
      <c r="GQ2" s="12" t="s">
        <v>232</v>
      </c>
      <c r="GR2" s="12" t="s">
        <v>233</v>
      </c>
      <c r="GS2" s="12" t="s">
        <v>234</v>
      </c>
      <c r="GT2" s="12" t="s">
        <v>235</v>
      </c>
      <c r="GU2" s="12" t="s">
        <v>236</v>
      </c>
      <c r="GV2" s="12" t="s">
        <v>237</v>
      </c>
      <c r="GW2" s="12" t="s">
        <v>238</v>
      </c>
      <c r="GX2" s="12" t="s">
        <v>239</v>
      </c>
      <c r="GY2" s="12" t="s">
        <v>240</v>
      </c>
      <c r="GZ2" s="12" t="s">
        <v>241</v>
      </c>
      <c r="HA2" s="12" t="s">
        <v>242</v>
      </c>
      <c r="HB2" s="12" t="s">
        <v>243</v>
      </c>
      <c r="HC2" s="12" t="s">
        <v>244</v>
      </c>
      <c r="HD2" s="12" t="s">
        <v>245</v>
      </c>
      <c r="HE2" s="12" t="s">
        <v>246</v>
      </c>
      <c r="HF2" s="12" t="s">
        <v>247</v>
      </c>
      <c r="HG2" s="12" t="s">
        <v>248</v>
      </c>
      <c r="HH2" s="12" t="s">
        <v>249</v>
      </c>
      <c r="HI2" s="12" t="s">
        <v>250</v>
      </c>
      <c r="HJ2" s="12" t="s">
        <v>251</v>
      </c>
      <c r="HK2" s="12" t="s">
        <v>252</v>
      </c>
      <c r="HL2" s="12" t="s">
        <v>253</v>
      </c>
      <c r="HM2" s="12" t="s">
        <v>254</v>
      </c>
      <c r="HN2" s="12" t="s">
        <v>255</v>
      </c>
      <c r="HO2" s="12" t="s">
        <v>256</v>
      </c>
      <c r="HP2" s="12" t="s">
        <v>257</v>
      </c>
      <c r="HQ2" s="12" t="s">
        <v>258</v>
      </c>
      <c r="HR2" s="12" t="s">
        <v>259</v>
      </c>
      <c r="HS2" s="12" t="s">
        <v>260</v>
      </c>
      <c r="HT2" s="12" t="s">
        <v>261</v>
      </c>
      <c r="HU2" s="12" t="s">
        <v>262</v>
      </c>
      <c r="HV2" s="12" t="s">
        <v>263</v>
      </c>
      <c r="HW2" s="12" t="s">
        <v>264</v>
      </c>
      <c r="HX2" s="12" t="s">
        <v>265</v>
      </c>
      <c r="HY2" s="12" t="s">
        <v>266</v>
      </c>
      <c r="HZ2" s="12" t="s">
        <v>267</v>
      </c>
      <c r="IA2" s="12" t="s">
        <v>268</v>
      </c>
      <c r="IB2" s="12" t="s">
        <v>269</v>
      </c>
      <c r="IC2" s="12" t="s">
        <v>270</v>
      </c>
      <c r="ID2" s="12" t="s">
        <v>271</v>
      </c>
      <c r="IE2" s="12" t="s">
        <v>272</v>
      </c>
      <c r="IF2" s="12" t="s">
        <v>273</v>
      </c>
      <c r="IG2" s="12" t="s">
        <v>274</v>
      </c>
      <c r="IH2" s="12" t="s">
        <v>275</v>
      </c>
      <c r="II2" s="12" t="s">
        <v>276</v>
      </c>
      <c r="IJ2" s="12" t="s">
        <v>277</v>
      </c>
      <c r="IK2" s="12" t="s">
        <v>278</v>
      </c>
      <c r="IL2" s="12" t="s">
        <v>279</v>
      </c>
      <c r="IM2" s="12" t="s">
        <v>280</v>
      </c>
      <c r="IN2" s="12" t="s">
        <v>281</v>
      </c>
      <c r="IO2" s="12" t="s">
        <v>282</v>
      </c>
      <c r="IP2" s="12" t="s">
        <v>283</v>
      </c>
      <c r="IQ2" s="12" t="s">
        <v>284</v>
      </c>
      <c r="IR2" s="12" t="s">
        <v>285</v>
      </c>
      <c r="IS2" s="12" t="s">
        <v>286</v>
      </c>
      <c r="IT2" s="12" t="s">
        <v>287</v>
      </c>
      <c r="IU2" s="12" t="s">
        <v>288</v>
      </c>
      <c r="IV2" s="12" t="s">
        <v>289</v>
      </c>
      <c r="IW2" s="12" t="s">
        <v>290</v>
      </c>
      <c r="IX2" s="12" t="s">
        <v>291</v>
      </c>
      <c r="IY2" s="12" t="s">
        <v>292</v>
      </c>
    </row>
    <row r="3" spans="2:259" x14ac:dyDescent="0.15">
      <c r="B3" s="17" t="s">
        <v>941</v>
      </c>
      <c r="C3" s="17" t="s">
        <v>877</v>
      </c>
      <c r="D3" s="12" t="s">
        <v>947</v>
      </c>
      <c r="E3" s="284" t="n">
        <v>0.0</v>
      </c>
      <c r="F3" s="284" t="n">
        <v>0.0</v>
      </c>
      <c r="G3" s="284" t="n">
        <v>1051200.0</v>
      </c>
      <c r="H3" s="284" t="n">
        <v>133300.0</v>
      </c>
      <c r="I3" s="284" t="n">
        <v>0.0</v>
      </c>
      <c r="J3" s="284" t="n">
        <v>0.0</v>
      </c>
      <c r="K3" s="284" t="n">
        <v>0.0</v>
      </c>
      <c r="L3" s="284" t="n">
        <v>0.0</v>
      </c>
      <c r="M3" s="284" t="n">
        <v>0.0</v>
      </c>
      <c r="N3" s="284" t="n">
        <v>0.0</v>
      </c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  <c r="IY3" s="22"/>
    </row>
    <row r="4" spans="2:259" x14ac:dyDescent="0.15">
      <c r="B4" s="17" t="s">
        <v>941</v>
      </c>
      <c r="C4" s="17" t="s">
        <v>878</v>
      </c>
      <c r="D4" s="12" t="s">
        <v>947</v>
      </c>
      <c r="E4" s="288" t="n">
        <v>368000.0</v>
      </c>
      <c r="F4" s="288" t="n">
        <v>395224.0</v>
      </c>
      <c r="G4" s="288" t="n">
        <v>0.0</v>
      </c>
      <c r="H4" s="288" t="n">
        <v>0.0</v>
      </c>
      <c r="I4" s="288" t="n">
        <v>0.0</v>
      </c>
      <c r="J4" s="288" t="n">
        <v>0.0</v>
      </c>
      <c r="K4" s="288" t="n">
        <v>0.0</v>
      </c>
      <c r="L4" s="288" t="n">
        <v>0.0</v>
      </c>
      <c r="M4" s="288" t="n">
        <v>0.0</v>
      </c>
      <c r="N4" s="288" t="n">
        <v>0.0</v>
      </c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  <c r="IY4" s="22"/>
    </row>
    <row r="5" spans="2:259" x14ac:dyDescent="0.15">
      <c r="B5" s="17" t="s">
        <v>941</v>
      </c>
      <c r="C5" s="17" t="s">
        <v>879</v>
      </c>
      <c r="D5" s="12" t="s">
        <v>947</v>
      </c>
      <c r="E5" s="292" t="n">
        <v>1.4448382E7</v>
      </c>
      <c r="F5" s="292" t="n">
        <v>1.381209E7</v>
      </c>
      <c r="G5" s="292" t="n">
        <v>6289881.0</v>
      </c>
      <c r="H5" s="292" t="n">
        <v>1.2017685E7</v>
      </c>
      <c r="I5" s="292" t="n">
        <v>2.0187163E7</v>
      </c>
      <c r="J5" s="292" t="n">
        <v>2.5060705E7</v>
      </c>
      <c r="K5" s="292" t="n">
        <v>5.3657666E7</v>
      </c>
      <c r="L5" s="292" t="n">
        <v>6.5986265E7</v>
      </c>
      <c r="M5" s="292" t="n">
        <v>7.0779127E7</v>
      </c>
      <c r="N5" s="292" t="n">
        <v>6.310443E7</v>
      </c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  <c r="IX5" s="22"/>
      <c r="IY5" s="22"/>
    </row>
    <row r="6" spans="2:259" x14ac:dyDescent="0.15">
      <c r="B6" s="17" t="s">
        <v>941</v>
      </c>
      <c r="C6" s="17" t="s">
        <v>948</v>
      </c>
      <c r="D6" s="12" t="s">
        <v>947</v>
      </c>
      <c r="E6" s="296" t="n">
        <v>1.4816382E7</v>
      </c>
      <c r="F6" s="296" t="n">
        <v>1.4207314E7</v>
      </c>
      <c r="G6" s="296" t="n">
        <v>7341081.0</v>
      </c>
      <c r="H6" s="296" t="n">
        <v>1.2150985E7</v>
      </c>
      <c r="I6" s="296" t="n">
        <v>2.0187163E7</v>
      </c>
      <c r="J6" s="296" t="n">
        <v>2.5060705E7</v>
      </c>
      <c r="K6" s="296" t="n">
        <v>5.3657666E7</v>
      </c>
      <c r="L6" s="296" t="n">
        <v>6.5986265E7</v>
      </c>
      <c r="M6" s="296" t="n">
        <v>7.0779127E7</v>
      </c>
      <c r="N6" s="296" t="n">
        <v>6.310443E7</v>
      </c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  <c r="IX6" s="22"/>
      <c r="IY6" s="22"/>
    </row>
    <row r="7" spans="2:259" x14ac:dyDescent="0.15">
      <c r="B7" s="17" t="s">
        <v>937</v>
      </c>
      <c r="C7" s="17" t="s">
        <v>948</v>
      </c>
      <c r="D7" s="12" t="s">
        <v>947</v>
      </c>
      <c r="E7" s="300" t="n">
        <v>7.2809344E7</v>
      </c>
      <c r="F7" s="300" t="n">
        <v>2264583.0</v>
      </c>
      <c r="G7" s="300" t="n">
        <v>2.4139305E7</v>
      </c>
      <c r="H7" s="300" t="n">
        <v>8750865.0</v>
      </c>
      <c r="I7" s="300" t="n">
        <v>2.1543055E7</v>
      </c>
      <c r="J7" s="300" t="n">
        <v>5.0164677E7</v>
      </c>
      <c r="K7" s="300" t="n">
        <v>7.4802557E7</v>
      </c>
      <c r="L7" s="300" t="n">
        <v>7.2682855E7</v>
      </c>
      <c r="M7" s="300" t="n">
        <v>4.3910607E7</v>
      </c>
      <c r="N7" s="300" t="n">
        <v>3.5129688E7</v>
      </c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  <c r="IX7" s="22"/>
      <c r="IY7" s="22"/>
    </row>
    <row r="8" spans="2:259" x14ac:dyDescent="0.15">
      <c r="B8" s="17" t="s">
        <v>936</v>
      </c>
      <c r="C8" s="17" t="s">
        <v>948</v>
      </c>
      <c r="D8" s="12" t="s">
        <v>947</v>
      </c>
      <c r="E8" s="304" t="n">
        <v>6119894.0</v>
      </c>
      <c r="F8" s="304" t="n">
        <v>7965492.0</v>
      </c>
      <c r="G8" s="304" t="n">
        <v>5155708.0</v>
      </c>
      <c r="H8" s="304" t="n">
        <v>1.365382E7</v>
      </c>
      <c r="I8" s="304" t="n">
        <v>1.8036837E7</v>
      </c>
      <c r="J8" s="304" t="n">
        <v>1.5084927E7</v>
      </c>
      <c r="K8" s="304" t="n">
        <v>5.8868582E7</v>
      </c>
      <c r="L8" s="304" t="n">
        <v>1.9253245E7</v>
      </c>
      <c r="M8" s="304" t="n">
        <v>1.4935715E7</v>
      </c>
      <c r="N8" s="304" t="n">
        <v>3.3392633E7</v>
      </c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  <c r="IX8" s="22"/>
      <c r="IY8" s="22"/>
    </row>
    <row r="9" spans="2:259" x14ac:dyDescent="0.15">
      <c r="B9" s="17" t="s">
        <v>935</v>
      </c>
      <c r="C9" s="17" t="s">
        <v>948</v>
      </c>
      <c r="D9" s="12" t="s">
        <v>947</v>
      </c>
      <c r="E9" s="308" t="n">
        <v>1.9566766E7</v>
      </c>
      <c r="F9" s="308" t="n">
        <v>3876240.0</v>
      </c>
      <c r="G9" s="308" t="n">
        <v>1.5199257E7</v>
      </c>
      <c r="H9" s="308" t="n">
        <v>2.4334217E7</v>
      </c>
      <c r="I9" s="308" t="n">
        <v>3855533.0</v>
      </c>
      <c r="J9" s="308" t="n">
        <v>1.3270137E7</v>
      </c>
      <c r="K9" s="308" t="n">
        <v>3.3206612E7</v>
      </c>
      <c r="L9" s="308" t="n">
        <v>2.2093607E7</v>
      </c>
      <c r="M9" s="308" t="n">
        <v>5.4338331E7</v>
      </c>
      <c r="N9" s="308" t="n">
        <v>4.3522436E7</v>
      </c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  <c r="IX9" s="22"/>
      <c r="IY9" s="22"/>
    </row>
    <row r="10" spans="2:259" x14ac:dyDescent="0.15">
      <c r="B10" s="17" t="s">
        <v>934</v>
      </c>
      <c r="C10" s="17" t="s">
        <v>948</v>
      </c>
      <c r="D10" s="12" t="s">
        <v>947</v>
      </c>
      <c r="E10" s="312" t="n">
        <v>2.62471734E8</v>
      </c>
      <c r="F10" s="312" t="n">
        <v>5.808776E7</v>
      </c>
      <c r="G10" s="312" t="n">
        <v>2.5873451E7</v>
      </c>
      <c r="H10" s="312" t="n">
        <v>4.56803293E8</v>
      </c>
      <c r="I10" s="312" t="n">
        <v>3.20013571E8</v>
      </c>
      <c r="J10" s="312" t="n">
        <v>3.46087413E8</v>
      </c>
      <c r="K10" s="312" t="n">
        <v>1.45709808E8</v>
      </c>
      <c r="L10" s="312" t="n">
        <v>1.54033012E8</v>
      </c>
      <c r="M10" s="312" t="n">
        <v>2.55375239E8</v>
      </c>
      <c r="N10" s="312" t="n">
        <v>1.37877971E8</v>
      </c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  <c r="IX10" s="22"/>
      <c r="IY10" s="22"/>
    </row>
    <row r="11" spans="2:259" x14ac:dyDescent="0.15">
      <c r="B11" s="17" t="s">
        <v>933</v>
      </c>
      <c r="C11" s="17" t="s">
        <v>948</v>
      </c>
      <c r="D11" s="12" t="s">
        <v>947</v>
      </c>
      <c r="E11" s="316" t="n">
        <v>9.6751875E7</v>
      </c>
      <c r="F11" s="316" t="n">
        <v>3.1961586E7</v>
      </c>
      <c r="G11" s="316" t="n">
        <v>5.7392169E7</v>
      </c>
      <c r="H11" s="316" t="n">
        <v>2.1729616E7</v>
      </c>
      <c r="I11" s="316" t="n">
        <v>5.1660792E7</v>
      </c>
      <c r="J11" s="316" t="n">
        <v>3.8230489E7</v>
      </c>
      <c r="K11" s="316" t="n">
        <v>2.86819594E8</v>
      </c>
      <c r="L11" s="316" t="n">
        <v>1.80929388E8</v>
      </c>
      <c r="M11" s="316" t="n">
        <v>0.0</v>
      </c>
      <c r="N11" s="316" t="n">
        <v>0.0</v>
      </c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  <c r="IX11" s="22"/>
      <c r="IY11" s="22"/>
    </row>
    <row r="12" spans="2:259" x14ac:dyDescent="0.15">
      <c r="B12" s="17" t="s">
        <v>932</v>
      </c>
      <c r="C12" s="17" t="s">
        <v>948</v>
      </c>
      <c r="D12" s="12" t="s">
        <v>947</v>
      </c>
      <c r="E12" s="320" t="n">
        <v>5.4158212E7</v>
      </c>
      <c r="F12" s="320" t="n">
        <v>4.1047602E7</v>
      </c>
      <c r="G12" s="320" t="n">
        <v>4.6977985E7</v>
      </c>
      <c r="H12" s="320" t="n">
        <v>6.2860684E7</v>
      </c>
      <c r="I12" s="320" t="n">
        <v>5.1396113E7</v>
      </c>
      <c r="J12" s="320" t="n">
        <v>4.0065737E7</v>
      </c>
      <c r="K12" s="320" t="n">
        <v>4.5989008E7</v>
      </c>
      <c r="L12" s="320" t="n">
        <v>5.5874829E7</v>
      </c>
      <c r="M12" s="320" t="n">
        <v>3.5990626E7</v>
      </c>
      <c r="N12" s="320" t="n">
        <v>5.5889618E7</v>
      </c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  <c r="IX12" s="22"/>
      <c r="IY12" s="22"/>
    </row>
    <row r="13" spans="2:259" x14ac:dyDescent="0.15">
      <c r="B13" s="17" t="s">
        <v>931</v>
      </c>
      <c r="C13" s="17" t="s">
        <v>948</v>
      </c>
      <c r="D13" s="12" t="s">
        <v>947</v>
      </c>
      <c r="E13" s="324" t="n">
        <v>4.0636353E7</v>
      </c>
      <c r="F13" s="324" t="n">
        <v>6439738.0</v>
      </c>
      <c r="G13" s="324" t="n">
        <v>1.3389554E7</v>
      </c>
      <c r="H13" s="324" t="n">
        <v>1.3792726E7</v>
      </c>
      <c r="I13" s="324" t="n">
        <v>1.4383571E7</v>
      </c>
      <c r="J13" s="324" t="n">
        <v>2.7240273E7</v>
      </c>
      <c r="K13" s="324" t="n">
        <v>3.0939252E7</v>
      </c>
      <c r="L13" s="324" t="n">
        <v>2.2225544E7</v>
      </c>
      <c r="M13" s="324" t="n">
        <v>3.0973906E7</v>
      </c>
      <c r="N13" s="324" t="n">
        <v>1.2762216E7</v>
      </c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  <c r="IX13" s="22"/>
      <c r="IY13" s="22"/>
    </row>
    <row r="14" spans="2:259" x14ac:dyDescent="0.15">
      <c r="B14" s="17" t="s">
        <v>930</v>
      </c>
      <c r="C14" s="17" t="s">
        <v>948</v>
      </c>
      <c r="D14" s="12" t="s">
        <v>947</v>
      </c>
      <c r="E14" s="328" t="n">
        <v>4.3806153E7</v>
      </c>
      <c r="F14" s="328" t="n">
        <v>6855212.0</v>
      </c>
      <c r="G14" s="328" t="n">
        <v>3.8369018E7</v>
      </c>
      <c r="H14" s="328" t="n">
        <v>3.1959273E7</v>
      </c>
      <c r="I14" s="328" t="n">
        <v>3.9770931E7</v>
      </c>
      <c r="J14" s="328" t="n">
        <v>2.3145762E7</v>
      </c>
      <c r="K14" s="328" t="n">
        <v>8.6115713E7</v>
      </c>
      <c r="L14" s="328" t="n">
        <v>1.13176832E8</v>
      </c>
      <c r="M14" s="328" t="n">
        <v>6.5088E7</v>
      </c>
      <c r="N14" s="328" t="n">
        <v>5.3420649E7</v>
      </c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  <c r="IX14" s="22"/>
      <c r="IY14" s="22"/>
    </row>
    <row r="15" spans="2:259" x14ac:dyDescent="0.15">
      <c r="B15" s="17" t="s">
        <v>929</v>
      </c>
      <c r="C15" s="17" t="s">
        <v>948</v>
      </c>
      <c r="D15" s="12" t="s">
        <v>947</v>
      </c>
      <c r="E15" s="332" t="n">
        <v>4.7385881E7</v>
      </c>
      <c r="F15" s="332" t="n">
        <v>2.7981224E7</v>
      </c>
      <c r="G15" s="332" t="n">
        <v>3.9630709E7</v>
      </c>
      <c r="H15" s="332" t="n">
        <v>5.4034168E7</v>
      </c>
      <c r="I15" s="332" t="n">
        <v>4.4751891E7</v>
      </c>
      <c r="J15" s="332" t="n">
        <v>3.351661E7</v>
      </c>
      <c r="K15" s="332" t="n">
        <v>4.9888643E7</v>
      </c>
      <c r="L15" s="332" t="n">
        <v>5.4342373E7</v>
      </c>
      <c r="M15" s="332" t="n">
        <v>3.8666476E7</v>
      </c>
      <c r="N15" s="332" t="n">
        <v>6.9551568E7</v>
      </c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  <c r="IX15" s="22"/>
      <c r="IY15" s="22"/>
    </row>
    <row r="16" spans="2:259" x14ac:dyDescent="0.15">
      <c r="B16" s="17" t="s">
        <v>928</v>
      </c>
      <c r="C16" s="17" t="s">
        <v>948</v>
      </c>
      <c r="D16" s="12" t="s">
        <v>947</v>
      </c>
      <c r="E16" s="336" t="n">
        <v>2.2239816E7</v>
      </c>
      <c r="F16" s="336" t="n">
        <v>3.4828698E7</v>
      </c>
      <c r="G16" s="336" t="n">
        <v>3.077969E7</v>
      </c>
      <c r="H16" s="336" t="n">
        <v>2.4714683E7</v>
      </c>
      <c r="I16" s="336" t="n">
        <v>1.3282281E7</v>
      </c>
      <c r="J16" s="336" t="n">
        <v>1.2738345E7</v>
      </c>
      <c r="K16" s="336" t="n">
        <v>2.3966518E7</v>
      </c>
      <c r="L16" s="336" t="n">
        <v>1.318486E7</v>
      </c>
      <c r="M16" s="336" t="n">
        <v>4.3847491E7</v>
      </c>
      <c r="N16" s="336" t="n">
        <v>1.30542213E8</v>
      </c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  <c r="IX16" s="22"/>
      <c r="IY16" s="22"/>
    </row>
    <row r="17" spans="2:259" x14ac:dyDescent="0.15">
      <c r="B17" s="17" t="s">
        <v>927</v>
      </c>
      <c r="C17" s="17" t="s">
        <v>948</v>
      </c>
      <c r="D17" s="12" t="s">
        <v>947</v>
      </c>
      <c r="E17" s="340" t="n">
        <v>1.4409349E7</v>
      </c>
      <c r="F17" s="340" t="n">
        <v>4182437.0</v>
      </c>
      <c r="G17" s="340" t="n">
        <v>9203333.0</v>
      </c>
      <c r="H17" s="340" t="n">
        <v>1.6605694E7</v>
      </c>
      <c r="I17" s="340" t="n">
        <v>1.351367E7</v>
      </c>
      <c r="J17" s="340" t="n">
        <v>2.3327875E7</v>
      </c>
      <c r="K17" s="340" t="n">
        <v>3.6967672E7</v>
      </c>
      <c r="L17" s="340" t="n">
        <v>3.7084707E7</v>
      </c>
      <c r="M17" s="340" t="n">
        <v>5.1761213E7</v>
      </c>
      <c r="N17" s="340" t="n">
        <v>3.0129217E7</v>
      </c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  <c r="IX17" s="22"/>
      <c r="IY17" s="22"/>
    </row>
    <row r="18" spans="2:259" x14ac:dyDescent="0.15">
      <c r="B18" s="17" t="s">
        <v>926</v>
      </c>
      <c r="C18" s="17" t="s">
        <v>948</v>
      </c>
      <c r="D18" s="12" t="s">
        <v>947</v>
      </c>
      <c r="E18" s="344" t="n">
        <v>9767635.0</v>
      </c>
      <c r="F18" s="344" t="n">
        <v>9537945.0</v>
      </c>
      <c r="G18" s="344" t="n">
        <v>1.1170555E7</v>
      </c>
      <c r="H18" s="344" t="n">
        <v>3.0770695E7</v>
      </c>
      <c r="I18" s="344" t="n">
        <v>1.5756434E7</v>
      </c>
      <c r="J18" s="344" t="n">
        <v>1.7230622E7</v>
      </c>
      <c r="K18" s="344" t="n">
        <v>2.0739973E7</v>
      </c>
      <c r="L18" s="344" t="n">
        <v>1.4657134E7</v>
      </c>
      <c r="M18" s="344" t="n">
        <v>5.8990822E7</v>
      </c>
      <c r="N18" s="344" t="n">
        <v>3.6039745E7</v>
      </c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  <c r="IX18" s="22"/>
      <c r="IY18" s="22"/>
    </row>
    <row r="19" spans="2:259" x14ac:dyDescent="0.15">
      <c r="B19" s="17" t="s">
        <v>925</v>
      </c>
      <c r="C19" s="17" t="s">
        <v>948</v>
      </c>
      <c r="D19" s="12" t="s">
        <v>947</v>
      </c>
      <c r="E19" s="348" t="n">
        <v>2.1159521E7</v>
      </c>
      <c r="F19" s="348" t="n">
        <v>1.4592607E7</v>
      </c>
      <c r="G19" s="348" t="n">
        <v>1.6382154E7</v>
      </c>
      <c r="H19" s="348" t="n">
        <v>2.1960026E7</v>
      </c>
      <c r="I19" s="348" t="n">
        <v>1.3711897E7</v>
      </c>
      <c r="J19" s="348" t="n">
        <v>1.3548631E7</v>
      </c>
      <c r="K19" s="348" t="n">
        <v>1.1659889E7</v>
      </c>
      <c r="L19" s="348" t="n">
        <v>2.230695E7</v>
      </c>
      <c r="M19" s="348" t="n">
        <v>1.9694443E7</v>
      </c>
      <c r="N19" s="348" t="n">
        <v>3.6496555E7</v>
      </c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  <c r="IX19" s="22"/>
      <c r="IY19" s="22"/>
    </row>
    <row r="20" spans="2:259" x14ac:dyDescent="0.15">
      <c r="B20" s="17" t="s">
        <v>924</v>
      </c>
      <c r="C20" s="17" t="s">
        <v>948</v>
      </c>
      <c r="D20" s="12" t="s">
        <v>947</v>
      </c>
      <c r="E20" s="352" t="n">
        <v>1374609.0</v>
      </c>
      <c r="F20" s="352" t="n">
        <v>7342304.0</v>
      </c>
      <c r="G20" s="352" t="n">
        <v>5217445.0</v>
      </c>
      <c r="H20" s="352" t="n">
        <v>1.6104203E7</v>
      </c>
      <c r="I20" s="352" t="n">
        <v>2.4116104E7</v>
      </c>
      <c r="J20" s="352" t="n">
        <v>9684169.0</v>
      </c>
      <c r="K20" s="352" t="n">
        <v>6610499.0</v>
      </c>
      <c r="L20" s="352" t="n">
        <v>2.0402176E7</v>
      </c>
      <c r="M20" s="352" t="n">
        <v>2.127898E7</v>
      </c>
      <c r="N20" s="352" t="n">
        <v>1.9418652E7</v>
      </c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  <c r="IX20" s="22"/>
      <c r="IY20" s="22"/>
    </row>
    <row r="21" spans="2:259" x14ac:dyDescent="0.15">
      <c r="B21" s="17" t="s">
        <v>923</v>
      </c>
      <c r="C21" s="17" t="s">
        <v>948</v>
      </c>
      <c r="D21" s="12" t="s">
        <v>947</v>
      </c>
      <c r="E21" s="356" t="n">
        <v>5921481.0</v>
      </c>
      <c r="F21" s="356" t="n">
        <v>4540965.0</v>
      </c>
      <c r="G21" s="356" t="n">
        <v>8553620.0</v>
      </c>
      <c r="H21" s="356" t="n">
        <v>1.7724003E7</v>
      </c>
      <c r="I21" s="356" t="n">
        <v>6564569.0</v>
      </c>
      <c r="J21" s="356" t="n">
        <v>4445205.0</v>
      </c>
      <c r="K21" s="356" t="n">
        <v>4998059.0</v>
      </c>
      <c r="L21" s="356" t="n">
        <v>6567862.0</v>
      </c>
      <c r="M21" s="356" t="n">
        <v>1.2351995E7</v>
      </c>
      <c r="N21" s="356" t="n">
        <v>5.2814169E7</v>
      </c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  <c r="IX21" s="22"/>
      <c r="IY21" s="22"/>
    </row>
    <row r="22" spans="2:259" x14ac:dyDescent="0.15">
      <c r="B22" s="17" t="s">
        <v>922</v>
      </c>
      <c r="C22" s="17" t="s">
        <v>948</v>
      </c>
      <c r="D22" s="12" t="s">
        <v>947</v>
      </c>
      <c r="E22" s="360" t="n">
        <v>1.6406082E7</v>
      </c>
      <c r="F22" s="360" t="n">
        <v>2.7527576E7</v>
      </c>
      <c r="G22" s="360" t="n">
        <v>1.630848E7</v>
      </c>
      <c r="H22" s="360" t="n">
        <v>2.0289451E7</v>
      </c>
      <c r="I22" s="360" t="n">
        <v>1.643084E7</v>
      </c>
      <c r="J22" s="360" t="n">
        <v>2.6732182E7</v>
      </c>
      <c r="K22" s="360" t="n">
        <v>4.5837235E7</v>
      </c>
      <c r="L22" s="360" t="n">
        <v>3.4512843E7</v>
      </c>
      <c r="M22" s="360" t="n">
        <v>2.495494E7</v>
      </c>
      <c r="N22" s="360" t="n">
        <v>7.3147772E7</v>
      </c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  <c r="IX22" s="22"/>
      <c r="IY22" s="22"/>
    </row>
    <row r="23" spans="2:259" x14ac:dyDescent="0.15">
      <c r="B23" s="17" t="s">
        <v>921</v>
      </c>
      <c r="C23" s="17" t="s">
        <v>948</v>
      </c>
      <c r="D23" s="12" t="s">
        <v>947</v>
      </c>
      <c r="E23" s="364" t="n">
        <v>3051436.0</v>
      </c>
      <c r="F23" s="364" t="n">
        <v>9215343.0</v>
      </c>
      <c r="G23" s="364" t="n">
        <v>7419806.0</v>
      </c>
      <c r="H23" s="364" t="n">
        <v>7804519.0</v>
      </c>
      <c r="I23" s="364" t="n">
        <v>6205969.0</v>
      </c>
      <c r="J23" s="364" t="n">
        <v>1.2896446E7</v>
      </c>
      <c r="K23" s="364" t="n">
        <v>2696151.0</v>
      </c>
      <c r="L23" s="364" t="n">
        <v>5177661.0</v>
      </c>
      <c r="M23" s="364" t="n">
        <v>4.8446051E7</v>
      </c>
      <c r="N23" s="364" t="n">
        <v>2.5904757E7</v>
      </c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  <c r="IX23" s="22"/>
      <c r="IY23" s="22"/>
    </row>
    <row r="24" spans="2:259" x14ac:dyDescent="0.15">
      <c r="B24" s="17" t="s">
        <v>920</v>
      </c>
      <c r="C24" s="17" t="s">
        <v>948</v>
      </c>
      <c r="D24" s="12" t="s">
        <v>947</v>
      </c>
      <c r="E24" s="368" t="n">
        <v>5777882.0</v>
      </c>
      <c r="F24" s="368" t="n">
        <v>1.1693352E7</v>
      </c>
      <c r="G24" s="368" t="n">
        <v>1.5567704E7</v>
      </c>
      <c r="H24" s="368" t="n">
        <v>1.0803478E7</v>
      </c>
      <c r="I24" s="368" t="n">
        <v>1.6774801E7</v>
      </c>
      <c r="J24" s="368" t="n">
        <v>2.7911693E7</v>
      </c>
      <c r="K24" s="368" t="n">
        <v>2.1173402E7</v>
      </c>
      <c r="L24" s="368" t="n">
        <v>1.2656693E7</v>
      </c>
      <c r="M24" s="368" t="n">
        <v>4437115.0</v>
      </c>
      <c r="N24" s="368" t="n">
        <v>2.7008558E7</v>
      </c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  <c r="IX24" s="22"/>
      <c r="IY24" s="22"/>
    </row>
    <row r="25" spans="2:259" x14ac:dyDescent="0.15">
      <c r="B25" s="17" t="s">
        <v>919</v>
      </c>
      <c r="C25" s="17" t="s">
        <v>948</v>
      </c>
      <c r="D25" s="12" t="s">
        <v>947</v>
      </c>
      <c r="E25" s="372" t="n">
        <v>2184871.0</v>
      </c>
      <c r="F25" s="372" t="n">
        <v>2.8826434E7</v>
      </c>
      <c r="G25" s="372" t="n">
        <v>9117005.0</v>
      </c>
      <c r="H25" s="372" t="n">
        <v>1.2813874E7</v>
      </c>
      <c r="I25" s="372" t="n">
        <v>1.5442791E7</v>
      </c>
      <c r="J25" s="372" t="n">
        <v>7550576.0</v>
      </c>
      <c r="K25" s="372" t="n">
        <v>2100083.0</v>
      </c>
      <c r="L25" s="372" t="n">
        <v>1472748.0</v>
      </c>
      <c r="M25" s="372" t="n">
        <v>1.8170192E7</v>
      </c>
      <c r="N25" s="372" t="n">
        <v>1.8444963E7</v>
      </c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  <c r="IX25" s="22"/>
      <c r="IY25" s="22"/>
    </row>
    <row r="26" spans="2:259" x14ac:dyDescent="0.15">
      <c r="B26" s="17" t="s">
        <v>918</v>
      </c>
      <c r="C26" s="17" t="s">
        <v>948</v>
      </c>
      <c r="D26" s="12" t="s">
        <v>947</v>
      </c>
      <c r="E26" s="376" t="n">
        <v>1.0396236E7</v>
      </c>
      <c r="F26" s="376" t="n">
        <v>1.51064E7</v>
      </c>
      <c r="G26" s="376" t="n">
        <v>2.5923104E7</v>
      </c>
      <c r="H26" s="376" t="n">
        <v>4.2712061E7</v>
      </c>
      <c r="I26" s="376" t="n">
        <v>2.2758301E7</v>
      </c>
      <c r="J26" s="376" t="n">
        <v>1.3891056E7</v>
      </c>
      <c r="K26" s="376" t="n">
        <v>2.0498673E7</v>
      </c>
      <c r="L26" s="376" t="n">
        <v>1.9290916E7</v>
      </c>
      <c r="M26" s="376" t="n">
        <v>2.5284536E7</v>
      </c>
      <c r="N26" s="376" t="n">
        <v>3.4295972E7</v>
      </c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  <c r="IX26" s="22"/>
      <c r="IY26" s="22"/>
    </row>
    <row r="27" spans="2:259" x14ac:dyDescent="0.15">
      <c r="B27" s="17" t="s">
        <v>917</v>
      </c>
      <c r="C27" s="17" t="s">
        <v>948</v>
      </c>
      <c r="D27" s="12" t="s">
        <v>947</v>
      </c>
      <c r="E27" s="380" t="n">
        <v>6047262.0</v>
      </c>
      <c r="F27" s="380" t="n">
        <v>8445073.0</v>
      </c>
      <c r="G27" s="380" t="n">
        <v>1.4072505E7</v>
      </c>
      <c r="H27" s="380" t="n">
        <v>1.2465648E7</v>
      </c>
      <c r="I27" s="380" t="n">
        <v>1.8225224E7</v>
      </c>
      <c r="J27" s="380" t="n">
        <v>1.396177E7</v>
      </c>
      <c r="K27" s="380" t="n">
        <v>1146782.0</v>
      </c>
      <c r="L27" s="380" t="n">
        <v>1480988.0</v>
      </c>
      <c r="M27" s="380" t="n">
        <v>2.9967654E7</v>
      </c>
      <c r="N27" s="380" t="n">
        <v>2.3001325E7</v>
      </c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  <c r="IX27" s="22"/>
      <c r="IY27" s="22"/>
    </row>
    <row r="28" spans="2:259" x14ac:dyDescent="0.15">
      <c r="B28" s="17" t="s">
        <v>916</v>
      </c>
      <c r="C28" s="17" t="s">
        <v>948</v>
      </c>
      <c r="D28" s="12" t="s">
        <v>947</v>
      </c>
      <c r="E28" s="384" t="n">
        <v>5928102.0</v>
      </c>
      <c r="F28" s="384" t="n">
        <v>1.6239309E7</v>
      </c>
      <c r="G28" s="384" t="n">
        <v>1.9049651E7</v>
      </c>
      <c r="H28" s="384" t="n">
        <v>2.9534999E7</v>
      </c>
      <c r="I28" s="384" t="n">
        <v>3.0465068E7</v>
      </c>
      <c r="J28" s="384" t="n">
        <v>1.5817537E7</v>
      </c>
      <c r="K28" s="384" t="n">
        <v>2.8301349E7</v>
      </c>
      <c r="L28" s="384" t="n">
        <v>2.4847583E7</v>
      </c>
      <c r="M28" s="384" t="n">
        <v>1.8491977E7</v>
      </c>
      <c r="N28" s="384" t="n">
        <v>1.9792418E7</v>
      </c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  <c r="IX28" s="22"/>
      <c r="IY28" s="22"/>
    </row>
    <row r="29" spans="2:259" x14ac:dyDescent="0.15">
      <c r="B29" s="17" t="s">
        <v>915</v>
      </c>
      <c r="C29" s="17" t="s">
        <v>948</v>
      </c>
      <c r="D29" s="12" t="s">
        <v>947</v>
      </c>
      <c r="E29" s="388" t="n">
        <v>7170261.0</v>
      </c>
      <c r="F29" s="388" t="n">
        <v>2.1631113E7</v>
      </c>
      <c r="G29" s="388" t="n">
        <v>1.9652834E7</v>
      </c>
      <c r="H29" s="388" t="n">
        <v>1.1485743E7</v>
      </c>
      <c r="I29" s="388" t="n">
        <v>3.4624174E7</v>
      </c>
      <c r="J29" s="388" t="n">
        <v>2.1579209E7</v>
      </c>
      <c r="K29" s="388" t="n">
        <v>1.4103561E7</v>
      </c>
      <c r="L29" s="388" t="n">
        <v>4185374.0</v>
      </c>
      <c r="M29" s="388" t="n">
        <v>1.3997892E7</v>
      </c>
      <c r="N29" s="388" t="n">
        <v>1.7736905E7</v>
      </c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  <c r="IX29" s="22"/>
      <c r="IY29" s="22"/>
    </row>
    <row r="30" spans="2:259" x14ac:dyDescent="0.15">
      <c r="B30" s="17" t="s">
        <v>914</v>
      </c>
      <c r="C30" s="17" t="s">
        <v>948</v>
      </c>
      <c r="D30" s="12" t="s">
        <v>947</v>
      </c>
      <c r="E30" s="392" t="n">
        <v>4.1881351E7</v>
      </c>
      <c r="F30" s="392" t="n">
        <v>2.4133826E7</v>
      </c>
      <c r="G30" s="392" t="n">
        <v>2.4615412E7</v>
      </c>
      <c r="H30" s="392" t="n">
        <v>6.0767801E7</v>
      </c>
      <c r="I30" s="392" t="n">
        <v>3.0584036E7</v>
      </c>
      <c r="J30" s="392" t="n">
        <v>3.1764824E7</v>
      </c>
      <c r="K30" s="392" t="n">
        <v>4.8106021E7</v>
      </c>
      <c r="L30" s="392" t="n">
        <v>1.9660759E7</v>
      </c>
      <c r="M30" s="392" t="n">
        <v>4.0126256E7</v>
      </c>
      <c r="N30" s="392" t="n">
        <v>4.3447438E7</v>
      </c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  <c r="IX30" s="22"/>
      <c r="IY30" s="22"/>
    </row>
    <row r="31" spans="2:259" x14ac:dyDescent="0.15">
      <c r="B31" s="17" t="s">
        <v>913</v>
      </c>
      <c r="C31" s="17" t="s">
        <v>948</v>
      </c>
      <c r="D31" s="12" t="s">
        <v>947</v>
      </c>
      <c r="E31" s="396" t="n">
        <v>4.0558322E7</v>
      </c>
      <c r="F31" s="396" t="n">
        <v>6.2799093E7</v>
      </c>
      <c r="G31" s="396" t="n">
        <v>3.0666467E7</v>
      </c>
      <c r="H31" s="396" t="n">
        <v>3.9881028E7</v>
      </c>
      <c r="I31" s="396" t="n">
        <v>3.1129291E7</v>
      </c>
      <c r="J31" s="396" t="n">
        <v>5.3503335E7</v>
      </c>
      <c r="K31" s="396" t="n">
        <v>4.1452423E7</v>
      </c>
      <c r="L31" s="396" t="n">
        <v>3.0744977E7</v>
      </c>
      <c r="M31" s="396" t="n">
        <v>4.1083429E7</v>
      </c>
      <c r="N31" s="396" t="n">
        <v>9.4693058E7</v>
      </c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  <c r="IX31" s="22"/>
      <c r="IY31" s="22"/>
    </row>
    <row r="32" spans="2:259" x14ac:dyDescent="0.15">
      <c r="B32" s="17" t="s">
        <v>912</v>
      </c>
      <c r="C32" s="17" t="s">
        <v>948</v>
      </c>
      <c r="D32" s="12" t="s">
        <v>947</v>
      </c>
      <c r="E32" s="400" t="n">
        <v>3344951.0</v>
      </c>
      <c r="F32" s="400" t="n">
        <v>3.5570173E7</v>
      </c>
      <c r="G32" s="400" t="n">
        <v>1.6049328E7</v>
      </c>
      <c r="H32" s="400" t="n">
        <v>2.8787787E7</v>
      </c>
      <c r="I32" s="400" t="n">
        <v>1.9675558E7</v>
      </c>
      <c r="J32" s="400" t="n">
        <v>1.1727421E7</v>
      </c>
      <c r="K32" s="400" t="n">
        <v>2.2569455E7</v>
      </c>
      <c r="L32" s="400" t="n">
        <v>1.6982419E7</v>
      </c>
      <c r="M32" s="400" t="n">
        <v>2798148.0</v>
      </c>
      <c r="N32" s="400" t="n">
        <v>7627111.0</v>
      </c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  <c r="IX32" s="22"/>
      <c r="IY32" s="22"/>
    </row>
    <row r="33" spans="2:259" x14ac:dyDescent="0.15">
      <c r="B33" s="17" t="s">
        <v>911</v>
      </c>
      <c r="C33" s="17" t="s">
        <v>948</v>
      </c>
      <c r="D33" s="12" t="s">
        <v>947</v>
      </c>
      <c r="E33" s="404" t="n">
        <v>432660.0</v>
      </c>
      <c r="F33" s="404" t="n">
        <v>1.2314088E7</v>
      </c>
      <c r="G33" s="404" t="n">
        <v>20400.0</v>
      </c>
      <c r="H33" s="404" t="n">
        <v>32400.0</v>
      </c>
      <c r="I33" s="404" t="n">
        <v>3260336.0</v>
      </c>
      <c r="J33" s="404" t="n">
        <v>7088491.0</v>
      </c>
      <c r="K33" s="404" t="n">
        <v>1.7226718E7</v>
      </c>
      <c r="L33" s="404" t="n">
        <v>1.417248E7</v>
      </c>
      <c r="M33" s="404" t="n">
        <v>6403652.0</v>
      </c>
      <c r="N33" s="404" t="n">
        <v>1.5411294E7</v>
      </c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  <c r="IX33" s="22"/>
      <c r="IY33" s="22"/>
    </row>
    <row r="34" spans="2:259" x14ac:dyDescent="0.15">
      <c r="B34" s="17" t="s">
        <v>910</v>
      </c>
      <c r="C34" s="17" t="s">
        <v>948</v>
      </c>
      <c r="D34" s="12" t="s">
        <v>947</v>
      </c>
      <c r="E34" s="408" t="n">
        <v>1.5092839E7</v>
      </c>
      <c r="F34" s="408" t="n">
        <v>7357307.0</v>
      </c>
      <c r="G34" s="408" t="n">
        <v>7761808.0</v>
      </c>
      <c r="H34" s="408" t="n">
        <v>1.2028446E7</v>
      </c>
      <c r="I34" s="408" t="n">
        <v>4480809.0</v>
      </c>
      <c r="J34" s="408" t="n">
        <v>2706146.0</v>
      </c>
      <c r="K34" s="408" t="n">
        <v>3939351.0</v>
      </c>
      <c r="L34" s="408" t="n">
        <v>7274974.0</v>
      </c>
      <c r="M34" s="408" t="n">
        <v>2601057.0</v>
      </c>
      <c r="N34" s="408" t="n">
        <v>0.0</v>
      </c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  <c r="IX34" s="22"/>
      <c r="IY34" s="22"/>
    </row>
    <row r="35" spans="2:259" x14ac:dyDescent="0.15">
      <c r="B35" s="17" t="s">
        <v>909</v>
      </c>
      <c r="C35" s="17" t="s">
        <v>948</v>
      </c>
      <c r="D35" s="12" t="s">
        <v>947</v>
      </c>
      <c r="E35" s="412" t="n">
        <v>3958296.0</v>
      </c>
      <c r="F35" s="412" t="n">
        <v>8644771.0</v>
      </c>
      <c r="G35" s="412" t="n">
        <v>5338097.0</v>
      </c>
      <c r="H35" s="412" t="n">
        <v>1.4916404E7</v>
      </c>
      <c r="I35" s="412" t="n">
        <v>2.0996882E7</v>
      </c>
      <c r="J35" s="412" t="n">
        <v>1.2329259E7</v>
      </c>
      <c r="K35" s="412" t="n">
        <v>4889020.0</v>
      </c>
      <c r="L35" s="412" t="n">
        <v>6517091.0</v>
      </c>
      <c r="M35" s="412" t="n">
        <v>5426793.0</v>
      </c>
      <c r="N35" s="412" t="n">
        <v>1.1814052E7</v>
      </c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  <c r="IX35" s="22"/>
      <c r="IY35" s="22"/>
    </row>
    <row r="36" spans="2:259" x14ac:dyDescent="0.15">
      <c r="B36" s="17" t="s">
        <v>908</v>
      </c>
      <c r="C36" s="17" t="s">
        <v>948</v>
      </c>
      <c r="D36" s="12" t="s">
        <v>947</v>
      </c>
      <c r="E36" s="416" t="n">
        <v>374761.0</v>
      </c>
      <c r="F36" s="416" t="n">
        <v>1.1025809E7</v>
      </c>
      <c r="G36" s="416" t="n">
        <v>1.4516484E7</v>
      </c>
      <c r="H36" s="416" t="n">
        <v>4746171.0</v>
      </c>
      <c r="I36" s="416" t="n">
        <v>1.0976275E7</v>
      </c>
      <c r="J36" s="416" t="n">
        <v>7670563.0</v>
      </c>
      <c r="K36" s="416" t="n">
        <v>2395355.0</v>
      </c>
      <c r="L36" s="416" t="n">
        <v>6111186.0</v>
      </c>
      <c r="M36" s="416" t="n">
        <v>1.3630645E7</v>
      </c>
      <c r="N36" s="416" t="n">
        <v>2.9465535E7</v>
      </c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  <c r="IX36" s="22"/>
      <c r="IY36" s="22"/>
    </row>
    <row r="37" spans="2:259" x14ac:dyDescent="0.15">
      <c r="B37" s="17" t="s">
        <v>907</v>
      </c>
      <c r="C37" s="17" t="s">
        <v>948</v>
      </c>
      <c r="D37" s="12" t="s">
        <v>947</v>
      </c>
      <c r="E37" s="420" t="n">
        <v>2.4090888E7</v>
      </c>
      <c r="F37" s="420" t="n">
        <v>3.3091832E7</v>
      </c>
      <c r="G37" s="420" t="n">
        <v>8663209.0</v>
      </c>
      <c r="H37" s="420" t="n">
        <v>5.8229609E7</v>
      </c>
      <c r="I37" s="420" t="n">
        <v>2.7290984E7</v>
      </c>
      <c r="J37" s="420" t="n">
        <v>3.9311492E7</v>
      </c>
      <c r="K37" s="420" t="n">
        <v>4.2763243E7</v>
      </c>
      <c r="L37" s="420" t="n">
        <v>1.4768194E7</v>
      </c>
      <c r="M37" s="420" t="n">
        <v>7179380.0</v>
      </c>
      <c r="N37" s="420" t="n">
        <v>3.9159008E7</v>
      </c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  <c r="IX37" s="22"/>
      <c r="IY37" s="22"/>
    </row>
    <row r="38" spans="2:259" x14ac:dyDescent="0.15">
      <c r="B38" s="17" t="s">
        <v>906</v>
      </c>
      <c r="C38" s="17" t="s">
        <v>948</v>
      </c>
      <c r="D38" s="12" t="s">
        <v>947</v>
      </c>
      <c r="E38" s="424" t="n">
        <v>1.6121582E7</v>
      </c>
      <c r="F38" s="424" t="n">
        <v>1.3506833E7</v>
      </c>
      <c r="G38" s="424" t="n">
        <v>2.1795686E7</v>
      </c>
      <c r="H38" s="424" t="n">
        <v>4.191978E7</v>
      </c>
      <c r="I38" s="424" t="n">
        <v>1.1465411E7</v>
      </c>
      <c r="J38" s="424" t="n">
        <v>2.6032582E7</v>
      </c>
      <c r="K38" s="424" t="n">
        <v>3.3170109E7</v>
      </c>
      <c r="L38" s="424" t="n">
        <v>3.8546609E7</v>
      </c>
      <c r="M38" s="424" t="n">
        <v>6.4943932E7</v>
      </c>
      <c r="N38" s="424" t="n">
        <v>5.1061363E7</v>
      </c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  <c r="IX38" s="22"/>
      <c r="IY38" s="22"/>
    </row>
    <row r="39" spans="2:259" x14ac:dyDescent="0.15">
      <c r="B39" s="17" t="s">
        <v>905</v>
      </c>
      <c r="C39" s="17" t="s">
        <v>948</v>
      </c>
      <c r="D39" s="12" t="s">
        <v>947</v>
      </c>
      <c r="E39" s="428" t="n">
        <v>1.2789878E7</v>
      </c>
      <c r="F39" s="428" t="n">
        <v>1.2280347E7</v>
      </c>
      <c r="G39" s="428" t="n">
        <v>9348153.0</v>
      </c>
      <c r="H39" s="428" t="n">
        <v>1.0084124E7</v>
      </c>
      <c r="I39" s="428" t="n">
        <v>1.1845688E7</v>
      </c>
      <c r="J39" s="428" t="n">
        <v>6679249.0</v>
      </c>
      <c r="K39" s="428" t="n">
        <v>8709727.0</v>
      </c>
      <c r="L39" s="428" t="n">
        <v>4.1556708E7</v>
      </c>
      <c r="M39" s="428" t="n">
        <v>8487030.0</v>
      </c>
      <c r="N39" s="428" t="n">
        <v>4.0810968E7</v>
      </c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  <c r="IX39" s="22"/>
      <c r="IY39" s="22"/>
    </row>
    <row r="40" spans="2:259" x14ac:dyDescent="0.15">
      <c r="B40" s="17" t="s">
        <v>904</v>
      </c>
      <c r="C40" s="17" t="s">
        <v>948</v>
      </c>
      <c r="D40" s="12" t="s">
        <v>947</v>
      </c>
      <c r="E40" s="432" t="n">
        <v>1.2348832E7</v>
      </c>
      <c r="F40" s="432" t="n">
        <v>2.1010406E7</v>
      </c>
      <c r="G40" s="432" t="n">
        <v>1.9051272E7</v>
      </c>
      <c r="H40" s="432" t="n">
        <v>2.3166556E7</v>
      </c>
      <c r="I40" s="432" t="n">
        <v>1.3893627E7</v>
      </c>
      <c r="J40" s="432" t="n">
        <v>2.2383617E7</v>
      </c>
      <c r="K40" s="432" t="n">
        <v>1.1510167E7</v>
      </c>
      <c r="L40" s="432" t="n">
        <v>1.4826316E7</v>
      </c>
      <c r="M40" s="432" t="n">
        <v>4.1613552E7</v>
      </c>
      <c r="N40" s="432" t="n">
        <v>4.0085848E7</v>
      </c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  <c r="IX40" s="22"/>
      <c r="IY40" s="22"/>
    </row>
    <row r="41" spans="2:259" x14ac:dyDescent="0.15">
      <c r="B41" s="17" t="s">
        <v>903</v>
      </c>
      <c r="C41" s="17" t="s">
        <v>948</v>
      </c>
      <c r="D41" s="12" t="s">
        <v>947</v>
      </c>
      <c r="E41" s="436" t="n">
        <v>4591194.0</v>
      </c>
      <c r="F41" s="436" t="n">
        <v>2838939.0</v>
      </c>
      <c r="G41" s="436" t="n">
        <v>4132190.0</v>
      </c>
      <c r="H41" s="436" t="n">
        <v>4338526.0</v>
      </c>
      <c r="I41" s="436" t="n">
        <v>1.0130396E7</v>
      </c>
      <c r="J41" s="436" t="n">
        <v>1.19696E7</v>
      </c>
      <c r="K41" s="436" t="n">
        <v>1.5137525E7</v>
      </c>
      <c r="L41" s="436" t="n">
        <v>1843356.0</v>
      </c>
      <c r="M41" s="436" t="n">
        <v>1.5673241E7</v>
      </c>
      <c r="N41" s="436" t="n">
        <v>9377444.0</v>
      </c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  <c r="IX41" s="22"/>
      <c r="IY41" s="22"/>
    </row>
    <row r="42" spans="2:259" x14ac:dyDescent="0.15">
      <c r="B42" s="17" t="s">
        <v>902</v>
      </c>
      <c r="C42" s="17" t="s">
        <v>948</v>
      </c>
      <c r="D42" s="12" t="s">
        <v>947</v>
      </c>
      <c r="E42" s="440" t="n">
        <v>1.6727299E7</v>
      </c>
      <c r="F42" s="440" t="n">
        <v>2.4019122E7</v>
      </c>
      <c r="G42" s="440" t="n">
        <v>1.3713499E7</v>
      </c>
      <c r="H42" s="440" t="n">
        <v>6.7188803E7</v>
      </c>
      <c r="I42" s="440" t="n">
        <v>2.582747E7</v>
      </c>
      <c r="J42" s="440" t="n">
        <v>2.2750398E7</v>
      </c>
      <c r="K42" s="440" t="n">
        <v>9790166.0</v>
      </c>
      <c r="L42" s="440" t="n">
        <v>2.6449767E7</v>
      </c>
      <c r="M42" s="440" t="n">
        <v>8.2480506E7</v>
      </c>
      <c r="N42" s="440" t="n">
        <v>6.390557E7</v>
      </c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  <c r="IX42" s="22"/>
      <c r="IY42" s="22"/>
    </row>
    <row r="43" spans="2:259" x14ac:dyDescent="0.15">
      <c r="B43" s="17" t="s">
        <v>901</v>
      </c>
      <c r="C43" s="17" t="s">
        <v>948</v>
      </c>
      <c r="D43" s="12" t="s">
        <v>947</v>
      </c>
      <c r="E43" s="444" t="n">
        <v>1456218.0</v>
      </c>
      <c r="F43" s="444" t="n">
        <v>6812614.0</v>
      </c>
      <c r="G43" s="444" t="n">
        <v>1.0443742E7</v>
      </c>
      <c r="H43" s="444" t="n">
        <v>1.6306882E7</v>
      </c>
      <c r="I43" s="444" t="n">
        <v>9659279.0</v>
      </c>
      <c r="J43" s="444" t="n">
        <v>5199091.0</v>
      </c>
      <c r="K43" s="444" t="n">
        <v>4904339.0</v>
      </c>
      <c r="L43" s="444" t="n">
        <v>4189290.0</v>
      </c>
      <c r="M43" s="444" t="n">
        <v>1.2508302E7</v>
      </c>
      <c r="N43" s="444" t="n">
        <v>2.0162463E7</v>
      </c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  <c r="IX43" s="22"/>
      <c r="IY43" s="22"/>
    </row>
    <row r="44" spans="2:259" x14ac:dyDescent="0.15">
      <c r="B44" s="17" t="s">
        <v>900</v>
      </c>
      <c r="C44" s="17" t="s">
        <v>948</v>
      </c>
      <c r="D44" s="12" t="s">
        <v>947</v>
      </c>
      <c r="E44" s="448" t="n">
        <v>546945.0</v>
      </c>
      <c r="F44" s="448" t="n">
        <v>37104.0</v>
      </c>
      <c r="G44" s="448" t="n">
        <v>864807.0</v>
      </c>
      <c r="H44" s="448" t="n">
        <v>1653501.0</v>
      </c>
      <c r="I44" s="448" t="n">
        <v>2722025.0</v>
      </c>
      <c r="J44" s="448" t="n">
        <v>1221988.0</v>
      </c>
      <c r="K44" s="448" t="n">
        <v>6742153.0</v>
      </c>
      <c r="L44" s="448" t="n">
        <v>8003575.0</v>
      </c>
      <c r="M44" s="448" t="n">
        <v>5308231.0</v>
      </c>
      <c r="N44" s="448" t="n">
        <v>9764507.0</v>
      </c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  <c r="IX44" s="22"/>
      <c r="IY44" s="22"/>
    </row>
    <row r="45" spans="2:259" x14ac:dyDescent="0.15">
      <c r="B45" s="17" t="s">
        <v>899</v>
      </c>
      <c r="C45" s="17" t="s">
        <v>948</v>
      </c>
      <c r="D45" s="12" t="s">
        <v>947</v>
      </c>
      <c r="E45" s="452" t="n">
        <v>1.217302E7</v>
      </c>
      <c r="F45" s="452" t="n">
        <v>1344349.0</v>
      </c>
      <c r="G45" s="452" t="n">
        <v>1.3358871E7</v>
      </c>
      <c r="H45" s="452" t="n">
        <v>1.7659124E7</v>
      </c>
      <c r="I45" s="452" t="n">
        <v>1.2412383E7</v>
      </c>
      <c r="J45" s="452" t="n">
        <v>2.5583686E7</v>
      </c>
      <c r="K45" s="452" t="n">
        <v>2.5894349E7</v>
      </c>
      <c r="L45" s="452" t="n">
        <v>3.9094409E7</v>
      </c>
      <c r="M45" s="452" t="n">
        <v>2.2789771E7</v>
      </c>
      <c r="N45" s="452" t="n">
        <v>3.4844071E7</v>
      </c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  <c r="IX45" s="22"/>
      <c r="IY45" s="22"/>
    </row>
    <row r="46" spans="2:259" x14ac:dyDescent="0.15">
      <c r="B46" s="17" t="s">
        <v>898</v>
      </c>
      <c r="C46" s="17" t="s">
        <v>948</v>
      </c>
      <c r="D46" s="12" t="s">
        <v>947</v>
      </c>
      <c r="E46" s="456" t="n">
        <v>8787456.0</v>
      </c>
      <c r="F46" s="456" t="n">
        <v>2.18614E7</v>
      </c>
      <c r="G46" s="456" t="n">
        <v>2.3521065E7</v>
      </c>
      <c r="H46" s="456" t="n">
        <v>2.0921417E7</v>
      </c>
      <c r="I46" s="456" t="n">
        <v>1.4487281E7</v>
      </c>
      <c r="J46" s="456" t="n">
        <v>2.1114671E7</v>
      </c>
      <c r="K46" s="456" t="n">
        <v>9587918.0</v>
      </c>
      <c r="L46" s="456" t="n">
        <v>6595754.0</v>
      </c>
      <c r="M46" s="456" t="n">
        <v>1.3030439E7</v>
      </c>
      <c r="N46" s="456" t="n">
        <v>5.950738E7</v>
      </c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  <c r="IX46" s="22"/>
      <c r="IY46" s="22"/>
    </row>
    <row r="47" spans="2:259" x14ac:dyDescent="0.15">
      <c r="B47" s="17" t="s">
        <v>897</v>
      </c>
      <c r="C47" s="17" t="s">
        <v>948</v>
      </c>
      <c r="D47" s="12" t="s">
        <v>947</v>
      </c>
      <c r="E47" s="460" t="n">
        <v>9640448.0</v>
      </c>
      <c r="F47" s="460" t="n">
        <v>2511753.0</v>
      </c>
      <c r="G47" s="460" t="n">
        <v>1870210.0</v>
      </c>
      <c r="H47" s="460" t="n">
        <v>2.6641642E7</v>
      </c>
      <c r="I47" s="460" t="n">
        <v>8612639.0</v>
      </c>
      <c r="J47" s="460" t="n">
        <v>1.5390861E7</v>
      </c>
      <c r="K47" s="460" t="n">
        <v>6553452.0</v>
      </c>
      <c r="L47" s="460" t="n">
        <v>7554759.0</v>
      </c>
      <c r="M47" s="460" t="n">
        <v>8973483.0</v>
      </c>
      <c r="N47" s="460" t="n">
        <v>3.5716254E7</v>
      </c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  <c r="IX47" s="22"/>
      <c r="IY47" s="22"/>
    </row>
    <row r="48" spans="2:259" x14ac:dyDescent="0.15">
      <c r="B48" s="17" t="s">
        <v>896</v>
      </c>
      <c r="C48" s="17" t="s">
        <v>948</v>
      </c>
      <c r="D48" s="12" t="s">
        <v>947</v>
      </c>
      <c r="E48" s="464" t="n">
        <v>2.6755057E7</v>
      </c>
      <c r="F48" s="464" t="n">
        <v>2.5125289E7</v>
      </c>
      <c r="G48" s="464" t="n">
        <v>1.5829166E7</v>
      </c>
      <c r="H48" s="464" t="n">
        <v>2.8007459E7</v>
      </c>
      <c r="I48" s="464" t="n">
        <v>2.5004825E7</v>
      </c>
      <c r="J48" s="464" t="n">
        <v>2.5169408E7</v>
      </c>
      <c r="K48" s="464" t="n">
        <v>2.5979243E7</v>
      </c>
      <c r="L48" s="464" t="n">
        <v>1.9082512E7</v>
      </c>
      <c r="M48" s="464" t="n">
        <v>2.8082615E7</v>
      </c>
      <c r="N48" s="464" t="n">
        <v>1.8895288E7</v>
      </c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  <c r="IX48" s="22"/>
      <c r="IY48" s="22"/>
    </row>
    <row r="49" spans="2:259" x14ac:dyDescent="0.15">
      <c r="B49" s="17" t="s">
        <v>895</v>
      </c>
      <c r="C49" s="17" t="s">
        <v>948</v>
      </c>
      <c r="D49" s="12" t="s">
        <v>947</v>
      </c>
      <c r="E49" s="468" t="n">
        <v>1.8761454E7</v>
      </c>
      <c r="F49" s="468" t="n">
        <v>1.9889488E7</v>
      </c>
      <c r="G49" s="468" t="n">
        <v>5.4019907E7</v>
      </c>
      <c r="H49" s="468" t="n">
        <v>2.8099936E7</v>
      </c>
      <c r="I49" s="468" t="n">
        <v>3.7185524E7</v>
      </c>
      <c r="J49" s="468" t="n">
        <v>5.8268196E7</v>
      </c>
      <c r="K49" s="468" t="n">
        <v>5.107937E7</v>
      </c>
      <c r="L49" s="468" t="n">
        <v>2.724687E7</v>
      </c>
      <c r="M49" s="468" t="n">
        <v>4.8886805E7</v>
      </c>
      <c r="N49" s="468" t="n">
        <v>7.0011928E7</v>
      </c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  <c r="IX49" s="22"/>
      <c r="IY49" s="22"/>
    </row>
    <row r="50" spans="2:259" x14ac:dyDescent="0.15">
      <c r="B50" s="17" t="s">
        <v>894</v>
      </c>
      <c r="C50" s="17" t="s">
        <v>948</v>
      </c>
      <c r="D50" s="12" t="s">
        <v>947</v>
      </c>
      <c r="E50" s="472" t="n">
        <v>8564762.0</v>
      </c>
      <c r="F50" s="472" t="n">
        <v>1.7065237E7</v>
      </c>
      <c r="G50" s="472" t="n">
        <v>2.3475177E7</v>
      </c>
      <c r="H50" s="472" t="n">
        <v>1.4746887E7</v>
      </c>
      <c r="I50" s="472" t="n">
        <v>2.6278719E7</v>
      </c>
      <c r="J50" s="472" t="n">
        <v>1.0558531E7</v>
      </c>
      <c r="K50" s="472" t="n">
        <v>3.6632722E7</v>
      </c>
      <c r="L50" s="472" t="n">
        <v>2.8057215E7</v>
      </c>
      <c r="M50" s="472" t="n">
        <v>2.8060947E7</v>
      </c>
      <c r="N50" s="472" t="n">
        <v>8.4662119E7</v>
      </c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  <c r="IX50" s="22"/>
      <c r="IY50" s="22"/>
    </row>
    <row r="51" spans="2:259" x14ac:dyDescent="0.15">
      <c r="B51" s="17" t="s">
        <v>893</v>
      </c>
      <c r="C51" s="17" t="s">
        <v>948</v>
      </c>
      <c r="D51" s="12" t="s">
        <v>947</v>
      </c>
      <c r="E51" s="476" t="n">
        <v>2.3847734E7</v>
      </c>
      <c r="F51" s="476" t="n">
        <v>1.343777E7</v>
      </c>
      <c r="G51" s="476" t="n">
        <v>2.3836669E7</v>
      </c>
      <c r="H51" s="476" t="n">
        <v>2.4216291E7</v>
      </c>
      <c r="I51" s="476" t="n">
        <v>2.346937E7</v>
      </c>
      <c r="J51" s="476" t="n">
        <v>2.9126548E7</v>
      </c>
      <c r="K51" s="476" t="n">
        <v>2.6883522E7</v>
      </c>
      <c r="L51" s="476" t="n">
        <v>3.4669883E7</v>
      </c>
      <c r="M51" s="476" t="n">
        <v>3.144505E7</v>
      </c>
      <c r="N51" s="476" t="n">
        <v>1.01260895E8</v>
      </c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  <c r="IX51" s="22"/>
      <c r="IY51" s="22"/>
    </row>
    <row r="52" spans="2:259" x14ac:dyDescent="0.15">
      <c r="B52" s="17" t="s">
        <v>892</v>
      </c>
      <c r="C52" s="17" t="s">
        <v>948</v>
      </c>
      <c r="D52" s="12" t="s">
        <v>947</v>
      </c>
      <c r="E52" s="480" t="n">
        <v>1.9186182E7</v>
      </c>
      <c r="F52" s="480" t="n">
        <v>2.7831408E7</v>
      </c>
      <c r="G52" s="480" t="n">
        <v>4.3387129E7</v>
      </c>
      <c r="H52" s="480" t="n">
        <v>6.8411858E7</v>
      </c>
      <c r="I52" s="480" t="n">
        <v>7.4078092E7</v>
      </c>
      <c r="J52" s="480" t="n">
        <v>7.6091863E7</v>
      </c>
      <c r="K52" s="480" t="n">
        <v>1.18683952E8</v>
      </c>
      <c r="L52" s="480" t="n">
        <v>1.34388597E8</v>
      </c>
      <c r="M52" s="480" t="n">
        <v>1.31210106E8</v>
      </c>
      <c r="N52" s="480" t="n">
        <v>1.32596887E8</v>
      </c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  <c r="IX52" s="22"/>
      <c r="IY52" s="22"/>
    </row>
    <row r="53" spans="2:259" x14ac:dyDescent="0.15">
      <c r="B53" s="17" t="s">
        <v>891</v>
      </c>
      <c r="C53" s="17" t="s">
        <v>948</v>
      </c>
      <c r="D53" s="12" t="s">
        <v>947</v>
      </c>
      <c r="E53" s="484" t="n">
        <v>8.7995377E7</v>
      </c>
      <c r="F53" s="484" t="n">
        <v>7.0309442E7</v>
      </c>
      <c r="G53" s="484" t="n">
        <v>9.8036182E7</v>
      </c>
      <c r="H53" s="484" t="n">
        <v>1.23522902E8</v>
      </c>
      <c r="I53" s="484" t="n">
        <v>4.6252394E7</v>
      </c>
      <c r="J53" s="484" t="n">
        <v>1.18411313E8</v>
      </c>
      <c r="K53" s="484" t="n">
        <v>5.518758E7</v>
      </c>
      <c r="L53" s="484" t="n">
        <v>6.6137601E7</v>
      </c>
      <c r="M53" s="484" t="n">
        <v>2.01966318E8</v>
      </c>
      <c r="N53" s="484" t="n">
        <v>3.1956077E8</v>
      </c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  <c r="IX53" s="22"/>
      <c r="IY53" s="22"/>
    </row>
    <row r="54" spans="2:259" x14ac:dyDescent="0.15">
      <c r="B54" s="17" t="s">
        <v>890</v>
      </c>
      <c r="C54" s="17" t="s">
        <v>948</v>
      </c>
      <c r="D54" s="12" t="s">
        <v>947</v>
      </c>
      <c r="E54" s="488" t="n">
        <v>7.7276855E7</v>
      </c>
      <c r="F54" s="488" t="n">
        <v>8.3944544E7</v>
      </c>
      <c r="G54" s="488" t="n">
        <v>1.46685495E8</v>
      </c>
      <c r="H54" s="488" t="n">
        <v>9.1309041E7</v>
      </c>
      <c r="I54" s="488" t="n">
        <v>1.09701515E8</v>
      </c>
      <c r="J54" s="488" t="n">
        <v>1.12142864E8</v>
      </c>
      <c r="K54" s="488" t="n">
        <v>2.32368868E8</v>
      </c>
      <c r="L54" s="488" t="n">
        <v>1.76509567E8</v>
      </c>
      <c r="M54" s="488" t="n">
        <v>2.66398072E8</v>
      </c>
      <c r="N54" s="488" t="n">
        <v>1.4312105E8</v>
      </c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  <c r="IX54" s="22"/>
      <c r="IY54" s="22"/>
    </row>
    <row r="55" spans="2:259" x14ac:dyDescent="0.15">
      <c r="B55" s="17" t="s">
        <v>889</v>
      </c>
      <c r="C55" s="17" t="s">
        <v>948</v>
      </c>
      <c r="D55" s="12" t="s">
        <v>947</v>
      </c>
      <c r="E55" s="492" t="n">
        <v>5.8423715E7</v>
      </c>
      <c r="F55" s="492" t="n">
        <v>6.0639475E7</v>
      </c>
      <c r="G55" s="492" t="n">
        <v>4.1086188E7</v>
      </c>
      <c r="H55" s="492" t="n">
        <v>3.9645541E7</v>
      </c>
      <c r="I55" s="492" t="n">
        <v>3.2460039E7</v>
      </c>
      <c r="J55" s="492" t="n">
        <v>7.038746E7</v>
      </c>
      <c r="K55" s="492" t="n">
        <v>1.21745103E8</v>
      </c>
      <c r="L55" s="492" t="n">
        <v>6.2227229E7</v>
      </c>
      <c r="M55" s="492" t="n">
        <v>2.4790366E7</v>
      </c>
      <c r="N55" s="492" t="n">
        <v>1.00974792E8</v>
      </c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  <c r="IX55" s="22"/>
      <c r="IY55" s="22"/>
    </row>
    <row r="56" spans="2:259" x14ac:dyDescent="0.15">
      <c r="B56" s="17" t="s">
        <v>888</v>
      </c>
      <c r="C56" s="17" t="s">
        <v>948</v>
      </c>
      <c r="D56" s="12" t="s">
        <v>947</v>
      </c>
      <c r="E56" s="496" t="n">
        <v>4.2552666E7</v>
      </c>
      <c r="F56" s="496" t="n">
        <v>4.8054461E7</v>
      </c>
      <c r="G56" s="496" t="n">
        <v>8.3471586E7</v>
      </c>
      <c r="H56" s="496" t="n">
        <v>1.64188647E8</v>
      </c>
      <c r="I56" s="496" t="n">
        <v>1.33572571E8</v>
      </c>
      <c r="J56" s="496" t="n">
        <v>1.00631203E8</v>
      </c>
      <c r="K56" s="496" t="n">
        <v>6.473729E7</v>
      </c>
      <c r="L56" s="496" t="n">
        <v>1.2854701E8</v>
      </c>
      <c r="M56" s="496" t="n">
        <v>7.6066066E7</v>
      </c>
      <c r="N56" s="496" t="n">
        <v>9.6875387E7</v>
      </c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  <c r="IX56" s="22"/>
      <c r="IY56" s="22"/>
    </row>
    <row r="57" spans="2:259" x14ac:dyDescent="0.15">
      <c r="B57" s="17" t="s">
        <v>887</v>
      </c>
      <c r="C57" s="17" t="s">
        <v>948</v>
      </c>
      <c r="D57" s="12" t="s">
        <v>947</v>
      </c>
      <c r="E57" s="500" t="n">
        <v>4.7240006E7</v>
      </c>
      <c r="F57" s="500" t="n">
        <v>4.5795969E7</v>
      </c>
      <c r="G57" s="500" t="n">
        <v>5.2369931E7</v>
      </c>
      <c r="H57" s="500" t="n">
        <v>1.23072889E8</v>
      </c>
      <c r="I57" s="500" t="n">
        <v>7.0128863E7</v>
      </c>
      <c r="J57" s="500" t="n">
        <v>8.3015074E7</v>
      </c>
      <c r="K57" s="500" t="n">
        <v>1.23851008E8</v>
      </c>
      <c r="L57" s="500" t="n">
        <v>1.33683728E8</v>
      </c>
      <c r="M57" s="500" t="n">
        <v>9.503053E7</v>
      </c>
      <c r="N57" s="500" t="n">
        <v>1.31115752E8</v>
      </c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  <c r="IX57" s="22"/>
      <c r="IY57" s="22"/>
    </row>
    <row r="58" spans="2:259" x14ac:dyDescent="0.15">
      <c r="B58" s="17" t="s">
        <v>886</v>
      </c>
      <c r="C58" s="17" t="s">
        <v>948</v>
      </c>
      <c r="D58" s="12" t="s">
        <v>947</v>
      </c>
      <c r="E58" s="504" t="n">
        <v>2.2874559E7</v>
      </c>
      <c r="F58" s="504" t="n">
        <v>5.7562839E7</v>
      </c>
      <c r="G58" s="504" t="n">
        <v>4.8864818E7</v>
      </c>
      <c r="H58" s="504" t="n">
        <v>6.8957585E7</v>
      </c>
      <c r="I58" s="504" t="n">
        <v>1.8262403E7</v>
      </c>
      <c r="J58" s="504" t="n">
        <v>4.1137634E7</v>
      </c>
      <c r="K58" s="504" t="n">
        <v>4.6224647E7</v>
      </c>
      <c r="L58" s="504" t="n">
        <v>3.8899527E7</v>
      </c>
      <c r="M58" s="504" t="n">
        <v>1.73106943E8</v>
      </c>
      <c r="N58" s="504" t="n">
        <v>6.5570242E7</v>
      </c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  <c r="IX58" s="22"/>
      <c r="IY58" s="22"/>
    </row>
    <row r="59" spans="2:259" x14ac:dyDescent="0.15">
      <c r="B59" s="17" t="s">
        <v>885</v>
      </c>
      <c r="C59" s="17" t="s">
        <v>948</v>
      </c>
      <c r="D59" s="12" t="s">
        <v>947</v>
      </c>
      <c r="E59" s="508" t="n">
        <v>7.4655779E7</v>
      </c>
      <c r="F59" s="508" t="n">
        <v>4.8208786E7</v>
      </c>
      <c r="G59" s="508" t="n">
        <v>6.6255296E7</v>
      </c>
      <c r="H59" s="508" t="n">
        <v>2.44755249E8</v>
      </c>
      <c r="I59" s="508" t="n">
        <v>1.02031959E8</v>
      </c>
      <c r="J59" s="508" t="n">
        <v>5.957799E7</v>
      </c>
      <c r="K59" s="508" t="n">
        <v>2.3021746E7</v>
      </c>
      <c r="L59" s="508" t="n">
        <v>4.1441545E7</v>
      </c>
      <c r="M59" s="508" t="n">
        <v>1.11445438E8</v>
      </c>
      <c r="N59" s="508" t="n">
        <v>1.95771089E8</v>
      </c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  <c r="IX59" s="22"/>
      <c r="IY59" s="22"/>
    </row>
    <row r="60" spans="2:259" x14ac:dyDescent="0.15">
      <c r="B60" s="17" t="s">
        <v>884</v>
      </c>
      <c r="C60" s="17" t="s">
        <v>948</v>
      </c>
      <c r="D60" s="12" t="s">
        <v>947</v>
      </c>
      <c r="E60" s="512" t="n">
        <v>5.436215E7</v>
      </c>
      <c r="F60" s="512" t="n">
        <v>2.8996917E7</v>
      </c>
      <c r="G60" s="512" t="n">
        <v>4.5339615E7</v>
      </c>
      <c r="H60" s="512" t="n">
        <v>5.1569162E7</v>
      </c>
      <c r="I60" s="512" t="n">
        <v>3.5116911E7</v>
      </c>
      <c r="J60" s="512" t="n">
        <v>7.4520373E7</v>
      </c>
      <c r="K60" s="512" t="n">
        <v>1.08666844E8</v>
      </c>
      <c r="L60" s="512" t="n">
        <v>8.1954613E7</v>
      </c>
      <c r="M60" s="512" t="n">
        <v>7.3730844E7</v>
      </c>
      <c r="N60" s="512" t="n">
        <v>8.0142908E7</v>
      </c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  <c r="IX60" s="22"/>
      <c r="IY60" s="22"/>
    </row>
    <row r="61" spans="2:259" x14ac:dyDescent="0.15">
      <c r="B61" s="17" t="s">
        <v>883</v>
      </c>
      <c r="C61" s="17" t="s">
        <v>948</v>
      </c>
      <c r="D61" s="12" t="s">
        <v>947</v>
      </c>
      <c r="E61" s="516" t="n">
        <v>7.53186131E8</v>
      </c>
      <c r="F61" s="516" t="n">
        <v>3.91818964E8</v>
      </c>
      <c r="G61" s="516" t="n">
        <v>3.20720193E8</v>
      </c>
      <c r="H61" s="516" t="n">
        <v>6.72980657E8</v>
      </c>
      <c r="I61" s="516" t="n">
        <v>5.86122582E8</v>
      </c>
      <c r="J61" s="516" t="n">
        <v>5.34540293E8</v>
      </c>
      <c r="K61" s="516" t="n">
        <v>1.45539943E8</v>
      </c>
      <c r="L61" s="516" t="n">
        <v>1.3405135E8</v>
      </c>
      <c r="M61" s="516" t="n">
        <v>4.94132927E8</v>
      </c>
      <c r="N61" s="516" t="n">
        <v>8.249623E8</v>
      </c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  <c r="IX61" s="22"/>
      <c r="IY61" s="22"/>
    </row>
    <row r="62" spans="2:259" x14ac:dyDescent="0.15">
      <c r="B62" s="17" t="s">
        <v>882</v>
      </c>
      <c r="C62" s="17" t="s">
        <v>948</v>
      </c>
      <c r="D62" s="12" t="s">
        <v>947</v>
      </c>
      <c r="E62" s="520" t="n">
        <v>3.27559174E8</v>
      </c>
      <c r="F62" s="520" t="n">
        <v>3.16677411E8</v>
      </c>
      <c r="G62" s="520" t="n">
        <v>2.45662442E8</v>
      </c>
      <c r="H62" s="520" t="n">
        <v>3.82782891E8</v>
      </c>
      <c r="I62" s="520" t="n">
        <v>2.69637794E8</v>
      </c>
      <c r="J62" s="520" t="n">
        <v>2.97286532E8</v>
      </c>
      <c r="K62" s="520" t="n">
        <v>3.16908785E8</v>
      </c>
      <c r="L62" s="520" t="n">
        <v>4.1165663E8</v>
      </c>
      <c r="M62" s="520" t="n">
        <v>4.59872461E8</v>
      </c>
      <c r="N62" s="520" t="n">
        <v>3.55768626E8</v>
      </c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  <c r="IX62" s="22"/>
      <c r="IY62" s="22"/>
    </row>
    <row r="63" spans="2:259" x14ac:dyDescent="0.15">
      <c r="B63" s="17" t="s">
        <v>881</v>
      </c>
      <c r="C63" s="17" t="s">
        <v>948</v>
      </c>
      <c r="D63" s="12" t="s">
        <v>947</v>
      </c>
      <c r="E63" s="524" t="n">
        <v>9.2078567E7</v>
      </c>
      <c r="F63" s="524" t="n">
        <v>1.51623666E8</v>
      </c>
      <c r="G63" s="524" t="n">
        <v>1.46617186E8</v>
      </c>
      <c r="H63" s="524" t="n">
        <v>1.21811827E8</v>
      </c>
      <c r="I63" s="524" t="n">
        <v>1.82097492E8</v>
      </c>
      <c r="J63" s="524" t="n">
        <v>2.02147146E8</v>
      </c>
      <c r="K63" s="524" t="n">
        <v>1.98617806E8</v>
      </c>
      <c r="L63" s="524" t="n">
        <v>4.10967757E8</v>
      </c>
      <c r="M63" s="524" t="n">
        <v>2.44277149E8</v>
      </c>
      <c r="N63" s="524" t="n">
        <v>4.92139961E8</v>
      </c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  <c r="IX63" s="22"/>
      <c r="IY63" s="22"/>
    </row>
    <row r="64" spans="2:259" x14ac:dyDescent="0.15">
      <c r="B64" s="17" t="s">
        <v>880</v>
      </c>
      <c r="C64" s="17" t="s">
        <v>948</v>
      </c>
      <c r="D64" s="12" t="s">
        <v>947</v>
      </c>
      <c r="E64" s="528" t="n">
        <v>1.09491444E8</v>
      </c>
      <c r="F64" s="528" t="n">
        <v>1.24207622E8</v>
      </c>
      <c r="G64" s="528" t="n">
        <v>1.0587161E8</v>
      </c>
      <c r="H64" s="528" t="n">
        <v>2.08904445E8</v>
      </c>
      <c r="I64" s="528" t="n">
        <v>1.72384318E8</v>
      </c>
      <c r="J64" s="528" t="n">
        <v>3.15928967E8</v>
      </c>
      <c r="K64" s="528" t="n">
        <v>7.0042139E7</v>
      </c>
      <c r="L64" s="528" t="n">
        <v>2.25682251E8</v>
      </c>
      <c r="M64" s="528" t="n">
        <v>2.34703564E8</v>
      </c>
      <c r="N64" s="528" t="n">
        <v>2.70735709E8</v>
      </c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  <c r="IX64" s="22"/>
      <c r="IY64" s="22"/>
    </row>
    <row r="65" spans="2:259" x14ac:dyDescent="0.15">
      <c r="B65" s="17" t="s">
        <v>938</v>
      </c>
      <c r="C65" s="17" t="s">
        <v>948</v>
      </c>
      <c r="D65" s="12" t="s">
        <v>947</v>
      </c>
      <c r="E65" s="532" t="n">
        <v>2.860085689E9</v>
      </c>
      <c r="F65" s="532" t="n">
        <v>2.246745361E9</v>
      </c>
      <c r="G65" s="532" t="n">
        <v>2.269145413E9</v>
      </c>
      <c r="H65" s="532" t="n">
        <v>3.882111992E9</v>
      </c>
      <c r="I65" s="532" t="n">
        <v>3.046707321E9</v>
      </c>
      <c r="J65" s="532" t="n">
        <v>3.366550715E9</v>
      </c>
      <c r="K65" s="532" t="n">
        <v>3.18830934E9</v>
      </c>
      <c r="L65" s="532" t="n">
        <v>3.438522953E9</v>
      </c>
      <c r="M65" s="532" t="n">
        <v>4.119997376E9</v>
      </c>
      <c r="N65" s="532" t="n">
        <v>5.140443497E9</v>
      </c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  <c r="IX65" s="22"/>
      <c r="IY65" s="22"/>
    </row>
    <row r="66" spans="2:259" x14ac:dyDescent="0.15" hidden="true">
      <c r="B66" s="17" t="s">
        <v>580</v>
      </c>
      <c r="C66" s="17"/>
      <c r="D66" s="1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  <c r="IX66" s="22"/>
      <c r="IY66" s="22"/>
    </row>
    <row r="67" spans="2:259" x14ac:dyDescent="0.15" hidden="true">
      <c r="B67" s="17" t="s">
        <v>581</v>
      </c>
      <c r="C67" s="17"/>
      <c r="D67" s="1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  <c r="IX67" s="22"/>
      <c r="IY67" s="22"/>
    </row>
    <row r="68" spans="2:259" x14ac:dyDescent="0.15" hidden="true">
      <c r="B68" s="17" t="s">
        <v>582</v>
      </c>
      <c r="C68" s="17"/>
      <c r="D68" s="1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  <c r="IX68" s="22"/>
      <c r="IY68" s="22"/>
    </row>
    <row r="69" spans="2:259" x14ac:dyDescent="0.15" hidden="true">
      <c r="B69" s="17" t="s">
        <v>583</v>
      </c>
      <c r="C69" s="17"/>
      <c r="D69" s="1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  <c r="IX69" s="22"/>
      <c r="IY69" s="22"/>
    </row>
    <row r="70" spans="2:259" x14ac:dyDescent="0.15" hidden="true">
      <c r="B70" s="17" t="s">
        <v>584</v>
      </c>
      <c r="C70" s="17"/>
      <c r="D70" s="1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  <c r="IX70" s="22"/>
      <c r="IY70" s="22"/>
    </row>
    <row r="71" spans="2:259" x14ac:dyDescent="0.15" hidden="true">
      <c r="B71" s="17" t="s">
        <v>585</v>
      </c>
      <c r="C71" s="17"/>
      <c r="D71" s="1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  <c r="IX71" s="22"/>
      <c r="IY71" s="22"/>
    </row>
    <row r="72" spans="2:259" x14ac:dyDescent="0.15" hidden="true">
      <c r="B72" s="17" t="s">
        <v>586</v>
      </c>
      <c r="C72" s="17"/>
      <c r="D72" s="1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  <c r="IX72" s="22"/>
      <c r="IY72" s="22"/>
    </row>
    <row r="73" spans="2:259" x14ac:dyDescent="0.15" hidden="true">
      <c r="B73" s="17" t="s">
        <v>587</v>
      </c>
      <c r="C73" s="17"/>
      <c r="D73" s="1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  <c r="IX73" s="22"/>
      <c r="IY73" s="22"/>
    </row>
    <row r="74" spans="2:259" x14ac:dyDescent="0.15" hidden="true">
      <c r="B74" s="17" t="s">
        <v>588</v>
      </c>
      <c r="C74" s="17"/>
      <c r="D74" s="1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  <c r="IX74" s="22"/>
      <c r="IY74" s="22"/>
    </row>
    <row r="75" spans="2:259" x14ac:dyDescent="0.15" hidden="true">
      <c r="B75" s="17" t="s">
        <v>589</v>
      </c>
      <c r="C75" s="17"/>
      <c r="D75" s="1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  <c r="IX75" s="22"/>
      <c r="IY75" s="22"/>
    </row>
    <row r="76" spans="2:259" x14ac:dyDescent="0.15" hidden="true">
      <c r="B76" s="17" t="s">
        <v>590</v>
      </c>
      <c r="C76" s="17"/>
      <c r="D76" s="1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  <c r="IX76" s="22"/>
      <c r="IY76" s="22"/>
    </row>
    <row r="77" spans="2:259" x14ac:dyDescent="0.15" hidden="true">
      <c r="B77" s="17" t="s">
        <v>591</v>
      </c>
      <c r="C77" s="17"/>
      <c r="D77" s="1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  <c r="IX77" s="22"/>
      <c r="IY77" s="22"/>
    </row>
    <row r="78" spans="2:259" x14ac:dyDescent="0.15" hidden="true">
      <c r="B78" s="17" t="s">
        <v>592</v>
      </c>
      <c r="C78" s="17"/>
      <c r="D78" s="1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  <c r="IX78" s="22"/>
      <c r="IY78" s="22"/>
    </row>
    <row r="79" spans="2:259" x14ac:dyDescent="0.15" hidden="true">
      <c r="B79" s="17" t="s">
        <v>593</v>
      </c>
      <c r="C79" s="17"/>
      <c r="D79" s="1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  <c r="IX79" s="22"/>
      <c r="IY79" s="22"/>
    </row>
    <row r="80" spans="2:259" x14ac:dyDescent="0.15" hidden="true">
      <c r="B80" s="17" t="s">
        <v>594</v>
      </c>
      <c r="C80" s="17"/>
      <c r="D80" s="1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  <c r="IX80" s="22"/>
      <c r="IY80" s="22"/>
    </row>
    <row r="81" spans="2:259" x14ac:dyDescent="0.15" hidden="true">
      <c r="B81" s="17" t="s">
        <v>595</v>
      </c>
      <c r="C81" s="17"/>
      <c r="D81" s="1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  <c r="IX81" s="22"/>
      <c r="IY81" s="22"/>
    </row>
    <row r="82" spans="2:259" x14ac:dyDescent="0.15" hidden="true">
      <c r="B82" s="17" t="s">
        <v>596</v>
      </c>
      <c r="C82" s="17"/>
      <c r="D82" s="1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  <c r="IX82" s="22"/>
      <c r="IY82" s="22"/>
    </row>
    <row r="83" spans="2:259" x14ac:dyDescent="0.15" hidden="true">
      <c r="B83" s="17" t="s">
        <v>597</v>
      </c>
      <c r="C83" s="17"/>
      <c r="D83" s="1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  <c r="IX83" s="22"/>
      <c r="IY83" s="22"/>
    </row>
    <row r="84" spans="2:259" x14ac:dyDescent="0.15" hidden="true">
      <c r="B84" s="17" t="s">
        <v>598</v>
      </c>
      <c r="C84" s="17"/>
      <c r="D84" s="1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  <c r="IX84" s="22"/>
      <c r="IY84" s="22"/>
    </row>
    <row r="85" spans="2:259" x14ac:dyDescent="0.15" hidden="true">
      <c r="B85" s="17" t="s">
        <v>599</v>
      </c>
      <c r="C85" s="17"/>
      <c r="D85" s="1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  <c r="IX85" s="22"/>
      <c r="IY85" s="22"/>
    </row>
    <row r="86" spans="2:259" x14ac:dyDescent="0.15" hidden="true">
      <c r="B86" s="17" t="s">
        <v>600</v>
      </c>
      <c r="C86" s="17"/>
      <c r="D86" s="1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  <c r="IX86" s="22"/>
      <c r="IY86" s="22"/>
    </row>
    <row r="87" spans="2:259" x14ac:dyDescent="0.15" hidden="true">
      <c r="B87" s="17" t="s">
        <v>601</v>
      </c>
      <c r="C87" s="17"/>
      <c r="D87" s="1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  <c r="IX87" s="22"/>
      <c r="IY87" s="22"/>
    </row>
    <row r="88" spans="2:259" x14ac:dyDescent="0.15" hidden="true">
      <c r="B88" s="17" t="s">
        <v>602</v>
      </c>
      <c r="C88" s="17"/>
      <c r="D88" s="1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  <c r="IX88" s="22"/>
      <c r="IY88" s="22"/>
    </row>
    <row r="89" spans="2:259" x14ac:dyDescent="0.15" hidden="true">
      <c r="B89" s="17" t="s">
        <v>603</v>
      </c>
      <c r="C89" s="17"/>
      <c r="D89" s="1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  <c r="IX89" s="22"/>
      <c r="IY89" s="22"/>
    </row>
    <row r="90" spans="2:259" x14ac:dyDescent="0.15" hidden="true">
      <c r="B90" s="17" t="s">
        <v>604</v>
      </c>
      <c r="C90" s="17"/>
      <c r="D90" s="1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  <c r="IX90" s="22"/>
      <c r="IY90" s="22"/>
    </row>
    <row r="91" spans="2:259" x14ac:dyDescent="0.15" hidden="true">
      <c r="B91" s="17" t="s">
        <v>605</v>
      </c>
      <c r="C91" s="17"/>
      <c r="D91" s="1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  <c r="IX91" s="22"/>
      <c r="IY91" s="22"/>
    </row>
    <row r="92" spans="2:259" x14ac:dyDescent="0.15" hidden="true">
      <c r="B92" s="17" t="s">
        <v>606</v>
      </c>
      <c r="C92" s="17"/>
      <c r="D92" s="1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  <c r="IX92" s="22"/>
      <c r="IY92" s="22"/>
    </row>
    <row r="93" spans="2:259" x14ac:dyDescent="0.15" hidden="true">
      <c r="B93" s="17" t="s">
        <v>607</v>
      </c>
      <c r="C93" s="17"/>
      <c r="D93" s="1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  <c r="IX93" s="22"/>
      <c r="IY93" s="22"/>
    </row>
    <row r="94" spans="2:259" x14ac:dyDescent="0.15" hidden="true">
      <c r="B94" s="17" t="s">
        <v>608</v>
      </c>
      <c r="C94" s="17"/>
      <c r="D94" s="1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  <c r="IX94" s="22"/>
      <c r="IY94" s="22"/>
    </row>
    <row r="95" spans="2:259" x14ac:dyDescent="0.15" hidden="true">
      <c r="B95" s="17" t="s">
        <v>609</v>
      </c>
      <c r="C95" s="17"/>
      <c r="D95" s="1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  <c r="IX95" s="22"/>
      <c r="IY95" s="22"/>
    </row>
    <row r="96" spans="2:259" x14ac:dyDescent="0.15" hidden="true">
      <c r="B96" s="17" t="s">
        <v>610</v>
      </c>
      <c r="C96" s="17"/>
      <c r="D96" s="1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  <c r="IX96" s="22"/>
      <c r="IY96" s="22"/>
    </row>
    <row r="97" spans="2:259" x14ac:dyDescent="0.15" hidden="true">
      <c r="B97" s="17" t="s">
        <v>611</v>
      </c>
      <c r="C97" s="17"/>
      <c r="D97" s="1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  <c r="IX97" s="22"/>
      <c r="IY97" s="22"/>
    </row>
    <row r="98" spans="2:259" x14ac:dyDescent="0.15" hidden="true">
      <c r="B98" s="17" t="s">
        <v>612</v>
      </c>
      <c r="C98" s="17"/>
      <c r="D98" s="1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  <c r="IX98" s="22"/>
      <c r="IY98" s="22"/>
    </row>
    <row r="99" spans="2:259" x14ac:dyDescent="0.15" hidden="true">
      <c r="B99" s="17" t="s">
        <v>613</v>
      </c>
      <c r="C99" s="17"/>
      <c r="D99" s="1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  <c r="IX99" s="22"/>
      <c r="IY99" s="22"/>
    </row>
    <row r="100" spans="2:259" x14ac:dyDescent="0.15" hidden="true">
      <c r="B100" s="17" t="s">
        <v>614</v>
      </c>
      <c r="C100" s="17"/>
      <c r="D100" s="1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  <c r="IX100" s="22"/>
      <c r="IY100" s="22"/>
    </row>
    <row r="101" spans="2:259" x14ac:dyDescent="0.15" hidden="true">
      <c r="B101" s="17" t="s">
        <v>615</v>
      </c>
      <c r="C101" s="17"/>
      <c r="D101" s="1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  <c r="IX101" s="22"/>
      <c r="IY101" s="22"/>
    </row>
    <row r="102" spans="2:259" x14ac:dyDescent="0.15" hidden="true">
      <c r="B102" s="17" t="s">
        <v>616</v>
      </c>
      <c r="C102" s="17"/>
      <c r="D102" s="1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  <c r="IX102" s="22"/>
      <c r="IY102" s="22"/>
    </row>
    <row r="103" spans="2:259" x14ac:dyDescent="0.15" hidden="true">
      <c r="B103" s="17" t="s">
        <v>617</v>
      </c>
      <c r="C103" s="17"/>
      <c r="D103" s="1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  <c r="IX103" s="22"/>
      <c r="IY103" s="22"/>
    </row>
    <row r="104" spans="2:259" x14ac:dyDescent="0.15" hidden="true">
      <c r="B104" s="17" t="s">
        <v>618</v>
      </c>
      <c r="C104" s="17"/>
      <c r="D104" s="1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  <c r="IX104" s="22"/>
      <c r="IY104" s="22"/>
    </row>
    <row r="105" spans="2:259" x14ac:dyDescent="0.15" hidden="true">
      <c r="B105" s="17" t="s">
        <v>619</v>
      </c>
      <c r="C105" s="17"/>
      <c r="D105" s="1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  <c r="IX105" s="22"/>
      <c r="IY105" s="22"/>
    </row>
    <row r="106" spans="2:259" x14ac:dyDescent="0.15" hidden="true">
      <c r="B106" s="17" t="s">
        <v>620</v>
      </c>
      <c r="C106" s="17"/>
      <c r="D106" s="1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  <c r="IX106" s="22"/>
      <c r="IY106" s="22"/>
    </row>
    <row r="107" spans="2:259" x14ac:dyDescent="0.15" hidden="true">
      <c r="B107" s="17" t="s">
        <v>621</v>
      </c>
      <c r="C107" s="17"/>
      <c r="D107" s="1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  <c r="IX107" s="22"/>
      <c r="IY107" s="22"/>
    </row>
    <row r="108" spans="2:259" x14ac:dyDescent="0.15" hidden="true">
      <c r="B108" s="17" t="s">
        <v>622</v>
      </c>
      <c r="C108" s="17"/>
      <c r="D108" s="1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  <c r="IX108" s="22"/>
      <c r="IY108" s="22"/>
    </row>
    <row r="109" spans="2:259" x14ac:dyDescent="0.15" hidden="true">
      <c r="B109" s="17" t="s">
        <v>623</v>
      </c>
      <c r="C109" s="17"/>
      <c r="D109" s="1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  <c r="IX109" s="22"/>
      <c r="IY109" s="22"/>
    </row>
    <row r="110" spans="2:259" x14ac:dyDescent="0.15" hidden="true">
      <c r="B110" s="17" t="s">
        <v>624</v>
      </c>
      <c r="C110" s="17"/>
      <c r="D110" s="1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  <c r="IX110" s="22"/>
      <c r="IY110" s="22"/>
    </row>
    <row r="111" spans="2:259" x14ac:dyDescent="0.15" hidden="true">
      <c r="B111" s="17" t="s">
        <v>625</v>
      </c>
      <c r="C111" s="17"/>
      <c r="D111" s="1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  <c r="IX111" s="22"/>
      <c r="IY111" s="22"/>
    </row>
    <row r="112" spans="2:259" x14ac:dyDescent="0.15" hidden="true">
      <c r="B112" s="17" t="s">
        <v>626</v>
      </c>
      <c r="C112" s="17"/>
      <c r="D112" s="1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  <c r="IX112" s="22"/>
      <c r="IY112" s="22"/>
    </row>
    <row r="113" spans="2:259" x14ac:dyDescent="0.15" hidden="true">
      <c r="B113" s="17" t="s">
        <v>627</v>
      </c>
      <c r="C113" s="17"/>
      <c r="D113" s="1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  <c r="IX113" s="22"/>
      <c r="IY113" s="22"/>
    </row>
    <row r="114" spans="2:259" x14ac:dyDescent="0.15" hidden="true">
      <c r="B114" s="17" t="s">
        <v>628</v>
      </c>
      <c r="C114" s="17"/>
      <c r="D114" s="1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  <c r="IX114" s="22"/>
      <c r="IY114" s="22"/>
    </row>
    <row r="115" spans="2:259" x14ac:dyDescent="0.15" hidden="true">
      <c r="B115" s="17" t="s">
        <v>629</v>
      </c>
      <c r="C115" s="17"/>
      <c r="D115" s="1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  <c r="IX115" s="22"/>
      <c r="IY115" s="22"/>
    </row>
    <row r="116" spans="2:259" x14ac:dyDescent="0.15" hidden="true">
      <c r="B116" s="17" t="s">
        <v>630</v>
      </c>
      <c r="C116" s="17"/>
      <c r="D116" s="1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  <c r="IX116" s="22"/>
      <c r="IY116" s="22"/>
    </row>
    <row r="117" spans="2:259" x14ac:dyDescent="0.15" hidden="true">
      <c r="B117" s="17" t="s">
        <v>631</v>
      </c>
      <c r="C117" s="17"/>
      <c r="D117" s="1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  <c r="IX117" s="22"/>
      <c r="IY117" s="22"/>
    </row>
    <row r="118" spans="2:259" x14ac:dyDescent="0.15" hidden="true">
      <c r="B118" s="17" t="s">
        <v>632</v>
      </c>
      <c r="C118" s="17"/>
      <c r="D118" s="1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  <c r="IX118" s="22"/>
      <c r="IY118" s="22"/>
    </row>
    <row r="119" spans="2:259" x14ac:dyDescent="0.15" hidden="true">
      <c r="B119" s="17" t="s">
        <v>633</v>
      </c>
      <c r="C119" s="17"/>
      <c r="D119" s="1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  <c r="IX119" s="22"/>
      <c r="IY119" s="22"/>
    </row>
    <row r="120" spans="2:259" x14ac:dyDescent="0.15" hidden="true">
      <c r="B120" s="17" t="s">
        <v>634</v>
      </c>
      <c r="C120" s="17"/>
      <c r="D120" s="1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  <c r="IX120" s="22"/>
      <c r="IY120" s="22"/>
    </row>
    <row r="121" spans="2:259" x14ac:dyDescent="0.15" hidden="true">
      <c r="B121" s="17" t="s">
        <v>635</v>
      </c>
      <c r="C121" s="17"/>
      <c r="D121" s="1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  <c r="IX121" s="22"/>
      <c r="IY121" s="22"/>
    </row>
    <row r="122" spans="2:259" x14ac:dyDescent="0.15" hidden="true">
      <c r="B122" s="17" t="s">
        <v>636</v>
      </c>
      <c r="C122" s="17"/>
      <c r="D122" s="1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  <c r="IX122" s="22"/>
      <c r="IY122" s="22"/>
    </row>
    <row r="123" spans="2:259" x14ac:dyDescent="0.15" hidden="true">
      <c r="B123" s="17" t="s">
        <v>637</v>
      </c>
      <c r="C123" s="17"/>
      <c r="D123" s="1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  <c r="IX123" s="22"/>
      <c r="IY123" s="22"/>
    </row>
    <row r="124" spans="2:259" x14ac:dyDescent="0.15" hidden="true">
      <c r="B124" s="17" t="s">
        <v>638</v>
      </c>
      <c r="C124" s="17"/>
      <c r="D124" s="1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  <c r="IX124" s="22"/>
      <c r="IY124" s="22"/>
    </row>
    <row r="125" spans="2:259" x14ac:dyDescent="0.15" hidden="true">
      <c r="B125" s="17" t="s">
        <v>639</v>
      </c>
      <c r="C125" s="17"/>
      <c r="D125" s="1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  <c r="IX125" s="22"/>
      <c r="IY125" s="22"/>
    </row>
    <row r="126" spans="2:259" x14ac:dyDescent="0.15" hidden="true">
      <c r="B126" s="17" t="s">
        <v>640</v>
      </c>
      <c r="C126" s="17"/>
      <c r="D126" s="1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  <c r="IX126" s="22"/>
      <c r="IY126" s="22"/>
    </row>
    <row r="127" spans="2:259" x14ac:dyDescent="0.15" hidden="true">
      <c r="B127" s="17" t="s">
        <v>641</v>
      </c>
      <c r="C127" s="17"/>
      <c r="D127" s="1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  <c r="IX127" s="22"/>
      <c r="IY127" s="22"/>
    </row>
    <row r="128" spans="2:259" x14ac:dyDescent="0.15" hidden="true">
      <c r="B128" s="17" t="s">
        <v>642</v>
      </c>
      <c r="C128" s="17"/>
      <c r="D128" s="1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  <c r="IX128" s="22"/>
      <c r="IY128" s="22"/>
    </row>
    <row r="129" spans="2:259" x14ac:dyDescent="0.15" hidden="true">
      <c r="B129" s="17" t="s">
        <v>643</v>
      </c>
      <c r="C129" s="17"/>
      <c r="D129" s="1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  <c r="IX129" s="22"/>
      <c r="IY129" s="22"/>
    </row>
    <row r="130" spans="2:259" x14ac:dyDescent="0.15" hidden="true">
      <c r="B130" s="17" t="s">
        <v>644</v>
      </c>
      <c r="C130" s="17"/>
      <c r="D130" s="1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  <c r="IX130" s="22"/>
      <c r="IY130" s="22"/>
    </row>
    <row r="131" spans="2:259" x14ac:dyDescent="0.15" hidden="true">
      <c r="B131" s="17" t="s">
        <v>645</v>
      </c>
      <c r="C131" s="17"/>
      <c r="D131" s="1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  <c r="IX131" s="22"/>
      <c r="IY131" s="22"/>
    </row>
    <row r="132" spans="2:259" x14ac:dyDescent="0.15" hidden="true">
      <c r="B132" s="17" t="s">
        <v>646</v>
      </c>
      <c r="C132" s="17"/>
      <c r="D132" s="1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  <c r="IX132" s="22"/>
      <c r="IY132" s="22"/>
    </row>
    <row r="133" spans="2:259" x14ac:dyDescent="0.15" hidden="true">
      <c r="B133" s="17" t="s">
        <v>647</v>
      </c>
      <c r="C133" s="17"/>
      <c r="D133" s="1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  <c r="IX133" s="22"/>
      <c r="IY133" s="22"/>
    </row>
    <row r="134" spans="2:259" x14ac:dyDescent="0.15" hidden="true">
      <c r="B134" s="17" t="s">
        <v>648</v>
      </c>
      <c r="C134" s="17"/>
      <c r="D134" s="1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  <c r="IX134" s="22"/>
      <c r="IY134" s="22"/>
    </row>
    <row r="135" spans="2:259" x14ac:dyDescent="0.15" hidden="true">
      <c r="B135" s="17" t="s">
        <v>649</v>
      </c>
      <c r="C135" s="17"/>
      <c r="D135" s="1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  <c r="IX135" s="22"/>
      <c r="IY135" s="22"/>
    </row>
    <row r="136" spans="2:259" x14ac:dyDescent="0.15" hidden="true">
      <c r="B136" s="17" t="s">
        <v>650</v>
      </c>
      <c r="C136" s="17"/>
      <c r="D136" s="1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  <c r="IX136" s="22"/>
      <c r="IY136" s="22"/>
    </row>
    <row r="137" spans="2:259" x14ac:dyDescent="0.15" hidden="true">
      <c r="B137" s="17" t="s">
        <v>651</v>
      </c>
      <c r="C137" s="17"/>
      <c r="D137" s="1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  <c r="IX137" s="22"/>
      <c r="IY137" s="22"/>
    </row>
    <row r="138" spans="2:259" x14ac:dyDescent="0.15" hidden="true">
      <c r="B138" s="17" t="s">
        <v>652</v>
      </c>
      <c r="C138" s="17"/>
      <c r="D138" s="1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  <c r="IX138" s="22"/>
      <c r="IY138" s="22"/>
    </row>
    <row r="139" spans="2:259" x14ac:dyDescent="0.15" hidden="true">
      <c r="B139" s="17" t="s">
        <v>653</v>
      </c>
      <c r="C139" s="17"/>
      <c r="D139" s="1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  <c r="IX139" s="22"/>
      <c r="IY139" s="22"/>
    </row>
    <row r="140" spans="2:259" x14ac:dyDescent="0.15" hidden="true">
      <c r="B140" s="17" t="s">
        <v>654</v>
      </c>
      <c r="C140" s="17"/>
      <c r="D140" s="1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  <c r="IX140" s="22"/>
      <c r="IY140" s="22"/>
    </row>
    <row r="141" spans="2:259" x14ac:dyDescent="0.15" hidden="true">
      <c r="B141" s="17" t="s">
        <v>655</v>
      </c>
      <c r="C141" s="17"/>
      <c r="D141" s="1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  <c r="IX141" s="22"/>
      <c r="IY141" s="22"/>
    </row>
    <row r="142" spans="2:259" x14ac:dyDescent="0.15" hidden="true">
      <c r="B142" s="17" t="s">
        <v>656</v>
      </c>
      <c r="C142" s="17"/>
      <c r="D142" s="1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  <c r="IX142" s="22"/>
      <c r="IY142" s="22"/>
    </row>
    <row r="143" spans="2:259" x14ac:dyDescent="0.15" hidden="true">
      <c r="B143" s="17" t="s">
        <v>657</v>
      </c>
      <c r="C143" s="17"/>
      <c r="D143" s="1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  <c r="IX143" s="22"/>
      <c r="IY143" s="22"/>
    </row>
    <row r="144" spans="2:259" x14ac:dyDescent="0.15" hidden="true">
      <c r="B144" s="17" t="s">
        <v>658</v>
      </c>
      <c r="C144" s="17"/>
      <c r="D144" s="1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  <c r="IX144" s="22"/>
      <c r="IY144" s="22"/>
    </row>
    <row r="145" spans="2:259" x14ac:dyDescent="0.15" hidden="true">
      <c r="B145" s="17" t="s">
        <v>659</v>
      </c>
      <c r="C145" s="17"/>
      <c r="D145" s="1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  <c r="IX145" s="22"/>
      <c r="IY145" s="22"/>
    </row>
    <row r="146" spans="2:259" x14ac:dyDescent="0.15" hidden="true">
      <c r="B146" s="17" t="s">
        <v>660</v>
      </c>
      <c r="C146" s="17"/>
      <c r="D146" s="1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  <c r="IX146" s="22"/>
      <c r="IY146" s="22"/>
    </row>
    <row r="147" spans="2:259" x14ac:dyDescent="0.15" hidden="true">
      <c r="B147" s="17" t="s">
        <v>661</v>
      </c>
      <c r="C147" s="17"/>
      <c r="D147" s="1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  <c r="IX147" s="22"/>
      <c r="IY147" s="22"/>
    </row>
    <row r="148" spans="2:259" x14ac:dyDescent="0.15" hidden="true">
      <c r="B148" s="17" t="s">
        <v>662</v>
      </c>
      <c r="C148" s="17"/>
      <c r="D148" s="1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  <c r="IX148" s="22"/>
      <c r="IY148" s="22"/>
    </row>
    <row r="149" spans="2:259" x14ac:dyDescent="0.15" hidden="true">
      <c r="B149" s="17" t="s">
        <v>663</v>
      </c>
      <c r="C149" s="17"/>
      <c r="D149" s="1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  <c r="IX149" s="22"/>
      <c r="IY149" s="22"/>
    </row>
    <row r="150" spans="2:259" x14ac:dyDescent="0.15" hidden="true">
      <c r="B150" s="17" t="s">
        <v>664</v>
      </c>
      <c r="C150" s="17"/>
      <c r="D150" s="1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  <c r="IX150" s="22"/>
      <c r="IY150" s="22"/>
    </row>
    <row r="151" spans="2:259" x14ac:dyDescent="0.15" hidden="true">
      <c r="B151" s="17" t="s">
        <v>665</v>
      </c>
      <c r="C151" s="17"/>
      <c r="D151" s="1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  <c r="IX151" s="22"/>
      <c r="IY151" s="22"/>
    </row>
    <row r="152" spans="2:259" x14ac:dyDescent="0.15" hidden="true">
      <c r="B152" s="17" t="s">
        <v>666</v>
      </c>
      <c r="C152" s="17"/>
      <c r="D152" s="1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  <c r="IX152" s="22"/>
      <c r="IY152" s="22"/>
    </row>
    <row r="153" spans="2:259" x14ac:dyDescent="0.15" hidden="true">
      <c r="B153" s="17" t="s">
        <v>667</v>
      </c>
      <c r="C153" s="17"/>
      <c r="D153" s="1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  <c r="IX153" s="22"/>
      <c r="IY153" s="22"/>
    </row>
    <row r="154" spans="2:259" x14ac:dyDescent="0.15" hidden="true">
      <c r="B154" s="17" t="s">
        <v>668</v>
      </c>
      <c r="C154" s="17"/>
      <c r="D154" s="1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  <c r="IX154" s="22"/>
      <c r="IY154" s="22"/>
    </row>
    <row r="155" spans="2:259" x14ac:dyDescent="0.15" hidden="true">
      <c r="B155" s="17" t="s">
        <v>669</v>
      </c>
      <c r="C155" s="17"/>
      <c r="D155" s="1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  <c r="IX155" s="22"/>
      <c r="IY155" s="22"/>
    </row>
    <row r="156" spans="2:259" x14ac:dyDescent="0.15" hidden="true">
      <c r="B156" s="17" t="s">
        <v>670</v>
      </c>
      <c r="C156" s="17"/>
      <c r="D156" s="1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  <c r="IX156" s="22"/>
      <c r="IY156" s="22"/>
    </row>
    <row r="157" spans="2:259" x14ac:dyDescent="0.15" hidden="true">
      <c r="B157" s="17" t="s">
        <v>671</v>
      </c>
      <c r="C157" s="17"/>
      <c r="D157" s="1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  <c r="IX157" s="22"/>
      <c r="IY157" s="22"/>
    </row>
    <row r="158" spans="2:259" x14ac:dyDescent="0.15" hidden="true">
      <c r="B158" s="17" t="s">
        <v>672</v>
      </c>
      <c r="C158" s="17"/>
      <c r="D158" s="1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  <c r="IX158" s="22"/>
      <c r="IY158" s="22"/>
    </row>
    <row r="159" spans="2:259" x14ac:dyDescent="0.15" hidden="true">
      <c r="B159" s="17" t="s">
        <v>673</v>
      </c>
      <c r="C159" s="17"/>
      <c r="D159" s="1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  <c r="IX159" s="22"/>
      <c r="IY159" s="22"/>
    </row>
    <row r="160" spans="2:259" x14ac:dyDescent="0.15" hidden="true">
      <c r="B160" s="17" t="s">
        <v>674</v>
      </c>
      <c r="C160" s="17"/>
      <c r="D160" s="1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  <c r="IX160" s="22"/>
      <c r="IY160" s="22"/>
    </row>
    <row r="161" spans="2:259" x14ac:dyDescent="0.15" hidden="true">
      <c r="B161" s="17" t="s">
        <v>675</v>
      </c>
      <c r="C161" s="17"/>
      <c r="D161" s="1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  <c r="IX161" s="22"/>
      <c r="IY161" s="22"/>
    </row>
    <row r="162" spans="2:259" x14ac:dyDescent="0.15" hidden="true">
      <c r="B162" s="17" t="s">
        <v>676</v>
      </c>
      <c r="C162" s="17"/>
      <c r="D162" s="1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  <c r="IX162" s="22"/>
      <c r="IY162" s="22"/>
    </row>
    <row r="163" spans="2:259" x14ac:dyDescent="0.15" hidden="true">
      <c r="B163" s="17" t="s">
        <v>677</v>
      </c>
      <c r="C163" s="17"/>
      <c r="D163" s="1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  <c r="IX163" s="22"/>
      <c r="IY163" s="22"/>
    </row>
    <row r="164" spans="2:259" x14ac:dyDescent="0.15" hidden="true">
      <c r="B164" s="17" t="s">
        <v>678</v>
      </c>
      <c r="C164" s="17"/>
      <c r="D164" s="1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  <c r="IX164" s="22"/>
      <c r="IY164" s="22"/>
    </row>
    <row r="165" spans="2:259" x14ac:dyDescent="0.15" hidden="true">
      <c r="B165" s="17" t="s">
        <v>679</v>
      </c>
      <c r="C165" s="17"/>
      <c r="D165" s="1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  <c r="IX165" s="22"/>
      <c r="IY165" s="22"/>
    </row>
    <row r="166" spans="2:259" x14ac:dyDescent="0.15" hidden="true">
      <c r="B166" s="17" t="s">
        <v>680</v>
      </c>
      <c r="C166" s="17"/>
      <c r="D166" s="1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  <c r="IX166" s="22"/>
      <c r="IY166" s="22"/>
    </row>
    <row r="167" spans="2:259" x14ac:dyDescent="0.15" hidden="true">
      <c r="B167" s="17" t="s">
        <v>681</v>
      </c>
      <c r="C167" s="17"/>
      <c r="D167" s="1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  <c r="IX167" s="22"/>
      <c r="IY167" s="22"/>
    </row>
    <row r="168" spans="2:259" x14ac:dyDescent="0.15" hidden="true">
      <c r="B168" s="17" t="s">
        <v>682</v>
      </c>
      <c r="C168" s="17"/>
      <c r="D168" s="1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  <c r="IX168" s="22"/>
      <c r="IY168" s="22"/>
    </row>
    <row r="169" spans="2:259" x14ac:dyDescent="0.15" hidden="true">
      <c r="B169" s="17" t="s">
        <v>683</v>
      </c>
      <c r="C169" s="17"/>
      <c r="D169" s="1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  <c r="IX169" s="22"/>
      <c r="IY169" s="22"/>
    </row>
    <row r="170" spans="2:259" x14ac:dyDescent="0.15" hidden="true">
      <c r="B170" s="17" t="s">
        <v>684</v>
      </c>
      <c r="C170" s="17"/>
      <c r="D170" s="1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  <c r="IX170" s="22"/>
      <c r="IY170" s="22"/>
    </row>
    <row r="171" spans="2:259" x14ac:dyDescent="0.15" hidden="true">
      <c r="B171" s="17" t="s">
        <v>685</v>
      </c>
      <c r="C171" s="17"/>
      <c r="D171" s="1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  <c r="IX171" s="22"/>
      <c r="IY171" s="22"/>
    </row>
    <row r="172" spans="2:259" x14ac:dyDescent="0.15" hidden="true">
      <c r="B172" s="17" t="s">
        <v>686</v>
      </c>
      <c r="C172" s="17"/>
      <c r="D172" s="1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  <c r="IX172" s="22"/>
      <c r="IY172" s="22"/>
    </row>
    <row r="173" spans="2:259" x14ac:dyDescent="0.15" hidden="true">
      <c r="B173" s="17" t="s">
        <v>687</v>
      </c>
      <c r="C173" s="17"/>
      <c r="D173" s="1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  <c r="IX173" s="22"/>
      <c r="IY173" s="22"/>
    </row>
    <row r="174" spans="2:259" x14ac:dyDescent="0.15" hidden="true">
      <c r="B174" s="17" t="s">
        <v>688</v>
      </c>
      <c r="C174" s="17"/>
      <c r="D174" s="1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  <c r="IX174" s="22"/>
      <c r="IY174" s="22"/>
    </row>
    <row r="175" spans="2:259" x14ac:dyDescent="0.15" hidden="true">
      <c r="B175" s="17" t="s">
        <v>689</v>
      </c>
      <c r="C175" s="17"/>
      <c r="D175" s="1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  <c r="IX175" s="22"/>
      <c r="IY175" s="22"/>
    </row>
    <row r="176" spans="2:259" x14ac:dyDescent="0.15" hidden="true">
      <c r="B176" s="17" t="s">
        <v>690</v>
      </c>
      <c r="C176" s="17"/>
      <c r="D176" s="1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  <c r="IX176" s="22"/>
      <c r="IY176" s="22"/>
    </row>
    <row r="177" spans="2:259" x14ac:dyDescent="0.15" hidden="true">
      <c r="B177" s="17" t="s">
        <v>691</v>
      </c>
      <c r="C177" s="17"/>
      <c r="D177" s="1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  <c r="IX177" s="22"/>
      <c r="IY177" s="22"/>
    </row>
    <row r="178" spans="2:259" x14ac:dyDescent="0.15" hidden="true">
      <c r="B178" s="17" t="s">
        <v>692</v>
      </c>
      <c r="C178" s="17"/>
      <c r="D178" s="1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  <c r="IX178" s="22"/>
      <c r="IY178" s="22"/>
    </row>
    <row r="179" spans="2:259" x14ac:dyDescent="0.15" hidden="true">
      <c r="B179" s="17" t="s">
        <v>693</v>
      </c>
      <c r="C179" s="17"/>
      <c r="D179" s="1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  <c r="IX179" s="22"/>
      <c r="IY179" s="22"/>
    </row>
    <row r="180" spans="2:259" x14ac:dyDescent="0.15" hidden="true">
      <c r="B180" s="17" t="s">
        <v>694</v>
      </c>
      <c r="C180" s="17"/>
      <c r="D180" s="1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  <c r="IX180" s="22"/>
      <c r="IY180" s="22"/>
    </row>
    <row r="181" spans="2:259" x14ac:dyDescent="0.15" hidden="true">
      <c r="B181" s="17" t="s">
        <v>695</v>
      </c>
      <c r="C181" s="17"/>
      <c r="D181" s="1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  <c r="IX181" s="22"/>
      <c r="IY181" s="22"/>
    </row>
    <row r="182" spans="2:259" x14ac:dyDescent="0.15" hidden="true">
      <c r="B182" s="17" t="s">
        <v>696</v>
      </c>
      <c r="C182" s="17"/>
      <c r="D182" s="1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  <c r="IX182" s="22"/>
      <c r="IY182" s="22"/>
    </row>
    <row r="183" spans="2:259" x14ac:dyDescent="0.15" hidden="true">
      <c r="B183" s="17" t="s">
        <v>697</v>
      </c>
      <c r="C183" s="17"/>
      <c r="D183" s="1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  <c r="IX183" s="22"/>
      <c r="IY183" s="22"/>
    </row>
    <row r="184" spans="2:259" x14ac:dyDescent="0.15" hidden="true">
      <c r="B184" s="17" t="s">
        <v>698</v>
      </c>
      <c r="C184" s="17"/>
      <c r="D184" s="1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  <c r="IX184" s="22"/>
      <c r="IY184" s="22"/>
    </row>
    <row r="185" spans="2:259" x14ac:dyDescent="0.15" hidden="true">
      <c r="B185" s="17" t="s">
        <v>699</v>
      </c>
      <c r="C185" s="17"/>
      <c r="D185" s="1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  <c r="IX185" s="22"/>
      <c r="IY185" s="22"/>
    </row>
    <row r="186" spans="2:259" x14ac:dyDescent="0.15" hidden="true">
      <c r="B186" s="17" t="s">
        <v>700</v>
      </c>
      <c r="C186" s="17"/>
      <c r="D186" s="1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  <c r="IX186" s="22"/>
      <c r="IY186" s="22"/>
    </row>
    <row r="187" spans="2:259" x14ac:dyDescent="0.15" hidden="true">
      <c r="B187" s="17" t="s">
        <v>701</v>
      </c>
      <c r="C187" s="17"/>
      <c r="D187" s="1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  <c r="IX187" s="22"/>
      <c r="IY187" s="22"/>
    </row>
    <row r="188" spans="2:259" x14ac:dyDescent="0.15" hidden="true">
      <c r="B188" s="17" t="s">
        <v>702</v>
      </c>
      <c r="C188" s="17"/>
      <c r="D188" s="1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  <c r="IX188" s="22"/>
      <c r="IY188" s="22"/>
    </row>
    <row r="189" spans="2:259" x14ac:dyDescent="0.15" hidden="true">
      <c r="B189" s="17" t="s">
        <v>703</v>
      </c>
      <c r="C189" s="17"/>
      <c r="D189" s="1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  <c r="IX189" s="22"/>
      <c r="IY189" s="22"/>
    </row>
    <row r="190" spans="2:259" x14ac:dyDescent="0.15" hidden="true">
      <c r="B190" s="17" t="s">
        <v>704</v>
      </c>
      <c r="C190" s="17"/>
      <c r="D190" s="1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  <c r="IX190" s="22"/>
      <c r="IY190" s="22"/>
    </row>
    <row r="191" spans="2:259" x14ac:dyDescent="0.15" hidden="true">
      <c r="B191" s="17" t="s">
        <v>705</v>
      </c>
      <c r="C191" s="17"/>
      <c r="D191" s="1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  <c r="IX191" s="22"/>
      <c r="IY191" s="22"/>
    </row>
    <row r="192" spans="2:259" x14ac:dyDescent="0.15" hidden="true">
      <c r="B192" s="17" t="s">
        <v>706</v>
      </c>
      <c r="C192" s="17"/>
      <c r="D192" s="1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  <c r="IX192" s="22"/>
      <c r="IY192" s="22"/>
    </row>
    <row r="193" spans="2:259" x14ac:dyDescent="0.15" hidden="true">
      <c r="B193" s="17" t="s">
        <v>707</v>
      </c>
      <c r="C193" s="17"/>
      <c r="D193" s="1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  <c r="IX193" s="22"/>
      <c r="IY193" s="22"/>
    </row>
    <row r="194" spans="2:259" x14ac:dyDescent="0.15" hidden="true">
      <c r="B194" s="17" t="s">
        <v>708</v>
      </c>
      <c r="C194" s="17"/>
      <c r="D194" s="1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  <c r="IX194" s="22"/>
      <c r="IY194" s="22"/>
    </row>
    <row r="195" spans="2:259" x14ac:dyDescent="0.15" hidden="true">
      <c r="B195" s="17" t="s">
        <v>709</v>
      </c>
      <c r="C195" s="17"/>
      <c r="D195" s="1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  <c r="IX195" s="22"/>
      <c r="IY195" s="22"/>
    </row>
    <row r="196" spans="2:259" x14ac:dyDescent="0.15" hidden="true">
      <c r="B196" s="17" t="s">
        <v>710</v>
      </c>
      <c r="C196" s="17"/>
      <c r="D196" s="1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  <c r="IX196" s="22"/>
      <c r="IY196" s="22"/>
    </row>
    <row r="197" spans="2:259" x14ac:dyDescent="0.15" hidden="true">
      <c r="B197" s="17" t="s">
        <v>711</v>
      </c>
      <c r="C197" s="17"/>
      <c r="D197" s="1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  <c r="IX197" s="22"/>
      <c r="IY197" s="22"/>
    </row>
    <row r="198" spans="2:259" x14ac:dyDescent="0.15" hidden="true">
      <c r="B198" s="17" t="s">
        <v>712</v>
      </c>
      <c r="C198" s="17"/>
      <c r="D198" s="1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  <c r="IX198" s="22"/>
      <c r="IY198" s="22"/>
    </row>
    <row r="199" spans="2:259" x14ac:dyDescent="0.15" hidden="true">
      <c r="B199" s="17" t="s">
        <v>713</v>
      </c>
      <c r="C199" s="17"/>
      <c r="D199" s="1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  <c r="IX199" s="22"/>
      <c r="IY199" s="22"/>
    </row>
    <row r="200" spans="2:259" x14ac:dyDescent="0.15" hidden="true">
      <c r="B200" s="17" t="s">
        <v>714</v>
      </c>
      <c r="C200" s="17"/>
      <c r="D200" s="1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  <c r="IX200" s="22"/>
      <c r="IY200" s="22"/>
    </row>
    <row r="201" spans="2:259" x14ac:dyDescent="0.15" hidden="true">
      <c r="B201" s="17" t="s">
        <v>715</v>
      </c>
      <c r="C201" s="17"/>
      <c r="D201" s="1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  <c r="IX201" s="22"/>
      <c r="IY201" s="22"/>
    </row>
    <row r="202" spans="2:259" x14ac:dyDescent="0.15" hidden="true">
      <c r="B202" s="17" t="s">
        <v>716</v>
      </c>
      <c r="C202" s="17"/>
      <c r="D202" s="1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  <c r="IX202" s="22"/>
      <c r="IY202" s="22"/>
    </row>
    <row r="203" spans="2:259" x14ac:dyDescent="0.15" hidden="true">
      <c r="B203" s="17" t="s">
        <v>717</v>
      </c>
      <c r="C203" s="17"/>
      <c r="D203" s="1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  <c r="IX203" s="22"/>
      <c r="IY203" s="22"/>
    </row>
    <row r="204" spans="2:259" x14ac:dyDescent="0.15" hidden="true">
      <c r="B204" s="17" t="s">
        <v>718</v>
      </c>
      <c r="C204" s="17"/>
      <c r="D204" s="1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  <c r="IX204" s="22"/>
      <c r="IY204" s="22"/>
    </row>
    <row r="205" spans="2:259" x14ac:dyDescent="0.15" hidden="true">
      <c r="B205" s="17" t="s">
        <v>719</v>
      </c>
      <c r="C205" s="17"/>
      <c r="D205" s="1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  <c r="IX205" s="22"/>
      <c r="IY205" s="22"/>
    </row>
    <row r="206" spans="2:259" x14ac:dyDescent="0.15" hidden="true">
      <c r="B206" s="17" t="s">
        <v>720</v>
      </c>
      <c r="C206" s="17"/>
      <c r="D206" s="1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  <c r="IX206" s="22"/>
      <c r="IY206" s="22"/>
    </row>
    <row r="207" spans="2:259" x14ac:dyDescent="0.15" hidden="true">
      <c r="B207" s="17" t="s">
        <v>721</v>
      </c>
      <c r="C207" s="17"/>
      <c r="D207" s="1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  <c r="IX207" s="22"/>
      <c r="IY207" s="22"/>
    </row>
    <row r="208" spans="2:259" x14ac:dyDescent="0.15" hidden="true">
      <c r="B208" s="17" t="s">
        <v>722</v>
      </c>
      <c r="C208" s="17"/>
      <c r="D208" s="1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  <c r="IX208" s="22"/>
      <c r="IY208" s="22"/>
    </row>
    <row r="209" spans="2:259" x14ac:dyDescent="0.15" hidden="true">
      <c r="B209" s="17" t="s">
        <v>723</v>
      </c>
      <c r="C209" s="17"/>
      <c r="D209" s="1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  <c r="IX209" s="22"/>
      <c r="IY209" s="22"/>
    </row>
    <row r="210" spans="2:259" x14ac:dyDescent="0.15" hidden="true">
      <c r="B210" s="17" t="s">
        <v>724</v>
      </c>
      <c r="C210" s="17"/>
      <c r="D210" s="1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  <c r="IX210" s="22"/>
      <c r="IY210" s="22"/>
    </row>
    <row r="211" spans="2:259" x14ac:dyDescent="0.15" hidden="true">
      <c r="B211" s="17" t="s">
        <v>725</v>
      </c>
      <c r="C211" s="17"/>
      <c r="D211" s="1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  <c r="IX211" s="22"/>
      <c r="IY211" s="22"/>
    </row>
    <row r="212" spans="2:259" x14ac:dyDescent="0.15" hidden="true">
      <c r="B212" s="17" t="s">
        <v>726</v>
      </c>
      <c r="C212" s="17"/>
      <c r="D212" s="1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  <c r="IX212" s="22"/>
      <c r="IY212" s="22"/>
    </row>
    <row r="213" spans="2:259" x14ac:dyDescent="0.15" hidden="true">
      <c r="B213" s="17" t="s">
        <v>727</v>
      </c>
      <c r="C213" s="17"/>
      <c r="D213" s="1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  <c r="IX213" s="22"/>
      <c r="IY213" s="22"/>
    </row>
    <row r="214" spans="2:259" x14ac:dyDescent="0.15" hidden="true">
      <c r="B214" s="17" t="s">
        <v>728</v>
      </c>
      <c r="C214" s="17"/>
      <c r="D214" s="1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  <c r="IX214" s="22"/>
      <c r="IY214" s="22"/>
    </row>
    <row r="215" spans="2:259" x14ac:dyDescent="0.15" hidden="true">
      <c r="B215" s="17" t="s">
        <v>729</v>
      </c>
      <c r="C215" s="17"/>
      <c r="D215" s="1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  <c r="IX215" s="22"/>
      <c r="IY215" s="22"/>
    </row>
    <row r="216" spans="2:259" x14ac:dyDescent="0.15" hidden="true">
      <c r="B216" s="17" t="s">
        <v>730</v>
      </c>
      <c r="C216" s="17"/>
      <c r="D216" s="1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  <c r="IX216" s="22"/>
      <c r="IY216" s="22"/>
    </row>
    <row r="217" spans="2:259" x14ac:dyDescent="0.15" hidden="true">
      <c r="B217" s="17" t="s">
        <v>731</v>
      </c>
      <c r="C217" s="17"/>
      <c r="D217" s="1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  <c r="IX217" s="22"/>
      <c r="IY217" s="22"/>
    </row>
    <row r="218" spans="2:259" x14ac:dyDescent="0.15" hidden="true">
      <c r="B218" s="17" t="s">
        <v>732</v>
      </c>
      <c r="C218" s="17"/>
      <c r="D218" s="1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  <c r="IX218" s="22"/>
      <c r="IY218" s="22"/>
    </row>
    <row r="219" spans="2:259" x14ac:dyDescent="0.15" hidden="true">
      <c r="B219" s="17" t="s">
        <v>733</v>
      </c>
      <c r="C219" s="17"/>
      <c r="D219" s="1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  <c r="IX219" s="22"/>
      <c r="IY219" s="22"/>
    </row>
    <row r="220" spans="2:259" x14ac:dyDescent="0.15" hidden="true">
      <c r="B220" s="17" t="s">
        <v>734</v>
      </c>
      <c r="C220" s="17"/>
      <c r="D220" s="1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  <c r="IX220" s="22"/>
      <c r="IY220" s="22"/>
    </row>
    <row r="221" spans="2:259" x14ac:dyDescent="0.15" hidden="true">
      <c r="B221" s="17" t="s">
        <v>735</v>
      </c>
      <c r="C221" s="17"/>
      <c r="D221" s="1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  <c r="IX221" s="22"/>
      <c r="IY221" s="22"/>
    </row>
    <row r="222" spans="2:259" x14ac:dyDescent="0.15" hidden="true">
      <c r="B222" s="17" t="s">
        <v>736</v>
      </c>
      <c r="C222" s="17"/>
      <c r="D222" s="1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  <c r="IX222" s="22"/>
      <c r="IY222" s="22"/>
    </row>
    <row r="223" spans="2:259" x14ac:dyDescent="0.15" hidden="true">
      <c r="B223" s="17" t="s">
        <v>737</v>
      </c>
      <c r="C223" s="17"/>
      <c r="D223" s="1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  <c r="IX223" s="22"/>
      <c r="IY223" s="22"/>
    </row>
    <row r="224" spans="2:259" x14ac:dyDescent="0.15" hidden="true">
      <c r="B224" s="17" t="s">
        <v>738</v>
      </c>
      <c r="C224" s="17"/>
      <c r="D224" s="1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  <c r="IX224" s="22"/>
      <c r="IY224" s="22"/>
    </row>
    <row r="225" spans="2:259" x14ac:dyDescent="0.15" hidden="true">
      <c r="B225" s="17" t="s">
        <v>739</v>
      </c>
      <c r="C225" s="17"/>
      <c r="D225" s="1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  <c r="IX225" s="22"/>
      <c r="IY225" s="22"/>
    </row>
    <row r="226" spans="2:259" x14ac:dyDescent="0.15" hidden="true">
      <c r="B226" s="17" t="s">
        <v>740</v>
      </c>
      <c r="C226" s="17"/>
      <c r="D226" s="1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  <c r="IX226" s="22"/>
      <c r="IY226" s="22"/>
    </row>
    <row r="227" spans="2:259" x14ac:dyDescent="0.15" hidden="true">
      <c r="B227" s="17" t="s">
        <v>741</v>
      </c>
      <c r="C227" s="17"/>
      <c r="D227" s="1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  <c r="IX227" s="22"/>
      <c r="IY227" s="22"/>
    </row>
    <row r="228" spans="2:259" x14ac:dyDescent="0.15" hidden="true">
      <c r="B228" s="17" t="s">
        <v>742</v>
      </c>
      <c r="C228" s="17"/>
      <c r="D228" s="1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  <c r="IX228" s="22"/>
      <c r="IY228" s="22"/>
    </row>
    <row r="229" spans="2:259" x14ac:dyDescent="0.15" hidden="true">
      <c r="B229" s="17" t="s">
        <v>743</v>
      </c>
      <c r="C229" s="17"/>
      <c r="D229" s="1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  <c r="IX229" s="22"/>
      <c r="IY229" s="22"/>
    </row>
    <row r="230" spans="2:259" x14ac:dyDescent="0.15" hidden="true">
      <c r="B230" s="17" t="s">
        <v>744</v>
      </c>
      <c r="C230" s="17"/>
      <c r="D230" s="1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  <c r="IX230" s="22"/>
      <c r="IY230" s="22"/>
    </row>
    <row r="231" spans="2:259" x14ac:dyDescent="0.15" hidden="true">
      <c r="B231" s="17" t="s">
        <v>745</v>
      </c>
      <c r="C231" s="17"/>
      <c r="D231" s="1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  <c r="IX231" s="22"/>
      <c r="IY231" s="22"/>
    </row>
    <row r="232" spans="2:259" x14ac:dyDescent="0.15" hidden="true">
      <c r="B232" s="17" t="s">
        <v>746</v>
      </c>
      <c r="C232" s="17"/>
      <c r="D232" s="1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  <c r="IX232" s="22"/>
      <c r="IY232" s="22"/>
    </row>
    <row r="233" spans="2:259" x14ac:dyDescent="0.15" hidden="true">
      <c r="B233" s="17" t="s">
        <v>747</v>
      </c>
      <c r="C233" s="17"/>
      <c r="D233" s="1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  <c r="IX233" s="22"/>
      <c r="IY233" s="22"/>
    </row>
    <row r="234" spans="2:259" x14ac:dyDescent="0.15" hidden="true">
      <c r="B234" s="17" t="s">
        <v>748</v>
      </c>
      <c r="C234" s="17"/>
      <c r="D234" s="1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  <c r="IX234" s="22"/>
      <c r="IY234" s="22"/>
    </row>
    <row r="235" spans="2:259" x14ac:dyDescent="0.15" hidden="true">
      <c r="B235" s="17" t="s">
        <v>749</v>
      </c>
      <c r="C235" s="17"/>
      <c r="D235" s="1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  <c r="IX235" s="22"/>
      <c r="IY235" s="22"/>
    </row>
    <row r="236" spans="2:259" x14ac:dyDescent="0.15" hidden="true">
      <c r="B236" s="17" t="s">
        <v>750</v>
      </c>
      <c r="C236" s="17"/>
      <c r="D236" s="1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  <c r="IX236" s="22"/>
      <c r="IY236" s="22"/>
    </row>
    <row r="237" spans="2:259" x14ac:dyDescent="0.15" hidden="true">
      <c r="B237" s="17" t="s">
        <v>751</v>
      </c>
      <c r="C237" s="17"/>
      <c r="D237" s="1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  <c r="IX237" s="22"/>
      <c r="IY237" s="22"/>
    </row>
    <row r="238" spans="2:259" x14ac:dyDescent="0.15" hidden="true">
      <c r="B238" s="17" t="s">
        <v>752</v>
      </c>
      <c r="C238" s="17"/>
      <c r="D238" s="1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  <c r="IX238" s="22"/>
      <c r="IY238" s="22"/>
    </row>
    <row r="239" spans="2:259" x14ac:dyDescent="0.15" hidden="true">
      <c r="B239" s="17" t="s">
        <v>753</v>
      </c>
      <c r="C239" s="17"/>
      <c r="D239" s="1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  <c r="IX239" s="22"/>
      <c r="IY239" s="22"/>
    </row>
    <row r="240" spans="2:259" x14ac:dyDescent="0.15" hidden="true">
      <c r="B240" s="17" t="s">
        <v>754</v>
      </c>
      <c r="C240" s="17"/>
      <c r="D240" s="1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  <c r="IX240" s="22"/>
      <c r="IY240" s="22"/>
    </row>
    <row r="241" spans="2:259" x14ac:dyDescent="0.15" hidden="true">
      <c r="B241" s="17" t="s">
        <v>755</v>
      </c>
      <c r="C241" s="17"/>
      <c r="D241" s="1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  <c r="IX241" s="22"/>
      <c r="IY241" s="22"/>
    </row>
    <row r="242" spans="2:259" x14ac:dyDescent="0.15" hidden="true">
      <c r="B242" s="17" t="s">
        <v>756</v>
      </c>
      <c r="C242" s="17"/>
      <c r="D242" s="1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  <c r="IX242" s="22"/>
      <c r="IY242" s="22"/>
    </row>
    <row r="243" spans="2:259" x14ac:dyDescent="0.15" hidden="true">
      <c r="B243" s="17" t="s">
        <v>757</v>
      </c>
      <c r="C243" s="17"/>
      <c r="D243" s="1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  <c r="IX243" s="22"/>
      <c r="IY243" s="22"/>
    </row>
    <row r="244" spans="2:259" x14ac:dyDescent="0.15" hidden="true">
      <c r="B244" s="17" t="s">
        <v>758</v>
      </c>
      <c r="C244" s="17"/>
      <c r="D244" s="1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  <c r="IX244" s="22"/>
      <c r="IY244" s="22"/>
    </row>
    <row r="245" spans="2:259" x14ac:dyDescent="0.15" hidden="true">
      <c r="B245" s="17" t="s">
        <v>759</v>
      </c>
      <c r="C245" s="17"/>
      <c r="D245" s="1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  <c r="IX245" s="22"/>
      <c r="IY245" s="22"/>
    </row>
    <row r="246" spans="2:259" x14ac:dyDescent="0.15" hidden="true">
      <c r="B246" s="17" t="s">
        <v>760</v>
      </c>
      <c r="C246" s="17"/>
      <c r="D246" s="1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  <c r="IX246" s="22"/>
      <c r="IY246" s="22"/>
    </row>
    <row r="247" spans="2:259" x14ac:dyDescent="0.15" hidden="true">
      <c r="B247" s="17" t="s">
        <v>761</v>
      </c>
      <c r="C247" s="17"/>
      <c r="D247" s="1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  <c r="IX247" s="22"/>
      <c r="IY247" s="22"/>
    </row>
    <row r="248" spans="2:259" x14ac:dyDescent="0.15" hidden="true">
      <c r="B248" s="17" t="s">
        <v>762</v>
      </c>
      <c r="C248" s="17"/>
      <c r="D248" s="1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  <c r="IX248" s="22"/>
      <c r="IY248" s="22"/>
    </row>
    <row r="249" spans="2:259" x14ac:dyDescent="0.15" hidden="true">
      <c r="B249" s="17" t="s">
        <v>763</v>
      </c>
      <c r="C249" s="17"/>
      <c r="D249" s="1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  <c r="IX249" s="22"/>
      <c r="IY249" s="22"/>
    </row>
    <row r="250" spans="2:259" x14ac:dyDescent="0.15" hidden="true">
      <c r="B250" s="17" t="s">
        <v>764</v>
      </c>
      <c r="C250" s="17"/>
      <c r="D250" s="1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  <c r="IX250" s="22"/>
      <c r="IY250" s="22"/>
    </row>
    <row r="251" spans="2:259" x14ac:dyDescent="0.15" hidden="true">
      <c r="B251" s="17" t="s">
        <v>765</v>
      </c>
      <c r="C251" s="17"/>
      <c r="D251" s="1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  <c r="IX251" s="22"/>
      <c r="IY251" s="22"/>
    </row>
    <row r="252" spans="2:259" x14ac:dyDescent="0.15" hidden="true">
      <c r="B252" s="17" t="s">
        <v>766</v>
      </c>
      <c r="C252" s="17"/>
      <c r="D252" s="1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  <c r="IX252" s="22"/>
      <c r="IY252" s="22"/>
    </row>
    <row r="253" spans="2:259" x14ac:dyDescent="0.15" hidden="true">
      <c r="B253" s="17" t="s">
        <v>767</v>
      </c>
      <c r="C253" s="17"/>
      <c r="D253" s="1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  <c r="IX253" s="22"/>
      <c r="IY253" s="22"/>
    </row>
    <row r="254" spans="2:259" x14ac:dyDescent="0.15" hidden="true">
      <c r="B254" s="17" t="s">
        <v>768</v>
      </c>
      <c r="C254" s="17"/>
      <c r="D254" s="1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  <c r="IX254" s="22"/>
      <c r="IY254" s="22"/>
    </row>
    <row r="255" spans="2:259" x14ac:dyDescent="0.15" hidden="true">
      <c r="B255" s="17" t="s">
        <v>769</v>
      </c>
      <c r="C255" s="17"/>
      <c r="D255" s="1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  <c r="IX255" s="22"/>
      <c r="IY255" s="22"/>
    </row>
    <row r="256" spans="2:259" x14ac:dyDescent="0.15" hidden="true">
      <c r="B256" s="17" t="s">
        <v>770</v>
      </c>
      <c r="C256" s="17"/>
      <c r="D256" s="1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  <c r="IX256" s="22"/>
      <c r="IY256" s="22"/>
    </row>
    <row r="257" spans="2:259" x14ac:dyDescent="0.15" hidden="true">
      <c r="B257" s="17" t="s">
        <v>771</v>
      </c>
      <c r="C257" s="17"/>
      <c r="D257" s="13"/>
      <c r="E257" s="23"/>
      <c r="F257" s="23"/>
      <c r="G257" s="23"/>
      <c r="H257" s="23"/>
      <c r="I257" s="23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/>
      <c r="DA257" s="22"/>
      <c r="DB257" s="22"/>
      <c r="DC257" s="22"/>
      <c r="DD257" s="22"/>
      <c r="DE257" s="22"/>
      <c r="DF257" s="22"/>
      <c r="DG257" s="22"/>
      <c r="DH257" s="22"/>
      <c r="DI257" s="22"/>
      <c r="DJ257" s="22"/>
      <c r="DK257" s="22"/>
      <c r="DL257" s="22"/>
      <c r="DM257" s="22"/>
      <c r="DN257" s="22"/>
      <c r="DO257" s="22"/>
      <c r="DP257" s="22"/>
      <c r="DQ257" s="22"/>
      <c r="DR257" s="22"/>
      <c r="DS257" s="22"/>
      <c r="DT257" s="22"/>
      <c r="DU257" s="22"/>
      <c r="DV257" s="22"/>
      <c r="DW257" s="22"/>
      <c r="DX257" s="22"/>
      <c r="DY257" s="22"/>
      <c r="DZ257" s="22"/>
      <c r="EA257" s="22"/>
      <c r="EB257" s="22"/>
      <c r="EC257" s="22"/>
      <c r="ED257" s="22"/>
      <c r="EE257" s="22"/>
      <c r="EF257" s="22"/>
      <c r="EG257" s="22"/>
      <c r="EH257" s="22"/>
      <c r="EI257" s="22"/>
      <c r="EJ257" s="22"/>
      <c r="EK257" s="22"/>
      <c r="EL257" s="22"/>
      <c r="EM257" s="22"/>
      <c r="EN257" s="22"/>
      <c r="EO257" s="22"/>
      <c r="EP257" s="22"/>
      <c r="EQ257" s="22"/>
      <c r="ER257" s="22"/>
      <c r="ES257" s="22"/>
      <c r="ET257" s="22"/>
      <c r="EU257" s="22"/>
      <c r="EV257" s="22"/>
      <c r="EW257" s="22"/>
      <c r="EX257" s="22"/>
      <c r="EY257" s="22"/>
      <c r="EZ257" s="22"/>
      <c r="FA257" s="22"/>
      <c r="FB257" s="22"/>
      <c r="FC257" s="22"/>
      <c r="FD257" s="22"/>
      <c r="FE257" s="22"/>
      <c r="FF257" s="22"/>
      <c r="FG257" s="22"/>
      <c r="FH257" s="22"/>
      <c r="FI257" s="22"/>
      <c r="FJ257" s="22"/>
      <c r="FK257" s="22"/>
      <c r="FL257" s="22"/>
      <c r="FM257" s="22"/>
      <c r="FN257" s="22"/>
      <c r="FO257" s="22"/>
      <c r="FP257" s="22"/>
      <c r="FQ257" s="22"/>
      <c r="FR257" s="22"/>
      <c r="FS257" s="22"/>
      <c r="FT257" s="22"/>
      <c r="FU257" s="22"/>
      <c r="FV257" s="22"/>
      <c r="FW257" s="22"/>
      <c r="FX257" s="22"/>
      <c r="FY257" s="22"/>
      <c r="FZ257" s="22"/>
      <c r="GA257" s="22"/>
      <c r="GB257" s="22"/>
      <c r="GC257" s="22"/>
      <c r="GD257" s="22"/>
      <c r="GE257" s="22"/>
      <c r="GF257" s="22"/>
      <c r="GG257" s="22"/>
      <c r="GH257" s="22"/>
      <c r="GI257" s="22"/>
      <c r="GJ257" s="22"/>
      <c r="GK257" s="22"/>
      <c r="GL257" s="22"/>
      <c r="GM257" s="22"/>
      <c r="GN257" s="22"/>
      <c r="GO257" s="22"/>
      <c r="GP257" s="22"/>
      <c r="GQ257" s="22"/>
      <c r="GR257" s="22"/>
      <c r="GS257" s="22"/>
      <c r="GT257" s="22"/>
      <c r="GU257" s="22"/>
      <c r="GV257" s="22"/>
      <c r="GW257" s="22"/>
      <c r="GX257" s="22"/>
      <c r="GY257" s="22"/>
      <c r="GZ257" s="22"/>
      <c r="HA257" s="22"/>
      <c r="HB257" s="22"/>
      <c r="HC257" s="22"/>
      <c r="HD257" s="22"/>
      <c r="HE257" s="22"/>
      <c r="HF257" s="22"/>
      <c r="HG257" s="22"/>
      <c r="HH257" s="22"/>
      <c r="HI257" s="22"/>
      <c r="HJ257" s="22"/>
      <c r="HK257" s="22"/>
      <c r="HL257" s="22"/>
      <c r="HM257" s="22"/>
      <c r="HN257" s="22"/>
      <c r="HO257" s="22"/>
      <c r="HP257" s="22"/>
      <c r="HQ257" s="22"/>
      <c r="HR257" s="22"/>
      <c r="HS257" s="22"/>
      <c r="HT257" s="22"/>
      <c r="HU257" s="22"/>
      <c r="HV257" s="22"/>
      <c r="HW257" s="22"/>
      <c r="HX257" s="22"/>
      <c r="HY257" s="22"/>
      <c r="HZ257" s="22"/>
      <c r="IA257" s="22"/>
      <c r="IB257" s="22"/>
      <c r="IC257" s="22"/>
      <c r="ID257" s="22"/>
      <c r="IE257" s="22"/>
      <c r="IF257" s="22"/>
      <c r="IG257" s="22"/>
      <c r="IH257" s="22"/>
      <c r="II257" s="22"/>
      <c r="IJ257" s="22"/>
      <c r="IK257" s="22"/>
      <c r="IL257" s="22"/>
      <c r="IM257" s="22"/>
      <c r="IN257" s="22"/>
      <c r="IO257" s="22"/>
      <c r="IP257" s="22"/>
      <c r="IQ257" s="22"/>
      <c r="IR257" s="22"/>
      <c r="IS257" s="22"/>
      <c r="IT257" s="22"/>
      <c r="IU257" s="22"/>
      <c r="IV257" s="22"/>
      <c r="IW257" s="22"/>
      <c r="IX257" s="22"/>
      <c r="IY257" s="22"/>
    </row>
    <row r="258" spans="2:259" x14ac:dyDescent="0.15">
      <c r="B258" s="20"/>
      <c r="C258" s="20"/>
      <c r="D258" s="21"/>
      <c r="E258" s="18"/>
      <c r="F258" s="18"/>
      <c r="G258" s="18"/>
      <c r="H258" s="18"/>
      <c r="I258" s="18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19"/>
      <c r="BM258" s="19"/>
      <c r="BN258" s="19"/>
      <c r="BO258" s="19"/>
      <c r="BP258" s="19"/>
      <c r="BQ258" s="19"/>
      <c r="BR258" s="19"/>
      <c r="BS258" s="19"/>
      <c r="BT258" s="19"/>
      <c r="BU258" s="19"/>
      <c r="BV258" s="19"/>
      <c r="BW258" s="19"/>
      <c r="BX258" s="19"/>
      <c r="BY258" s="19"/>
      <c r="BZ258" s="19"/>
      <c r="CA258" s="19"/>
      <c r="CB258" s="19"/>
      <c r="CC258" s="19"/>
      <c r="CD258" s="19"/>
      <c r="CE258" s="19"/>
      <c r="CF258" s="19"/>
      <c r="CG258" s="19"/>
      <c r="CH258" s="19"/>
      <c r="CI258" s="19"/>
      <c r="CJ258" s="19"/>
      <c r="CK258" s="19"/>
      <c r="CL258" s="19"/>
      <c r="CM258" s="19"/>
      <c r="CN258" s="19"/>
      <c r="CO258" s="19"/>
      <c r="CP258" s="19"/>
      <c r="CQ258" s="19"/>
      <c r="CR258" s="19"/>
      <c r="CS258" s="19"/>
      <c r="CT258" s="19"/>
      <c r="CU258" s="19"/>
      <c r="CV258" s="19"/>
      <c r="CW258" s="19"/>
      <c r="CX258" s="19"/>
      <c r="CY258" s="19"/>
      <c r="CZ258" s="19"/>
      <c r="DA258" s="19"/>
      <c r="DB258" s="19"/>
      <c r="DC258" s="19"/>
      <c r="DD258" s="19"/>
      <c r="DE258" s="19"/>
      <c r="DF258" s="19"/>
      <c r="DG258" s="19"/>
      <c r="DH258" s="19"/>
      <c r="DI258" s="19"/>
      <c r="DJ258" s="19"/>
      <c r="DK258" s="19"/>
      <c r="DL258" s="19"/>
      <c r="DM258" s="19"/>
      <c r="DN258" s="19"/>
      <c r="DO258" s="19"/>
      <c r="DP258" s="19"/>
      <c r="DQ258" s="19"/>
      <c r="DR258" s="19"/>
      <c r="DS258" s="19"/>
      <c r="DT258" s="19"/>
      <c r="DU258" s="19"/>
      <c r="DV258" s="19"/>
      <c r="DW258" s="19"/>
      <c r="DX258" s="19"/>
      <c r="DY258" s="19"/>
      <c r="DZ258" s="19"/>
      <c r="EA258" s="19"/>
      <c r="EB258" s="19"/>
      <c r="EC258" s="19"/>
      <c r="ED258" s="19"/>
      <c r="EE258" s="19"/>
      <c r="EF258" s="19"/>
      <c r="EG258" s="19"/>
      <c r="EH258" s="19"/>
      <c r="EI258" s="19"/>
      <c r="EJ258" s="19"/>
      <c r="EK258" s="19"/>
      <c r="EL258" s="19"/>
      <c r="EM258" s="19"/>
      <c r="EN258" s="19"/>
      <c r="EO258" s="19"/>
      <c r="EP258" s="19"/>
      <c r="EQ258" s="19"/>
      <c r="ER258" s="19"/>
      <c r="ES258" s="19"/>
      <c r="ET258" s="19"/>
      <c r="EU258" s="19"/>
      <c r="EV258" s="19"/>
      <c r="EW258" s="19"/>
      <c r="EX258" s="19"/>
      <c r="EY258" s="19"/>
      <c r="EZ258" s="19"/>
      <c r="FA258" s="19"/>
      <c r="FB258" s="19"/>
      <c r="FC258" s="19"/>
      <c r="FD258" s="19"/>
      <c r="FE258" s="19"/>
      <c r="FF258" s="19"/>
      <c r="FG258" s="19"/>
      <c r="FH258" s="19"/>
      <c r="FI258" s="19"/>
      <c r="FJ258" s="19"/>
      <c r="FK258" s="19"/>
      <c r="FL258" s="19"/>
      <c r="FM258" s="19"/>
      <c r="FN258" s="19"/>
      <c r="FO258" s="19"/>
      <c r="FP258" s="19"/>
      <c r="FQ258" s="19"/>
      <c r="FR258" s="19"/>
      <c r="FS258" s="19"/>
      <c r="FT258" s="19"/>
      <c r="FU258" s="19"/>
      <c r="FV258" s="19"/>
      <c r="FW258" s="19"/>
      <c r="FX258" s="19"/>
      <c r="FY258" s="19"/>
      <c r="FZ258" s="19"/>
      <c r="GA258" s="19"/>
      <c r="GB258" s="19"/>
      <c r="GC258" s="19"/>
      <c r="GD258" s="19"/>
      <c r="GE258" s="19"/>
      <c r="GF258" s="19"/>
      <c r="GG258" s="19"/>
      <c r="GH258" s="19"/>
      <c r="GI258" s="19"/>
      <c r="GJ258" s="19"/>
      <c r="GK258" s="19"/>
      <c r="GL258" s="19"/>
      <c r="GM258" s="19"/>
      <c r="GN258" s="19"/>
      <c r="GO258" s="19"/>
      <c r="GP258" s="19"/>
      <c r="GQ258" s="19"/>
      <c r="GR258" s="19"/>
      <c r="GS258" s="19"/>
      <c r="GT258" s="19"/>
      <c r="GU258" s="19"/>
      <c r="GV258" s="19"/>
      <c r="GW258" s="19"/>
      <c r="GX258" s="19"/>
      <c r="GY258" s="19"/>
      <c r="GZ258" s="19"/>
      <c r="HA258" s="19"/>
      <c r="HB258" s="19"/>
      <c r="HC258" s="19"/>
      <c r="HD258" s="19"/>
      <c r="HE258" s="19"/>
      <c r="HF258" s="19"/>
      <c r="HG258" s="19"/>
      <c r="HH258" s="19"/>
      <c r="HI258" s="19"/>
      <c r="HJ258" s="19"/>
      <c r="HK258" s="19"/>
      <c r="HL258" s="19"/>
      <c r="HM258" s="19"/>
      <c r="HN258" s="19"/>
      <c r="HO258" s="19"/>
      <c r="HP258" s="19"/>
      <c r="HQ258" s="19"/>
      <c r="HR258" s="19"/>
      <c r="HS258" s="19"/>
      <c r="HT258" s="19"/>
      <c r="HU258" s="19"/>
      <c r="HV258" s="19"/>
      <c r="HW258" s="19"/>
      <c r="HX258" s="19"/>
      <c r="HY258" s="19"/>
      <c r="HZ258" s="19"/>
      <c r="IA258" s="19"/>
      <c r="IB258" s="19"/>
      <c r="IC258" s="19"/>
      <c r="ID258" s="19"/>
      <c r="IE258" s="19"/>
      <c r="IF258" s="19"/>
      <c r="IG258" s="19"/>
      <c r="IH258" s="19"/>
      <c r="II258" s="19"/>
      <c r="IJ258" s="19"/>
      <c r="IK258" s="19"/>
      <c r="IL258" s="19"/>
      <c r="IM258" s="19"/>
      <c r="IN258" s="19"/>
      <c r="IO258" s="19"/>
      <c r="IP258" s="19"/>
      <c r="IQ258" s="19"/>
      <c r="IR258" s="19"/>
      <c r="IS258" s="19"/>
      <c r="IT258" s="19"/>
      <c r="IU258" s="19"/>
      <c r="IV258" s="19"/>
      <c r="IW258" s="19"/>
      <c r="IX258" s="19"/>
      <c r="IY258" s="19"/>
    </row>
    <row r="259" spans="2:259" ht="16.5" customHeight="1" x14ac:dyDescent="0.15">
      <c r="B259" s="24" t="str">
        <f>"（注目する地域）"&amp;'グラフ設定（時系列）'!E2</f>
        <v>（注目する地域）小野町</v>
      </c>
      <c r="C259" s="24"/>
      <c r="D259" s="24"/>
      <c r="E259" s="24"/>
      <c r="F259" s="24"/>
      <c r="G259" s="24"/>
      <c r="H259" s="24"/>
      <c r="I259" s="24"/>
    </row>
    <row r="260" spans="2:259" ht="60.75" customHeight="1" x14ac:dyDescent="0.15">
      <c r="B260" s="26" t="str">
        <f>"（出典）"&amp;'グラフ設定（時系列）'!I2</f>
        <v>（出典）厚生労働省「介護保険事業状況報告」年報</v>
      </c>
      <c r="C260" s="26"/>
      <c r="D260" s="26"/>
      <c r="E260" s="26"/>
      <c r="F260" s="26"/>
      <c r="G260" s="26"/>
      <c r="H260" s="26"/>
      <c r="I260" s="26"/>
      <c r="J260" s="26"/>
      <c r="K260" s="26"/>
      <c r="L260" s="26"/>
    </row>
  </sheetData>
  <mergeCells count="2">
    <mergeCell ref="B259:I259"/>
    <mergeCell ref="B260:L26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グラフ（時系列）</vt:lpstr>
      <vt:lpstr>グラフの数値データ（時系列）</vt:lpstr>
      <vt:lpstr>グラフ設定（時系列）</vt:lpstr>
      <vt:lpstr>表形式（時系列）</vt:lpstr>
      <vt:lpstr>'グラフ（時系列）'!Print_Area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2015-09-18T04:05:57Z</dcterms:created>
  <dcterms:modified xsi:type="dcterms:W3CDTF">2022-08-19T08:21:05Z</dcterms:modified>
</cp:coreProperties>
</file>