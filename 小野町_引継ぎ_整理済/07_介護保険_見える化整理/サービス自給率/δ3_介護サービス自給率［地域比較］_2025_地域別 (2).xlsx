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307EDAD4-DCEC-42EB-8F1A-859EDD6DE59D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<sst xmlns="http://schemas.openxmlformats.org/spreadsheetml/2006/main" count="1194" uniqueCount="915">
  <si>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</si>
  <si>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</si>
  <si>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</si>
  <si>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</si>
  <si>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</si>
  <si>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</si>
  <si>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</si>
  <si>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</si>
  <si>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</si>
  <si>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</si>
  <si>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</si>
  <si>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</si>
  <si>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</si>
  <si>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</si>
  <si>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</si>
  <si>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</si>
  <si>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</si>
  <si>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</si>
  <si>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</si>
  <si>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</si>
  <si>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</si>
  <si>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</si>
  <si>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</si>
  <si>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</si>
  <si>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</si>
  <si>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</si>
  <si>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</si>
  <si>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</si>
  <si>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</si>
  <si>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</si>
  <si>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</si>
  <si>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</si>
  <si>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</si>
  <si>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</si>
  <si>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</si>
  <si>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</si>
  <si>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</si>
  <si>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</si>
  <si>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</si>
  <si>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</si>
  <si>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</si>
  <si>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</si>
  <si>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</si>
  <si>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</si>
  <si>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</si>
  <si>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</si>
  <si>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</si>
  <si>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</si>
  <si>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</si>
  <si>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</si>
  <si>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</si>
  <si>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</si>
  <si>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</si>
  <si>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</si>
  <si>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</si>
  <si>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</si>
  <si>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</si>
  <si>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</si>
  <si>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</si>
  <si>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</si>
  <si>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</si>
  <si>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</si>
  <si>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</si>
  <si>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</si>
  <si>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</si>
  <si>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</si>
  <si>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</si>
  <si>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</si>
  <si>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</si>
  <si>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</si>
  <si>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</si>
  <si>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</si>
  <si>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</si>
  <si>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</si>
  <si>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</si>
  <si>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</si>
  <si>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</si>
  <si>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</si>
  <si>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</si>
  <si>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</si>
  <si>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</si>
  <si>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</si>
  <si>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</si>
  <si>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</si>
  <si>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</si>
  <si>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</si>
  <si>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</si>
  <si>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</si>
  <si>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</si>
  <si>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</si>
  <si>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</si>
  <si>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</si>
  <si>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</si>
  <si>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</si>
  <si>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</si>
  <si>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</si>
  <si>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</si>
  <si>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</si>
  <si>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</si>
  <si>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</si>
  <si>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</si>
  <si>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</si>
  <si>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</si>
  <si>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</si>
  <si>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</si>
  <si>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</si>
  <si>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</si>
  <si>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</si>
  <si>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</si>
  <si>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</si>
  <si>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</si>
  <si>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</si>
  <si>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</si>
  <si>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</si>
  <si>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</si>
  <si>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</si>
  <si>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</si>
  <si>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</si>
  <si>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</si>
  <si>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</si>
  <si>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</si>
  <si>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</si>
  <si>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</si>
  <si>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</si>
  <si>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</si>
  <si>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</si>
  <si>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</si>
  <si>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</si>
  <si>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</si>
  <si>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</si>
  <si>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</si>
  <si>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</si>
  <si>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</si>
  <si>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</si>
  <si>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</si>
  <si>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</si>
  <si>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</si>
  <si>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</si>
  <si>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</si>
  <si>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</si>
  <si>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</si>
  <si>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</si>
  <si>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</si>
  <si>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</si>
  <si>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</si>
  <si>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</si>
  <si>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</si>
  <si>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</si>
  <si>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</si>
  <si>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</si>
  <si>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</si>
  <si>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</si>
  <si>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</si>
  <si>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</si>
  <si>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</si>
  <si>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</si>
  <si>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</si>
  <si>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</si>
  <si>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</si>
  <si>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</si>
  <si>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</si>
  <si>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</si>
  <si>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</si>
  <si>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</si>
  <si>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</si>
  <si>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</si>
  <si>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</si>
  <si>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</si>
  <si>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</si>
  <si>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</si>
  <si>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</si>
  <si>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</si>
  <si>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</si>
  <si>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</si>
  <si>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</si>
  <si>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</si>
  <si>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</si>
  <si>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</si>
  <si>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</si>
  <si>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</si>
  <si>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</si>
  <si>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</si>
  <si>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</si>
  <si>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</si>
  <si>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</si>
  <si>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</si>
  <si>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</si>
  <si>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</si>
  <si>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</si>
  <si>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</si>
  <si>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</si>
  <si>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</si>
  <si>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</si>
  <si>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</si>
  <si>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</si>
  <si>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</si>
  <si>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</si>
  <si>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</si>
  <si>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</si>
  <si>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</si>
  <si>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</si>
  <si>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</si>
  <si>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</si>
  <si>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</si>
  <si>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</si>
  <si>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</si>
  <si>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</si>
  <si>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</si>
  <si>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</si>
  <si>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</si>
  <si>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</si>
  <si>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</si>
  <si>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</si>
  <si>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</si>
  <si>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</si>
  <si>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</si>
  <si>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</si>
  <si>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</si>
  <si>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</si>
  <si>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</si>
  <si>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</si>
  <si>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</si>
  <si>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</si>
  <si>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</si>
  <si>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</si>
  <si>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</si>
  <si>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</si>
  <si>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</si>
  <si>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</si>
  <si>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</si>
  <si>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</si>
  <si>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</si>
  <si>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</si>
  <si>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</si>
  <si>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</si>
  <si>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</si>
  <si>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</si>
  <si>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</si>
  <si>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</si>
  <si>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</si>
  <si>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</si>
  <si>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</si>
  <si>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</si>
  <si>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</si>
  <si>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</si>
  <si>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</si>
  <si>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</si>
  <si>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</si>
  <si>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</si>
  <si>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</si>
  <si>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</si>
  <si>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</si>
  <si>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</si>
  <si>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</si>
  <si>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</si>
  <si>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</si>
  <si>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</si>
  <si>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</si>
  <si>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</si>
  <si>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</si>
  <si>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</si>
  <si>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</si>
  <si>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</si>
  <si>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</si>
  <si>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</si>
  <si>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</si>
  <si>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</si>
  <si>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</si>
  <si>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</si>
  <si>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</si>
  <si>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</si>
  <si>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</si>
  <si>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</si>
  <si>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</si>
  <si>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</si>
  <si>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</si>
  <si>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</si>
  <si>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</si>
  <si>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</si>
  <si>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</si>
  <si>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</si>
  <si>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</si>
  <si>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</si>
  <si>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</si>
  <si>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</si>
  <si>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</si>
  <si>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</si>
  <si>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</si>
  <si>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</si>
  <si>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</si>
  <si>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</si>
  <si>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</si>
  <si>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</si>
  <si>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</si>
  <si>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</si>
  <si>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</si>
  <si>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</si>
  <si>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</si>
  <si>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</si>
  <si>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</si>
  <si>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</si>
  <si>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</si>
  <si>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</si>
  <si>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</si>
  <si>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</si>
  <si>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</si>
  <si>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</si>
  <si>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</si>
  <si>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</si>
  <si>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</si>
  <si>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</si>
  <si>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</si>
  <si>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</si>
  <si>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</si>
  <si>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</si>
  <si>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</si>
  <si>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</si>
  <si>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</si>
  <si>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</si>
  <si>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</si>
  <si>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</si>
  <si>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</si>
  <si>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</si>
  <si>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</si>
  <si>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</si>
  <si>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</si>
  <si>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</si>
  <si>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</si>
  <si>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</si>
  <si>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</si>
  <si>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</si>
  <si>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</si>
  <si>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</si>
  <si>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</si>
  <si>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</si>
  <si>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</si>
  <si>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</si>
  <si>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</si>
  <si>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</si>
  <si>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</si>
  <si>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</si>
  <si>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</si>
  <si>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</si>
  <si>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</si>
  <si>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</si>
  <si>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</si>
  <si>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</si>
  <si>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</si>
  <si>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</si>
  <si>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</si>
  <si>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</si>
  <si>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</si>
  <si>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</si>
  <si>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</si>
  <si>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</si>
  <si>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</si>
  <si>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</si>
  <si>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</si>
  <si>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</si>
  <si>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</si>
  <si>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</si>
  <si>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</si>
  <si>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</si>
  <si>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</si>
  <si>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</si>
  <si>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</si>
  <si>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</si>
  <si>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</si>
  <si>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</si>
  <si>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</si>
  <si>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</si>
  <si>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</si>
  <si>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</si>
  <si>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</si>
  <si>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</si>
  <si>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</si>
  <si>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</si>
  <si>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</si>
  <si>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</si>
  <si>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</si>
  <si>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</si>
  <si>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</si>
  <si>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</si>
  <si>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</si>
  <si>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</si>
  <si>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</si>
  <si>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</si>
  <si>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</si>
  <si>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</si>
  <si>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</si>
  <si>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</si>
  <si>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</si>
  <si>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</si>
  <si>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</si>
  <si>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</si>
  <si>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</si>
  <si>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</si>
  <si>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</si>
  <si>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</si>
  <si>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</si>
  <si>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</si>
  <si>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</si>
  <si>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</si>
  <si>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</si>
  <si>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</si>
  <si>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</si>
  <si>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</si>
  <si>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</si>
  <si>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</si>
  <si>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</si>
  <si>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</si>
  <si>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</si>
  <si>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</si>
  <si>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</si>
  <si>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</si>
  <si>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</si>
  <si>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</si>
  <si>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</si>
  <si>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</si>
  <si>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</si>
  <si>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</si>
  <si>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</si>
  <si>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</si>
  <si>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</si>
  <si>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</si>
  <si>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</si>
  <si>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</si>
  <si>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</si>
  <si>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</si>
  <si>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</si>
  <si>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</si>
  <si>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</si>
  <si>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</si>
  <si>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</si>
  <si>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</si>
  <si>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</si>
  <si>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</si>
  <si>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</si>
  <si>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</si>
  <si>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</si>
  <si>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</si>
  <si>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</si>
  <si>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</si>
  <si>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</si>
  <si>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</si>
  <si>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</si>
  <si>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</si>
  <si>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</si>
  <si>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</si>
  <si>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</si>
  <si>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</si>
  <si>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</si>
  <si>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</si>
  <si>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</si>
  <si>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</si>
  <si>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</si>
  <si>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</si>
  <si>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</si>
  <si>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</si>
  <si>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</si>
  <si>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</si>
  <si>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</si>
  <si>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</si>
  <si>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</si>
  <si>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</si>
  <si>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</si>
  <si>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</si>
  <si>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</si>
  <si>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</si>
  <si>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</si>
  <si>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</si>
  <si>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</si>
  <si>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</si>
  <si>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</si>
  <si>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</si>
  <si>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</si>
  <si>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</si>
  <si>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</si>
  <si>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</si>
  <si>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</si>
  <si>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</si>
  <si>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</si>
  <si>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</si>
  <si>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</si>
  <si>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</si>
  <si>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</si>
  <si>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</si>
  <si>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</si>
  <si>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</si>
  <si>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</si>
  <si>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</si>
  <si>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</si>
  <si>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</si>
  <si>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</si>
  <si>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</si>
  <si>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</si>
  <si>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</si>
  <si>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</si>
  <si>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</si>
  <si>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</si>
  <si>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</si>
  <si>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</si>
  <si>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</si>
  <si>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</si>
  <si>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</si>
  <si>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</si>
  <si>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</si>
  <si>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</si>
  <si>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</si>
  <si>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</si>
  <si>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</si>
  <si>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</si>
  <si>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</si>
  <si>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</si>
  <si>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</si>
  <si>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</si>
  <si>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</si>
  <si>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</si>
  <si>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</si>
  <si>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</si>
  <si>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</si>
  <si>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</si>
  <si>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</si>
  <si>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</si>
  <si>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</si>
  <si>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</si>
  <si>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</si>
  <si>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</si>
  <si>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</si>
  <si>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</si>
  <si>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</si>
  <si>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</si>
  <si>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</si>
  <si>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</si>
  <si>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</si>
  <si>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</si>
  <si>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</si>
  <si>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</si>
  <si>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</si>
  <si>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</si>
  <si>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</si>
  <si>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</si>
  <si>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</si>
  <si>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</si>
  <si>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</si>
  <si>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</si>
  <si>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</si>
  <si>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</si>
  <si>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</si>
  <si>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</si>
  <si>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</si>
  <si>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</si>
  <si>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</si>
  <si>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</si>
  <si>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</si>
  <si>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</si>
  <si>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</si>
  <si>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</si>
  <si>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</si>
  <si>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</si>
  <si>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</si>
  <si>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</si>
  <si>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</si>
  <si>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</si>
  <si>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</si>
  <si>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</si>
  <si>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</si>
  <si>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</si>
  <si>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</si>
  <si>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</si>
  <si>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</si>
  <si>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</si>
  <si>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</si>
  <si>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</si>
  <si>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</si>
  <si>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</si>
  <si>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</si>
  <si>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</si>
  <si>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</si>
  <si>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</si>
  <si>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</si>
  <si>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</si>
  <si>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</si>
  <si>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</si>
  <si>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</si>
  <si>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</si>
  <si>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</si>
  <si>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</si>
  <si>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</si>
  <si>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</si>
  <si>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</si>
  <si>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</si>
  <si>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</si>
  <si>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</si>
  <si>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</si>
  <si>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</si>
  <si>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</si>
  <si>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</si>
  <si>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</si>
  <si>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</si>
  <si>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</si>
  <si>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</si>
  <si>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</si>
  <si>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</si>
  <si>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</si>
  <si>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</si>
  <si>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</si>
  <si>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</si>
  <si>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</si>
  <si>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</si>
  <si>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</si>
  <si>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</si>
  <si>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</si>
  <si>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</si>
  <si>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</si>
  <si>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</si>
  <si>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</si>
  <si>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</si>
  <si>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</si>
  <si>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</si>
  <si>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</si>
  <si>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</si>
  <si>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</si>
  <si>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</si>
  <si>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</si>
  <si>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</si>
  <si>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</si>
  <si>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</si>
  <si>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</si>
  <si>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</si>
  <si>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</si>
  <si>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</si>
  <si>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</si>
  <si>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</si>
  <si>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</si>
  <si>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</si>
  <si>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</si>
  <si>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</si>
  <si>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</si>
  <si>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</si>
  <si>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</si>
  <si>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</si>
  <si>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</si>
  <si>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</si>
  <si>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</si>
  <si>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</si>
  <si>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</si>
  <si>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</si>
  <si>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</si>
  <si>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</si>
  <si>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</si>
  <si>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</si>
  <si>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</si>
  <si>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</si>
  <si>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</si>
  <si>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</si>
  <si>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</si>
  <si>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</si>
  <si>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</si>
  <si>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</si>
  <si>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</si>
  <si>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</si>
  <si>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</si>
  <si>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</si>
  <si>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</si>
  <si>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</si>
  <si>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</si>
  <si>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</si>
  <si>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</si>
  <si>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</si>
  <si>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</si>
  <si>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</si>
  <si>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</si>
  <si>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</si>
  <si>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</si>
  <si>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</si>
  <si>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</si>
  <si>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</si>
  <si>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</si>
  <si>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</si>
  <si>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</si>
  <si>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</si>
  <si>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</si>
  <si>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</si>
  <si>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</si>
  <si>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</si>
  <si>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</si>
  <si>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</si>
  <si>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</si>
  <si>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</si>
  <si>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</si>
  <si>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</si>
  <si>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</si>
  <si>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</si>
  <si>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</si>
  <si>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</si>
  <si>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</si>
  <si>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</si>
  <si>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</si>
  <si>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</si>
  <si>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</si>
  <si>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</si>
  <si>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</si>
  <si>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</si>
  <si>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</si>
  <si>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</si>
  <si>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</si>
  <si>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</si>
  <si>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</si>
  <si>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</si>
  <si>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</si>
  <si>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</si>
  <si>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</si>
  <si>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</si>
  <si>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</si>
  <si>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</si>
  <si>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</si>
  <si>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</si>
  <si>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</si>
  <si>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</si>
  <si>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</si>
  <si>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</si>
  <si>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</si>
  <si>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</si>
  <si>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</si>
  <si>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</si>
  <si>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</si>
  <si>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</si>
  <si>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</si>
  <si>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</si>
  <si>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</si>
  <si>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</si>
  <si>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</si>
  <si>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</si>
  <si>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</si>
  <si>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</si>
  <si>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</si>
  <si>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</si>
  <si>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</si>
  <si>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</si>
  <si>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</si>
  <si>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</si>
  <si>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</si>
  <si>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</si>
  <si>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</si>
  <si>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</si>
  <si>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</si>
  <si>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</si>
  <si>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</si>
  <si>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</si>
  <si>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</si>
  <si>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</si>
  <si>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</si>
  <si>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</si>
  <si>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</si>
  <si>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</si>
  <si>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</si>
  <si>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</si>
  <si>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</si>
  <si>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</si>
  <si>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</si>
  <si>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</si>
  <si>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</si>
  <si>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</si>
  <si>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</si>
  <si>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</si>
  <si>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</si>
  <si>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</si>
  <si>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</si>
  <si>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</si>
  <si>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</si>
  <si>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</si>
  <si>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</si>
  <si>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</si>
  <si>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</si>
  <si>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</si>
  <si>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</si>
  <si>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</si>
  <si>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</si>
  <si>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</si>
  <si>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</si>
  <si>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</si>
  <si>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</si>
  <si>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</si>
  <si>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</si>
  <si>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</si>
  <si>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</si>
  <si>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</si>
  <si>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</si>
  <si>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</si>
  <si>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</si>
  <si>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</si>
  <si>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</si>
  <si>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</si>
  <si>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</si>
  <si>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</si>
  <si>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</si>
  <si>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</si>
  <si>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</si>
  <si>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</si>
  <si>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</si>
  <si>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</si>
  <si>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</si>
  <si>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</si>
  <si>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</si>
  <si>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</si>
  <si>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</si>
  <si>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</si>
  <si>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</si>
  <si>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</si>
  <si>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</si>
  <si>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</si>
  <si>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</si>
  <si>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</si>
  <si>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</si>
  <si>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</si>
  <si>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</si>
  <si>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</si>
  <si>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</si>
  <si>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</si>
  <si>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</si>
  <si>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</si>
  <si>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</si>
  <si>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</si>
  <si>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</si>
  <si>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</si>
  <si>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</si>
  <si>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</si>
  <si>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</si>
  <si>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</si>
  <si>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</si>
  <si>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</si>
  <si>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</si>
  <si>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</si>
  <si>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説明文</t>
    <rPh sb="0" eb="3">
      <t>セツメイブン</t>
    </rPh>
    <phoneticPr fontId="1"/>
  </si>
  <si>
    <t>訪問系</t>
  </si>
  <si>
    <t>通所系</t>
  </si>
  <si>
    <t>短期入所系</t>
  </si>
  <si>
    <t>多機能系</t>
  </si>
  <si>
    <t>施設・居住系</t>
  </si>
  <si>
    <t>その他</t>
  </si>
  <si>
    <t>小野町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</si>
  <si>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</si>
  <si>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</si>
  <si>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</si>
  <si>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</si>
  <si>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</si>
  <si>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</si>
  <si>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</si>
  <si>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</si>
  <si>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</si>
  <si>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</si>
  <si>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</si>
  <si>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</si>
  <si>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</si>
  <si>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</si>
  <si>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</si>
  <si>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</si>
  <si>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</si>
  <si>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</si>
  <si>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</si>
  <si>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</si>
  <si>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</si>
  <si>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</si>
  <si>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</si>
  <si>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</si>
  <si>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</si>
  <si>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</si>
  <si>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</si>
  <si>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</si>
  <si>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</si>
  <si>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</si>
  <si>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</si>
  <si>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</si>
  <si>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</si>
  <si>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</si>
  <si>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</si>
  <si>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</si>
  <si>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</si>
  <si>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</si>
  <si>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</si>
  <si>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</si>
  <si>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</si>
  <si>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</si>
  <si>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</si>
  <si>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</si>
  <si>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</si>
  <si>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</si>
  <si>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</si>
  <si>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</si>
  <si>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</si>
  <si>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</si>
  <si>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</si>
  <si>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</si>
  <si>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</si>
  <si>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</si>
  <si>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</si>
  <si>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</si>
  <si>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</si>
  <si>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</si>
  <si>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介護サービス自給率［地域比較］</t>
  </si>
  <si>
    <t>令和7年(2025年)</t>
  </si>
  <si>
    <t>介護サービス自給率</t>
  </si>
  <si>
    <t>％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</si>
  <si>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</si>
  <si>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</si>
  <si>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</si>
  <si>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介護サービス自給率（訪問系）</t>
  </si>
  <si>
    <t>（%）</t>
  </si>
  <si>
    <t>介護サービス自給率（通所系）</t>
  </si>
  <si>
    <t>-</t>
  </si>
  <si>
    <t>介護サービス自給率（短期入所系）</t>
  </si>
  <si>
    <t>介護サービス自給率（多機能系）</t>
  </si>
  <si>
    <t>介護サービス自給率（施設・居住系）</t>
  </si>
  <si>
    <t>介護サービス自給率（その他）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</si>
</sst>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;[Red]\-#,##0.0\ "/>
    <numFmt numFmtId="177" formatCode="#,##0.0"/>
  </numFmts>
  <fonts count="7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293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4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4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4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4" fontId="10" fillId="0" borderId="5" xfId="0" applyBorder="true" applyFont="true" applyNumberFormat="true">
      <alignment shrinkToFit="true"/>
    </xf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4" fontId="11" fillId="0" borderId="5" xfId="0" applyBorder="true" applyFont="true" applyNumberFormat="true">
      <alignment shrinkToFit="true"/>
    </xf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4" fontId="12" fillId="0" borderId="5" xfId="0" applyBorder="true" applyFont="true" applyNumberFormat="true">
      <alignment shrinkToFit="true"/>
    </xf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4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4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4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4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4" fontId="18" fillId="0" borderId="5" xfId="0" applyBorder="true" applyFont="true" applyNumberFormat="true">
      <alignment shrinkToFit="true"/>
    </xf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4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4" fontId="20" fillId="0" borderId="5" xfId="0" applyBorder="true" applyFont="true" applyNumberFormat="true">
      <alignment shrinkToFit="true"/>
    </xf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177" fontId="21" fillId="0" borderId="5" xfId="0" applyBorder="true" applyFont="true" applyNumberFormat="true">
      <alignment shrinkToFit="true"/>
    </xf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4" fontId="22" fillId="0" borderId="5" xfId="0" applyBorder="true" applyFont="true" applyNumberFormat="true">
      <alignment shrinkToFit="true"/>
    </xf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4" fontId="23" fillId="0" borderId="5" xfId="0" applyBorder="true" applyFont="true" applyNumberFormat="true">
      <alignment shrinkToFit="true"/>
    </xf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4" fontId="24" fillId="0" borderId="5" xfId="0" applyBorder="true" applyFont="true" applyNumberFormat="true">
      <alignment shrinkToFit="true"/>
    </xf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177" fontId="25" fillId="0" borderId="5" xfId="0" applyBorder="true" applyFont="true" applyNumberFormat="true">
      <alignment shrinkToFit="true"/>
    </xf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4" fontId="27" fillId="0" borderId="5" xfId="0" applyBorder="true" applyFont="true" applyNumberFormat="true">
      <alignment shrinkToFit="true"/>
    </xf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4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4" fontId="29" fillId="0" borderId="5" xfId="0" applyBorder="true" applyFont="true" applyNumberFormat="true">
      <alignment shrinkToFit="true"/>
    </xf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177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4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4" fontId="32" fillId="0" borderId="5" xfId="0" applyBorder="true" applyFont="true" applyNumberFormat="true">
      <alignment shrinkToFit="true"/>
    </xf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4" fontId="33" fillId="0" borderId="5" xfId="0" applyBorder="true" applyFont="true" applyNumberFormat="true">
      <alignment shrinkToFit="true"/>
    </xf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4" fontId="34" fillId="0" borderId="5" xfId="0" applyBorder="true" applyFont="true" applyNumberFormat="true">
      <alignment shrinkToFit="true"/>
    </xf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4" fontId="35" fillId="0" borderId="5" xfId="0" applyBorder="true" applyFont="true" applyNumberFormat="true">
      <alignment shrinkToFit="true"/>
    </xf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4" fontId="36" fillId="0" borderId="5" xfId="0" applyBorder="true" applyFont="true" applyNumberFormat="true">
      <alignment shrinkToFit="true"/>
    </xf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4" fontId="37" fillId="0" borderId="5" xfId="0" applyBorder="true" applyFont="true" applyNumberFormat="true">
      <alignment shrinkToFit="true"/>
    </xf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4" fontId="38" fillId="0" borderId="5" xfId="0" applyBorder="true" applyFont="true" applyNumberFormat="true">
      <alignment shrinkToFit="true"/>
    </xf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177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4" fontId="40" fillId="0" borderId="5" xfId="0" applyBorder="true" applyFont="true" applyNumberFormat="true">
      <alignment shrinkToFit="true"/>
    </xf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177" fontId="41" fillId="0" borderId="5" xfId="0" applyBorder="true" applyFont="true" applyNumberFormat="true">
      <alignment shrinkToFit="true"/>
    </xf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4" fontId="42" fillId="0" borderId="5" xfId="0" applyBorder="true" applyFont="true" applyNumberFormat="true">
      <alignment shrinkToFit="true"/>
    </xf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4" fontId="43" fillId="0" borderId="5" xfId="0" applyBorder="true" applyFont="true" applyNumberFormat="true">
      <alignment shrinkToFit="true"/>
    </xf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4" fontId="44" fillId="0" borderId="5" xfId="0" applyBorder="true" applyFont="true" applyNumberFormat="true">
      <alignment shrinkToFit="true"/>
    </xf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4" fontId="45" fillId="0" borderId="5" xfId="0" applyBorder="true" applyFont="true" applyNumberFormat="true">
      <alignment shrinkToFit="true"/>
    </xf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4" fontId="46" fillId="0" borderId="5" xfId="0" applyBorder="true" applyFont="true" applyNumberFormat="true">
      <alignment shrinkToFit="true"/>
    </xf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4" fontId="47" fillId="0" borderId="5" xfId="0" applyBorder="true" applyFont="true" applyNumberFormat="true">
      <alignment shrinkToFit="true"/>
    </xf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4" fontId="48" fillId="0" borderId="5" xfId="0" applyBorder="true" applyFont="true" applyNumberFormat="true">
      <alignment shrinkToFit="true"/>
    </xf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4" fontId="49" fillId="0" borderId="5" xfId="0" applyBorder="true" applyFont="true" applyNumberFormat="true">
      <alignment shrinkToFit="true"/>
    </xf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4" fontId="50" fillId="0" borderId="5" xfId="0" applyBorder="true" applyFont="true" applyNumberFormat="true">
      <alignment shrinkToFit="true"/>
    </xf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4" fontId="51" fillId="0" borderId="5" xfId="0" applyBorder="true" applyFont="true" applyNumberFormat="true">
      <alignment shrinkToFit="true"/>
    </xf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4" fontId="52" fillId="0" borderId="5" xfId="0" applyBorder="true" applyFont="true" applyNumberFormat="true">
      <alignment shrinkToFit="true"/>
    </xf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4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4" fontId="54" fillId="0" borderId="5" xfId="0" applyBorder="true" applyFont="true" applyNumberFormat="true">
      <alignment shrinkToFit="true"/>
    </xf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4" fontId="55" fillId="0" borderId="5" xfId="0" applyBorder="true" applyFont="true" applyNumberFormat="true">
      <alignment shrinkToFit="true"/>
    </xf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4" fontId="56" fillId="0" borderId="5" xfId="0" applyBorder="true" applyFont="true" applyNumberFormat="true">
      <alignment shrinkToFit="true"/>
    </xf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4" fontId="57" fillId="0" borderId="5" xfId="0" applyBorder="true" applyFont="true" applyNumberFormat="true">
      <alignment shrinkToFit="true"/>
    </xf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177" fontId="58" fillId="0" borderId="5" xfId="0" applyBorder="true" applyFont="true" applyNumberFormat="true">
      <alignment shrinkToFit="true"/>
    </xf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4" fontId="59" fillId="0" borderId="5" xfId="0" applyBorder="true" applyFont="true" applyNumberFormat="true">
      <alignment shrinkToFit="true"/>
    </xf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4" fontId="60" fillId="0" borderId="5" xfId="0" applyBorder="true" applyFont="true" applyNumberFormat="true">
      <alignment shrinkToFit="true"/>
    </xf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4" fontId="61" fillId="0" borderId="5" xfId="0" applyBorder="true" applyFont="true" applyNumberFormat="true">
      <alignment shrinkToFit="true"/>
    </xf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4" fontId="62" fillId="0" borderId="5" xfId="0" applyBorder="true" applyFont="true" applyNumberFormat="true">
      <alignment shrinkToFit="true"/>
    </xf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4" fontId="63" fillId="0" borderId="5" xfId="0" applyBorder="true" applyFont="true" applyNumberFormat="true">
      <alignment shrinkToFit="true"/>
    </xf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6" borderId="5" xfId="0" applyBorder="true" applyFont="true" applyFill="true">
      <alignment wrapText="true" vertical="center" horizontal="center"/>
    </xf>
    <xf numFmtId="0" fontId="64" fillId="0" borderId="5" xfId="0" applyBorder="true" applyFont="true"/>
    <xf numFmtId="4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4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4" fontId="67" fillId="0" borderId="5" xfId="0" applyBorder="true" applyFont="true" applyNumberFormat="true">
      <alignment shrinkToFit="true"/>
    </xf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>
      <alignment vertical="center" horizontal="right"/>
    </xf>
    <xf numFmtId="4" fontId="68" fillId="0" borderId="5" xfId="0" applyBorder="true" applyFont="true" applyNumberFormat="true">
      <alignment shrinkToFit="true"/>
    </xf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4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4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074607450384493"/>
          <c:y val="0.20185651793525813"/>
          <c:w val="0.76581631326696342"/>
          <c:h val="0.43280402449693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#,##0.0_ ;[Red]\-#,##0.0\ 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7.7126275882181392E-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0.89746</cdr:y>
    </cdr:from>
    <cdr:to>
      <cdr:x>0.88106</cdr:x>
      <cdr:y>0.96041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0" y="6154781"/>
          <a:ext cx="7653592" cy="4317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</cdr:x>
      <cdr:y>0.92868</cdr:y>
    </cdr:from>
    <cdr:to>
      <cdr:x>0.97209</cdr:x>
      <cdr:y>0.99032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0" y="6368910"/>
          <a:ext cx="8444351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0.00585</cdr:x>
      <cdr:y>0.00787</cdr:y>
    </cdr:from>
    <cdr:to>
      <cdr:x>0.88691</cdr:x>
      <cdr:y>0.07082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9A204A9-E807-88CD-FCC0-78204A896B4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7653592" cy="4065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0.00877</cdr:x>
      <cdr:y>0.83968</cdr:y>
    </cdr:from>
    <cdr:to>
      <cdr:x>0.97209</cdr:x>
      <cdr:y>0.90132</cdr:y>
    </cdr:to>
    <cdr:sp macro="" textlink="'グラフ設定（地域別）'!$K$2">
      <cdr:nvSpPr>
        <cdr:cNvPr id="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5BDBEAD-8E01-05A7-64A8-17B331C8205B}"/>
            </a:ext>
          </a:extLst>
        </cdr:cNvPr>
        <cdr:cNvSpPr txBox="1"/>
      </cdr:nvSpPr>
      <cdr:spPr>
        <a:xfrm xmlns:a="http://schemas.openxmlformats.org/drawingml/2006/main">
          <a:off x="76183" y="5758503"/>
          <a:ext cx="8368168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CD3716C8-AE5C-4621-B80E-E0655C6757BC}" type="TxLink">
            <a:rPr kumimoji="1" lang="ja-JP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IF('表形式（地域別）'!A1="","",'表形式（地域別）'!A1)</f>
        <v>出力日:2026/08/04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12" max="12" customWidth="true" style="3" width="14.6640625" collapsed="true" hidden="true"/>
    <col min="11" max="11" customWidth="true" style="3" width="14.6640625" collapsed="true" hidden="true"/>
    <col min="10" max="10" customWidth="true" style="3" width="14.6640625" collapsed="true" hidden="true"/>
    <col min="3" max="8" customWidth="true" style="3" width="14.6640625" collapsed="true"/>
    <col min="1" max="1" customWidth="true" style="3" width="9.0" collapsed="false"/>
    <col min="2" max="2" customWidth="true" style="19" width="12.234375" collapsed="false" bestFit="true"/>
    <col min="9" max="9" customWidth="true" style="3" width="14.6640625" collapsed="false" hidden="true"/>
    <col min="223" max="223" style="3" width="14.6640625" collapsed="false" hidden="true"/>
  </cols>
  <sheetData>
    <row r="2" spans="2:257" s="14" customFormat="1" x14ac:dyDescent="0.2">
      <c r="B2" s="17"/>
      <c r="C2" s="27" t="s">
        <v>835</v>
      </c>
      <c r="D2" s="27" t="s">
        <v>836</v>
      </c>
      <c r="E2" s="27" t="s">
        <v>837</v>
      </c>
      <c r="F2" s="27" t="s">
        <v>838</v>
      </c>
      <c r="G2" s="27" t="s">
        <v>839</v>
      </c>
      <c r="H2" s="27" t="s">
        <v>840</v>
      </c>
      <c r="I2" s="15" t="s">
        <v>330</v>
      </c>
      <c r="J2" s="15" t="s">
        <v>331</v>
      </c>
      <c r="K2" s="15" t="s">
        <v>332</v>
      </c>
      <c r="L2" s="15" t="s">
        <v>333</v>
      </c>
      <c r="M2" s="15" t="s">
        <v>589</v>
      </c>
      <c r="N2" s="15" t="s">
        <v>590</v>
      </c>
      <c r="O2" s="15" t="s">
        <v>591</v>
      </c>
      <c r="P2" s="15" t="s">
        <v>592</v>
      </c>
      <c r="Q2" s="15" t="s">
        <v>593</v>
      </c>
      <c r="R2" s="15" t="s">
        <v>594</v>
      </c>
      <c r="S2" s="15" t="s">
        <v>595</v>
      </c>
      <c r="T2" s="15" t="s">
        <v>596</v>
      </c>
      <c r="U2" s="15" t="s">
        <v>597</v>
      </c>
      <c r="V2" s="15" t="s">
        <v>598</v>
      </c>
      <c r="W2" s="15" t="s">
        <v>599</v>
      </c>
      <c r="X2" s="15" t="s">
        <v>600</v>
      </c>
      <c r="Y2" s="15" t="s">
        <v>601</v>
      </c>
      <c r="Z2" s="15" t="s">
        <v>602</v>
      </c>
      <c r="AA2" s="15" t="s">
        <v>603</v>
      </c>
      <c r="AB2" s="15" t="s">
        <v>604</v>
      </c>
      <c r="AC2" s="15" t="s">
        <v>605</v>
      </c>
      <c r="AD2" s="15" t="s">
        <v>606</v>
      </c>
      <c r="AE2" s="15" t="s">
        <v>607</v>
      </c>
      <c r="AF2" s="15" t="s">
        <v>608</v>
      </c>
      <c r="AG2" s="15" t="s">
        <v>609</v>
      </c>
      <c r="AH2" s="15" t="s">
        <v>610</v>
      </c>
      <c r="AI2" s="15" t="s">
        <v>611</v>
      </c>
      <c r="AJ2" s="15" t="s">
        <v>612</v>
      </c>
      <c r="AK2" s="15" t="s">
        <v>613</v>
      </c>
      <c r="AL2" s="15" t="s">
        <v>614</v>
      </c>
      <c r="AM2" s="15" t="s">
        <v>615</v>
      </c>
      <c r="AN2" s="15" t="s">
        <v>616</v>
      </c>
      <c r="AO2" s="15" t="s">
        <v>617</v>
      </c>
      <c r="AP2" s="15" t="s">
        <v>618</v>
      </c>
      <c r="AQ2" s="15" t="s">
        <v>619</v>
      </c>
      <c r="AR2" s="15" t="s">
        <v>620</v>
      </c>
      <c r="AS2" s="15" t="s">
        <v>621</v>
      </c>
      <c r="AT2" s="15" t="s">
        <v>622</v>
      </c>
      <c r="AU2" s="15" t="s">
        <v>623</v>
      </c>
      <c r="AV2" s="15" t="s">
        <v>624</v>
      </c>
      <c r="AW2" s="15" t="s">
        <v>625</v>
      </c>
      <c r="AX2" s="15" t="s">
        <v>626</v>
      </c>
      <c r="AY2" s="15" t="s">
        <v>627</v>
      </c>
      <c r="AZ2" s="15" t="s">
        <v>628</v>
      </c>
      <c r="BA2" s="15" t="s">
        <v>629</v>
      </c>
      <c r="BB2" s="15" t="s">
        <v>630</v>
      </c>
      <c r="BC2" s="15" t="s">
        <v>631</v>
      </c>
      <c r="BD2" s="15" t="s">
        <v>632</v>
      </c>
      <c r="BE2" s="15" t="s">
        <v>633</v>
      </c>
      <c r="BF2" s="15" t="s">
        <v>634</v>
      </c>
      <c r="BG2" s="15" t="s">
        <v>635</v>
      </c>
      <c r="BH2" s="15" t="s">
        <v>636</v>
      </c>
      <c r="BI2" s="15" t="s">
        <v>637</v>
      </c>
      <c r="BJ2" s="15" t="s">
        <v>638</v>
      </c>
      <c r="BK2" s="15" t="s">
        <v>639</v>
      </c>
      <c r="BL2" s="15" t="s">
        <v>640</v>
      </c>
      <c r="BM2" s="15" t="s">
        <v>641</v>
      </c>
      <c r="BN2" s="15" t="s">
        <v>642</v>
      </c>
      <c r="BO2" s="15" t="s">
        <v>643</v>
      </c>
      <c r="BP2" s="15" t="s">
        <v>644</v>
      </c>
      <c r="BQ2" s="15" t="s">
        <v>645</v>
      </c>
      <c r="BR2" s="15" t="s">
        <v>646</v>
      </c>
      <c r="BS2" s="15" t="s">
        <v>647</v>
      </c>
      <c r="BT2" s="15" t="s">
        <v>648</v>
      </c>
      <c r="BU2" s="15" t="s">
        <v>649</v>
      </c>
      <c r="BV2" s="15" t="s">
        <v>650</v>
      </c>
      <c r="BW2" s="15" t="s">
        <v>651</v>
      </c>
      <c r="BX2" s="15" t="s">
        <v>652</v>
      </c>
      <c r="BY2" s="15" t="s">
        <v>653</v>
      </c>
      <c r="BZ2" s="15" t="s">
        <v>654</v>
      </c>
      <c r="CA2" s="15" t="s">
        <v>655</v>
      </c>
      <c r="CB2" s="15" t="s">
        <v>656</v>
      </c>
      <c r="CC2" s="15" t="s">
        <v>657</v>
      </c>
      <c r="CD2" s="15" t="s">
        <v>658</v>
      </c>
      <c r="CE2" s="15" t="s">
        <v>659</v>
      </c>
      <c r="CF2" s="15" t="s">
        <v>660</v>
      </c>
      <c r="CG2" s="15" t="s">
        <v>661</v>
      </c>
      <c r="CH2" s="15" t="s">
        <v>662</v>
      </c>
      <c r="CI2" s="15" t="s">
        <v>663</v>
      </c>
      <c r="CJ2" s="15" t="s">
        <v>664</v>
      </c>
      <c r="CK2" s="15" t="s">
        <v>665</v>
      </c>
      <c r="CL2" s="15" t="s">
        <v>666</v>
      </c>
      <c r="CM2" s="15" t="s">
        <v>667</v>
      </c>
      <c r="CN2" s="15" t="s">
        <v>668</v>
      </c>
      <c r="CO2" s="15" t="s">
        <v>669</v>
      </c>
      <c r="CP2" s="15" t="s">
        <v>670</v>
      </c>
      <c r="CQ2" s="15" t="s">
        <v>671</v>
      </c>
      <c r="CR2" s="15" t="s">
        <v>672</v>
      </c>
      <c r="CS2" s="15" t="s">
        <v>673</v>
      </c>
      <c r="CT2" s="15" t="s">
        <v>674</v>
      </c>
      <c r="CU2" s="15" t="s">
        <v>675</v>
      </c>
      <c r="CV2" s="15" t="s">
        <v>676</v>
      </c>
      <c r="CW2" s="15" t="s">
        <v>677</v>
      </c>
      <c r="CX2" s="15" t="s">
        <v>678</v>
      </c>
      <c r="CY2" s="15" t="s">
        <v>679</v>
      </c>
      <c r="CZ2" s="15" t="s">
        <v>680</v>
      </c>
      <c r="DA2" s="15" t="s">
        <v>681</v>
      </c>
      <c r="DB2" s="15" t="s">
        <v>682</v>
      </c>
      <c r="DC2" s="15" t="s">
        <v>683</v>
      </c>
      <c r="DD2" s="15" t="s">
        <v>684</v>
      </c>
      <c r="DE2" s="15" t="s">
        <v>685</v>
      </c>
      <c r="DF2" s="15" t="s">
        <v>686</v>
      </c>
      <c r="DG2" s="15" t="s">
        <v>687</v>
      </c>
      <c r="DH2" s="15" t="s">
        <v>688</v>
      </c>
      <c r="DI2" s="15" t="s">
        <v>689</v>
      </c>
      <c r="DJ2" s="15" t="s">
        <v>690</v>
      </c>
      <c r="DK2" s="15" t="s">
        <v>691</v>
      </c>
      <c r="DL2" s="15" t="s">
        <v>692</v>
      </c>
      <c r="DM2" s="15" t="s">
        <v>693</v>
      </c>
      <c r="DN2" s="15" t="s">
        <v>694</v>
      </c>
      <c r="DO2" s="15" t="s">
        <v>695</v>
      </c>
      <c r="DP2" s="15" t="s">
        <v>696</v>
      </c>
      <c r="DQ2" s="15" t="s">
        <v>697</v>
      </c>
      <c r="DR2" s="15" t="s">
        <v>698</v>
      </c>
      <c r="DS2" s="15" t="s">
        <v>699</v>
      </c>
      <c r="DT2" s="15" t="s">
        <v>700</v>
      </c>
      <c r="DU2" s="15" t="s">
        <v>701</v>
      </c>
      <c r="DV2" s="15" t="s">
        <v>702</v>
      </c>
      <c r="DW2" s="15" t="s">
        <v>703</v>
      </c>
      <c r="DX2" s="15" t="s">
        <v>704</v>
      </c>
      <c r="DY2" s="15" t="s">
        <v>705</v>
      </c>
      <c r="DZ2" s="15" t="s">
        <v>706</v>
      </c>
      <c r="EA2" s="15" t="s">
        <v>707</v>
      </c>
      <c r="EB2" s="15" t="s">
        <v>708</v>
      </c>
      <c r="EC2" s="15" t="s">
        <v>709</v>
      </c>
      <c r="ED2" s="15" t="s">
        <v>710</v>
      </c>
      <c r="EE2" s="15" t="s">
        <v>711</v>
      </c>
      <c r="EF2" s="15" t="s">
        <v>712</v>
      </c>
      <c r="EG2" s="15" t="s">
        <v>713</v>
      </c>
      <c r="EH2" s="15" t="s">
        <v>714</v>
      </c>
      <c r="EI2" s="15" t="s">
        <v>715</v>
      </c>
      <c r="EJ2" s="15" t="s">
        <v>716</v>
      </c>
      <c r="EK2" s="15" t="s">
        <v>717</v>
      </c>
      <c r="EL2" s="15" t="s">
        <v>718</v>
      </c>
      <c r="EM2" s="15" t="s">
        <v>719</v>
      </c>
      <c r="EN2" s="15" t="s">
        <v>720</v>
      </c>
      <c r="EO2" s="15" t="s">
        <v>721</v>
      </c>
      <c r="EP2" s="15" t="s">
        <v>722</v>
      </c>
      <c r="EQ2" s="15" t="s">
        <v>723</v>
      </c>
      <c r="ER2" s="15" t="s">
        <v>724</v>
      </c>
      <c r="ES2" s="15" t="s">
        <v>725</v>
      </c>
      <c r="ET2" s="15" t="s">
        <v>726</v>
      </c>
      <c r="EU2" s="15" t="s">
        <v>727</v>
      </c>
      <c r="EV2" s="15" t="s">
        <v>728</v>
      </c>
      <c r="EW2" s="15" t="s">
        <v>729</v>
      </c>
      <c r="EX2" s="15" t="s">
        <v>730</v>
      </c>
      <c r="EY2" s="15" t="s">
        <v>731</v>
      </c>
      <c r="EZ2" s="15" t="s">
        <v>732</v>
      </c>
      <c r="FA2" s="15" t="s">
        <v>733</v>
      </c>
      <c r="FB2" s="15" t="s">
        <v>734</v>
      </c>
      <c r="FC2" s="15" t="s">
        <v>735</v>
      </c>
      <c r="FD2" s="15" t="s">
        <v>736</v>
      </c>
      <c r="FE2" s="15" t="s">
        <v>737</v>
      </c>
      <c r="FF2" s="15" t="s">
        <v>738</v>
      </c>
      <c r="FG2" s="15" t="s">
        <v>739</v>
      </c>
      <c r="FH2" s="15" t="s">
        <v>740</v>
      </c>
      <c r="FI2" s="15" t="s">
        <v>741</v>
      </c>
      <c r="FJ2" s="15" t="s">
        <v>742</v>
      </c>
      <c r="FK2" s="15" t="s">
        <v>743</v>
      </c>
      <c r="FL2" s="15" t="s">
        <v>744</v>
      </c>
      <c r="FM2" s="15" t="s">
        <v>745</v>
      </c>
      <c r="FN2" s="15" t="s">
        <v>746</v>
      </c>
      <c r="FO2" s="15" t="s">
        <v>747</v>
      </c>
      <c r="FP2" s="15" t="s">
        <v>748</v>
      </c>
      <c r="FQ2" s="15" t="s">
        <v>749</v>
      </c>
      <c r="FR2" s="15" t="s">
        <v>750</v>
      </c>
      <c r="FS2" s="15" t="s">
        <v>751</v>
      </c>
      <c r="FT2" s="15" t="s">
        <v>752</v>
      </c>
      <c r="FU2" s="15" t="s">
        <v>753</v>
      </c>
      <c r="FV2" s="15" t="s">
        <v>754</v>
      </c>
      <c r="FW2" s="15" t="s">
        <v>755</v>
      </c>
      <c r="FX2" s="15" t="s">
        <v>756</v>
      </c>
      <c r="FY2" s="15" t="s">
        <v>757</v>
      </c>
      <c r="FZ2" s="15" t="s">
        <v>758</v>
      </c>
      <c r="GA2" s="15" t="s">
        <v>759</v>
      </c>
      <c r="GB2" s="15" t="s">
        <v>760</v>
      </c>
      <c r="GC2" s="15" t="s">
        <v>761</v>
      </c>
      <c r="GD2" s="15" t="s">
        <v>762</v>
      </c>
      <c r="GE2" s="15" t="s">
        <v>763</v>
      </c>
      <c r="GF2" s="15" t="s">
        <v>764</v>
      </c>
      <c r="GG2" s="15" t="s">
        <v>765</v>
      </c>
      <c r="GH2" s="15" t="s">
        <v>766</v>
      </c>
      <c r="GI2" s="15" t="s">
        <v>767</v>
      </c>
      <c r="GJ2" s="15" t="s">
        <v>768</v>
      </c>
      <c r="GK2" s="15" t="s">
        <v>769</v>
      </c>
      <c r="GL2" s="15" t="s">
        <v>770</v>
      </c>
      <c r="GM2" s="15" t="s">
        <v>771</v>
      </c>
      <c r="GN2" s="15" t="s">
        <v>772</v>
      </c>
      <c r="GO2" s="15" t="s">
        <v>773</v>
      </c>
      <c r="GP2" s="15" t="s">
        <v>774</v>
      </c>
      <c r="GQ2" s="15" t="s">
        <v>775</v>
      </c>
      <c r="GR2" s="15" t="s">
        <v>776</v>
      </c>
      <c r="GS2" s="15" t="s">
        <v>777</v>
      </c>
      <c r="GT2" s="15" t="s">
        <v>778</v>
      </c>
      <c r="GU2" s="15" t="s">
        <v>779</v>
      </c>
      <c r="GV2" s="15" t="s">
        <v>780</v>
      </c>
      <c r="GW2" s="15" t="s">
        <v>781</v>
      </c>
      <c r="GX2" s="15" t="s">
        <v>782</v>
      </c>
      <c r="GY2" s="15" t="s">
        <v>783</v>
      </c>
      <c r="GZ2" s="15" t="s">
        <v>784</v>
      </c>
      <c r="HA2" s="15" t="s">
        <v>785</v>
      </c>
      <c r="HB2" s="15" t="s">
        <v>786</v>
      </c>
      <c r="HC2" s="15" t="s">
        <v>787</v>
      </c>
      <c r="HD2" s="15" t="s">
        <v>788</v>
      </c>
      <c r="HE2" s="15" t="s">
        <v>789</v>
      </c>
      <c r="HF2" s="15" t="s">
        <v>790</v>
      </c>
      <c r="HG2" s="15" t="s">
        <v>791</v>
      </c>
      <c r="HH2" s="15" t="s">
        <v>792</v>
      </c>
      <c r="HI2" s="15" t="s">
        <v>793</v>
      </c>
      <c r="HJ2" s="15" t="s">
        <v>794</v>
      </c>
      <c r="HK2" s="15" t="s">
        <v>795</v>
      </c>
      <c r="HL2" s="15" t="s">
        <v>796</v>
      </c>
      <c r="HM2" s="15" t="s">
        <v>797</v>
      </c>
      <c r="HN2" s="15" t="s">
        <v>798</v>
      </c>
      <c r="HO2" s="15" t="s">
        <v>799</v>
      </c>
      <c r="HP2" s="15" t="s">
        <v>800</v>
      </c>
      <c r="HQ2" s="15" t="s">
        <v>801</v>
      </c>
      <c r="HR2" s="15" t="s">
        <v>802</v>
      </c>
      <c r="HS2" s="15" t="s">
        <v>803</v>
      </c>
      <c r="HT2" s="15" t="s">
        <v>804</v>
      </c>
      <c r="HU2" s="15" t="s">
        <v>805</v>
      </c>
      <c r="HV2" s="15" t="s">
        <v>806</v>
      </c>
      <c r="HW2" s="15" t="s">
        <v>807</v>
      </c>
      <c r="HX2" s="15" t="s">
        <v>808</v>
      </c>
      <c r="HY2" s="15" t="s">
        <v>809</v>
      </c>
      <c r="HZ2" s="15" t="s">
        <v>810</v>
      </c>
      <c r="IA2" s="15" t="s">
        <v>811</v>
      </c>
      <c r="IB2" s="15" t="s">
        <v>812</v>
      </c>
      <c r="IC2" s="15" t="s">
        <v>813</v>
      </c>
      <c r="ID2" s="15" t="s">
        <v>814</v>
      </c>
      <c r="IE2" s="15" t="s">
        <v>815</v>
      </c>
      <c r="IF2" s="15" t="s">
        <v>816</v>
      </c>
      <c r="IG2" s="15" t="s">
        <v>817</v>
      </c>
      <c r="IH2" s="15" t="s">
        <v>818</v>
      </c>
      <c r="II2" s="15" t="s">
        <v>819</v>
      </c>
      <c r="IJ2" s="15" t="s">
        <v>820</v>
      </c>
      <c r="IK2" s="15" t="s">
        <v>821</v>
      </c>
      <c r="IL2" s="15" t="s">
        <v>822</v>
      </c>
      <c r="IM2" s="15" t="s">
        <v>823</v>
      </c>
      <c r="IN2" s="15" t="s">
        <v>824</v>
      </c>
      <c r="IO2" s="15" t="s">
        <v>825</v>
      </c>
      <c r="IP2" s="15" t="s">
        <v>826</v>
      </c>
      <c r="IQ2" s="15" t="s">
        <v>827</v>
      </c>
      <c r="IR2" s="15" t="s">
        <v>828</v>
      </c>
      <c r="IS2" s="15" t="s">
        <v>829</v>
      </c>
      <c r="IT2" s="15" t="s">
        <v>830</v>
      </c>
      <c r="IU2" s="15" t="s">
        <v>831</v>
      </c>
      <c r="IV2" s="15" t="s">
        <v>832</v>
      </c>
      <c r="IW2" s="15" t="s">
        <v>833</v>
      </c>
    </row>
    <row r="3" spans="2:257" x14ac:dyDescent="0.2">
      <c r="B3" s="18" t="s">
        <v>841</v>
      </c>
      <c r="C3" s="29" t="n">
        <v>83.4</v>
      </c>
      <c r="D3" s="29" t="n">
        <v>76.85</v>
      </c>
      <c r="E3" s="29" t="n">
        <v>68.03</v>
      </c>
      <c r="F3" s="30" t="n">
        <v>100.0</v>
      </c>
      <c r="G3" s="29" t="n">
        <v>59.74</v>
      </c>
      <c r="H3" s="29" t="n">
        <v>65.48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</row>
    <row r="4" spans="2:257" x14ac:dyDescent="0.2">
      <c r="B4" s="18" t="s">
        <v>842</v>
      </c>
      <c r="C4" s="33" t="n">
        <v>96.4</v>
      </c>
      <c r="D4" s="33" t="n">
        <v>97.16</v>
      </c>
      <c r="E4" s="33" t="n">
        <v>95.66</v>
      </c>
      <c r="F4" s="33" t="n">
        <v>99.48</v>
      </c>
      <c r="G4" s="33" t="n">
        <v>90.53</v>
      </c>
      <c r="H4" s="33" t="n">
        <v>96.49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</row>
    <row r="5" spans="2:257" x14ac:dyDescent="0.2">
      <c r="B5" s="18" t="s">
        <v>843</v>
      </c>
      <c r="C5" s="37" t="n">
        <v>93.81</v>
      </c>
      <c r="D5" s="37" t="n">
        <v>96.26</v>
      </c>
      <c r="E5" s="37" t="n">
        <v>85.15</v>
      </c>
      <c r="F5" s="37" t="n">
        <v>98.79</v>
      </c>
      <c r="G5" s="37" t="n">
        <v>74.26</v>
      </c>
      <c r="H5" s="37" t="n">
        <v>95.23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</row>
    <row r="6" spans="2:257" x14ac:dyDescent="0.2">
      <c r="B6" s="18" t="s">
        <v>844</v>
      </c>
      <c r="C6" s="41" t="n">
        <v>95.9</v>
      </c>
      <c r="D6" s="41" t="n">
        <v>94.63</v>
      </c>
      <c r="E6" s="41" t="n">
        <v>95.5</v>
      </c>
      <c r="F6" s="41" t="n">
        <v>99.89</v>
      </c>
      <c r="G6" s="41" t="n">
        <v>91.23</v>
      </c>
      <c r="H6" s="41" t="n">
        <v>95.57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</row>
    <row r="7" spans="2:257" x14ac:dyDescent="0.2">
      <c r="B7" s="18" t="s">
        <v>845</v>
      </c>
      <c r="C7" s="45" t="n">
        <v>96.94</v>
      </c>
      <c r="D7" s="45" t="n">
        <v>97.33</v>
      </c>
      <c r="E7" s="45" t="n">
        <v>95.6</v>
      </c>
      <c r="F7" s="45" t="n">
        <v>99.66</v>
      </c>
      <c r="G7" s="45" t="n">
        <v>93.22</v>
      </c>
      <c r="H7" s="45" t="n">
        <v>97.01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</row>
    <row r="8" spans="2:257" x14ac:dyDescent="0.2">
      <c r="B8" s="18" t="s">
        <v>846</v>
      </c>
      <c r="C8" s="49" t="n">
        <v>64.49</v>
      </c>
      <c r="D8" s="49" t="n">
        <v>88.34</v>
      </c>
      <c r="E8" s="49" t="n">
        <v>71.61</v>
      </c>
      <c r="F8" s="50" t="n">
        <v>0.0</v>
      </c>
      <c r="G8" s="49" t="n">
        <v>51.13</v>
      </c>
      <c r="H8" s="49" t="n">
        <v>79.44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</row>
    <row r="9" spans="2:257" x14ac:dyDescent="0.2">
      <c r="B9" s="18" t="s">
        <v>847</v>
      </c>
      <c r="C9" s="53" t="n">
        <v>81.26</v>
      </c>
      <c r="D9" s="53" t="n">
        <v>94.95</v>
      </c>
      <c r="E9" s="53" t="n">
        <v>69.86</v>
      </c>
      <c r="F9" s="54" t="n">
        <v>100.0</v>
      </c>
      <c r="G9" s="53" t="n">
        <v>68.82</v>
      </c>
      <c r="H9" s="53" t="n">
        <v>71.45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2:257" x14ac:dyDescent="0.2">
      <c r="B10" s="18" t="s">
        <v>848</v>
      </c>
      <c r="C10" s="57" t="n">
        <v>62.38</v>
      </c>
      <c r="D10" s="57" t="n">
        <v>87.96</v>
      </c>
      <c r="E10" s="57" t="n">
        <v>58.87</v>
      </c>
      <c r="F10" s="58" t="n">
        <v>100.0</v>
      </c>
      <c r="G10" s="57" t="n">
        <v>86.4</v>
      </c>
      <c r="H10" s="57" t="n">
        <v>61.55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</row>
    <row r="11" spans="2:257" x14ac:dyDescent="0.2">
      <c r="B11" s="18" t="s">
        <v>849</v>
      </c>
      <c r="C11" s="61" t="n">
        <v>76.95</v>
      </c>
      <c r="D11" s="61" t="n">
        <v>92.55</v>
      </c>
      <c r="E11" s="61" t="n">
        <v>72.93</v>
      </c>
      <c r="F11" s="62" t="n">
        <v>0.0</v>
      </c>
      <c r="G11" s="61" t="n">
        <v>56.91</v>
      </c>
      <c r="H11" s="61" t="n">
        <v>74.4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</row>
    <row r="12" spans="2:257" x14ac:dyDescent="0.2">
      <c r="B12" s="18" t="s">
        <v>850</v>
      </c>
      <c r="C12" s="65" t="n">
        <v>79.36</v>
      </c>
      <c r="D12" s="65" t="n">
        <v>90.02</v>
      </c>
      <c r="E12" s="65" t="n">
        <v>87.33</v>
      </c>
      <c r="F12" s="65" t="n">
        <v>97.16</v>
      </c>
      <c r="G12" s="65" t="n">
        <v>82.28</v>
      </c>
      <c r="H12" s="65" t="n">
        <v>58.91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</row>
    <row r="13" spans="2:257" x14ac:dyDescent="0.2">
      <c r="B13" s="18" t="s">
        <v>851</v>
      </c>
      <c r="C13" s="69" t="n">
        <v>73.93</v>
      </c>
      <c r="D13" s="69" t="n">
        <v>79.55</v>
      </c>
      <c r="E13" s="69" t="n">
        <v>81.84</v>
      </c>
      <c r="F13" s="69" t="n">
        <v>97.8</v>
      </c>
      <c r="G13" s="69" t="n">
        <v>88.93</v>
      </c>
      <c r="H13" s="69" t="n">
        <v>71.47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</row>
    <row r="14" spans="2:257" x14ac:dyDescent="0.2">
      <c r="B14" s="18" t="s">
        <v>852</v>
      </c>
      <c r="C14" s="73" t="n">
        <v>53.18</v>
      </c>
      <c r="D14" s="73" t="n">
        <v>86.44</v>
      </c>
      <c r="E14" s="73" t="n">
        <v>86.64</v>
      </c>
      <c r="F14" s="73" t="n">
        <v>85.91</v>
      </c>
      <c r="G14" s="73" t="n">
        <v>69.16</v>
      </c>
      <c r="H14" s="73" t="n">
        <v>73.03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</row>
    <row r="15" spans="2:257" x14ac:dyDescent="0.2">
      <c r="B15" s="18" t="s">
        <v>853</v>
      </c>
      <c r="C15" s="77" t="n">
        <v>75.27</v>
      </c>
      <c r="D15" s="77" t="n">
        <v>85.83</v>
      </c>
      <c r="E15" s="77" t="n">
        <v>90.06</v>
      </c>
      <c r="F15" s="77" t="n">
        <v>97.26</v>
      </c>
      <c r="G15" s="77" t="n">
        <v>75.82</v>
      </c>
      <c r="H15" s="77" t="n">
        <v>76.88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</row>
    <row r="16" spans="2:257" x14ac:dyDescent="0.2">
      <c r="B16" s="18" t="s">
        <v>854</v>
      </c>
      <c r="C16" s="81" t="n">
        <v>61.53</v>
      </c>
      <c r="D16" s="81" t="n">
        <v>63.89</v>
      </c>
      <c r="E16" s="81" t="n">
        <v>60.39</v>
      </c>
      <c r="F16" s="82" t="n">
        <v>100.0</v>
      </c>
      <c r="G16" s="81" t="n">
        <v>68.35</v>
      </c>
      <c r="H16" s="81" t="n">
        <v>60.52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</row>
    <row r="17" spans="2:257" x14ac:dyDescent="0.2">
      <c r="B17" s="18" t="s">
        <v>855</v>
      </c>
      <c r="C17" s="85" t="n">
        <v>35.99</v>
      </c>
      <c r="D17" s="85" t="n">
        <v>64.56</v>
      </c>
      <c r="E17" s="85" t="n">
        <v>56.93</v>
      </c>
      <c r="F17" s="85" t="n">
        <v>84.53</v>
      </c>
      <c r="G17" s="85" t="n">
        <v>66.81</v>
      </c>
      <c r="H17" s="85" t="n">
        <v>48.13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</row>
    <row r="18" spans="2:257" x14ac:dyDescent="0.2">
      <c r="B18" s="18" t="s">
        <v>856</v>
      </c>
      <c r="C18" s="89" t="n">
        <v>42.97</v>
      </c>
      <c r="D18" s="89" t="n">
        <v>69.23</v>
      </c>
      <c r="E18" s="89" t="n">
        <v>22.23</v>
      </c>
      <c r="F18" s="90" t="n">
        <v>0.0</v>
      </c>
      <c r="G18" s="89" t="n">
        <v>45.45</v>
      </c>
      <c r="H18" s="89" t="n">
        <v>37.91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</row>
    <row r="19" spans="2:257" x14ac:dyDescent="0.2">
      <c r="B19" s="18" t="s">
        <v>857</v>
      </c>
      <c r="C19" s="93" t="n">
        <v>42.51</v>
      </c>
      <c r="D19" s="93" t="n">
        <v>87.59</v>
      </c>
      <c r="E19" s="93" t="n">
        <v>90.78</v>
      </c>
      <c r="F19" s="94" t="n">
        <v>100.0</v>
      </c>
      <c r="G19" s="93" t="n">
        <v>75.07</v>
      </c>
      <c r="H19" s="93" t="n">
        <v>60.2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</row>
    <row r="20" spans="2:257" x14ac:dyDescent="0.2">
      <c r="B20" s="18" t="s">
        <v>858</v>
      </c>
      <c r="C20" s="97" t="n">
        <v>34.82</v>
      </c>
      <c r="D20" s="97" t="n">
        <v>34.96</v>
      </c>
      <c r="E20" s="97" t="n">
        <v>32.46</v>
      </c>
      <c r="F20" s="98" t="n">
        <v>0.0</v>
      </c>
      <c r="G20" s="97" t="n">
        <v>25.35</v>
      </c>
      <c r="H20" s="97" t="n">
        <v>47.12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</row>
    <row r="21" spans="2:257" x14ac:dyDescent="0.2">
      <c r="B21" s="18" t="s">
        <v>859</v>
      </c>
      <c r="C21" s="101" t="n">
        <v>5.53</v>
      </c>
      <c r="D21" s="101" t="n">
        <v>36.02</v>
      </c>
      <c r="E21" s="101" t="n">
        <v>25.9</v>
      </c>
      <c r="F21" s="102" t="n">
        <v>0.0</v>
      </c>
      <c r="G21" s="101" t="n">
        <v>37.32</v>
      </c>
      <c r="H21" s="101" t="n">
        <v>25.01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</row>
    <row r="22" spans="2:257" x14ac:dyDescent="0.2">
      <c r="B22" s="18" t="s">
        <v>860</v>
      </c>
      <c r="C22" s="105" t="n">
        <v>15.56</v>
      </c>
      <c r="D22" s="105" t="n">
        <v>68.75</v>
      </c>
      <c r="E22" s="105" t="n">
        <v>62.57</v>
      </c>
      <c r="F22" s="106" t="n">
        <v>0.0</v>
      </c>
      <c r="G22" s="105" t="n">
        <v>39.92</v>
      </c>
      <c r="H22" s="105" t="n">
        <v>32.43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</row>
    <row r="23" spans="2:257" x14ac:dyDescent="0.2">
      <c r="B23" s="18" t="s">
        <v>861</v>
      </c>
      <c r="C23" s="109" t="n">
        <v>65.16</v>
      </c>
      <c r="D23" s="109" t="n">
        <v>63.48</v>
      </c>
      <c r="E23" s="109" t="n">
        <v>44.47</v>
      </c>
      <c r="F23" s="110" t="n">
        <v>0.0</v>
      </c>
      <c r="G23" s="109" t="n">
        <v>57.77</v>
      </c>
      <c r="H23" s="109" t="n">
        <v>51.6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</row>
    <row r="24" spans="2:257" x14ac:dyDescent="0.2">
      <c r="B24" s="18" t="s">
        <v>862</v>
      </c>
      <c r="C24" s="114" t="n">
        <v>0.0</v>
      </c>
      <c r="D24" s="114" t="n">
        <v>0.0</v>
      </c>
      <c r="E24" s="114" t="n">
        <v>0.0</v>
      </c>
      <c r="F24" s="114" t="n">
        <v>100.0</v>
      </c>
      <c r="G24" s="114" t="n">
        <v>0.0</v>
      </c>
      <c r="H24" s="114" t="n">
        <v>0.0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</row>
    <row r="25" spans="2:257" x14ac:dyDescent="0.2">
      <c r="B25" s="18" t="s">
        <v>863</v>
      </c>
      <c r="C25" s="117" t="n">
        <v>91.47</v>
      </c>
      <c r="D25" s="117" t="n">
        <v>85.78</v>
      </c>
      <c r="E25" s="117" t="n">
        <v>92.73</v>
      </c>
      <c r="F25" s="118" t="n">
        <v>100.0</v>
      </c>
      <c r="G25" s="117" t="n">
        <v>70.5</v>
      </c>
      <c r="H25" s="117" t="n">
        <v>54.94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</row>
    <row r="26" spans="2:257" x14ac:dyDescent="0.2">
      <c r="B26" s="18" t="s">
        <v>864</v>
      </c>
      <c r="C26" s="121" t="n">
        <v>59.16</v>
      </c>
      <c r="D26" s="121" t="n">
        <v>94.46</v>
      </c>
      <c r="E26" s="121" t="n">
        <v>90.07</v>
      </c>
      <c r="F26" s="121" t="n">
        <v>79.76</v>
      </c>
      <c r="G26" s="121" t="n">
        <v>67.39</v>
      </c>
      <c r="H26" s="121" t="n">
        <v>80.89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</row>
    <row r="27" spans="2:257" x14ac:dyDescent="0.2">
      <c r="B27" s="18" t="s">
        <v>865</v>
      </c>
      <c r="C27" s="125" t="n">
        <v>41.11</v>
      </c>
      <c r="D27" s="125" t="n">
        <v>79.3</v>
      </c>
      <c r="E27" s="126" t="n">
        <v>0.0</v>
      </c>
      <c r="F27" s="126" t="n">
        <v>0.0</v>
      </c>
      <c r="G27" s="125" t="n">
        <v>41.32</v>
      </c>
      <c r="H27" s="125" t="n">
        <v>44.86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</row>
    <row r="28" spans="2:257" x14ac:dyDescent="0.2">
      <c r="B28" s="18" t="s">
        <v>866</v>
      </c>
      <c r="C28" s="129" t="n">
        <v>86.88</v>
      </c>
      <c r="D28" s="129" t="n">
        <v>88.62</v>
      </c>
      <c r="E28" s="129" t="n">
        <v>87.87</v>
      </c>
      <c r="F28" s="129" t="n">
        <v>96.08</v>
      </c>
      <c r="G28" s="129" t="n">
        <v>70.5</v>
      </c>
      <c r="H28" s="129" t="n">
        <v>55.5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</row>
    <row r="29" spans="2:257" x14ac:dyDescent="0.2">
      <c r="B29" s="18" t="s">
        <v>867</v>
      </c>
      <c r="C29" s="133" t="n">
        <v>12.83</v>
      </c>
      <c r="D29" s="133" t="n">
        <v>88.6</v>
      </c>
      <c r="E29" s="133" t="n">
        <v>96.68</v>
      </c>
      <c r="F29" s="133" t="n">
        <v>98.37</v>
      </c>
      <c r="G29" s="133" t="n">
        <v>64.33</v>
      </c>
      <c r="H29" s="133" t="n">
        <v>52.52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</row>
    <row r="30" spans="2:257" x14ac:dyDescent="0.2">
      <c r="B30" s="18" t="s">
        <v>868</v>
      </c>
      <c r="C30" s="137" t="n">
        <v>35.01</v>
      </c>
      <c r="D30" s="137" t="n">
        <v>97.08</v>
      </c>
      <c r="E30" s="137" t="n">
        <v>91.66</v>
      </c>
      <c r="F30" s="138" t="n">
        <v>100.0</v>
      </c>
      <c r="G30" s="137" t="n">
        <v>84.39</v>
      </c>
      <c r="H30" s="137" t="n">
        <v>30.36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</row>
    <row r="31" spans="2:257" x14ac:dyDescent="0.2">
      <c r="B31" s="18" t="s">
        <v>869</v>
      </c>
      <c r="C31" s="141" t="n">
        <v>62.19</v>
      </c>
      <c r="D31" s="141" t="n">
        <v>94.56</v>
      </c>
      <c r="E31" s="141" t="n">
        <v>65.39</v>
      </c>
      <c r="F31" s="142" t="n">
        <v>100.0</v>
      </c>
      <c r="G31" s="141" t="n">
        <v>57.98</v>
      </c>
      <c r="H31" s="141" t="n">
        <v>50.15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</row>
    <row r="32" spans="2:257" x14ac:dyDescent="0.2">
      <c r="B32" s="18" t="s">
        <v>870</v>
      </c>
      <c r="C32" s="146" t="n">
        <v>0.0</v>
      </c>
      <c r="D32" s="145" t="n">
        <v>54.26</v>
      </c>
      <c r="E32" s="145" t="n">
        <v>51.12</v>
      </c>
      <c r="F32" s="146" t="n">
        <v>0.0</v>
      </c>
      <c r="G32" s="145" t="n">
        <v>58.41</v>
      </c>
      <c r="H32" s="145" t="n">
        <v>34.94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</row>
    <row r="33" spans="2:257" x14ac:dyDescent="0.2">
      <c r="B33" s="18" t="s">
        <v>871</v>
      </c>
      <c r="C33" s="149" t="n">
        <v>47.83</v>
      </c>
      <c r="D33" s="149" t="n">
        <v>95.34</v>
      </c>
      <c r="E33" s="149" t="n">
        <v>40.62</v>
      </c>
      <c r="F33" s="150" t="n">
        <v>0.0</v>
      </c>
      <c r="G33" s="149" t="n">
        <v>29.67</v>
      </c>
      <c r="H33" s="149" t="n">
        <v>60.26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</row>
    <row r="34" spans="2:257" x14ac:dyDescent="0.2">
      <c r="B34" s="18" t="s">
        <v>872</v>
      </c>
      <c r="C34" s="153" t="n">
        <v>31.73</v>
      </c>
      <c r="D34" s="153" t="n">
        <v>96.34</v>
      </c>
      <c r="E34" s="153" t="n">
        <v>69.1</v>
      </c>
      <c r="F34" s="154" t="n">
        <v>0.0</v>
      </c>
      <c r="G34" s="153" t="n">
        <v>52.12</v>
      </c>
      <c r="H34" s="154" t="n">
        <v>0.0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</row>
    <row r="35" spans="2:257" x14ac:dyDescent="0.2">
      <c r="B35" s="18" t="s">
        <v>873</v>
      </c>
      <c r="C35" s="157" t="n">
        <v>38.78</v>
      </c>
      <c r="D35" s="157" t="n">
        <v>89.41</v>
      </c>
      <c r="E35" s="157" t="n">
        <v>98.66</v>
      </c>
      <c r="F35" s="158" t="n">
        <v>0.0</v>
      </c>
      <c r="G35" s="157" t="n">
        <v>68.19</v>
      </c>
      <c r="H35" s="157" t="n">
        <v>55.75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</row>
    <row r="36" spans="2:257" x14ac:dyDescent="0.2">
      <c r="B36" s="18" t="s">
        <v>874</v>
      </c>
      <c r="C36" s="161" t="n">
        <v>87.74</v>
      </c>
      <c r="D36" s="162" t="n">
        <v>100.0</v>
      </c>
      <c r="E36" s="161" t="n">
        <v>97.24</v>
      </c>
      <c r="F36" s="162" t="n">
        <v>0.0</v>
      </c>
      <c r="G36" s="161" t="n">
        <v>80.25</v>
      </c>
      <c r="H36" s="161" t="n">
        <v>57.63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</row>
    <row r="37" spans="2:257" x14ac:dyDescent="0.2">
      <c r="B37" s="18" t="s">
        <v>875</v>
      </c>
      <c r="C37" s="165" t="n">
        <v>41.56</v>
      </c>
      <c r="D37" s="165" t="n">
        <v>87.02</v>
      </c>
      <c r="E37" s="165" t="n">
        <v>75.16</v>
      </c>
      <c r="F37" s="165" t="n">
        <v>95.11</v>
      </c>
      <c r="G37" s="165" t="n">
        <v>68.66</v>
      </c>
      <c r="H37" s="165" t="n">
        <v>56.9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</row>
    <row r="38" spans="2:257" x14ac:dyDescent="0.2">
      <c r="B38" s="18" t="s">
        <v>876</v>
      </c>
      <c r="C38" s="169" t="n">
        <v>57.67</v>
      </c>
      <c r="D38" s="169" t="n">
        <v>64.84</v>
      </c>
      <c r="E38" s="169" t="n">
        <v>39.17</v>
      </c>
      <c r="F38" s="170" t="n">
        <v>100.0</v>
      </c>
      <c r="G38" s="169" t="n">
        <v>67.46</v>
      </c>
      <c r="H38" s="169" t="n">
        <v>78.26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</row>
    <row r="39" spans="2:257" x14ac:dyDescent="0.2">
      <c r="B39" s="18" t="s">
        <v>877</v>
      </c>
      <c r="C39" s="173" t="n">
        <v>60.89</v>
      </c>
      <c r="D39" s="173" t="n">
        <v>58.75</v>
      </c>
      <c r="E39" s="173" t="n">
        <v>41.7</v>
      </c>
      <c r="F39" s="174" t="n">
        <v>0.0</v>
      </c>
      <c r="G39" s="173" t="n">
        <v>61.18</v>
      </c>
      <c r="H39" s="173" t="n">
        <v>56.1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</row>
    <row r="40" spans="2:257" x14ac:dyDescent="0.2">
      <c r="B40" s="18" t="s">
        <v>878</v>
      </c>
      <c r="C40" s="178" t="n">
        <v>0.0</v>
      </c>
      <c r="D40" s="177" t="n">
        <v>46.06</v>
      </c>
      <c r="E40" s="177" t="n">
        <v>23.53</v>
      </c>
      <c r="F40" s="178" t="n">
        <v>0.0</v>
      </c>
      <c r="G40" s="177" t="n">
        <v>21.48</v>
      </c>
      <c r="H40" s="177" t="n">
        <v>35.68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</row>
    <row r="41" spans="2:257" x14ac:dyDescent="0.2">
      <c r="B41" s="18" t="s">
        <v>879</v>
      </c>
      <c r="C41" s="181" t="n">
        <v>49.69</v>
      </c>
      <c r="D41" s="181" t="n">
        <v>71.69</v>
      </c>
      <c r="E41" s="181" t="n">
        <v>64.58</v>
      </c>
      <c r="F41" s="182" t="n">
        <v>0.0</v>
      </c>
      <c r="G41" s="181" t="n">
        <v>60.32</v>
      </c>
      <c r="H41" s="181" t="n">
        <v>51.23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</row>
    <row r="42" spans="2:257" x14ac:dyDescent="0.2">
      <c r="B42" s="18" t="s">
        <v>880</v>
      </c>
      <c r="C42" s="185" t="n">
        <v>47.39</v>
      </c>
      <c r="D42" s="185" t="n">
        <v>70.1</v>
      </c>
      <c r="E42" s="185" t="n">
        <v>65.99</v>
      </c>
      <c r="F42" s="186" t="n">
        <v>0.0</v>
      </c>
      <c r="G42" s="185" t="n">
        <v>62.99</v>
      </c>
      <c r="H42" s="185" t="n">
        <v>75.58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</row>
    <row r="43" spans="2:257" x14ac:dyDescent="0.2">
      <c r="B43" s="18" t="s">
        <v>881</v>
      </c>
      <c r="C43" s="189" t="n">
        <v>46.36</v>
      </c>
      <c r="D43" s="189" t="n">
        <v>61.4</v>
      </c>
      <c r="E43" s="189" t="n">
        <v>56.83</v>
      </c>
      <c r="F43" s="190" t="n">
        <v>0.0</v>
      </c>
      <c r="G43" s="189" t="n">
        <v>68.66</v>
      </c>
      <c r="H43" s="189" t="n">
        <v>52.78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</row>
    <row r="44" spans="2:257" x14ac:dyDescent="0.2">
      <c r="B44" s="18" t="s">
        <v>882</v>
      </c>
      <c r="C44" s="193" t="n">
        <v>66.91</v>
      </c>
      <c r="D44" s="193" t="n">
        <v>96.3</v>
      </c>
      <c r="E44" s="193" t="n">
        <v>57.96</v>
      </c>
      <c r="F44" s="194" t="n">
        <v>0.0</v>
      </c>
      <c r="G44" s="193" t="n">
        <v>44.13</v>
      </c>
      <c r="H44" s="193" t="n">
        <v>42.13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</row>
    <row r="45" spans="2:257" x14ac:dyDescent="0.2">
      <c r="B45" s="18" t="s">
        <v>883</v>
      </c>
      <c r="C45" s="197" t="n">
        <v>27.09</v>
      </c>
      <c r="D45" s="197" t="n">
        <v>59.46</v>
      </c>
      <c r="E45" s="197" t="n">
        <v>9.57</v>
      </c>
      <c r="F45" s="198" t="n">
        <v>0.0</v>
      </c>
      <c r="G45" s="197" t="n">
        <v>47.05</v>
      </c>
      <c r="H45" s="197" t="n">
        <v>55.25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</row>
    <row r="46" spans="2:257" x14ac:dyDescent="0.2">
      <c r="B46" s="18" t="s">
        <v>884</v>
      </c>
      <c r="C46" s="201" t="n">
        <v>51.5</v>
      </c>
      <c r="D46" s="201" t="n">
        <v>82.58</v>
      </c>
      <c r="E46" s="201" t="n">
        <v>51.24</v>
      </c>
      <c r="F46" s="202" t="n">
        <v>100.0</v>
      </c>
      <c r="G46" s="201" t="n">
        <v>53.4</v>
      </c>
      <c r="H46" s="201" t="n">
        <v>70.48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</row>
    <row r="47" spans="2:257" x14ac:dyDescent="0.2">
      <c r="B47" s="18" t="s">
        <v>885</v>
      </c>
      <c r="C47" s="205" t="n">
        <v>41.21</v>
      </c>
      <c r="D47" s="205" t="n">
        <v>50.11</v>
      </c>
      <c r="E47" s="205" t="n">
        <v>72.32</v>
      </c>
      <c r="F47" s="206" t="n">
        <v>100.0</v>
      </c>
      <c r="G47" s="205" t="n">
        <v>46.54</v>
      </c>
      <c r="H47" s="205" t="n">
        <v>47.41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</row>
    <row r="48" spans="2:257" x14ac:dyDescent="0.2">
      <c r="B48" s="18" t="s">
        <v>886</v>
      </c>
      <c r="C48" s="209" t="n">
        <v>74.44</v>
      </c>
      <c r="D48" s="209" t="n">
        <v>96.68</v>
      </c>
      <c r="E48" s="209" t="n">
        <v>74.98</v>
      </c>
      <c r="F48" s="210" t="n">
        <v>0.0</v>
      </c>
      <c r="G48" s="209" t="n">
        <v>77.67</v>
      </c>
      <c r="H48" s="209" t="n">
        <v>59.62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</row>
    <row r="49" spans="2:257" x14ac:dyDescent="0.2">
      <c r="B49" s="18" t="s">
        <v>887</v>
      </c>
      <c r="C49" s="213" t="n">
        <v>46.76</v>
      </c>
      <c r="D49" s="213" t="n">
        <v>81.01</v>
      </c>
      <c r="E49" s="213" t="n">
        <v>72.46</v>
      </c>
      <c r="F49" s="214" t="n">
        <v>0.0</v>
      </c>
      <c r="G49" s="213" t="n">
        <v>54.49</v>
      </c>
      <c r="H49" s="213" t="n">
        <v>54.89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</row>
    <row r="50" spans="2:257" x14ac:dyDescent="0.2">
      <c r="B50" s="18" t="s">
        <v>888</v>
      </c>
      <c r="C50" s="217" t="n">
        <v>45.43</v>
      </c>
      <c r="D50" s="217" t="n">
        <v>78.96</v>
      </c>
      <c r="E50" s="217" t="n">
        <v>73.67</v>
      </c>
      <c r="F50" s="218" t="n">
        <v>0.0</v>
      </c>
      <c r="G50" s="217" t="n">
        <v>60.16</v>
      </c>
      <c r="H50" s="217" t="n">
        <v>56.12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</row>
    <row r="51" spans="2:257" x14ac:dyDescent="0.2">
      <c r="B51" s="18" t="s">
        <v>889</v>
      </c>
      <c r="C51" s="221" t="n">
        <v>54.99</v>
      </c>
      <c r="D51" s="221" t="n">
        <v>94.04</v>
      </c>
      <c r="E51" s="221" t="n">
        <v>26.65</v>
      </c>
      <c r="F51" s="221" t="n">
        <v>90.75</v>
      </c>
      <c r="G51" s="221" t="n">
        <v>49.99</v>
      </c>
      <c r="H51" s="221" t="n">
        <v>55.43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</row>
    <row r="52" spans="2:257" x14ac:dyDescent="0.2">
      <c r="B52" s="18" t="s">
        <v>890</v>
      </c>
      <c r="C52" s="225" t="n">
        <v>25.34</v>
      </c>
      <c r="D52" s="225" t="n">
        <v>40.9</v>
      </c>
      <c r="E52" s="226" t="n">
        <v>0.0</v>
      </c>
      <c r="F52" s="226" t="n">
        <v>0.0</v>
      </c>
      <c r="G52" s="225" t="n">
        <v>12.67</v>
      </c>
      <c r="H52" s="225" t="n">
        <v>33.85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</row>
    <row r="53" spans="2:257" x14ac:dyDescent="0.2">
      <c r="B53" s="18" t="s">
        <v>891</v>
      </c>
      <c r="C53" s="229" t="n">
        <v>11.27</v>
      </c>
      <c r="D53" s="229" t="n">
        <v>41.82</v>
      </c>
      <c r="E53" s="229" t="n">
        <v>56.47</v>
      </c>
      <c r="F53" s="230" t="n">
        <v>0.0</v>
      </c>
      <c r="G53" s="229" t="n">
        <v>46.01</v>
      </c>
      <c r="H53" s="229" t="n">
        <v>32.06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</row>
    <row r="54" spans="2:257" x14ac:dyDescent="0.2">
      <c r="B54" s="18" t="s">
        <v>892</v>
      </c>
      <c r="C54" s="233" t="n">
        <v>5.1</v>
      </c>
      <c r="D54" s="233" t="n">
        <v>12.32</v>
      </c>
      <c r="E54" s="233" t="n">
        <v>15.81</v>
      </c>
      <c r="F54" s="234" t="n">
        <v>0.0</v>
      </c>
      <c r="G54" s="233" t="n">
        <v>15.48</v>
      </c>
      <c r="H54" s="233" t="n">
        <v>9.97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</row>
    <row r="55" spans="2:257" x14ac:dyDescent="0.2">
      <c r="B55" s="18" t="s">
        <v>893</v>
      </c>
      <c r="C55" s="237" t="n">
        <v>10.67</v>
      </c>
      <c r="D55" s="237" t="n">
        <v>69.5</v>
      </c>
      <c r="E55" s="237" t="n">
        <v>42.56</v>
      </c>
      <c r="F55" s="238" t="n">
        <v>0.0</v>
      </c>
      <c r="G55" s="237" t="n">
        <v>55.81</v>
      </c>
      <c r="H55" s="237" t="n">
        <v>44.01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</row>
    <row r="56" spans="2:257" x14ac:dyDescent="0.2">
      <c r="B56" s="18" t="s">
        <v>894</v>
      </c>
      <c r="C56" s="242" t="n">
        <v>0.0</v>
      </c>
      <c r="D56" s="242" t="n">
        <v>0.0</v>
      </c>
      <c r="E56" s="242" t="n">
        <v>0.0</v>
      </c>
      <c r="F56" s="242" t="n">
        <v>0.0</v>
      </c>
      <c r="G56" s="241" t="n">
        <v>6.49</v>
      </c>
      <c r="H56" s="241" t="n">
        <v>3.3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</row>
    <row r="57" spans="2:257" x14ac:dyDescent="0.2">
      <c r="B57" s="18" t="s">
        <v>895</v>
      </c>
      <c r="C57" s="246" t="n">
        <v>0.0</v>
      </c>
      <c r="D57" s="246" t="n">
        <v>0.0</v>
      </c>
      <c r="E57" s="245" t="n">
        <v>1.87</v>
      </c>
      <c r="F57" s="246" t="n">
        <v>0.0</v>
      </c>
      <c r="G57" s="245" t="n">
        <v>28.6</v>
      </c>
      <c r="H57" s="245" t="n">
        <v>2.18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</row>
    <row r="58" spans="2:257" x14ac:dyDescent="0.2">
      <c r="B58" s="18" t="s">
        <v>896</v>
      </c>
      <c r="C58" s="249" t="n">
        <v>0.97</v>
      </c>
      <c r="D58" s="249" t="n">
        <v>10.65</v>
      </c>
      <c r="E58" s="249" t="n">
        <v>5.14</v>
      </c>
      <c r="F58" s="250" t="n">
        <v>0.0</v>
      </c>
      <c r="G58" s="249" t="n">
        <v>18.45</v>
      </c>
      <c r="H58" s="249" t="n">
        <v>7.46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</row>
    <row r="59" spans="2:257" x14ac:dyDescent="0.2">
      <c r="B59" s="18" t="s">
        <v>897</v>
      </c>
      <c r="C59" s="254" t="n">
        <v>0.0</v>
      </c>
      <c r="D59" s="253" t="n">
        <v>22.27</v>
      </c>
      <c r="E59" s="254" t="n">
        <v>0.0</v>
      </c>
      <c r="F59" s="254" t="n">
        <v>0.0</v>
      </c>
      <c r="G59" s="254" t="n">
        <v>0.0</v>
      </c>
      <c r="H59" s="253" t="n">
        <v>11.92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</row>
    <row r="60" spans="2:257" x14ac:dyDescent="0.2">
      <c r="B60" s="18" t="s">
        <v>898</v>
      </c>
      <c r="C60" s="257" t="n">
        <v>42.88</v>
      </c>
      <c r="D60" s="257" t="n">
        <v>89.84</v>
      </c>
      <c r="E60" s="257" t="n">
        <v>83.57</v>
      </c>
      <c r="F60" s="258" t="n">
        <v>0.0</v>
      </c>
      <c r="G60" s="257" t="n">
        <v>68.6</v>
      </c>
      <c r="H60" s="257" t="n">
        <v>48.69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</row>
    <row r="61" spans="2:257" x14ac:dyDescent="0.2">
      <c r="B61" s="18" t="s">
        <v>899</v>
      </c>
      <c r="C61" s="261" t="n">
        <v>9.3</v>
      </c>
      <c r="D61" s="262" t="n">
        <v>0.0</v>
      </c>
      <c r="E61" s="262" t="n">
        <v>0.0</v>
      </c>
      <c r="F61" s="262" t="n">
        <v>0.0</v>
      </c>
      <c r="G61" s="261" t="n">
        <v>34.17</v>
      </c>
      <c r="H61" s="261" t="n">
        <v>18.83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</row>
    <row r="62" spans="2:257" x14ac:dyDescent="0.2" hidden="true">
      <c r="B62" s="18" t="s">
        <v>393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</row>
    <row r="63" spans="2:257" x14ac:dyDescent="0.2" hidden="true">
      <c r="B63" s="18" t="s">
        <v>394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</row>
    <row r="64" spans="2:257" x14ac:dyDescent="0.2" hidden="true">
      <c r="B64" s="18" t="s">
        <v>395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</row>
    <row r="65" spans="2:257" x14ac:dyDescent="0.2" hidden="true">
      <c r="B65" s="18" t="s">
        <v>396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</row>
    <row r="66" spans="2:257" x14ac:dyDescent="0.2" hidden="true">
      <c r="B66" s="18" t="s">
        <v>397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</row>
    <row r="67" spans="2:257" x14ac:dyDescent="0.2" hidden="true">
      <c r="B67" s="18" t="s">
        <v>398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</row>
    <row r="68" spans="2:257" x14ac:dyDescent="0.2" hidden="true">
      <c r="B68" s="18" t="s">
        <v>399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</row>
    <row r="69" spans="2:257" x14ac:dyDescent="0.2" hidden="true">
      <c r="B69" s="18" t="s">
        <v>400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</row>
    <row r="70" spans="2:257" x14ac:dyDescent="0.2" hidden="true">
      <c r="B70" s="18" t="s">
        <v>401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</row>
    <row r="71" spans="2:257" x14ac:dyDescent="0.2" hidden="true">
      <c r="B71" s="18" t="s">
        <v>402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</row>
    <row r="72" spans="2:257" x14ac:dyDescent="0.2" hidden="true">
      <c r="B72" s="18" t="s">
        <v>403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</row>
    <row r="73" spans="2:257" x14ac:dyDescent="0.2" hidden="true">
      <c r="B73" s="18" t="s">
        <v>404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</row>
    <row r="74" spans="2:257" x14ac:dyDescent="0.2" hidden="true">
      <c r="B74" s="18" t="s">
        <v>405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</row>
    <row r="75" spans="2:257" x14ac:dyDescent="0.2" hidden="true">
      <c r="B75" s="18" t="s">
        <v>406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</row>
    <row r="76" spans="2:257" x14ac:dyDescent="0.2" hidden="true">
      <c r="B76" s="18" t="s">
        <v>407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</row>
    <row r="77" spans="2:257" x14ac:dyDescent="0.2" hidden="true">
      <c r="B77" s="18" t="s">
        <v>408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</row>
    <row r="78" spans="2:257" x14ac:dyDescent="0.2" hidden="true">
      <c r="B78" s="18" t="s">
        <v>409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</row>
    <row r="79" spans="2:257" x14ac:dyDescent="0.2" hidden="true">
      <c r="B79" s="18" t="s">
        <v>410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</row>
    <row r="80" spans="2:257" x14ac:dyDescent="0.2" hidden="true">
      <c r="B80" s="18" t="s">
        <v>411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</row>
    <row r="81" spans="2:257" x14ac:dyDescent="0.2" hidden="true">
      <c r="B81" s="18" t="s">
        <v>412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</row>
    <row r="82" spans="2:257" x14ac:dyDescent="0.2" hidden="true">
      <c r="B82" s="18" t="s">
        <v>413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</row>
    <row r="83" spans="2:257" x14ac:dyDescent="0.2" hidden="true">
      <c r="B83" s="18" t="s">
        <v>414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</row>
    <row r="84" spans="2:257" x14ac:dyDescent="0.2" hidden="true">
      <c r="B84" s="18" t="s">
        <v>415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</row>
    <row r="85" spans="2:257" x14ac:dyDescent="0.2" hidden="true">
      <c r="B85" s="18" t="s">
        <v>416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</row>
    <row r="86" spans="2:257" x14ac:dyDescent="0.2" hidden="true">
      <c r="B86" s="18" t="s">
        <v>417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</row>
    <row r="87" spans="2:257" x14ac:dyDescent="0.2" hidden="true">
      <c r="B87" s="18" t="s">
        <v>418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</row>
    <row r="88" spans="2:257" x14ac:dyDescent="0.2" hidden="true">
      <c r="B88" s="18" t="s">
        <v>419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</row>
    <row r="89" spans="2:257" x14ac:dyDescent="0.2" hidden="true">
      <c r="B89" s="18" t="s">
        <v>420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</row>
    <row r="90" spans="2:257" x14ac:dyDescent="0.2" hidden="true">
      <c r="B90" s="18" t="s">
        <v>421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</row>
    <row r="91" spans="2:257" x14ac:dyDescent="0.2" hidden="true">
      <c r="B91" s="18" t="s">
        <v>422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</row>
    <row r="92" spans="2:257" x14ac:dyDescent="0.2" hidden="true">
      <c r="B92" s="18" t="s">
        <v>423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</row>
    <row r="93" spans="2:257" x14ac:dyDescent="0.2" hidden="true">
      <c r="B93" s="18" t="s">
        <v>424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</row>
    <row r="94" spans="2:257" x14ac:dyDescent="0.2" hidden="true">
      <c r="B94" s="18" t="s">
        <v>425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</row>
    <row r="95" spans="2:257" x14ac:dyDescent="0.2" hidden="true">
      <c r="B95" s="18" t="s">
        <v>426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</row>
    <row r="96" spans="2:257" x14ac:dyDescent="0.2" hidden="true">
      <c r="B96" s="18" t="s">
        <v>427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</row>
    <row r="97" spans="2:257" x14ac:dyDescent="0.2" hidden="true">
      <c r="B97" s="18" t="s">
        <v>428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</row>
    <row r="98" spans="2:257" x14ac:dyDescent="0.2" hidden="true">
      <c r="B98" s="18" t="s">
        <v>429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</row>
    <row r="99" spans="2:257" x14ac:dyDescent="0.2" hidden="true">
      <c r="B99" s="18" t="s">
        <v>430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</row>
    <row r="100" spans="2:257" x14ac:dyDescent="0.2" hidden="true">
      <c r="B100" s="18" t="s">
        <v>431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</row>
    <row r="101" spans="2:257" x14ac:dyDescent="0.2" hidden="true">
      <c r="B101" s="18" t="s">
        <v>432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</row>
    <row r="102" spans="2:257" x14ac:dyDescent="0.2" hidden="true">
      <c r="B102" s="18" t="s">
        <v>433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</row>
    <row r="103" spans="2:257" x14ac:dyDescent="0.2" hidden="true">
      <c r="B103" s="18" t="s">
        <v>434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</row>
    <row r="104" spans="2:257" x14ac:dyDescent="0.2" hidden="true">
      <c r="B104" s="18" t="s">
        <v>435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</row>
    <row r="105" spans="2:257" x14ac:dyDescent="0.2" hidden="true">
      <c r="B105" s="18" t="s">
        <v>436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</row>
    <row r="106" spans="2:257" x14ac:dyDescent="0.2" hidden="true">
      <c r="B106" s="18" t="s">
        <v>437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</row>
    <row r="107" spans="2:257" x14ac:dyDescent="0.2" hidden="true">
      <c r="B107" s="18" t="s">
        <v>438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</row>
    <row r="108" spans="2:257" x14ac:dyDescent="0.2" hidden="true">
      <c r="B108" s="18" t="s">
        <v>439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</row>
    <row r="109" spans="2:257" x14ac:dyDescent="0.2" hidden="true">
      <c r="B109" s="18" t="s">
        <v>440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</row>
    <row r="110" spans="2:257" x14ac:dyDescent="0.2" hidden="true">
      <c r="B110" s="18" t="s">
        <v>441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</row>
    <row r="111" spans="2:257" x14ac:dyDescent="0.2" hidden="true">
      <c r="B111" s="18" t="s">
        <v>442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</row>
    <row r="112" spans="2:257" x14ac:dyDescent="0.2" hidden="true">
      <c r="B112" s="18" t="s">
        <v>443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</row>
    <row r="113" spans="2:257" x14ac:dyDescent="0.2" hidden="true">
      <c r="B113" s="18" t="s">
        <v>444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</row>
    <row r="114" spans="2:257" x14ac:dyDescent="0.2" hidden="true">
      <c r="B114" s="18" t="s">
        <v>445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</row>
    <row r="115" spans="2:257" x14ac:dyDescent="0.2" hidden="true">
      <c r="B115" s="18" t="s">
        <v>446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</row>
    <row r="116" spans="2:257" x14ac:dyDescent="0.2" hidden="true">
      <c r="B116" s="18" t="s">
        <v>447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</row>
    <row r="117" spans="2:257" x14ac:dyDescent="0.2" hidden="true">
      <c r="B117" s="18" t="s">
        <v>448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</row>
    <row r="118" spans="2:257" x14ac:dyDescent="0.2" hidden="true">
      <c r="B118" s="18" t="s">
        <v>449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</row>
    <row r="119" spans="2:257" x14ac:dyDescent="0.2" hidden="true">
      <c r="B119" s="18" t="s">
        <v>450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</row>
    <row r="120" spans="2:257" x14ac:dyDescent="0.2" hidden="true">
      <c r="B120" s="18" t="s">
        <v>451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</row>
    <row r="121" spans="2:257" x14ac:dyDescent="0.2" hidden="true">
      <c r="B121" s="18" t="s">
        <v>452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</row>
    <row r="122" spans="2:257" x14ac:dyDescent="0.2" hidden="true">
      <c r="B122" s="18" t="s">
        <v>453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</row>
    <row r="123" spans="2:257" x14ac:dyDescent="0.2" hidden="true">
      <c r="B123" s="18" t="s">
        <v>454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</row>
    <row r="124" spans="2:257" x14ac:dyDescent="0.2" hidden="true">
      <c r="B124" s="18" t="s">
        <v>455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</row>
    <row r="125" spans="2:257" x14ac:dyDescent="0.2" hidden="true">
      <c r="B125" s="18" t="s">
        <v>456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</row>
    <row r="126" spans="2:257" x14ac:dyDescent="0.2" hidden="true">
      <c r="B126" s="18" t="s">
        <v>457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</row>
    <row r="127" spans="2:257" x14ac:dyDescent="0.2" hidden="true">
      <c r="B127" s="18" t="s">
        <v>458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</row>
    <row r="128" spans="2:257" x14ac:dyDescent="0.2" hidden="true">
      <c r="B128" s="18" t="s">
        <v>459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</row>
    <row r="129" spans="2:257" x14ac:dyDescent="0.2" hidden="true">
      <c r="B129" s="18" t="s">
        <v>460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</row>
    <row r="130" spans="2:257" x14ac:dyDescent="0.2" hidden="true">
      <c r="B130" s="18" t="s">
        <v>461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</row>
    <row r="131" spans="2:257" x14ac:dyDescent="0.2" hidden="true">
      <c r="B131" s="18" t="s">
        <v>462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</row>
    <row r="132" spans="2:257" x14ac:dyDescent="0.2" hidden="true">
      <c r="B132" s="18" t="s">
        <v>463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</row>
    <row r="133" spans="2:257" x14ac:dyDescent="0.2" hidden="true">
      <c r="B133" s="18" t="s">
        <v>464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</row>
    <row r="134" spans="2:257" x14ac:dyDescent="0.2" hidden="true">
      <c r="B134" s="18" t="s">
        <v>465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</row>
    <row r="135" spans="2:257" x14ac:dyDescent="0.2" hidden="true">
      <c r="B135" s="18" t="s">
        <v>466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</row>
    <row r="136" spans="2:257" x14ac:dyDescent="0.2" hidden="true">
      <c r="B136" s="18" t="s">
        <v>467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</row>
    <row r="137" spans="2:257" x14ac:dyDescent="0.2" hidden="true">
      <c r="B137" s="18" t="s">
        <v>468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</row>
    <row r="138" spans="2:257" x14ac:dyDescent="0.2" hidden="true">
      <c r="B138" s="18" t="s">
        <v>469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</row>
    <row r="139" spans="2:257" x14ac:dyDescent="0.2" hidden="true">
      <c r="B139" s="18" t="s">
        <v>470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</row>
    <row r="140" spans="2:257" x14ac:dyDescent="0.2" hidden="true">
      <c r="B140" s="18" t="s">
        <v>471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</row>
    <row r="141" spans="2:257" x14ac:dyDescent="0.2" hidden="true">
      <c r="B141" s="18" t="s">
        <v>472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</row>
    <row r="142" spans="2:257" x14ac:dyDescent="0.2" hidden="true">
      <c r="B142" s="18" t="s">
        <v>473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</row>
    <row r="143" spans="2:257" x14ac:dyDescent="0.2" hidden="true">
      <c r="B143" s="18" t="s">
        <v>474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</row>
    <row r="144" spans="2:257" x14ac:dyDescent="0.2" hidden="true">
      <c r="B144" s="18" t="s">
        <v>475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</row>
    <row r="145" spans="2:257" x14ac:dyDescent="0.2" hidden="true">
      <c r="B145" s="18" t="s">
        <v>476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</row>
    <row r="146" spans="2:257" x14ac:dyDescent="0.2" hidden="true">
      <c r="B146" s="18" t="s">
        <v>477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</row>
    <row r="147" spans="2:257" x14ac:dyDescent="0.2" hidden="true">
      <c r="B147" s="18" t="s">
        <v>478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</row>
    <row r="148" spans="2:257" x14ac:dyDescent="0.2" hidden="true">
      <c r="B148" s="18" t="s">
        <v>479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</row>
    <row r="149" spans="2:257" x14ac:dyDescent="0.2" hidden="true">
      <c r="B149" s="18" t="s">
        <v>480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</row>
    <row r="150" spans="2:257" x14ac:dyDescent="0.2" hidden="true">
      <c r="B150" s="18" t="s">
        <v>481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</row>
    <row r="151" spans="2:257" x14ac:dyDescent="0.2" hidden="true">
      <c r="B151" s="18" t="s">
        <v>482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</row>
    <row r="152" spans="2:257" x14ac:dyDescent="0.2" hidden="true">
      <c r="B152" s="18" t="s">
        <v>483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</row>
    <row r="153" spans="2:257" x14ac:dyDescent="0.2" hidden="true">
      <c r="B153" s="18" t="s">
        <v>484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</row>
    <row r="154" spans="2:257" x14ac:dyDescent="0.2" hidden="true">
      <c r="B154" s="18" t="s">
        <v>485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</row>
    <row r="155" spans="2:257" x14ac:dyDescent="0.2" hidden="true">
      <c r="B155" s="18" t="s">
        <v>486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</row>
    <row r="156" spans="2:257" x14ac:dyDescent="0.2" hidden="true">
      <c r="B156" s="18" t="s">
        <v>487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</row>
    <row r="157" spans="2:257" x14ac:dyDescent="0.2" hidden="true">
      <c r="B157" s="18" t="s">
        <v>488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</row>
    <row r="158" spans="2:257" x14ac:dyDescent="0.2" hidden="true">
      <c r="B158" s="18" t="s">
        <v>489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</row>
    <row r="159" spans="2:257" x14ac:dyDescent="0.2" hidden="true">
      <c r="B159" s="18" t="s">
        <v>490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</row>
    <row r="160" spans="2:257" x14ac:dyDescent="0.2" hidden="true">
      <c r="B160" s="18" t="s">
        <v>491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</row>
    <row r="161" spans="2:257" x14ac:dyDescent="0.2" hidden="true">
      <c r="B161" s="18" t="s">
        <v>492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</row>
    <row r="162" spans="2:257" x14ac:dyDescent="0.2" hidden="true">
      <c r="B162" s="18" t="s">
        <v>493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</row>
    <row r="163" spans="2:257" x14ac:dyDescent="0.2" hidden="true">
      <c r="B163" s="18" t="s">
        <v>494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</row>
    <row r="164" spans="2:257" x14ac:dyDescent="0.2" hidden="true">
      <c r="B164" s="18" t="s">
        <v>495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</row>
    <row r="165" spans="2:257" x14ac:dyDescent="0.2" hidden="true">
      <c r="B165" s="18" t="s">
        <v>496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</row>
    <row r="166" spans="2:257" x14ac:dyDescent="0.2" hidden="true">
      <c r="B166" s="18" t="s">
        <v>497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</row>
    <row r="167" spans="2:257" x14ac:dyDescent="0.2" hidden="true">
      <c r="B167" s="18" t="s">
        <v>498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</row>
    <row r="168" spans="2:257" x14ac:dyDescent="0.2" hidden="true">
      <c r="B168" s="18" t="s">
        <v>499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</row>
    <row r="169" spans="2:257" x14ac:dyDescent="0.2" hidden="true">
      <c r="B169" s="18" t="s">
        <v>500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</row>
    <row r="170" spans="2:257" x14ac:dyDescent="0.2" hidden="true">
      <c r="B170" s="18" t="s">
        <v>501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</row>
    <row r="171" spans="2:257" x14ac:dyDescent="0.2" hidden="true">
      <c r="B171" s="18" t="s">
        <v>502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</row>
    <row r="172" spans="2:257" x14ac:dyDescent="0.2" hidden="true">
      <c r="B172" s="18" t="s">
        <v>503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</row>
    <row r="173" spans="2:257" x14ac:dyDescent="0.2" hidden="true">
      <c r="B173" s="18" t="s">
        <v>504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</row>
    <row r="174" spans="2:257" x14ac:dyDescent="0.2" hidden="true">
      <c r="B174" s="18" t="s">
        <v>505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</row>
    <row r="175" spans="2:257" x14ac:dyDescent="0.2" hidden="true">
      <c r="B175" s="18" t="s">
        <v>506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</row>
    <row r="176" spans="2:257" x14ac:dyDescent="0.2" hidden="true">
      <c r="B176" s="18" t="s">
        <v>507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</row>
    <row r="177" spans="2:257" x14ac:dyDescent="0.2" hidden="true">
      <c r="B177" s="18" t="s">
        <v>508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</row>
    <row r="178" spans="2:257" x14ac:dyDescent="0.2" hidden="true">
      <c r="B178" s="18" t="s">
        <v>509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</row>
    <row r="179" spans="2:257" x14ac:dyDescent="0.2" hidden="true">
      <c r="B179" s="18" t="s">
        <v>510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</row>
    <row r="180" spans="2:257" x14ac:dyDescent="0.2" hidden="true">
      <c r="B180" s="18" t="s">
        <v>511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</row>
    <row r="181" spans="2:257" x14ac:dyDescent="0.2" hidden="true">
      <c r="B181" s="18" t="s">
        <v>512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</row>
    <row r="182" spans="2:257" x14ac:dyDescent="0.2" hidden="true">
      <c r="B182" s="18" t="s">
        <v>513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</row>
    <row r="183" spans="2:257" x14ac:dyDescent="0.2" hidden="true">
      <c r="B183" s="18" t="s">
        <v>514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</row>
    <row r="184" spans="2:257" x14ac:dyDescent="0.2" hidden="true">
      <c r="B184" s="18" t="s">
        <v>515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</row>
    <row r="185" spans="2:257" x14ac:dyDescent="0.2" hidden="true">
      <c r="B185" s="18" t="s">
        <v>516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</row>
    <row r="186" spans="2:257" x14ac:dyDescent="0.2" hidden="true">
      <c r="B186" s="18" t="s">
        <v>517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</row>
    <row r="187" spans="2:257" x14ac:dyDescent="0.2" hidden="true">
      <c r="B187" s="18" t="s">
        <v>518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</row>
    <row r="188" spans="2:257" x14ac:dyDescent="0.2" hidden="true">
      <c r="B188" s="18" t="s">
        <v>519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</row>
    <row r="189" spans="2:257" x14ac:dyDescent="0.2" hidden="true">
      <c r="B189" s="18" t="s">
        <v>520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</row>
    <row r="190" spans="2:257" x14ac:dyDescent="0.2" hidden="true">
      <c r="B190" s="18" t="s">
        <v>521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</row>
    <row r="191" spans="2:257" x14ac:dyDescent="0.2" hidden="true">
      <c r="B191" s="18" t="s">
        <v>522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</row>
    <row r="192" spans="2:257" x14ac:dyDescent="0.2" hidden="true">
      <c r="B192" s="18" t="s">
        <v>523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</row>
    <row r="193" spans="2:257" x14ac:dyDescent="0.2" hidden="true">
      <c r="B193" s="18" t="s">
        <v>524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</row>
    <row r="194" spans="2:257" x14ac:dyDescent="0.2" hidden="true">
      <c r="B194" s="18" t="s">
        <v>525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</row>
    <row r="195" spans="2:257" x14ac:dyDescent="0.2" hidden="true">
      <c r="B195" s="18" t="s">
        <v>526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</row>
    <row r="196" spans="2:257" x14ac:dyDescent="0.2" hidden="true">
      <c r="B196" s="18" t="s">
        <v>527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</row>
    <row r="197" spans="2:257" x14ac:dyDescent="0.2" hidden="true">
      <c r="B197" s="18" t="s">
        <v>528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</row>
    <row r="198" spans="2:257" x14ac:dyDescent="0.2" hidden="true">
      <c r="B198" s="18" t="s">
        <v>529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</row>
    <row r="199" spans="2:257" x14ac:dyDescent="0.2" hidden="true">
      <c r="B199" s="18" t="s">
        <v>530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</row>
    <row r="200" spans="2:257" x14ac:dyDescent="0.2" hidden="true">
      <c r="B200" s="18" t="s">
        <v>531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</row>
    <row r="201" spans="2:257" x14ac:dyDescent="0.2" hidden="true">
      <c r="B201" s="18" t="s">
        <v>532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</row>
    <row r="202" spans="2:257" x14ac:dyDescent="0.2" hidden="true">
      <c r="B202" s="18" t="s">
        <v>533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</row>
    <row r="203" spans="2:257" x14ac:dyDescent="0.2" hidden="true">
      <c r="B203" s="18" t="s">
        <v>534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</row>
    <row r="204" spans="2:257" x14ac:dyDescent="0.2" hidden="true">
      <c r="B204" s="18" t="s">
        <v>535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</row>
    <row r="205" spans="2:257" x14ac:dyDescent="0.2" hidden="true">
      <c r="B205" s="18" t="s">
        <v>536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</row>
    <row r="206" spans="2:257" x14ac:dyDescent="0.2" hidden="true">
      <c r="B206" s="18" t="s">
        <v>537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</row>
    <row r="207" spans="2:257" x14ac:dyDescent="0.2" hidden="true">
      <c r="B207" s="18" t="s">
        <v>538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</row>
    <row r="208" spans="2:257" x14ac:dyDescent="0.2" hidden="true">
      <c r="B208" s="18" t="s">
        <v>539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</row>
    <row r="209" spans="2:257" x14ac:dyDescent="0.2" hidden="true">
      <c r="B209" s="18" t="s">
        <v>540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</row>
    <row r="210" spans="2:257" x14ac:dyDescent="0.2" hidden="true">
      <c r="B210" s="18" t="s">
        <v>541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</row>
    <row r="211" spans="2:257" x14ac:dyDescent="0.2" hidden="true">
      <c r="B211" s="18" t="s">
        <v>542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</row>
    <row r="212" spans="2:257" x14ac:dyDescent="0.2" hidden="true">
      <c r="B212" s="18" t="s">
        <v>543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</row>
    <row r="213" spans="2:257" x14ac:dyDescent="0.2" hidden="true">
      <c r="B213" s="18" t="s">
        <v>544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</row>
    <row r="214" spans="2:257" x14ac:dyDescent="0.2" hidden="true">
      <c r="B214" s="18" t="s">
        <v>545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</row>
    <row r="215" spans="2:257" x14ac:dyDescent="0.2" hidden="true">
      <c r="B215" s="18" t="s">
        <v>546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</row>
    <row r="216" spans="2:257" x14ac:dyDescent="0.2" hidden="true">
      <c r="B216" s="18" t="s">
        <v>547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</row>
    <row r="217" spans="2:257" x14ac:dyDescent="0.2" hidden="true">
      <c r="B217" s="18" t="s">
        <v>548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</row>
    <row r="218" spans="2:257" x14ac:dyDescent="0.2" hidden="true">
      <c r="B218" s="18" t="s">
        <v>549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</row>
    <row r="219" spans="2:257" x14ac:dyDescent="0.2" hidden="true">
      <c r="B219" s="18" t="s">
        <v>550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</row>
    <row r="220" spans="2:257" x14ac:dyDescent="0.2" hidden="true">
      <c r="B220" s="18" t="s">
        <v>551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</row>
    <row r="221" spans="2:257" x14ac:dyDescent="0.2" hidden="true">
      <c r="B221" s="18" t="s">
        <v>552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</row>
    <row r="222" spans="2:257" x14ac:dyDescent="0.2" hidden="true">
      <c r="B222" s="18" t="s">
        <v>553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</row>
    <row r="223" spans="2:257" x14ac:dyDescent="0.2" hidden="true">
      <c r="B223" s="18" t="s">
        <v>554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</row>
    <row r="224" spans="2:257" x14ac:dyDescent="0.2" hidden="true">
      <c r="B224" s="18" t="s">
        <v>555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</row>
    <row r="225" spans="2:257" x14ac:dyDescent="0.2" hidden="true">
      <c r="B225" s="18" t="s">
        <v>556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</row>
    <row r="226" spans="2:257" x14ac:dyDescent="0.2" hidden="true">
      <c r="B226" s="18" t="s">
        <v>557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</row>
    <row r="227" spans="2:257" x14ac:dyDescent="0.2" hidden="true">
      <c r="B227" s="18" t="s">
        <v>558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</row>
    <row r="228" spans="2:257" x14ac:dyDescent="0.2" hidden="true">
      <c r="B228" s="18" t="s">
        <v>559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</row>
    <row r="229" spans="2:257" x14ac:dyDescent="0.2" hidden="true">
      <c r="B229" s="18" t="s">
        <v>560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</row>
    <row r="230" spans="2:257" x14ac:dyDescent="0.2" hidden="true">
      <c r="B230" s="18" t="s">
        <v>561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</row>
    <row r="231" spans="2:257" x14ac:dyDescent="0.2" hidden="true">
      <c r="B231" s="18" t="s">
        <v>562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</row>
    <row r="232" spans="2:257" x14ac:dyDescent="0.2" hidden="true">
      <c r="B232" s="18" t="s">
        <v>563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</row>
    <row r="233" spans="2:257" x14ac:dyDescent="0.2" hidden="true">
      <c r="B233" s="18" t="s">
        <v>564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</row>
    <row r="234" spans="2:257" x14ac:dyDescent="0.2" hidden="true">
      <c r="B234" s="18" t="s">
        <v>565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</row>
    <row r="235" spans="2:257" x14ac:dyDescent="0.2" hidden="true">
      <c r="B235" s="18" t="s">
        <v>566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</row>
    <row r="236" spans="2:257" x14ac:dyDescent="0.2" hidden="true">
      <c r="B236" s="18" t="s">
        <v>567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</row>
    <row r="237" spans="2:257" x14ac:dyDescent="0.2" hidden="true">
      <c r="B237" s="18" t="s">
        <v>568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</row>
    <row r="238" spans="2:257" x14ac:dyDescent="0.2" hidden="true">
      <c r="B238" s="18" t="s">
        <v>569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</row>
    <row r="239" spans="2:257" x14ac:dyDescent="0.2" hidden="true">
      <c r="B239" s="18" t="s">
        <v>570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</row>
    <row r="240" spans="2:257" x14ac:dyDescent="0.2" hidden="true">
      <c r="B240" s="18" t="s">
        <v>571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</row>
    <row r="241" spans="2:257" x14ac:dyDescent="0.2" hidden="true">
      <c r="B241" s="18" t="s">
        <v>572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</row>
    <row r="242" spans="2:257" x14ac:dyDescent="0.2" hidden="true">
      <c r="B242" s="18" t="s">
        <v>573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</row>
    <row r="243" spans="2:257" x14ac:dyDescent="0.2" hidden="true">
      <c r="B243" s="18" t="s">
        <v>574</v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</row>
    <row r="244" spans="2:257" x14ac:dyDescent="0.2" hidden="true">
      <c r="B244" s="18" t="s">
        <v>575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</row>
    <row r="245" spans="2:257" x14ac:dyDescent="0.2" hidden="true">
      <c r="B245" s="18" t="s">
        <v>576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</row>
    <row r="246" spans="2:257" x14ac:dyDescent="0.2" hidden="true">
      <c r="B246" s="18" t="s">
        <v>577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</row>
    <row r="247" spans="2:257" x14ac:dyDescent="0.2" hidden="true">
      <c r="B247" s="18" t="s">
        <v>578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</row>
    <row r="248" spans="2:257" x14ac:dyDescent="0.2" hidden="true">
      <c r="B248" s="18" t="s">
        <v>579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</row>
    <row r="249" spans="2:257" x14ac:dyDescent="0.2" hidden="true">
      <c r="B249" s="18" t="s">
        <v>580</v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</row>
    <row r="250" spans="2:257" x14ac:dyDescent="0.2" hidden="true">
      <c r="B250" s="18" t="s">
        <v>581</v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</row>
    <row r="251" spans="2:257" x14ac:dyDescent="0.2" hidden="true">
      <c r="B251" s="18" t="s">
        <v>582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</row>
    <row r="252" spans="2:257" x14ac:dyDescent="0.2" hidden="true">
      <c r="B252" s="18" t="s">
        <v>583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</row>
    <row r="253" spans="2:257" x14ac:dyDescent="0.2" hidden="true">
      <c r="B253" s="18" t="s">
        <v>584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</row>
    <row r="254" spans="2:257" x14ac:dyDescent="0.2" hidden="true">
      <c r="B254" s="18" t="s">
        <v>585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</row>
    <row r="255" spans="2:257" x14ac:dyDescent="0.2" hidden="true">
      <c r="B255" s="18" t="s">
        <v>586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</row>
    <row r="256" spans="2:257" x14ac:dyDescent="0.2" hidden="true">
      <c r="B256" s="18" t="s">
        <v>587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</row>
    <row r="257" spans="2:257" x14ac:dyDescent="0.2" hidden="true">
      <c r="B257" s="18" t="s">
        <v>588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</row>
    <row r="258" spans="2:257" x14ac:dyDescent="0.2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4"/>
      <c r="N258" s="5"/>
      <c r="O258" s="5"/>
    </row>
    <row r="259" spans="2:257" ht="15" customHeight="1" x14ac:dyDescent="0.2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6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5.21875" collapsed="false"/>
    <col min="2" max="2" customWidth="true" hidden="true" style="10" width="11.66406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0.0" collapsed="false"/>
    <col min="11" max="11" customWidth="true" style="10" width="32.886718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8</v>
      </c>
      <c r="K1" s="8" t="s">
        <v>834</v>
      </c>
    </row>
    <row r="2" spans="1:11" x14ac:dyDescent="0.2">
      <c r="A2" s="10" t="str">
        <f>C2&amp;"（"&amp;D2&amp;"）"</f>
        <v>介護サービス自給率［地域比較］（令和7年(2025年)）</v>
      </c>
      <c r="B2" s="10" t="str">
        <f>"（時点）"&amp;D2</f>
        <v>（時点）令和7年(2025年)</v>
      </c>
      <c r="C2" s="11" t="s">
        <v>900</v>
      </c>
      <c r="D2" s="11" t="s">
        <v>901</v>
      </c>
      <c r="E2" s="11" t="s">
        <v>841</v>
      </c>
      <c r="F2" s="11" t="str">
        <f>IF(H2="",G2,G2 &amp; "（" &amp; H2 &amp; "）")</f>
        <v>介護サービス自給率（％）</v>
      </c>
      <c r="G2" s="11" t="s">
        <v>902</v>
      </c>
      <c r="H2" s="11" t="s">
        <v>903</v>
      </c>
      <c r="I2" s="11" t="s">
        <v>904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905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640625" defaultRowHeight="17.399999999999999" x14ac:dyDescent="0.2"/>
  <cols>
    <col min="259" max="16384" style="3" width="14.6640625" collapsed="true"/>
    <col min="258" max="258" style="3" width="14.6640625" collapsed="true" hidden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4" max="62" customWidth="true" style="3" width="14.6640625" collapsed="true"/>
    <col min="1" max="1" customWidth="true" style="3" width="9.0" collapsed="false"/>
    <col min="2" max="2" customWidth="true" style="14" width="38.63671875" collapsed="false" bestFit="true"/>
    <col min="3" max="3" customWidth="true" style="14" width="7.90625" collapsed="false" bestFit="true"/>
    <col min="63" max="63" customWidth="true" style="3" width="14.6640625" collapsed="false" hidden="true"/>
    <col min="64" max="64" style="3" width="14.6640625" collapsed="false" hidden="true"/>
  </cols>
  <sheetData>
    <row r="1">
      <c r="A1" t="s">
        <v>906</v>
      </c>
    </row>
    <row r="2" spans="2:258" s="14" customFormat="1" x14ac:dyDescent="0.2">
      <c r="B2" s="12"/>
      <c r="C2" s="12"/>
      <c r="D2" s="267" t="s">
        <v>841</v>
      </c>
      <c r="E2" s="267" t="s">
        <v>842</v>
      </c>
      <c r="F2" s="267" t="s">
        <v>843</v>
      </c>
      <c r="G2" s="267" t="s">
        <v>844</v>
      </c>
      <c r="H2" s="267" t="s">
        <v>845</v>
      </c>
      <c r="I2" s="267" t="s">
        <v>846</v>
      </c>
      <c r="J2" s="267" t="s">
        <v>847</v>
      </c>
      <c r="K2" s="267" t="s">
        <v>848</v>
      </c>
      <c r="L2" s="267" t="s">
        <v>849</v>
      </c>
      <c r="M2" s="267" t="s">
        <v>850</v>
      </c>
      <c r="N2" s="267" t="s">
        <v>851</v>
      </c>
      <c r="O2" s="267" t="s">
        <v>852</v>
      </c>
      <c r="P2" s="267" t="s">
        <v>853</v>
      </c>
      <c r="Q2" s="267" t="s">
        <v>854</v>
      </c>
      <c r="R2" s="267" t="s">
        <v>855</v>
      </c>
      <c r="S2" s="267" t="s">
        <v>856</v>
      </c>
      <c r="T2" s="267" t="s">
        <v>857</v>
      </c>
      <c r="U2" s="267" t="s">
        <v>858</v>
      </c>
      <c r="V2" s="267" t="s">
        <v>859</v>
      </c>
      <c r="W2" s="267" t="s">
        <v>860</v>
      </c>
      <c r="X2" s="267" t="s">
        <v>861</v>
      </c>
      <c r="Y2" s="267" t="s">
        <v>862</v>
      </c>
      <c r="Z2" s="267" t="s">
        <v>863</v>
      </c>
      <c r="AA2" s="267" t="s">
        <v>864</v>
      </c>
      <c r="AB2" s="267" t="s">
        <v>865</v>
      </c>
      <c r="AC2" s="267" t="s">
        <v>866</v>
      </c>
      <c r="AD2" s="267" t="s">
        <v>867</v>
      </c>
      <c r="AE2" s="267" t="s">
        <v>868</v>
      </c>
      <c r="AF2" s="267" t="s">
        <v>869</v>
      </c>
      <c r="AG2" s="267" t="s">
        <v>870</v>
      </c>
      <c r="AH2" s="267" t="s">
        <v>871</v>
      </c>
      <c r="AI2" s="267" t="s">
        <v>872</v>
      </c>
      <c r="AJ2" s="267" t="s">
        <v>873</v>
      </c>
      <c r="AK2" s="267" t="s">
        <v>874</v>
      </c>
      <c r="AL2" s="267" t="s">
        <v>875</v>
      </c>
      <c r="AM2" s="267" t="s">
        <v>876</v>
      </c>
      <c r="AN2" s="267" t="s">
        <v>877</v>
      </c>
      <c r="AO2" s="267" t="s">
        <v>878</v>
      </c>
      <c r="AP2" s="267" t="s">
        <v>879</v>
      </c>
      <c r="AQ2" s="267" t="s">
        <v>880</v>
      </c>
      <c r="AR2" s="267" t="s">
        <v>881</v>
      </c>
      <c r="AS2" s="267" t="s">
        <v>882</v>
      </c>
      <c r="AT2" s="267" t="s">
        <v>883</v>
      </c>
      <c r="AU2" s="267" t="s">
        <v>884</v>
      </c>
      <c r="AV2" s="267" t="s">
        <v>885</v>
      </c>
      <c r="AW2" s="267" t="s">
        <v>886</v>
      </c>
      <c r="AX2" s="267" t="s">
        <v>887</v>
      </c>
      <c r="AY2" s="267" t="s">
        <v>888</v>
      </c>
      <c r="AZ2" s="267" t="s">
        <v>889</v>
      </c>
      <c r="BA2" s="267" t="s">
        <v>890</v>
      </c>
      <c r="BB2" s="267" t="s">
        <v>891</v>
      </c>
      <c r="BC2" s="267" t="s">
        <v>892</v>
      </c>
      <c r="BD2" s="267" t="s">
        <v>893</v>
      </c>
      <c r="BE2" s="267" t="s">
        <v>894</v>
      </c>
      <c r="BF2" s="267" t="s">
        <v>895</v>
      </c>
      <c r="BG2" s="267" t="s">
        <v>896</v>
      </c>
      <c r="BH2" s="267" t="s">
        <v>897</v>
      </c>
      <c r="BI2" s="267" t="s">
        <v>898</v>
      </c>
      <c r="BJ2" s="267" t="s">
        <v>899</v>
      </c>
      <c r="BK2" s="13" t="s">
        <v>69</v>
      </c>
      <c r="BL2" s="13" t="s">
        <v>639</v>
      </c>
      <c r="BM2" s="13" t="s">
        <v>640</v>
      </c>
      <c r="BN2" s="13" t="s">
        <v>641</v>
      </c>
      <c r="BO2" s="13" t="s">
        <v>642</v>
      </c>
      <c r="BP2" s="13" t="s">
        <v>643</v>
      </c>
      <c r="BQ2" s="13" t="s">
        <v>644</v>
      </c>
      <c r="BR2" s="13" t="s">
        <v>645</v>
      </c>
      <c r="BS2" s="13" t="s">
        <v>646</v>
      </c>
      <c r="BT2" s="13" t="s">
        <v>647</v>
      </c>
      <c r="BU2" s="13" t="s">
        <v>648</v>
      </c>
      <c r="BV2" s="13" t="s">
        <v>649</v>
      </c>
      <c r="BW2" s="13" t="s">
        <v>650</v>
      </c>
      <c r="BX2" s="13" t="s">
        <v>651</v>
      </c>
      <c r="BY2" s="13" t="s">
        <v>652</v>
      </c>
      <c r="BZ2" s="13" t="s">
        <v>653</v>
      </c>
      <c r="CA2" s="13" t="s">
        <v>654</v>
      </c>
      <c r="CB2" s="13" t="s">
        <v>655</v>
      </c>
      <c r="CC2" s="13" t="s">
        <v>656</v>
      </c>
      <c r="CD2" s="13" t="s">
        <v>657</v>
      </c>
      <c r="CE2" s="13" t="s">
        <v>658</v>
      </c>
      <c r="CF2" s="13" t="s">
        <v>659</v>
      </c>
      <c r="CG2" s="13" t="s">
        <v>660</v>
      </c>
      <c r="CH2" s="13" t="s">
        <v>661</v>
      </c>
      <c r="CI2" s="13" t="s">
        <v>662</v>
      </c>
      <c r="CJ2" s="13" t="s">
        <v>663</v>
      </c>
      <c r="CK2" s="13" t="s">
        <v>664</v>
      </c>
      <c r="CL2" s="13" t="s">
        <v>665</v>
      </c>
      <c r="CM2" s="13" t="s">
        <v>666</v>
      </c>
      <c r="CN2" s="13" t="s">
        <v>667</v>
      </c>
      <c r="CO2" s="13" t="s">
        <v>668</v>
      </c>
      <c r="CP2" s="13" t="s">
        <v>669</v>
      </c>
      <c r="CQ2" s="13" t="s">
        <v>670</v>
      </c>
      <c r="CR2" s="13" t="s">
        <v>671</v>
      </c>
      <c r="CS2" s="13" t="s">
        <v>672</v>
      </c>
      <c r="CT2" s="13" t="s">
        <v>673</v>
      </c>
      <c r="CU2" s="13" t="s">
        <v>674</v>
      </c>
      <c r="CV2" s="13" t="s">
        <v>675</v>
      </c>
      <c r="CW2" s="13" t="s">
        <v>676</v>
      </c>
      <c r="CX2" s="13" t="s">
        <v>677</v>
      </c>
      <c r="CY2" s="13" t="s">
        <v>678</v>
      </c>
      <c r="CZ2" s="13" t="s">
        <v>679</v>
      </c>
      <c r="DA2" s="13" t="s">
        <v>680</v>
      </c>
      <c r="DB2" s="13" t="s">
        <v>681</v>
      </c>
      <c r="DC2" s="13" t="s">
        <v>682</v>
      </c>
      <c r="DD2" s="13" t="s">
        <v>683</v>
      </c>
      <c r="DE2" s="13" t="s">
        <v>684</v>
      </c>
      <c r="DF2" s="13" t="s">
        <v>685</v>
      </c>
      <c r="DG2" s="13" t="s">
        <v>686</v>
      </c>
      <c r="DH2" s="13" t="s">
        <v>687</v>
      </c>
      <c r="DI2" s="13" t="s">
        <v>688</v>
      </c>
      <c r="DJ2" s="13" t="s">
        <v>689</v>
      </c>
      <c r="DK2" s="13" t="s">
        <v>690</v>
      </c>
      <c r="DL2" s="13" t="s">
        <v>691</v>
      </c>
      <c r="DM2" s="13" t="s">
        <v>692</v>
      </c>
      <c r="DN2" s="13" t="s">
        <v>693</v>
      </c>
      <c r="DO2" s="13" t="s">
        <v>694</v>
      </c>
      <c r="DP2" s="13" t="s">
        <v>695</v>
      </c>
      <c r="DQ2" s="13" t="s">
        <v>696</v>
      </c>
      <c r="DR2" s="13" t="s">
        <v>697</v>
      </c>
      <c r="DS2" s="13" t="s">
        <v>698</v>
      </c>
      <c r="DT2" s="13" t="s">
        <v>699</v>
      </c>
      <c r="DU2" s="13" t="s">
        <v>700</v>
      </c>
      <c r="DV2" s="13" t="s">
        <v>701</v>
      </c>
      <c r="DW2" s="13" t="s">
        <v>702</v>
      </c>
      <c r="DX2" s="13" t="s">
        <v>703</v>
      </c>
      <c r="DY2" s="13" t="s">
        <v>704</v>
      </c>
      <c r="DZ2" s="13" t="s">
        <v>705</v>
      </c>
      <c r="EA2" s="13" t="s">
        <v>706</v>
      </c>
      <c r="EB2" s="13" t="s">
        <v>707</v>
      </c>
      <c r="EC2" s="13" t="s">
        <v>708</v>
      </c>
      <c r="ED2" s="13" t="s">
        <v>709</v>
      </c>
      <c r="EE2" s="13" t="s">
        <v>710</v>
      </c>
      <c r="EF2" s="13" t="s">
        <v>711</v>
      </c>
      <c r="EG2" s="13" t="s">
        <v>712</v>
      </c>
      <c r="EH2" s="13" t="s">
        <v>713</v>
      </c>
      <c r="EI2" s="13" t="s">
        <v>714</v>
      </c>
      <c r="EJ2" s="13" t="s">
        <v>715</v>
      </c>
      <c r="EK2" s="13" t="s">
        <v>716</v>
      </c>
      <c r="EL2" s="13" t="s">
        <v>717</v>
      </c>
      <c r="EM2" s="13" t="s">
        <v>718</v>
      </c>
      <c r="EN2" s="13" t="s">
        <v>719</v>
      </c>
      <c r="EO2" s="13" t="s">
        <v>720</v>
      </c>
      <c r="EP2" s="13" t="s">
        <v>721</v>
      </c>
      <c r="EQ2" s="13" t="s">
        <v>722</v>
      </c>
      <c r="ER2" s="13" t="s">
        <v>723</v>
      </c>
      <c r="ES2" s="13" t="s">
        <v>724</v>
      </c>
      <c r="ET2" s="13" t="s">
        <v>725</v>
      </c>
      <c r="EU2" s="13" t="s">
        <v>726</v>
      </c>
      <c r="EV2" s="13" t="s">
        <v>727</v>
      </c>
      <c r="EW2" s="13" t="s">
        <v>728</v>
      </c>
      <c r="EX2" s="13" t="s">
        <v>729</v>
      </c>
      <c r="EY2" s="13" t="s">
        <v>730</v>
      </c>
      <c r="EZ2" s="13" t="s">
        <v>731</v>
      </c>
      <c r="FA2" s="13" t="s">
        <v>732</v>
      </c>
      <c r="FB2" s="13" t="s">
        <v>733</v>
      </c>
      <c r="FC2" s="13" t="s">
        <v>734</v>
      </c>
      <c r="FD2" s="13" t="s">
        <v>735</v>
      </c>
      <c r="FE2" s="13" t="s">
        <v>736</v>
      </c>
      <c r="FF2" s="13" t="s">
        <v>737</v>
      </c>
      <c r="FG2" s="13" t="s">
        <v>738</v>
      </c>
      <c r="FH2" s="13" t="s">
        <v>739</v>
      </c>
      <c r="FI2" s="13" t="s">
        <v>740</v>
      </c>
      <c r="FJ2" s="13" t="s">
        <v>741</v>
      </c>
      <c r="FK2" s="13" t="s">
        <v>742</v>
      </c>
      <c r="FL2" s="13" t="s">
        <v>743</v>
      </c>
      <c r="FM2" s="13" t="s">
        <v>744</v>
      </c>
      <c r="FN2" s="13" t="s">
        <v>745</v>
      </c>
      <c r="FO2" s="13" t="s">
        <v>746</v>
      </c>
      <c r="FP2" s="13" t="s">
        <v>747</v>
      </c>
      <c r="FQ2" s="13" t="s">
        <v>748</v>
      </c>
      <c r="FR2" s="13" t="s">
        <v>749</v>
      </c>
      <c r="FS2" s="13" t="s">
        <v>750</v>
      </c>
      <c r="FT2" s="13" t="s">
        <v>751</v>
      </c>
      <c r="FU2" s="13" t="s">
        <v>752</v>
      </c>
      <c r="FV2" s="13" t="s">
        <v>753</v>
      </c>
      <c r="FW2" s="13" t="s">
        <v>754</v>
      </c>
      <c r="FX2" s="13" t="s">
        <v>755</v>
      </c>
      <c r="FY2" s="13" t="s">
        <v>756</v>
      </c>
      <c r="FZ2" s="13" t="s">
        <v>757</v>
      </c>
      <c r="GA2" s="13" t="s">
        <v>758</v>
      </c>
      <c r="GB2" s="13" t="s">
        <v>759</v>
      </c>
      <c r="GC2" s="13" t="s">
        <v>760</v>
      </c>
      <c r="GD2" s="13" t="s">
        <v>761</v>
      </c>
      <c r="GE2" s="13" t="s">
        <v>762</v>
      </c>
      <c r="GF2" s="13" t="s">
        <v>763</v>
      </c>
      <c r="GG2" s="13" t="s">
        <v>764</v>
      </c>
      <c r="GH2" s="13" t="s">
        <v>765</v>
      </c>
      <c r="GI2" s="13" t="s">
        <v>766</v>
      </c>
      <c r="GJ2" s="13" t="s">
        <v>767</v>
      </c>
      <c r="GK2" s="13" t="s">
        <v>768</v>
      </c>
      <c r="GL2" s="13" t="s">
        <v>769</v>
      </c>
      <c r="GM2" s="13" t="s">
        <v>770</v>
      </c>
      <c r="GN2" s="13" t="s">
        <v>771</v>
      </c>
      <c r="GO2" s="13" t="s">
        <v>772</v>
      </c>
      <c r="GP2" s="13" t="s">
        <v>773</v>
      </c>
      <c r="GQ2" s="13" t="s">
        <v>774</v>
      </c>
      <c r="GR2" s="13" t="s">
        <v>775</v>
      </c>
      <c r="GS2" s="13" t="s">
        <v>776</v>
      </c>
      <c r="GT2" s="13" t="s">
        <v>777</v>
      </c>
      <c r="GU2" s="13" t="s">
        <v>778</v>
      </c>
      <c r="GV2" s="13" t="s">
        <v>779</v>
      </c>
      <c r="GW2" s="13" t="s">
        <v>780</v>
      </c>
      <c r="GX2" s="13" t="s">
        <v>781</v>
      </c>
      <c r="GY2" s="13" t="s">
        <v>782</v>
      </c>
      <c r="GZ2" s="13" t="s">
        <v>783</v>
      </c>
      <c r="HA2" s="13" t="s">
        <v>784</v>
      </c>
      <c r="HB2" s="13" t="s">
        <v>785</v>
      </c>
      <c r="HC2" s="13" t="s">
        <v>786</v>
      </c>
      <c r="HD2" s="13" t="s">
        <v>787</v>
      </c>
      <c r="HE2" s="13" t="s">
        <v>788</v>
      </c>
      <c r="HF2" s="13" t="s">
        <v>789</v>
      </c>
      <c r="HG2" s="13" t="s">
        <v>790</v>
      </c>
      <c r="HH2" s="13" t="s">
        <v>791</v>
      </c>
      <c r="HI2" s="13" t="s">
        <v>792</v>
      </c>
      <c r="HJ2" s="13" t="s">
        <v>793</v>
      </c>
      <c r="HK2" s="13" t="s">
        <v>794</v>
      </c>
      <c r="HL2" s="13" t="s">
        <v>795</v>
      </c>
      <c r="HM2" s="13" t="s">
        <v>796</v>
      </c>
      <c r="HN2" s="13" t="s">
        <v>797</v>
      </c>
      <c r="HO2" s="13" t="s">
        <v>798</v>
      </c>
      <c r="HP2" s="13" t="s">
        <v>799</v>
      </c>
      <c r="HQ2" s="13" t="s">
        <v>800</v>
      </c>
      <c r="HR2" s="13" t="s">
        <v>801</v>
      </c>
      <c r="HS2" s="13" t="s">
        <v>802</v>
      </c>
      <c r="HT2" s="13" t="s">
        <v>803</v>
      </c>
      <c r="HU2" s="13" t="s">
        <v>804</v>
      </c>
      <c r="HV2" s="13" t="s">
        <v>805</v>
      </c>
      <c r="HW2" s="13" t="s">
        <v>806</v>
      </c>
      <c r="HX2" s="13" t="s">
        <v>807</v>
      </c>
      <c r="HY2" s="13" t="s">
        <v>808</v>
      </c>
      <c r="HZ2" s="13" t="s">
        <v>809</v>
      </c>
      <c r="IA2" s="13" t="s">
        <v>810</v>
      </c>
      <c r="IB2" s="13" t="s">
        <v>811</v>
      </c>
      <c r="IC2" s="13" t="s">
        <v>812</v>
      </c>
      <c r="ID2" s="13" t="s">
        <v>813</v>
      </c>
      <c r="IE2" s="13" t="s">
        <v>814</v>
      </c>
      <c r="IF2" s="13" t="s">
        <v>815</v>
      </c>
      <c r="IG2" s="13" t="s">
        <v>816</v>
      </c>
      <c r="IH2" s="13" t="s">
        <v>817</v>
      </c>
      <c r="II2" s="13" t="s">
        <v>818</v>
      </c>
      <c r="IJ2" s="13" t="s">
        <v>819</v>
      </c>
      <c r="IK2" s="13" t="s">
        <v>820</v>
      </c>
      <c r="IL2" s="13" t="s">
        <v>821</v>
      </c>
      <c r="IM2" s="13" t="s">
        <v>822</v>
      </c>
      <c r="IN2" s="13" t="s">
        <v>823</v>
      </c>
      <c r="IO2" s="13" t="s">
        <v>824</v>
      </c>
      <c r="IP2" s="13" t="s">
        <v>825</v>
      </c>
      <c r="IQ2" s="13" t="s">
        <v>826</v>
      </c>
      <c r="IR2" s="13" t="s">
        <v>827</v>
      </c>
      <c r="IS2" s="13" t="s">
        <v>828</v>
      </c>
      <c r="IT2" s="13" t="s">
        <v>829</v>
      </c>
      <c r="IU2" s="13" t="s">
        <v>830</v>
      </c>
      <c r="IV2" s="13" t="s">
        <v>831</v>
      </c>
      <c r="IW2" s="13" t="s">
        <v>832</v>
      </c>
      <c r="IX2" s="13" t="s">
        <v>833</v>
      </c>
    </row>
    <row r="3" spans="2:258" x14ac:dyDescent="0.2">
      <c r="B3" s="16" t="s">
        <v>907</v>
      </c>
      <c r="C3" s="13" t="s">
        <v>908</v>
      </c>
      <c r="D3" s="269" t="n">
        <v>83.4</v>
      </c>
      <c r="E3" s="269" t="n">
        <v>96.4</v>
      </c>
      <c r="F3" s="269" t="n">
        <v>93.81</v>
      </c>
      <c r="G3" s="269" t="n">
        <v>95.9</v>
      </c>
      <c r="H3" s="269" t="n">
        <v>96.94</v>
      </c>
      <c r="I3" s="269" t="n">
        <v>64.49</v>
      </c>
      <c r="J3" s="269" t="n">
        <v>81.26</v>
      </c>
      <c r="K3" s="269" t="n">
        <v>62.38</v>
      </c>
      <c r="L3" s="269" t="n">
        <v>76.95</v>
      </c>
      <c r="M3" s="269" t="n">
        <v>79.36</v>
      </c>
      <c r="N3" s="269" t="n">
        <v>73.93</v>
      </c>
      <c r="O3" s="269" t="n">
        <v>53.18</v>
      </c>
      <c r="P3" s="269" t="n">
        <v>75.27</v>
      </c>
      <c r="Q3" s="269" t="n">
        <v>61.53</v>
      </c>
      <c r="R3" s="269" t="n">
        <v>35.99</v>
      </c>
      <c r="S3" s="269" t="n">
        <v>42.97</v>
      </c>
      <c r="T3" s="269" t="n">
        <v>42.51</v>
      </c>
      <c r="U3" s="269" t="n">
        <v>34.82</v>
      </c>
      <c r="V3" s="269" t="n">
        <v>5.53</v>
      </c>
      <c r="W3" s="269" t="n">
        <v>15.56</v>
      </c>
      <c r="X3" s="269" t="n">
        <v>65.16</v>
      </c>
      <c r="Y3" s="269" t="n">
        <v>0.0</v>
      </c>
      <c r="Z3" s="269" t="n">
        <v>91.47</v>
      </c>
      <c r="AA3" s="269" t="n">
        <v>59.16</v>
      </c>
      <c r="AB3" s="269" t="n">
        <v>41.11</v>
      </c>
      <c r="AC3" s="269" t="n">
        <v>86.88</v>
      </c>
      <c r="AD3" s="269" t="n">
        <v>12.83</v>
      </c>
      <c r="AE3" s="269" t="n">
        <v>35.01</v>
      </c>
      <c r="AF3" s="269" t="n">
        <v>62.19</v>
      </c>
      <c r="AG3" s="269" t="n">
        <v>0.0</v>
      </c>
      <c r="AH3" s="269" t="n">
        <v>47.83</v>
      </c>
      <c r="AI3" s="269" t="n">
        <v>31.73</v>
      </c>
      <c r="AJ3" s="269" t="n">
        <v>38.78</v>
      </c>
      <c r="AK3" s="269" t="n">
        <v>87.74</v>
      </c>
      <c r="AL3" s="269" t="n">
        <v>41.56</v>
      </c>
      <c r="AM3" s="269" t="n">
        <v>57.67</v>
      </c>
      <c r="AN3" s="269" t="n">
        <v>60.89</v>
      </c>
      <c r="AO3" s="269" t="n">
        <v>0.0</v>
      </c>
      <c r="AP3" s="269" t="n">
        <v>49.69</v>
      </c>
      <c r="AQ3" s="269" t="n">
        <v>47.39</v>
      </c>
      <c r="AR3" s="269" t="n">
        <v>46.36</v>
      </c>
      <c r="AS3" s="269" t="n">
        <v>66.91</v>
      </c>
      <c r="AT3" s="269" t="n">
        <v>27.09</v>
      </c>
      <c r="AU3" s="269" t="n">
        <v>51.5</v>
      </c>
      <c r="AV3" s="269" t="n">
        <v>41.21</v>
      </c>
      <c r="AW3" s="269" t="n">
        <v>74.44</v>
      </c>
      <c r="AX3" s="269" t="n">
        <v>46.76</v>
      </c>
      <c r="AY3" s="269" t="n">
        <v>45.43</v>
      </c>
      <c r="AZ3" s="269" t="n">
        <v>54.99</v>
      </c>
      <c r="BA3" s="269" t="n">
        <v>25.34</v>
      </c>
      <c r="BB3" s="269" t="n">
        <v>11.27</v>
      </c>
      <c r="BC3" s="269" t="n">
        <v>5.1</v>
      </c>
      <c r="BD3" s="269" t="n">
        <v>10.67</v>
      </c>
      <c r="BE3" s="269" t="n">
        <v>0.0</v>
      </c>
      <c r="BF3" s="269" t="n">
        <v>0.0</v>
      </c>
      <c r="BG3" s="269" t="n">
        <v>0.97</v>
      </c>
      <c r="BH3" s="269" t="n">
        <v>0.0</v>
      </c>
      <c r="BI3" s="269" t="n">
        <v>42.88</v>
      </c>
      <c r="BJ3" s="269" t="n">
        <v>9.3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2">
      <c r="B4" s="16" t="s">
        <v>909</v>
      </c>
      <c r="C4" s="13" t="s">
        <v>908</v>
      </c>
      <c r="D4" s="273" t="n">
        <v>76.85</v>
      </c>
      <c r="E4" s="273" t="n">
        <v>97.16</v>
      </c>
      <c r="F4" s="273" t="n">
        <v>96.26</v>
      </c>
      <c r="G4" s="273" t="n">
        <v>94.63</v>
      </c>
      <c r="H4" s="273" t="n">
        <v>97.33</v>
      </c>
      <c r="I4" s="273" t="n">
        <v>88.34</v>
      </c>
      <c r="J4" s="273" t="n">
        <v>94.95</v>
      </c>
      <c r="K4" s="273" t="n">
        <v>87.96</v>
      </c>
      <c r="L4" s="273" t="n">
        <v>92.55</v>
      </c>
      <c r="M4" s="273" t="n">
        <v>90.02</v>
      </c>
      <c r="N4" s="273" t="n">
        <v>79.55</v>
      </c>
      <c r="O4" s="273" t="n">
        <v>86.44</v>
      </c>
      <c r="P4" s="273" t="n">
        <v>85.83</v>
      </c>
      <c r="Q4" s="273" t="n">
        <v>63.89</v>
      </c>
      <c r="R4" s="273" t="n">
        <v>64.56</v>
      </c>
      <c r="S4" s="273" t="n">
        <v>69.23</v>
      </c>
      <c r="T4" s="273" t="n">
        <v>87.59</v>
      </c>
      <c r="U4" s="273" t="n">
        <v>34.96</v>
      </c>
      <c r="V4" s="273" t="n">
        <v>36.02</v>
      </c>
      <c r="W4" s="273" t="n">
        <v>68.75</v>
      </c>
      <c r="X4" s="273" t="n">
        <v>63.48</v>
      </c>
      <c r="Y4" s="273" t="n">
        <v>0.0</v>
      </c>
      <c r="Z4" s="273" t="n">
        <v>85.78</v>
      </c>
      <c r="AA4" s="273" t="n">
        <v>94.46</v>
      </c>
      <c r="AB4" s="273" t="n">
        <v>79.3</v>
      </c>
      <c r="AC4" s="273" t="n">
        <v>88.62</v>
      </c>
      <c r="AD4" s="273" t="n">
        <v>88.6</v>
      </c>
      <c r="AE4" s="273" t="n">
        <v>97.08</v>
      </c>
      <c r="AF4" s="273" t="n">
        <v>94.56</v>
      </c>
      <c r="AG4" s="273" t="n">
        <v>54.26</v>
      </c>
      <c r="AH4" s="273" t="n">
        <v>95.34</v>
      </c>
      <c r="AI4" s="273" t="n">
        <v>96.34</v>
      </c>
      <c r="AJ4" s="273" t="n">
        <v>89.41</v>
      </c>
      <c r="AK4" s="273" t="n">
        <v>100.0</v>
      </c>
      <c r="AL4" s="273" t="n">
        <v>87.02</v>
      </c>
      <c r="AM4" s="273" t="n">
        <v>64.84</v>
      </c>
      <c r="AN4" s="273" t="n">
        <v>58.75</v>
      </c>
      <c r="AO4" s="273" t="n">
        <v>46.06</v>
      </c>
      <c r="AP4" s="273" t="n">
        <v>71.69</v>
      </c>
      <c r="AQ4" s="273" t="n">
        <v>70.1</v>
      </c>
      <c r="AR4" s="273" t="n">
        <v>61.4</v>
      </c>
      <c r="AS4" s="273" t="n">
        <v>96.3</v>
      </c>
      <c r="AT4" s="273" t="n">
        <v>59.46</v>
      </c>
      <c r="AU4" s="273" t="n">
        <v>82.58</v>
      </c>
      <c r="AV4" s="273" t="n">
        <v>50.11</v>
      </c>
      <c r="AW4" s="273" t="n">
        <v>96.68</v>
      </c>
      <c r="AX4" s="273" t="n">
        <v>81.01</v>
      </c>
      <c r="AY4" s="273" t="n">
        <v>78.96</v>
      </c>
      <c r="AZ4" s="273" t="n">
        <v>94.04</v>
      </c>
      <c r="BA4" s="273" t="n">
        <v>40.9</v>
      </c>
      <c r="BB4" s="273" t="n">
        <v>41.82</v>
      </c>
      <c r="BC4" s="273" t="n">
        <v>12.32</v>
      </c>
      <c r="BD4" s="273" t="n">
        <v>69.5</v>
      </c>
      <c r="BE4" s="273" t="n">
        <v>0.0</v>
      </c>
      <c r="BF4" s="273" t="n">
        <v>0.0</v>
      </c>
      <c r="BG4" s="273" t="n">
        <v>10.65</v>
      </c>
      <c r="BH4" s="273" t="n">
        <v>22.27</v>
      </c>
      <c r="BI4" s="273" t="n">
        <v>89.84</v>
      </c>
      <c r="BJ4" s="273" t="n">
        <v>0.0</v>
      </c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2">
      <c r="B5" s="16" t="s">
        <v>911</v>
      </c>
      <c r="C5" s="13" t="s">
        <v>908</v>
      </c>
      <c r="D5" s="277" t="n">
        <v>68.03</v>
      </c>
      <c r="E5" s="277" t="n">
        <v>95.66</v>
      </c>
      <c r="F5" s="277" t="n">
        <v>85.15</v>
      </c>
      <c r="G5" s="277" t="n">
        <v>95.5</v>
      </c>
      <c r="H5" s="277" t="n">
        <v>95.6</v>
      </c>
      <c r="I5" s="277" t="n">
        <v>71.61</v>
      </c>
      <c r="J5" s="277" t="n">
        <v>69.86</v>
      </c>
      <c r="K5" s="277" t="n">
        <v>58.87</v>
      </c>
      <c r="L5" s="277" t="n">
        <v>72.93</v>
      </c>
      <c r="M5" s="277" t="n">
        <v>87.33</v>
      </c>
      <c r="N5" s="277" t="n">
        <v>81.84</v>
      </c>
      <c r="O5" s="277" t="n">
        <v>86.64</v>
      </c>
      <c r="P5" s="277" t="n">
        <v>90.06</v>
      </c>
      <c r="Q5" s="277" t="n">
        <v>60.39</v>
      </c>
      <c r="R5" s="277" t="n">
        <v>56.93</v>
      </c>
      <c r="S5" s="277" t="n">
        <v>22.23</v>
      </c>
      <c r="T5" s="277" t="n">
        <v>90.78</v>
      </c>
      <c r="U5" s="277" t="n">
        <v>32.46</v>
      </c>
      <c r="V5" s="277" t="n">
        <v>25.9</v>
      </c>
      <c r="W5" s="277" t="n">
        <v>62.57</v>
      </c>
      <c r="X5" s="277" t="n">
        <v>44.47</v>
      </c>
      <c r="Y5" s="280" t="s">
        <v>910</v>
      </c>
      <c r="Z5" s="277" t="n">
        <v>92.73</v>
      </c>
      <c r="AA5" s="277" t="n">
        <v>90.07</v>
      </c>
      <c r="AB5" s="277" t="n">
        <v>0.0</v>
      </c>
      <c r="AC5" s="277" t="n">
        <v>87.87</v>
      </c>
      <c r="AD5" s="277" t="n">
        <v>96.68</v>
      </c>
      <c r="AE5" s="277" t="n">
        <v>91.66</v>
      </c>
      <c r="AF5" s="277" t="n">
        <v>65.39</v>
      </c>
      <c r="AG5" s="277" t="n">
        <v>51.12</v>
      </c>
      <c r="AH5" s="277" t="n">
        <v>40.62</v>
      </c>
      <c r="AI5" s="277" t="n">
        <v>69.1</v>
      </c>
      <c r="AJ5" s="277" t="n">
        <v>98.66</v>
      </c>
      <c r="AK5" s="277" t="n">
        <v>97.24</v>
      </c>
      <c r="AL5" s="277" t="n">
        <v>75.16</v>
      </c>
      <c r="AM5" s="277" t="n">
        <v>39.17</v>
      </c>
      <c r="AN5" s="277" t="n">
        <v>41.7</v>
      </c>
      <c r="AO5" s="277" t="n">
        <v>23.53</v>
      </c>
      <c r="AP5" s="277" t="n">
        <v>64.58</v>
      </c>
      <c r="AQ5" s="277" t="n">
        <v>65.99</v>
      </c>
      <c r="AR5" s="277" t="n">
        <v>56.83</v>
      </c>
      <c r="AS5" s="277" t="n">
        <v>57.96</v>
      </c>
      <c r="AT5" s="277" t="n">
        <v>9.57</v>
      </c>
      <c r="AU5" s="277" t="n">
        <v>51.24</v>
      </c>
      <c r="AV5" s="277" t="n">
        <v>72.32</v>
      </c>
      <c r="AW5" s="277" t="n">
        <v>74.98</v>
      </c>
      <c r="AX5" s="277" t="n">
        <v>72.46</v>
      </c>
      <c r="AY5" s="277" t="n">
        <v>73.67</v>
      </c>
      <c r="AZ5" s="277" t="n">
        <v>26.65</v>
      </c>
      <c r="BA5" s="277" t="n">
        <v>0.0</v>
      </c>
      <c r="BB5" s="277" t="n">
        <v>56.47</v>
      </c>
      <c r="BC5" s="277" t="n">
        <v>15.81</v>
      </c>
      <c r="BD5" s="277" t="n">
        <v>42.56</v>
      </c>
      <c r="BE5" s="277" t="n">
        <v>0.0</v>
      </c>
      <c r="BF5" s="277" t="n">
        <v>1.87</v>
      </c>
      <c r="BG5" s="277" t="n">
        <v>5.14</v>
      </c>
      <c r="BH5" s="277" t="n">
        <v>0.0</v>
      </c>
      <c r="BI5" s="277" t="n">
        <v>83.57</v>
      </c>
      <c r="BJ5" s="277" t="n">
        <v>0.0</v>
      </c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2">
      <c r="B6" s="16" t="s">
        <v>912</v>
      </c>
      <c r="C6" s="13" t="s">
        <v>908</v>
      </c>
      <c r="D6" s="281" t="n">
        <v>100.0</v>
      </c>
      <c r="E6" s="281" t="n">
        <v>99.48</v>
      </c>
      <c r="F6" s="281" t="n">
        <v>98.79</v>
      </c>
      <c r="G6" s="281" t="n">
        <v>99.89</v>
      </c>
      <c r="H6" s="281" t="n">
        <v>99.66</v>
      </c>
      <c r="I6" s="281" t="n">
        <v>0.0</v>
      </c>
      <c r="J6" s="281" t="n">
        <v>100.0</v>
      </c>
      <c r="K6" s="281" t="n">
        <v>100.0</v>
      </c>
      <c r="L6" s="281" t="n">
        <v>0.0</v>
      </c>
      <c r="M6" s="281" t="n">
        <v>97.16</v>
      </c>
      <c r="N6" s="281" t="n">
        <v>97.8</v>
      </c>
      <c r="O6" s="281" t="n">
        <v>85.91</v>
      </c>
      <c r="P6" s="281" t="n">
        <v>97.26</v>
      </c>
      <c r="Q6" s="281" t="n">
        <v>100.0</v>
      </c>
      <c r="R6" s="281" t="n">
        <v>84.53</v>
      </c>
      <c r="S6" s="281" t="n">
        <v>0.0</v>
      </c>
      <c r="T6" s="281" t="n">
        <v>100.0</v>
      </c>
      <c r="U6" s="281" t="n">
        <v>0.0</v>
      </c>
      <c r="V6" s="284" t="s">
        <v>910</v>
      </c>
      <c r="W6" s="284" t="s">
        <v>910</v>
      </c>
      <c r="X6" s="281" t="n">
        <v>0.0</v>
      </c>
      <c r="Y6" s="281" t="n">
        <v>100.0</v>
      </c>
      <c r="Z6" s="281" t="n">
        <v>100.0</v>
      </c>
      <c r="AA6" s="281" t="n">
        <v>79.76</v>
      </c>
      <c r="AB6" s="284" t="s">
        <v>910</v>
      </c>
      <c r="AC6" s="281" t="n">
        <v>96.08</v>
      </c>
      <c r="AD6" s="281" t="n">
        <v>98.37</v>
      </c>
      <c r="AE6" s="281" t="n">
        <v>100.0</v>
      </c>
      <c r="AF6" s="281" t="n">
        <v>100.0</v>
      </c>
      <c r="AG6" s="284" t="s">
        <v>910</v>
      </c>
      <c r="AH6" s="281" t="n">
        <v>0.0</v>
      </c>
      <c r="AI6" s="284" t="s">
        <v>910</v>
      </c>
      <c r="AJ6" s="281" t="n">
        <v>0.0</v>
      </c>
      <c r="AK6" s="284" t="s">
        <v>910</v>
      </c>
      <c r="AL6" s="281" t="n">
        <v>95.11</v>
      </c>
      <c r="AM6" s="281" t="n">
        <v>100.0</v>
      </c>
      <c r="AN6" s="284" t="s">
        <v>910</v>
      </c>
      <c r="AO6" s="284" t="s">
        <v>910</v>
      </c>
      <c r="AP6" s="284" t="s">
        <v>910</v>
      </c>
      <c r="AQ6" s="284" t="s">
        <v>910</v>
      </c>
      <c r="AR6" s="284" t="s">
        <v>910</v>
      </c>
      <c r="AS6" s="281" t="n">
        <v>0.0</v>
      </c>
      <c r="AT6" s="284" t="s">
        <v>910</v>
      </c>
      <c r="AU6" s="281" t="n">
        <v>100.0</v>
      </c>
      <c r="AV6" s="281" t="n">
        <v>100.0</v>
      </c>
      <c r="AW6" s="284" t="s">
        <v>910</v>
      </c>
      <c r="AX6" s="284" t="s">
        <v>910</v>
      </c>
      <c r="AY6" s="284" t="s">
        <v>910</v>
      </c>
      <c r="AZ6" s="281" t="n">
        <v>90.75</v>
      </c>
      <c r="BA6" s="284" t="s">
        <v>910</v>
      </c>
      <c r="BB6" s="281" t="n">
        <v>0.0</v>
      </c>
      <c r="BC6" s="281" t="n">
        <v>0.0</v>
      </c>
      <c r="BD6" s="284" t="s">
        <v>910</v>
      </c>
      <c r="BE6" s="281" t="n">
        <v>0.0</v>
      </c>
      <c r="BF6" s="281" t="n">
        <v>0.0</v>
      </c>
      <c r="BG6" s="281" t="n">
        <v>0.0</v>
      </c>
      <c r="BH6" s="284" t="s">
        <v>910</v>
      </c>
      <c r="BI6" s="284" t="s">
        <v>910</v>
      </c>
      <c r="BJ6" s="281" t="n">
        <v>0.0</v>
      </c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2">
      <c r="B7" s="16" t="s">
        <v>913</v>
      </c>
      <c r="C7" s="13" t="s">
        <v>908</v>
      </c>
      <c r="D7" s="285" t="n">
        <v>59.74</v>
      </c>
      <c r="E7" s="285" t="n">
        <v>90.53</v>
      </c>
      <c r="F7" s="285" t="n">
        <v>74.26</v>
      </c>
      <c r="G7" s="285" t="n">
        <v>91.23</v>
      </c>
      <c r="H7" s="285" t="n">
        <v>93.22</v>
      </c>
      <c r="I7" s="285" t="n">
        <v>51.13</v>
      </c>
      <c r="J7" s="285" t="n">
        <v>68.82</v>
      </c>
      <c r="K7" s="285" t="n">
        <v>86.4</v>
      </c>
      <c r="L7" s="285" t="n">
        <v>56.91</v>
      </c>
      <c r="M7" s="285" t="n">
        <v>82.28</v>
      </c>
      <c r="N7" s="285" t="n">
        <v>88.93</v>
      </c>
      <c r="O7" s="285" t="n">
        <v>69.16</v>
      </c>
      <c r="P7" s="285" t="n">
        <v>75.82</v>
      </c>
      <c r="Q7" s="285" t="n">
        <v>68.35</v>
      </c>
      <c r="R7" s="285" t="n">
        <v>66.81</v>
      </c>
      <c r="S7" s="285" t="n">
        <v>45.45</v>
      </c>
      <c r="T7" s="285" t="n">
        <v>75.07</v>
      </c>
      <c r="U7" s="285" t="n">
        <v>25.35</v>
      </c>
      <c r="V7" s="285" t="n">
        <v>37.32</v>
      </c>
      <c r="W7" s="285" t="n">
        <v>39.92</v>
      </c>
      <c r="X7" s="285" t="n">
        <v>57.77</v>
      </c>
      <c r="Y7" s="285" t="n">
        <v>0.0</v>
      </c>
      <c r="Z7" s="285" t="n">
        <v>70.5</v>
      </c>
      <c r="AA7" s="285" t="n">
        <v>67.39</v>
      </c>
      <c r="AB7" s="285" t="n">
        <v>41.32</v>
      </c>
      <c r="AC7" s="285" t="n">
        <v>70.5</v>
      </c>
      <c r="AD7" s="285" t="n">
        <v>64.33</v>
      </c>
      <c r="AE7" s="285" t="n">
        <v>84.39</v>
      </c>
      <c r="AF7" s="285" t="n">
        <v>57.98</v>
      </c>
      <c r="AG7" s="285" t="n">
        <v>58.41</v>
      </c>
      <c r="AH7" s="285" t="n">
        <v>29.67</v>
      </c>
      <c r="AI7" s="285" t="n">
        <v>52.12</v>
      </c>
      <c r="AJ7" s="285" t="n">
        <v>68.19</v>
      </c>
      <c r="AK7" s="285" t="n">
        <v>80.25</v>
      </c>
      <c r="AL7" s="285" t="n">
        <v>68.66</v>
      </c>
      <c r="AM7" s="285" t="n">
        <v>67.46</v>
      </c>
      <c r="AN7" s="285" t="n">
        <v>61.18</v>
      </c>
      <c r="AO7" s="285" t="n">
        <v>21.48</v>
      </c>
      <c r="AP7" s="285" t="n">
        <v>60.32</v>
      </c>
      <c r="AQ7" s="285" t="n">
        <v>62.99</v>
      </c>
      <c r="AR7" s="285" t="n">
        <v>68.66</v>
      </c>
      <c r="AS7" s="285" t="n">
        <v>44.13</v>
      </c>
      <c r="AT7" s="285" t="n">
        <v>47.05</v>
      </c>
      <c r="AU7" s="285" t="n">
        <v>53.4</v>
      </c>
      <c r="AV7" s="285" t="n">
        <v>46.54</v>
      </c>
      <c r="AW7" s="285" t="n">
        <v>77.67</v>
      </c>
      <c r="AX7" s="285" t="n">
        <v>54.49</v>
      </c>
      <c r="AY7" s="285" t="n">
        <v>60.16</v>
      </c>
      <c r="AZ7" s="285" t="n">
        <v>49.99</v>
      </c>
      <c r="BA7" s="285" t="n">
        <v>12.67</v>
      </c>
      <c r="BB7" s="285" t="n">
        <v>46.01</v>
      </c>
      <c r="BC7" s="285" t="n">
        <v>15.48</v>
      </c>
      <c r="BD7" s="285" t="n">
        <v>55.81</v>
      </c>
      <c r="BE7" s="285" t="n">
        <v>6.49</v>
      </c>
      <c r="BF7" s="285" t="n">
        <v>28.6</v>
      </c>
      <c r="BG7" s="285" t="n">
        <v>18.45</v>
      </c>
      <c r="BH7" s="285" t="n">
        <v>0.0</v>
      </c>
      <c r="BI7" s="285" t="n">
        <v>68.6</v>
      </c>
      <c r="BJ7" s="285" t="n">
        <v>34.17</v>
      </c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2">
      <c r="B8" s="16" t="s">
        <v>914</v>
      </c>
      <c r="C8" s="13" t="s">
        <v>908</v>
      </c>
      <c r="D8" s="289" t="n">
        <v>65.48</v>
      </c>
      <c r="E8" s="289" t="n">
        <v>96.49</v>
      </c>
      <c r="F8" s="289" t="n">
        <v>95.23</v>
      </c>
      <c r="G8" s="289" t="n">
        <v>95.57</v>
      </c>
      <c r="H8" s="289" t="n">
        <v>97.01</v>
      </c>
      <c r="I8" s="289" t="n">
        <v>79.44</v>
      </c>
      <c r="J8" s="289" t="n">
        <v>71.45</v>
      </c>
      <c r="K8" s="289" t="n">
        <v>61.55</v>
      </c>
      <c r="L8" s="289" t="n">
        <v>74.4</v>
      </c>
      <c r="M8" s="289" t="n">
        <v>58.91</v>
      </c>
      <c r="N8" s="289" t="n">
        <v>71.47</v>
      </c>
      <c r="O8" s="289" t="n">
        <v>73.03</v>
      </c>
      <c r="P8" s="289" t="n">
        <v>76.88</v>
      </c>
      <c r="Q8" s="289" t="n">
        <v>60.52</v>
      </c>
      <c r="R8" s="289" t="n">
        <v>48.13</v>
      </c>
      <c r="S8" s="289" t="n">
        <v>37.91</v>
      </c>
      <c r="T8" s="289" t="n">
        <v>60.2</v>
      </c>
      <c r="U8" s="289" t="n">
        <v>47.12</v>
      </c>
      <c r="V8" s="289" t="n">
        <v>25.01</v>
      </c>
      <c r="W8" s="289" t="n">
        <v>32.43</v>
      </c>
      <c r="X8" s="289" t="n">
        <v>51.6</v>
      </c>
      <c r="Y8" s="289" t="n">
        <v>0.0</v>
      </c>
      <c r="Z8" s="289" t="n">
        <v>54.94</v>
      </c>
      <c r="AA8" s="289" t="n">
        <v>80.89</v>
      </c>
      <c r="AB8" s="289" t="n">
        <v>44.86</v>
      </c>
      <c r="AC8" s="289" t="n">
        <v>55.5</v>
      </c>
      <c r="AD8" s="289" t="n">
        <v>52.52</v>
      </c>
      <c r="AE8" s="289" t="n">
        <v>30.36</v>
      </c>
      <c r="AF8" s="289" t="n">
        <v>50.15</v>
      </c>
      <c r="AG8" s="289" t="n">
        <v>34.94</v>
      </c>
      <c r="AH8" s="289" t="n">
        <v>60.26</v>
      </c>
      <c r="AI8" s="289" t="n">
        <v>0.0</v>
      </c>
      <c r="AJ8" s="289" t="n">
        <v>55.75</v>
      </c>
      <c r="AK8" s="289" t="n">
        <v>57.63</v>
      </c>
      <c r="AL8" s="289" t="n">
        <v>56.9</v>
      </c>
      <c r="AM8" s="289" t="n">
        <v>78.26</v>
      </c>
      <c r="AN8" s="289" t="n">
        <v>56.1</v>
      </c>
      <c r="AO8" s="289" t="n">
        <v>35.68</v>
      </c>
      <c r="AP8" s="289" t="n">
        <v>51.23</v>
      </c>
      <c r="AQ8" s="289" t="n">
        <v>75.58</v>
      </c>
      <c r="AR8" s="289" t="n">
        <v>52.78</v>
      </c>
      <c r="AS8" s="289" t="n">
        <v>42.13</v>
      </c>
      <c r="AT8" s="289" t="n">
        <v>55.25</v>
      </c>
      <c r="AU8" s="289" t="n">
        <v>70.48</v>
      </c>
      <c r="AV8" s="289" t="n">
        <v>47.41</v>
      </c>
      <c r="AW8" s="289" t="n">
        <v>59.62</v>
      </c>
      <c r="AX8" s="289" t="n">
        <v>54.89</v>
      </c>
      <c r="AY8" s="289" t="n">
        <v>56.12</v>
      </c>
      <c r="AZ8" s="289" t="n">
        <v>55.43</v>
      </c>
      <c r="BA8" s="289" t="n">
        <v>33.85</v>
      </c>
      <c r="BB8" s="289" t="n">
        <v>32.06</v>
      </c>
      <c r="BC8" s="289" t="n">
        <v>9.97</v>
      </c>
      <c r="BD8" s="289" t="n">
        <v>44.01</v>
      </c>
      <c r="BE8" s="289" t="n">
        <v>3.3</v>
      </c>
      <c r="BF8" s="289" t="n">
        <v>2.18</v>
      </c>
      <c r="BG8" s="289" t="n">
        <v>7.46</v>
      </c>
      <c r="BH8" s="289" t="n">
        <v>11.92</v>
      </c>
      <c r="BI8" s="289" t="n">
        <v>48.69</v>
      </c>
      <c r="BJ8" s="289" t="n">
        <v>18.83</v>
      </c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2" hidden="true">
      <c r="B9" s="16" t="s">
        <v>75</v>
      </c>
      <c r="C9" s="13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2" hidden="true">
      <c r="B10" s="16" t="s">
        <v>76</v>
      </c>
      <c r="C10" s="1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2" hidden="true">
      <c r="B11" s="16" t="s">
        <v>77</v>
      </c>
      <c r="C11" s="1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2" hidden="true">
      <c r="B12" s="16" t="s">
        <v>78</v>
      </c>
      <c r="C12" s="1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2" hidden="true">
      <c r="B13" s="16" t="s">
        <v>79</v>
      </c>
      <c r="C13" s="1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2" hidden="true">
      <c r="B14" s="16" t="s">
        <v>80</v>
      </c>
      <c r="C14" s="1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2" hidden="true">
      <c r="B15" s="16" t="s">
        <v>81</v>
      </c>
      <c r="C15" s="1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2" hidden="true">
      <c r="B16" s="16" t="s">
        <v>82</v>
      </c>
      <c r="C16" s="1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2" hidden="true">
      <c r="B17" s="16" t="s">
        <v>83</v>
      </c>
      <c r="C17" s="1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2" hidden="true">
      <c r="B18" s="16" t="s">
        <v>84</v>
      </c>
      <c r="C18" s="1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2" hidden="true">
      <c r="B19" s="16" t="s">
        <v>85</v>
      </c>
      <c r="C19" s="1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2" hidden="true">
      <c r="B20" s="16" t="s">
        <v>86</v>
      </c>
      <c r="C20" s="1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2" hidden="true">
      <c r="B21" s="16" t="s">
        <v>87</v>
      </c>
      <c r="C21" s="1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2" hidden="true">
      <c r="B22" s="16" t="s">
        <v>88</v>
      </c>
      <c r="C22" s="1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2" hidden="true">
      <c r="B23" s="16" t="s">
        <v>89</v>
      </c>
      <c r="C23" s="1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2" hidden="true">
      <c r="B24" s="16" t="s">
        <v>90</v>
      </c>
      <c r="C24" s="1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2" hidden="true">
      <c r="B25" s="16" t="s">
        <v>91</v>
      </c>
      <c r="C25" s="1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2" hidden="true">
      <c r="B26" s="16" t="s">
        <v>92</v>
      </c>
      <c r="C26" s="1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2" hidden="true">
      <c r="B27" s="16" t="s">
        <v>93</v>
      </c>
      <c r="C27" s="1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2" hidden="true">
      <c r="B28" s="16" t="s">
        <v>94</v>
      </c>
      <c r="C28" s="1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2" hidden="true">
      <c r="B29" s="16" t="s">
        <v>95</v>
      </c>
      <c r="C29" s="1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2" hidden="true">
      <c r="B30" s="16" t="s">
        <v>96</v>
      </c>
      <c r="C30" s="1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2" hidden="true">
      <c r="B31" s="16" t="s">
        <v>97</v>
      </c>
      <c r="C31" s="1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2" hidden="true">
      <c r="B32" s="16" t="s">
        <v>98</v>
      </c>
      <c r="C32" s="1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2" hidden="true">
      <c r="B33" s="16" t="s">
        <v>99</v>
      </c>
      <c r="C33" s="1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2" hidden="true">
      <c r="B34" s="16" t="s">
        <v>100</v>
      </c>
      <c r="C34" s="1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2" hidden="true">
      <c r="B35" s="16" t="s">
        <v>101</v>
      </c>
      <c r="C35" s="1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2" hidden="true">
      <c r="B36" s="16" t="s">
        <v>102</v>
      </c>
      <c r="C36" s="1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2" hidden="true">
      <c r="B37" s="16" t="s">
        <v>103</v>
      </c>
      <c r="C37" s="1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2" hidden="true">
      <c r="B38" s="16" t="s">
        <v>104</v>
      </c>
      <c r="C38" s="1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2" hidden="true">
      <c r="B39" s="16" t="s">
        <v>105</v>
      </c>
      <c r="C39" s="1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2" hidden="true">
      <c r="B40" s="16" t="s">
        <v>106</v>
      </c>
      <c r="C40" s="1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2" hidden="true">
      <c r="B41" s="16" t="s">
        <v>107</v>
      </c>
      <c r="C41" s="1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2" hidden="true">
      <c r="B42" s="16" t="s">
        <v>108</v>
      </c>
      <c r="C42" s="1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2" hidden="true">
      <c r="B43" s="16" t="s">
        <v>109</v>
      </c>
      <c r="C43" s="1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2" hidden="true">
      <c r="B44" s="16" t="s">
        <v>110</v>
      </c>
      <c r="C44" s="1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2" hidden="true">
      <c r="B45" s="16" t="s">
        <v>111</v>
      </c>
      <c r="C45" s="1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2" hidden="true">
      <c r="B46" s="16" t="s">
        <v>112</v>
      </c>
      <c r="C46" s="1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2" hidden="true">
      <c r="B47" s="16" t="s">
        <v>113</v>
      </c>
      <c r="C47" s="1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2" hidden="true">
      <c r="B48" s="16" t="s">
        <v>114</v>
      </c>
      <c r="C48" s="1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2" hidden="true">
      <c r="B49" s="16" t="s">
        <v>115</v>
      </c>
      <c r="C49" s="1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2" hidden="true">
      <c r="B50" s="16" t="s">
        <v>116</v>
      </c>
      <c r="C50" s="1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2" hidden="true">
      <c r="B51" s="16" t="s">
        <v>117</v>
      </c>
      <c r="C51" s="1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2" hidden="true">
      <c r="B52" s="16" t="s">
        <v>118</v>
      </c>
      <c r="C52" s="1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2" hidden="true">
      <c r="B53" s="16" t="s">
        <v>119</v>
      </c>
      <c r="C53" s="1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2" hidden="true">
      <c r="B54" s="16" t="s">
        <v>120</v>
      </c>
      <c r="C54" s="1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2" hidden="true">
      <c r="B55" s="16" t="s">
        <v>121</v>
      </c>
      <c r="C55" s="1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2" hidden="true">
      <c r="B56" s="16" t="s">
        <v>122</v>
      </c>
      <c r="C56" s="1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2" hidden="true">
      <c r="B57" s="16" t="s">
        <v>123</v>
      </c>
      <c r="C57" s="1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2" hidden="true">
      <c r="B58" s="16" t="s">
        <v>124</v>
      </c>
      <c r="C58" s="1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2" hidden="true">
      <c r="B59" s="16" t="s">
        <v>125</v>
      </c>
      <c r="C59" s="1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2" hidden="true">
      <c r="B60" s="16" t="s">
        <v>126</v>
      </c>
      <c r="C60" s="1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2" hidden="true">
      <c r="B61" s="16" t="s">
        <v>127</v>
      </c>
      <c r="C61" s="1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2" hidden="true">
      <c r="B62" s="16" t="s">
        <v>128</v>
      </c>
      <c r="C62" s="1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2" hidden="true">
      <c r="B63" s="16" t="s">
        <v>129</v>
      </c>
      <c r="C63" s="1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2" hidden="true">
      <c r="B64" s="16" t="s">
        <v>130</v>
      </c>
      <c r="C64" s="1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2" hidden="true">
      <c r="B65" s="16" t="s">
        <v>131</v>
      </c>
      <c r="C65" s="1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2" hidden="true">
      <c r="B66" s="16" t="s">
        <v>132</v>
      </c>
      <c r="C66" s="1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2" hidden="true">
      <c r="B67" s="16" t="s">
        <v>133</v>
      </c>
      <c r="C67" s="1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2" hidden="true">
      <c r="B68" s="16" t="s">
        <v>134</v>
      </c>
      <c r="C68" s="1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2" hidden="true">
      <c r="B69" s="16" t="s">
        <v>135</v>
      </c>
      <c r="C69" s="1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2" hidden="true">
      <c r="B70" s="16" t="s">
        <v>136</v>
      </c>
      <c r="C70" s="1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2" hidden="true">
      <c r="B71" s="16" t="s">
        <v>137</v>
      </c>
      <c r="C71" s="1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2" hidden="true">
      <c r="B72" s="16" t="s">
        <v>138</v>
      </c>
      <c r="C72" s="1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2" hidden="true">
      <c r="B73" s="16" t="s">
        <v>139</v>
      </c>
      <c r="C73" s="1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2" hidden="true">
      <c r="B74" s="16" t="s">
        <v>140</v>
      </c>
      <c r="C74" s="1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2" hidden="true">
      <c r="B75" s="16" t="s">
        <v>141</v>
      </c>
      <c r="C75" s="1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2" hidden="true">
      <c r="B76" s="16" t="s">
        <v>142</v>
      </c>
      <c r="C76" s="1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2" hidden="true">
      <c r="B77" s="16" t="s">
        <v>143</v>
      </c>
      <c r="C77" s="1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2" hidden="true">
      <c r="B78" s="16" t="s">
        <v>144</v>
      </c>
      <c r="C78" s="1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2" hidden="true">
      <c r="B79" s="16" t="s">
        <v>145</v>
      </c>
      <c r="C79" s="1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2" hidden="true">
      <c r="B80" s="16" t="s">
        <v>146</v>
      </c>
      <c r="C80" s="1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2" hidden="true">
      <c r="B81" s="16" t="s">
        <v>147</v>
      </c>
      <c r="C81" s="1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2" hidden="true">
      <c r="B82" s="16" t="s">
        <v>148</v>
      </c>
      <c r="C82" s="1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2" hidden="true">
      <c r="B83" s="16" t="s">
        <v>149</v>
      </c>
      <c r="C83" s="1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2" hidden="true">
      <c r="B84" s="16" t="s">
        <v>150</v>
      </c>
      <c r="C84" s="1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2" hidden="true">
      <c r="B85" s="16" t="s">
        <v>151</v>
      </c>
      <c r="C85" s="1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2" hidden="true">
      <c r="B86" s="16" t="s">
        <v>152</v>
      </c>
      <c r="C86" s="1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2" hidden="true">
      <c r="B87" s="16" t="s">
        <v>153</v>
      </c>
      <c r="C87" s="1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2" hidden="true">
      <c r="B88" s="16" t="s">
        <v>154</v>
      </c>
      <c r="C88" s="1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2" hidden="true">
      <c r="B89" s="16" t="s">
        <v>155</v>
      </c>
      <c r="C89" s="1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2" hidden="true">
      <c r="B90" s="16" t="s">
        <v>156</v>
      </c>
      <c r="C90" s="1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2" hidden="true">
      <c r="B91" s="16" t="s">
        <v>157</v>
      </c>
      <c r="C91" s="1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2" hidden="true">
      <c r="B92" s="16" t="s">
        <v>158</v>
      </c>
      <c r="C92" s="1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2" hidden="true">
      <c r="B93" s="16" t="s">
        <v>159</v>
      </c>
      <c r="C93" s="1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2" hidden="true">
      <c r="B94" s="16" t="s">
        <v>160</v>
      </c>
      <c r="C94" s="1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2" hidden="true">
      <c r="B95" s="16" t="s">
        <v>161</v>
      </c>
      <c r="C95" s="1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2" hidden="true">
      <c r="B96" s="16" t="s">
        <v>162</v>
      </c>
      <c r="C96" s="1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2" hidden="true">
      <c r="B97" s="16" t="s">
        <v>163</v>
      </c>
      <c r="C97" s="1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2" hidden="true">
      <c r="B98" s="16" t="s">
        <v>164</v>
      </c>
      <c r="C98" s="1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2" hidden="true">
      <c r="B99" s="16" t="s">
        <v>165</v>
      </c>
      <c r="C99" s="1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2" hidden="true">
      <c r="B100" s="16" t="s">
        <v>166</v>
      </c>
      <c r="C100" s="1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2" hidden="true">
      <c r="B101" s="16" t="s">
        <v>167</v>
      </c>
      <c r="C101" s="1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2" hidden="true">
      <c r="B102" s="16" t="s">
        <v>168</v>
      </c>
      <c r="C102" s="1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2" hidden="true">
      <c r="B103" s="16" t="s">
        <v>169</v>
      </c>
      <c r="C103" s="1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2" hidden="true">
      <c r="B104" s="16" t="s">
        <v>170</v>
      </c>
      <c r="C104" s="1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2" hidden="true">
      <c r="B105" s="16" t="s">
        <v>171</v>
      </c>
      <c r="C105" s="1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2" hidden="true">
      <c r="B106" s="16" t="s">
        <v>172</v>
      </c>
      <c r="C106" s="1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2" hidden="true">
      <c r="B107" s="16" t="s">
        <v>173</v>
      </c>
      <c r="C107" s="1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2" hidden="true">
      <c r="B108" s="16" t="s">
        <v>174</v>
      </c>
      <c r="C108" s="1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2" hidden="true">
      <c r="B109" s="16" t="s">
        <v>175</v>
      </c>
      <c r="C109" s="1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2" hidden="true">
      <c r="B110" s="16" t="s">
        <v>176</v>
      </c>
      <c r="C110" s="1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2" hidden="true">
      <c r="B111" s="16" t="s">
        <v>177</v>
      </c>
      <c r="C111" s="1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2" hidden="true">
      <c r="B112" s="16" t="s">
        <v>178</v>
      </c>
      <c r="C112" s="1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2" hidden="true">
      <c r="B113" s="16" t="s">
        <v>179</v>
      </c>
      <c r="C113" s="1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2" hidden="true">
      <c r="B114" s="16" t="s">
        <v>180</v>
      </c>
      <c r="C114" s="1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2" hidden="true">
      <c r="B115" s="16" t="s">
        <v>181</v>
      </c>
      <c r="C115" s="1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2" hidden="true">
      <c r="B116" s="16" t="s">
        <v>182</v>
      </c>
      <c r="C116" s="1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2" hidden="true">
      <c r="B117" s="16" t="s">
        <v>183</v>
      </c>
      <c r="C117" s="1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2" hidden="true">
      <c r="B118" s="16" t="s">
        <v>184</v>
      </c>
      <c r="C118" s="1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2" hidden="true">
      <c r="B119" s="16" t="s">
        <v>185</v>
      </c>
      <c r="C119" s="1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2" hidden="true">
      <c r="B120" s="16" t="s">
        <v>186</v>
      </c>
      <c r="C120" s="1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2" hidden="true">
      <c r="B121" s="16" t="s">
        <v>187</v>
      </c>
      <c r="C121" s="1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2" hidden="true">
      <c r="B122" s="16" t="s">
        <v>188</v>
      </c>
      <c r="C122" s="1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2" hidden="true">
      <c r="B123" s="16" t="s">
        <v>189</v>
      </c>
      <c r="C123" s="1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2" hidden="true">
      <c r="B124" s="16" t="s">
        <v>190</v>
      </c>
      <c r="C124" s="1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2" hidden="true">
      <c r="B125" s="16" t="s">
        <v>191</v>
      </c>
      <c r="C125" s="1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2" hidden="true">
      <c r="B126" s="16" t="s">
        <v>192</v>
      </c>
      <c r="C126" s="1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2" hidden="true">
      <c r="B127" s="16" t="s">
        <v>193</v>
      </c>
      <c r="C127" s="1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2" hidden="true">
      <c r="B128" s="16" t="s">
        <v>194</v>
      </c>
      <c r="C128" s="1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2" hidden="true">
      <c r="B129" s="16" t="s">
        <v>195</v>
      </c>
      <c r="C129" s="1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2" hidden="true">
      <c r="B130" s="16" t="s">
        <v>196</v>
      </c>
      <c r="C130" s="1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2" hidden="true">
      <c r="B131" s="16" t="s">
        <v>197</v>
      </c>
      <c r="C131" s="1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2" hidden="true">
      <c r="B132" s="16" t="s">
        <v>198</v>
      </c>
      <c r="C132" s="1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2" hidden="true">
      <c r="B133" s="16" t="s">
        <v>199</v>
      </c>
      <c r="C133" s="1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2" hidden="true">
      <c r="B134" s="16" t="s">
        <v>200</v>
      </c>
      <c r="C134" s="1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2" hidden="true">
      <c r="B135" s="16" t="s">
        <v>201</v>
      </c>
      <c r="C135" s="1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2" hidden="true">
      <c r="B136" s="16" t="s">
        <v>202</v>
      </c>
      <c r="C136" s="1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2" hidden="true">
      <c r="B137" s="16" t="s">
        <v>203</v>
      </c>
      <c r="C137" s="1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2" hidden="true">
      <c r="B138" s="16" t="s">
        <v>204</v>
      </c>
      <c r="C138" s="1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2" hidden="true">
      <c r="B139" s="16" t="s">
        <v>205</v>
      </c>
      <c r="C139" s="1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2" hidden="true">
      <c r="B140" s="16" t="s">
        <v>206</v>
      </c>
      <c r="C140" s="1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2" hidden="true">
      <c r="B141" s="16" t="s">
        <v>207</v>
      </c>
      <c r="C141" s="1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2" hidden="true">
      <c r="B142" s="16" t="s">
        <v>208</v>
      </c>
      <c r="C142" s="1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2" hidden="true">
      <c r="B143" s="16" t="s">
        <v>209</v>
      </c>
      <c r="C143" s="1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2" hidden="true">
      <c r="B144" s="16" t="s">
        <v>210</v>
      </c>
      <c r="C144" s="1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2" hidden="true">
      <c r="B145" s="16" t="s">
        <v>211</v>
      </c>
      <c r="C145" s="1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2" hidden="true">
      <c r="B146" s="16" t="s">
        <v>212</v>
      </c>
      <c r="C146" s="1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2" hidden="true">
      <c r="B147" s="16" t="s">
        <v>213</v>
      </c>
      <c r="C147" s="1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2" hidden="true">
      <c r="B148" s="16" t="s">
        <v>214</v>
      </c>
      <c r="C148" s="1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2" hidden="true">
      <c r="B149" s="16" t="s">
        <v>215</v>
      </c>
      <c r="C149" s="1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2" hidden="true">
      <c r="B150" s="16" t="s">
        <v>216</v>
      </c>
      <c r="C150" s="1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2" hidden="true">
      <c r="B151" s="16" t="s">
        <v>217</v>
      </c>
      <c r="C151" s="1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2" hidden="true">
      <c r="B152" s="16" t="s">
        <v>218</v>
      </c>
      <c r="C152" s="1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2" hidden="true">
      <c r="B153" s="16" t="s">
        <v>219</v>
      </c>
      <c r="C153" s="1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2" hidden="true">
      <c r="B154" s="16" t="s">
        <v>220</v>
      </c>
      <c r="C154" s="1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2" hidden="true">
      <c r="B155" s="16" t="s">
        <v>221</v>
      </c>
      <c r="C155" s="1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2" hidden="true">
      <c r="B156" s="16" t="s">
        <v>222</v>
      </c>
      <c r="C156" s="1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2" hidden="true">
      <c r="B157" s="16" t="s">
        <v>223</v>
      </c>
      <c r="C157" s="1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2" hidden="true">
      <c r="B158" s="16" t="s">
        <v>224</v>
      </c>
      <c r="C158" s="1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2" hidden="true">
      <c r="B159" s="16" t="s">
        <v>225</v>
      </c>
      <c r="C159" s="1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2" hidden="true">
      <c r="B160" s="16" t="s">
        <v>226</v>
      </c>
      <c r="C160" s="1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2" hidden="true">
      <c r="B161" s="16" t="s">
        <v>227</v>
      </c>
      <c r="C161" s="1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2" hidden="true">
      <c r="B162" s="16" t="s">
        <v>228</v>
      </c>
      <c r="C162" s="1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2" hidden="true">
      <c r="B163" s="16" t="s">
        <v>229</v>
      </c>
      <c r="C163" s="1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2" hidden="true">
      <c r="B164" s="16" t="s">
        <v>230</v>
      </c>
      <c r="C164" s="1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2" hidden="true">
      <c r="B165" s="16" t="s">
        <v>231</v>
      </c>
      <c r="C165" s="1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2" hidden="true">
      <c r="B166" s="16" t="s">
        <v>232</v>
      </c>
      <c r="C166" s="1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2" hidden="true">
      <c r="B167" s="16" t="s">
        <v>233</v>
      </c>
      <c r="C167" s="1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2" hidden="true">
      <c r="B168" s="16" t="s">
        <v>234</v>
      </c>
      <c r="C168" s="1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2" hidden="true">
      <c r="B169" s="16" t="s">
        <v>235</v>
      </c>
      <c r="C169" s="1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2" hidden="true">
      <c r="B170" s="16" t="s">
        <v>236</v>
      </c>
      <c r="C170" s="1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2" hidden="true">
      <c r="B171" s="16" t="s">
        <v>237</v>
      </c>
      <c r="C171" s="1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2" hidden="true">
      <c r="B172" s="16" t="s">
        <v>238</v>
      </c>
      <c r="C172" s="1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2" hidden="true">
      <c r="B173" s="16" t="s">
        <v>239</v>
      </c>
      <c r="C173" s="1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2" hidden="true">
      <c r="B174" s="16" t="s">
        <v>240</v>
      </c>
      <c r="C174" s="1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2" hidden="true">
      <c r="B175" s="16" t="s">
        <v>241</v>
      </c>
      <c r="C175" s="1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2" hidden="true">
      <c r="B176" s="16" t="s">
        <v>242</v>
      </c>
      <c r="C176" s="1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2" hidden="true">
      <c r="B177" s="16" t="s">
        <v>243</v>
      </c>
      <c r="C177" s="1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2" hidden="true">
      <c r="B178" s="16" t="s">
        <v>244</v>
      </c>
      <c r="C178" s="1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2" hidden="true">
      <c r="B179" s="16" t="s">
        <v>245</v>
      </c>
      <c r="C179" s="1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2" hidden="true">
      <c r="B180" s="16" t="s">
        <v>246</v>
      </c>
      <c r="C180" s="1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2" hidden="true">
      <c r="B181" s="16" t="s">
        <v>247</v>
      </c>
      <c r="C181" s="1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2" hidden="true">
      <c r="B182" s="16" t="s">
        <v>248</v>
      </c>
      <c r="C182" s="1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2" hidden="true">
      <c r="B183" s="16" t="s">
        <v>249</v>
      </c>
      <c r="C183" s="1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2" hidden="true">
      <c r="B184" s="16" t="s">
        <v>250</v>
      </c>
      <c r="C184" s="1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2" hidden="true">
      <c r="B185" s="16" t="s">
        <v>251</v>
      </c>
      <c r="C185" s="1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2" hidden="true">
      <c r="B186" s="16" t="s">
        <v>252</v>
      </c>
      <c r="C186" s="1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2" hidden="true">
      <c r="B187" s="16" t="s">
        <v>253</v>
      </c>
      <c r="C187" s="1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2" hidden="true">
      <c r="B188" s="16" t="s">
        <v>254</v>
      </c>
      <c r="C188" s="1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2" hidden="true">
      <c r="B189" s="16" t="s">
        <v>255</v>
      </c>
      <c r="C189" s="1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2" hidden="true">
      <c r="B190" s="16" t="s">
        <v>256</v>
      </c>
      <c r="C190" s="1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2" hidden="true">
      <c r="B191" s="16" t="s">
        <v>257</v>
      </c>
      <c r="C191" s="1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2" hidden="true">
      <c r="B192" s="16" t="s">
        <v>258</v>
      </c>
      <c r="C192" s="1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2" hidden="true">
      <c r="B193" s="16" t="s">
        <v>259</v>
      </c>
      <c r="C193" s="1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2" hidden="true">
      <c r="B194" s="16" t="s">
        <v>260</v>
      </c>
      <c r="C194" s="1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2" hidden="true">
      <c r="B195" s="16" t="s">
        <v>261</v>
      </c>
      <c r="C195" s="1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2" hidden="true">
      <c r="B196" s="16" t="s">
        <v>262</v>
      </c>
      <c r="C196" s="1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2" hidden="true">
      <c r="B197" s="16" t="s">
        <v>263</v>
      </c>
      <c r="C197" s="1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2" hidden="true">
      <c r="B198" s="16" t="s">
        <v>264</v>
      </c>
      <c r="C198" s="1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2" hidden="true">
      <c r="B199" s="16" t="s">
        <v>265</v>
      </c>
      <c r="C199" s="1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2" hidden="true">
      <c r="B200" s="16" t="s">
        <v>266</v>
      </c>
      <c r="C200" s="1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2" hidden="true">
      <c r="B201" s="16" t="s">
        <v>267</v>
      </c>
      <c r="C201" s="1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2" hidden="true">
      <c r="B202" s="16" t="s">
        <v>268</v>
      </c>
      <c r="C202" s="1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2" hidden="true">
      <c r="B203" s="16" t="s">
        <v>269</v>
      </c>
      <c r="C203" s="1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2" hidden="true">
      <c r="B204" s="16" t="s">
        <v>270</v>
      </c>
      <c r="C204" s="1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2" hidden="true">
      <c r="B205" s="16" t="s">
        <v>271</v>
      </c>
      <c r="C205" s="1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2" hidden="true">
      <c r="B206" s="16" t="s">
        <v>272</v>
      </c>
      <c r="C206" s="1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2" hidden="true">
      <c r="B207" s="16" t="s">
        <v>273</v>
      </c>
      <c r="C207" s="1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2" hidden="true">
      <c r="B208" s="16" t="s">
        <v>274</v>
      </c>
      <c r="C208" s="1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2" hidden="true">
      <c r="B209" s="16" t="s">
        <v>275</v>
      </c>
      <c r="C209" s="1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2" hidden="true">
      <c r="B210" s="16" t="s">
        <v>276</v>
      </c>
      <c r="C210" s="1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2" hidden="true">
      <c r="B211" s="16" t="s">
        <v>277</v>
      </c>
      <c r="C211" s="1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2" hidden="true">
      <c r="B212" s="16" t="s">
        <v>278</v>
      </c>
      <c r="C212" s="1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2" hidden="true">
      <c r="B213" s="16" t="s">
        <v>279</v>
      </c>
      <c r="C213" s="1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2" hidden="true">
      <c r="B214" s="16" t="s">
        <v>280</v>
      </c>
      <c r="C214" s="1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2" hidden="true">
      <c r="B215" s="16" t="s">
        <v>281</v>
      </c>
      <c r="C215" s="1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2" hidden="true">
      <c r="B216" s="16" t="s">
        <v>282</v>
      </c>
      <c r="C216" s="1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2" hidden="true">
      <c r="B217" s="16" t="s">
        <v>283</v>
      </c>
      <c r="C217" s="1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2" hidden="true">
      <c r="B218" s="16" t="s">
        <v>284</v>
      </c>
      <c r="C218" s="1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2" hidden="true">
      <c r="B219" s="16" t="s">
        <v>285</v>
      </c>
      <c r="C219" s="1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2" hidden="true">
      <c r="B220" s="16" t="s">
        <v>286</v>
      </c>
      <c r="C220" s="1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2" hidden="true">
      <c r="B221" s="16" t="s">
        <v>287</v>
      </c>
      <c r="C221" s="1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2" hidden="true">
      <c r="B222" s="16" t="s">
        <v>288</v>
      </c>
      <c r="C222" s="1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2" hidden="true">
      <c r="B223" s="16" t="s">
        <v>289</v>
      </c>
      <c r="C223" s="1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2" hidden="true">
      <c r="B224" s="16" t="s">
        <v>290</v>
      </c>
      <c r="C224" s="1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2" hidden="true">
      <c r="B225" s="16" t="s">
        <v>291</v>
      </c>
      <c r="C225" s="1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2" hidden="true">
      <c r="B226" s="16" t="s">
        <v>292</v>
      </c>
      <c r="C226" s="1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2" hidden="true">
      <c r="B227" s="16" t="s">
        <v>293</v>
      </c>
      <c r="C227" s="1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2" hidden="true">
      <c r="B228" s="16" t="s">
        <v>294</v>
      </c>
      <c r="C228" s="1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2" hidden="true">
      <c r="B229" s="16" t="s">
        <v>295</v>
      </c>
      <c r="C229" s="1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2" hidden="true">
      <c r="B230" s="16" t="s">
        <v>296</v>
      </c>
      <c r="C230" s="1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2" hidden="true">
      <c r="B231" s="16" t="s">
        <v>297</v>
      </c>
      <c r="C231" s="1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2" hidden="true">
      <c r="B232" s="16" t="s">
        <v>298</v>
      </c>
      <c r="C232" s="1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2" hidden="true">
      <c r="B233" s="16" t="s">
        <v>299</v>
      </c>
      <c r="C233" s="1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2" hidden="true">
      <c r="B234" s="16" t="s">
        <v>300</v>
      </c>
      <c r="C234" s="1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2" hidden="true">
      <c r="B235" s="16" t="s">
        <v>301</v>
      </c>
      <c r="C235" s="1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2" hidden="true">
      <c r="B236" s="16" t="s">
        <v>302</v>
      </c>
      <c r="C236" s="1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2" hidden="true">
      <c r="B237" s="16" t="s">
        <v>303</v>
      </c>
      <c r="C237" s="1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2" hidden="true">
      <c r="B238" s="16" t="s">
        <v>304</v>
      </c>
      <c r="C238" s="1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2" hidden="true">
      <c r="B239" s="16" t="s">
        <v>305</v>
      </c>
      <c r="C239" s="1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2" hidden="true">
      <c r="B240" s="16" t="s">
        <v>306</v>
      </c>
      <c r="C240" s="1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2" hidden="true">
      <c r="B241" s="16" t="s">
        <v>307</v>
      </c>
      <c r="C241" s="1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2" hidden="true">
      <c r="B242" s="16" t="s">
        <v>308</v>
      </c>
      <c r="C242" s="1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2" hidden="true">
      <c r="B243" s="16" t="s">
        <v>309</v>
      </c>
      <c r="C243" s="1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2" hidden="true">
      <c r="B244" s="16" t="s">
        <v>310</v>
      </c>
      <c r="C244" s="1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2" hidden="true">
      <c r="B245" s="16" t="s">
        <v>311</v>
      </c>
      <c r="C245" s="1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2" hidden="true">
      <c r="B246" s="16" t="s">
        <v>312</v>
      </c>
      <c r="C246" s="1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2" hidden="true">
      <c r="B247" s="16" t="s">
        <v>313</v>
      </c>
      <c r="C247" s="1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2" hidden="true">
      <c r="B248" s="16" t="s">
        <v>314</v>
      </c>
      <c r="C248" s="1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2" hidden="true">
      <c r="B249" s="16" t="s">
        <v>315</v>
      </c>
      <c r="C249" s="1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2" hidden="true">
      <c r="B250" s="16" t="s">
        <v>316</v>
      </c>
      <c r="C250" s="1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2" hidden="true">
      <c r="B251" s="16" t="s">
        <v>317</v>
      </c>
      <c r="C251" s="1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2" hidden="true">
      <c r="B252" s="16" t="s">
        <v>318</v>
      </c>
      <c r="C252" s="1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2" hidden="true">
      <c r="B253" s="16" t="s">
        <v>319</v>
      </c>
      <c r="C253" s="1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2" hidden="true">
      <c r="B254" s="16" t="s">
        <v>320</v>
      </c>
      <c r="C254" s="1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2" hidden="true">
      <c r="B255" s="16" t="s">
        <v>321</v>
      </c>
      <c r="C255" s="1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2" hidden="true">
      <c r="B256" s="16" t="s">
        <v>322</v>
      </c>
      <c r="C256" s="1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2" hidden="true">
      <c r="B257" s="16" t="s">
        <v>323</v>
      </c>
      <c r="C257" s="1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2">
      <c r="G258" s="5"/>
      <c r="H258" s="5"/>
      <c r="I258" s="5"/>
      <c r="J258" s="5"/>
      <c r="K258" s="5"/>
    </row>
    <row r="259" spans="2:258" ht="18" customHeight="1" x14ac:dyDescent="0.2">
      <c r="B259" s="22" t="str">
        <f>'グラフ設定（地域別）'!B2</f>
        <v>（時点）令和7年(2025年)</v>
      </c>
      <c r="C259" s="22"/>
      <c r="D259" s="22"/>
      <c r="E259" s="22"/>
      <c r="F259" s="22"/>
    </row>
    <row r="260" spans="2:258" ht="60.75" customHeight="1" x14ac:dyDescent="0.2">
      <c r="B260" s="24" t="str">
        <f>'グラフ設定（地域別）'!J2</f>
        <v>（出典）厚生労働省「介護保険総合データベース」　※本指標は自治体向けのため取り扱いに注意してください。</v>
      </c>
      <c r="C260" s="24"/>
      <c r="D260" s="24"/>
      <c r="E260" s="24"/>
      <c r="F260" s="24"/>
      <c r="G260" s="24"/>
      <c r="H260" s="24"/>
      <c r="I260" s="24"/>
      <c r="J260" s="24"/>
      <c r="K260" s="24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2026-04-15T07:44:30Z</dcterms:modified>
</cp:coreProperties>
</file>