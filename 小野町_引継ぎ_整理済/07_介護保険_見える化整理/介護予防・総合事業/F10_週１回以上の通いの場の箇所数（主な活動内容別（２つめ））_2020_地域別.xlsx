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005BE860-1B63-40BF-A778-17B7F12E8FF9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7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7" l="1"/>
  <c r="L2" i="23"/>
  <c r="B259" i="26" s="1"/>
  <c r="F2" i="23" l="1"/>
  <c r="J2" i="23" l="1"/>
  <c r="B261" i="26" s="1"/>
  <c r="B2" i="23"/>
  <c r="B260" i="26" l="1"/>
  <c r="A2" i="23" l="1"/>
</calcChain>
</file>

<file path=xl/sharedStrings.xml><?xml version="1.0" encoding="utf-8"?>
<sst xmlns="http://schemas.openxmlformats.org/spreadsheetml/2006/main" count="1770" uniqueCount="881">
  <si>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</si>
  <si>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</si>
  <si>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</si>
  <si>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</si>
  <si>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</si>
  <si>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</si>
  <si>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</si>
  <si>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</si>
  <si>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</si>
  <si>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</si>
  <si>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</si>
  <si>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</si>
  <si>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</si>
  <si>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</si>
  <si>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</si>
  <si>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</si>
  <si>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</si>
  <si>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</si>
  <si>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</si>
  <si>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</si>
  <si>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</si>
  <si>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</si>
  <si>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</si>
  <si>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</si>
  <si>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</si>
  <si>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</si>
  <si>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</si>
  <si>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</si>
  <si>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</si>
  <si>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</si>
  <si>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</si>
  <si>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</si>
  <si>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</si>
  <si>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</si>
  <si>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</si>
  <si>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</si>
  <si>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</si>
  <si>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</si>
  <si>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</si>
  <si>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</si>
  <si>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</si>
  <si>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</si>
  <si>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</si>
  <si>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</si>
  <si>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</si>
  <si>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</si>
  <si>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</si>
  <si>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</si>
  <si>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</si>
  <si>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</si>
  <si>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</si>
  <si>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</si>
  <si>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</si>
  <si>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</si>
  <si>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</si>
  <si>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</si>
  <si>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</si>
  <si>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</si>
  <si>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</si>
  <si>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</si>
  <si>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</si>
  <si>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</si>
  <si>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</si>
  <si>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</si>
  <si>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</si>
  <si>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</si>
  <si>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</si>
  <si>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</si>
  <si>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</si>
  <si>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</si>
  <si>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</si>
  <si>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</si>
  <si>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</si>
  <si>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</si>
  <si>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</si>
  <si>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</si>
  <si>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</si>
  <si>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</si>
  <si>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</si>
  <si>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</si>
  <si>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</si>
  <si>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</si>
  <si>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</si>
  <si>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</si>
  <si>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</si>
  <si>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</si>
  <si>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</si>
  <si>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</si>
  <si>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</si>
  <si>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</si>
  <si>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</si>
  <si>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</si>
  <si>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</si>
  <si>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</si>
  <si>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</si>
  <si>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</si>
  <si>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</si>
  <si>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</si>
  <si>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</si>
  <si>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</si>
  <si>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</si>
  <si>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</si>
  <si>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</si>
  <si>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</si>
  <si>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</si>
  <si>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</si>
  <si>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</si>
  <si>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</si>
  <si>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</si>
  <si>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</si>
  <si>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</si>
  <si>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</si>
  <si>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</si>
  <si>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</si>
  <si>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</si>
  <si>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</si>
  <si>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</si>
  <si>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</si>
  <si>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</si>
  <si>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</si>
  <si>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</si>
  <si>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</si>
  <si>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</si>
  <si>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</si>
  <si>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</si>
  <si>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</si>
  <si>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</si>
  <si>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</si>
  <si>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</si>
  <si>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</si>
  <si>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</si>
  <si>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</si>
  <si>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</si>
  <si>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</si>
  <si>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</si>
  <si>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</si>
  <si>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</si>
  <si>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</si>
  <si>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</si>
  <si>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</si>
  <si>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</si>
  <si>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</si>
  <si>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</si>
  <si>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</si>
  <si>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</si>
  <si>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</si>
  <si>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</si>
  <si>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</si>
  <si>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</si>
  <si>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</si>
  <si>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</si>
  <si>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</si>
  <si>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</si>
  <si>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</si>
  <si>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</si>
  <si>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</si>
  <si>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</si>
  <si>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</si>
  <si>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</si>
  <si>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</si>
  <si>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</si>
  <si>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</si>
  <si>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</si>
  <si>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</si>
  <si>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</si>
  <si>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</si>
  <si>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</si>
  <si>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</si>
  <si>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</si>
  <si>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</si>
  <si>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</si>
  <si>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</si>
  <si>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</si>
  <si>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</si>
  <si>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</si>
  <si>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</si>
  <si>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</si>
  <si>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</si>
  <si>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</si>
  <si>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</si>
  <si>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</si>
  <si>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</si>
  <si>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</si>
  <si>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</si>
  <si>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</si>
  <si>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</si>
  <si>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</si>
  <si>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</si>
  <si>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</si>
  <si>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</si>
  <si>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</si>
  <si>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</si>
  <si>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</si>
  <si>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</si>
  <si>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</si>
  <si>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</si>
  <si>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</si>
  <si>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</si>
  <si>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</si>
  <si>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</si>
  <si>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</si>
  <si>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</si>
  <si>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</si>
  <si>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</si>
  <si>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</si>
  <si>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</si>
  <si>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</si>
  <si>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</si>
  <si>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</si>
  <si>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</si>
  <si>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</si>
  <si>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</si>
  <si>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</si>
  <si>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</si>
  <si>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</si>
  <si>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</si>
  <si>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</si>
  <si>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</si>
  <si>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</si>
  <si>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</si>
  <si>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</si>
  <si>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</si>
  <si>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</si>
  <si>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</si>
  <si>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</si>
  <si>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</si>
  <si>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</si>
  <si>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</si>
  <si>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</si>
  <si>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</si>
  <si>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</si>
  <si>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</si>
  <si>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</si>
  <si>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</si>
  <si>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</si>
  <si>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</si>
  <si>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</si>
  <si>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</si>
  <si>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</si>
  <si>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</si>
  <si>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</si>
  <si>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</si>
  <si>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</si>
  <si>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</si>
  <si>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</si>
  <si>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</si>
  <si>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</si>
  <si>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</si>
  <si>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</si>
  <si>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</si>
  <si>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</si>
  <si>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</si>
  <si>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</si>
  <si>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</si>
  <si>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</si>
  <si>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</si>
  <si>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</si>
  <si>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</si>
  <si>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</si>
  <si>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</si>
  <si>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</si>
  <si>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</si>
  <si>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</si>
  <si>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</si>
  <si>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</si>
  <si>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</si>
  <si>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</si>
  <si>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</si>
  <si>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</si>
  <si>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</si>
  <si>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</si>
  <si>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</si>
  <si>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</si>
  <si>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</si>
  <si>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</si>
  <si>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</si>
  <si>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</si>
  <si>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</si>
  <si>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</si>
  <si>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</si>
  <si>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</si>
  <si>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</si>
  <si>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</si>
  <si>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</si>
  <si>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</si>
  <si>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</si>
  <si>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</si>
  <si>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</si>
  <si>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</si>
  <si>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</si>
  <si>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</si>
  <si>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</si>
  <si>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</si>
  <si>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</si>
  <si>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</si>
  <si>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</si>
  <si>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</si>
  <si>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</si>
  <si>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</si>
  <si>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</si>
  <si>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</si>
  <si>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</si>
  <si>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</si>
  <si>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</si>
  <si>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</si>
  <si>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</si>
  <si>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</si>
  <si>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</si>
  <si>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</si>
  <si>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</si>
  <si>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</si>
  <si>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</si>
  <si>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</si>
  <si>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</si>
  <si>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</si>
  <si>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</si>
  <si>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</si>
  <si>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</si>
  <si>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</si>
  <si>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</si>
  <si>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</si>
  <si>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</si>
  <si>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</si>
  <si>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</si>
  <si>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</si>
  <si>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</si>
  <si>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</si>
  <si>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</si>
  <si>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</si>
  <si>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</si>
  <si>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</si>
  <si>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</si>
  <si>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</si>
  <si>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</si>
  <si>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</si>
  <si>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</si>
  <si>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</si>
  <si>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</si>
  <si>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</si>
  <si>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</si>
  <si>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</si>
  <si>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</si>
  <si>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</si>
  <si>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</si>
  <si>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</si>
  <si>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</si>
  <si>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</si>
  <si>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</si>
  <si>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</si>
  <si>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</si>
  <si>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</si>
  <si>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</si>
  <si>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</si>
  <si>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</si>
  <si>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</si>
  <si>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</si>
  <si>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</si>
  <si>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</si>
  <si>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</si>
  <si>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</si>
  <si>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</si>
  <si>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</si>
  <si>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</si>
  <si>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</si>
  <si>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</si>
  <si>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</si>
  <si>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</si>
  <si>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</si>
  <si>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</si>
  <si>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</si>
  <si>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</si>
  <si>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</si>
  <si>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</si>
  <si>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</si>
  <si>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</si>
  <si>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</si>
  <si>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</si>
  <si>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</si>
  <si>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</si>
  <si>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</si>
  <si>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</si>
  <si>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</si>
  <si>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</si>
  <si>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</si>
  <si>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</si>
  <si>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</si>
  <si>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</si>
  <si>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</si>
  <si>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</si>
  <si>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</si>
  <si>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</si>
  <si>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</si>
  <si>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</si>
  <si>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</si>
  <si>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</si>
  <si>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</si>
  <si>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</si>
  <si>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</si>
  <si>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</si>
  <si>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</si>
  <si>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</si>
  <si>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</si>
  <si>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</si>
  <si>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</si>
  <si>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</si>
  <si>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</si>
  <si>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</si>
  <si>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</si>
  <si>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</si>
  <si>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</si>
  <si>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</si>
  <si>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</si>
  <si>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</si>
  <si>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</si>
  <si>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</si>
  <si>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</si>
  <si>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</si>
  <si>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</si>
  <si>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</si>
  <si>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</si>
  <si>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</si>
  <si>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</si>
  <si>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</si>
  <si>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</si>
  <si>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</si>
  <si>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</si>
  <si>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</si>
  <si>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</si>
  <si>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</si>
  <si>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</si>
  <si>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</si>
  <si>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</si>
  <si>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</si>
  <si>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</si>
  <si>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</si>
  <si>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</si>
  <si>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</si>
  <si>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</si>
  <si>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</si>
  <si>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</si>
  <si>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</si>
  <si>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</si>
  <si>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</si>
  <si>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</si>
  <si>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</si>
  <si>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</si>
  <si>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</si>
  <si>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</si>
  <si>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</si>
  <si>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</si>
  <si>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</si>
  <si>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</si>
  <si>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</si>
  <si>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</si>
  <si>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</si>
  <si>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</si>
  <si>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</si>
  <si>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</si>
  <si>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</si>
  <si>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</si>
  <si>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</si>
  <si>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</si>
  <si>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</si>
  <si>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</si>
  <si>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</si>
  <si>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</si>
  <si>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</si>
  <si>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</si>
  <si>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</si>
  <si>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</si>
  <si>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</si>
  <si>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</si>
  <si>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</si>
  <si>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</si>
  <si>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</si>
  <si>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</si>
  <si>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</si>
  <si>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</si>
  <si>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</si>
  <si>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</si>
  <si>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</si>
  <si>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</si>
  <si>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</si>
  <si>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</si>
  <si>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</si>
  <si>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</si>
  <si>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</si>
  <si>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</si>
  <si>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</si>
  <si>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</si>
  <si>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</si>
  <si>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</si>
  <si>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</si>
  <si>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</si>
  <si>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</si>
  <si>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</si>
  <si>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</si>
  <si>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</si>
  <si>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</si>
  <si>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</si>
  <si>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</si>
  <si>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</si>
  <si>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</si>
  <si>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</si>
  <si>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</si>
  <si>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</si>
  <si>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</si>
  <si>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</si>
  <si>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</si>
  <si>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</si>
  <si>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</si>
  <si>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</si>
  <si>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</si>
  <si>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</si>
  <si>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</si>
  <si>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</si>
  <si>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</si>
  <si>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</si>
  <si>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</si>
  <si>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</si>
  <si>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</si>
  <si>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</si>
  <si>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</si>
  <si>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</si>
  <si>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</si>
  <si>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</si>
  <si>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</si>
  <si>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</si>
  <si>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</si>
  <si>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</si>
  <si>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</si>
  <si>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</si>
  <si>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</si>
  <si>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</si>
  <si>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</si>
  <si>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</si>
  <si>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</si>
  <si>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</si>
  <si>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</si>
  <si>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</si>
  <si>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</si>
  <si>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</si>
  <si>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</si>
  <si>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</si>
  <si>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</si>
  <si>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</si>
  <si>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</si>
  <si>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</si>
  <si>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</si>
  <si>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</si>
  <si>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</si>
  <si>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</si>
  <si>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</si>
  <si>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</si>
  <si>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</si>
  <si>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</si>
  <si>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</si>
  <si>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</si>
  <si>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</si>
  <si>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</si>
  <si>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</si>
  <si>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</si>
  <si>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</si>
  <si>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</si>
  <si>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</si>
  <si>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</si>
  <si>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</si>
  <si>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</si>
  <si>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</si>
  <si>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</si>
  <si>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</si>
  <si>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</si>
  <si>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</si>
  <si>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</si>
  <si>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</si>
  <si>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</si>
  <si>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</si>
  <si>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</si>
  <si>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</si>
  <si>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</si>
  <si>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</si>
  <si>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</si>
  <si>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</si>
  <si>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</si>
  <si>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</si>
  <si>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</si>
  <si>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</si>
  <si>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</si>
  <si>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</si>
  <si>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</si>
  <si>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</si>
  <si>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</si>
  <si>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</si>
  <si>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</si>
  <si>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</si>
  <si>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</si>
  <si>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</si>
  <si>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</si>
  <si>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</si>
  <si>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</si>
  <si>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</si>
  <si>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</si>
  <si>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</si>
  <si>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</si>
  <si>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</si>
  <si>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</si>
  <si>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</si>
  <si>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</si>
  <si>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</si>
  <si>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</si>
  <si>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</si>
  <si>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</si>
  <si>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</si>
  <si>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</si>
  <si>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</si>
  <si>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</si>
  <si>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</si>
  <si>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</si>
  <si>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</si>
  <si>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</si>
  <si>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</si>
  <si>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</si>
  <si>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</si>
  <si>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</si>
  <si>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</si>
  <si>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</si>
  <si>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</si>
  <si>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</si>
  <si>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</si>
  <si>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</si>
  <si>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</si>
  <si>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</si>
  <si>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</si>
  <si>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</si>
  <si>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</si>
  <si>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</si>
  <si>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</si>
  <si>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</si>
  <si>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</si>
  <si>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</si>
  <si>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</si>
  <si>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</si>
  <si>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</si>
  <si>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</si>
  <si>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</si>
  <si>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</si>
  <si>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</si>
  <si>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</si>
  <si>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</si>
  <si>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</si>
  <si>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</si>
  <si>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</si>
  <si>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</si>
  <si>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</si>
  <si>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</si>
  <si>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</si>
  <si>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</si>
  <si>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</si>
  <si>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</si>
  <si>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</si>
  <si>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</si>
  <si>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</si>
  <si>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</si>
  <si>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</si>
  <si>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</si>
  <si>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</si>
  <si>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</si>
  <si>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</si>
  <si>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</si>
  <si>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</si>
  <si>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</si>
  <si>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</si>
  <si>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</si>
  <si>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</si>
  <si>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</si>
  <si>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</si>
  <si>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</si>
  <si>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</si>
  <si>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</si>
  <si>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</si>
  <si>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</si>
  <si>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</si>
  <si>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</si>
  <si>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</si>
  <si>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</si>
  <si>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</si>
  <si>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</si>
  <si>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</si>
  <si>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</si>
  <si>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</si>
  <si>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</si>
  <si>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</si>
  <si>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</si>
  <si>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</si>
  <si>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</si>
  <si>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</si>
  <si>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</si>
  <si>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</si>
  <si>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</si>
  <si>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</si>
  <si>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</si>
  <si>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</si>
  <si>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</si>
  <si>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</si>
  <si>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</si>
  <si>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</si>
  <si>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</si>
  <si>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</si>
  <si>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</si>
  <si>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</si>
  <si>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</si>
  <si>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</si>
  <si>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</si>
  <si>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</si>
  <si>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</si>
  <si>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</si>
  <si>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</si>
  <si>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</si>
  <si>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</si>
  <si>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</si>
  <si>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</si>
  <si>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</si>
  <si>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</si>
  <si>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</si>
  <si>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</si>
  <si>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</si>
  <si>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</si>
  <si>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</si>
  <si>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</si>
  <si>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</si>
  <si>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</si>
  <si>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</si>
  <si>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</si>
  <si>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</si>
  <si>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</si>
  <si>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</si>
  <si>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</si>
  <si>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</si>
  <si>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</si>
  <si>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</si>
  <si>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</si>
  <si>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</si>
  <si>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</si>
  <si>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</si>
  <si>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</si>
  <si>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</si>
  <si>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</si>
  <si>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</si>
  <si>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</si>
  <si>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</si>
  <si>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</si>
  <si>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</si>
  <si>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</si>
  <si>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</si>
  <si>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</si>
  <si>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</si>
  <si>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</si>
  <si>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</si>
  <si>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</si>
  <si>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</si>
  <si>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</si>
  <si>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</si>
  <si>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</si>
  <si>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</si>
  <si>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</si>
  <si>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</si>
  <si>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</si>
  <si>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</si>
  <si>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</si>
  <si>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</si>
  <si>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</si>
  <si>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</si>
  <si>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</si>
  <si>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E指標ラベル</t>
    <rPh sb="1" eb="3">
      <t>シヒョウ</t>
    </rPh>
    <phoneticPr fontId="1"/>
  </si>
  <si>
    <t>表示用</t>
    <phoneticPr fontId="1"/>
  </si>
  <si>
    <t>小野町</t>
  </si>
  <si>
    <t>福島県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</si>
  <si>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</si>
  <si>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</si>
  <si>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</si>
  <si>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</si>
  <si>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</si>
  <si>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</si>
  <si>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</si>
  <si>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</si>
  <si>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</si>
  <si>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</si>
  <si>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</si>
  <si>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</si>
  <si>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</si>
  <si>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</si>
  <si>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</si>
  <si>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</si>
  <si>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</si>
  <si>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</si>
  <si>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</si>
  <si>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</si>
  <si>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</si>
  <si>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</si>
  <si>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</si>
  <si>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</si>
  <si>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</si>
  <si>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</si>
  <si>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</si>
  <si>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</si>
  <si>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</si>
  <si>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</si>
  <si>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</si>
  <si>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</si>
  <si>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</si>
  <si>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</si>
  <si>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</si>
  <si>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</si>
  <si>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</si>
  <si>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</si>
  <si>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</si>
  <si>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</si>
  <si>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</si>
  <si>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</si>
  <si>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</si>
  <si>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</si>
  <si>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</si>
  <si>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</si>
  <si>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</si>
  <si>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</si>
  <si>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</si>
  <si>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</si>
  <si>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</si>
  <si>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</si>
  <si>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</si>
  <si>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</si>
  <si>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</si>
  <si>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</si>
  <si>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</si>
  <si>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</si>
  <si>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-(主な活動内容が１つのみ)</t>
  </si>
  <si>
    <t>体操（運動）</t>
  </si>
  <si>
    <t>会食</t>
  </si>
  <si>
    <t>茶話会</t>
  </si>
  <si>
    <t>認知症予防</t>
  </si>
  <si>
    <t>趣味活動</t>
  </si>
  <si>
    <t>農作業</t>
  </si>
  <si>
    <t>生涯学習</t>
  </si>
  <si>
    <t>ボランティア活動</t>
  </si>
  <si>
    <t>就労的活動</t>
  </si>
  <si>
    <t>多世代交流</t>
  </si>
  <si>
    <t>その他</t>
  </si>
  <si>
    <t>週１回以上の通いの場の構成比（主な活動内容別（２つめ））</t>
  </si>
  <si>
    <t>令和2年(2020年)</t>
  </si>
  <si>
    <t>%</t>
  </si>
  <si>
    <t>厚生労働省「介護予防事業及び介護予防・日常生活支援総合事業の実施状況に関する調査」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</si>
  <si>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</si>
  <si>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</si>
  <si>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-</t>
  </si>
  <si>
    <t>週１回以上の通いの場の箇所数（主な活動内容別（２つめ））（-(主な活動内容が１つのみ)）[構成比]</t>
  </si>
  <si>
    <t>（%）</t>
  </si>
  <si>
    <t>週１回以上の通いの場の箇所数（主な活動内容別（２つめ））（体操（運動））[構成比]</t>
  </si>
  <si>
    <t>週１回以上の通いの場の箇所数（主な活動内容別（２つめ））（会食）[構成比]</t>
  </si>
  <si>
    <t>週１回以上の通いの場の箇所数（主な活動内容別（２つめ））（茶話会）[構成比]</t>
  </si>
  <si>
    <t>週１回以上の通いの場の箇所数（主な活動内容別（２つめ））（認知症予防）[構成比]</t>
  </si>
  <si>
    <t>週１回以上の通いの場の箇所数（主な活動内容別（２つめ））（趣味活動）[構成比]</t>
  </si>
  <si>
    <t>週１回以上の通いの場の箇所数（主な活動内容別（２つめ））（農作業）[構成比]</t>
  </si>
  <si>
    <t>週１回以上の通いの場の箇所数（主な活動内容別（２つめ））（生涯学習）[構成比]</t>
  </si>
  <si>
    <t>週１回以上の通いの場の箇所数（主な活動内容別（２つめ））（ボランティア活動）[構成比]</t>
  </si>
  <si>
    <t>週１回以上の通いの場の箇所数（主な活動内容別（２つめ））（就労的活動）[構成比]</t>
  </si>
  <si>
    <t>週１回以上の通いの場の箇所数（主な活動内容別（２つめ））（多世代交流）[構成比]</t>
  </si>
  <si>
    <t>週１回以上の通いの場の箇所数（主な活動内容別（２つめ））（その他）[構成比]</t>
  </si>
  <si>
    <t>週１回以上の通いの場の箇所数（主な活動内容別（２つめ））（-(主な活動内容が１つのみ)）</t>
  </si>
  <si>
    <t>（箇所）</t>
  </si>
  <si>
    <t>週１回以上の通いの場の箇所数（主な活動内容別（２つめ））（体操（運動））</t>
  </si>
  <si>
    <t>週１回以上の通いの場の箇所数（主な活動内容別（２つめ））（会食）</t>
  </si>
  <si>
    <t>週１回以上の通いの場の箇所数（主な活動内容別（２つめ））（茶話会）</t>
  </si>
  <si>
    <t>週１回以上の通いの場の箇所数（主な活動内容別（２つめ））（認知症予防）</t>
  </si>
  <si>
    <t>週１回以上の通いの場の箇所数（主な活動内容別（２つめ））（趣味活動）</t>
  </si>
  <si>
    <t>週１回以上の通いの場の箇所数（主な活動内容別（２つめ））（農作業）</t>
  </si>
  <si>
    <t>週１回以上の通いの場の箇所数（主な活動内容別（２つめ））（生涯学習）</t>
  </si>
  <si>
    <t>週１回以上の通いの場の箇所数（主な活動内容別（２つめ））（ボランティア活動）</t>
  </si>
  <si>
    <t>週１回以上の通いの場の箇所数（主な活動内容別（２つめ））（就労的活動）</t>
  </si>
  <si>
    <t>週１回以上の通いの場の箇所数（主な活動内容別（２つめ））（多世代交流）</t>
  </si>
  <si>
    <t>週１回以上の通いの場の箇所数（主な活動内容別（２つめ））（その他）</t>
  </si>
  <si>
    <t>週１回以上の通いの場の箇所数（主な活動内容別（２つめ））（総数）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</si>
</sst>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4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8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Border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vertical="center" shrinkToFit="1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6" xfId="0" applyBorder="true" applyFont="true"/>
    <xf numFmtId="0" fontId="4" fillId="0" borderId="6" xfId="0" applyBorder="true" applyFont="true"/>
    <xf numFmtId="0" fontId="4" fillId="6" borderId="6" xfId="0" applyBorder="true" applyFont="true" applyFill="true">
      <alignment wrapText="true" vertical="center" horizontal="center"/>
    </xf>
    <xf numFmtId="0" fontId="4" fillId="0" borderId="6" xfId="0" applyBorder="true" applyFont="true"/>
    <xf numFmtId="164" fontId="5" fillId="0" borderId="6" xfId="0" applyBorder="true" applyFont="true" applyNumberFormat="true">
      <alignment shrinkToFit="true"/>
    </xf>
    <xf numFmtId="3" fontId="5" fillId="0" borderId="6" xfId="0" applyBorder="true" applyFont="true" applyNumberFormat="true">
      <alignment shrinkToFit="true"/>
    </xf>
    <xf numFmtId="0" fontId="5" fillId="0" borderId="6" xfId="0" applyBorder="true" applyFont="true"/>
    <xf numFmtId="0" fontId="5" fillId="0" borderId="6" xfId="0" applyBorder="true" applyFont="true"/>
    <xf numFmtId="164" fontId="6" fillId="0" borderId="6" xfId="0" applyBorder="true" applyFont="true" applyNumberFormat="true">
      <alignment shrinkToFit="true"/>
    </xf>
    <xf numFmtId="3" fontId="6" fillId="0" borderId="6" xfId="0" applyBorder="true" applyFont="true" applyNumberFormat="true">
      <alignment shrinkToFit="true"/>
    </xf>
    <xf numFmtId="0" fontId="6" fillId="0" borderId="6" xfId="0" applyBorder="true" applyFont="true"/>
    <xf numFmtId="0" fontId="6" fillId="0" borderId="6" xfId="0" applyBorder="true" applyFont="true"/>
    <xf numFmtId="164" fontId="7" fillId="0" borderId="6" xfId="0" applyBorder="true" applyFont="true" applyNumberFormat="true">
      <alignment shrinkToFit="true"/>
    </xf>
    <xf numFmtId="3" fontId="7" fillId="0" borderId="6" xfId="0" applyBorder="true" applyFont="true" applyNumberFormat="true">
      <alignment shrinkToFit="true"/>
    </xf>
    <xf numFmtId="0" fontId="7" fillId="0" borderId="6" xfId="0" applyBorder="true" applyFont="true"/>
    <xf numFmtId="0" fontId="7" fillId="0" borderId="6" xfId="0" applyBorder="true" applyFont="true"/>
    <xf numFmtId="164" fontId="8" fillId="0" borderId="6" xfId="0" applyBorder="true" applyFont="true" applyNumberFormat="true">
      <alignment shrinkToFit="true"/>
    </xf>
    <xf numFmtId="3" fontId="8" fillId="0" borderId="6" xfId="0" applyBorder="true" applyFont="true" applyNumberFormat="true">
      <alignment shrinkToFit="true"/>
    </xf>
    <xf numFmtId="0" fontId="8" fillId="0" borderId="6" xfId="0" applyBorder="true" applyFont="true"/>
    <xf numFmtId="0" fontId="8" fillId="0" borderId="6" xfId="0" applyBorder="true" applyFont="true"/>
    <xf numFmtId="164" fontId="9" fillId="0" borderId="6" xfId="0" applyBorder="true" applyFont="true" applyNumberFormat="true">
      <alignment shrinkToFit="true"/>
    </xf>
    <xf numFmtId="3" fontId="9" fillId="0" borderId="6" xfId="0" applyBorder="true" applyFont="true" applyNumberFormat="true">
      <alignment shrinkToFit="true"/>
    </xf>
    <xf numFmtId="0" fontId="9" fillId="0" borderId="6" xfId="0" applyBorder="true" applyFont="true"/>
    <xf numFmtId="0" fontId="9" fillId="0" borderId="6" xfId="0" applyBorder="true" applyFont="true"/>
    <xf numFmtId="164" fontId="10" fillId="0" borderId="6" xfId="0" applyBorder="true" applyFont="true" applyNumberFormat="true">
      <alignment shrinkToFit="true"/>
    </xf>
    <xf numFmtId="3" fontId="10" fillId="0" borderId="6" xfId="0" applyBorder="true" applyFont="true" applyNumberFormat="true">
      <alignment shrinkToFit="true"/>
    </xf>
    <xf numFmtId="0" fontId="10" fillId="0" borderId="6" xfId="0" applyBorder="true" applyFont="true"/>
    <xf numFmtId="0" fontId="10" fillId="0" borderId="6" xfId="0" applyBorder="true" applyFont="true"/>
    <xf numFmtId="0" fontId="11" fillId="0" borderId="6" xfId="0" applyBorder="true" applyFont="true"/>
    <xf numFmtId="3" fontId="11" fillId="0" borderId="6" xfId="0" applyBorder="true" applyFont="true" applyNumberFormat="true">
      <alignment shrinkToFit="true"/>
    </xf>
    <xf numFmtId="0" fontId="11" fillId="0" borderId="6" xfId="0" applyBorder="true" applyFont="true"/>
    <xf numFmtId="0" fontId="11" fillId="0" borderId="6" xfId="0" applyBorder="true" applyFont="true"/>
    <xf numFmtId="164" fontId="12" fillId="0" borderId="6" xfId="0" applyBorder="true" applyFont="true" applyNumberFormat="true">
      <alignment shrinkToFit="true"/>
    </xf>
    <xf numFmtId="3" fontId="12" fillId="0" borderId="6" xfId="0" applyBorder="true" applyFont="true" applyNumberFormat="true">
      <alignment shrinkToFit="true"/>
    </xf>
    <xf numFmtId="0" fontId="12" fillId="0" borderId="6" xfId="0" applyBorder="true" applyFont="true"/>
    <xf numFmtId="0" fontId="12" fillId="0" borderId="6" xfId="0" applyBorder="true" applyFont="true"/>
    <xf numFmtId="164" fontId="13" fillId="0" borderId="6" xfId="0" applyBorder="true" applyFont="true" applyNumberFormat="true">
      <alignment shrinkToFit="true"/>
    </xf>
    <xf numFmtId="3" fontId="13" fillId="0" borderId="6" xfId="0" applyBorder="true" applyFont="true" applyNumberFormat="true">
      <alignment shrinkToFit="true"/>
    </xf>
    <xf numFmtId="0" fontId="13" fillId="0" borderId="6" xfId="0" applyBorder="true" applyFont="true"/>
    <xf numFmtId="0" fontId="13" fillId="0" borderId="6" xfId="0" applyBorder="true" applyFont="true"/>
    <xf numFmtId="0" fontId="14" fillId="0" borderId="6" xfId="0" applyBorder="true" applyFont="true"/>
    <xf numFmtId="3" fontId="14" fillId="0" borderId="6" xfId="0" applyBorder="true" applyFont="true" applyNumberFormat="true">
      <alignment shrinkToFit="true"/>
    </xf>
    <xf numFmtId="0" fontId="14" fillId="0" borderId="6" xfId="0" applyBorder="true" applyFont="true"/>
    <xf numFmtId="0" fontId="14" fillId="0" borderId="6" xfId="0" applyBorder="true" applyFont="true"/>
    <xf numFmtId="164" fontId="15" fillId="0" borderId="6" xfId="0" applyBorder="true" applyFont="true" applyNumberFormat="true">
      <alignment shrinkToFit="true"/>
    </xf>
    <xf numFmtId="3" fontId="15" fillId="0" borderId="6" xfId="0" applyBorder="true" applyFont="true" applyNumberFormat="true">
      <alignment shrinkToFit="true"/>
    </xf>
    <xf numFmtId="0" fontId="15" fillId="0" borderId="6" xfId="0" applyBorder="true" applyFont="true"/>
    <xf numFmtId="0" fontId="15" fillId="0" borderId="6" xfId="0" applyBorder="true" applyFont="true"/>
    <xf numFmtId="164" fontId="16" fillId="0" borderId="6" xfId="0" applyBorder="true" applyFont="true" applyNumberFormat="true">
      <alignment shrinkToFit="true"/>
    </xf>
    <xf numFmtId="3" fontId="16" fillId="0" borderId="6" xfId="0" applyBorder="true" applyFont="true" applyNumberFormat="true">
      <alignment shrinkToFit="true"/>
    </xf>
    <xf numFmtId="0" fontId="16" fillId="0" borderId="6" xfId="0" applyBorder="true" applyFont="true"/>
    <xf numFmtId="0" fontId="16" fillId="0" borderId="6" xfId="0" applyBorder="true" applyFont="true"/>
    <xf numFmtId="0" fontId="17" fillId="0" borderId="6" xfId="0" applyBorder="true" applyFont="true"/>
    <xf numFmtId="0" fontId="17" fillId="0" borderId="6" xfId="0" applyBorder="true" applyFont="true"/>
    <xf numFmtId="0" fontId="17" fillId="6" borderId="6" xfId="0" applyBorder="true" applyFont="true" applyFill="true">
      <alignment wrapText="true" vertical="center" horizontal="center"/>
    </xf>
    <xf numFmtId="0" fontId="17" fillId="0" borderId="6" xfId="0" applyBorder="true" applyFont="true"/>
    <xf numFmtId="164" fontId="18" fillId="0" borderId="6" xfId="0" applyBorder="true" applyFont="true" applyNumberFormat="true">
      <alignment shrinkToFit="true"/>
    </xf>
    <xf numFmtId="3" fontId="18" fillId="0" borderId="6" xfId="0" applyBorder="true" applyFont="true" applyNumberFormat="true">
      <alignment shrinkToFit="true"/>
    </xf>
    <xf numFmtId="0" fontId="18" fillId="0" borderId="6" xfId="0" applyBorder="true" applyFont="true"/>
    <xf numFmtId="0" fontId="18" fillId="0" borderId="6" xfId="0" applyBorder="true" applyFont="true">
      <alignment vertical="center" horizontal="right"/>
    </xf>
    <xf numFmtId="164" fontId="19" fillId="0" borderId="6" xfId="0" applyBorder="true" applyFont="true" applyNumberFormat="true">
      <alignment shrinkToFit="true"/>
    </xf>
    <xf numFmtId="3" fontId="19" fillId="0" borderId="6" xfId="0" applyBorder="true" applyFont="true" applyNumberFormat="true">
      <alignment shrinkToFit="true"/>
    </xf>
    <xf numFmtId="0" fontId="19" fillId="0" borderId="6" xfId="0" applyBorder="true" applyFont="true"/>
    <xf numFmtId="0" fontId="19" fillId="0" borderId="6" xfId="0" applyBorder="true" applyFont="true">
      <alignment vertical="center" horizontal="right"/>
    </xf>
    <xf numFmtId="164" fontId="20" fillId="0" borderId="6" xfId="0" applyBorder="true" applyFont="true" applyNumberFormat="true">
      <alignment shrinkToFit="true"/>
    </xf>
    <xf numFmtId="3" fontId="20" fillId="0" borderId="6" xfId="0" applyBorder="true" applyFont="true" applyNumberFormat="true">
      <alignment shrinkToFit="true"/>
    </xf>
    <xf numFmtId="0" fontId="20" fillId="0" borderId="6" xfId="0" applyBorder="true" applyFont="true"/>
    <xf numFmtId="0" fontId="20" fillId="0" borderId="6" xfId="0" applyBorder="true" applyFont="true">
      <alignment vertical="center" horizontal="right"/>
    </xf>
    <xf numFmtId="164" fontId="21" fillId="0" borderId="6" xfId="0" applyBorder="true" applyFont="true" applyNumberFormat="true">
      <alignment shrinkToFit="true"/>
    </xf>
    <xf numFmtId="3" fontId="21" fillId="0" borderId="6" xfId="0" applyBorder="true" applyFont="true" applyNumberFormat="true">
      <alignment shrinkToFit="true"/>
    </xf>
    <xf numFmtId="0" fontId="21" fillId="0" borderId="6" xfId="0" applyBorder="true" applyFont="true"/>
    <xf numFmtId="0" fontId="21" fillId="0" borderId="6" xfId="0" applyBorder="true" applyFont="true">
      <alignment vertical="center" horizontal="right"/>
    </xf>
    <xf numFmtId="164" fontId="22" fillId="0" borderId="6" xfId="0" applyBorder="true" applyFont="true" applyNumberFormat="true">
      <alignment shrinkToFit="true"/>
    </xf>
    <xf numFmtId="3" fontId="22" fillId="0" borderId="6" xfId="0" applyBorder="true" applyFont="true" applyNumberFormat="true">
      <alignment shrinkToFit="true"/>
    </xf>
    <xf numFmtId="0" fontId="22" fillId="0" borderId="6" xfId="0" applyBorder="true" applyFont="true"/>
    <xf numFmtId="0" fontId="22" fillId="0" borderId="6" xfId="0" applyBorder="true" applyFont="true">
      <alignment vertical="center" horizontal="right"/>
    </xf>
    <xf numFmtId="164" fontId="23" fillId="0" borderId="6" xfId="0" applyBorder="true" applyFont="true" applyNumberFormat="true">
      <alignment shrinkToFit="true"/>
    </xf>
    <xf numFmtId="3" fontId="23" fillId="0" borderId="6" xfId="0" applyBorder="true" applyFont="true" applyNumberFormat="true">
      <alignment shrinkToFit="true"/>
    </xf>
    <xf numFmtId="0" fontId="23" fillId="0" borderId="6" xfId="0" applyBorder="true" applyFont="true"/>
    <xf numFmtId="0" fontId="23" fillId="0" borderId="6" xfId="0" applyBorder="true" applyFont="true">
      <alignment vertical="center" horizontal="right"/>
    </xf>
    <xf numFmtId="164" fontId="24" fillId="0" borderId="6" xfId="0" applyBorder="true" applyFont="true" applyNumberFormat="true">
      <alignment shrinkToFit="true"/>
    </xf>
    <xf numFmtId="3" fontId="24" fillId="0" borderId="6" xfId="0" applyBorder="true" applyFont="true" applyNumberFormat="true">
      <alignment shrinkToFit="true"/>
    </xf>
    <xf numFmtId="0" fontId="24" fillId="0" borderId="6" xfId="0" applyBorder="true" applyFont="true"/>
    <xf numFmtId="0" fontId="24" fillId="0" borderId="6" xfId="0" applyBorder="true" applyFont="true">
      <alignment vertical="center" horizontal="right"/>
    </xf>
    <xf numFmtId="164" fontId="25" fillId="0" borderId="6" xfId="0" applyBorder="true" applyFont="true" applyNumberFormat="true">
      <alignment shrinkToFit="true"/>
    </xf>
    <xf numFmtId="3" fontId="25" fillId="0" borderId="6" xfId="0" applyBorder="true" applyFont="true" applyNumberFormat="true">
      <alignment shrinkToFit="true"/>
    </xf>
    <xf numFmtId="0" fontId="25" fillId="0" borderId="6" xfId="0" applyBorder="true" applyFont="true"/>
    <xf numFmtId="0" fontId="25" fillId="0" borderId="6" xfId="0" applyBorder="true" applyFont="true">
      <alignment vertical="center" horizontal="right"/>
    </xf>
    <xf numFmtId="164" fontId="26" fillId="0" borderId="6" xfId="0" applyBorder="true" applyFont="true" applyNumberFormat="true">
      <alignment shrinkToFit="true"/>
    </xf>
    <xf numFmtId="3" fontId="26" fillId="0" borderId="6" xfId="0" applyBorder="true" applyFont="true" applyNumberFormat="true">
      <alignment shrinkToFit="true"/>
    </xf>
    <xf numFmtId="0" fontId="26" fillId="0" borderId="6" xfId="0" applyBorder="true" applyFont="true"/>
    <xf numFmtId="0" fontId="26" fillId="0" borderId="6" xfId="0" applyBorder="true" applyFont="true">
      <alignment vertical="center" horizontal="right"/>
    </xf>
    <xf numFmtId="164" fontId="27" fillId="0" borderId="6" xfId="0" applyBorder="true" applyFont="true" applyNumberFormat="true">
      <alignment shrinkToFit="true"/>
    </xf>
    <xf numFmtId="3" fontId="27" fillId="0" borderId="6" xfId="0" applyBorder="true" applyFont="true" applyNumberFormat="true">
      <alignment shrinkToFit="true"/>
    </xf>
    <xf numFmtId="0" fontId="27" fillId="0" borderId="6" xfId="0" applyBorder="true" applyFont="true"/>
    <xf numFmtId="0" fontId="27" fillId="0" borderId="6" xfId="0" applyBorder="true" applyFont="true">
      <alignment vertical="center" horizontal="right"/>
    </xf>
    <xf numFmtId="164" fontId="28" fillId="0" borderId="6" xfId="0" applyBorder="true" applyFont="true" applyNumberFormat="true">
      <alignment shrinkToFit="true"/>
    </xf>
    <xf numFmtId="3" fontId="28" fillId="0" borderId="6" xfId="0" applyBorder="true" applyFont="true" applyNumberFormat="true">
      <alignment shrinkToFit="true"/>
    </xf>
    <xf numFmtId="0" fontId="28" fillId="0" borderId="6" xfId="0" applyBorder="true" applyFont="true"/>
    <xf numFmtId="0" fontId="28" fillId="0" borderId="6" xfId="0" applyBorder="true" applyFont="true">
      <alignment vertical="center" horizontal="right"/>
    </xf>
    <xf numFmtId="164" fontId="29" fillId="0" borderId="6" xfId="0" applyBorder="true" applyFont="true" applyNumberFormat="true">
      <alignment shrinkToFit="true"/>
    </xf>
    <xf numFmtId="3" fontId="29" fillId="0" borderId="6" xfId="0" applyBorder="true" applyFont="true" applyNumberFormat="true">
      <alignment shrinkToFit="true"/>
    </xf>
    <xf numFmtId="0" fontId="29" fillId="0" borderId="6" xfId="0" applyBorder="true" applyFont="true"/>
    <xf numFmtId="0" fontId="29" fillId="0" borderId="6" xfId="0" applyBorder="true" applyFont="true">
      <alignment vertical="center" horizontal="right"/>
    </xf>
    <xf numFmtId="0" fontId="30" fillId="0" borderId="6" xfId="0" applyBorder="true" applyFont="true"/>
    <xf numFmtId="3" fontId="30" fillId="0" borderId="6" xfId="0" applyBorder="true" applyFont="true" applyNumberFormat="true">
      <alignment shrinkToFit="true"/>
    </xf>
    <xf numFmtId="0" fontId="30" fillId="0" borderId="6" xfId="0" applyBorder="true" applyFont="true"/>
    <xf numFmtId="0" fontId="30" fillId="0" borderId="6" xfId="0" applyBorder="true" applyFont="true">
      <alignment vertical="center" horizontal="right"/>
    </xf>
    <xf numFmtId="0" fontId="31" fillId="0" borderId="6" xfId="0" applyBorder="true" applyFont="true"/>
    <xf numFmtId="3" fontId="31" fillId="0" borderId="6" xfId="0" applyBorder="true" applyFont="true" applyNumberFormat="true">
      <alignment shrinkToFit="true"/>
    </xf>
    <xf numFmtId="0" fontId="31" fillId="0" borderId="6" xfId="0" applyBorder="true" applyFont="true"/>
    <xf numFmtId="0" fontId="31" fillId="0" borderId="6" xfId="0" applyBorder="true" applyFont="true">
      <alignment vertical="center" horizontal="right"/>
    </xf>
    <xf numFmtId="0" fontId="32" fillId="0" borderId="6" xfId="0" applyBorder="true" applyFont="true"/>
    <xf numFmtId="3" fontId="32" fillId="0" borderId="6" xfId="0" applyBorder="true" applyFont="true" applyNumberFormat="true">
      <alignment shrinkToFit="true"/>
    </xf>
    <xf numFmtId="0" fontId="32" fillId="0" borderId="6" xfId="0" applyBorder="true" applyFont="true"/>
    <xf numFmtId="0" fontId="32" fillId="0" borderId="6" xfId="0" applyBorder="true" applyFont="true">
      <alignment vertical="center" horizontal="right"/>
    </xf>
    <xf numFmtId="0" fontId="33" fillId="0" borderId="6" xfId="0" applyBorder="true" applyFont="true"/>
    <xf numFmtId="3" fontId="33" fillId="0" borderId="6" xfId="0" applyBorder="true" applyFont="true" applyNumberFormat="true">
      <alignment shrinkToFit="true"/>
    </xf>
    <xf numFmtId="0" fontId="33" fillId="0" borderId="6" xfId="0" applyBorder="true" applyFont="true"/>
    <xf numFmtId="0" fontId="33" fillId="0" borderId="6" xfId="0" applyBorder="true" applyFont="true">
      <alignment vertical="center" horizontal="right"/>
    </xf>
    <xf numFmtId="0" fontId="34" fillId="0" borderId="6" xfId="0" applyBorder="true" applyFont="true"/>
    <xf numFmtId="3" fontId="34" fillId="0" borderId="6" xfId="0" applyBorder="true" applyFont="true" applyNumberFormat="true">
      <alignment shrinkToFit="true"/>
    </xf>
    <xf numFmtId="0" fontId="34" fillId="0" borderId="6" xfId="0" applyBorder="true" applyFont="true"/>
    <xf numFmtId="0" fontId="34" fillId="0" borderId="6" xfId="0" applyBorder="true" applyFont="true">
      <alignment vertical="center" horizontal="right"/>
    </xf>
    <xf numFmtId="0" fontId="35" fillId="0" borderId="6" xfId="0" applyBorder="true" applyFont="true"/>
    <xf numFmtId="3" fontId="35" fillId="0" borderId="6" xfId="0" applyBorder="true" applyFont="true" applyNumberFormat="true">
      <alignment shrinkToFit="true"/>
    </xf>
    <xf numFmtId="0" fontId="35" fillId="0" borderId="6" xfId="0" applyBorder="true" applyFont="true"/>
    <xf numFmtId="0" fontId="35" fillId="0" borderId="6" xfId="0" applyBorder="true" applyFont="true">
      <alignment vertical="center" horizontal="right"/>
    </xf>
    <xf numFmtId="0" fontId="36" fillId="0" borderId="6" xfId="0" applyBorder="true" applyFont="true"/>
    <xf numFmtId="3" fontId="36" fillId="0" borderId="6" xfId="0" applyBorder="true" applyFont="true" applyNumberFormat="true">
      <alignment shrinkToFit="true"/>
    </xf>
    <xf numFmtId="0" fontId="36" fillId="0" borderId="6" xfId="0" applyBorder="true" applyFont="true"/>
    <xf numFmtId="0" fontId="36" fillId="0" borderId="6" xfId="0" applyBorder="true" applyFont="true">
      <alignment vertical="center" horizontal="right"/>
    </xf>
    <xf numFmtId="0" fontId="37" fillId="0" borderId="6" xfId="0" applyBorder="true" applyFont="true"/>
    <xf numFmtId="3" fontId="37" fillId="0" borderId="6" xfId="0" applyBorder="true" applyFont="true" applyNumberFormat="true">
      <alignment shrinkToFit="true"/>
    </xf>
    <xf numFmtId="0" fontId="37" fillId="0" borderId="6" xfId="0" applyBorder="true" applyFont="true"/>
    <xf numFmtId="0" fontId="37" fillId="0" borderId="6" xfId="0" applyBorder="true" applyFont="true">
      <alignment vertical="center" horizontal="right"/>
    </xf>
    <xf numFmtId="0" fontId="38" fillId="0" borderId="6" xfId="0" applyBorder="true" applyFont="true"/>
    <xf numFmtId="3" fontId="38" fillId="0" borderId="6" xfId="0" applyBorder="true" applyFont="true" applyNumberFormat="true">
      <alignment shrinkToFit="true"/>
    </xf>
    <xf numFmtId="0" fontId="38" fillId="0" borderId="6" xfId="0" applyBorder="true" applyFont="true"/>
    <xf numFmtId="0" fontId="38" fillId="0" borderId="6" xfId="0" applyBorder="true" applyFont="true">
      <alignment vertical="center" horizontal="right"/>
    </xf>
    <xf numFmtId="0" fontId="39" fillId="0" borderId="6" xfId="0" applyBorder="true" applyFont="true"/>
    <xf numFmtId="3" fontId="39" fillId="0" borderId="6" xfId="0" applyBorder="true" applyFont="true" applyNumberFormat="true">
      <alignment shrinkToFit="true"/>
    </xf>
    <xf numFmtId="0" fontId="39" fillId="0" borderId="6" xfId="0" applyBorder="true" applyFont="true"/>
    <xf numFmtId="0" fontId="39" fillId="0" borderId="6" xfId="0" applyBorder="true" applyFont="true">
      <alignment vertical="center" horizontal="right"/>
    </xf>
    <xf numFmtId="0" fontId="40" fillId="0" borderId="6" xfId="0" applyBorder="true" applyFont="true"/>
    <xf numFmtId="3" fontId="40" fillId="0" borderId="6" xfId="0" applyBorder="true" applyFont="true" applyNumberFormat="true">
      <alignment shrinkToFit="true"/>
    </xf>
    <xf numFmtId="0" fontId="40" fillId="0" borderId="6" xfId="0" applyBorder="true" applyFont="true"/>
    <xf numFmtId="0" fontId="40" fillId="0" borderId="6" xfId="0" applyBorder="true" applyFont="true">
      <alignment vertical="center" horizontal="right"/>
    </xf>
    <xf numFmtId="0" fontId="41" fillId="0" borderId="6" xfId="0" applyBorder="true" applyFont="true"/>
    <xf numFmtId="3" fontId="41" fillId="0" borderId="6" xfId="0" applyBorder="true" applyFont="true" applyNumberFormat="true">
      <alignment shrinkToFit="true"/>
    </xf>
    <xf numFmtId="0" fontId="41" fillId="0" borderId="6" xfId="0" applyBorder="true" applyFont="true"/>
    <xf numFmtId="0" fontId="41" fillId="0" borderId="6" xfId="0" applyBorder="true" applyFont="true">
      <alignment vertical="center" horizontal="right"/>
    </xf>
    <xf numFmtId="0" fontId="42" fillId="0" borderId="6" xfId="0" applyBorder="true" applyFont="true"/>
    <xf numFmtId="3" fontId="42" fillId="0" borderId="6" xfId="0" applyBorder="true" applyFont="true" applyNumberFormat="true">
      <alignment shrinkToFit="true"/>
    </xf>
    <xf numFmtId="0" fontId="42" fillId="0" borderId="6" xfId="0" applyBorder="true" applyFont="true"/>
    <xf numFmtId="0" fontId="42" fillId="0" borderId="6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95B3D7"/>
      <color rgb="FF561456"/>
      <color rgb="FF5A3580"/>
      <color rgb="FF5E51B9"/>
      <color rgb="FF5769E3"/>
      <color rgb="FF5395D7"/>
      <color rgb="FF60BB8D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 algn="ctr"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7848111388321"/>
          <c:y val="0.273255249343832"/>
          <c:w val="0.7676612971914446"/>
          <c:h val="0.47047024320378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9EAA-45AA-A942-C75655A88D77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9EAA-45AA-A942-C75655A88D77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9EAA-45AA-A942-C75655A88D77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9EAA-45AA-A942-C75655A88D77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9EAA-45AA-A942-C75655A88D77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9EAA-45AA-A942-C75655A88D77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9EAA-45AA-A942-C75655A88D77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9EAA-45AA-A942-C75655A88D77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9EAA-45AA-A942-C75655A88D77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9EAA-45AA-A942-C75655A88D77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9EAA-45AA-A942-C75655A88D77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9EAA-45AA-A942-C75655A88D77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9EAA-45AA-A942-C75655A88D77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9EAA-45AA-A942-C75655A88D77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9EAA-45AA-A942-C75655A88D77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9EAA-45AA-A942-C75655A88D77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9EAA-45AA-A942-C75655A88D77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9EAA-45AA-A942-C75655A88D77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9EAA-45AA-A942-C75655A88D77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9EAA-45AA-A942-C75655A88D77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9EAA-45AA-A942-C75655A88D77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9EAA-45AA-A942-C75655A88D77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9EAA-45AA-A942-C75655A88D77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9EAA-45AA-A942-C75655A88D77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9EAA-45AA-A942-C75655A88D77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9EAA-45AA-A942-C75655A88D77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9EAA-45AA-A942-C75655A88D77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9EAA-45AA-A942-C75655A88D77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9EAA-45AA-A942-C75655A88D77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9EAA-45AA-A942-C75655A88D77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9EAA-45AA-A942-C75655A88D77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9EAA-45AA-A942-C75655A88D77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9EAA-45AA-A942-C75655A88D77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9EAA-45AA-A942-C75655A88D77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9EAA-45AA-A942-C75655A88D77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9EAA-45AA-A942-C75655A88D77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9EAA-45AA-A942-C75655A88D77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9EAA-45AA-A942-C75655A88D77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9EAA-45AA-A942-C75655A88D77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9EAA-45AA-A942-C75655A88D77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9EAA-45AA-A942-C75655A88D77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9EAA-45AA-A942-C75655A88D77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9EAA-45AA-A942-C75655A88D77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9EAA-45AA-A942-C75655A88D77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9EAA-45AA-A942-C75655A88D77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9EAA-45AA-A942-C75655A88D77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9EAA-45AA-A942-C75655A88D77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9EAA-45AA-A942-C75655A88D77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9EAA-45AA-A942-C75655A88D77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9EAA-45AA-A942-C75655A88D77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9EAA-45AA-A942-C75655A88D77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9EAA-45AA-A942-C75655A88D77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9EAA-45AA-A942-C75655A88D77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9EAA-45AA-A942-C75655A88D77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9EAA-45AA-A942-C75655A88D77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9EAA-45AA-A942-C75655A88D77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9EAA-45AA-A942-C75655A88D77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9EAA-45AA-A942-C75655A88D77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9EAA-45AA-A942-C75655A88D77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9EAA-45AA-A942-C75655A88D77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9EAA-45AA-A942-C75655A88D77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9EAA-45AA-A942-C75655A88D77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9EAA-45AA-A942-C75655A88D77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9EAA-45AA-A942-C75655A88D77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9EAA-45AA-A942-C75655A88D77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9EAA-45AA-A942-C75655A88D77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9EAA-45AA-A942-C75655A88D77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9EAA-45AA-A942-C75655A88D77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9EAA-45AA-A942-C75655A88D77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9EAA-45AA-A942-C75655A88D77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9EAA-45AA-A942-C75655A88D77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9EAA-45AA-A942-C75655A88D77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9EAA-45AA-A942-C75655A88D77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9EAA-45AA-A942-C75655A88D77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9EAA-45AA-A942-C75655A88D77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9EAA-45AA-A942-C75655A88D77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9EAA-45AA-A942-C75655A88D77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9EAA-45AA-A942-C75655A88D77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9EAA-45AA-A942-C75655A88D77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9EAA-45AA-A942-C75655A88D77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9EAA-45AA-A942-C75655A88D77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9EAA-45AA-A942-C75655A88D77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9EAA-45AA-A942-C75655A88D77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9EAA-45AA-A942-C75655A88D77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9EAA-45AA-A942-C75655A88D77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9EAA-45AA-A942-C75655A88D77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9EAA-45AA-A942-C75655A88D77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9EAA-45AA-A942-C75655A88D77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9EAA-45AA-A942-C75655A88D77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9EAA-45AA-A942-C75655A88D77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9EAA-45AA-A942-C75655A88D77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9EAA-45AA-A942-C75655A88D77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9EAA-45AA-A942-C75655A88D77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9EAA-45AA-A942-C75655A88D77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9EAA-45AA-A942-C75655A88D77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9EAA-45AA-A942-C75655A88D77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9EAA-45AA-A942-C75655A88D77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9EAA-45AA-A942-C75655A88D77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9EAA-45AA-A942-C75655A88D77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9EAA-45AA-A942-C75655A88D77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9EAA-45AA-A942-C75655A88D77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9EAA-45AA-A942-C75655A88D77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9EAA-45AA-A942-C75655A88D77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9EAA-45AA-A942-C75655A88D77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9EAA-45AA-A942-C75655A88D77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9EAA-45AA-A942-C75655A88D77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9EAA-45AA-A942-C75655A88D77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9EAA-45AA-A942-C75655A88D77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9EAA-45AA-A942-C75655A88D77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9EAA-45AA-A942-C75655A88D77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9EAA-45AA-A942-C75655A88D77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9EAA-45AA-A942-C75655A88D77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9EAA-45AA-A942-C75655A88D77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9EAA-45AA-A942-C75655A88D77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9EAA-45AA-A942-C75655A88D77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9EAA-45AA-A942-C75655A88D77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9EAA-45AA-A942-C75655A88D77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9EAA-45AA-A942-C75655A88D77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9EAA-45AA-A942-C75655A88D77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9EAA-45AA-A942-C75655A88D77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9EAA-45AA-A942-C75655A88D77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9EAA-45AA-A942-C75655A88D77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9EAA-45AA-A942-C75655A88D77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9EAA-45AA-A942-C75655A88D77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9EAA-45AA-A942-C75655A88D77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9EAA-45AA-A942-C75655A88D77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9EAA-45AA-A942-C75655A88D77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9EAA-45AA-A942-C75655A88D77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9EAA-45AA-A942-C75655A88D77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9EAA-45AA-A942-C75655A88D77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9EAA-45AA-A942-C75655A88D77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9EAA-45AA-A942-C75655A88D77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9EAA-45AA-A942-C75655A88D77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9EAA-45AA-A942-C75655A88D77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9EAA-45AA-A942-C75655A88D77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9EAA-45AA-A942-C75655A88D77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9EAA-45AA-A942-C75655A88D77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9EAA-45AA-A942-C75655A88D77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9EAA-45AA-A942-C75655A88D77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9EAA-45AA-A942-C75655A88D77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9EAA-45AA-A942-C75655A88D77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9EAA-45AA-A942-C75655A88D77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9EAA-45AA-A942-C75655A88D77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9EAA-45AA-A942-C75655A88D77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9EAA-45AA-A942-C75655A88D77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9EAA-45AA-A942-C75655A88D77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9EAA-45AA-A942-C75655A88D77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9EAA-45AA-A942-C75655A88D77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9EAA-45AA-A942-C75655A88D77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9EAA-45AA-A942-C75655A88D77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9EAA-45AA-A942-C75655A88D77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9EAA-45AA-A942-C75655A88D77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9EAA-45AA-A942-C75655A88D77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9EAA-45AA-A942-C75655A88D77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9EAA-45AA-A942-C75655A88D77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9EAA-45AA-A942-C75655A88D77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9EAA-45AA-A942-C75655A88D77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9EAA-45AA-A942-C75655A88D77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9EAA-45AA-A942-C75655A88D77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9EAA-45AA-A942-C75655A88D77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9EAA-45AA-A942-C75655A88D77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9EAA-45AA-A942-C75655A88D77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9EAA-45AA-A942-C75655A88D77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9EAA-45AA-A942-C75655A88D77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9EAA-45AA-A942-C75655A88D77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9EAA-45AA-A942-C75655A88D77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9EAA-45AA-A942-C75655A88D77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9EAA-45AA-A942-C75655A88D77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9EAA-45AA-A942-C75655A88D77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9EAA-45AA-A942-C75655A88D77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9EAA-45AA-A942-C75655A88D77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9EAA-45AA-A942-C75655A88D77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9EAA-45AA-A942-C75655A88D77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9EAA-45AA-A942-C75655A88D77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9EAA-45AA-A942-C75655A88D77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9EAA-45AA-A942-C75655A88D77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9EAA-45AA-A942-C75655A88D77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9EAA-45AA-A942-C75655A88D77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9EAA-45AA-A942-C75655A88D77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9EAA-45AA-A942-C75655A88D77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9EAA-45AA-A942-C75655A88D77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9EAA-45AA-A942-C75655A88D77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9EAA-45AA-A942-C75655A88D77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9EAA-45AA-A942-C75655A88D77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9EAA-45AA-A942-C75655A88D77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9EAA-45AA-A942-C75655A88D77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9EAA-45AA-A942-C75655A88D77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9EAA-45AA-A942-C75655A88D77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9EAA-45AA-A942-C75655A88D77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9EAA-45AA-A942-C75655A88D77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9EAA-45AA-A942-C75655A88D77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9EAA-45AA-A942-C75655A88D77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9EAA-45AA-A942-C75655A88D77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9EAA-45AA-A942-C75655A88D77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9EAA-45AA-A942-C75655A88D77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9EAA-45AA-A942-C75655A88D77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9EAA-45AA-A942-C75655A88D77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9EAA-45AA-A942-C75655A88D77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9EAA-45AA-A942-C75655A88D77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9EAA-45AA-A942-C75655A88D77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9EAA-45AA-A942-C75655A88D77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9EAA-45AA-A942-C75655A88D77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9EAA-45AA-A942-C75655A88D77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9EAA-45AA-A942-C75655A88D77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9EAA-45AA-A942-C75655A88D77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9EAA-45AA-A942-C75655A88D77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9EAA-45AA-A942-C75655A88D77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9EAA-45AA-A942-C75655A88D77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9EAA-45AA-A942-C75655A88D77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9EAA-45AA-A942-C75655A88D77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9EAA-45AA-A942-C75655A88D77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9EAA-45AA-A942-C75655A88D77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9EAA-45AA-A942-C75655A88D77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9EAA-45AA-A942-C75655A88D77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9EAA-45AA-A942-C75655A88D77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9EAA-45AA-A942-C75655A88D77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9EAA-45AA-A942-C75655A88D77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9EAA-45AA-A942-C75655A88D77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9EAA-45AA-A942-C75655A88D77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9EAA-45AA-A942-C75655A88D77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9EAA-45AA-A942-C75655A88D77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9EAA-45AA-A942-C75655A88D77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9EAA-45AA-A942-C75655A88D77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9EAA-45AA-A942-C75655A88D77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9EAA-45AA-A942-C75655A88D77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9EAA-45AA-A942-C75655A88D77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9EAA-45AA-A942-C75655A88D77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9EAA-45AA-A942-C75655A88D77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9EAA-45AA-A942-C75655A88D77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9EAA-45AA-A942-C75655A88D77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9EAA-45AA-A942-C75655A88D77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9EAA-45AA-A942-C75655A88D77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9EAA-45AA-A942-C75655A88D77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9EAA-45AA-A942-C75655A88D77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9EAA-45AA-A942-C75655A88D77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9EAA-45AA-A942-C75655A88D77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9EAA-45AA-A942-C75655A88D77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9EAA-45AA-A942-C75655A88D77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9EAA-45AA-A942-C75655A88D77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9EAA-45AA-A942-C75655A88D77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9EAA-45AA-A942-C75655A88D77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9EAA-45AA-A942-C75655A88D77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9EAA-45AA-A942-C75655A88D77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9EAA-45AA-A942-C75655A88D77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9EAA-45AA-A942-C75655A88D77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9EAA-45AA-A942-C75655A88D77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9EAA-45AA-A942-C75655A88D77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9EAA-45AA-A942-C75655A88D77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9EAA-45AA-A942-C75655A88D77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9EAA-45AA-A942-C75655A88D77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9EAA-45AA-A942-C75655A88D77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9EAA-45AA-A942-C75655A88D77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9EAA-45AA-A942-C75655A88D77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9EAA-45AA-A942-C75655A88D77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9EAA-45AA-A942-C75655A88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687024"/>
        <c:axId val="445687584"/>
      </c:barChart>
      <c:catAx>
        <c:axId val="445687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445687584"/>
        <c:crosses val="autoZero"/>
        <c:auto val="1"/>
        <c:lblAlgn val="ctr"/>
        <c:lblOffset val="100"/>
        <c:tickLblSkip val="1"/>
        <c:noMultiLvlLbl val="0"/>
      </c:catAx>
      <c:valAx>
        <c:axId val="4456875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5687024"/>
        <c:crosses val="autoZero"/>
        <c:crossBetween val="between"/>
      </c:valAx>
    </c:plotArea>
    <c:legend>
      <c:legendPos val="b"/>
      <c:legendEntry>
        <c:idx val="8"/>
        <c:delete val="1"/>
      </c:legendEntry>
      <c:layout>
        <c:manualLayout>
          <c:xMode val="edge"/>
          <c:yMode val="edge"/>
          <c:x val="0.1416235954482786"/>
          <c:y val="0.12264392999689731"/>
          <c:w val="0.76723812381804268"/>
          <c:h val="0.1241374608296054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7936</xdr:colOff>
      <xdr:row>1</xdr:row>
      <xdr:rowOff>0</xdr:rowOff>
    </xdr:from>
    <xdr:to>
      <xdr:col>20</xdr:col>
      <xdr:colOff>10582</xdr:colOff>
      <xdr:row>31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83345</xdr:colOff>
      <xdr:row>1</xdr:row>
      <xdr:rowOff>190500</xdr:rowOff>
    </xdr:from>
    <xdr:to>
      <xdr:col>2</xdr:col>
      <xdr:colOff>35721</xdr:colOff>
      <xdr:row>27</xdr:row>
      <xdr:rowOff>142875</xdr:rowOff>
    </xdr:to>
    <xdr:sp macro="" textlink="'グラフ設定（地域別）'!$F$2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83408" y="392906"/>
          <a:ext cx="452438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1B8D9C1D-A54F-4F9B-80D8-F77ADA7DED71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0.01031</cdr:x>
      <cdr:y>0.88624</cdr:y>
    </cdr:from>
    <cdr:to>
      <cdr:x>0.89336</cdr:x>
      <cdr:y>0.94919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97985" y="5381416"/>
          <a:ext cx="8392359" cy="3822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45D459E-BBBC-4146-84E4-EBD3A7E33957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（時点）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0.00964</cdr:x>
      <cdr:y>0.92274</cdr:y>
    </cdr:from>
    <cdr:to>
      <cdr:x>0.98101</cdr:x>
      <cdr:y>0.98438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91617" y="5624993"/>
          <a:ext cx="9231739" cy="375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84545D9-B564-4F83-9CB0-A69CFE6295AB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0.01796</cdr:x>
      <cdr:y>0.8451</cdr:y>
    </cdr:from>
    <cdr:to>
      <cdr:x>0.95128</cdr:x>
      <cdr:y>0.89804</cdr:y>
    </cdr:to>
    <cdr:sp macro="" textlink="'グラフ設定（地域別）'!$L$2">
      <cdr:nvSpPr>
        <cdr:cNvPr id="4" name="正方形/長方形 3"/>
        <cdr:cNvSpPr/>
      </cdr:nvSpPr>
      <cdr:spPr>
        <a:xfrm xmlns:a="http://schemas.openxmlformats.org/drawingml/2006/main">
          <a:off x="170657" y="5131593"/>
          <a:ext cx="8870156" cy="3214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fld id="{3E4938F6-1370-4D9C-A188-F1DCE109FA70}" type="TxLink">
            <a:rPr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lang="ja-JP" sz="800"/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5B3D7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5B3D7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3" max="62" customWidth="true" style="3" width="14.625" collapsed="true"/>
    <col min="1" max="1" customWidth="true" style="3" width="9.0" collapsed="false"/>
    <col min="2" max="2" bestFit="true" customWidth="true" style="16" width="28.3359375" collapsed="false"/>
    <col min="63" max="63" customWidth="true" style="3" width="14.625" collapsed="false" hidden="true"/>
    <col min="227" max="227" style="3" width="14.625" collapsed="false" hidden="true"/>
  </cols>
  <sheetData>
    <row r="2" spans="2:257" s="13" customFormat="1" x14ac:dyDescent="0.15">
      <c r="B2" s="14"/>
      <c r="C2" s="28" t="s">
        <v>775</v>
      </c>
      <c r="D2" s="28" t="s">
        <v>776</v>
      </c>
      <c r="E2" s="28" t="s">
        <v>777</v>
      </c>
      <c r="F2" s="28" t="s">
        <v>778</v>
      </c>
      <c r="G2" s="28" t="s">
        <v>779</v>
      </c>
      <c r="H2" s="28" t="s">
        <v>780</v>
      </c>
      <c r="I2" s="28" t="s">
        <v>781</v>
      </c>
      <c r="J2" s="28" t="s">
        <v>782</v>
      </c>
      <c r="K2" s="28" t="s">
        <v>783</v>
      </c>
      <c r="L2" s="28" t="s">
        <v>784</v>
      </c>
      <c r="M2" s="28" t="s">
        <v>785</v>
      </c>
      <c r="N2" s="28" t="s">
        <v>786</v>
      </c>
      <c r="O2" s="28" t="s">
        <v>787</v>
      </c>
      <c r="P2" s="28" t="s">
        <v>788</v>
      </c>
      <c r="Q2" s="28" t="s">
        <v>789</v>
      </c>
      <c r="R2" s="28" t="s">
        <v>790</v>
      </c>
      <c r="S2" s="28" t="s">
        <v>791</v>
      </c>
      <c r="T2" s="28" t="s">
        <v>792</v>
      </c>
      <c r="U2" s="28" t="s">
        <v>793</v>
      </c>
      <c r="V2" s="28" t="s">
        <v>794</v>
      </c>
      <c r="W2" s="28" t="s">
        <v>795</v>
      </c>
      <c r="X2" s="28" t="s">
        <v>796</v>
      </c>
      <c r="Y2" s="28" t="s">
        <v>797</v>
      </c>
      <c r="Z2" s="28" t="s">
        <v>798</v>
      </c>
      <c r="AA2" s="28" t="s">
        <v>799</v>
      </c>
      <c r="AB2" s="28" t="s">
        <v>800</v>
      </c>
      <c r="AC2" s="28" t="s">
        <v>801</v>
      </c>
      <c r="AD2" s="28" t="s">
        <v>802</v>
      </c>
      <c r="AE2" s="28" t="s">
        <v>803</v>
      </c>
      <c r="AF2" s="28" t="s">
        <v>804</v>
      </c>
      <c r="AG2" s="28" t="s">
        <v>805</v>
      </c>
      <c r="AH2" s="28" t="s">
        <v>806</v>
      </c>
      <c r="AI2" s="28" t="s">
        <v>807</v>
      </c>
      <c r="AJ2" s="28" t="s">
        <v>808</v>
      </c>
      <c r="AK2" s="28" t="s">
        <v>809</v>
      </c>
      <c r="AL2" s="28" t="s">
        <v>810</v>
      </c>
      <c r="AM2" s="28" t="s">
        <v>811</v>
      </c>
      <c r="AN2" s="28" t="s">
        <v>812</v>
      </c>
      <c r="AO2" s="28" t="s">
        <v>813</v>
      </c>
      <c r="AP2" s="28" t="s">
        <v>814</v>
      </c>
      <c r="AQ2" s="28" t="s">
        <v>815</v>
      </c>
      <c r="AR2" s="28" t="s">
        <v>816</v>
      </c>
      <c r="AS2" s="28" t="s">
        <v>817</v>
      </c>
      <c r="AT2" s="28" t="s">
        <v>818</v>
      </c>
      <c r="AU2" s="28" t="s">
        <v>819</v>
      </c>
      <c r="AV2" s="28" t="s">
        <v>820</v>
      </c>
      <c r="AW2" s="28" t="s">
        <v>821</v>
      </c>
      <c r="AX2" s="28" t="s">
        <v>822</v>
      </c>
      <c r="AY2" s="28" t="s">
        <v>823</v>
      </c>
      <c r="AZ2" s="28" t="s">
        <v>824</v>
      </c>
      <c r="BA2" s="28" t="s">
        <v>825</v>
      </c>
      <c r="BB2" s="28" t="s">
        <v>826</v>
      </c>
      <c r="BC2" s="28" t="s">
        <v>827</v>
      </c>
      <c r="BD2" s="28" t="s">
        <v>828</v>
      </c>
      <c r="BE2" s="28" t="s">
        <v>829</v>
      </c>
      <c r="BF2" s="28" t="s">
        <v>830</v>
      </c>
      <c r="BG2" s="28" t="s">
        <v>831</v>
      </c>
      <c r="BH2" s="28" t="s">
        <v>832</v>
      </c>
      <c r="BI2" s="28" t="s">
        <v>833</v>
      </c>
      <c r="BJ2" s="28" t="s">
        <v>834</v>
      </c>
      <c r="BK2" s="12" t="s">
        <v>323</v>
      </c>
      <c r="BL2" s="12" t="s">
        <v>324</v>
      </c>
      <c r="BM2" s="12" t="s">
        <v>325</v>
      </c>
      <c r="BN2" s="12" t="s">
        <v>326</v>
      </c>
      <c r="BO2" s="12" t="s">
        <v>327</v>
      </c>
      <c r="BP2" s="12" t="s">
        <v>328</v>
      </c>
      <c r="BQ2" s="12" t="s">
        <v>329</v>
      </c>
      <c r="BR2" s="12" t="s">
        <v>330</v>
      </c>
      <c r="BS2" s="12" t="s">
        <v>331</v>
      </c>
      <c r="BT2" s="12" t="s">
        <v>332</v>
      </c>
      <c r="BU2" s="12" t="s">
        <v>333</v>
      </c>
      <c r="BV2" s="12" t="s">
        <v>334</v>
      </c>
      <c r="BW2" s="12" t="s">
        <v>335</v>
      </c>
      <c r="BX2" s="12" t="s">
        <v>336</v>
      </c>
      <c r="BY2" s="12" t="s">
        <v>337</v>
      </c>
      <c r="BZ2" s="12" t="s">
        <v>338</v>
      </c>
      <c r="CA2" s="12" t="s">
        <v>339</v>
      </c>
      <c r="CB2" s="12" t="s">
        <v>340</v>
      </c>
      <c r="CC2" s="12" t="s">
        <v>341</v>
      </c>
      <c r="CD2" s="12" t="s">
        <v>342</v>
      </c>
      <c r="CE2" s="12" t="s">
        <v>343</v>
      </c>
      <c r="CF2" s="12" t="s">
        <v>344</v>
      </c>
      <c r="CG2" s="12" t="s">
        <v>345</v>
      </c>
      <c r="CH2" s="12" t="s">
        <v>601</v>
      </c>
      <c r="CI2" s="12" t="s">
        <v>602</v>
      </c>
      <c r="CJ2" s="12" t="s">
        <v>603</v>
      </c>
      <c r="CK2" s="12" t="s">
        <v>604</v>
      </c>
      <c r="CL2" s="12" t="s">
        <v>605</v>
      </c>
      <c r="CM2" s="12" t="s">
        <v>606</v>
      </c>
      <c r="CN2" s="12" t="s">
        <v>607</v>
      </c>
      <c r="CO2" s="12" t="s">
        <v>608</v>
      </c>
      <c r="CP2" s="12" t="s">
        <v>609</v>
      </c>
      <c r="CQ2" s="12" t="s">
        <v>610</v>
      </c>
      <c r="CR2" s="12" t="s">
        <v>611</v>
      </c>
      <c r="CS2" s="12" t="s">
        <v>612</v>
      </c>
      <c r="CT2" s="12" t="s">
        <v>613</v>
      </c>
      <c r="CU2" s="12" t="s">
        <v>614</v>
      </c>
      <c r="CV2" s="12" t="s">
        <v>615</v>
      </c>
      <c r="CW2" s="12" t="s">
        <v>616</v>
      </c>
      <c r="CX2" s="12" t="s">
        <v>617</v>
      </c>
      <c r="CY2" s="12" t="s">
        <v>618</v>
      </c>
      <c r="CZ2" s="12" t="s">
        <v>619</v>
      </c>
      <c r="DA2" s="12" t="s">
        <v>620</v>
      </c>
      <c r="DB2" s="12" t="s">
        <v>621</v>
      </c>
      <c r="DC2" s="12" t="s">
        <v>622</v>
      </c>
      <c r="DD2" s="12" t="s">
        <v>623</v>
      </c>
      <c r="DE2" s="12" t="s">
        <v>624</v>
      </c>
      <c r="DF2" s="12" t="s">
        <v>625</v>
      </c>
      <c r="DG2" s="12" t="s">
        <v>626</v>
      </c>
      <c r="DH2" s="12" t="s">
        <v>627</v>
      </c>
      <c r="DI2" s="12" t="s">
        <v>628</v>
      </c>
      <c r="DJ2" s="12" t="s">
        <v>629</v>
      </c>
      <c r="DK2" s="12" t="s">
        <v>630</v>
      </c>
      <c r="DL2" s="12" t="s">
        <v>631</v>
      </c>
      <c r="DM2" s="12" t="s">
        <v>632</v>
      </c>
      <c r="DN2" s="12" t="s">
        <v>633</v>
      </c>
      <c r="DO2" s="12" t="s">
        <v>634</v>
      </c>
      <c r="DP2" s="12" t="s">
        <v>635</v>
      </c>
      <c r="DQ2" s="12" t="s">
        <v>636</v>
      </c>
      <c r="DR2" s="12" t="s">
        <v>637</v>
      </c>
      <c r="DS2" s="12" t="s">
        <v>638</v>
      </c>
      <c r="DT2" s="12" t="s">
        <v>639</v>
      </c>
      <c r="DU2" s="12" t="s">
        <v>640</v>
      </c>
      <c r="DV2" s="12" t="s">
        <v>641</v>
      </c>
      <c r="DW2" s="12" t="s">
        <v>642</v>
      </c>
      <c r="DX2" s="12" t="s">
        <v>643</v>
      </c>
      <c r="DY2" s="12" t="s">
        <v>644</v>
      </c>
      <c r="DZ2" s="12" t="s">
        <v>645</v>
      </c>
      <c r="EA2" s="12" t="s">
        <v>646</v>
      </c>
      <c r="EB2" s="12" t="s">
        <v>647</v>
      </c>
      <c r="EC2" s="12" t="s">
        <v>648</v>
      </c>
      <c r="ED2" s="12" t="s">
        <v>649</v>
      </c>
      <c r="EE2" s="12" t="s">
        <v>650</v>
      </c>
      <c r="EF2" s="12" t="s">
        <v>651</v>
      </c>
      <c r="EG2" s="12" t="s">
        <v>652</v>
      </c>
      <c r="EH2" s="12" t="s">
        <v>653</v>
      </c>
      <c r="EI2" s="12" t="s">
        <v>654</v>
      </c>
      <c r="EJ2" s="12" t="s">
        <v>655</v>
      </c>
      <c r="EK2" s="12" t="s">
        <v>656</v>
      </c>
      <c r="EL2" s="12" t="s">
        <v>657</v>
      </c>
      <c r="EM2" s="12" t="s">
        <v>658</v>
      </c>
      <c r="EN2" s="12" t="s">
        <v>659</v>
      </c>
      <c r="EO2" s="12" t="s">
        <v>660</v>
      </c>
      <c r="EP2" s="12" t="s">
        <v>661</v>
      </c>
      <c r="EQ2" s="12" t="s">
        <v>662</v>
      </c>
      <c r="ER2" s="12" t="s">
        <v>663</v>
      </c>
      <c r="ES2" s="12" t="s">
        <v>664</v>
      </c>
      <c r="ET2" s="12" t="s">
        <v>665</v>
      </c>
      <c r="EU2" s="12" t="s">
        <v>666</v>
      </c>
      <c r="EV2" s="12" t="s">
        <v>667</v>
      </c>
      <c r="EW2" s="12" t="s">
        <v>668</v>
      </c>
      <c r="EX2" s="12" t="s">
        <v>669</v>
      </c>
      <c r="EY2" s="12" t="s">
        <v>670</v>
      </c>
      <c r="EZ2" s="12" t="s">
        <v>671</v>
      </c>
      <c r="FA2" s="12" t="s">
        <v>672</v>
      </c>
      <c r="FB2" s="12" t="s">
        <v>673</v>
      </c>
      <c r="FC2" s="12" t="s">
        <v>674</v>
      </c>
      <c r="FD2" s="12" t="s">
        <v>675</v>
      </c>
      <c r="FE2" s="12" t="s">
        <v>676</v>
      </c>
      <c r="FF2" s="12" t="s">
        <v>677</v>
      </c>
      <c r="FG2" s="12" t="s">
        <v>678</v>
      </c>
      <c r="FH2" s="12" t="s">
        <v>679</v>
      </c>
      <c r="FI2" s="12" t="s">
        <v>680</v>
      </c>
      <c r="FJ2" s="12" t="s">
        <v>681</v>
      </c>
      <c r="FK2" s="12" t="s">
        <v>682</v>
      </c>
      <c r="FL2" s="12" t="s">
        <v>683</v>
      </c>
      <c r="FM2" s="12" t="s">
        <v>684</v>
      </c>
      <c r="FN2" s="12" t="s">
        <v>685</v>
      </c>
      <c r="FO2" s="12" t="s">
        <v>686</v>
      </c>
      <c r="FP2" s="12" t="s">
        <v>687</v>
      </c>
      <c r="FQ2" s="12" t="s">
        <v>688</v>
      </c>
      <c r="FR2" s="12" t="s">
        <v>689</v>
      </c>
      <c r="FS2" s="12" t="s">
        <v>690</v>
      </c>
      <c r="FT2" s="12" t="s">
        <v>691</v>
      </c>
      <c r="FU2" s="12" t="s">
        <v>692</v>
      </c>
      <c r="FV2" s="12" t="s">
        <v>693</v>
      </c>
      <c r="FW2" s="12" t="s">
        <v>694</v>
      </c>
      <c r="FX2" s="12" t="s">
        <v>695</v>
      </c>
      <c r="FY2" s="12" t="s">
        <v>696</v>
      </c>
      <c r="FZ2" s="12" t="s">
        <v>697</v>
      </c>
      <c r="GA2" s="12" t="s">
        <v>698</v>
      </c>
      <c r="GB2" s="12" t="s">
        <v>699</v>
      </c>
      <c r="GC2" s="12" t="s">
        <v>700</v>
      </c>
      <c r="GD2" s="12" t="s">
        <v>701</v>
      </c>
      <c r="GE2" s="12" t="s">
        <v>702</v>
      </c>
      <c r="GF2" s="12" t="s">
        <v>703</v>
      </c>
      <c r="GG2" s="12" t="s">
        <v>704</v>
      </c>
      <c r="GH2" s="12" t="s">
        <v>705</v>
      </c>
      <c r="GI2" s="12" t="s">
        <v>706</v>
      </c>
      <c r="GJ2" s="12" t="s">
        <v>707</v>
      </c>
      <c r="GK2" s="12" t="s">
        <v>708</v>
      </c>
      <c r="GL2" s="12" t="s">
        <v>709</v>
      </c>
      <c r="GM2" s="12" t="s">
        <v>710</v>
      </c>
      <c r="GN2" s="12" t="s">
        <v>711</v>
      </c>
      <c r="GO2" s="12" t="s">
        <v>712</v>
      </c>
      <c r="GP2" s="12" t="s">
        <v>713</v>
      </c>
      <c r="GQ2" s="12" t="s">
        <v>714</v>
      </c>
      <c r="GR2" s="12" t="s">
        <v>715</v>
      </c>
      <c r="GS2" s="12" t="s">
        <v>716</v>
      </c>
      <c r="GT2" s="12" t="s">
        <v>717</v>
      </c>
      <c r="GU2" s="12" t="s">
        <v>718</v>
      </c>
      <c r="GV2" s="12" t="s">
        <v>719</v>
      </c>
      <c r="GW2" s="12" t="s">
        <v>720</v>
      </c>
      <c r="GX2" s="12" t="s">
        <v>721</v>
      </c>
      <c r="GY2" s="12" t="s">
        <v>722</v>
      </c>
      <c r="GZ2" s="12" t="s">
        <v>723</v>
      </c>
      <c r="HA2" s="12" t="s">
        <v>724</v>
      </c>
      <c r="HB2" s="12" t="s">
        <v>725</v>
      </c>
      <c r="HC2" s="12" t="s">
        <v>726</v>
      </c>
      <c r="HD2" s="12" t="s">
        <v>727</v>
      </c>
      <c r="HE2" s="12" t="s">
        <v>728</v>
      </c>
      <c r="HF2" s="12" t="s">
        <v>729</v>
      </c>
      <c r="HG2" s="12" t="s">
        <v>730</v>
      </c>
      <c r="HH2" s="12" t="s">
        <v>731</v>
      </c>
      <c r="HI2" s="12" t="s">
        <v>732</v>
      </c>
      <c r="HJ2" s="12" t="s">
        <v>733</v>
      </c>
      <c r="HK2" s="12" t="s">
        <v>734</v>
      </c>
      <c r="HL2" s="12" t="s">
        <v>735</v>
      </c>
      <c r="HM2" s="12" t="s">
        <v>736</v>
      </c>
      <c r="HN2" s="12" t="s">
        <v>737</v>
      </c>
      <c r="HO2" s="12" t="s">
        <v>738</v>
      </c>
      <c r="HP2" s="12" t="s">
        <v>739</v>
      </c>
      <c r="HQ2" s="12" t="s">
        <v>740</v>
      </c>
      <c r="HR2" s="12" t="s">
        <v>741</v>
      </c>
      <c r="HS2" s="12" t="s">
        <v>742</v>
      </c>
      <c r="HT2" s="12" t="s">
        <v>743</v>
      </c>
      <c r="HU2" s="12" t="s">
        <v>744</v>
      </c>
      <c r="HV2" s="12" t="s">
        <v>745</v>
      </c>
      <c r="HW2" s="12" t="s">
        <v>746</v>
      </c>
      <c r="HX2" s="12" t="s">
        <v>747</v>
      </c>
      <c r="HY2" s="12" t="s">
        <v>748</v>
      </c>
      <c r="HZ2" s="12" t="s">
        <v>749</v>
      </c>
      <c r="IA2" s="12" t="s">
        <v>750</v>
      </c>
      <c r="IB2" s="12" t="s">
        <v>751</v>
      </c>
      <c r="IC2" s="12" t="s">
        <v>752</v>
      </c>
      <c r="ID2" s="12" t="s">
        <v>753</v>
      </c>
      <c r="IE2" s="12" t="s">
        <v>754</v>
      </c>
      <c r="IF2" s="12" t="s">
        <v>755</v>
      </c>
      <c r="IG2" s="12" t="s">
        <v>756</v>
      </c>
      <c r="IH2" s="12" t="s">
        <v>757</v>
      </c>
      <c r="II2" s="12" t="s">
        <v>758</v>
      </c>
      <c r="IJ2" s="12" t="s">
        <v>759</v>
      </c>
      <c r="IK2" s="12" t="s">
        <v>760</v>
      </c>
      <c r="IL2" s="12" t="s">
        <v>761</v>
      </c>
      <c r="IM2" s="12" t="s">
        <v>762</v>
      </c>
      <c r="IN2" s="12" t="s">
        <v>763</v>
      </c>
      <c r="IO2" s="12" t="s">
        <v>764</v>
      </c>
      <c r="IP2" s="12" t="s">
        <v>765</v>
      </c>
      <c r="IQ2" s="12" t="s">
        <v>766</v>
      </c>
      <c r="IR2" s="12" t="s">
        <v>767</v>
      </c>
      <c r="IS2" s="12" t="s">
        <v>768</v>
      </c>
      <c r="IT2" s="12" t="s">
        <v>769</v>
      </c>
      <c r="IU2" s="12" t="s">
        <v>770</v>
      </c>
      <c r="IV2" s="12" t="s">
        <v>771</v>
      </c>
      <c r="IW2" s="12" t="s">
        <v>772</v>
      </c>
    </row>
    <row r="3" spans="2:257" x14ac:dyDescent="0.15">
      <c r="B3" s="15" t="s">
        <v>835</v>
      </c>
      <c r="C3" s="31" t="n">
        <v>0.0</v>
      </c>
      <c r="D3" s="30" t="n">
        <v>58.5</v>
      </c>
      <c r="E3" s="30" t="n">
        <v>59.0</v>
      </c>
      <c r="F3" s="30" t="n">
        <v>54.1</v>
      </c>
      <c r="G3" s="30" t="n">
        <v>73.1</v>
      </c>
      <c r="H3" s="30" t="n">
        <v>86.1</v>
      </c>
      <c r="I3" s="31" t="n">
        <v>0.0</v>
      </c>
      <c r="J3" s="30" t="n">
        <v>90.6</v>
      </c>
      <c r="K3" s="31" t="n">
        <v>0.0</v>
      </c>
      <c r="L3" s="30" t="n">
        <v>100.0</v>
      </c>
      <c r="M3" s="30" t="n">
        <v>95.2</v>
      </c>
      <c r="N3" s="30" t="n">
        <v>94.4</v>
      </c>
      <c r="O3" s="31" t="n">
        <v>0.0</v>
      </c>
      <c r="P3" s="31" t="n">
        <v>0.0</v>
      </c>
      <c r="Q3" s="30" t="n">
        <v>100.0</v>
      </c>
      <c r="R3" s="30" t="n">
        <v>100.0</v>
      </c>
      <c r="S3" s="30" t="n">
        <v>62.5</v>
      </c>
      <c r="T3" s="31" t="n">
        <v>0.0</v>
      </c>
      <c r="U3" s="31" t="n">
        <v>0.0</v>
      </c>
      <c r="V3" s="31" t="n">
        <v>0.0</v>
      </c>
      <c r="W3" s="31" t="n">
        <v>0.0</v>
      </c>
      <c r="X3" s="31" t="n">
        <v>0.0</v>
      </c>
      <c r="Y3" s="31" t="n">
        <v>0.0</v>
      </c>
      <c r="Z3" s="31" t="n">
        <v>0.0</v>
      </c>
      <c r="AA3" s="31" t="n">
        <v>0.0</v>
      </c>
      <c r="AB3" s="31" t="n">
        <v>0.0</v>
      </c>
      <c r="AC3" s="30" t="n">
        <v>30.8</v>
      </c>
      <c r="AD3" s="30" t="n">
        <v>66.7</v>
      </c>
      <c r="AE3" s="31" t="n">
        <v>0.0</v>
      </c>
      <c r="AF3" s="30" t="n">
        <v>80.0</v>
      </c>
      <c r="AG3" s="31" t="n">
        <v>0.0</v>
      </c>
      <c r="AH3" s="30" t="n">
        <v>100.0</v>
      </c>
      <c r="AI3" s="31" t="n">
        <v>0.0</v>
      </c>
      <c r="AJ3" s="31" t="n">
        <v>0.0</v>
      </c>
      <c r="AK3" s="31" t="n">
        <v>0.0</v>
      </c>
      <c r="AL3" s="31" t="n">
        <v>0.0</v>
      </c>
      <c r="AM3" s="30" t="n">
        <v>100.0</v>
      </c>
      <c r="AN3" s="31" t="n">
        <v>0.0</v>
      </c>
      <c r="AO3" s="31" t="n">
        <v>0.0</v>
      </c>
      <c r="AP3" s="30" t="n">
        <v>100.0</v>
      </c>
      <c r="AQ3" s="31" t="n">
        <v>0.0</v>
      </c>
      <c r="AR3" s="31" t="n">
        <v>0.0</v>
      </c>
      <c r="AS3" s="31" t="n">
        <v>0.0</v>
      </c>
      <c r="AT3" s="30" t="n">
        <v>71.4</v>
      </c>
      <c r="AU3" s="31" t="n">
        <v>0.0</v>
      </c>
      <c r="AV3" s="31" t="n">
        <v>0.0</v>
      </c>
      <c r="AW3" s="31" t="n">
        <v>0.0</v>
      </c>
      <c r="AX3" s="30" t="n">
        <v>100.0</v>
      </c>
      <c r="AY3" s="31" t="n">
        <v>0.0</v>
      </c>
      <c r="AZ3" s="30" t="n">
        <v>100.0</v>
      </c>
      <c r="BA3" s="31" t="n">
        <v>0.0</v>
      </c>
      <c r="BB3" s="31" t="n">
        <v>0.0</v>
      </c>
      <c r="BC3" s="31" t="n">
        <v>0.0</v>
      </c>
      <c r="BD3" s="31" t="n">
        <v>0.0</v>
      </c>
      <c r="BE3" s="31" t="n">
        <v>0.0</v>
      </c>
      <c r="BF3" s="31" t="n">
        <v>0.0</v>
      </c>
      <c r="BG3" s="30" t="n">
        <v>83.3</v>
      </c>
      <c r="BH3" s="30" t="n">
        <v>100.0</v>
      </c>
      <c r="BI3" s="30" t="n">
        <v>100.0</v>
      </c>
      <c r="BJ3" s="31" t="n">
        <v>0.0</v>
      </c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>
      <c r="B4" s="15" t="s">
        <v>836</v>
      </c>
      <c r="C4" s="35" t="n">
        <v>0.0</v>
      </c>
      <c r="D4" s="34" t="n">
        <v>3.2</v>
      </c>
      <c r="E4" s="34" t="n">
        <v>1.7</v>
      </c>
      <c r="F4" s="35" t="n">
        <v>0.0</v>
      </c>
      <c r="G4" s="34" t="n">
        <v>5.8</v>
      </c>
      <c r="H4" s="34" t="n">
        <v>13.9</v>
      </c>
      <c r="I4" s="35" t="n">
        <v>0.0</v>
      </c>
      <c r="J4" s="35" t="n">
        <v>0.0</v>
      </c>
      <c r="K4" s="35" t="n">
        <v>0.0</v>
      </c>
      <c r="L4" s="35" t="n">
        <v>0.0</v>
      </c>
      <c r="M4" s="35" t="n">
        <v>0.0</v>
      </c>
      <c r="N4" s="35" t="n">
        <v>0.0</v>
      </c>
      <c r="O4" s="35" t="n">
        <v>0.0</v>
      </c>
      <c r="P4" s="35" t="n">
        <v>0.0</v>
      </c>
      <c r="Q4" s="35" t="n">
        <v>0.0</v>
      </c>
      <c r="R4" s="35" t="n">
        <v>0.0</v>
      </c>
      <c r="S4" s="35" t="n">
        <v>0.0</v>
      </c>
      <c r="T4" s="35" t="n">
        <v>0.0</v>
      </c>
      <c r="U4" s="35" t="n">
        <v>0.0</v>
      </c>
      <c r="V4" s="35" t="n">
        <v>0.0</v>
      </c>
      <c r="W4" s="35" t="n">
        <v>0.0</v>
      </c>
      <c r="X4" s="35" t="n">
        <v>0.0</v>
      </c>
      <c r="Y4" s="34" t="n">
        <v>100.0</v>
      </c>
      <c r="Z4" s="35" t="n">
        <v>0.0</v>
      </c>
      <c r="AA4" s="35" t="n">
        <v>0.0</v>
      </c>
      <c r="AB4" s="35" t="n">
        <v>0.0</v>
      </c>
      <c r="AC4" s="35" t="n">
        <v>0.0</v>
      </c>
      <c r="AD4" s="35" t="n">
        <v>0.0</v>
      </c>
      <c r="AE4" s="35" t="n">
        <v>0.0</v>
      </c>
      <c r="AF4" s="34" t="n">
        <v>20.0</v>
      </c>
      <c r="AG4" s="35" t="n">
        <v>0.0</v>
      </c>
      <c r="AH4" s="35" t="n">
        <v>0.0</v>
      </c>
      <c r="AI4" s="34" t="n">
        <v>100.0</v>
      </c>
      <c r="AJ4" s="35" t="n">
        <v>0.0</v>
      </c>
      <c r="AK4" s="35" t="n">
        <v>0.0</v>
      </c>
      <c r="AL4" s="35" t="n">
        <v>0.0</v>
      </c>
      <c r="AM4" s="35" t="n">
        <v>0.0</v>
      </c>
      <c r="AN4" s="35" t="n">
        <v>0.0</v>
      </c>
      <c r="AO4" s="35" t="n">
        <v>0.0</v>
      </c>
      <c r="AP4" s="35" t="n">
        <v>0.0</v>
      </c>
      <c r="AQ4" s="35" t="n">
        <v>0.0</v>
      </c>
      <c r="AR4" s="35" t="n">
        <v>0.0</v>
      </c>
      <c r="AS4" s="35" t="n">
        <v>0.0</v>
      </c>
      <c r="AT4" s="35" t="n">
        <v>0.0</v>
      </c>
      <c r="AU4" s="35" t="n">
        <v>0.0</v>
      </c>
      <c r="AV4" s="35" t="n">
        <v>0.0</v>
      </c>
      <c r="AW4" s="35" t="n">
        <v>0.0</v>
      </c>
      <c r="AX4" s="35" t="n">
        <v>0.0</v>
      </c>
      <c r="AY4" s="35" t="n">
        <v>0.0</v>
      </c>
      <c r="AZ4" s="35" t="n">
        <v>0.0</v>
      </c>
      <c r="BA4" s="35" t="n">
        <v>0.0</v>
      </c>
      <c r="BB4" s="35" t="n">
        <v>0.0</v>
      </c>
      <c r="BC4" s="35" t="n">
        <v>0.0</v>
      </c>
      <c r="BD4" s="35" t="n">
        <v>0.0</v>
      </c>
      <c r="BE4" s="35" t="n">
        <v>0.0</v>
      </c>
      <c r="BF4" s="35" t="n">
        <v>0.0</v>
      </c>
      <c r="BG4" s="34" t="n">
        <v>16.7</v>
      </c>
      <c r="BH4" s="35" t="n">
        <v>0.0</v>
      </c>
      <c r="BI4" s="35" t="n">
        <v>0.0</v>
      </c>
      <c r="BJ4" s="35" t="n">
        <v>0.0</v>
      </c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>
      <c r="B5" s="15" t="s">
        <v>837</v>
      </c>
      <c r="C5" s="39" t="n">
        <v>0.0</v>
      </c>
      <c r="D5" s="38" t="n">
        <v>1.4</v>
      </c>
      <c r="E5" s="38" t="n">
        <v>4.3</v>
      </c>
      <c r="F5" s="38" t="n">
        <v>5.4</v>
      </c>
      <c r="G5" s="38" t="n">
        <v>1.0</v>
      </c>
      <c r="H5" s="39" t="n">
        <v>0.0</v>
      </c>
      <c r="I5" s="39" t="n">
        <v>0.0</v>
      </c>
      <c r="J5" s="39" t="n">
        <v>0.0</v>
      </c>
      <c r="K5" s="39" t="n">
        <v>0.0</v>
      </c>
      <c r="L5" s="39" t="n">
        <v>0.0</v>
      </c>
      <c r="M5" s="39" t="n">
        <v>0.0</v>
      </c>
      <c r="N5" s="39" t="n">
        <v>0.0</v>
      </c>
      <c r="O5" s="39" t="n">
        <v>0.0</v>
      </c>
      <c r="P5" s="39" t="n">
        <v>0.0</v>
      </c>
      <c r="Q5" s="39" t="n">
        <v>0.0</v>
      </c>
      <c r="R5" s="39" t="n">
        <v>0.0</v>
      </c>
      <c r="S5" s="38" t="n">
        <v>6.3</v>
      </c>
      <c r="T5" s="39" t="n">
        <v>0.0</v>
      </c>
      <c r="U5" s="39" t="n">
        <v>0.0</v>
      </c>
      <c r="V5" s="39" t="n">
        <v>0.0</v>
      </c>
      <c r="W5" s="39" t="n">
        <v>0.0</v>
      </c>
      <c r="X5" s="39" t="n">
        <v>0.0</v>
      </c>
      <c r="Y5" s="39" t="n">
        <v>0.0</v>
      </c>
      <c r="Z5" s="39" t="n">
        <v>0.0</v>
      </c>
      <c r="AA5" s="39" t="n">
        <v>0.0</v>
      </c>
      <c r="AB5" s="39" t="n">
        <v>0.0</v>
      </c>
      <c r="AC5" s="39" t="n">
        <v>0.0</v>
      </c>
      <c r="AD5" s="39" t="n">
        <v>0.0</v>
      </c>
      <c r="AE5" s="39" t="n">
        <v>0.0</v>
      </c>
      <c r="AF5" s="39" t="n">
        <v>0.0</v>
      </c>
      <c r="AG5" s="39" t="n">
        <v>0.0</v>
      </c>
      <c r="AH5" s="39" t="n">
        <v>0.0</v>
      </c>
      <c r="AI5" s="39" t="n">
        <v>0.0</v>
      </c>
      <c r="AJ5" s="39" t="n">
        <v>0.0</v>
      </c>
      <c r="AK5" s="39" t="n">
        <v>0.0</v>
      </c>
      <c r="AL5" s="39" t="n">
        <v>0.0</v>
      </c>
      <c r="AM5" s="39" t="n">
        <v>0.0</v>
      </c>
      <c r="AN5" s="39" t="n">
        <v>0.0</v>
      </c>
      <c r="AO5" s="39" t="n">
        <v>0.0</v>
      </c>
      <c r="AP5" s="39" t="n">
        <v>0.0</v>
      </c>
      <c r="AQ5" s="39" t="n">
        <v>0.0</v>
      </c>
      <c r="AR5" s="39" t="n">
        <v>0.0</v>
      </c>
      <c r="AS5" s="39" t="n">
        <v>0.0</v>
      </c>
      <c r="AT5" s="39" t="n">
        <v>0.0</v>
      </c>
      <c r="AU5" s="39" t="n">
        <v>0.0</v>
      </c>
      <c r="AV5" s="39" t="n">
        <v>0.0</v>
      </c>
      <c r="AW5" s="39" t="n">
        <v>0.0</v>
      </c>
      <c r="AX5" s="39" t="n">
        <v>0.0</v>
      </c>
      <c r="AY5" s="38" t="n">
        <v>33.3</v>
      </c>
      <c r="AZ5" s="39" t="n">
        <v>0.0</v>
      </c>
      <c r="BA5" s="39" t="n">
        <v>0.0</v>
      </c>
      <c r="BB5" s="39" t="n">
        <v>0.0</v>
      </c>
      <c r="BC5" s="39" t="n">
        <v>0.0</v>
      </c>
      <c r="BD5" s="39" t="n">
        <v>0.0</v>
      </c>
      <c r="BE5" s="39" t="n">
        <v>0.0</v>
      </c>
      <c r="BF5" s="39" t="n">
        <v>0.0</v>
      </c>
      <c r="BG5" s="39" t="n">
        <v>0.0</v>
      </c>
      <c r="BH5" s="39" t="n">
        <v>0.0</v>
      </c>
      <c r="BI5" s="39" t="n">
        <v>0.0</v>
      </c>
      <c r="BJ5" s="39" t="n">
        <v>0.0</v>
      </c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>
      <c r="B6" s="15" t="s">
        <v>838</v>
      </c>
      <c r="C6" s="43" t="n">
        <v>0.0</v>
      </c>
      <c r="D6" s="42" t="n">
        <v>7.2</v>
      </c>
      <c r="E6" s="42" t="n">
        <v>7.7</v>
      </c>
      <c r="F6" s="42" t="n">
        <v>2.7</v>
      </c>
      <c r="G6" s="42" t="n">
        <v>11.5</v>
      </c>
      <c r="H6" s="43" t="n">
        <v>0.0</v>
      </c>
      <c r="I6" s="43" t="n">
        <v>0.0</v>
      </c>
      <c r="J6" s="42" t="n">
        <v>9.4</v>
      </c>
      <c r="K6" s="43" t="n">
        <v>0.0</v>
      </c>
      <c r="L6" s="43" t="n">
        <v>0.0</v>
      </c>
      <c r="M6" s="43" t="n">
        <v>0.0</v>
      </c>
      <c r="N6" s="43" t="n">
        <v>0.0</v>
      </c>
      <c r="O6" s="43" t="n">
        <v>0.0</v>
      </c>
      <c r="P6" s="42" t="n">
        <v>0.9</v>
      </c>
      <c r="Q6" s="43" t="n">
        <v>0.0</v>
      </c>
      <c r="R6" s="43" t="n">
        <v>0.0</v>
      </c>
      <c r="S6" s="42" t="n">
        <v>31.3</v>
      </c>
      <c r="T6" s="43" t="n">
        <v>0.0</v>
      </c>
      <c r="U6" s="43" t="n">
        <v>0.0</v>
      </c>
      <c r="V6" s="43" t="n">
        <v>0.0</v>
      </c>
      <c r="W6" s="43" t="n">
        <v>0.0</v>
      </c>
      <c r="X6" s="43" t="n">
        <v>0.0</v>
      </c>
      <c r="Y6" s="43" t="n">
        <v>0.0</v>
      </c>
      <c r="Z6" s="43" t="n">
        <v>0.0</v>
      </c>
      <c r="AA6" s="43" t="n">
        <v>0.0</v>
      </c>
      <c r="AB6" s="43" t="n">
        <v>0.0</v>
      </c>
      <c r="AC6" s="42" t="n">
        <v>38.5</v>
      </c>
      <c r="AD6" s="43" t="n">
        <v>0.0</v>
      </c>
      <c r="AE6" s="42" t="n">
        <v>55.0</v>
      </c>
      <c r="AF6" s="43" t="n">
        <v>0.0</v>
      </c>
      <c r="AG6" s="43" t="n">
        <v>0.0</v>
      </c>
      <c r="AH6" s="43" t="n">
        <v>0.0</v>
      </c>
      <c r="AI6" s="43" t="n">
        <v>0.0</v>
      </c>
      <c r="AJ6" s="43" t="n">
        <v>0.0</v>
      </c>
      <c r="AK6" s="43" t="n">
        <v>0.0</v>
      </c>
      <c r="AL6" s="43" t="n">
        <v>0.0</v>
      </c>
      <c r="AM6" s="43" t="n">
        <v>0.0</v>
      </c>
      <c r="AN6" s="43" t="n">
        <v>0.0</v>
      </c>
      <c r="AO6" s="43" t="n">
        <v>0.0</v>
      </c>
      <c r="AP6" s="43" t="n">
        <v>0.0</v>
      </c>
      <c r="AQ6" s="43" t="n">
        <v>0.0</v>
      </c>
      <c r="AR6" s="43" t="n">
        <v>0.0</v>
      </c>
      <c r="AS6" s="43" t="n">
        <v>0.0</v>
      </c>
      <c r="AT6" s="43" t="n">
        <v>0.0</v>
      </c>
      <c r="AU6" s="43" t="n">
        <v>0.0</v>
      </c>
      <c r="AV6" s="43" t="n">
        <v>0.0</v>
      </c>
      <c r="AW6" s="43" t="n">
        <v>0.0</v>
      </c>
      <c r="AX6" s="43" t="n">
        <v>0.0</v>
      </c>
      <c r="AY6" s="42" t="n">
        <v>66.7</v>
      </c>
      <c r="AZ6" s="43" t="n">
        <v>0.0</v>
      </c>
      <c r="BA6" s="42" t="n">
        <v>100.0</v>
      </c>
      <c r="BB6" s="43" t="n">
        <v>0.0</v>
      </c>
      <c r="BC6" s="43" t="n">
        <v>0.0</v>
      </c>
      <c r="BD6" s="43" t="n">
        <v>0.0</v>
      </c>
      <c r="BE6" s="43" t="n">
        <v>0.0</v>
      </c>
      <c r="BF6" s="43" t="n">
        <v>0.0</v>
      </c>
      <c r="BG6" s="43" t="n">
        <v>0.0</v>
      </c>
      <c r="BH6" s="43" t="n">
        <v>0.0</v>
      </c>
      <c r="BI6" s="43" t="n">
        <v>0.0</v>
      </c>
      <c r="BJ6" s="43" t="n">
        <v>0.0</v>
      </c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>
      <c r="B7" s="15" t="s">
        <v>839</v>
      </c>
      <c r="C7" s="47" t="n">
        <v>0.0</v>
      </c>
      <c r="D7" s="46" t="n">
        <v>22.0</v>
      </c>
      <c r="E7" s="46" t="n">
        <v>2.6</v>
      </c>
      <c r="F7" s="46" t="n">
        <v>5.4</v>
      </c>
      <c r="G7" s="46" t="n">
        <v>5.8</v>
      </c>
      <c r="H7" s="47" t="n">
        <v>0.0</v>
      </c>
      <c r="I7" s="46" t="n">
        <v>100.0</v>
      </c>
      <c r="J7" s="47" t="n">
        <v>0.0</v>
      </c>
      <c r="K7" s="47" t="n">
        <v>0.0</v>
      </c>
      <c r="L7" s="47" t="n">
        <v>0.0</v>
      </c>
      <c r="M7" s="46" t="n">
        <v>4.8</v>
      </c>
      <c r="N7" s="47" t="n">
        <v>0.0</v>
      </c>
      <c r="O7" s="46" t="n">
        <v>100.0</v>
      </c>
      <c r="P7" s="46" t="n">
        <v>99.1</v>
      </c>
      <c r="Q7" s="47" t="n">
        <v>0.0</v>
      </c>
      <c r="R7" s="47" t="n">
        <v>0.0</v>
      </c>
      <c r="S7" s="47" t="n">
        <v>0.0</v>
      </c>
      <c r="T7" s="47" t="n">
        <v>0.0</v>
      </c>
      <c r="U7" s="47" t="n">
        <v>0.0</v>
      </c>
      <c r="V7" s="47" t="n">
        <v>0.0</v>
      </c>
      <c r="W7" s="47" t="n">
        <v>0.0</v>
      </c>
      <c r="X7" s="47" t="n">
        <v>0.0</v>
      </c>
      <c r="Y7" s="47" t="n">
        <v>0.0</v>
      </c>
      <c r="Z7" s="47" t="n">
        <v>0.0</v>
      </c>
      <c r="AA7" s="47" t="n">
        <v>0.0</v>
      </c>
      <c r="AB7" s="47" t="n">
        <v>0.0</v>
      </c>
      <c r="AC7" s="46" t="n">
        <v>7.7</v>
      </c>
      <c r="AD7" s="46" t="n">
        <v>33.3</v>
      </c>
      <c r="AE7" s="46" t="n">
        <v>45.0</v>
      </c>
      <c r="AF7" s="47" t="n">
        <v>0.0</v>
      </c>
      <c r="AG7" s="47" t="n">
        <v>0.0</v>
      </c>
      <c r="AH7" s="47" t="n">
        <v>0.0</v>
      </c>
      <c r="AI7" s="47" t="n">
        <v>0.0</v>
      </c>
      <c r="AJ7" s="47" t="n">
        <v>0.0</v>
      </c>
      <c r="AK7" s="47" t="n">
        <v>0.0</v>
      </c>
      <c r="AL7" s="47" t="n">
        <v>0.0</v>
      </c>
      <c r="AM7" s="47" t="n">
        <v>0.0</v>
      </c>
      <c r="AN7" s="47" t="n">
        <v>0.0</v>
      </c>
      <c r="AO7" s="47" t="n">
        <v>0.0</v>
      </c>
      <c r="AP7" s="47" t="n">
        <v>0.0</v>
      </c>
      <c r="AQ7" s="47" t="n">
        <v>0.0</v>
      </c>
      <c r="AR7" s="47" t="n">
        <v>0.0</v>
      </c>
      <c r="AS7" s="47" t="n">
        <v>0.0</v>
      </c>
      <c r="AT7" s="47" t="n">
        <v>0.0</v>
      </c>
      <c r="AU7" s="46" t="n">
        <v>100.0</v>
      </c>
      <c r="AV7" s="47" t="n">
        <v>0.0</v>
      </c>
      <c r="AW7" s="47" t="n">
        <v>0.0</v>
      </c>
      <c r="AX7" s="47" t="n">
        <v>0.0</v>
      </c>
      <c r="AY7" s="47" t="n">
        <v>0.0</v>
      </c>
      <c r="AZ7" s="47" t="n">
        <v>0.0</v>
      </c>
      <c r="BA7" s="47" t="n">
        <v>0.0</v>
      </c>
      <c r="BB7" s="47" t="n">
        <v>0.0</v>
      </c>
      <c r="BC7" s="47" t="n">
        <v>0.0</v>
      </c>
      <c r="BD7" s="47" t="n">
        <v>0.0</v>
      </c>
      <c r="BE7" s="47" t="n">
        <v>0.0</v>
      </c>
      <c r="BF7" s="47" t="n">
        <v>0.0</v>
      </c>
      <c r="BG7" s="47" t="n">
        <v>0.0</v>
      </c>
      <c r="BH7" s="47" t="n">
        <v>0.0</v>
      </c>
      <c r="BI7" s="47" t="n">
        <v>0.0</v>
      </c>
      <c r="BJ7" s="47" t="n">
        <v>0.0</v>
      </c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>
      <c r="B8" s="15" t="s">
        <v>840</v>
      </c>
      <c r="C8" s="51" t="n">
        <v>0.0</v>
      </c>
      <c r="D8" s="50" t="n">
        <v>2.7</v>
      </c>
      <c r="E8" s="50" t="n">
        <v>8.5</v>
      </c>
      <c r="F8" s="50" t="n">
        <v>5.4</v>
      </c>
      <c r="G8" s="50" t="n">
        <v>1.0</v>
      </c>
      <c r="H8" s="51" t="n">
        <v>0.0</v>
      </c>
      <c r="I8" s="51" t="n">
        <v>0.0</v>
      </c>
      <c r="J8" s="51" t="n">
        <v>0.0</v>
      </c>
      <c r="K8" s="51" t="n">
        <v>0.0</v>
      </c>
      <c r="L8" s="51" t="n">
        <v>0.0</v>
      </c>
      <c r="M8" s="51" t="n">
        <v>0.0</v>
      </c>
      <c r="N8" s="50" t="n">
        <v>5.6</v>
      </c>
      <c r="O8" s="51" t="n">
        <v>0.0</v>
      </c>
      <c r="P8" s="51" t="n">
        <v>0.0</v>
      </c>
      <c r="Q8" s="51" t="n">
        <v>0.0</v>
      </c>
      <c r="R8" s="51" t="n">
        <v>0.0</v>
      </c>
      <c r="S8" s="51" t="n">
        <v>0.0</v>
      </c>
      <c r="T8" s="51" t="n">
        <v>0.0</v>
      </c>
      <c r="U8" s="51" t="n">
        <v>0.0</v>
      </c>
      <c r="V8" s="51" t="n">
        <v>0.0</v>
      </c>
      <c r="W8" s="51" t="n">
        <v>0.0</v>
      </c>
      <c r="X8" s="50" t="n">
        <v>100.0</v>
      </c>
      <c r="Y8" s="51" t="n">
        <v>0.0</v>
      </c>
      <c r="Z8" s="50" t="n">
        <v>100.0</v>
      </c>
      <c r="AA8" s="51" t="n">
        <v>0.0</v>
      </c>
      <c r="AB8" s="51" t="n">
        <v>0.0</v>
      </c>
      <c r="AC8" s="51" t="n">
        <v>0.0</v>
      </c>
      <c r="AD8" s="51" t="n">
        <v>0.0</v>
      </c>
      <c r="AE8" s="51" t="n">
        <v>0.0</v>
      </c>
      <c r="AF8" s="51" t="n">
        <v>0.0</v>
      </c>
      <c r="AG8" s="51" t="n">
        <v>0.0</v>
      </c>
      <c r="AH8" s="51" t="n">
        <v>0.0</v>
      </c>
      <c r="AI8" s="51" t="n">
        <v>0.0</v>
      </c>
      <c r="AJ8" s="51" t="n">
        <v>0.0</v>
      </c>
      <c r="AK8" s="51" t="n">
        <v>0.0</v>
      </c>
      <c r="AL8" s="51" t="n">
        <v>0.0</v>
      </c>
      <c r="AM8" s="51" t="n">
        <v>0.0</v>
      </c>
      <c r="AN8" s="51" t="n">
        <v>0.0</v>
      </c>
      <c r="AO8" s="51" t="n">
        <v>0.0</v>
      </c>
      <c r="AP8" s="51" t="n">
        <v>0.0</v>
      </c>
      <c r="AQ8" s="51" t="n">
        <v>0.0</v>
      </c>
      <c r="AR8" s="51" t="n">
        <v>0.0</v>
      </c>
      <c r="AS8" s="51" t="n">
        <v>0.0</v>
      </c>
      <c r="AT8" s="50" t="n">
        <v>28.6</v>
      </c>
      <c r="AU8" s="51" t="n">
        <v>0.0</v>
      </c>
      <c r="AV8" s="51" t="n">
        <v>0.0</v>
      </c>
      <c r="AW8" s="51" t="n">
        <v>0.0</v>
      </c>
      <c r="AX8" s="51" t="n">
        <v>0.0</v>
      </c>
      <c r="AY8" s="51" t="n">
        <v>0.0</v>
      </c>
      <c r="AZ8" s="51" t="n">
        <v>0.0</v>
      </c>
      <c r="BA8" s="51" t="n">
        <v>0.0</v>
      </c>
      <c r="BB8" s="50" t="n">
        <v>100.0</v>
      </c>
      <c r="BC8" s="51" t="n">
        <v>0.0</v>
      </c>
      <c r="BD8" s="51" t="n">
        <v>0.0</v>
      </c>
      <c r="BE8" s="51" t="n">
        <v>0.0</v>
      </c>
      <c r="BF8" s="51" t="n">
        <v>0.0</v>
      </c>
      <c r="BG8" s="51" t="n">
        <v>0.0</v>
      </c>
      <c r="BH8" s="51" t="n">
        <v>0.0</v>
      </c>
      <c r="BI8" s="51" t="n">
        <v>0.0</v>
      </c>
      <c r="BJ8" s="51" t="n">
        <v>0.0</v>
      </c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>
      <c r="B9" s="15" t="s">
        <v>841</v>
      </c>
      <c r="C9" s="55" t="n">
        <v>0.0</v>
      </c>
      <c r="D9" s="55" t="n">
        <v>0.0</v>
      </c>
      <c r="E9" s="55" t="n">
        <v>0.0</v>
      </c>
      <c r="F9" s="55" t="n">
        <v>0.0</v>
      </c>
      <c r="G9" s="55" t="n">
        <v>0.0</v>
      </c>
      <c r="H9" s="55" t="n">
        <v>0.0</v>
      </c>
      <c r="I9" s="55" t="n">
        <v>0.0</v>
      </c>
      <c r="J9" s="55" t="n">
        <v>0.0</v>
      </c>
      <c r="K9" s="55" t="n">
        <v>0.0</v>
      </c>
      <c r="L9" s="55" t="n">
        <v>0.0</v>
      </c>
      <c r="M9" s="55" t="n">
        <v>0.0</v>
      </c>
      <c r="N9" s="55" t="n">
        <v>0.0</v>
      </c>
      <c r="O9" s="55" t="n">
        <v>0.0</v>
      </c>
      <c r="P9" s="55" t="n">
        <v>0.0</v>
      </c>
      <c r="Q9" s="55" t="n">
        <v>0.0</v>
      </c>
      <c r="R9" s="55" t="n">
        <v>0.0</v>
      </c>
      <c r="S9" s="55" t="n">
        <v>0.0</v>
      </c>
      <c r="T9" s="55" t="n">
        <v>0.0</v>
      </c>
      <c r="U9" s="55" t="n">
        <v>0.0</v>
      </c>
      <c r="V9" s="55" t="n">
        <v>0.0</v>
      </c>
      <c r="W9" s="55" t="n">
        <v>0.0</v>
      </c>
      <c r="X9" s="55" t="n">
        <v>0.0</v>
      </c>
      <c r="Y9" s="55" t="n">
        <v>0.0</v>
      </c>
      <c r="Z9" s="55" t="n">
        <v>0.0</v>
      </c>
      <c r="AA9" s="55" t="n">
        <v>0.0</v>
      </c>
      <c r="AB9" s="55" t="n">
        <v>0.0</v>
      </c>
      <c r="AC9" s="55" t="n">
        <v>0.0</v>
      </c>
      <c r="AD9" s="55" t="n">
        <v>0.0</v>
      </c>
      <c r="AE9" s="55" t="n">
        <v>0.0</v>
      </c>
      <c r="AF9" s="55" t="n">
        <v>0.0</v>
      </c>
      <c r="AG9" s="55" t="n">
        <v>0.0</v>
      </c>
      <c r="AH9" s="55" t="n">
        <v>0.0</v>
      </c>
      <c r="AI9" s="55" t="n">
        <v>0.0</v>
      </c>
      <c r="AJ9" s="55" t="n">
        <v>0.0</v>
      </c>
      <c r="AK9" s="55" t="n">
        <v>0.0</v>
      </c>
      <c r="AL9" s="55" t="n">
        <v>0.0</v>
      </c>
      <c r="AM9" s="55" t="n">
        <v>0.0</v>
      </c>
      <c r="AN9" s="55" t="n">
        <v>0.0</v>
      </c>
      <c r="AO9" s="55" t="n">
        <v>0.0</v>
      </c>
      <c r="AP9" s="55" t="n">
        <v>0.0</v>
      </c>
      <c r="AQ9" s="55" t="n">
        <v>0.0</v>
      </c>
      <c r="AR9" s="55" t="n">
        <v>0.0</v>
      </c>
      <c r="AS9" s="55" t="n">
        <v>0.0</v>
      </c>
      <c r="AT9" s="55" t="n">
        <v>0.0</v>
      </c>
      <c r="AU9" s="55" t="n">
        <v>0.0</v>
      </c>
      <c r="AV9" s="55" t="n">
        <v>0.0</v>
      </c>
      <c r="AW9" s="55" t="n">
        <v>0.0</v>
      </c>
      <c r="AX9" s="55" t="n">
        <v>0.0</v>
      </c>
      <c r="AY9" s="55" t="n">
        <v>0.0</v>
      </c>
      <c r="AZ9" s="55" t="n">
        <v>0.0</v>
      </c>
      <c r="BA9" s="55" t="n">
        <v>0.0</v>
      </c>
      <c r="BB9" s="55" t="n">
        <v>0.0</v>
      </c>
      <c r="BC9" s="55" t="n">
        <v>0.0</v>
      </c>
      <c r="BD9" s="55" t="n">
        <v>0.0</v>
      </c>
      <c r="BE9" s="55" t="n">
        <v>0.0</v>
      </c>
      <c r="BF9" s="55" t="n">
        <v>0.0</v>
      </c>
      <c r="BG9" s="55" t="n">
        <v>0.0</v>
      </c>
      <c r="BH9" s="55" t="n">
        <v>0.0</v>
      </c>
      <c r="BI9" s="55" t="n">
        <v>0.0</v>
      </c>
      <c r="BJ9" s="55" t="n">
        <v>0.0</v>
      </c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>
      <c r="B10" s="15" t="s">
        <v>842</v>
      </c>
      <c r="C10" s="59" t="n">
        <v>0.0</v>
      </c>
      <c r="D10" s="58" t="n">
        <v>1.0</v>
      </c>
      <c r="E10" s="58" t="n">
        <v>1.7</v>
      </c>
      <c r="F10" s="58" t="n">
        <v>5.4</v>
      </c>
      <c r="G10" s="58" t="n">
        <v>1.9</v>
      </c>
      <c r="H10" s="59" t="n">
        <v>0.0</v>
      </c>
      <c r="I10" s="59" t="n">
        <v>0.0</v>
      </c>
      <c r="J10" s="59" t="n">
        <v>0.0</v>
      </c>
      <c r="K10" s="59" t="n">
        <v>0.0</v>
      </c>
      <c r="L10" s="59" t="n">
        <v>0.0</v>
      </c>
      <c r="M10" s="59" t="n">
        <v>0.0</v>
      </c>
      <c r="N10" s="59" t="n">
        <v>0.0</v>
      </c>
      <c r="O10" s="59" t="n">
        <v>0.0</v>
      </c>
      <c r="P10" s="59" t="n">
        <v>0.0</v>
      </c>
      <c r="Q10" s="59" t="n">
        <v>0.0</v>
      </c>
      <c r="R10" s="59" t="n">
        <v>0.0</v>
      </c>
      <c r="S10" s="59" t="n">
        <v>0.0</v>
      </c>
      <c r="T10" s="59" t="n">
        <v>0.0</v>
      </c>
      <c r="U10" s="59" t="n">
        <v>0.0</v>
      </c>
      <c r="V10" s="59" t="n">
        <v>0.0</v>
      </c>
      <c r="W10" s="59" t="n">
        <v>0.0</v>
      </c>
      <c r="X10" s="59" t="n">
        <v>0.0</v>
      </c>
      <c r="Y10" s="59" t="n">
        <v>0.0</v>
      </c>
      <c r="Z10" s="59" t="n">
        <v>0.0</v>
      </c>
      <c r="AA10" s="59" t="n">
        <v>0.0</v>
      </c>
      <c r="AB10" s="59" t="n">
        <v>0.0</v>
      </c>
      <c r="AC10" s="58" t="n">
        <v>7.7</v>
      </c>
      <c r="AD10" s="59" t="n">
        <v>0.0</v>
      </c>
      <c r="AE10" s="59" t="n">
        <v>0.0</v>
      </c>
      <c r="AF10" s="59" t="n">
        <v>0.0</v>
      </c>
      <c r="AG10" s="59" t="n">
        <v>0.0</v>
      </c>
      <c r="AH10" s="59" t="n">
        <v>0.0</v>
      </c>
      <c r="AI10" s="59" t="n">
        <v>0.0</v>
      </c>
      <c r="AJ10" s="59" t="n">
        <v>0.0</v>
      </c>
      <c r="AK10" s="59" t="n">
        <v>0.0</v>
      </c>
      <c r="AL10" s="59" t="n">
        <v>0.0</v>
      </c>
      <c r="AM10" s="59" t="n">
        <v>0.0</v>
      </c>
      <c r="AN10" s="59" t="n">
        <v>0.0</v>
      </c>
      <c r="AO10" s="59" t="n">
        <v>0.0</v>
      </c>
      <c r="AP10" s="59" t="n">
        <v>0.0</v>
      </c>
      <c r="AQ10" s="59" t="n">
        <v>0.0</v>
      </c>
      <c r="AR10" s="59" t="n">
        <v>0.0</v>
      </c>
      <c r="AS10" s="59" t="n">
        <v>0.0</v>
      </c>
      <c r="AT10" s="59" t="n">
        <v>0.0</v>
      </c>
      <c r="AU10" s="59" t="n">
        <v>0.0</v>
      </c>
      <c r="AV10" s="59" t="n">
        <v>0.0</v>
      </c>
      <c r="AW10" s="59" t="n">
        <v>0.0</v>
      </c>
      <c r="AX10" s="59" t="n">
        <v>0.0</v>
      </c>
      <c r="AY10" s="59" t="n">
        <v>0.0</v>
      </c>
      <c r="AZ10" s="59" t="n">
        <v>0.0</v>
      </c>
      <c r="BA10" s="59" t="n">
        <v>0.0</v>
      </c>
      <c r="BB10" s="59" t="n">
        <v>0.0</v>
      </c>
      <c r="BC10" s="59" t="n">
        <v>0.0</v>
      </c>
      <c r="BD10" s="59" t="n">
        <v>0.0</v>
      </c>
      <c r="BE10" s="59" t="n">
        <v>0.0</v>
      </c>
      <c r="BF10" s="59" t="n">
        <v>0.0</v>
      </c>
      <c r="BG10" s="59" t="n">
        <v>0.0</v>
      </c>
      <c r="BH10" s="59" t="n">
        <v>0.0</v>
      </c>
      <c r="BI10" s="59" t="n">
        <v>0.0</v>
      </c>
      <c r="BJ10" s="59" t="n">
        <v>0.0</v>
      </c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>
      <c r="B11" s="15" t="s">
        <v>843</v>
      </c>
      <c r="C11" s="63" t="n">
        <v>0.0</v>
      </c>
      <c r="D11" s="62" t="n">
        <v>0.3</v>
      </c>
      <c r="E11" s="63" t="n">
        <v>0.0</v>
      </c>
      <c r="F11" s="62" t="n">
        <v>5.4</v>
      </c>
      <c r="G11" s="63" t="n">
        <v>0.0</v>
      </c>
      <c r="H11" s="63" t="n">
        <v>0.0</v>
      </c>
      <c r="I11" s="63" t="n">
        <v>0.0</v>
      </c>
      <c r="J11" s="63" t="n">
        <v>0.0</v>
      </c>
      <c r="K11" s="63" t="n">
        <v>0.0</v>
      </c>
      <c r="L11" s="63" t="n">
        <v>0.0</v>
      </c>
      <c r="M11" s="63" t="n">
        <v>0.0</v>
      </c>
      <c r="N11" s="63" t="n">
        <v>0.0</v>
      </c>
      <c r="O11" s="63" t="n">
        <v>0.0</v>
      </c>
      <c r="P11" s="63" t="n">
        <v>0.0</v>
      </c>
      <c r="Q11" s="63" t="n">
        <v>0.0</v>
      </c>
      <c r="R11" s="63" t="n">
        <v>0.0</v>
      </c>
      <c r="S11" s="63" t="n">
        <v>0.0</v>
      </c>
      <c r="T11" s="63" t="n">
        <v>0.0</v>
      </c>
      <c r="U11" s="63" t="n">
        <v>0.0</v>
      </c>
      <c r="V11" s="63" t="n">
        <v>0.0</v>
      </c>
      <c r="W11" s="63" t="n">
        <v>0.0</v>
      </c>
      <c r="X11" s="63" t="n">
        <v>0.0</v>
      </c>
      <c r="Y11" s="63" t="n">
        <v>0.0</v>
      </c>
      <c r="Z11" s="63" t="n">
        <v>0.0</v>
      </c>
      <c r="AA11" s="63" t="n">
        <v>0.0</v>
      </c>
      <c r="AB11" s="63" t="n">
        <v>0.0</v>
      </c>
      <c r="AC11" s="63" t="n">
        <v>0.0</v>
      </c>
      <c r="AD11" s="63" t="n">
        <v>0.0</v>
      </c>
      <c r="AE11" s="63" t="n">
        <v>0.0</v>
      </c>
      <c r="AF11" s="63" t="n">
        <v>0.0</v>
      </c>
      <c r="AG11" s="63" t="n">
        <v>0.0</v>
      </c>
      <c r="AH11" s="63" t="n">
        <v>0.0</v>
      </c>
      <c r="AI11" s="63" t="n">
        <v>0.0</v>
      </c>
      <c r="AJ11" s="63" t="n">
        <v>0.0</v>
      </c>
      <c r="AK11" s="63" t="n">
        <v>0.0</v>
      </c>
      <c r="AL11" s="63" t="n">
        <v>0.0</v>
      </c>
      <c r="AM11" s="63" t="n">
        <v>0.0</v>
      </c>
      <c r="AN11" s="63" t="n">
        <v>0.0</v>
      </c>
      <c r="AO11" s="63" t="n">
        <v>0.0</v>
      </c>
      <c r="AP11" s="63" t="n">
        <v>0.0</v>
      </c>
      <c r="AQ11" s="63" t="n">
        <v>0.0</v>
      </c>
      <c r="AR11" s="63" t="n">
        <v>0.0</v>
      </c>
      <c r="AS11" s="63" t="n">
        <v>0.0</v>
      </c>
      <c r="AT11" s="63" t="n">
        <v>0.0</v>
      </c>
      <c r="AU11" s="63" t="n">
        <v>0.0</v>
      </c>
      <c r="AV11" s="63" t="n">
        <v>0.0</v>
      </c>
      <c r="AW11" s="63" t="n">
        <v>0.0</v>
      </c>
      <c r="AX11" s="63" t="n">
        <v>0.0</v>
      </c>
      <c r="AY11" s="63" t="n">
        <v>0.0</v>
      </c>
      <c r="AZ11" s="63" t="n">
        <v>0.0</v>
      </c>
      <c r="BA11" s="63" t="n">
        <v>0.0</v>
      </c>
      <c r="BB11" s="63" t="n">
        <v>0.0</v>
      </c>
      <c r="BC11" s="63" t="n">
        <v>0.0</v>
      </c>
      <c r="BD11" s="63" t="n">
        <v>0.0</v>
      </c>
      <c r="BE11" s="63" t="n">
        <v>0.0</v>
      </c>
      <c r="BF11" s="63" t="n">
        <v>0.0</v>
      </c>
      <c r="BG11" s="63" t="n">
        <v>0.0</v>
      </c>
      <c r="BH11" s="63" t="n">
        <v>0.0</v>
      </c>
      <c r="BI11" s="63" t="n">
        <v>0.0</v>
      </c>
      <c r="BJ11" s="63" t="n">
        <v>0.0</v>
      </c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>
      <c r="B12" s="15" t="s">
        <v>844</v>
      </c>
      <c r="C12" s="67" t="n">
        <v>0.0</v>
      </c>
      <c r="D12" s="67" t="n">
        <v>0.0</v>
      </c>
      <c r="E12" s="67" t="n">
        <v>0.0</v>
      </c>
      <c r="F12" s="67" t="n">
        <v>0.0</v>
      </c>
      <c r="G12" s="67" t="n">
        <v>0.0</v>
      </c>
      <c r="H12" s="67" t="n">
        <v>0.0</v>
      </c>
      <c r="I12" s="67" t="n">
        <v>0.0</v>
      </c>
      <c r="J12" s="67" t="n">
        <v>0.0</v>
      </c>
      <c r="K12" s="67" t="n">
        <v>0.0</v>
      </c>
      <c r="L12" s="67" t="n">
        <v>0.0</v>
      </c>
      <c r="M12" s="67" t="n">
        <v>0.0</v>
      </c>
      <c r="N12" s="67" t="n">
        <v>0.0</v>
      </c>
      <c r="O12" s="67" t="n">
        <v>0.0</v>
      </c>
      <c r="P12" s="67" t="n">
        <v>0.0</v>
      </c>
      <c r="Q12" s="67" t="n">
        <v>0.0</v>
      </c>
      <c r="R12" s="67" t="n">
        <v>0.0</v>
      </c>
      <c r="S12" s="67" t="n">
        <v>0.0</v>
      </c>
      <c r="T12" s="67" t="n">
        <v>0.0</v>
      </c>
      <c r="U12" s="67" t="n">
        <v>0.0</v>
      </c>
      <c r="V12" s="67" t="n">
        <v>0.0</v>
      </c>
      <c r="W12" s="67" t="n">
        <v>0.0</v>
      </c>
      <c r="X12" s="67" t="n">
        <v>0.0</v>
      </c>
      <c r="Y12" s="67" t="n">
        <v>0.0</v>
      </c>
      <c r="Z12" s="67" t="n">
        <v>0.0</v>
      </c>
      <c r="AA12" s="67" t="n">
        <v>0.0</v>
      </c>
      <c r="AB12" s="67" t="n">
        <v>0.0</v>
      </c>
      <c r="AC12" s="67" t="n">
        <v>0.0</v>
      </c>
      <c r="AD12" s="67" t="n">
        <v>0.0</v>
      </c>
      <c r="AE12" s="67" t="n">
        <v>0.0</v>
      </c>
      <c r="AF12" s="67" t="n">
        <v>0.0</v>
      </c>
      <c r="AG12" s="67" t="n">
        <v>0.0</v>
      </c>
      <c r="AH12" s="67" t="n">
        <v>0.0</v>
      </c>
      <c r="AI12" s="67" t="n">
        <v>0.0</v>
      </c>
      <c r="AJ12" s="67" t="n">
        <v>0.0</v>
      </c>
      <c r="AK12" s="67" t="n">
        <v>0.0</v>
      </c>
      <c r="AL12" s="67" t="n">
        <v>0.0</v>
      </c>
      <c r="AM12" s="67" t="n">
        <v>0.0</v>
      </c>
      <c r="AN12" s="67" t="n">
        <v>0.0</v>
      </c>
      <c r="AO12" s="67" t="n">
        <v>0.0</v>
      </c>
      <c r="AP12" s="67" t="n">
        <v>0.0</v>
      </c>
      <c r="AQ12" s="67" t="n">
        <v>0.0</v>
      </c>
      <c r="AR12" s="67" t="n">
        <v>0.0</v>
      </c>
      <c r="AS12" s="67" t="n">
        <v>0.0</v>
      </c>
      <c r="AT12" s="67" t="n">
        <v>0.0</v>
      </c>
      <c r="AU12" s="67" t="n">
        <v>0.0</v>
      </c>
      <c r="AV12" s="67" t="n">
        <v>0.0</v>
      </c>
      <c r="AW12" s="67" t="n">
        <v>0.0</v>
      </c>
      <c r="AX12" s="67" t="n">
        <v>0.0</v>
      </c>
      <c r="AY12" s="67" t="n">
        <v>0.0</v>
      </c>
      <c r="AZ12" s="67" t="n">
        <v>0.0</v>
      </c>
      <c r="BA12" s="67" t="n">
        <v>0.0</v>
      </c>
      <c r="BB12" s="67" t="n">
        <v>0.0</v>
      </c>
      <c r="BC12" s="67" t="n">
        <v>0.0</v>
      </c>
      <c r="BD12" s="67" t="n">
        <v>0.0</v>
      </c>
      <c r="BE12" s="67" t="n">
        <v>0.0</v>
      </c>
      <c r="BF12" s="67" t="n">
        <v>0.0</v>
      </c>
      <c r="BG12" s="67" t="n">
        <v>0.0</v>
      </c>
      <c r="BH12" s="67" t="n">
        <v>0.0</v>
      </c>
      <c r="BI12" s="67" t="n">
        <v>0.0</v>
      </c>
      <c r="BJ12" s="67" t="n">
        <v>0.0</v>
      </c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>
      <c r="B13" s="15" t="s">
        <v>845</v>
      </c>
      <c r="C13" s="71" t="n">
        <v>0.0</v>
      </c>
      <c r="D13" s="70" t="n">
        <v>0.1</v>
      </c>
      <c r="E13" s="71" t="n">
        <v>0.0</v>
      </c>
      <c r="F13" s="71" t="n">
        <v>0.0</v>
      </c>
      <c r="G13" s="71" t="n">
        <v>0.0</v>
      </c>
      <c r="H13" s="71" t="n">
        <v>0.0</v>
      </c>
      <c r="I13" s="71" t="n">
        <v>0.0</v>
      </c>
      <c r="J13" s="71" t="n">
        <v>0.0</v>
      </c>
      <c r="K13" s="71" t="n">
        <v>0.0</v>
      </c>
      <c r="L13" s="71" t="n">
        <v>0.0</v>
      </c>
      <c r="M13" s="71" t="n">
        <v>0.0</v>
      </c>
      <c r="N13" s="71" t="n">
        <v>0.0</v>
      </c>
      <c r="O13" s="71" t="n">
        <v>0.0</v>
      </c>
      <c r="P13" s="71" t="n">
        <v>0.0</v>
      </c>
      <c r="Q13" s="71" t="n">
        <v>0.0</v>
      </c>
      <c r="R13" s="71" t="n">
        <v>0.0</v>
      </c>
      <c r="S13" s="71" t="n">
        <v>0.0</v>
      </c>
      <c r="T13" s="71" t="n">
        <v>0.0</v>
      </c>
      <c r="U13" s="71" t="n">
        <v>0.0</v>
      </c>
      <c r="V13" s="71" t="n">
        <v>0.0</v>
      </c>
      <c r="W13" s="71" t="n">
        <v>0.0</v>
      </c>
      <c r="X13" s="71" t="n">
        <v>0.0</v>
      </c>
      <c r="Y13" s="71" t="n">
        <v>0.0</v>
      </c>
      <c r="Z13" s="71" t="n">
        <v>0.0</v>
      </c>
      <c r="AA13" s="71" t="n">
        <v>0.0</v>
      </c>
      <c r="AB13" s="71" t="n">
        <v>0.0</v>
      </c>
      <c r="AC13" s="71" t="n">
        <v>0.0</v>
      </c>
      <c r="AD13" s="71" t="n">
        <v>0.0</v>
      </c>
      <c r="AE13" s="71" t="n">
        <v>0.0</v>
      </c>
      <c r="AF13" s="71" t="n">
        <v>0.0</v>
      </c>
      <c r="AG13" s="71" t="n">
        <v>0.0</v>
      </c>
      <c r="AH13" s="71" t="n">
        <v>0.0</v>
      </c>
      <c r="AI13" s="71" t="n">
        <v>0.0</v>
      </c>
      <c r="AJ13" s="71" t="n">
        <v>0.0</v>
      </c>
      <c r="AK13" s="70" t="n">
        <v>100.0</v>
      </c>
      <c r="AL13" s="71" t="n">
        <v>0.0</v>
      </c>
      <c r="AM13" s="71" t="n">
        <v>0.0</v>
      </c>
      <c r="AN13" s="71" t="n">
        <v>0.0</v>
      </c>
      <c r="AO13" s="71" t="n">
        <v>0.0</v>
      </c>
      <c r="AP13" s="71" t="n">
        <v>0.0</v>
      </c>
      <c r="AQ13" s="71" t="n">
        <v>0.0</v>
      </c>
      <c r="AR13" s="71" t="n">
        <v>0.0</v>
      </c>
      <c r="AS13" s="71" t="n">
        <v>0.0</v>
      </c>
      <c r="AT13" s="71" t="n">
        <v>0.0</v>
      </c>
      <c r="AU13" s="71" t="n">
        <v>0.0</v>
      </c>
      <c r="AV13" s="71" t="n">
        <v>0.0</v>
      </c>
      <c r="AW13" s="71" t="n">
        <v>0.0</v>
      </c>
      <c r="AX13" s="71" t="n">
        <v>0.0</v>
      </c>
      <c r="AY13" s="71" t="n">
        <v>0.0</v>
      </c>
      <c r="AZ13" s="71" t="n">
        <v>0.0</v>
      </c>
      <c r="BA13" s="71" t="n">
        <v>0.0</v>
      </c>
      <c r="BB13" s="71" t="n">
        <v>0.0</v>
      </c>
      <c r="BC13" s="71" t="n">
        <v>0.0</v>
      </c>
      <c r="BD13" s="71" t="n">
        <v>0.0</v>
      </c>
      <c r="BE13" s="71" t="n">
        <v>0.0</v>
      </c>
      <c r="BF13" s="71" t="n">
        <v>0.0</v>
      </c>
      <c r="BG13" s="71" t="n">
        <v>0.0</v>
      </c>
      <c r="BH13" s="71" t="n">
        <v>0.0</v>
      </c>
      <c r="BI13" s="71" t="n">
        <v>0.0</v>
      </c>
      <c r="BJ13" s="71" t="n">
        <v>0.0</v>
      </c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>
      <c r="B14" s="15" t="s">
        <v>846</v>
      </c>
      <c r="C14" s="75" t="n">
        <v>0.0</v>
      </c>
      <c r="D14" s="74" t="n">
        <v>3.6</v>
      </c>
      <c r="E14" s="74" t="n">
        <v>14.5</v>
      </c>
      <c r="F14" s="74" t="n">
        <v>16.2</v>
      </c>
      <c r="G14" s="75" t="n">
        <v>0.0</v>
      </c>
      <c r="H14" s="75" t="n">
        <v>0.0</v>
      </c>
      <c r="I14" s="75" t="n">
        <v>0.0</v>
      </c>
      <c r="J14" s="75" t="n">
        <v>0.0</v>
      </c>
      <c r="K14" s="75" t="n">
        <v>0.0</v>
      </c>
      <c r="L14" s="75" t="n">
        <v>0.0</v>
      </c>
      <c r="M14" s="75" t="n">
        <v>0.0</v>
      </c>
      <c r="N14" s="75" t="n">
        <v>0.0</v>
      </c>
      <c r="O14" s="75" t="n">
        <v>0.0</v>
      </c>
      <c r="P14" s="75" t="n">
        <v>0.0</v>
      </c>
      <c r="Q14" s="75" t="n">
        <v>0.0</v>
      </c>
      <c r="R14" s="75" t="n">
        <v>0.0</v>
      </c>
      <c r="S14" s="75" t="n">
        <v>0.0</v>
      </c>
      <c r="T14" s="75" t="n">
        <v>0.0</v>
      </c>
      <c r="U14" s="75" t="n">
        <v>0.0</v>
      </c>
      <c r="V14" s="75" t="n">
        <v>0.0</v>
      </c>
      <c r="W14" s="75" t="n">
        <v>0.0</v>
      </c>
      <c r="X14" s="75" t="n">
        <v>0.0</v>
      </c>
      <c r="Y14" s="75" t="n">
        <v>0.0</v>
      </c>
      <c r="Z14" s="75" t="n">
        <v>0.0</v>
      </c>
      <c r="AA14" s="75" t="n">
        <v>0.0</v>
      </c>
      <c r="AB14" s="75" t="n">
        <v>0.0</v>
      </c>
      <c r="AC14" s="74" t="n">
        <v>15.4</v>
      </c>
      <c r="AD14" s="75" t="n">
        <v>0.0</v>
      </c>
      <c r="AE14" s="75" t="n">
        <v>0.0</v>
      </c>
      <c r="AF14" s="75" t="n">
        <v>0.0</v>
      </c>
      <c r="AG14" s="74" t="n">
        <v>100.0</v>
      </c>
      <c r="AH14" s="75" t="n">
        <v>0.0</v>
      </c>
      <c r="AI14" s="75" t="n">
        <v>0.0</v>
      </c>
      <c r="AJ14" s="75" t="n">
        <v>0.0</v>
      </c>
      <c r="AK14" s="75" t="n">
        <v>0.0</v>
      </c>
      <c r="AL14" s="75" t="n">
        <v>0.0</v>
      </c>
      <c r="AM14" s="75" t="n">
        <v>0.0</v>
      </c>
      <c r="AN14" s="75" t="n">
        <v>0.0</v>
      </c>
      <c r="AO14" s="75" t="n">
        <v>0.0</v>
      </c>
      <c r="AP14" s="75" t="n">
        <v>0.0</v>
      </c>
      <c r="AQ14" s="75" t="n">
        <v>0.0</v>
      </c>
      <c r="AR14" s="75" t="n">
        <v>0.0</v>
      </c>
      <c r="AS14" s="75" t="n">
        <v>0.0</v>
      </c>
      <c r="AT14" s="75" t="n">
        <v>0.0</v>
      </c>
      <c r="AU14" s="75" t="n">
        <v>0.0</v>
      </c>
      <c r="AV14" s="75" t="n">
        <v>0.0</v>
      </c>
      <c r="AW14" s="75" t="n">
        <v>0.0</v>
      </c>
      <c r="AX14" s="75" t="n">
        <v>0.0</v>
      </c>
      <c r="AY14" s="75" t="n">
        <v>0.0</v>
      </c>
      <c r="AZ14" s="75" t="n">
        <v>0.0</v>
      </c>
      <c r="BA14" s="75" t="n">
        <v>0.0</v>
      </c>
      <c r="BB14" s="75" t="n">
        <v>0.0</v>
      </c>
      <c r="BC14" s="75" t="n">
        <v>0.0</v>
      </c>
      <c r="BD14" s="75" t="n">
        <v>0.0</v>
      </c>
      <c r="BE14" s="75" t="n">
        <v>0.0</v>
      </c>
      <c r="BF14" s="75" t="n">
        <v>0.0</v>
      </c>
      <c r="BG14" s="75" t="n">
        <v>0.0</v>
      </c>
      <c r="BH14" s="75" t="n">
        <v>0.0</v>
      </c>
      <c r="BI14" s="75" t="n">
        <v>0.0</v>
      </c>
      <c r="BJ14" s="75" t="n">
        <v>0.0</v>
      </c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5" t="s">
        <v>358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5" t="s">
        <v>359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5" t="s">
        <v>360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5" t="s">
        <v>361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5" t="s">
        <v>362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5" t="s">
        <v>363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5" t="s">
        <v>364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5" t="s">
        <v>365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5" t="s">
        <v>366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5" t="s">
        <v>367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5" t="s">
        <v>368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5" t="s">
        <v>369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5" t="s">
        <v>370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5" t="s">
        <v>371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5" t="s">
        <v>372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5" t="s">
        <v>373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5" t="s">
        <v>374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5" t="s">
        <v>375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5" t="s">
        <v>376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5" t="s">
        <v>377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5" t="s">
        <v>378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5" t="s">
        <v>379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5" t="s">
        <v>380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5" t="s">
        <v>381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5" t="s">
        <v>382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5" t="s">
        <v>383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5" t="s">
        <v>384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5" t="s">
        <v>385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5" t="s">
        <v>386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5" t="s">
        <v>387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5" t="s">
        <v>388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5" t="s">
        <v>389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5" t="s">
        <v>390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5" t="s">
        <v>391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5" t="s">
        <v>392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5" t="s">
        <v>393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5" t="s">
        <v>394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5" t="s">
        <v>395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5" t="s">
        <v>396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5" t="s">
        <v>397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5" t="s">
        <v>398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5" t="s">
        <v>399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5" t="s">
        <v>400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5" t="s">
        <v>401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5" t="s">
        <v>402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5" t="s">
        <v>403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5" t="s">
        <v>404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5" t="s">
        <v>405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5" t="s">
        <v>406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5" t="s">
        <v>407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5" t="s">
        <v>408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5" t="s">
        <v>409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5" t="s">
        <v>410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5" t="s">
        <v>411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5" t="s">
        <v>412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5" t="s">
        <v>413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5" t="s">
        <v>414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5" t="s">
        <v>415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5" t="s">
        <v>416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5" t="s">
        <v>417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5" t="s">
        <v>418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5" t="s">
        <v>419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5" t="s">
        <v>420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5" t="s">
        <v>421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5" t="s">
        <v>422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5" t="s">
        <v>423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5" t="s">
        <v>424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5" t="s">
        <v>425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5" t="s">
        <v>426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5" t="s">
        <v>427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5" t="s">
        <v>428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5" t="s">
        <v>429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5" t="s">
        <v>430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5" t="s">
        <v>431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5" t="s">
        <v>432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5" t="s">
        <v>433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5" t="s">
        <v>434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5" t="s">
        <v>435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5" t="s">
        <v>436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5" t="s">
        <v>437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5" t="s">
        <v>438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5" t="s">
        <v>439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5" t="s">
        <v>440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5" t="s">
        <v>441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5" t="s">
        <v>442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5" t="s">
        <v>443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5" t="s">
        <v>444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5" t="s">
        <v>445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5" t="s">
        <v>446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5" t="s">
        <v>447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5" t="s">
        <v>448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5" t="s">
        <v>449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5" t="s">
        <v>450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5" t="s">
        <v>451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5" t="s">
        <v>452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5" t="s">
        <v>453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5" t="s">
        <v>454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5" t="s">
        <v>455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5" t="s">
        <v>456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5" t="s">
        <v>457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5" t="s">
        <v>458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5" t="s">
        <v>459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5" t="s">
        <v>460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5" t="s">
        <v>461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5" t="s">
        <v>462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5" t="s">
        <v>463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5" t="s">
        <v>464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5" t="s">
        <v>465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5" t="s">
        <v>466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5" t="s">
        <v>467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5" t="s">
        <v>468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5" t="s">
        <v>469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5" t="s">
        <v>470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5" t="s">
        <v>471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5" t="s">
        <v>472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5" t="s">
        <v>473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5" t="s">
        <v>474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5" t="s">
        <v>475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5" t="s">
        <v>476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5" t="s">
        <v>477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5" t="s">
        <v>478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5" t="s">
        <v>479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5" t="s">
        <v>480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5" t="s">
        <v>481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5" t="s">
        <v>482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5" t="s">
        <v>483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5" t="s">
        <v>484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5" t="s">
        <v>485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5" t="s">
        <v>486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5" t="s">
        <v>487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5" t="s">
        <v>488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5" t="s">
        <v>489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5" t="s">
        <v>490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5" t="s">
        <v>491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5" t="s">
        <v>492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5" t="s">
        <v>493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5" t="s">
        <v>494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5" t="s">
        <v>495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5" t="s">
        <v>496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5" t="s">
        <v>497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5" t="s">
        <v>498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5" t="s">
        <v>499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5" t="s">
        <v>500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5" t="s">
        <v>501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5" t="s">
        <v>502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5" t="s">
        <v>503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5" t="s">
        <v>504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5" t="s">
        <v>505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5" t="s">
        <v>506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5" t="s">
        <v>507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5" t="s">
        <v>508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5" t="s">
        <v>509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5" t="s">
        <v>510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5" t="s">
        <v>511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5" t="s">
        <v>512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5" t="s">
        <v>513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5" t="s">
        <v>514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5" t="s">
        <v>515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5" t="s">
        <v>516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5" t="s">
        <v>517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5" t="s">
        <v>518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5" t="s">
        <v>519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5" t="s">
        <v>520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5" t="s">
        <v>521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5" t="s">
        <v>522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5" t="s">
        <v>523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5" t="s">
        <v>524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5" t="s">
        <v>525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5" t="s">
        <v>526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5" t="s">
        <v>527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5" t="s">
        <v>528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5" t="s">
        <v>529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5" t="s">
        <v>530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5" t="s">
        <v>531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5" t="s">
        <v>532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5" t="s">
        <v>533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5" t="s">
        <v>534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5" t="s">
        <v>535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5" t="s">
        <v>536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5" t="s">
        <v>537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5" t="s">
        <v>538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5" t="s">
        <v>539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5" t="s">
        <v>540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5" t="s">
        <v>541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5" t="s">
        <v>542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5" t="s">
        <v>543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5" t="s">
        <v>544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5" t="s">
        <v>545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5" t="s">
        <v>546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5" t="s">
        <v>547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5" t="s">
        <v>548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5" t="s">
        <v>549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5" t="s">
        <v>550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5" t="s">
        <v>551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5" t="s">
        <v>552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5" t="s">
        <v>553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5" t="s">
        <v>554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5" t="s">
        <v>555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5" t="s">
        <v>556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5" t="s">
        <v>557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5" t="s">
        <v>558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5" t="s">
        <v>559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5" t="s">
        <v>560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5" t="s">
        <v>561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5" t="s">
        <v>562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5" t="s">
        <v>563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5" t="s">
        <v>564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5" t="s">
        <v>565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5" t="s">
        <v>566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5" t="s">
        <v>567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5" t="s">
        <v>568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5" t="s">
        <v>569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5" t="s">
        <v>570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5" t="s">
        <v>571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5" t="s">
        <v>572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5" t="s">
        <v>573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5" t="s">
        <v>574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5" t="s">
        <v>575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5" t="s">
        <v>576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5" t="s">
        <v>577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5" t="s">
        <v>578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5" t="s">
        <v>579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5" t="s">
        <v>580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5" t="s">
        <v>581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5" t="s">
        <v>582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5" t="s">
        <v>583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5" t="s">
        <v>584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5" t="s">
        <v>585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5" t="s">
        <v>586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5" t="s">
        <v>587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5" t="s">
        <v>588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5" t="s">
        <v>589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5" t="s">
        <v>590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5" t="s">
        <v>591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5" t="s">
        <v>592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5" t="s">
        <v>593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5" t="s">
        <v>594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5" t="s">
        <v>595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5" t="s">
        <v>596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5" t="s">
        <v>597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5" t="s">
        <v>598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5" t="s">
        <v>599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5" t="s">
        <v>600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4"/>
      <c r="R258" s="4"/>
    </row>
    <row r="259" spans="2:257" ht="35.25" customHeight="1" x14ac:dyDescent="0.15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5"/>
      <c r="R259" s="5"/>
    </row>
  </sheetData>
  <mergeCells count="2">
    <mergeCell ref="B258:P258"/>
    <mergeCell ref="B259:P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</sheetPr>
  <dimension ref="A1:M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9" width="27.125" collapsed="false"/>
    <col min="2" max="2" customWidth="true" hidden="true" style="9" width="26.5" collapsed="false"/>
    <col min="3" max="3" customWidth="true" style="9" width="32.0" collapsed="false"/>
    <col min="4" max="5" customWidth="true" style="9" width="19.5" collapsed="false"/>
    <col min="6" max="6" customWidth="true" hidden="true" style="9" width="12.0" collapsed="false"/>
    <col min="7" max="7" customWidth="true" style="9" width="10.375" collapsed="false"/>
    <col min="8" max="8" customWidth="true" style="9" width="10.25" collapsed="false"/>
    <col min="9" max="9" customWidth="true" style="9" width="67.5" collapsed="false"/>
    <col min="10" max="10" customWidth="true" hidden="true" style="9" width="9.0" collapsed="false"/>
    <col min="11" max="11" customWidth="true" style="9" width="20.25" collapsed="false"/>
    <col min="12" max="12" customWidth="true" hidden="true" style="9" width="0.0" collapsed="false"/>
    <col min="13" max="16384" style="9" width="9.0" collapsed="false"/>
  </cols>
  <sheetData>
    <row r="1" spans="1:12" s="6" customFormat="1" x14ac:dyDescent="0.15">
      <c r="A1" s="6" t="s">
        <v>851</v>
      </c>
      <c r="C1" s="7" t="s">
        <v>0</v>
      </c>
      <c r="D1" s="7" t="s">
        <v>5</v>
      </c>
      <c r="E1" s="7" t="s">
        <v>6</v>
      </c>
      <c r="F1" s="8" t="s">
        <v>4</v>
      </c>
      <c r="G1" s="7" t="s">
        <v>1</v>
      </c>
      <c r="H1" s="7" t="s">
        <v>3</v>
      </c>
      <c r="I1" s="7" t="s">
        <v>7</v>
      </c>
      <c r="K1" s="7" t="s">
        <v>773</v>
      </c>
      <c r="L1" s="6" t="s">
        <v>774</v>
      </c>
    </row>
    <row r="2" spans="1:12" x14ac:dyDescent="0.15">
      <c r="A2" s="9" t="str">
        <f>C2&amp;"（"&amp;D2&amp;"）"</f>
        <v>週１回以上の通いの場の構成比（主な活動内容別（２つめ））（令和2年(2020年)）</v>
      </c>
      <c r="B2" s="9" t="str">
        <f>"（時点）" &amp; D2</f>
        <v>（時点）令和2年(2020年)</v>
      </c>
      <c r="C2" s="10" t="s">
        <v>847</v>
      </c>
      <c r="D2" s="10" t="s">
        <v>848</v>
      </c>
      <c r="E2" s="10" t="s">
        <v>775</v>
      </c>
      <c r="F2" s="10" t="str">
        <f>G2 &amp; "（" &amp; H2 &amp; "）"</f>
        <v>週１回以上の通いの場の構成比（主な活動内容別（２つめ））（%）</v>
      </c>
      <c r="G2" s="10" t="s">
        <v>847</v>
      </c>
      <c r="H2" s="10" t="s">
        <v>849</v>
      </c>
      <c r="I2" s="10" t="s">
        <v>850</v>
      </c>
      <c r="J2" s="9" t="str">
        <f>"（出典）" &amp; I2</f>
        <v>（出典）厚生労働省「介護予防事業及び介護予防・日常生活支援総合事業の実施状況に関する調査」</v>
      </c>
      <c r="K2" s="10"/>
      <c r="L2" s="9" t="str">
        <f>IF(K2="","",K2)</f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 tint="0.39997558519241921"/>
  </sheetPr>
  <dimension ref="A1:IY261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5" max="65" customWidth="true" style="3" width="14.625" collapsed="true" hidden="true"/>
    <col min="4" max="63" customWidth="true" style="3" width="14.625" collapsed="true"/>
    <col min="1" max="1" customWidth="true" style="3" width="9.0" collapsed="false"/>
    <col min="2" max="2" bestFit="true" customWidth="true" style="13" width="102.87109375" collapsed="false"/>
    <col min="3" max="3" customWidth="true" style="13" width="10.03515625" collapsed="false" bestFit="true"/>
    <col min="64" max="64" customWidth="true" style="3" width="14.625" collapsed="false" hidden="true"/>
    <col min="66" max="66" style="3" width="14.625" collapsed="false" hidden="true"/>
  </cols>
  <sheetData>
    <row r="1">
      <c r="A1" t="s">
        <v>852</v>
      </c>
    </row>
    <row r="2" spans="2:258" s="13" customFormat="1" x14ac:dyDescent="0.15">
      <c r="B2" s="11"/>
      <c r="C2" s="11"/>
      <c r="D2" s="80" t="s">
        <v>775</v>
      </c>
      <c r="E2" s="80" t="s">
        <v>776</v>
      </c>
      <c r="F2" s="80" t="s">
        <v>777</v>
      </c>
      <c r="G2" s="80" t="s">
        <v>778</v>
      </c>
      <c r="H2" s="80" t="s">
        <v>779</v>
      </c>
      <c r="I2" s="80" t="s">
        <v>780</v>
      </c>
      <c r="J2" s="80" t="s">
        <v>781</v>
      </c>
      <c r="K2" s="80" t="s">
        <v>782</v>
      </c>
      <c r="L2" s="80" t="s">
        <v>783</v>
      </c>
      <c r="M2" s="80" t="s">
        <v>784</v>
      </c>
      <c r="N2" s="80" t="s">
        <v>785</v>
      </c>
      <c r="O2" s="80" t="s">
        <v>786</v>
      </c>
      <c r="P2" s="80" t="s">
        <v>787</v>
      </c>
      <c r="Q2" s="80" t="s">
        <v>788</v>
      </c>
      <c r="R2" s="80" t="s">
        <v>789</v>
      </c>
      <c r="S2" s="80" t="s">
        <v>790</v>
      </c>
      <c r="T2" s="80" t="s">
        <v>791</v>
      </c>
      <c r="U2" s="80" t="s">
        <v>792</v>
      </c>
      <c r="V2" s="80" t="s">
        <v>793</v>
      </c>
      <c r="W2" s="80" t="s">
        <v>794</v>
      </c>
      <c r="X2" s="80" t="s">
        <v>795</v>
      </c>
      <c r="Y2" s="80" t="s">
        <v>796</v>
      </c>
      <c r="Z2" s="80" t="s">
        <v>797</v>
      </c>
      <c r="AA2" s="80" t="s">
        <v>798</v>
      </c>
      <c r="AB2" s="80" t="s">
        <v>799</v>
      </c>
      <c r="AC2" s="80" t="s">
        <v>800</v>
      </c>
      <c r="AD2" s="80" t="s">
        <v>801</v>
      </c>
      <c r="AE2" s="80" t="s">
        <v>802</v>
      </c>
      <c r="AF2" s="80" t="s">
        <v>803</v>
      </c>
      <c r="AG2" s="80" t="s">
        <v>804</v>
      </c>
      <c r="AH2" s="80" t="s">
        <v>805</v>
      </c>
      <c r="AI2" s="80" t="s">
        <v>806</v>
      </c>
      <c r="AJ2" s="80" t="s">
        <v>807</v>
      </c>
      <c r="AK2" s="80" t="s">
        <v>808</v>
      </c>
      <c r="AL2" s="80" t="s">
        <v>809</v>
      </c>
      <c r="AM2" s="80" t="s">
        <v>810</v>
      </c>
      <c r="AN2" s="80" t="s">
        <v>811</v>
      </c>
      <c r="AO2" s="80" t="s">
        <v>812</v>
      </c>
      <c r="AP2" s="80" t="s">
        <v>813</v>
      </c>
      <c r="AQ2" s="80" t="s">
        <v>814</v>
      </c>
      <c r="AR2" s="80" t="s">
        <v>815</v>
      </c>
      <c r="AS2" s="80" t="s">
        <v>816</v>
      </c>
      <c r="AT2" s="80" t="s">
        <v>817</v>
      </c>
      <c r="AU2" s="80" t="s">
        <v>818</v>
      </c>
      <c r="AV2" s="80" t="s">
        <v>819</v>
      </c>
      <c r="AW2" s="80" t="s">
        <v>820</v>
      </c>
      <c r="AX2" s="80" t="s">
        <v>821</v>
      </c>
      <c r="AY2" s="80" t="s">
        <v>822</v>
      </c>
      <c r="AZ2" s="80" t="s">
        <v>823</v>
      </c>
      <c r="BA2" s="80" t="s">
        <v>824</v>
      </c>
      <c r="BB2" s="80" t="s">
        <v>825</v>
      </c>
      <c r="BC2" s="80" t="s">
        <v>826</v>
      </c>
      <c r="BD2" s="80" t="s">
        <v>827</v>
      </c>
      <c r="BE2" s="80" t="s">
        <v>828</v>
      </c>
      <c r="BF2" s="80" t="s">
        <v>829</v>
      </c>
      <c r="BG2" s="80" t="s">
        <v>830</v>
      </c>
      <c r="BH2" s="80" t="s">
        <v>831</v>
      </c>
      <c r="BI2" s="80" t="s">
        <v>832</v>
      </c>
      <c r="BJ2" s="80" t="s">
        <v>833</v>
      </c>
      <c r="BK2" s="80" t="s">
        <v>834</v>
      </c>
      <c r="BL2" s="12" t="s">
        <v>323</v>
      </c>
      <c r="BM2" s="12" t="s">
        <v>324</v>
      </c>
      <c r="BN2" s="12" t="s">
        <v>325</v>
      </c>
      <c r="BO2" s="12" t="s">
        <v>326</v>
      </c>
      <c r="BP2" s="12" t="s">
        <v>327</v>
      </c>
      <c r="BQ2" s="12" t="s">
        <v>328</v>
      </c>
      <c r="BR2" s="12" t="s">
        <v>329</v>
      </c>
      <c r="BS2" s="12" t="s">
        <v>330</v>
      </c>
      <c r="BT2" s="12" t="s">
        <v>331</v>
      </c>
      <c r="BU2" s="12" t="s">
        <v>332</v>
      </c>
      <c r="BV2" s="12" t="s">
        <v>333</v>
      </c>
      <c r="BW2" s="12" t="s">
        <v>334</v>
      </c>
      <c r="BX2" s="12" t="s">
        <v>335</v>
      </c>
      <c r="BY2" s="12" t="s">
        <v>336</v>
      </c>
      <c r="BZ2" s="12" t="s">
        <v>337</v>
      </c>
      <c r="CA2" s="12" t="s">
        <v>338</v>
      </c>
      <c r="CB2" s="12" t="s">
        <v>339</v>
      </c>
      <c r="CC2" s="12" t="s">
        <v>340</v>
      </c>
      <c r="CD2" s="12" t="s">
        <v>341</v>
      </c>
      <c r="CE2" s="12" t="s">
        <v>342</v>
      </c>
      <c r="CF2" s="12" t="s">
        <v>343</v>
      </c>
      <c r="CG2" s="12" t="s">
        <v>344</v>
      </c>
      <c r="CH2" s="12" t="s">
        <v>345</v>
      </c>
      <c r="CI2" s="12" t="s">
        <v>601</v>
      </c>
      <c r="CJ2" s="12" t="s">
        <v>602</v>
      </c>
      <c r="CK2" s="12" t="s">
        <v>603</v>
      </c>
      <c r="CL2" s="12" t="s">
        <v>604</v>
      </c>
      <c r="CM2" s="12" t="s">
        <v>605</v>
      </c>
      <c r="CN2" s="12" t="s">
        <v>606</v>
      </c>
      <c r="CO2" s="12" t="s">
        <v>607</v>
      </c>
      <c r="CP2" s="12" t="s">
        <v>608</v>
      </c>
      <c r="CQ2" s="12" t="s">
        <v>609</v>
      </c>
      <c r="CR2" s="12" t="s">
        <v>610</v>
      </c>
      <c r="CS2" s="12" t="s">
        <v>611</v>
      </c>
      <c r="CT2" s="12" t="s">
        <v>612</v>
      </c>
      <c r="CU2" s="12" t="s">
        <v>613</v>
      </c>
      <c r="CV2" s="12" t="s">
        <v>614</v>
      </c>
      <c r="CW2" s="12" t="s">
        <v>615</v>
      </c>
      <c r="CX2" s="12" t="s">
        <v>616</v>
      </c>
      <c r="CY2" s="12" t="s">
        <v>617</v>
      </c>
      <c r="CZ2" s="12" t="s">
        <v>618</v>
      </c>
      <c r="DA2" s="12" t="s">
        <v>619</v>
      </c>
      <c r="DB2" s="12" t="s">
        <v>620</v>
      </c>
      <c r="DC2" s="12" t="s">
        <v>621</v>
      </c>
      <c r="DD2" s="12" t="s">
        <v>622</v>
      </c>
      <c r="DE2" s="12" t="s">
        <v>623</v>
      </c>
      <c r="DF2" s="12" t="s">
        <v>624</v>
      </c>
      <c r="DG2" s="12" t="s">
        <v>625</v>
      </c>
      <c r="DH2" s="12" t="s">
        <v>626</v>
      </c>
      <c r="DI2" s="12" t="s">
        <v>627</v>
      </c>
      <c r="DJ2" s="12" t="s">
        <v>628</v>
      </c>
      <c r="DK2" s="12" t="s">
        <v>629</v>
      </c>
      <c r="DL2" s="12" t="s">
        <v>630</v>
      </c>
      <c r="DM2" s="12" t="s">
        <v>631</v>
      </c>
      <c r="DN2" s="12" t="s">
        <v>632</v>
      </c>
      <c r="DO2" s="12" t="s">
        <v>633</v>
      </c>
      <c r="DP2" s="12" t="s">
        <v>634</v>
      </c>
      <c r="DQ2" s="12" t="s">
        <v>635</v>
      </c>
      <c r="DR2" s="12" t="s">
        <v>636</v>
      </c>
      <c r="DS2" s="12" t="s">
        <v>637</v>
      </c>
      <c r="DT2" s="12" t="s">
        <v>638</v>
      </c>
      <c r="DU2" s="12" t="s">
        <v>639</v>
      </c>
      <c r="DV2" s="12" t="s">
        <v>640</v>
      </c>
      <c r="DW2" s="12" t="s">
        <v>641</v>
      </c>
      <c r="DX2" s="12" t="s">
        <v>642</v>
      </c>
      <c r="DY2" s="12" t="s">
        <v>643</v>
      </c>
      <c r="DZ2" s="12" t="s">
        <v>644</v>
      </c>
      <c r="EA2" s="12" t="s">
        <v>645</v>
      </c>
      <c r="EB2" s="12" t="s">
        <v>646</v>
      </c>
      <c r="EC2" s="12" t="s">
        <v>647</v>
      </c>
      <c r="ED2" s="12" t="s">
        <v>648</v>
      </c>
      <c r="EE2" s="12" t="s">
        <v>649</v>
      </c>
      <c r="EF2" s="12" t="s">
        <v>650</v>
      </c>
      <c r="EG2" s="12" t="s">
        <v>651</v>
      </c>
      <c r="EH2" s="12" t="s">
        <v>652</v>
      </c>
      <c r="EI2" s="12" t="s">
        <v>653</v>
      </c>
      <c r="EJ2" s="12" t="s">
        <v>654</v>
      </c>
      <c r="EK2" s="12" t="s">
        <v>655</v>
      </c>
      <c r="EL2" s="12" t="s">
        <v>656</v>
      </c>
      <c r="EM2" s="12" t="s">
        <v>657</v>
      </c>
      <c r="EN2" s="12" t="s">
        <v>658</v>
      </c>
      <c r="EO2" s="12" t="s">
        <v>659</v>
      </c>
      <c r="EP2" s="12" t="s">
        <v>660</v>
      </c>
      <c r="EQ2" s="12" t="s">
        <v>661</v>
      </c>
      <c r="ER2" s="12" t="s">
        <v>662</v>
      </c>
      <c r="ES2" s="12" t="s">
        <v>663</v>
      </c>
      <c r="ET2" s="12" t="s">
        <v>664</v>
      </c>
      <c r="EU2" s="12" t="s">
        <v>665</v>
      </c>
      <c r="EV2" s="12" t="s">
        <v>666</v>
      </c>
      <c r="EW2" s="12" t="s">
        <v>667</v>
      </c>
      <c r="EX2" s="12" t="s">
        <v>668</v>
      </c>
      <c r="EY2" s="12" t="s">
        <v>669</v>
      </c>
      <c r="EZ2" s="12" t="s">
        <v>670</v>
      </c>
      <c r="FA2" s="12" t="s">
        <v>671</v>
      </c>
      <c r="FB2" s="12" t="s">
        <v>672</v>
      </c>
      <c r="FC2" s="12" t="s">
        <v>673</v>
      </c>
      <c r="FD2" s="12" t="s">
        <v>674</v>
      </c>
      <c r="FE2" s="12" t="s">
        <v>675</v>
      </c>
      <c r="FF2" s="12" t="s">
        <v>676</v>
      </c>
      <c r="FG2" s="12" t="s">
        <v>677</v>
      </c>
      <c r="FH2" s="12" t="s">
        <v>678</v>
      </c>
      <c r="FI2" s="12" t="s">
        <v>679</v>
      </c>
      <c r="FJ2" s="12" t="s">
        <v>680</v>
      </c>
      <c r="FK2" s="12" t="s">
        <v>681</v>
      </c>
      <c r="FL2" s="12" t="s">
        <v>682</v>
      </c>
      <c r="FM2" s="12" t="s">
        <v>683</v>
      </c>
      <c r="FN2" s="12" t="s">
        <v>684</v>
      </c>
      <c r="FO2" s="12" t="s">
        <v>685</v>
      </c>
      <c r="FP2" s="12" t="s">
        <v>686</v>
      </c>
      <c r="FQ2" s="12" t="s">
        <v>687</v>
      </c>
      <c r="FR2" s="12" t="s">
        <v>688</v>
      </c>
      <c r="FS2" s="12" t="s">
        <v>689</v>
      </c>
      <c r="FT2" s="12" t="s">
        <v>690</v>
      </c>
      <c r="FU2" s="12" t="s">
        <v>691</v>
      </c>
      <c r="FV2" s="12" t="s">
        <v>692</v>
      </c>
      <c r="FW2" s="12" t="s">
        <v>693</v>
      </c>
      <c r="FX2" s="12" t="s">
        <v>694</v>
      </c>
      <c r="FY2" s="12" t="s">
        <v>695</v>
      </c>
      <c r="FZ2" s="12" t="s">
        <v>696</v>
      </c>
      <c r="GA2" s="12" t="s">
        <v>697</v>
      </c>
      <c r="GB2" s="12" t="s">
        <v>698</v>
      </c>
      <c r="GC2" s="12" t="s">
        <v>699</v>
      </c>
      <c r="GD2" s="12" t="s">
        <v>700</v>
      </c>
      <c r="GE2" s="12" t="s">
        <v>701</v>
      </c>
      <c r="GF2" s="12" t="s">
        <v>702</v>
      </c>
      <c r="GG2" s="12" t="s">
        <v>703</v>
      </c>
      <c r="GH2" s="12" t="s">
        <v>704</v>
      </c>
      <c r="GI2" s="12" t="s">
        <v>705</v>
      </c>
      <c r="GJ2" s="12" t="s">
        <v>706</v>
      </c>
      <c r="GK2" s="12" t="s">
        <v>707</v>
      </c>
      <c r="GL2" s="12" t="s">
        <v>708</v>
      </c>
      <c r="GM2" s="12" t="s">
        <v>709</v>
      </c>
      <c r="GN2" s="12" t="s">
        <v>710</v>
      </c>
      <c r="GO2" s="12" t="s">
        <v>711</v>
      </c>
      <c r="GP2" s="12" t="s">
        <v>712</v>
      </c>
      <c r="GQ2" s="12" t="s">
        <v>713</v>
      </c>
      <c r="GR2" s="12" t="s">
        <v>714</v>
      </c>
      <c r="GS2" s="12" t="s">
        <v>715</v>
      </c>
      <c r="GT2" s="12" t="s">
        <v>716</v>
      </c>
      <c r="GU2" s="12" t="s">
        <v>717</v>
      </c>
      <c r="GV2" s="12" t="s">
        <v>718</v>
      </c>
      <c r="GW2" s="12" t="s">
        <v>719</v>
      </c>
      <c r="GX2" s="12" t="s">
        <v>720</v>
      </c>
      <c r="GY2" s="12" t="s">
        <v>721</v>
      </c>
      <c r="GZ2" s="12" t="s">
        <v>722</v>
      </c>
      <c r="HA2" s="12" t="s">
        <v>723</v>
      </c>
      <c r="HB2" s="12" t="s">
        <v>724</v>
      </c>
      <c r="HC2" s="12" t="s">
        <v>725</v>
      </c>
      <c r="HD2" s="12" t="s">
        <v>726</v>
      </c>
      <c r="HE2" s="12" t="s">
        <v>727</v>
      </c>
      <c r="HF2" s="12" t="s">
        <v>728</v>
      </c>
      <c r="HG2" s="12" t="s">
        <v>729</v>
      </c>
      <c r="HH2" s="12" t="s">
        <v>730</v>
      </c>
      <c r="HI2" s="12" t="s">
        <v>731</v>
      </c>
      <c r="HJ2" s="12" t="s">
        <v>732</v>
      </c>
      <c r="HK2" s="12" t="s">
        <v>733</v>
      </c>
      <c r="HL2" s="12" t="s">
        <v>734</v>
      </c>
      <c r="HM2" s="12" t="s">
        <v>735</v>
      </c>
      <c r="HN2" s="12" t="s">
        <v>736</v>
      </c>
      <c r="HO2" s="12" t="s">
        <v>737</v>
      </c>
      <c r="HP2" s="12" t="s">
        <v>738</v>
      </c>
      <c r="HQ2" s="12" t="s">
        <v>739</v>
      </c>
      <c r="HR2" s="12" t="s">
        <v>740</v>
      </c>
      <c r="HS2" s="12" t="s">
        <v>741</v>
      </c>
      <c r="HT2" s="12" t="s">
        <v>742</v>
      </c>
      <c r="HU2" s="12" t="s">
        <v>743</v>
      </c>
      <c r="HV2" s="12" t="s">
        <v>744</v>
      </c>
      <c r="HW2" s="12" t="s">
        <v>745</v>
      </c>
      <c r="HX2" s="12" t="s">
        <v>746</v>
      </c>
      <c r="HY2" s="12" t="s">
        <v>747</v>
      </c>
      <c r="HZ2" s="12" t="s">
        <v>748</v>
      </c>
      <c r="IA2" s="12" t="s">
        <v>749</v>
      </c>
      <c r="IB2" s="12" t="s">
        <v>750</v>
      </c>
      <c r="IC2" s="12" t="s">
        <v>751</v>
      </c>
      <c r="ID2" s="12" t="s">
        <v>752</v>
      </c>
      <c r="IE2" s="12" t="s">
        <v>753</v>
      </c>
      <c r="IF2" s="12" t="s">
        <v>754</v>
      </c>
      <c r="IG2" s="12" t="s">
        <v>755</v>
      </c>
      <c r="IH2" s="12" t="s">
        <v>756</v>
      </c>
      <c r="II2" s="12" t="s">
        <v>757</v>
      </c>
      <c r="IJ2" s="12" t="s">
        <v>758</v>
      </c>
      <c r="IK2" s="12" t="s">
        <v>759</v>
      </c>
      <c r="IL2" s="12" t="s">
        <v>760</v>
      </c>
      <c r="IM2" s="12" t="s">
        <v>761</v>
      </c>
      <c r="IN2" s="12" t="s">
        <v>762</v>
      </c>
      <c r="IO2" s="12" t="s">
        <v>763</v>
      </c>
      <c r="IP2" s="12" t="s">
        <v>764</v>
      </c>
      <c r="IQ2" s="12" t="s">
        <v>765</v>
      </c>
      <c r="IR2" s="12" t="s">
        <v>766</v>
      </c>
      <c r="IS2" s="12" t="s">
        <v>767</v>
      </c>
      <c r="IT2" s="12" t="s">
        <v>768</v>
      </c>
      <c r="IU2" s="12" t="s">
        <v>769</v>
      </c>
      <c r="IV2" s="12" t="s">
        <v>770</v>
      </c>
      <c r="IW2" s="12" t="s">
        <v>771</v>
      </c>
      <c r="IX2" s="12" t="s">
        <v>772</v>
      </c>
    </row>
    <row r="3" spans="2:258" x14ac:dyDescent="0.15">
      <c r="B3" s="15" t="s">
        <v>854</v>
      </c>
      <c r="C3" s="12" t="s">
        <v>855</v>
      </c>
      <c r="D3" s="85" t="s">
        <v>853</v>
      </c>
      <c r="E3" s="82" t="n">
        <v>58.5</v>
      </c>
      <c r="F3" s="82" t="n">
        <v>59.0</v>
      </c>
      <c r="G3" s="82" t="n">
        <v>54.1</v>
      </c>
      <c r="H3" s="82" t="n">
        <v>73.1</v>
      </c>
      <c r="I3" s="82" t="n">
        <v>86.1</v>
      </c>
      <c r="J3" s="82" t="n">
        <v>0.0</v>
      </c>
      <c r="K3" s="82" t="n">
        <v>90.6</v>
      </c>
      <c r="L3" s="85" t="s">
        <v>853</v>
      </c>
      <c r="M3" s="82" t="n">
        <v>100.0</v>
      </c>
      <c r="N3" s="82" t="n">
        <v>95.2</v>
      </c>
      <c r="O3" s="82" t="n">
        <v>94.4</v>
      </c>
      <c r="P3" s="82" t="n">
        <v>0.0</v>
      </c>
      <c r="Q3" s="82" t="n">
        <v>0.0</v>
      </c>
      <c r="R3" s="82" t="n">
        <v>100.0</v>
      </c>
      <c r="S3" s="82" t="n">
        <v>100.0</v>
      </c>
      <c r="T3" s="82" t="n">
        <v>62.5</v>
      </c>
      <c r="U3" s="85" t="s">
        <v>853</v>
      </c>
      <c r="V3" s="85" t="s">
        <v>853</v>
      </c>
      <c r="W3" s="85" t="s">
        <v>853</v>
      </c>
      <c r="X3" s="85" t="s">
        <v>853</v>
      </c>
      <c r="Y3" s="82" t="n">
        <v>0.0</v>
      </c>
      <c r="Z3" s="82" t="n">
        <v>0.0</v>
      </c>
      <c r="AA3" s="82" t="n">
        <v>0.0</v>
      </c>
      <c r="AB3" s="85" t="s">
        <v>853</v>
      </c>
      <c r="AC3" s="85" t="s">
        <v>853</v>
      </c>
      <c r="AD3" s="82" t="n">
        <v>30.8</v>
      </c>
      <c r="AE3" s="82" t="n">
        <v>66.7</v>
      </c>
      <c r="AF3" s="82" t="n">
        <v>0.0</v>
      </c>
      <c r="AG3" s="82" t="n">
        <v>80.0</v>
      </c>
      <c r="AH3" s="82" t="n">
        <v>0.0</v>
      </c>
      <c r="AI3" s="82" t="n">
        <v>100.0</v>
      </c>
      <c r="AJ3" s="82" t="n">
        <v>0.0</v>
      </c>
      <c r="AK3" s="85" t="s">
        <v>853</v>
      </c>
      <c r="AL3" s="82" t="n">
        <v>0.0</v>
      </c>
      <c r="AM3" s="85" t="s">
        <v>853</v>
      </c>
      <c r="AN3" s="82" t="n">
        <v>100.0</v>
      </c>
      <c r="AO3" s="85" t="s">
        <v>853</v>
      </c>
      <c r="AP3" s="85" t="s">
        <v>853</v>
      </c>
      <c r="AQ3" s="82" t="n">
        <v>100.0</v>
      </c>
      <c r="AR3" s="85" t="s">
        <v>853</v>
      </c>
      <c r="AS3" s="85" t="s">
        <v>853</v>
      </c>
      <c r="AT3" s="85" t="s">
        <v>853</v>
      </c>
      <c r="AU3" s="82" t="n">
        <v>71.4</v>
      </c>
      <c r="AV3" s="82" t="n">
        <v>0.0</v>
      </c>
      <c r="AW3" s="85" t="s">
        <v>853</v>
      </c>
      <c r="AX3" s="85" t="s">
        <v>853</v>
      </c>
      <c r="AY3" s="82" t="n">
        <v>100.0</v>
      </c>
      <c r="AZ3" s="82" t="n">
        <v>0.0</v>
      </c>
      <c r="BA3" s="82" t="n">
        <v>100.0</v>
      </c>
      <c r="BB3" s="82" t="n">
        <v>0.0</v>
      </c>
      <c r="BC3" s="82" t="n">
        <v>0.0</v>
      </c>
      <c r="BD3" s="85" t="s">
        <v>853</v>
      </c>
      <c r="BE3" s="85" t="s">
        <v>853</v>
      </c>
      <c r="BF3" s="85" t="s">
        <v>853</v>
      </c>
      <c r="BG3" s="85" t="s">
        <v>853</v>
      </c>
      <c r="BH3" s="82" t="n">
        <v>83.3</v>
      </c>
      <c r="BI3" s="82" t="n">
        <v>100.0</v>
      </c>
      <c r="BJ3" s="82" t="n">
        <v>100.0</v>
      </c>
      <c r="BK3" s="85" t="s">
        <v>853</v>
      </c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15">
      <c r="B4" s="15" t="s">
        <v>856</v>
      </c>
      <c r="C4" s="12" t="s">
        <v>855</v>
      </c>
      <c r="D4" s="89" t="s">
        <v>853</v>
      </c>
      <c r="E4" s="86" t="n">
        <v>3.2</v>
      </c>
      <c r="F4" s="86" t="n">
        <v>1.7</v>
      </c>
      <c r="G4" s="86" t="n">
        <v>0.0</v>
      </c>
      <c r="H4" s="86" t="n">
        <v>5.8</v>
      </c>
      <c r="I4" s="86" t="n">
        <v>13.9</v>
      </c>
      <c r="J4" s="86" t="n">
        <v>0.0</v>
      </c>
      <c r="K4" s="86" t="n">
        <v>0.0</v>
      </c>
      <c r="L4" s="89" t="s">
        <v>853</v>
      </c>
      <c r="M4" s="86" t="n">
        <v>0.0</v>
      </c>
      <c r="N4" s="86" t="n">
        <v>0.0</v>
      </c>
      <c r="O4" s="86" t="n">
        <v>0.0</v>
      </c>
      <c r="P4" s="86" t="n">
        <v>0.0</v>
      </c>
      <c r="Q4" s="86" t="n">
        <v>0.0</v>
      </c>
      <c r="R4" s="86" t="n">
        <v>0.0</v>
      </c>
      <c r="S4" s="86" t="n">
        <v>0.0</v>
      </c>
      <c r="T4" s="86" t="n">
        <v>0.0</v>
      </c>
      <c r="U4" s="89" t="s">
        <v>853</v>
      </c>
      <c r="V4" s="89" t="s">
        <v>853</v>
      </c>
      <c r="W4" s="89" t="s">
        <v>853</v>
      </c>
      <c r="X4" s="89" t="s">
        <v>853</v>
      </c>
      <c r="Y4" s="86" t="n">
        <v>0.0</v>
      </c>
      <c r="Z4" s="86" t="n">
        <v>100.0</v>
      </c>
      <c r="AA4" s="86" t="n">
        <v>0.0</v>
      </c>
      <c r="AB4" s="89" t="s">
        <v>853</v>
      </c>
      <c r="AC4" s="89" t="s">
        <v>853</v>
      </c>
      <c r="AD4" s="86" t="n">
        <v>0.0</v>
      </c>
      <c r="AE4" s="86" t="n">
        <v>0.0</v>
      </c>
      <c r="AF4" s="86" t="n">
        <v>0.0</v>
      </c>
      <c r="AG4" s="86" t="n">
        <v>20.0</v>
      </c>
      <c r="AH4" s="86" t="n">
        <v>0.0</v>
      </c>
      <c r="AI4" s="86" t="n">
        <v>0.0</v>
      </c>
      <c r="AJ4" s="86" t="n">
        <v>100.0</v>
      </c>
      <c r="AK4" s="89" t="s">
        <v>853</v>
      </c>
      <c r="AL4" s="86" t="n">
        <v>0.0</v>
      </c>
      <c r="AM4" s="89" t="s">
        <v>853</v>
      </c>
      <c r="AN4" s="86" t="n">
        <v>0.0</v>
      </c>
      <c r="AO4" s="89" t="s">
        <v>853</v>
      </c>
      <c r="AP4" s="89" t="s">
        <v>853</v>
      </c>
      <c r="AQ4" s="86" t="n">
        <v>0.0</v>
      </c>
      <c r="AR4" s="89" t="s">
        <v>853</v>
      </c>
      <c r="AS4" s="89" t="s">
        <v>853</v>
      </c>
      <c r="AT4" s="89" t="s">
        <v>853</v>
      </c>
      <c r="AU4" s="86" t="n">
        <v>0.0</v>
      </c>
      <c r="AV4" s="86" t="n">
        <v>0.0</v>
      </c>
      <c r="AW4" s="89" t="s">
        <v>853</v>
      </c>
      <c r="AX4" s="89" t="s">
        <v>853</v>
      </c>
      <c r="AY4" s="86" t="n">
        <v>0.0</v>
      </c>
      <c r="AZ4" s="86" t="n">
        <v>0.0</v>
      </c>
      <c r="BA4" s="86" t="n">
        <v>0.0</v>
      </c>
      <c r="BB4" s="86" t="n">
        <v>0.0</v>
      </c>
      <c r="BC4" s="86" t="n">
        <v>0.0</v>
      </c>
      <c r="BD4" s="89" t="s">
        <v>853</v>
      </c>
      <c r="BE4" s="89" t="s">
        <v>853</v>
      </c>
      <c r="BF4" s="89" t="s">
        <v>853</v>
      </c>
      <c r="BG4" s="89" t="s">
        <v>853</v>
      </c>
      <c r="BH4" s="86" t="n">
        <v>16.7</v>
      </c>
      <c r="BI4" s="86" t="n">
        <v>0.0</v>
      </c>
      <c r="BJ4" s="86" t="n">
        <v>0.0</v>
      </c>
      <c r="BK4" s="89" t="s">
        <v>853</v>
      </c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15">
      <c r="B5" s="15" t="s">
        <v>857</v>
      </c>
      <c r="C5" s="12" t="s">
        <v>855</v>
      </c>
      <c r="D5" s="93" t="s">
        <v>853</v>
      </c>
      <c r="E5" s="90" t="n">
        <v>1.4</v>
      </c>
      <c r="F5" s="90" t="n">
        <v>4.3</v>
      </c>
      <c r="G5" s="90" t="n">
        <v>5.4</v>
      </c>
      <c r="H5" s="90" t="n">
        <v>1.0</v>
      </c>
      <c r="I5" s="90" t="n">
        <v>0.0</v>
      </c>
      <c r="J5" s="90" t="n">
        <v>0.0</v>
      </c>
      <c r="K5" s="90" t="n">
        <v>0.0</v>
      </c>
      <c r="L5" s="93" t="s">
        <v>853</v>
      </c>
      <c r="M5" s="90" t="n">
        <v>0.0</v>
      </c>
      <c r="N5" s="90" t="n">
        <v>0.0</v>
      </c>
      <c r="O5" s="90" t="n">
        <v>0.0</v>
      </c>
      <c r="P5" s="90" t="n">
        <v>0.0</v>
      </c>
      <c r="Q5" s="90" t="n">
        <v>0.0</v>
      </c>
      <c r="R5" s="90" t="n">
        <v>0.0</v>
      </c>
      <c r="S5" s="90" t="n">
        <v>0.0</v>
      </c>
      <c r="T5" s="90" t="n">
        <v>6.3</v>
      </c>
      <c r="U5" s="93" t="s">
        <v>853</v>
      </c>
      <c r="V5" s="93" t="s">
        <v>853</v>
      </c>
      <c r="W5" s="93" t="s">
        <v>853</v>
      </c>
      <c r="X5" s="93" t="s">
        <v>853</v>
      </c>
      <c r="Y5" s="90" t="n">
        <v>0.0</v>
      </c>
      <c r="Z5" s="90" t="n">
        <v>0.0</v>
      </c>
      <c r="AA5" s="90" t="n">
        <v>0.0</v>
      </c>
      <c r="AB5" s="93" t="s">
        <v>853</v>
      </c>
      <c r="AC5" s="93" t="s">
        <v>853</v>
      </c>
      <c r="AD5" s="90" t="n">
        <v>0.0</v>
      </c>
      <c r="AE5" s="90" t="n">
        <v>0.0</v>
      </c>
      <c r="AF5" s="90" t="n">
        <v>0.0</v>
      </c>
      <c r="AG5" s="90" t="n">
        <v>0.0</v>
      </c>
      <c r="AH5" s="90" t="n">
        <v>0.0</v>
      </c>
      <c r="AI5" s="90" t="n">
        <v>0.0</v>
      </c>
      <c r="AJ5" s="90" t="n">
        <v>0.0</v>
      </c>
      <c r="AK5" s="93" t="s">
        <v>853</v>
      </c>
      <c r="AL5" s="90" t="n">
        <v>0.0</v>
      </c>
      <c r="AM5" s="93" t="s">
        <v>853</v>
      </c>
      <c r="AN5" s="90" t="n">
        <v>0.0</v>
      </c>
      <c r="AO5" s="93" t="s">
        <v>853</v>
      </c>
      <c r="AP5" s="93" t="s">
        <v>853</v>
      </c>
      <c r="AQ5" s="90" t="n">
        <v>0.0</v>
      </c>
      <c r="AR5" s="93" t="s">
        <v>853</v>
      </c>
      <c r="AS5" s="93" t="s">
        <v>853</v>
      </c>
      <c r="AT5" s="93" t="s">
        <v>853</v>
      </c>
      <c r="AU5" s="90" t="n">
        <v>0.0</v>
      </c>
      <c r="AV5" s="90" t="n">
        <v>0.0</v>
      </c>
      <c r="AW5" s="93" t="s">
        <v>853</v>
      </c>
      <c r="AX5" s="93" t="s">
        <v>853</v>
      </c>
      <c r="AY5" s="90" t="n">
        <v>0.0</v>
      </c>
      <c r="AZ5" s="90" t="n">
        <v>33.3</v>
      </c>
      <c r="BA5" s="90" t="n">
        <v>0.0</v>
      </c>
      <c r="BB5" s="90" t="n">
        <v>0.0</v>
      </c>
      <c r="BC5" s="90" t="n">
        <v>0.0</v>
      </c>
      <c r="BD5" s="93" t="s">
        <v>853</v>
      </c>
      <c r="BE5" s="93" t="s">
        <v>853</v>
      </c>
      <c r="BF5" s="93" t="s">
        <v>853</v>
      </c>
      <c r="BG5" s="93" t="s">
        <v>853</v>
      </c>
      <c r="BH5" s="90" t="n">
        <v>0.0</v>
      </c>
      <c r="BI5" s="90" t="n">
        <v>0.0</v>
      </c>
      <c r="BJ5" s="90" t="n">
        <v>0.0</v>
      </c>
      <c r="BK5" s="93" t="s">
        <v>853</v>
      </c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15">
      <c r="B6" s="15" t="s">
        <v>858</v>
      </c>
      <c r="C6" s="12" t="s">
        <v>855</v>
      </c>
      <c r="D6" s="97" t="s">
        <v>853</v>
      </c>
      <c r="E6" s="94" t="n">
        <v>7.2</v>
      </c>
      <c r="F6" s="94" t="n">
        <v>7.7</v>
      </c>
      <c r="G6" s="94" t="n">
        <v>2.7</v>
      </c>
      <c r="H6" s="94" t="n">
        <v>11.5</v>
      </c>
      <c r="I6" s="94" t="n">
        <v>0.0</v>
      </c>
      <c r="J6" s="94" t="n">
        <v>0.0</v>
      </c>
      <c r="K6" s="94" t="n">
        <v>9.4</v>
      </c>
      <c r="L6" s="97" t="s">
        <v>853</v>
      </c>
      <c r="M6" s="94" t="n">
        <v>0.0</v>
      </c>
      <c r="N6" s="94" t="n">
        <v>0.0</v>
      </c>
      <c r="O6" s="94" t="n">
        <v>0.0</v>
      </c>
      <c r="P6" s="94" t="n">
        <v>0.0</v>
      </c>
      <c r="Q6" s="94" t="n">
        <v>0.9</v>
      </c>
      <c r="R6" s="94" t="n">
        <v>0.0</v>
      </c>
      <c r="S6" s="94" t="n">
        <v>0.0</v>
      </c>
      <c r="T6" s="94" t="n">
        <v>31.3</v>
      </c>
      <c r="U6" s="97" t="s">
        <v>853</v>
      </c>
      <c r="V6" s="97" t="s">
        <v>853</v>
      </c>
      <c r="W6" s="97" t="s">
        <v>853</v>
      </c>
      <c r="X6" s="97" t="s">
        <v>853</v>
      </c>
      <c r="Y6" s="94" t="n">
        <v>0.0</v>
      </c>
      <c r="Z6" s="94" t="n">
        <v>0.0</v>
      </c>
      <c r="AA6" s="94" t="n">
        <v>0.0</v>
      </c>
      <c r="AB6" s="97" t="s">
        <v>853</v>
      </c>
      <c r="AC6" s="97" t="s">
        <v>853</v>
      </c>
      <c r="AD6" s="94" t="n">
        <v>38.5</v>
      </c>
      <c r="AE6" s="94" t="n">
        <v>0.0</v>
      </c>
      <c r="AF6" s="94" t="n">
        <v>55.0</v>
      </c>
      <c r="AG6" s="94" t="n">
        <v>0.0</v>
      </c>
      <c r="AH6" s="94" t="n">
        <v>0.0</v>
      </c>
      <c r="AI6" s="94" t="n">
        <v>0.0</v>
      </c>
      <c r="AJ6" s="94" t="n">
        <v>0.0</v>
      </c>
      <c r="AK6" s="97" t="s">
        <v>853</v>
      </c>
      <c r="AL6" s="94" t="n">
        <v>0.0</v>
      </c>
      <c r="AM6" s="97" t="s">
        <v>853</v>
      </c>
      <c r="AN6" s="94" t="n">
        <v>0.0</v>
      </c>
      <c r="AO6" s="97" t="s">
        <v>853</v>
      </c>
      <c r="AP6" s="97" t="s">
        <v>853</v>
      </c>
      <c r="AQ6" s="94" t="n">
        <v>0.0</v>
      </c>
      <c r="AR6" s="97" t="s">
        <v>853</v>
      </c>
      <c r="AS6" s="97" t="s">
        <v>853</v>
      </c>
      <c r="AT6" s="97" t="s">
        <v>853</v>
      </c>
      <c r="AU6" s="94" t="n">
        <v>0.0</v>
      </c>
      <c r="AV6" s="94" t="n">
        <v>0.0</v>
      </c>
      <c r="AW6" s="97" t="s">
        <v>853</v>
      </c>
      <c r="AX6" s="97" t="s">
        <v>853</v>
      </c>
      <c r="AY6" s="94" t="n">
        <v>0.0</v>
      </c>
      <c r="AZ6" s="94" t="n">
        <v>66.7</v>
      </c>
      <c r="BA6" s="94" t="n">
        <v>0.0</v>
      </c>
      <c r="BB6" s="94" t="n">
        <v>100.0</v>
      </c>
      <c r="BC6" s="94" t="n">
        <v>0.0</v>
      </c>
      <c r="BD6" s="97" t="s">
        <v>853</v>
      </c>
      <c r="BE6" s="97" t="s">
        <v>853</v>
      </c>
      <c r="BF6" s="97" t="s">
        <v>853</v>
      </c>
      <c r="BG6" s="97" t="s">
        <v>853</v>
      </c>
      <c r="BH6" s="94" t="n">
        <v>0.0</v>
      </c>
      <c r="BI6" s="94" t="n">
        <v>0.0</v>
      </c>
      <c r="BJ6" s="94" t="n">
        <v>0.0</v>
      </c>
      <c r="BK6" s="97" t="s">
        <v>853</v>
      </c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15">
      <c r="B7" s="15" t="s">
        <v>859</v>
      </c>
      <c r="C7" s="12" t="s">
        <v>855</v>
      </c>
      <c r="D7" s="101" t="s">
        <v>853</v>
      </c>
      <c r="E7" s="98" t="n">
        <v>22.0</v>
      </c>
      <c r="F7" s="98" t="n">
        <v>2.6</v>
      </c>
      <c r="G7" s="98" t="n">
        <v>5.4</v>
      </c>
      <c r="H7" s="98" t="n">
        <v>5.8</v>
      </c>
      <c r="I7" s="98" t="n">
        <v>0.0</v>
      </c>
      <c r="J7" s="98" t="n">
        <v>100.0</v>
      </c>
      <c r="K7" s="98" t="n">
        <v>0.0</v>
      </c>
      <c r="L7" s="101" t="s">
        <v>853</v>
      </c>
      <c r="M7" s="98" t="n">
        <v>0.0</v>
      </c>
      <c r="N7" s="98" t="n">
        <v>4.8</v>
      </c>
      <c r="O7" s="98" t="n">
        <v>0.0</v>
      </c>
      <c r="P7" s="98" t="n">
        <v>100.0</v>
      </c>
      <c r="Q7" s="98" t="n">
        <v>99.1</v>
      </c>
      <c r="R7" s="98" t="n">
        <v>0.0</v>
      </c>
      <c r="S7" s="98" t="n">
        <v>0.0</v>
      </c>
      <c r="T7" s="98" t="n">
        <v>0.0</v>
      </c>
      <c r="U7" s="101" t="s">
        <v>853</v>
      </c>
      <c r="V7" s="101" t="s">
        <v>853</v>
      </c>
      <c r="W7" s="101" t="s">
        <v>853</v>
      </c>
      <c r="X7" s="101" t="s">
        <v>853</v>
      </c>
      <c r="Y7" s="98" t="n">
        <v>0.0</v>
      </c>
      <c r="Z7" s="98" t="n">
        <v>0.0</v>
      </c>
      <c r="AA7" s="98" t="n">
        <v>0.0</v>
      </c>
      <c r="AB7" s="101" t="s">
        <v>853</v>
      </c>
      <c r="AC7" s="101" t="s">
        <v>853</v>
      </c>
      <c r="AD7" s="98" t="n">
        <v>7.7</v>
      </c>
      <c r="AE7" s="98" t="n">
        <v>33.3</v>
      </c>
      <c r="AF7" s="98" t="n">
        <v>45.0</v>
      </c>
      <c r="AG7" s="98" t="n">
        <v>0.0</v>
      </c>
      <c r="AH7" s="98" t="n">
        <v>0.0</v>
      </c>
      <c r="AI7" s="98" t="n">
        <v>0.0</v>
      </c>
      <c r="AJ7" s="98" t="n">
        <v>0.0</v>
      </c>
      <c r="AK7" s="101" t="s">
        <v>853</v>
      </c>
      <c r="AL7" s="98" t="n">
        <v>0.0</v>
      </c>
      <c r="AM7" s="101" t="s">
        <v>853</v>
      </c>
      <c r="AN7" s="98" t="n">
        <v>0.0</v>
      </c>
      <c r="AO7" s="101" t="s">
        <v>853</v>
      </c>
      <c r="AP7" s="101" t="s">
        <v>853</v>
      </c>
      <c r="AQ7" s="98" t="n">
        <v>0.0</v>
      </c>
      <c r="AR7" s="101" t="s">
        <v>853</v>
      </c>
      <c r="AS7" s="101" t="s">
        <v>853</v>
      </c>
      <c r="AT7" s="101" t="s">
        <v>853</v>
      </c>
      <c r="AU7" s="98" t="n">
        <v>0.0</v>
      </c>
      <c r="AV7" s="98" t="n">
        <v>100.0</v>
      </c>
      <c r="AW7" s="101" t="s">
        <v>853</v>
      </c>
      <c r="AX7" s="101" t="s">
        <v>853</v>
      </c>
      <c r="AY7" s="98" t="n">
        <v>0.0</v>
      </c>
      <c r="AZ7" s="98" t="n">
        <v>0.0</v>
      </c>
      <c r="BA7" s="98" t="n">
        <v>0.0</v>
      </c>
      <c r="BB7" s="98" t="n">
        <v>0.0</v>
      </c>
      <c r="BC7" s="98" t="n">
        <v>0.0</v>
      </c>
      <c r="BD7" s="101" t="s">
        <v>853</v>
      </c>
      <c r="BE7" s="101" t="s">
        <v>853</v>
      </c>
      <c r="BF7" s="101" t="s">
        <v>853</v>
      </c>
      <c r="BG7" s="101" t="s">
        <v>853</v>
      </c>
      <c r="BH7" s="98" t="n">
        <v>0.0</v>
      </c>
      <c r="BI7" s="98" t="n">
        <v>0.0</v>
      </c>
      <c r="BJ7" s="98" t="n">
        <v>0.0</v>
      </c>
      <c r="BK7" s="101" t="s">
        <v>853</v>
      </c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15">
      <c r="B8" s="15" t="s">
        <v>860</v>
      </c>
      <c r="C8" s="12" t="s">
        <v>855</v>
      </c>
      <c r="D8" s="105" t="s">
        <v>853</v>
      </c>
      <c r="E8" s="102" t="n">
        <v>2.7</v>
      </c>
      <c r="F8" s="102" t="n">
        <v>8.5</v>
      </c>
      <c r="G8" s="102" t="n">
        <v>5.4</v>
      </c>
      <c r="H8" s="102" t="n">
        <v>1.0</v>
      </c>
      <c r="I8" s="102" t="n">
        <v>0.0</v>
      </c>
      <c r="J8" s="102" t="n">
        <v>0.0</v>
      </c>
      <c r="K8" s="102" t="n">
        <v>0.0</v>
      </c>
      <c r="L8" s="105" t="s">
        <v>853</v>
      </c>
      <c r="M8" s="102" t="n">
        <v>0.0</v>
      </c>
      <c r="N8" s="102" t="n">
        <v>0.0</v>
      </c>
      <c r="O8" s="102" t="n">
        <v>5.6</v>
      </c>
      <c r="P8" s="102" t="n">
        <v>0.0</v>
      </c>
      <c r="Q8" s="102" t="n">
        <v>0.0</v>
      </c>
      <c r="R8" s="102" t="n">
        <v>0.0</v>
      </c>
      <c r="S8" s="102" t="n">
        <v>0.0</v>
      </c>
      <c r="T8" s="102" t="n">
        <v>0.0</v>
      </c>
      <c r="U8" s="105" t="s">
        <v>853</v>
      </c>
      <c r="V8" s="105" t="s">
        <v>853</v>
      </c>
      <c r="W8" s="105" t="s">
        <v>853</v>
      </c>
      <c r="X8" s="105" t="s">
        <v>853</v>
      </c>
      <c r="Y8" s="102" t="n">
        <v>100.0</v>
      </c>
      <c r="Z8" s="102" t="n">
        <v>0.0</v>
      </c>
      <c r="AA8" s="102" t="n">
        <v>100.0</v>
      </c>
      <c r="AB8" s="105" t="s">
        <v>853</v>
      </c>
      <c r="AC8" s="105" t="s">
        <v>853</v>
      </c>
      <c r="AD8" s="102" t="n">
        <v>0.0</v>
      </c>
      <c r="AE8" s="102" t="n">
        <v>0.0</v>
      </c>
      <c r="AF8" s="102" t="n">
        <v>0.0</v>
      </c>
      <c r="AG8" s="102" t="n">
        <v>0.0</v>
      </c>
      <c r="AH8" s="102" t="n">
        <v>0.0</v>
      </c>
      <c r="AI8" s="102" t="n">
        <v>0.0</v>
      </c>
      <c r="AJ8" s="102" t="n">
        <v>0.0</v>
      </c>
      <c r="AK8" s="105" t="s">
        <v>853</v>
      </c>
      <c r="AL8" s="102" t="n">
        <v>0.0</v>
      </c>
      <c r="AM8" s="105" t="s">
        <v>853</v>
      </c>
      <c r="AN8" s="102" t="n">
        <v>0.0</v>
      </c>
      <c r="AO8" s="105" t="s">
        <v>853</v>
      </c>
      <c r="AP8" s="105" t="s">
        <v>853</v>
      </c>
      <c r="AQ8" s="102" t="n">
        <v>0.0</v>
      </c>
      <c r="AR8" s="105" t="s">
        <v>853</v>
      </c>
      <c r="AS8" s="105" t="s">
        <v>853</v>
      </c>
      <c r="AT8" s="105" t="s">
        <v>853</v>
      </c>
      <c r="AU8" s="102" t="n">
        <v>28.6</v>
      </c>
      <c r="AV8" s="102" t="n">
        <v>0.0</v>
      </c>
      <c r="AW8" s="105" t="s">
        <v>853</v>
      </c>
      <c r="AX8" s="105" t="s">
        <v>853</v>
      </c>
      <c r="AY8" s="102" t="n">
        <v>0.0</v>
      </c>
      <c r="AZ8" s="102" t="n">
        <v>0.0</v>
      </c>
      <c r="BA8" s="102" t="n">
        <v>0.0</v>
      </c>
      <c r="BB8" s="102" t="n">
        <v>0.0</v>
      </c>
      <c r="BC8" s="102" t="n">
        <v>100.0</v>
      </c>
      <c r="BD8" s="105" t="s">
        <v>853</v>
      </c>
      <c r="BE8" s="105" t="s">
        <v>853</v>
      </c>
      <c r="BF8" s="105" t="s">
        <v>853</v>
      </c>
      <c r="BG8" s="105" t="s">
        <v>853</v>
      </c>
      <c r="BH8" s="102" t="n">
        <v>0.0</v>
      </c>
      <c r="BI8" s="102" t="n">
        <v>0.0</v>
      </c>
      <c r="BJ8" s="102" t="n">
        <v>0.0</v>
      </c>
      <c r="BK8" s="105" t="s">
        <v>853</v>
      </c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15">
      <c r="B9" s="15" t="s">
        <v>861</v>
      </c>
      <c r="C9" s="12" t="s">
        <v>855</v>
      </c>
      <c r="D9" s="109" t="s">
        <v>853</v>
      </c>
      <c r="E9" s="106" t="n">
        <v>0.0</v>
      </c>
      <c r="F9" s="106" t="n">
        <v>0.0</v>
      </c>
      <c r="G9" s="106" t="n">
        <v>0.0</v>
      </c>
      <c r="H9" s="106" t="n">
        <v>0.0</v>
      </c>
      <c r="I9" s="106" t="n">
        <v>0.0</v>
      </c>
      <c r="J9" s="106" t="n">
        <v>0.0</v>
      </c>
      <c r="K9" s="106" t="n">
        <v>0.0</v>
      </c>
      <c r="L9" s="109" t="s">
        <v>853</v>
      </c>
      <c r="M9" s="106" t="n">
        <v>0.0</v>
      </c>
      <c r="N9" s="106" t="n">
        <v>0.0</v>
      </c>
      <c r="O9" s="106" t="n">
        <v>0.0</v>
      </c>
      <c r="P9" s="106" t="n">
        <v>0.0</v>
      </c>
      <c r="Q9" s="106" t="n">
        <v>0.0</v>
      </c>
      <c r="R9" s="106" t="n">
        <v>0.0</v>
      </c>
      <c r="S9" s="106" t="n">
        <v>0.0</v>
      </c>
      <c r="T9" s="106" t="n">
        <v>0.0</v>
      </c>
      <c r="U9" s="109" t="s">
        <v>853</v>
      </c>
      <c r="V9" s="109" t="s">
        <v>853</v>
      </c>
      <c r="W9" s="109" t="s">
        <v>853</v>
      </c>
      <c r="X9" s="109" t="s">
        <v>853</v>
      </c>
      <c r="Y9" s="106" t="n">
        <v>0.0</v>
      </c>
      <c r="Z9" s="106" t="n">
        <v>0.0</v>
      </c>
      <c r="AA9" s="106" t="n">
        <v>0.0</v>
      </c>
      <c r="AB9" s="109" t="s">
        <v>853</v>
      </c>
      <c r="AC9" s="109" t="s">
        <v>853</v>
      </c>
      <c r="AD9" s="106" t="n">
        <v>0.0</v>
      </c>
      <c r="AE9" s="106" t="n">
        <v>0.0</v>
      </c>
      <c r="AF9" s="106" t="n">
        <v>0.0</v>
      </c>
      <c r="AG9" s="106" t="n">
        <v>0.0</v>
      </c>
      <c r="AH9" s="106" t="n">
        <v>0.0</v>
      </c>
      <c r="AI9" s="106" t="n">
        <v>0.0</v>
      </c>
      <c r="AJ9" s="106" t="n">
        <v>0.0</v>
      </c>
      <c r="AK9" s="109" t="s">
        <v>853</v>
      </c>
      <c r="AL9" s="106" t="n">
        <v>0.0</v>
      </c>
      <c r="AM9" s="109" t="s">
        <v>853</v>
      </c>
      <c r="AN9" s="106" t="n">
        <v>0.0</v>
      </c>
      <c r="AO9" s="109" t="s">
        <v>853</v>
      </c>
      <c r="AP9" s="109" t="s">
        <v>853</v>
      </c>
      <c r="AQ9" s="106" t="n">
        <v>0.0</v>
      </c>
      <c r="AR9" s="109" t="s">
        <v>853</v>
      </c>
      <c r="AS9" s="109" t="s">
        <v>853</v>
      </c>
      <c r="AT9" s="109" t="s">
        <v>853</v>
      </c>
      <c r="AU9" s="106" t="n">
        <v>0.0</v>
      </c>
      <c r="AV9" s="106" t="n">
        <v>0.0</v>
      </c>
      <c r="AW9" s="109" t="s">
        <v>853</v>
      </c>
      <c r="AX9" s="109" t="s">
        <v>853</v>
      </c>
      <c r="AY9" s="106" t="n">
        <v>0.0</v>
      </c>
      <c r="AZ9" s="106" t="n">
        <v>0.0</v>
      </c>
      <c r="BA9" s="106" t="n">
        <v>0.0</v>
      </c>
      <c r="BB9" s="106" t="n">
        <v>0.0</v>
      </c>
      <c r="BC9" s="106" t="n">
        <v>0.0</v>
      </c>
      <c r="BD9" s="109" t="s">
        <v>853</v>
      </c>
      <c r="BE9" s="109" t="s">
        <v>853</v>
      </c>
      <c r="BF9" s="109" t="s">
        <v>853</v>
      </c>
      <c r="BG9" s="109" t="s">
        <v>853</v>
      </c>
      <c r="BH9" s="106" t="n">
        <v>0.0</v>
      </c>
      <c r="BI9" s="106" t="n">
        <v>0.0</v>
      </c>
      <c r="BJ9" s="106" t="n">
        <v>0.0</v>
      </c>
      <c r="BK9" s="109" t="s">
        <v>853</v>
      </c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15">
      <c r="B10" s="15" t="s">
        <v>862</v>
      </c>
      <c r="C10" s="12" t="s">
        <v>855</v>
      </c>
      <c r="D10" s="113" t="s">
        <v>853</v>
      </c>
      <c r="E10" s="110" t="n">
        <v>1.0</v>
      </c>
      <c r="F10" s="110" t="n">
        <v>1.7</v>
      </c>
      <c r="G10" s="110" t="n">
        <v>5.4</v>
      </c>
      <c r="H10" s="110" t="n">
        <v>1.9</v>
      </c>
      <c r="I10" s="110" t="n">
        <v>0.0</v>
      </c>
      <c r="J10" s="110" t="n">
        <v>0.0</v>
      </c>
      <c r="K10" s="110" t="n">
        <v>0.0</v>
      </c>
      <c r="L10" s="113" t="s">
        <v>853</v>
      </c>
      <c r="M10" s="110" t="n">
        <v>0.0</v>
      </c>
      <c r="N10" s="110" t="n">
        <v>0.0</v>
      </c>
      <c r="O10" s="110" t="n">
        <v>0.0</v>
      </c>
      <c r="P10" s="110" t="n">
        <v>0.0</v>
      </c>
      <c r="Q10" s="110" t="n">
        <v>0.0</v>
      </c>
      <c r="R10" s="110" t="n">
        <v>0.0</v>
      </c>
      <c r="S10" s="110" t="n">
        <v>0.0</v>
      </c>
      <c r="T10" s="110" t="n">
        <v>0.0</v>
      </c>
      <c r="U10" s="113" t="s">
        <v>853</v>
      </c>
      <c r="V10" s="113" t="s">
        <v>853</v>
      </c>
      <c r="W10" s="113" t="s">
        <v>853</v>
      </c>
      <c r="X10" s="113" t="s">
        <v>853</v>
      </c>
      <c r="Y10" s="110" t="n">
        <v>0.0</v>
      </c>
      <c r="Z10" s="110" t="n">
        <v>0.0</v>
      </c>
      <c r="AA10" s="110" t="n">
        <v>0.0</v>
      </c>
      <c r="AB10" s="113" t="s">
        <v>853</v>
      </c>
      <c r="AC10" s="113" t="s">
        <v>853</v>
      </c>
      <c r="AD10" s="110" t="n">
        <v>7.7</v>
      </c>
      <c r="AE10" s="110" t="n">
        <v>0.0</v>
      </c>
      <c r="AF10" s="110" t="n">
        <v>0.0</v>
      </c>
      <c r="AG10" s="110" t="n">
        <v>0.0</v>
      </c>
      <c r="AH10" s="110" t="n">
        <v>0.0</v>
      </c>
      <c r="AI10" s="110" t="n">
        <v>0.0</v>
      </c>
      <c r="AJ10" s="110" t="n">
        <v>0.0</v>
      </c>
      <c r="AK10" s="113" t="s">
        <v>853</v>
      </c>
      <c r="AL10" s="110" t="n">
        <v>0.0</v>
      </c>
      <c r="AM10" s="113" t="s">
        <v>853</v>
      </c>
      <c r="AN10" s="110" t="n">
        <v>0.0</v>
      </c>
      <c r="AO10" s="113" t="s">
        <v>853</v>
      </c>
      <c r="AP10" s="113" t="s">
        <v>853</v>
      </c>
      <c r="AQ10" s="110" t="n">
        <v>0.0</v>
      </c>
      <c r="AR10" s="113" t="s">
        <v>853</v>
      </c>
      <c r="AS10" s="113" t="s">
        <v>853</v>
      </c>
      <c r="AT10" s="113" t="s">
        <v>853</v>
      </c>
      <c r="AU10" s="110" t="n">
        <v>0.0</v>
      </c>
      <c r="AV10" s="110" t="n">
        <v>0.0</v>
      </c>
      <c r="AW10" s="113" t="s">
        <v>853</v>
      </c>
      <c r="AX10" s="113" t="s">
        <v>853</v>
      </c>
      <c r="AY10" s="110" t="n">
        <v>0.0</v>
      </c>
      <c r="AZ10" s="110" t="n">
        <v>0.0</v>
      </c>
      <c r="BA10" s="110" t="n">
        <v>0.0</v>
      </c>
      <c r="BB10" s="110" t="n">
        <v>0.0</v>
      </c>
      <c r="BC10" s="110" t="n">
        <v>0.0</v>
      </c>
      <c r="BD10" s="113" t="s">
        <v>853</v>
      </c>
      <c r="BE10" s="113" t="s">
        <v>853</v>
      </c>
      <c r="BF10" s="113" t="s">
        <v>853</v>
      </c>
      <c r="BG10" s="113" t="s">
        <v>853</v>
      </c>
      <c r="BH10" s="110" t="n">
        <v>0.0</v>
      </c>
      <c r="BI10" s="110" t="n">
        <v>0.0</v>
      </c>
      <c r="BJ10" s="110" t="n">
        <v>0.0</v>
      </c>
      <c r="BK10" s="113" t="s">
        <v>853</v>
      </c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15">
      <c r="B11" s="15" t="s">
        <v>863</v>
      </c>
      <c r="C11" s="12" t="s">
        <v>855</v>
      </c>
      <c r="D11" s="117" t="s">
        <v>853</v>
      </c>
      <c r="E11" s="114" t="n">
        <v>0.3</v>
      </c>
      <c r="F11" s="114" t="n">
        <v>0.0</v>
      </c>
      <c r="G11" s="114" t="n">
        <v>5.4</v>
      </c>
      <c r="H11" s="114" t="n">
        <v>0.0</v>
      </c>
      <c r="I11" s="114" t="n">
        <v>0.0</v>
      </c>
      <c r="J11" s="114" t="n">
        <v>0.0</v>
      </c>
      <c r="K11" s="114" t="n">
        <v>0.0</v>
      </c>
      <c r="L11" s="117" t="s">
        <v>853</v>
      </c>
      <c r="M11" s="114" t="n">
        <v>0.0</v>
      </c>
      <c r="N11" s="114" t="n">
        <v>0.0</v>
      </c>
      <c r="O11" s="114" t="n">
        <v>0.0</v>
      </c>
      <c r="P11" s="114" t="n">
        <v>0.0</v>
      </c>
      <c r="Q11" s="114" t="n">
        <v>0.0</v>
      </c>
      <c r="R11" s="114" t="n">
        <v>0.0</v>
      </c>
      <c r="S11" s="114" t="n">
        <v>0.0</v>
      </c>
      <c r="T11" s="114" t="n">
        <v>0.0</v>
      </c>
      <c r="U11" s="117" t="s">
        <v>853</v>
      </c>
      <c r="V11" s="117" t="s">
        <v>853</v>
      </c>
      <c r="W11" s="117" t="s">
        <v>853</v>
      </c>
      <c r="X11" s="117" t="s">
        <v>853</v>
      </c>
      <c r="Y11" s="114" t="n">
        <v>0.0</v>
      </c>
      <c r="Z11" s="114" t="n">
        <v>0.0</v>
      </c>
      <c r="AA11" s="114" t="n">
        <v>0.0</v>
      </c>
      <c r="AB11" s="117" t="s">
        <v>853</v>
      </c>
      <c r="AC11" s="117" t="s">
        <v>853</v>
      </c>
      <c r="AD11" s="114" t="n">
        <v>0.0</v>
      </c>
      <c r="AE11" s="114" t="n">
        <v>0.0</v>
      </c>
      <c r="AF11" s="114" t="n">
        <v>0.0</v>
      </c>
      <c r="AG11" s="114" t="n">
        <v>0.0</v>
      </c>
      <c r="AH11" s="114" t="n">
        <v>0.0</v>
      </c>
      <c r="AI11" s="114" t="n">
        <v>0.0</v>
      </c>
      <c r="AJ11" s="114" t="n">
        <v>0.0</v>
      </c>
      <c r="AK11" s="117" t="s">
        <v>853</v>
      </c>
      <c r="AL11" s="114" t="n">
        <v>0.0</v>
      </c>
      <c r="AM11" s="117" t="s">
        <v>853</v>
      </c>
      <c r="AN11" s="114" t="n">
        <v>0.0</v>
      </c>
      <c r="AO11" s="117" t="s">
        <v>853</v>
      </c>
      <c r="AP11" s="117" t="s">
        <v>853</v>
      </c>
      <c r="AQ11" s="114" t="n">
        <v>0.0</v>
      </c>
      <c r="AR11" s="117" t="s">
        <v>853</v>
      </c>
      <c r="AS11" s="117" t="s">
        <v>853</v>
      </c>
      <c r="AT11" s="117" t="s">
        <v>853</v>
      </c>
      <c r="AU11" s="114" t="n">
        <v>0.0</v>
      </c>
      <c r="AV11" s="114" t="n">
        <v>0.0</v>
      </c>
      <c r="AW11" s="117" t="s">
        <v>853</v>
      </c>
      <c r="AX11" s="117" t="s">
        <v>853</v>
      </c>
      <c r="AY11" s="114" t="n">
        <v>0.0</v>
      </c>
      <c r="AZ11" s="114" t="n">
        <v>0.0</v>
      </c>
      <c r="BA11" s="114" t="n">
        <v>0.0</v>
      </c>
      <c r="BB11" s="114" t="n">
        <v>0.0</v>
      </c>
      <c r="BC11" s="114" t="n">
        <v>0.0</v>
      </c>
      <c r="BD11" s="117" t="s">
        <v>853</v>
      </c>
      <c r="BE11" s="117" t="s">
        <v>853</v>
      </c>
      <c r="BF11" s="117" t="s">
        <v>853</v>
      </c>
      <c r="BG11" s="117" t="s">
        <v>853</v>
      </c>
      <c r="BH11" s="114" t="n">
        <v>0.0</v>
      </c>
      <c r="BI11" s="114" t="n">
        <v>0.0</v>
      </c>
      <c r="BJ11" s="114" t="n">
        <v>0.0</v>
      </c>
      <c r="BK11" s="117" t="s">
        <v>853</v>
      </c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15">
      <c r="B12" s="15" t="s">
        <v>864</v>
      </c>
      <c r="C12" s="12" t="s">
        <v>855</v>
      </c>
      <c r="D12" s="121" t="s">
        <v>853</v>
      </c>
      <c r="E12" s="118" t="n">
        <v>0.0</v>
      </c>
      <c r="F12" s="118" t="n">
        <v>0.0</v>
      </c>
      <c r="G12" s="118" t="n">
        <v>0.0</v>
      </c>
      <c r="H12" s="118" t="n">
        <v>0.0</v>
      </c>
      <c r="I12" s="118" t="n">
        <v>0.0</v>
      </c>
      <c r="J12" s="118" t="n">
        <v>0.0</v>
      </c>
      <c r="K12" s="118" t="n">
        <v>0.0</v>
      </c>
      <c r="L12" s="121" t="s">
        <v>853</v>
      </c>
      <c r="M12" s="118" t="n">
        <v>0.0</v>
      </c>
      <c r="N12" s="118" t="n">
        <v>0.0</v>
      </c>
      <c r="O12" s="118" t="n">
        <v>0.0</v>
      </c>
      <c r="P12" s="118" t="n">
        <v>0.0</v>
      </c>
      <c r="Q12" s="118" t="n">
        <v>0.0</v>
      </c>
      <c r="R12" s="118" t="n">
        <v>0.0</v>
      </c>
      <c r="S12" s="118" t="n">
        <v>0.0</v>
      </c>
      <c r="T12" s="118" t="n">
        <v>0.0</v>
      </c>
      <c r="U12" s="121" t="s">
        <v>853</v>
      </c>
      <c r="V12" s="121" t="s">
        <v>853</v>
      </c>
      <c r="W12" s="121" t="s">
        <v>853</v>
      </c>
      <c r="X12" s="121" t="s">
        <v>853</v>
      </c>
      <c r="Y12" s="118" t="n">
        <v>0.0</v>
      </c>
      <c r="Z12" s="118" t="n">
        <v>0.0</v>
      </c>
      <c r="AA12" s="118" t="n">
        <v>0.0</v>
      </c>
      <c r="AB12" s="121" t="s">
        <v>853</v>
      </c>
      <c r="AC12" s="121" t="s">
        <v>853</v>
      </c>
      <c r="AD12" s="118" t="n">
        <v>0.0</v>
      </c>
      <c r="AE12" s="118" t="n">
        <v>0.0</v>
      </c>
      <c r="AF12" s="118" t="n">
        <v>0.0</v>
      </c>
      <c r="AG12" s="118" t="n">
        <v>0.0</v>
      </c>
      <c r="AH12" s="118" t="n">
        <v>0.0</v>
      </c>
      <c r="AI12" s="118" t="n">
        <v>0.0</v>
      </c>
      <c r="AJ12" s="118" t="n">
        <v>0.0</v>
      </c>
      <c r="AK12" s="121" t="s">
        <v>853</v>
      </c>
      <c r="AL12" s="118" t="n">
        <v>0.0</v>
      </c>
      <c r="AM12" s="121" t="s">
        <v>853</v>
      </c>
      <c r="AN12" s="118" t="n">
        <v>0.0</v>
      </c>
      <c r="AO12" s="121" t="s">
        <v>853</v>
      </c>
      <c r="AP12" s="121" t="s">
        <v>853</v>
      </c>
      <c r="AQ12" s="118" t="n">
        <v>0.0</v>
      </c>
      <c r="AR12" s="121" t="s">
        <v>853</v>
      </c>
      <c r="AS12" s="121" t="s">
        <v>853</v>
      </c>
      <c r="AT12" s="121" t="s">
        <v>853</v>
      </c>
      <c r="AU12" s="118" t="n">
        <v>0.0</v>
      </c>
      <c r="AV12" s="118" t="n">
        <v>0.0</v>
      </c>
      <c r="AW12" s="121" t="s">
        <v>853</v>
      </c>
      <c r="AX12" s="121" t="s">
        <v>853</v>
      </c>
      <c r="AY12" s="118" t="n">
        <v>0.0</v>
      </c>
      <c r="AZ12" s="118" t="n">
        <v>0.0</v>
      </c>
      <c r="BA12" s="118" t="n">
        <v>0.0</v>
      </c>
      <c r="BB12" s="118" t="n">
        <v>0.0</v>
      </c>
      <c r="BC12" s="118" t="n">
        <v>0.0</v>
      </c>
      <c r="BD12" s="121" t="s">
        <v>853</v>
      </c>
      <c r="BE12" s="121" t="s">
        <v>853</v>
      </c>
      <c r="BF12" s="121" t="s">
        <v>853</v>
      </c>
      <c r="BG12" s="121" t="s">
        <v>853</v>
      </c>
      <c r="BH12" s="118" t="n">
        <v>0.0</v>
      </c>
      <c r="BI12" s="118" t="n">
        <v>0.0</v>
      </c>
      <c r="BJ12" s="118" t="n">
        <v>0.0</v>
      </c>
      <c r="BK12" s="121" t="s">
        <v>853</v>
      </c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15">
      <c r="B13" s="15" t="s">
        <v>865</v>
      </c>
      <c r="C13" s="12" t="s">
        <v>855</v>
      </c>
      <c r="D13" s="125" t="s">
        <v>853</v>
      </c>
      <c r="E13" s="122" t="n">
        <v>0.1</v>
      </c>
      <c r="F13" s="122" t="n">
        <v>0.0</v>
      </c>
      <c r="G13" s="122" t="n">
        <v>0.0</v>
      </c>
      <c r="H13" s="122" t="n">
        <v>0.0</v>
      </c>
      <c r="I13" s="122" t="n">
        <v>0.0</v>
      </c>
      <c r="J13" s="122" t="n">
        <v>0.0</v>
      </c>
      <c r="K13" s="122" t="n">
        <v>0.0</v>
      </c>
      <c r="L13" s="125" t="s">
        <v>853</v>
      </c>
      <c r="M13" s="122" t="n">
        <v>0.0</v>
      </c>
      <c r="N13" s="122" t="n">
        <v>0.0</v>
      </c>
      <c r="O13" s="122" t="n">
        <v>0.0</v>
      </c>
      <c r="P13" s="122" t="n">
        <v>0.0</v>
      </c>
      <c r="Q13" s="122" t="n">
        <v>0.0</v>
      </c>
      <c r="R13" s="122" t="n">
        <v>0.0</v>
      </c>
      <c r="S13" s="122" t="n">
        <v>0.0</v>
      </c>
      <c r="T13" s="122" t="n">
        <v>0.0</v>
      </c>
      <c r="U13" s="125" t="s">
        <v>853</v>
      </c>
      <c r="V13" s="125" t="s">
        <v>853</v>
      </c>
      <c r="W13" s="125" t="s">
        <v>853</v>
      </c>
      <c r="X13" s="125" t="s">
        <v>853</v>
      </c>
      <c r="Y13" s="122" t="n">
        <v>0.0</v>
      </c>
      <c r="Z13" s="122" t="n">
        <v>0.0</v>
      </c>
      <c r="AA13" s="122" t="n">
        <v>0.0</v>
      </c>
      <c r="AB13" s="125" t="s">
        <v>853</v>
      </c>
      <c r="AC13" s="125" t="s">
        <v>853</v>
      </c>
      <c r="AD13" s="122" t="n">
        <v>0.0</v>
      </c>
      <c r="AE13" s="122" t="n">
        <v>0.0</v>
      </c>
      <c r="AF13" s="122" t="n">
        <v>0.0</v>
      </c>
      <c r="AG13" s="122" t="n">
        <v>0.0</v>
      </c>
      <c r="AH13" s="122" t="n">
        <v>0.0</v>
      </c>
      <c r="AI13" s="122" t="n">
        <v>0.0</v>
      </c>
      <c r="AJ13" s="122" t="n">
        <v>0.0</v>
      </c>
      <c r="AK13" s="125" t="s">
        <v>853</v>
      </c>
      <c r="AL13" s="122" t="n">
        <v>100.0</v>
      </c>
      <c r="AM13" s="125" t="s">
        <v>853</v>
      </c>
      <c r="AN13" s="122" t="n">
        <v>0.0</v>
      </c>
      <c r="AO13" s="125" t="s">
        <v>853</v>
      </c>
      <c r="AP13" s="125" t="s">
        <v>853</v>
      </c>
      <c r="AQ13" s="122" t="n">
        <v>0.0</v>
      </c>
      <c r="AR13" s="125" t="s">
        <v>853</v>
      </c>
      <c r="AS13" s="125" t="s">
        <v>853</v>
      </c>
      <c r="AT13" s="125" t="s">
        <v>853</v>
      </c>
      <c r="AU13" s="122" t="n">
        <v>0.0</v>
      </c>
      <c r="AV13" s="122" t="n">
        <v>0.0</v>
      </c>
      <c r="AW13" s="125" t="s">
        <v>853</v>
      </c>
      <c r="AX13" s="125" t="s">
        <v>853</v>
      </c>
      <c r="AY13" s="122" t="n">
        <v>0.0</v>
      </c>
      <c r="AZ13" s="122" t="n">
        <v>0.0</v>
      </c>
      <c r="BA13" s="122" t="n">
        <v>0.0</v>
      </c>
      <c r="BB13" s="122" t="n">
        <v>0.0</v>
      </c>
      <c r="BC13" s="122" t="n">
        <v>0.0</v>
      </c>
      <c r="BD13" s="125" t="s">
        <v>853</v>
      </c>
      <c r="BE13" s="125" t="s">
        <v>853</v>
      </c>
      <c r="BF13" s="125" t="s">
        <v>853</v>
      </c>
      <c r="BG13" s="125" t="s">
        <v>853</v>
      </c>
      <c r="BH13" s="122" t="n">
        <v>0.0</v>
      </c>
      <c r="BI13" s="122" t="n">
        <v>0.0</v>
      </c>
      <c r="BJ13" s="122" t="n">
        <v>0.0</v>
      </c>
      <c r="BK13" s="125" t="s">
        <v>853</v>
      </c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15">
      <c r="B14" s="15" t="s">
        <v>866</v>
      </c>
      <c r="C14" s="12" t="s">
        <v>855</v>
      </c>
      <c r="D14" s="129" t="s">
        <v>853</v>
      </c>
      <c r="E14" s="126" t="n">
        <v>3.6</v>
      </c>
      <c r="F14" s="126" t="n">
        <v>14.5</v>
      </c>
      <c r="G14" s="126" t="n">
        <v>16.2</v>
      </c>
      <c r="H14" s="126" t="n">
        <v>0.0</v>
      </c>
      <c r="I14" s="126" t="n">
        <v>0.0</v>
      </c>
      <c r="J14" s="126" t="n">
        <v>0.0</v>
      </c>
      <c r="K14" s="126" t="n">
        <v>0.0</v>
      </c>
      <c r="L14" s="129" t="s">
        <v>853</v>
      </c>
      <c r="M14" s="126" t="n">
        <v>0.0</v>
      </c>
      <c r="N14" s="126" t="n">
        <v>0.0</v>
      </c>
      <c r="O14" s="126" t="n">
        <v>0.0</v>
      </c>
      <c r="P14" s="126" t="n">
        <v>0.0</v>
      </c>
      <c r="Q14" s="126" t="n">
        <v>0.0</v>
      </c>
      <c r="R14" s="126" t="n">
        <v>0.0</v>
      </c>
      <c r="S14" s="126" t="n">
        <v>0.0</v>
      </c>
      <c r="T14" s="126" t="n">
        <v>0.0</v>
      </c>
      <c r="U14" s="129" t="s">
        <v>853</v>
      </c>
      <c r="V14" s="129" t="s">
        <v>853</v>
      </c>
      <c r="W14" s="129" t="s">
        <v>853</v>
      </c>
      <c r="X14" s="129" t="s">
        <v>853</v>
      </c>
      <c r="Y14" s="126" t="n">
        <v>0.0</v>
      </c>
      <c r="Z14" s="126" t="n">
        <v>0.0</v>
      </c>
      <c r="AA14" s="126" t="n">
        <v>0.0</v>
      </c>
      <c r="AB14" s="129" t="s">
        <v>853</v>
      </c>
      <c r="AC14" s="129" t="s">
        <v>853</v>
      </c>
      <c r="AD14" s="126" t="n">
        <v>15.4</v>
      </c>
      <c r="AE14" s="126" t="n">
        <v>0.0</v>
      </c>
      <c r="AF14" s="126" t="n">
        <v>0.0</v>
      </c>
      <c r="AG14" s="126" t="n">
        <v>0.0</v>
      </c>
      <c r="AH14" s="126" t="n">
        <v>100.0</v>
      </c>
      <c r="AI14" s="126" t="n">
        <v>0.0</v>
      </c>
      <c r="AJ14" s="126" t="n">
        <v>0.0</v>
      </c>
      <c r="AK14" s="129" t="s">
        <v>853</v>
      </c>
      <c r="AL14" s="126" t="n">
        <v>0.0</v>
      </c>
      <c r="AM14" s="129" t="s">
        <v>853</v>
      </c>
      <c r="AN14" s="126" t="n">
        <v>0.0</v>
      </c>
      <c r="AO14" s="129" t="s">
        <v>853</v>
      </c>
      <c r="AP14" s="129" t="s">
        <v>853</v>
      </c>
      <c r="AQ14" s="126" t="n">
        <v>0.0</v>
      </c>
      <c r="AR14" s="129" t="s">
        <v>853</v>
      </c>
      <c r="AS14" s="129" t="s">
        <v>853</v>
      </c>
      <c r="AT14" s="129" t="s">
        <v>853</v>
      </c>
      <c r="AU14" s="126" t="n">
        <v>0.0</v>
      </c>
      <c r="AV14" s="126" t="n">
        <v>0.0</v>
      </c>
      <c r="AW14" s="129" t="s">
        <v>853</v>
      </c>
      <c r="AX14" s="129" t="s">
        <v>853</v>
      </c>
      <c r="AY14" s="126" t="n">
        <v>0.0</v>
      </c>
      <c r="AZ14" s="126" t="n">
        <v>0.0</v>
      </c>
      <c r="BA14" s="126" t="n">
        <v>0.0</v>
      </c>
      <c r="BB14" s="126" t="n">
        <v>0.0</v>
      </c>
      <c r="BC14" s="126" t="n">
        <v>0.0</v>
      </c>
      <c r="BD14" s="129" t="s">
        <v>853</v>
      </c>
      <c r="BE14" s="129" t="s">
        <v>853</v>
      </c>
      <c r="BF14" s="129" t="s">
        <v>853</v>
      </c>
      <c r="BG14" s="129" t="s">
        <v>853</v>
      </c>
      <c r="BH14" s="126" t="n">
        <v>0.0</v>
      </c>
      <c r="BI14" s="126" t="n">
        <v>0.0</v>
      </c>
      <c r="BJ14" s="126" t="n">
        <v>0.0</v>
      </c>
      <c r="BK14" s="129" t="s">
        <v>853</v>
      </c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15">
      <c r="B15" s="15" t="s">
        <v>867</v>
      </c>
      <c r="C15" s="12" t="s">
        <v>868</v>
      </c>
      <c r="D15" s="133" t="s">
        <v>853</v>
      </c>
      <c r="E15" s="131" t="n">
        <v>417.0</v>
      </c>
      <c r="F15" s="131" t="n">
        <v>69.0</v>
      </c>
      <c r="G15" s="131" t="n">
        <v>20.0</v>
      </c>
      <c r="H15" s="131" t="n">
        <v>76.0</v>
      </c>
      <c r="I15" s="131" t="n">
        <v>62.0</v>
      </c>
      <c r="J15" s="131" t="n">
        <v>0.0</v>
      </c>
      <c r="K15" s="131" t="n">
        <v>29.0</v>
      </c>
      <c r="L15" s="133" t="s">
        <v>853</v>
      </c>
      <c r="M15" s="131" t="n">
        <v>10.0</v>
      </c>
      <c r="N15" s="131" t="n">
        <v>20.0</v>
      </c>
      <c r="O15" s="131" t="n">
        <v>17.0</v>
      </c>
      <c r="P15" s="131" t="n">
        <v>0.0</v>
      </c>
      <c r="Q15" s="131" t="n">
        <v>0.0</v>
      </c>
      <c r="R15" s="131" t="n">
        <v>9.0</v>
      </c>
      <c r="S15" s="131" t="n">
        <v>17.0</v>
      </c>
      <c r="T15" s="131" t="n">
        <v>10.0</v>
      </c>
      <c r="U15" s="133" t="s">
        <v>853</v>
      </c>
      <c r="V15" s="133" t="s">
        <v>853</v>
      </c>
      <c r="W15" s="133" t="s">
        <v>853</v>
      </c>
      <c r="X15" s="133" t="s">
        <v>853</v>
      </c>
      <c r="Y15" s="131" t="n">
        <v>0.0</v>
      </c>
      <c r="Z15" s="131" t="n">
        <v>0.0</v>
      </c>
      <c r="AA15" s="131" t="n">
        <v>0.0</v>
      </c>
      <c r="AB15" s="133" t="s">
        <v>853</v>
      </c>
      <c r="AC15" s="133" t="s">
        <v>853</v>
      </c>
      <c r="AD15" s="131" t="n">
        <v>4.0</v>
      </c>
      <c r="AE15" s="131" t="n">
        <v>2.0</v>
      </c>
      <c r="AF15" s="131" t="n">
        <v>0.0</v>
      </c>
      <c r="AG15" s="131" t="n">
        <v>4.0</v>
      </c>
      <c r="AH15" s="131" t="n">
        <v>0.0</v>
      </c>
      <c r="AI15" s="131" t="n">
        <v>1.0</v>
      </c>
      <c r="AJ15" s="131" t="n">
        <v>0.0</v>
      </c>
      <c r="AK15" s="133" t="s">
        <v>853</v>
      </c>
      <c r="AL15" s="131" t="n">
        <v>0.0</v>
      </c>
      <c r="AM15" s="133" t="s">
        <v>853</v>
      </c>
      <c r="AN15" s="131" t="n">
        <v>7.0</v>
      </c>
      <c r="AO15" s="133" t="s">
        <v>853</v>
      </c>
      <c r="AP15" s="133" t="s">
        <v>853</v>
      </c>
      <c r="AQ15" s="131" t="n">
        <v>5.0</v>
      </c>
      <c r="AR15" s="133" t="s">
        <v>853</v>
      </c>
      <c r="AS15" s="133" t="s">
        <v>853</v>
      </c>
      <c r="AT15" s="133" t="s">
        <v>853</v>
      </c>
      <c r="AU15" s="131" t="n">
        <v>5.0</v>
      </c>
      <c r="AV15" s="131" t="n">
        <v>0.0</v>
      </c>
      <c r="AW15" s="133" t="s">
        <v>853</v>
      </c>
      <c r="AX15" s="133" t="s">
        <v>853</v>
      </c>
      <c r="AY15" s="131" t="n">
        <v>7.0</v>
      </c>
      <c r="AZ15" s="131" t="n">
        <v>0.0</v>
      </c>
      <c r="BA15" s="131" t="n">
        <v>7.0</v>
      </c>
      <c r="BB15" s="131" t="n">
        <v>0.0</v>
      </c>
      <c r="BC15" s="131" t="n">
        <v>0.0</v>
      </c>
      <c r="BD15" s="133" t="s">
        <v>853</v>
      </c>
      <c r="BE15" s="133" t="s">
        <v>853</v>
      </c>
      <c r="BF15" s="133" t="s">
        <v>853</v>
      </c>
      <c r="BG15" s="133" t="s">
        <v>853</v>
      </c>
      <c r="BH15" s="131" t="n">
        <v>10.0</v>
      </c>
      <c r="BI15" s="131" t="n">
        <v>2.0</v>
      </c>
      <c r="BJ15" s="131" t="n">
        <v>24.0</v>
      </c>
      <c r="BK15" s="133" t="s">
        <v>853</v>
      </c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15">
      <c r="B16" s="15" t="s">
        <v>869</v>
      </c>
      <c r="C16" s="12" t="s">
        <v>868</v>
      </c>
      <c r="D16" s="137" t="s">
        <v>853</v>
      </c>
      <c r="E16" s="135" t="n">
        <v>23.0</v>
      </c>
      <c r="F16" s="135" t="n">
        <v>2.0</v>
      </c>
      <c r="G16" s="135" t="n">
        <v>0.0</v>
      </c>
      <c r="H16" s="135" t="n">
        <v>6.0</v>
      </c>
      <c r="I16" s="135" t="n">
        <v>10.0</v>
      </c>
      <c r="J16" s="135" t="n">
        <v>0.0</v>
      </c>
      <c r="K16" s="135" t="n">
        <v>0.0</v>
      </c>
      <c r="L16" s="137" t="s">
        <v>853</v>
      </c>
      <c r="M16" s="135" t="n">
        <v>0.0</v>
      </c>
      <c r="N16" s="135" t="n">
        <v>0.0</v>
      </c>
      <c r="O16" s="135" t="n">
        <v>0.0</v>
      </c>
      <c r="P16" s="135" t="n">
        <v>0.0</v>
      </c>
      <c r="Q16" s="135" t="n">
        <v>0.0</v>
      </c>
      <c r="R16" s="135" t="n">
        <v>0.0</v>
      </c>
      <c r="S16" s="135" t="n">
        <v>0.0</v>
      </c>
      <c r="T16" s="135" t="n">
        <v>0.0</v>
      </c>
      <c r="U16" s="137" t="s">
        <v>853</v>
      </c>
      <c r="V16" s="137" t="s">
        <v>853</v>
      </c>
      <c r="W16" s="137" t="s">
        <v>853</v>
      </c>
      <c r="X16" s="137" t="s">
        <v>853</v>
      </c>
      <c r="Y16" s="135" t="n">
        <v>0.0</v>
      </c>
      <c r="Z16" s="135" t="n">
        <v>1.0</v>
      </c>
      <c r="AA16" s="135" t="n">
        <v>0.0</v>
      </c>
      <c r="AB16" s="137" t="s">
        <v>853</v>
      </c>
      <c r="AC16" s="137" t="s">
        <v>853</v>
      </c>
      <c r="AD16" s="135" t="n">
        <v>0.0</v>
      </c>
      <c r="AE16" s="135" t="n">
        <v>0.0</v>
      </c>
      <c r="AF16" s="135" t="n">
        <v>0.0</v>
      </c>
      <c r="AG16" s="135" t="n">
        <v>1.0</v>
      </c>
      <c r="AH16" s="135" t="n">
        <v>0.0</v>
      </c>
      <c r="AI16" s="135" t="n">
        <v>0.0</v>
      </c>
      <c r="AJ16" s="135" t="n">
        <v>1.0</v>
      </c>
      <c r="AK16" s="137" t="s">
        <v>853</v>
      </c>
      <c r="AL16" s="135" t="n">
        <v>0.0</v>
      </c>
      <c r="AM16" s="137" t="s">
        <v>853</v>
      </c>
      <c r="AN16" s="135" t="n">
        <v>0.0</v>
      </c>
      <c r="AO16" s="137" t="s">
        <v>853</v>
      </c>
      <c r="AP16" s="137" t="s">
        <v>853</v>
      </c>
      <c r="AQ16" s="135" t="n">
        <v>0.0</v>
      </c>
      <c r="AR16" s="137" t="s">
        <v>853</v>
      </c>
      <c r="AS16" s="137" t="s">
        <v>853</v>
      </c>
      <c r="AT16" s="137" t="s">
        <v>853</v>
      </c>
      <c r="AU16" s="135" t="n">
        <v>0.0</v>
      </c>
      <c r="AV16" s="135" t="n">
        <v>0.0</v>
      </c>
      <c r="AW16" s="137" t="s">
        <v>853</v>
      </c>
      <c r="AX16" s="137" t="s">
        <v>853</v>
      </c>
      <c r="AY16" s="135" t="n">
        <v>0.0</v>
      </c>
      <c r="AZ16" s="135" t="n">
        <v>0.0</v>
      </c>
      <c r="BA16" s="135" t="n">
        <v>0.0</v>
      </c>
      <c r="BB16" s="135" t="n">
        <v>0.0</v>
      </c>
      <c r="BC16" s="135" t="n">
        <v>0.0</v>
      </c>
      <c r="BD16" s="137" t="s">
        <v>853</v>
      </c>
      <c r="BE16" s="137" t="s">
        <v>853</v>
      </c>
      <c r="BF16" s="137" t="s">
        <v>853</v>
      </c>
      <c r="BG16" s="137" t="s">
        <v>853</v>
      </c>
      <c r="BH16" s="135" t="n">
        <v>2.0</v>
      </c>
      <c r="BI16" s="135" t="n">
        <v>0.0</v>
      </c>
      <c r="BJ16" s="135" t="n">
        <v>0.0</v>
      </c>
      <c r="BK16" s="137" t="s">
        <v>853</v>
      </c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15">
      <c r="B17" s="15" t="s">
        <v>870</v>
      </c>
      <c r="C17" s="12" t="s">
        <v>868</v>
      </c>
      <c r="D17" s="141" t="s">
        <v>853</v>
      </c>
      <c r="E17" s="139" t="n">
        <v>10.0</v>
      </c>
      <c r="F17" s="139" t="n">
        <v>5.0</v>
      </c>
      <c r="G17" s="139" t="n">
        <v>2.0</v>
      </c>
      <c r="H17" s="139" t="n">
        <v>1.0</v>
      </c>
      <c r="I17" s="139" t="n">
        <v>0.0</v>
      </c>
      <c r="J17" s="139" t="n">
        <v>0.0</v>
      </c>
      <c r="K17" s="139" t="n">
        <v>0.0</v>
      </c>
      <c r="L17" s="141" t="s">
        <v>853</v>
      </c>
      <c r="M17" s="139" t="n">
        <v>0.0</v>
      </c>
      <c r="N17" s="139" t="n">
        <v>0.0</v>
      </c>
      <c r="O17" s="139" t="n">
        <v>0.0</v>
      </c>
      <c r="P17" s="139" t="n">
        <v>0.0</v>
      </c>
      <c r="Q17" s="139" t="n">
        <v>0.0</v>
      </c>
      <c r="R17" s="139" t="n">
        <v>0.0</v>
      </c>
      <c r="S17" s="139" t="n">
        <v>0.0</v>
      </c>
      <c r="T17" s="139" t="n">
        <v>1.0</v>
      </c>
      <c r="U17" s="141" t="s">
        <v>853</v>
      </c>
      <c r="V17" s="141" t="s">
        <v>853</v>
      </c>
      <c r="W17" s="141" t="s">
        <v>853</v>
      </c>
      <c r="X17" s="141" t="s">
        <v>853</v>
      </c>
      <c r="Y17" s="139" t="n">
        <v>0.0</v>
      </c>
      <c r="Z17" s="139" t="n">
        <v>0.0</v>
      </c>
      <c r="AA17" s="139" t="n">
        <v>0.0</v>
      </c>
      <c r="AB17" s="141" t="s">
        <v>853</v>
      </c>
      <c r="AC17" s="141" t="s">
        <v>853</v>
      </c>
      <c r="AD17" s="139" t="n">
        <v>0.0</v>
      </c>
      <c r="AE17" s="139" t="n">
        <v>0.0</v>
      </c>
      <c r="AF17" s="139" t="n">
        <v>0.0</v>
      </c>
      <c r="AG17" s="139" t="n">
        <v>0.0</v>
      </c>
      <c r="AH17" s="139" t="n">
        <v>0.0</v>
      </c>
      <c r="AI17" s="139" t="n">
        <v>0.0</v>
      </c>
      <c r="AJ17" s="139" t="n">
        <v>0.0</v>
      </c>
      <c r="AK17" s="141" t="s">
        <v>853</v>
      </c>
      <c r="AL17" s="139" t="n">
        <v>0.0</v>
      </c>
      <c r="AM17" s="141" t="s">
        <v>853</v>
      </c>
      <c r="AN17" s="139" t="n">
        <v>0.0</v>
      </c>
      <c r="AO17" s="141" t="s">
        <v>853</v>
      </c>
      <c r="AP17" s="141" t="s">
        <v>853</v>
      </c>
      <c r="AQ17" s="139" t="n">
        <v>0.0</v>
      </c>
      <c r="AR17" s="141" t="s">
        <v>853</v>
      </c>
      <c r="AS17" s="141" t="s">
        <v>853</v>
      </c>
      <c r="AT17" s="141" t="s">
        <v>853</v>
      </c>
      <c r="AU17" s="139" t="n">
        <v>0.0</v>
      </c>
      <c r="AV17" s="139" t="n">
        <v>0.0</v>
      </c>
      <c r="AW17" s="141" t="s">
        <v>853</v>
      </c>
      <c r="AX17" s="141" t="s">
        <v>853</v>
      </c>
      <c r="AY17" s="139" t="n">
        <v>0.0</v>
      </c>
      <c r="AZ17" s="139" t="n">
        <v>1.0</v>
      </c>
      <c r="BA17" s="139" t="n">
        <v>0.0</v>
      </c>
      <c r="BB17" s="139" t="n">
        <v>0.0</v>
      </c>
      <c r="BC17" s="139" t="n">
        <v>0.0</v>
      </c>
      <c r="BD17" s="141" t="s">
        <v>853</v>
      </c>
      <c r="BE17" s="141" t="s">
        <v>853</v>
      </c>
      <c r="BF17" s="141" t="s">
        <v>853</v>
      </c>
      <c r="BG17" s="141" t="s">
        <v>853</v>
      </c>
      <c r="BH17" s="139" t="n">
        <v>0.0</v>
      </c>
      <c r="BI17" s="139" t="n">
        <v>0.0</v>
      </c>
      <c r="BJ17" s="139" t="n">
        <v>0.0</v>
      </c>
      <c r="BK17" s="141" t="s">
        <v>853</v>
      </c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15">
      <c r="B18" s="15" t="s">
        <v>871</v>
      </c>
      <c r="C18" s="12" t="s">
        <v>868</v>
      </c>
      <c r="D18" s="145" t="s">
        <v>853</v>
      </c>
      <c r="E18" s="143" t="n">
        <v>51.0</v>
      </c>
      <c r="F18" s="143" t="n">
        <v>9.0</v>
      </c>
      <c r="G18" s="143" t="n">
        <v>1.0</v>
      </c>
      <c r="H18" s="143" t="n">
        <v>12.0</v>
      </c>
      <c r="I18" s="143" t="n">
        <v>0.0</v>
      </c>
      <c r="J18" s="143" t="n">
        <v>0.0</v>
      </c>
      <c r="K18" s="143" t="n">
        <v>3.0</v>
      </c>
      <c r="L18" s="145" t="s">
        <v>853</v>
      </c>
      <c r="M18" s="143" t="n">
        <v>0.0</v>
      </c>
      <c r="N18" s="143" t="n">
        <v>0.0</v>
      </c>
      <c r="O18" s="143" t="n">
        <v>0.0</v>
      </c>
      <c r="P18" s="143" t="n">
        <v>0.0</v>
      </c>
      <c r="Q18" s="143" t="n">
        <v>1.0</v>
      </c>
      <c r="R18" s="143" t="n">
        <v>0.0</v>
      </c>
      <c r="S18" s="143" t="n">
        <v>0.0</v>
      </c>
      <c r="T18" s="143" t="n">
        <v>5.0</v>
      </c>
      <c r="U18" s="145" t="s">
        <v>853</v>
      </c>
      <c r="V18" s="145" t="s">
        <v>853</v>
      </c>
      <c r="W18" s="145" t="s">
        <v>853</v>
      </c>
      <c r="X18" s="145" t="s">
        <v>853</v>
      </c>
      <c r="Y18" s="143" t="n">
        <v>0.0</v>
      </c>
      <c r="Z18" s="143" t="n">
        <v>0.0</v>
      </c>
      <c r="AA18" s="143" t="n">
        <v>0.0</v>
      </c>
      <c r="AB18" s="145" t="s">
        <v>853</v>
      </c>
      <c r="AC18" s="145" t="s">
        <v>853</v>
      </c>
      <c r="AD18" s="143" t="n">
        <v>5.0</v>
      </c>
      <c r="AE18" s="143" t="n">
        <v>0.0</v>
      </c>
      <c r="AF18" s="143" t="n">
        <v>11.0</v>
      </c>
      <c r="AG18" s="143" t="n">
        <v>0.0</v>
      </c>
      <c r="AH18" s="143" t="n">
        <v>0.0</v>
      </c>
      <c r="AI18" s="143" t="n">
        <v>0.0</v>
      </c>
      <c r="AJ18" s="143" t="n">
        <v>0.0</v>
      </c>
      <c r="AK18" s="145" t="s">
        <v>853</v>
      </c>
      <c r="AL18" s="143" t="n">
        <v>0.0</v>
      </c>
      <c r="AM18" s="145" t="s">
        <v>853</v>
      </c>
      <c r="AN18" s="143" t="n">
        <v>0.0</v>
      </c>
      <c r="AO18" s="145" t="s">
        <v>853</v>
      </c>
      <c r="AP18" s="145" t="s">
        <v>853</v>
      </c>
      <c r="AQ18" s="143" t="n">
        <v>0.0</v>
      </c>
      <c r="AR18" s="145" t="s">
        <v>853</v>
      </c>
      <c r="AS18" s="145" t="s">
        <v>853</v>
      </c>
      <c r="AT18" s="145" t="s">
        <v>853</v>
      </c>
      <c r="AU18" s="143" t="n">
        <v>0.0</v>
      </c>
      <c r="AV18" s="143" t="n">
        <v>0.0</v>
      </c>
      <c r="AW18" s="145" t="s">
        <v>853</v>
      </c>
      <c r="AX18" s="145" t="s">
        <v>853</v>
      </c>
      <c r="AY18" s="143" t="n">
        <v>0.0</v>
      </c>
      <c r="AZ18" s="143" t="n">
        <v>2.0</v>
      </c>
      <c r="BA18" s="143" t="n">
        <v>0.0</v>
      </c>
      <c r="BB18" s="143" t="n">
        <v>2.0</v>
      </c>
      <c r="BC18" s="143" t="n">
        <v>0.0</v>
      </c>
      <c r="BD18" s="145" t="s">
        <v>853</v>
      </c>
      <c r="BE18" s="145" t="s">
        <v>853</v>
      </c>
      <c r="BF18" s="145" t="s">
        <v>853</v>
      </c>
      <c r="BG18" s="145" t="s">
        <v>853</v>
      </c>
      <c r="BH18" s="143" t="n">
        <v>0.0</v>
      </c>
      <c r="BI18" s="143" t="n">
        <v>0.0</v>
      </c>
      <c r="BJ18" s="143" t="n">
        <v>0.0</v>
      </c>
      <c r="BK18" s="145" t="s">
        <v>853</v>
      </c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15">
      <c r="B19" s="15" t="s">
        <v>872</v>
      </c>
      <c r="C19" s="12" t="s">
        <v>868</v>
      </c>
      <c r="D19" s="149" t="s">
        <v>853</v>
      </c>
      <c r="E19" s="147" t="n">
        <v>157.0</v>
      </c>
      <c r="F19" s="147" t="n">
        <v>3.0</v>
      </c>
      <c r="G19" s="147" t="n">
        <v>2.0</v>
      </c>
      <c r="H19" s="147" t="n">
        <v>6.0</v>
      </c>
      <c r="I19" s="147" t="n">
        <v>0.0</v>
      </c>
      <c r="J19" s="147" t="n">
        <v>4.0</v>
      </c>
      <c r="K19" s="147" t="n">
        <v>0.0</v>
      </c>
      <c r="L19" s="149" t="s">
        <v>853</v>
      </c>
      <c r="M19" s="147" t="n">
        <v>0.0</v>
      </c>
      <c r="N19" s="147" t="n">
        <v>1.0</v>
      </c>
      <c r="O19" s="147" t="n">
        <v>0.0</v>
      </c>
      <c r="P19" s="147" t="n">
        <v>14.0</v>
      </c>
      <c r="Q19" s="147" t="n">
        <v>106.0</v>
      </c>
      <c r="R19" s="147" t="n">
        <v>0.0</v>
      </c>
      <c r="S19" s="147" t="n">
        <v>0.0</v>
      </c>
      <c r="T19" s="147" t="n">
        <v>0.0</v>
      </c>
      <c r="U19" s="149" t="s">
        <v>853</v>
      </c>
      <c r="V19" s="149" t="s">
        <v>853</v>
      </c>
      <c r="W19" s="149" t="s">
        <v>853</v>
      </c>
      <c r="X19" s="149" t="s">
        <v>853</v>
      </c>
      <c r="Y19" s="147" t="n">
        <v>0.0</v>
      </c>
      <c r="Z19" s="147" t="n">
        <v>0.0</v>
      </c>
      <c r="AA19" s="147" t="n">
        <v>0.0</v>
      </c>
      <c r="AB19" s="149" t="s">
        <v>853</v>
      </c>
      <c r="AC19" s="149" t="s">
        <v>853</v>
      </c>
      <c r="AD19" s="147" t="n">
        <v>1.0</v>
      </c>
      <c r="AE19" s="147" t="n">
        <v>1.0</v>
      </c>
      <c r="AF19" s="147" t="n">
        <v>9.0</v>
      </c>
      <c r="AG19" s="147" t="n">
        <v>0.0</v>
      </c>
      <c r="AH19" s="147" t="n">
        <v>0.0</v>
      </c>
      <c r="AI19" s="147" t="n">
        <v>0.0</v>
      </c>
      <c r="AJ19" s="147" t="n">
        <v>0.0</v>
      </c>
      <c r="AK19" s="149" t="s">
        <v>853</v>
      </c>
      <c r="AL19" s="147" t="n">
        <v>0.0</v>
      </c>
      <c r="AM19" s="149" t="s">
        <v>853</v>
      </c>
      <c r="AN19" s="147" t="n">
        <v>0.0</v>
      </c>
      <c r="AO19" s="149" t="s">
        <v>853</v>
      </c>
      <c r="AP19" s="149" t="s">
        <v>853</v>
      </c>
      <c r="AQ19" s="147" t="n">
        <v>0.0</v>
      </c>
      <c r="AR19" s="149" t="s">
        <v>853</v>
      </c>
      <c r="AS19" s="149" t="s">
        <v>853</v>
      </c>
      <c r="AT19" s="149" t="s">
        <v>853</v>
      </c>
      <c r="AU19" s="147" t="n">
        <v>0.0</v>
      </c>
      <c r="AV19" s="147" t="n">
        <v>10.0</v>
      </c>
      <c r="AW19" s="149" t="s">
        <v>853</v>
      </c>
      <c r="AX19" s="149" t="s">
        <v>853</v>
      </c>
      <c r="AY19" s="147" t="n">
        <v>0.0</v>
      </c>
      <c r="AZ19" s="147" t="n">
        <v>0.0</v>
      </c>
      <c r="BA19" s="147" t="n">
        <v>0.0</v>
      </c>
      <c r="BB19" s="147" t="n">
        <v>0.0</v>
      </c>
      <c r="BC19" s="147" t="n">
        <v>0.0</v>
      </c>
      <c r="BD19" s="149" t="s">
        <v>853</v>
      </c>
      <c r="BE19" s="149" t="s">
        <v>853</v>
      </c>
      <c r="BF19" s="149" t="s">
        <v>853</v>
      </c>
      <c r="BG19" s="149" t="s">
        <v>853</v>
      </c>
      <c r="BH19" s="147" t="n">
        <v>0.0</v>
      </c>
      <c r="BI19" s="147" t="n">
        <v>0.0</v>
      </c>
      <c r="BJ19" s="147" t="n">
        <v>0.0</v>
      </c>
      <c r="BK19" s="149" t="s">
        <v>853</v>
      </c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15">
      <c r="B20" s="15" t="s">
        <v>873</v>
      </c>
      <c r="C20" s="12" t="s">
        <v>868</v>
      </c>
      <c r="D20" s="153" t="s">
        <v>853</v>
      </c>
      <c r="E20" s="151" t="n">
        <v>19.0</v>
      </c>
      <c r="F20" s="151" t="n">
        <v>10.0</v>
      </c>
      <c r="G20" s="151" t="n">
        <v>2.0</v>
      </c>
      <c r="H20" s="151" t="n">
        <v>1.0</v>
      </c>
      <c r="I20" s="151" t="n">
        <v>0.0</v>
      </c>
      <c r="J20" s="151" t="n">
        <v>0.0</v>
      </c>
      <c r="K20" s="151" t="n">
        <v>0.0</v>
      </c>
      <c r="L20" s="153" t="s">
        <v>853</v>
      </c>
      <c r="M20" s="151" t="n">
        <v>0.0</v>
      </c>
      <c r="N20" s="151" t="n">
        <v>0.0</v>
      </c>
      <c r="O20" s="151" t="n">
        <v>1.0</v>
      </c>
      <c r="P20" s="151" t="n">
        <v>0.0</v>
      </c>
      <c r="Q20" s="151" t="n">
        <v>0.0</v>
      </c>
      <c r="R20" s="151" t="n">
        <v>0.0</v>
      </c>
      <c r="S20" s="151" t="n">
        <v>0.0</v>
      </c>
      <c r="T20" s="151" t="n">
        <v>0.0</v>
      </c>
      <c r="U20" s="153" t="s">
        <v>853</v>
      </c>
      <c r="V20" s="153" t="s">
        <v>853</v>
      </c>
      <c r="W20" s="153" t="s">
        <v>853</v>
      </c>
      <c r="X20" s="153" t="s">
        <v>853</v>
      </c>
      <c r="Y20" s="151" t="n">
        <v>1.0</v>
      </c>
      <c r="Z20" s="151" t="n">
        <v>0.0</v>
      </c>
      <c r="AA20" s="151" t="n">
        <v>1.0</v>
      </c>
      <c r="AB20" s="153" t="s">
        <v>853</v>
      </c>
      <c r="AC20" s="153" t="s">
        <v>853</v>
      </c>
      <c r="AD20" s="151" t="n">
        <v>0.0</v>
      </c>
      <c r="AE20" s="151" t="n">
        <v>0.0</v>
      </c>
      <c r="AF20" s="151" t="n">
        <v>0.0</v>
      </c>
      <c r="AG20" s="151" t="n">
        <v>0.0</v>
      </c>
      <c r="AH20" s="151" t="n">
        <v>0.0</v>
      </c>
      <c r="AI20" s="151" t="n">
        <v>0.0</v>
      </c>
      <c r="AJ20" s="151" t="n">
        <v>0.0</v>
      </c>
      <c r="AK20" s="153" t="s">
        <v>853</v>
      </c>
      <c r="AL20" s="151" t="n">
        <v>0.0</v>
      </c>
      <c r="AM20" s="153" t="s">
        <v>853</v>
      </c>
      <c r="AN20" s="151" t="n">
        <v>0.0</v>
      </c>
      <c r="AO20" s="153" t="s">
        <v>853</v>
      </c>
      <c r="AP20" s="153" t="s">
        <v>853</v>
      </c>
      <c r="AQ20" s="151" t="n">
        <v>0.0</v>
      </c>
      <c r="AR20" s="153" t="s">
        <v>853</v>
      </c>
      <c r="AS20" s="153" t="s">
        <v>853</v>
      </c>
      <c r="AT20" s="153" t="s">
        <v>853</v>
      </c>
      <c r="AU20" s="151" t="n">
        <v>2.0</v>
      </c>
      <c r="AV20" s="151" t="n">
        <v>0.0</v>
      </c>
      <c r="AW20" s="153" t="s">
        <v>853</v>
      </c>
      <c r="AX20" s="153" t="s">
        <v>853</v>
      </c>
      <c r="AY20" s="151" t="n">
        <v>0.0</v>
      </c>
      <c r="AZ20" s="151" t="n">
        <v>0.0</v>
      </c>
      <c r="BA20" s="151" t="n">
        <v>0.0</v>
      </c>
      <c r="BB20" s="151" t="n">
        <v>0.0</v>
      </c>
      <c r="BC20" s="151" t="n">
        <v>1.0</v>
      </c>
      <c r="BD20" s="153" t="s">
        <v>853</v>
      </c>
      <c r="BE20" s="153" t="s">
        <v>853</v>
      </c>
      <c r="BF20" s="153" t="s">
        <v>853</v>
      </c>
      <c r="BG20" s="153" t="s">
        <v>853</v>
      </c>
      <c r="BH20" s="151" t="n">
        <v>0.0</v>
      </c>
      <c r="BI20" s="151" t="n">
        <v>0.0</v>
      </c>
      <c r="BJ20" s="151" t="n">
        <v>0.0</v>
      </c>
      <c r="BK20" s="153" t="s">
        <v>853</v>
      </c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15">
      <c r="B21" s="15" t="s">
        <v>874</v>
      </c>
      <c r="C21" s="12" t="s">
        <v>868</v>
      </c>
      <c r="D21" s="157" t="s">
        <v>853</v>
      </c>
      <c r="E21" s="155" t="n">
        <v>0.0</v>
      </c>
      <c r="F21" s="155" t="n">
        <v>0.0</v>
      </c>
      <c r="G21" s="155" t="n">
        <v>0.0</v>
      </c>
      <c r="H21" s="155" t="n">
        <v>0.0</v>
      </c>
      <c r="I21" s="155" t="n">
        <v>0.0</v>
      </c>
      <c r="J21" s="155" t="n">
        <v>0.0</v>
      </c>
      <c r="K21" s="155" t="n">
        <v>0.0</v>
      </c>
      <c r="L21" s="157" t="s">
        <v>853</v>
      </c>
      <c r="M21" s="155" t="n">
        <v>0.0</v>
      </c>
      <c r="N21" s="155" t="n">
        <v>0.0</v>
      </c>
      <c r="O21" s="155" t="n">
        <v>0.0</v>
      </c>
      <c r="P21" s="155" t="n">
        <v>0.0</v>
      </c>
      <c r="Q21" s="155" t="n">
        <v>0.0</v>
      </c>
      <c r="R21" s="155" t="n">
        <v>0.0</v>
      </c>
      <c r="S21" s="155" t="n">
        <v>0.0</v>
      </c>
      <c r="T21" s="155" t="n">
        <v>0.0</v>
      </c>
      <c r="U21" s="157" t="s">
        <v>853</v>
      </c>
      <c r="V21" s="157" t="s">
        <v>853</v>
      </c>
      <c r="W21" s="157" t="s">
        <v>853</v>
      </c>
      <c r="X21" s="157" t="s">
        <v>853</v>
      </c>
      <c r="Y21" s="155" t="n">
        <v>0.0</v>
      </c>
      <c r="Z21" s="155" t="n">
        <v>0.0</v>
      </c>
      <c r="AA21" s="155" t="n">
        <v>0.0</v>
      </c>
      <c r="AB21" s="157" t="s">
        <v>853</v>
      </c>
      <c r="AC21" s="157" t="s">
        <v>853</v>
      </c>
      <c r="AD21" s="155" t="n">
        <v>0.0</v>
      </c>
      <c r="AE21" s="155" t="n">
        <v>0.0</v>
      </c>
      <c r="AF21" s="155" t="n">
        <v>0.0</v>
      </c>
      <c r="AG21" s="155" t="n">
        <v>0.0</v>
      </c>
      <c r="AH21" s="155" t="n">
        <v>0.0</v>
      </c>
      <c r="AI21" s="155" t="n">
        <v>0.0</v>
      </c>
      <c r="AJ21" s="155" t="n">
        <v>0.0</v>
      </c>
      <c r="AK21" s="157" t="s">
        <v>853</v>
      </c>
      <c r="AL21" s="155" t="n">
        <v>0.0</v>
      </c>
      <c r="AM21" s="157" t="s">
        <v>853</v>
      </c>
      <c r="AN21" s="155" t="n">
        <v>0.0</v>
      </c>
      <c r="AO21" s="157" t="s">
        <v>853</v>
      </c>
      <c r="AP21" s="157" t="s">
        <v>853</v>
      </c>
      <c r="AQ21" s="155" t="n">
        <v>0.0</v>
      </c>
      <c r="AR21" s="157" t="s">
        <v>853</v>
      </c>
      <c r="AS21" s="157" t="s">
        <v>853</v>
      </c>
      <c r="AT21" s="157" t="s">
        <v>853</v>
      </c>
      <c r="AU21" s="155" t="n">
        <v>0.0</v>
      </c>
      <c r="AV21" s="155" t="n">
        <v>0.0</v>
      </c>
      <c r="AW21" s="157" t="s">
        <v>853</v>
      </c>
      <c r="AX21" s="157" t="s">
        <v>853</v>
      </c>
      <c r="AY21" s="155" t="n">
        <v>0.0</v>
      </c>
      <c r="AZ21" s="155" t="n">
        <v>0.0</v>
      </c>
      <c r="BA21" s="155" t="n">
        <v>0.0</v>
      </c>
      <c r="BB21" s="155" t="n">
        <v>0.0</v>
      </c>
      <c r="BC21" s="155" t="n">
        <v>0.0</v>
      </c>
      <c r="BD21" s="157" t="s">
        <v>853</v>
      </c>
      <c r="BE21" s="157" t="s">
        <v>853</v>
      </c>
      <c r="BF21" s="157" t="s">
        <v>853</v>
      </c>
      <c r="BG21" s="157" t="s">
        <v>853</v>
      </c>
      <c r="BH21" s="155" t="n">
        <v>0.0</v>
      </c>
      <c r="BI21" s="155" t="n">
        <v>0.0</v>
      </c>
      <c r="BJ21" s="155" t="n">
        <v>0.0</v>
      </c>
      <c r="BK21" s="157" t="s">
        <v>853</v>
      </c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15">
      <c r="B22" s="15" t="s">
        <v>875</v>
      </c>
      <c r="C22" s="12" t="s">
        <v>868</v>
      </c>
      <c r="D22" s="161" t="s">
        <v>853</v>
      </c>
      <c r="E22" s="159" t="n">
        <v>7.0</v>
      </c>
      <c r="F22" s="159" t="n">
        <v>2.0</v>
      </c>
      <c r="G22" s="159" t="n">
        <v>2.0</v>
      </c>
      <c r="H22" s="159" t="n">
        <v>2.0</v>
      </c>
      <c r="I22" s="159" t="n">
        <v>0.0</v>
      </c>
      <c r="J22" s="159" t="n">
        <v>0.0</v>
      </c>
      <c r="K22" s="159" t="n">
        <v>0.0</v>
      </c>
      <c r="L22" s="161" t="s">
        <v>853</v>
      </c>
      <c r="M22" s="159" t="n">
        <v>0.0</v>
      </c>
      <c r="N22" s="159" t="n">
        <v>0.0</v>
      </c>
      <c r="O22" s="159" t="n">
        <v>0.0</v>
      </c>
      <c r="P22" s="159" t="n">
        <v>0.0</v>
      </c>
      <c r="Q22" s="159" t="n">
        <v>0.0</v>
      </c>
      <c r="R22" s="159" t="n">
        <v>0.0</v>
      </c>
      <c r="S22" s="159" t="n">
        <v>0.0</v>
      </c>
      <c r="T22" s="159" t="n">
        <v>0.0</v>
      </c>
      <c r="U22" s="161" t="s">
        <v>853</v>
      </c>
      <c r="V22" s="161" t="s">
        <v>853</v>
      </c>
      <c r="W22" s="161" t="s">
        <v>853</v>
      </c>
      <c r="X22" s="161" t="s">
        <v>853</v>
      </c>
      <c r="Y22" s="159" t="n">
        <v>0.0</v>
      </c>
      <c r="Z22" s="159" t="n">
        <v>0.0</v>
      </c>
      <c r="AA22" s="159" t="n">
        <v>0.0</v>
      </c>
      <c r="AB22" s="161" t="s">
        <v>853</v>
      </c>
      <c r="AC22" s="161" t="s">
        <v>853</v>
      </c>
      <c r="AD22" s="159" t="n">
        <v>1.0</v>
      </c>
      <c r="AE22" s="159" t="n">
        <v>0.0</v>
      </c>
      <c r="AF22" s="159" t="n">
        <v>0.0</v>
      </c>
      <c r="AG22" s="159" t="n">
        <v>0.0</v>
      </c>
      <c r="AH22" s="159" t="n">
        <v>0.0</v>
      </c>
      <c r="AI22" s="159" t="n">
        <v>0.0</v>
      </c>
      <c r="AJ22" s="159" t="n">
        <v>0.0</v>
      </c>
      <c r="AK22" s="161" t="s">
        <v>853</v>
      </c>
      <c r="AL22" s="159" t="n">
        <v>0.0</v>
      </c>
      <c r="AM22" s="161" t="s">
        <v>853</v>
      </c>
      <c r="AN22" s="159" t="n">
        <v>0.0</v>
      </c>
      <c r="AO22" s="161" t="s">
        <v>853</v>
      </c>
      <c r="AP22" s="161" t="s">
        <v>853</v>
      </c>
      <c r="AQ22" s="159" t="n">
        <v>0.0</v>
      </c>
      <c r="AR22" s="161" t="s">
        <v>853</v>
      </c>
      <c r="AS22" s="161" t="s">
        <v>853</v>
      </c>
      <c r="AT22" s="161" t="s">
        <v>853</v>
      </c>
      <c r="AU22" s="159" t="n">
        <v>0.0</v>
      </c>
      <c r="AV22" s="159" t="n">
        <v>0.0</v>
      </c>
      <c r="AW22" s="161" t="s">
        <v>853</v>
      </c>
      <c r="AX22" s="161" t="s">
        <v>853</v>
      </c>
      <c r="AY22" s="159" t="n">
        <v>0.0</v>
      </c>
      <c r="AZ22" s="159" t="n">
        <v>0.0</v>
      </c>
      <c r="BA22" s="159" t="n">
        <v>0.0</v>
      </c>
      <c r="BB22" s="159" t="n">
        <v>0.0</v>
      </c>
      <c r="BC22" s="159" t="n">
        <v>0.0</v>
      </c>
      <c r="BD22" s="161" t="s">
        <v>853</v>
      </c>
      <c r="BE22" s="161" t="s">
        <v>853</v>
      </c>
      <c r="BF22" s="161" t="s">
        <v>853</v>
      </c>
      <c r="BG22" s="161" t="s">
        <v>853</v>
      </c>
      <c r="BH22" s="159" t="n">
        <v>0.0</v>
      </c>
      <c r="BI22" s="159" t="n">
        <v>0.0</v>
      </c>
      <c r="BJ22" s="159" t="n">
        <v>0.0</v>
      </c>
      <c r="BK22" s="161" t="s">
        <v>853</v>
      </c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15">
      <c r="B23" s="15" t="s">
        <v>876</v>
      </c>
      <c r="C23" s="12" t="s">
        <v>868</v>
      </c>
      <c r="D23" s="165" t="s">
        <v>853</v>
      </c>
      <c r="E23" s="163" t="n">
        <v>2.0</v>
      </c>
      <c r="F23" s="163" t="n">
        <v>0.0</v>
      </c>
      <c r="G23" s="163" t="n">
        <v>2.0</v>
      </c>
      <c r="H23" s="163" t="n">
        <v>0.0</v>
      </c>
      <c r="I23" s="163" t="n">
        <v>0.0</v>
      </c>
      <c r="J23" s="163" t="n">
        <v>0.0</v>
      </c>
      <c r="K23" s="163" t="n">
        <v>0.0</v>
      </c>
      <c r="L23" s="165" t="s">
        <v>853</v>
      </c>
      <c r="M23" s="163" t="n">
        <v>0.0</v>
      </c>
      <c r="N23" s="163" t="n">
        <v>0.0</v>
      </c>
      <c r="O23" s="163" t="n">
        <v>0.0</v>
      </c>
      <c r="P23" s="163" t="n">
        <v>0.0</v>
      </c>
      <c r="Q23" s="163" t="n">
        <v>0.0</v>
      </c>
      <c r="R23" s="163" t="n">
        <v>0.0</v>
      </c>
      <c r="S23" s="163" t="n">
        <v>0.0</v>
      </c>
      <c r="T23" s="163" t="n">
        <v>0.0</v>
      </c>
      <c r="U23" s="165" t="s">
        <v>853</v>
      </c>
      <c r="V23" s="165" t="s">
        <v>853</v>
      </c>
      <c r="W23" s="165" t="s">
        <v>853</v>
      </c>
      <c r="X23" s="165" t="s">
        <v>853</v>
      </c>
      <c r="Y23" s="163" t="n">
        <v>0.0</v>
      </c>
      <c r="Z23" s="163" t="n">
        <v>0.0</v>
      </c>
      <c r="AA23" s="163" t="n">
        <v>0.0</v>
      </c>
      <c r="AB23" s="165" t="s">
        <v>853</v>
      </c>
      <c r="AC23" s="165" t="s">
        <v>853</v>
      </c>
      <c r="AD23" s="163" t="n">
        <v>0.0</v>
      </c>
      <c r="AE23" s="163" t="n">
        <v>0.0</v>
      </c>
      <c r="AF23" s="163" t="n">
        <v>0.0</v>
      </c>
      <c r="AG23" s="163" t="n">
        <v>0.0</v>
      </c>
      <c r="AH23" s="163" t="n">
        <v>0.0</v>
      </c>
      <c r="AI23" s="163" t="n">
        <v>0.0</v>
      </c>
      <c r="AJ23" s="163" t="n">
        <v>0.0</v>
      </c>
      <c r="AK23" s="165" t="s">
        <v>853</v>
      </c>
      <c r="AL23" s="163" t="n">
        <v>0.0</v>
      </c>
      <c r="AM23" s="165" t="s">
        <v>853</v>
      </c>
      <c r="AN23" s="163" t="n">
        <v>0.0</v>
      </c>
      <c r="AO23" s="165" t="s">
        <v>853</v>
      </c>
      <c r="AP23" s="165" t="s">
        <v>853</v>
      </c>
      <c r="AQ23" s="163" t="n">
        <v>0.0</v>
      </c>
      <c r="AR23" s="165" t="s">
        <v>853</v>
      </c>
      <c r="AS23" s="165" t="s">
        <v>853</v>
      </c>
      <c r="AT23" s="165" t="s">
        <v>853</v>
      </c>
      <c r="AU23" s="163" t="n">
        <v>0.0</v>
      </c>
      <c r="AV23" s="163" t="n">
        <v>0.0</v>
      </c>
      <c r="AW23" s="165" t="s">
        <v>853</v>
      </c>
      <c r="AX23" s="165" t="s">
        <v>853</v>
      </c>
      <c r="AY23" s="163" t="n">
        <v>0.0</v>
      </c>
      <c r="AZ23" s="163" t="n">
        <v>0.0</v>
      </c>
      <c r="BA23" s="163" t="n">
        <v>0.0</v>
      </c>
      <c r="BB23" s="163" t="n">
        <v>0.0</v>
      </c>
      <c r="BC23" s="163" t="n">
        <v>0.0</v>
      </c>
      <c r="BD23" s="165" t="s">
        <v>853</v>
      </c>
      <c r="BE23" s="165" t="s">
        <v>853</v>
      </c>
      <c r="BF23" s="165" t="s">
        <v>853</v>
      </c>
      <c r="BG23" s="165" t="s">
        <v>853</v>
      </c>
      <c r="BH23" s="163" t="n">
        <v>0.0</v>
      </c>
      <c r="BI23" s="163" t="n">
        <v>0.0</v>
      </c>
      <c r="BJ23" s="163" t="n">
        <v>0.0</v>
      </c>
      <c r="BK23" s="165" t="s">
        <v>853</v>
      </c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15">
      <c r="B24" s="15" t="s">
        <v>877</v>
      </c>
      <c r="C24" s="12" t="s">
        <v>868</v>
      </c>
      <c r="D24" s="169" t="s">
        <v>853</v>
      </c>
      <c r="E24" s="167" t="n">
        <v>0.0</v>
      </c>
      <c r="F24" s="167" t="n">
        <v>0.0</v>
      </c>
      <c r="G24" s="167" t="n">
        <v>0.0</v>
      </c>
      <c r="H24" s="167" t="n">
        <v>0.0</v>
      </c>
      <c r="I24" s="167" t="n">
        <v>0.0</v>
      </c>
      <c r="J24" s="167" t="n">
        <v>0.0</v>
      </c>
      <c r="K24" s="167" t="n">
        <v>0.0</v>
      </c>
      <c r="L24" s="169" t="s">
        <v>853</v>
      </c>
      <c r="M24" s="167" t="n">
        <v>0.0</v>
      </c>
      <c r="N24" s="167" t="n">
        <v>0.0</v>
      </c>
      <c r="O24" s="167" t="n">
        <v>0.0</v>
      </c>
      <c r="P24" s="167" t="n">
        <v>0.0</v>
      </c>
      <c r="Q24" s="167" t="n">
        <v>0.0</v>
      </c>
      <c r="R24" s="167" t="n">
        <v>0.0</v>
      </c>
      <c r="S24" s="167" t="n">
        <v>0.0</v>
      </c>
      <c r="T24" s="167" t="n">
        <v>0.0</v>
      </c>
      <c r="U24" s="169" t="s">
        <v>853</v>
      </c>
      <c r="V24" s="169" t="s">
        <v>853</v>
      </c>
      <c r="W24" s="169" t="s">
        <v>853</v>
      </c>
      <c r="X24" s="169" t="s">
        <v>853</v>
      </c>
      <c r="Y24" s="167" t="n">
        <v>0.0</v>
      </c>
      <c r="Z24" s="167" t="n">
        <v>0.0</v>
      </c>
      <c r="AA24" s="167" t="n">
        <v>0.0</v>
      </c>
      <c r="AB24" s="169" t="s">
        <v>853</v>
      </c>
      <c r="AC24" s="169" t="s">
        <v>853</v>
      </c>
      <c r="AD24" s="167" t="n">
        <v>0.0</v>
      </c>
      <c r="AE24" s="167" t="n">
        <v>0.0</v>
      </c>
      <c r="AF24" s="167" t="n">
        <v>0.0</v>
      </c>
      <c r="AG24" s="167" t="n">
        <v>0.0</v>
      </c>
      <c r="AH24" s="167" t="n">
        <v>0.0</v>
      </c>
      <c r="AI24" s="167" t="n">
        <v>0.0</v>
      </c>
      <c r="AJ24" s="167" t="n">
        <v>0.0</v>
      </c>
      <c r="AK24" s="169" t="s">
        <v>853</v>
      </c>
      <c r="AL24" s="167" t="n">
        <v>0.0</v>
      </c>
      <c r="AM24" s="169" t="s">
        <v>853</v>
      </c>
      <c r="AN24" s="167" t="n">
        <v>0.0</v>
      </c>
      <c r="AO24" s="169" t="s">
        <v>853</v>
      </c>
      <c r="AP24" s="169" t="s">
        <v>853</v>
      </c>
      <c r="AQ24" s="167" t="n">
        <v>0.0</v>
      </c>
      <c r="AR24" s="169" t="s">
        <v>853</v>
      </c>
      <c r="AS24" s="169" t="s">
        <v>853</v>
      </c>
      <c r="AT24" s="169" t="s">
        <v>853</v>
      </c>
      <c r="AU24" s="167" t="n">
        <v>0.0</v>
      </c>
      <c r="AV24" s="167" t="n">
        <v>0.0</v>
      </c>
      <c r="AW24" s="169" t="s">
        <v>853</v>
      </c>
      <c r="AX24" s="169" t="s">
        <v>853</v>
      </c>
      <c r="AY24" s="167" t="n">
        <v>0.0</v>
      </c>
      <c r="AZ24" s="167" t="n">
        <v>0.0</v>
      </c>
      <c r="BA24" s="167" t="n">
        <v>0.0</v>
      </c>
      <c r="BB24" s="167" t="n">
        <v>0.0</v>
      </c>
      <c r="BC24" s="167" t="n">
        <v>0.0</v>
      </c>
      <c r="BD24" s="169" t="s">
        <v>853</v>
      </c>
      <c r="BE24" s="169" t="s">
        <v>853</v>
      </c>
      <c r="BF24" s="169" t="s">
        <v>853</v>
      </c>
      <c r="BG24" s="169" t="s">
        <v>853</v>
      </c>
      <c r="BH24" s="167" t="n">
        <v>0.0</v>
      </c>
      <c r="BI24" s="167" t="n">
        <v>0.0</v>
      </c>
      <c r="BJ24" s="167" t="n">
        <v>0.0</v>
      </c>
      <c r="BK24" s="169" t="s">
        <v>853</v>
      </c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15">
      <c r="B25" s="15" t="s">
        <v>878</v>
      </c>
      <c r="C25" s="12" t="s">
        <v>868</v>
      </c>
      <c r="D25" s="173" t="s">
        <v>853</v>
      </c>
      <c r="E25" s="171" t="n">
        <v>1.0</v>
      </c>
      <c r="F25" s="171" t="n">
        <v>0.0</v>
      </c>
      <c r="G25" s="171" t="n">
        <v>0.0</v>
      </c>
      <c r="H25" s="171" t="n">
        <v>0.0</v>
      </c>
      <c r="I25" s="171" t="n">
        <v>0.0</v>
      </c>
      <c r="J25" s="171" t="n">
        <v>0.0</v>
      </c>
      <c r="K25" s="171" t="n">
        <v>0.0</v>
      </c>
      <c r="L25" s="173" t="s">
        <v>853</v>
      </c>
      <c r="M25" s="171" t="n">
        <v>0.0</v>
      </c>
      <c r="N25" s="171" t="n">
        <v>0.0</v>
      </c>
      <c r="O25" s="171" t="n">
        <v>0.0</v>
      </c>
      <c r="P25" s="171" t="n">
        <v>0.0</v>
      </c>
      <c r="Q25" s="171" t="n">
        <v>0.0</v>
      </c>
      <c r="R25" s="171" t="n">
        <v>0.0</v>
      </c>
      <c r="S25" s="171" t="n">
        <v>0.0</v>
      </c>
      <c r="T25" s="171" t="n">
        <v>0.0</v>
      </c>
      <c r="U25" s="173" t="s">
        <v>853</v>
      </c>
      <c r="V25" s="173" t="s">
        <v>853</v>
      </c>
      <c r="W25" s="173" t="s">
        <v>853</v>
      </c>
      <c r="X25" s="173" t="s">
        <v>853</v>
      </c>
      <c r="Y25" s="171" t="n">
        <v>0.0</v>
      </c>
      <c r="Z25" s="171" t="n">
        <v>0.0</v>
      </c>
      <c r="AA25" s="171" t="n">
        <v>0.0</v>
      </c>
      <c r="AB25" s="173" t="s">
        <v>853</v>
      </c>
      <c r="AC25" s="173" t="s">
        <v>853</v>
      </c>
      <c r="AD25" s="171" t="n">
        <v>0.0</v>
      </c>
      <c r="AE25" s="171" t="n">
        <v>0.0</v>
      </c>
      <c r="AF25" s="171" t="n">
        <v>0.0</v>
      </c>
      <c r="AG25" s="171" t="n">
        <v>0.0</v>
      </c>
      <c r="AH25" s="171" t="n">
        <v>0.0</v>
      </c>
      <c r="AI25" s="171" t="n">
        <v>0.0</v>
      </c>
      <c r="AJ25" s="171" t="n">
        <v>0.0</v>
      </c>
      <c r="AK25" s="173" t="s">
        <v>853</v>
      </c>
      <c r="AL25" s="171" t="n">
        <v>1.0</v>
      </c>
      <c r="AM25" s="173" t="s">
        <v>853</v>
      </c>
      <c r="AN25" s="171" t="n">
        <v>0.0</v>
      </c>
      <c r="AO25" s="173" t="s">
        <v>853</v>
      </c>
      <c r="AP25" s="173" t="s">
        <v>853</v>
      </c>
      <c r="AQ25" s="171" t="n">
        <v>0.0</v>
      </c>
      <c r="AR25" s="173" t="s">
        <v>853</v>
      </c>
      <c r="AS25" s="173" t="s">
        <v>853</v>
      </c>
      <c r="AT25" s="173" t="s">
        <v>853</v>
      </c>
      <c r="AU25" s="171" t="n">
        <v>0.0</v>
      </c>
      <c r="AV25" s="171" t="n">
        <v>0.0</v>
      </c>
      <c r="AW25" s="173" t="s">
        <v>853</v>
      </c>
      <c r="AX25" s="173" t="s">
        <v>853</v>
      </c>
      <c r="AY25" s="171" t="n">
        <v>0.0</v>
      </c>
      <c r="AZ25" s="171" t="n">
        <v>0.0</v>
      </c>
      <c r="BA25" s="171" t="n">
        <v>0.0</v>
      </c>
      <c r="BB25" s="171" t="n">
        <v>0.0</v>
      </c>
      <c r="BC25" s="171" t="n">
        <v>0.0</v>
      </c>
      <c r="BD25" s="173" t="s">
        <v>853</v>
      </c>
      <c r="BE25" s="173" t="s">
        <v>853</v>
      </c>
      <c r="BF25" s="173" t="s">
        <v>853</v>
      </c>
      <c r="BG25" s="173" t="s">
        <v>853</v>
      </c>
      <c r="BH25" s="171" t="n">
        <v>0.0</v>
      </c>
      <c r="BI25" s="171" t="n">
        <v>0.0</v>
      </c>
      <c r="BJ25" s="171" t="n">
        <v>0.0</v>
      </c>
      <c r="BK25" s="173" t="s">
        <v>853</v>
      </c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15">
      <c r="B26" s="15" t="s">
        <v>879</v>
      </c>
      <c r="C26" s="12" t="s">
        <v>868</v>
      </c>
      <c r="D26" s="177" t="s">
        <v>853</v>
      </c>
      <c r="E26" s="175" t="n">
        <v>26.0</v>
      </c>
      <c r="F26" s="175" t="n">
        <v>17.0</v>
      </c>
      <c r="G26" s="175" t="n">
        <v>6.0</v>
      </c>
      <c r="H26" s="175" t="n">
        <v>0.0</v>
      </c>
      <c r="I26" s="175" t="n">
        <v>0.0</v>
      </c>
      <c r="J26" s="175" t="n">
        <v>0.0</v>
      </c>
      <c r="K26" s="175" t="n">
        <v>0.0</v>
      </c>
      <c r="L26" s="177" t="s">
        <v>853</v>
      </c>
      <c r="M26" s="175" t="n">
        <v>0.0</v>
      </c>
      <c r="N26" s="175" t="n">
        <v>0.0</v>
      </c>
      <c r="O26" s="175" t="n">
        <v>0.0</v>
      </c>
      <c r="P26" s="175" t="n">
        <v>0.0</v>
      </c>
      <c r="Q26" s="175" t="n">
        <v>0.0</v>
      </c>
      <c r="R26" s="175" t="n">
        <v>0.0</v>
      </c>
      <c r="S26" s="175" t="n">
        <v>0.0</v>
      </c>
      <c r="T26" s="175" t="n">
        <v>0.0</v>
      </c>
      <c r="U26" s="177" t="s">
        <v>853</v>
      </c>
      <c r="V26" s="177" t="s">
        <v>853</v>
      </c>
      <c r="W26" s="177" t="s">
        <v>853</v>
      </c>
      <c r="X26" s="177" t="s">
        <v>853</v>
      </c>
      <c r="Y26" s="175" t="n">
        <v>0.0</v>
      </c>
      <c r="Z26" s="175" t="n">
        <v>0.0</v>
      </c>
      <c r="AA26" s="175" t="n">
        <v>0.0</v>
      </c>
      <c r="AB26" s="177" t="s">
        <v>853</v>
      </c>
      <c r="AC26" s="177" t="s">
        <v>853</v>
      </c>
      <c r="AD26" s="175" t="n">
        <v>2.0</v>
      </c>
      <c r="AE26" s="175" t="n">
        <v>0.0</v>
      </c>
      <c r="AF26" s="175" t="n">
        <v>0.0</v>
      </c>
      <c r="AG26" s="175" t="n">
        <v>0.0</v>
      </c>
      <c r="AH26" s="175" t="n">
        <v>1.0</v>
      </c>
      <c r="AI26" s="175" t="n">
        <v>0.0</v>
      </c>
      <c r="AJ26" s="175" t="n">
        <v>0.0</v>
      </c>
      <c r="AK26" s="177" t="s">
        <v>853</v>
      </c>
      <c r="AL26" s="175" t="n">
        <v>0.0</v>
      </c>
      <c r="AM26" s="177" t="s">
        <v>853</v>
      </c>
      <c r="AN26" s="175" t="n">
        <v>0.0</v>
      </c>
      <c r="AO26" s="177" t="s">
        <v>853</v>
      </c>
      <c r="AP26" s="177" t="s">
        <v>853</v>
      </c>
      <c r="AQ26" s="175" t="n">
        <v>0.0</v>
      </c>
      <c r="AR26" s="177" t="s">
        <v>853</v>
      </c>
      <c r="AS26" s="177" t="s">
        <v>853</v>
      </c>
      <c r="AT26" s="177" t="s">
        <v>853</v>
      </c>
      <c r="AU26" s="175" t="n">
        <v>0.0</v>
      </c>
      <c r="AV26" s="175" t="n">
        <v>0.0</v>
      </c>
      <c r="AW26" s="177" t="s">
        <v>853</v>
      </c>
      <c r="AX26" s="177" t="s">
        <v>853</v>
      </c>
      <c r="AY26" s="175" t="n">
        <v>0.0</v>
      </c>
      <c r="AZ26" s="175" t="n">
        <v>0.0</v>
      </c>
      <c r="BA26" s="175" t="n">
        <v>0.0</v>
      </c>
      <c r="BB26" s="175" t="n">
        <v>0.0</v>
      </c>
      <c r="BC26" s="175" t="n">
        <v>0.0</v>
      </c>
      <c r="BD26" s="177" t="s">
        <v>853</v>
      </c>
      <c r="BE26" s="177" t="s">
        <v>853</v>
      </c>
      <c r="BF26" s="177" t="s">
        <v>853</v>
      </c>
      <c r="BG26" s="177" t="s">
        <v>853</v>
      </c>
      <c r="BH26" s="175" t="n">
        <v>0.0</v>
      </c>
      <c r="BI26" s="175" t="n">
        <v>0.0</v>
      </c>
      <c r="BJ26" s="175" t="n">
        <v>0.0</v>
      </c>
      <c r="BK26" s="177" t="s">
        <v>853</v>
      </c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15">
      <c r="B27" s="15" t="s">
        <v>880</v>
      </c>
      <c r="C27" s="12" t="s">
        <v>868</v>
      </c>
      <c r="D27" s="181" t="s">
        <v>853</v>
      </c>
      <c r="E27" s="179" t="n">
        <v>713.0</v>
      </c>
      <c r="F27" s="179" t="n">
        <v>117.0</v>
      </c>
      <c r="G27" s="179" t="n">
        <v>37.0</v>
      </c>
      <c r="H27" s="179" t="n">
        <v>104.0</v>
      </c>
      <c r="I27" s="179" t="n">
        <v>72.0</v>
      </c>
      <c r="J27" s="179" t="n">
        <v>4.0</v>
      </c>
      <c r="K27" s="179" t="n">
        <v>32.0</v>
      </c>
      <c r="L27" s="181" t="s">
        <v>853</v>
      </c>
      <c r="M27" s="179" t="n">
        <v>10.0</v>
      </c>
      <c r="N27" s="179" t="n">
        <v>21.0</v>
      </c>
      <c r="O27" s="179" t="n">
        <v>18.0</v>
      </c>
      <c r="P27" s="179" t="n">
        <v>14.0</v>
      </c>
      <c r="Q27" s="179" t="n">
        <v>107.0</v>
      </c>
      <c r="R27" s="179" t="n">
        <v>9.0</v>
      </c>
      <c r="S27" s="179" t="n">
        <v>17.0</v>
      </c>
      <c r="T27" s="179" t="n">
        <v>16.0</v>
      </c>
      <c r="U27" s="181" t="s">
        <v>853</v>
      </c>
      <c r="V27" s="181" t="s">
        <v>853</v>
      </c>
      <c r="W27" s="181" t="s">
        <v>853</v>
      </c>
      <c r="X27" s="181" t="s">
        <v>853</v>
      </c>
      <c r="Y27" s="179" t="n">
        <v>1.0</v>
      </c>
      <c r="Z27" s="179" t="n">
        <v>1.0</v>
      </c>
      <c r="AA27" s="179" t="n">
        <v>1.0</v>
      </c>
      <c r="AB27" s="181" t="s">
        <v>853</v>
      </c>
      <c r="AC27" s="181" t="s">
        <v>853</v>
      </c>
      <c r="AD27" s="179" t="n">
        <v>13.0</v>
      </c>
      <c r="AE27" s="179" t="n">
        <v>3.0</v>
      </c>
      <c r="AF27" s="179" t="n">
        <v>20.0</v>
      </c>
      <c r="AG27" s="179" t="n">
        <v>5.0</v>
      </c>
      <c r="AH27" s="179" t="n">
        <v>1.0</v>
      </c>
      <c r="AI27" s="179" t="n">
        <v>1.0</v>
      </c>
      <c r="AJ27" s="179" t="n">
        <v>1.0</v>
      </c>
      <c r="AK27" s="181" t="s">
        <v>853</v>
      </c>
      <c r="AL27" s="179" t="n">
        <v>1.0</v>
      </c>
      <c r="AM27" s="181" t="s">
        <v>853</v>
      </c>
      <c r="AN27" s="179" t="n">
        <v>7.0</v>
      </c>
      <c r="AO27" s="181" t="s">
        <v>853</v>
      </c>
      <c r="AP27" s="181" t="s">
        <v>853</v>
      </c>
      <c r="AQ27" s="179" t="n">
        <v>5.0</v>
      </c>
      <c r="AR27" s="181" t="s">
        <v>853</v>
      </c>
      <c r="AS27" s="181" t="s">
        <v>853</v>
      </c>
      <c r="AT27" s="181" t="s">
        <v>853</v>
      </c>
      <c r="AU27" s="179" t="n">
        <v>7.0</v>
      </c>
      <c r="AV27" s="179" t="n">
        <v>10.0</v>
      </c>
      <c r="AW27" s="181" t="s">
        <v>853</v>
      </c>
      <c r="AX27" s="181" t="s">
        <v>853</v>
      </c>
      <c r="AY27" s="179" t="n">
        <v>7.0</v>
      </c>
      <c r="AZ27" s="179" t="n">
        <v>3.0</v>
      </c>
      <c r="BA27" s="179" t="n">
        <v>7.0</v>
      </c>
      <c r="BB27" s="179" t="n">
        <v>2.0</v>
      </c>
      <c r="BC27" s="179" t="n">
        <v>1.0</v>
      </c>
      <c r="BD27" s="181" t="s">
        <v>853</v>
      </c>
      <c r="BE27" s="181" t="s">
        <v>853</v>
      </c>
      <c r="BF27" s="181" t="s">
        <v>853</v>
      </c>
      <c r="BG27" s="181" t="s">
        <v>853</v>
      </c>
      <c r="BH27" s="179" t="n">
        <v>12.0</v>
      </c>
      <c r="BI27" s="179" t="n">
        <v>2.0</v>
      </c>
      <c r="BJ27" s="179" t="n">
        <v>24.0</v>
      </c>
      <c r="BK27" s="181" t="s">
        <v>853</v>
      </c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15" hidden="true">
      <c r="B28" s="15" t="s">
        <v>33</v>
      </c>
      <c r="C28" s="1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15" hidden="true">
      <c r="B29" s="15" t="s">
        <v>34</v>
      </c>
      <c r="C29" s="1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15" hidden="true">
      <c r="B30" s="15" t="s">
        <v>35</v>
      </c>
      <c r="C30" s="1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15" hidden="true">
      <c r="B31" s="15" t="s">
        <v>36</v>
      </c>
      <c r="C31" s="12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15" hidden="true">
      <c r="B32" s="15" t="s">
        <v>37</v>
      </c>
      <c r="C32" s="12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15" hidden="true">
      <c r="B33" s="15" t="s">
        <v>38</v>
      </c>
      <c r="C33" s="1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15" hidden="true">
      <c r="B34" s="15" t="s">
        <v>39</v>
      </c>
      <c r="C34" s="1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15" hidden="true">
      <c r="B35" s="15" t="s">
        <v>40</v>
      </c>
      <c r="C35" s="1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15" hidden="true">
      <c r="B36" s="15" t="s">
        <v>41</v>
      </c>
      <c r="C36" s="1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15" hidden="true">
      <c r="B37" s="15" t="s">
        <v>42</v>
      </c>
      <c r="C37" s="1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15" hidden="true">
      <c r="B38" s="15" t="s">
        <v>43</v>
      </c>
      <c r="C38" s="12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15" hidden="true">
      <c r="B39" s="15" t="s">
        <v>44</v>
      </c>
      <c r="C39" s="1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15" hidden="true">
      <c r="B40" s="15" t="s">
        <v>45</v>
      </c>
      <c r="C40" s="1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15" hidden="true">
      <c r="B41" s="15" t="s">
        <v>46</v>
      </c>
      <c r="C41" s="1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15" hidden="true">
      <c r="B42" s="15" t="s">
        <v>47</v>
      </c>
      <c r="C42" s="1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15" hidden="true">
      <c r="B43" s="15" t="s">
        <v>48</v>
      </c>
      <c r="C43" s="1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15" hidden="true">
      <c r="B44" s="15" t="s">
        <v>49</v>
      </c>
      <c r="C44" s="1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15" hidden="true">
      <c r="B45" s="15" t="s">
        <v>50</v>
      </c>
      <c r="C45" s="1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15" hidden="true">
      <c r="B46" s="15" t="s">
        <v>51</v>
      </c>
      <c r="C46" s="1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15" hidden="true">
      <c r="B47" s="15" t="s">
        <v>52</v>
      </c>
      <c r="C47" s="1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15" hidden="true">
      <c r="B48" s="15" t="s">
        <v>53</v>
      </c>
      <c r="C48" s="1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15" hidden="true">
      <c r="B49" s="15" t="s">
        <v>54</v>
      </c>
      <c r="C49" s="1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15" hidden="true">
      <c r="B50" s="15" t="s">
        <v>55</v>
      </c>
      <c r="C50" s="1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15" hidden="true">
      <c r="B51" s="15" t="s">
        <v>56</v>
      </c>
      <c r="C51" s="12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15" hidden="true">
      <c r="B52" s="15" t="s">
        <v>57</v>
      </c>
      <c r="C52" s="1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15" hidden="true">
      <c r="B53" s="15" t="s">
        <v>58</v>
      </c>
      <c r="C53" s="1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15" hidden="true">
      <c r="B54" s="15" t="s">
        <v>59</v>
      </c>
      <c r="C54" s="12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15" hidden="true">
      <c r="B55" s="15" t="s">
        <v>60</v>
      </c>
      <c r="C55" s="1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15" hidden="true">
      <c r="B56" s="15" t="s">
        <v>61</v>
      </c>
      <c r="C56" s="12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15" hidden="true">
      <c r="B57" s="15" t="s">
        <v>62</v>
      </c>
      <c r="C57" s="12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15" hidden="true">
      <c r="B58" s="15" t="s">
        <v>63</v>
      </c>
      <c r="C58" s="12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15" hidden="true">
      <c r="B59" s="15" t="s">
        <v>64</v>
      </c>
      <c r="C59" s="12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15" hidden="true">
      <c r="B60" s="15" t="s">
        <v>65</v>
      </c>
      <c r="C60" s="12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15" hidden="true">
      <c r="B61" s="15" t="s">
        <v>66</v>
      </c>
      <c r="C61" s="12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15" hidden="true">
      <c r="B62" s="15" t="s">
        <v>67</v>
      </c>
      <c r="C62" s="12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15" hidden="true">
      <c r="B63" s="15" t="s">
        <v>68</v>
      </c>
      <c r="C63" s="12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15" hidden="true">
      <c r="B64" s="15" t="s">
        <v>69</v>
      </c>
      <c r="C64" s="12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15" hidden="true">
      <c r="B65" s="15" t="s">
        <v>70</v>
      </c>
      <c r="C65" s="12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15" hidden="true">
      <c r="B66" s="15" t="s">
        <v>71</v>
      </c>
      <c r="C66" s="12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15" hidden="true">
      <c r="B67" s="15" t="s">
        <v>72</v>
      </c>
      <c r="C67" s="12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15" hidden="true">
      <c r="B68" s="15" t="s">
        <v>73</v>
      </c>
      <c r="C68" s="12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15" hidden="true">
      <c r="B69" s="15" t="s">
        <v>74</v>
      </c>
      <c r="C69" s="12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15" hidden="true">
      <c r="B70" s="15" t="s">
        <v>75</v>
      </c>
      <c r="C70" s="12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15" hidden="true">
      <c r="B71" s="15" t="s">
        <v>76</v>
      </c>
      <c r="C71" s="12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15" hidden="true">
      <c r="B72" s="15" t="s">
        <v>77</v>
      </c>
      <c r="C72" s="12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15" hidden="true">
      <c r="B73" s="15" t="s">
        <v>78</v>
      </c>
      <c r="C73" s="12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15" hidden="true">
      <c r="B74" s="15" t="s">
        <v>79</v>
      </c>
      <c r="C74" s="12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15" hidden="true">
      <c r="B75" s="15" t="s">
        <v>80</v>
      </c>
      <c r="C75" s="12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15" hidden="true">
      <c r="B76" s="15" t="s">
        <v>81</v>
      </c>
      <c r="C76" s="12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15" hidden="true">
      <c r="B77" s="15" t="s">
        <v>82</v>
      </c>
      <c r="C77" s="12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15" hidden="true">
      <c r="B78" s="15" t="s">
        <v>83</v>
      </c>
      <c r="C78" s="12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15" hidden="true">
      <c r="B79" s="15" t="s">
        <v>84</v>
      </c>
      <c r="C79" s="12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15" hidden="true">
      <c r="B80" s="15" t="s">
        <v>85</v>
      </c>
      <c r="C80" s="12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15" hidden="true">
      <c r="B81" s="15" t="s">
        <v>86</v>
      </c>
      <c r="C81" s="12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15" hidden="true">
      <c r="B82" s="15" t="s">
        <v>87</v>
      </c>
      <c r="C82" s="12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15" hidden="true">
      <c r="B83" s="15" t="s">
        <v>88</v>
      </c>
      <c r="C83" s="12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15" hidden="true">
      <c r="B84" s="15" t="s">
        <v>89</v>
      </c>
      <c r="C84" s="12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15" hidden="true">
      <c r="B85" s="15" t="s">
        <v>90</v>
      </c>
      <c r="C85" s="12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15" hidden="true">
      <c r="B86" s="15" t="s">
        <v>91</v>
      </c>
      <c r="C86" s="12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15" hidden="true">
      <c r="B87" s="15" t="s">
        <v>92</v>
      </c>
      <c r="C87" s="12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15" hidden="true">
      <c r="B88" s="15" t="s">
        <v>93</v>
      </c>
      <c r="C88" s="12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15" hidden="true">
      <c r="B89" s="15" t="s">
        <v>94</v>
      </c>
      <c r="C89" s="12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15" hidden="true">
      <c r="B90" s="15" t="s">
        <v>95</v>
      </c>
      <c r="C90" s="12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15" hidden="true">
      <c r="B91" s="15" t="s">
        <v>96</v>
      </c>
      <c r="C91" s="12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15" hidden="true">
      <c r="B92" s="15" t="s">
        <v>97</v>
      </c>
      <c r="C92" s="12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15" hidden="true">
      <c r="B93" s="15" t="s">
        <v>98</v>
      </c>
      <c r="C93" s="12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15" hidden="true">
      <c r="B94" s="15" t="s">
        <v>99</v>
      </c>
      <c r="C94" s="12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15" hidden="true">
      <c r="B95" s="15" t="s">
        <v>100</v>
      </c>
      <c r="C95" s="12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15" hidden="true">
      <c r="B96" s="15" t="s">
        <v>101</v>
      </c>
      <c r="C96" s="12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15" hidden="true">
      <c r="B97" s="15" t="s">
        <v>102</v>
      </c>
      <c r="C97" s="12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15" hidden="true">
      <c r="B98" s="15" t="s">
        <v>103</v>
      </c>
      <c r="C98" s="12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15" hidden="true">
      <c r="B99" s="15" t="s">
        <v>104</v>
      </c>
      <c r="C99" s="12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15" hidden="true">
      <c r="B100" s="15" t="s">
        <v>105</v>
      </c>
      <c r="C100" s="12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15" hidden="true">
      <c r="B101" s="15" t="s">
        <v>106</v>
      </c>
      <c r="C101" s="12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15" hidden="true">
      <c r="B102" s="15" t="s">
        <v>107</v>
      </c>
      <c r="C102" s="12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15" hidden="true">
      <c r="B103" s="15" t="s">
        <v>108</v>
      </c>
      <c r="C103" s="12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15" hidden="true">
      <c r="B104" s="15" t="s">
        <v>109</v>
      </c>
      <c r="C104" s="12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15" hidden="true">
      <c r="B105" s="15" t="s">
        <v>110</v>
      </c>
      <c r="C105" s="12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15" hidden="true">
      <c r="B106" s="15" t="s">
        <v>111</v>
      </c>
      <c r="C106" s="12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15" hidden="true">
      <c r="B107" s="15" t="s">
        <v>112</v>
      </c>
      <c r="C107" s="12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15" hidden="true">
      <c r="B108" s="15" t="s">
        <v>113</v>
      </c>
      <c r="C108" s="12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15" hidden="true">
      <c r="B109" s="15" t="s">
        <v>114</v>
      </c>
      <c r="C109" s="12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15" hidden="true">
      <c r="B110" s="15" t="s">
        <v>115</v>
      </c>
      <c r="C110" s="12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15" hidden="true">
      <c r="B111" s="15" t="s">
        <v>116</v>
      </c>
      <c r="C111" s="12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15" hidden="true">
      <c r="B112" s="15" t="s">
        <v>117</v>
      </c>
      <c r="C112" s="12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15" hidden="true">
      <c r="B113" s="15" t="s">
        <v>118</v>
      </c>
      <c r="C113" s="12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15" hidden="true">
      <c r="B114" s="15" t="s">
        <v>119</v>
      </c>
      <c r="C114" s="12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15" hidden="true">
      <c r="B115" s="15" t="s">
        <v>120</v>
      </c>
      <c r="C115" s="12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15" hidden="true">
      <c r="B116" s="15" t="s">
        <v>121</v>
      </c>
      <c r="C116" s="12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15" hidden="true">
      <c r="B117" s="15" t="s">
        <v>122</v>
      </c>
      <c r="C117" s="12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15" hidden="true">
      <c r="B118" s="15" t="s">
        <v>123</v>
      </c>
      <c r="C118" s="12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15" hidden="true">
      <c r="B119" s="15" t="s">
        <v>124</v>
      </c>
      <c r="C119" s="12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15" hidden="true">
      <c r="B120" s="15" t="s">
        <v>125</v>
      </c>
      <c r="C120" s="12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15" hidden="true">
      <c r="B121" s="15" t="s">
        <v>126</v>
      </c>
      <c r="C121" s="12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15" hidden="true">
      <c r="B122" s="15" t="s">
        <v>127</v>
      </c>
      <c r="C122" s="12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15" hidden="true">
      <c r="B123" s="15" t="s">
        <v>128</v>
      </c>
      <c r="C123" s="12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15" hidden="true">
      <c r="B124" s="15" t="s">
        <v>129</v>
      </c>
      <c r="C124" s="12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15" hidden="true">
      <c r="B125" s="15" t="s">
        <v>130</v>
      </c>
      <c r="C125" s="12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15" hidden="true">
      <c r="B126" s="15" t="s">
        <v>131</v>
      </c>
      <c r="C126" s="12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15" hidden="true">
      <c r="B127" s="15" t="s">
        <v>132</v>
      </c>
      <c r="C127" s="12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15" hidden="true">
      <c r="B128" s="15" t="s">
        <v>133</v>
      </c>
      <c r="C128" s="12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15" hidden="true">
      <c r="B129" s="15" t="s">
        <v>134</v>
      </c>
      <c r="C129" s="12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15" hidden="true">
      <c r="B130" s="15" t="s">
        <v>135</v>
      </c>
      <c r="C130" s="12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15" hidden="true">
      <c r="B131" s="15" t="s">
        <v>136</v>
      </c>
      <c r="C131" s="12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15" hidden="true">
      <c r="B132" s="15" t="s">
        <v>137</v>
      </c>
      <c r="C132" s="12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15" hidden="true">
      <c r="B133" s="15" t="s">
        <v>138</v>
      </c>
      <c r="C133" s="12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15" hidden="true">
      <c r="B134" s="15" t="s">
        <v>139</v>
      </c>
      <c r="C134" s="12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15" hidden="true">
      <c r="B135" s="15" t="s">
        <v>140</v>
      </c>
      <c r="C135" s="12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15" hidden="true">
      <c r="B136" s="15" t="s">
        <v>141</v>
      </c>
      <c r="C136" s="12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15" hidden="true">
      <c r="B137" s="15" t="s">
        <v>142</v>
      </c>
      <c r="C137" s="12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15" hidden="true">
      <c r="B138" s="15" t="s">
        <v>143</v>
      </c>
      <c r="C138" s="12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15" hidden="true">
      <c r="B139" s="15" t="s">
        <v>144</v>
      </c>
      <c r="C139" s="12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15" hidden="true">
      <c r="B140" s="15" t="s">
        <v>145</v>
      </c>
      <c r="C140" s="12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15" hidden="true">
      <c r="B141" s="15" t="s">
        <v>146</v>
      </c>
      <c r="C141" s="12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15" hidden="true">
      <c r="B142" s="15" t="s">
        <v>147</v>
      </c>
      <c r="C142" s="12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15" hidden="true">
      <c r="B143" s="15" t="s">
        <v>148</v>
      </c>
      <c r="C143" s="12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15" hidden="true">
      <c r="B144" s="15" t="s">
        <v>149</v>
      </c>
      <c r="C144" s="12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15" hidden="true">
      <c r="B145" s="15" t="s">
        <v>150</v>
      </c>
      <c r="C145" s="12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15" hidden="true">
      <c r="B146" s="15" t="s">
        <v>151</v>
      </c>
      <c r="C146" s="12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15" hidden="true">
      <c r="B147" s="15" t="s">
        <v>152</v>
      </c>
      <c r="C147" s="12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15" hidden="true">
      <c r="B148" s="15" t="s">
        <v>153</v>
      </c>
      <c r="C148" s="12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15" hidden="true">
      <c r="B149" s="15" t="s">
        <v>154</v>
      </c>
      <c r="C149" s="12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15" hidden="true">
      <c r="B150" s="15" t="s">
        <v>155</v>
      </c>
      <c r="C150" s="12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15" hidden="true">
      <c r="B151" s="15" t="s">
        <v>156</v>
      </c>
      <c r="C151" s="12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15" hidden="true">
      <c r="B152" s="15" t="s">
        <v>157</v>
      </c>
      <c r="C152" s="12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15" hidden="true">
      <c r="B153" s="15" t="s">
        <v>158</v>
      </c>
      <c r="C153" s="12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15" hidden="true">
      <c r="B154" s="15" t="s">
        <v>159</v>
      </c>
      <c r="C154" s="12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15" hidden="true">
      <c r="B155" s="15" t="s">
        <v>160</v>
      </c>
      <c r="C155" s="12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15" hidden="true">
      <c r="B156" s="15" t="s">
        <v>161</v>
      </c>
      <c r="C156" s="12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15" hidden="true">
      <c r="B157" s="15" t="s">
        <v>162</v>
      </c>
      <c r="C157" s="12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15" hidden="true">
      <c r="B158" s="15" t="s">
        <v>163</v>
      </c>
      <c r="C158" s="12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15" hidden="true">
      <c r="B159" s="15" t="s">
        <v>164</v>
      </c>
      <c r="C159" s="12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15" hidden="true">
      <c r="B160" s="15" t="s">
        <v>165</v>
      </c>
      <c r="C160" s="12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15" hidden="true">
      <c r="B161" s="15" t="s">
        <v>166</v>
      </c>
      <c r="C161" s="12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15" hidden="true">
      <c r="B162" s="15" t="s">
        <v>167</v>
      </c>
      <c r="C162" s="12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15" hidden="true">
      <c r="B163" s="15" t="s">
        <v>168</v>
      </c>
      <c r="C163" s="12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15" hidden="true">
      <c r="B164" s="15" t="s">
        <v>169</v>
      </c>
      <c r="C164" s="12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15" hidden="true">
      <c r="B165" s="15" t="s">
        <v>170</v>
      </c>
      <c r="C165" s="12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15" hidden="true">
      <c r="B166" s="15" t="s">
        <v>171</v>
      </c>
      <c r="C166" s="12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15" hidden="true">
      <c r="B167" s="15" t="s">
        <v>172</v>
      </c>
      <c r="C167" s="12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15" hidden="true">
      <c r="B168" s="15" t="s">
        <v>173</v>
      </c>
      <c r="C168" s="12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15" hidden="true">
      <c r="B169" s="15" t="s">
        <v>174</v>
      </c>
      <c r="C169" s="12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15" hidden="true">
      <c r="B170" s="15" t="s">
        <v>175</v>
      </c>
      <c r="C170" s="12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15" hidden="true">
      <c r="B171" s="15" t="s">
        <v>176</v>
      </c>
      <c r="C171" s="12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15" hidden="true">
      <c r="B172" s="15" t="s">
        <v>177</v>
      </c>
      <c r="C172" s="12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15" hidden="true">
      <c r="B173" s="15" t="s">
        <v>178</v>
      </c>
      <c r="C173" s="12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15" hidden="true">
      <c r="B174" s="15" t="s">
        <v>179</v>
      </c>
      <c r="C174" s="12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15" hidden="true">
      <c r="B175" s="15" t="s">
        <v>180</v>
      </c>
      <c r="C175" s="12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15" hidden="true">
      <c r="B176" s="15" t="s">
        <v>181</v>
      </c>
      <c r="C176" s="12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15" hidden="true">
      <c r="B177" s="15" t="s">
        <v>182</v>
      </c>
      <c r="C177" s="12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15" hidden="true">
      <c r="B178" s="15" t="s">
        <v>183</v>
      </c>
      <c r="C178" s="12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15" hidden="true">
      <c r="B179" s="15" t="s">
        <v>184</v>
      </c>
      <c r="C179" s="12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15" hidden="true">
      <c r="B180" s="15" t="s">
        <v>185</v>
      </c>
      <c r="C180" s="12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15" hidden="true">
      <c r="B181" s="15" t="s">
        <v>186</v>
      </c>
      <c r="C181" s="12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15" hidden="true">
      <c r="B182" s="15" t="s">
        <v>187</v>
      </c>
      <c r="C182" s="12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15" hidden="true">
      <c r="B183" s="15" t="s">
        <v>188</v>
      </c>
      <c r="C183" s="12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15" hidden="true">
      <c r="B184" s="15" t="s">
        <v>189</v>
      </c>
      <c r="C184" s="12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15" hidden="true">
      <c r="B185" s="15" t="s">
        <v>190</v>
      </c>
      <c r="C185" s="12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15" hidden="true">
      <c r="B186" s="15" t="s">
        <v>191</v>
      </c>
      <c r="C186" s="12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15" hidden="true">
      <c r="B187" s="15" t="s">
        <v>192</v>
      </c>
      <c r="C187" s="12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15" hidden="true">
      <c r="B188" s="15" t="s">
        <v>193</v>
      </c>
      <c r="C188" s="12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15" hidden="true">
      <c r="B189" s="15" t="s">
        <v>194</v>
      </c>
      <c r="C189" s="12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15" hidden="true">
      <c r="B190" s="15" t="s">
        <v>195</v>
      </c>
      <c r="C190" s="12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15" hidden="true">
      <c r="B191" s="15" t="s">
        <v>196</v>
      </c>
      <c r="C191" s="12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15" hidden="true">
      <c r="B192" s="15" t="s">
        <v>197</v>
      </c>
      <c r="C192" s="12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15" hidden="true">
      <c r="B193" s="15" t="s">
        <v>198</v>
      </c>
      <c r="C193" s="12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15" hidden="true">
      <c r="B194" s="15" t="s">
        <v>199</v>
      </c>
      <c r="C194" s="12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15" hidden="true">
      <c r="B195" s="15" t="s">
        <v>200</v>
      </c>
      <c r="C195" s="12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15" hidden="true">
      <c r="B196" s="15" t="s">
        <v>201</v>
      </c>
      <c r="C196" s="12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15" hidden="true">
      <c r="B197" s="15" t="s">
        <v>202</v>
      </c>
      <c r="C197" s="12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15" hidden="true">
      <c r="B198" s="15" t="s">
        <v>203</v>
      </c>
      <c r="C198" s="12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15" hidden="true">
      <c r="B199" s="15" t="s">
        <v>204</v>
      </c>
      <c r="C199" s="12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15" hidden="true">
      <c r="B200" s="15" t="s">
        <v>205</v>
      </c>
      <c r="C200" s="12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15" hidden="true">
      <c r="B201" s="15" t="s">
        <v>206</v>
      </c>
      <c r="C201" s="12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15" hidden="true">
      <c r="B202" s="15" t="s">
        <v>207</v>
      </c>
      <c r="C202" s="12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15" hidden="true">
      <c r="B203" s="15" t="s">
        <v>208</v>
      </c>
      <c r="C203" s="12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15" hidden="true">
      <c r="B204" s="15" t="s">
        <v>209</v>
      </c>
      <c r="C204" s="12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15" hidden="true">
      <c r="B205" s="15" t="s">
        <v>210</v>
      </c>
      <c r="C205" s="12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15" hidden="true">
      <c r="B206" s="15" t="s">
        <v>211</v>
      </c>
      <c r="C206" s="12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15" hidden="true">
      <c r="B207" s="15" t="s">
        <v>212</v>
      </c>
      <c r="C207" s="12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15" hidden="true">
      <c r="B208" s="15" t="s">
        <v>213</v>
      </c>
      <c r="C208" s="12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15" hidden="true">
      <c r="B209" s="15" t="s">
        <v>214</v>
      </c>
      <c r="C209" s="12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15" hidden="true">
      <c r="B210" s="15" t="s">
        <v>215</v>
      </c>
      <c r="C210" s="12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15" hidden="true">
      <c r="B211" s="15" t="s">
        <v>216</v>
      </c>
      <c r="C211" s="12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15" hidden="true">
      <c r="B212" s="15" t="s">
        <v>217</v>
      </c>
      <c r="C212" s="12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15" hidden="true">
      <c r="B213" s="15" t="s">
        <v>218</v>
      </c>
      <c r="C213" s="12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15" hidden="true">
      <c r="B214" s="15" t="s">
        <v>219</v>
      </c>
      <c r="C214" s="12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15" hidden="true">
      <c r="B215" s="15" t="s">
        <v>220</v>
      </c>
      <c r="C215" s="12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15" hidden="true">
      <c r="B216" s="15" t="s">
        <v>221</v>
      </c>
      <c r="C216" s="12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15" hidden="true">
      <c r="B217" s="15" t="s">
        <v>222</v>
      </c>
      <c r="C217" s="12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15" hidden="true">
      <c r="B218" s="15" t="s">
        <v>223</v>
      </c>
      <c r="C218" s="12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15" hidden="true">
      <c r="B219" s="15" t="s">
        <v>224</v>
      </c>
      <c r="C219" s="12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15" hidden="true">
      <c r="B220" s="15" t="s">
        <v>225</v>
      </c>
      <c r="C220" s="12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15" hidden="true">
      <c r="B221" s="15" t="s">
        <v>226</v>
      </c>
      <c r="C221" s="12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15" hidden="true">
      <c r="B222" s="15" t="s">
        <v>227</v>
      </c>
      <c r="C222" s="12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15" hidden="true">
      <c r="B223" s="15" t="s">
        <v>228</v>
      </c>
      <c r="C223" s="12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15" hidden="true">
      <c r="B224" s="15" t="s">
        <v>229</v>
      </c>
      <c r="C224" s="12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15" hidden="true">
      <c r="B225" s="15" t="s">
        <v>230</v>
      </c>
      <c r="C225" s="12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15" hidden="true">
      <c r="B226" s="15" t="s">
        <v>231</v>
      </c>
      <c r="C226" s="12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15" hidden="true">
      <c r="B227" s="15" t="s">
        <v>232</v>
      </c>
      <c r="C227" s="12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15" hidden="true">
      <c r="B228" s="15" t="s">
        <v>233</v>
      </c>
      <c r="C228" s="12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15" hidden="true">
      <c r="B229" s="15" t="s">
        <v>234</v>
      </c>
      <c r="C229" s="12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15" hidden="true">
      <c r="B230" s="15" t="s">
        <v>235</v>
      </c>
      <c r="C230" s="12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15" hidden="true">
      <c r="B231" s="15" t="s">
        <v>236</v>
      </c>
      <c r="C231" s="12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15" hidden="true">
      <c r="B232" s="15" t="s">
        <v>237</v>
      </c>
      <c r="C232" s="12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15" hidden="true">
      <c r="B233" s="15" t="s">
        <v>238</v>
      </c>
      <c r="C233" s="12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15" hidden="true">
      <c r="B234" s="15" t="s">
        <v>239</v>
      </c>
      <c r="C234" s="12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15" hidden="true">
      <c r="B235" s="15" t="s">
        <v>240</v>
      </c>
      <c r="C235" s="12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15" hidden="true">
      <c r="B236" s="15" t="s">
        <v>241</v>
      </c>
      <c r="C236" s="12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15" hidden="true">
      <c r="B237" s="15" t="s">
        <v>242</v>
      </c>
      <c r="C237" s="12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15" hidden="true">
      <c r="B238" s="15" t="s">
        <v>243</v>
      </c>
      <c r="C238" s="12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15" hidden="true">
      <c r="B239" s="15" t="s">
        <v>244</v>
      </c>
      <c r="C239" s="12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15" hidden="true">
      <c r="B240" s="15" t="s">
        <v>245</v>
      </c>
      <c r="C240" s="12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15" hidden="true">
      <c r="B241" s="15" t="s">
        <v>246</v>
      </c>
      <c r="C241" s="12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15" hidden="true">
      <c r="B242" s="15" t="s">
        <v>247</v>
      </c>
      <c r="C242" s="12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15" hidden="true">
      <c r="B243" s="15" t="s">
        <v>248</v>
      </c>
      <c r="C243" s="12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15" hidden="true">
      <c r="B244" s="15" t="s">
        <v>249</v>
      </c>
      <c r="C244" s="12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15" hidden="true">
      <c r="B245" s="15" t="s">
        <v>250</v>
      </c>
      <c r="C245" s="12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15" hidden="true">
      <c r="B246" s="15" t="s">
        <v>251</v>
      </c>
      <c r="C246" s="12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15" hidden="true">
      <c r="B247" s="15" t="s">
        <v>252</v>
      </c>
      <c r="C247" s="12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15" hidden="true">
      <c r="B248" s="15" t="s">
        <v>253</v>
      </c>
      <c r="C248" s="12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15" hidden="true">
      <c r="B249" s="15" t="s">
        <v>254</v>
      </c>
      <c r="C249" s="12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15" hidden="true">
      <c r="B250" s="15" t="s">
        <v>255</v>
      </c>
      <c r="C250" s="12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15" hidden="true">
      <c r="B251" s="15" t="s">
        <v>256</v>
      </c>
      <c r="C251" s="12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15" hidden="true">
      <c r="B252" s="15" t="s">
        <v>257</v>
      </c>
      <c r="C252" s="12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15" hidden="true">
      <c r="B253" s="15" t="s">
        <v>258</v>
      </c>
      <c r="C253" s="12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15" hidden="true">
      <c r="B254" s="15" t="s">
        <v>259</v>
      </c>
      <c r="C254" s="12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15" hidden="true">
      <c r="B255" s="15" t="s">
        <v>260</v>
      </c>
      <c r="C255" s="12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15" hidden="true">
      <c r="B256" s="15" t="s">
        <v>261</v>
      </c>
      <c r="C256" s="12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15" hidden="true">
      <c r="B257" s="15" t="s">
        <v>262</v>
      </c>
      <c r="C257" s="12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15">
      <c r="B258" s="18"/>
      <c r="C258" s="19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  <c r="FN258" s="17"/>
      <c r="FO258" s="17"/>
      <c r="FP258" s="17"/>
      <c r="FQ258" s="17"/>
      <c r="FR258" s="17"/>
      <c r="FS258" s="17"/>
      <c r="FT258" s="17"/>
      <c r="FU258" s="17"/>
      <c r="FV258" s="17"/>
      <c r="FW258" s="17"/>
      <c r="FX258" s="17"/>
      <c r="FY258" s="17"/>
      <c r="FZ258" s="17"/>
      <c r="GA258" s="17"/>
      <c r="GB258" s="17"/>
      <c r="GC258" s="17"/>
      <c r="GD258" s="17"/>
      <c r="GE258" s="17"/>
      <c r="GF258" s="17"/>
      <c r="GG258" s="17"/>
      <c r="GH258" s="17"/>
      <c r="GI258" s="17"/>
      <c r="GJ258" s="17"/>
      <c r="GK258" s="17"/>
      <c r="GL258" s="17"/>
      <c r="GM258" s="17"/>
      <c r="GN258" s="17"/>
      <c r="GO258" s="17"/>
      <c r="GP258" s="17"/>
      <c r="GQ258" s="17"/>
      <c r="GR258" s="17"/>
      <c r="GS258" s="17"/>
      <c r="GT258" s="17"/>
      <c r="GU258" s="17"/>
      <c r="GV258" s="17"/>
      <c r="GW258" s="17"/>
      <c r="GX258" s="17"/>
      <c r="GY258" s="17"/>
      <c r="GZ258" s="17"/>
      <c r="HA258" s="17"/>
      <c r="HB258" s="17"/>
      <c r="HC258" s="17"/>
      <c r="HD258" s="17"/>
      <c r="HE258" s="17"/>
      <c r="HF258" s="17"/>
      <c r="HG258" s="17"/>
      <c r="HH258" s="17"/>
      <c r="HI258" s="17"/>
      <c r="HJ258" s="17"/>
      <c r="HK258" s="17"/>
      <c r="HL258" s="17"/>
      <c r="HM258" s="17"/>
      <c r="HN258" s="17"/>
      <c r="HO258" s="17"/>
      <c r="HP258" s="17"/>
      <c r="HQ258" s="17"/>
      <c r="HR258" s="17"/>
      <c r="HS258" s="17"/>
      <c r="HT258" s="17"/>
      <c r="HU258" s="17"/>
      <c r="HV258" s="17"/>
      <c r="HW258" s="17"/>
      <c r="HX258" s="17"/>
      <c r="HY258" s="17"/>
      <c r="HZ258" s="17"/>
      <c r="IA258" s="17"/>
      <c r="IB258" s="17"/>
      <c r="IC258" s="17"/>
      <c r="ID258" s="17"/>
      <c r="IE258" s="17"/>
      <c r="IF258" s="17"/>
      <c r="IG258" s="17"/>
      <c r="IH258" s="17"/>
      <c r="II258" s="17"/>
      <c r="IJ258" s="17"/>
      <c r="IK258" s="17"/>
      <c r="IL258" s="17"/>
      <c r="IM258" s="17"/>
      <c r="IN258" s="17"/>
      <c r="IO258" s="17"/>
      <c r="IP258" s="17"/>
      <c r="IQ258" s="17"/>
      <c r="IR258" s="17"/>
      <c r="IS258" s="17"/>
      <c r="IT258" s="17"/>
      <c r="IU258" s="17"/>
      <c r="IV258" s="17"/>
      <c r="IW258" s="17"/>
      <c r="IX258" s="17"/>
    </row>
    <row r="259" spans="2:258" x14ac:dyDescent="0.15">
      <c r="B259" s="18" t="str">
        <f>"  "&amp;'グラフ設定（地域別）'!L2</f>
        <v xml:space="preserve">  </v>
      </c>
      <c r="C259" s="19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  <c r="FN259" s="17"/>
      <c r="FO259" s="17"/>
      <c r="FP259" s="17"/>
      <c r="FQ259" s="17"/>
      <c r="FR259" s="17"/>
      <c r="FS259" s="17"/>
      <c r="FT259" s="17"/>
      <c r="FU259" s="17"/>
      <c r="FV259" s="17"/>
      <c r="FW259" s="17"/>
      <c r="FX259" s="17"/>
      <c r="FY259" s="17"/>
      <c r="FZ259" s="17"/>
      <c r="GA259" s="17"/>
      <c r="GB259" s="17"/>
      <c r="GC259" s="17"/>
      <c r="GD259" s="17"/>
      <c r="GE259" s="17"/>
      <c r="GF259" s="17"/>
      <c r="GG259" s="17"/>
      <c r="GH259" s="17"/>
      <c r="GI259" s="17"/>
      <c r="GJ259" s="17"/>
      <c r="GK259" s="17"/>
      <c r="GL259" s="17"/>
      <c r="GM259" s="17"/>
      <c r="GN259" s="17"/>
      <c r="GO259" s="17"/>
      <c r="GP259" s="17"/>
      <c r="GQ259" s="17"/>
      <c r="GR259" s="17"/>
      <c r="GS259" s="17"/>
      <c r="GT259" s="17"/>
      <c r="GU259" s="17"/>
      <c r="GV259" s="17"/>
      <c r="GW259" s="17"/>
      <c r="GX259" s="17"/>
      <c r="GY259" s="17"/>
      <c r="GZ259" s="17"/>
      <c r="HA259" s="17"/>
      <c r="HB259" s="17"/>
      <c r="HC259" s="17"/>
      <c r="HD259" s="17"/>
      <c r="HE259" s="17"/>
      <c r="HF259" s="17"/>
      <c r="HG259" s="17"/>
      <c r="HH259" s="17"/>
      <c r="HI259" s="17"/>
      <c r="HJ259" s="17"/>
      <c r="HK259" s="17"/>
      <c r="HL259" s="17"/>
      <c r="HM259" s="17"/>
      <c r="HN259" s="17"/>
      <c r="HO259" s="17"/>
      <c r="HP259" s="17"/>
      <c r="HQ259" s="17"/>
      <c r="HR259" s="17"/>
      <c r="HS259" s="17"/>
      <c r="HT259" s="17"/>
      <c r="HU259" s="17"/>
      <c r="HV259" s="17"/>
      <c r="HW259" s="17"/>
      <c r="HX259" s="17"/>
      <c r="HY259" s="17"/>
      <c r="HZ259" s="17"/>
      <c r="IA259" s="17"/>
      <c r="IB259" s="17"/>
      <c r="IC259" s="17"/>
      <c r="ID259" s="17"/>
      <c r="IE259" s="17"/>
      <c r="IF259" s="17"/>
      <c r="IG259" s="17"/>
      <c r="IH259" s="17"/>
      <c r="II259" s="17"/>
      <c r="IJ259" s="17"/>
      <c r="IK259" s="17"/>
      <c r="IL259" s="17"/>
      <c r="IM259" s="17"/>
      <c r="IN259" s="17"/>
      <c r="IO259" s="17"/>
      <c r="IP259" s="17"/>
      <c r="IQ259" s="17"/>
      <c r="IR259" s="17"/>
      <c r="IS259" s="17"/>
      <c r="IT259" s="17"/>
      <c r="IU259" s="17"/>
      <c r="IV259" s="17"/>
      <c r="IW259" s="17"/>
      <c r="IX259" s="17"/>
    </row>
    <row r="260" spans="2:258" x14ac:dyDescent="0.15">
      <c r="B260" s="24" t="str">
        <f>"（時点）"&amp;'グラフ設定（地域別）'!D2</f>
        <v>（時点）令和2年(2020年)</v>
      </c>
      <c r="C260" s="24"/>
      <c r="D260" s="24"/>
      <c r="E260" s="24"/>
      <c r="F260" s="24"/>
      <c r="G260" s="24"/>
      <c r="H260" s="24"/>
      <c r="I260" s="4"/>
      <c r="J260" s="4"/>
    </row>
    <row r="261" spans="2:258" s="20" customFormat="1" ht="60.75" customHeight="1" x14ac:dyDescent="0.15">
      <c r="B261" s="25" t="str">
        <f>'グラフ設定（地域別）'!J2</f>
        <v>（出典）厚生労働省「介護予防事業及び介護予防・日常生活支援総合事業の実施状況に関する調査」</v>
      </c>
      <c r="C261" s="25"/>
      <c r="D261" s="25"/>
      <c r="E261" s="25"/>
      <c r="F261" s="25"/>
      <c r="G261" s="25"/>
      <c r="H261" s="25"/>
    </row>
  </sheetData>
  <mergeCells count="2">
    <mergeCell ref="B260:H260"/>
    <mergeCell ref="B261:H26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2015-09-18T01:02:35Z</dcterms:created>
  <dcterms:modified xsi:type="dcterms:W3CDTF">2022-08-19T08:20:25Z</dcterms:modified>
</cp:coreProperties>
</file>