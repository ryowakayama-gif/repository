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<sst xmlns="http://schemas.openxmlformats.org/spreadsheetml/2006/main" count="1406" uniqueCount="942">
  <si>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</si>
  <si>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</si>
  <si>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</si>
  <si>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</si>
  <si>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</si>
  <si>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</si>
  <si>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</si>
  <si>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</si>
  <si>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</si>
  <si>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</si>
  <si>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</si>
  <si>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</si>
  <si>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</si>
  <si>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</si>
  <si>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</si>
  <si>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</si>
  <si>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</si>
  <si>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</si>
  <si>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</si>
  <si>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</si>
  <si>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</si>
  <si>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</si>
  <si>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</si>
  <si>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</si>
  <si>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</si>
  <si>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</si>
  <si>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</si>
  <si>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</si>
  <si>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</si>
  <si>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</si>
  <si>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</si>
  <si>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</si>
  <si>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</si>
  <si>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</si>
  <si>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</si>
  <si>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</si>
  <si>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</si>
  <si>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</si>
  <si>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</si>
  <si>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</si>
  <si>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</si>
  <si>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</si>
  <si>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</si>
  <si>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</si>
  <si>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</si>
  <si>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</si>
  <si>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</si>
  <si>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</si>
  <si>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</si>
  <si>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</si>
  <si>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</si>
  <si>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</si>
  <si>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</si>
  <si>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</si>
  <si>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</si>
  <si>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</si>
  <si>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</si>
  <si>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</si>
  <si>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</si>
  <si>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</si>
  <si>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</si>
  <si>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</si>
  <si>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</si>
  <si>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</si>
  <si>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</si>
  <si>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</si>
  <si>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</si>
  <si>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</si>
  <si>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</si>
  <si>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</si>
  <si>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</si>
  <si>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</si>
  <si>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</si>
  <si>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</si>
  <si>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</si>
  <si>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</si>
  <si>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</si>
  <si>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</si>
  <si>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</si>
  <si>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</si>
  <si>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</si>
  <si>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</si>
  <si>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</si>
  <si>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</si>
  <si>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</si>
  <si>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</si>
  <si>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</si>
  <si>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</si>
  <si>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</si>
  <si>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</si>
  <si>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</si>
  <si>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</si>
  <si>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</si>
  <si>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</si>
  <si>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</si>
  <si>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</si>
  <si>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</si>
  <si>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</si>
  <si>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</si>
  <si>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</si>
  <si>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</si>
  <si>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</si>
  <si>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</si>
  <si>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</si>
  <si>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</si>
  <si>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</si>
  <si>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</si>
  <si>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</si>
  <si>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</si>
  <si>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</si>
  <si>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</si>
  <si>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</si>
  <si>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</si>
  <si>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</si>
  <si>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</si>
  <si>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</si>
  <si>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</si>
  <si>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</si>
  <si>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</si>
  <si>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</si>
  <si>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</si>
  <si>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</si>
  <si>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</si>
  <si>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</si>
  <si>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</si>
  <si>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</si>
  <si>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</si>
  <si>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</si>
  <si>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</si>
  <si>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</si>
  <si>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</si>
  <si>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</si>
  <si>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</si>
  <si>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</si>
  <si>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</si>
  <si>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</si>
  <si>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</si>
  <si>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</si>
  <si>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</si>
  <si>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</si>
  <si>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</si>
  <si>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</si>
  <si>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</si>
  <si>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</si>
  <si>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</si>
  <si>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</si>
  <si>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</si>
  <si>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</si>
  <si>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</si>
  <si>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</si>
  <si>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</si>
  <si>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</si>
  <si>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</si>
  <si>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</si>
  <si>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</si>
  <si>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</si>
  <si>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</si>
  <si>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</si>
  <si>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</si>
  <si>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</si>
  <si>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</si>
  <si>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</si>
  <si>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</si>
  <si>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</si>
  <si>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</si>
  <si>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</si>
  <si>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</si>
  <si>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</si>
  <si>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</si>
  <si>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</si>
  <si>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</si>
  <si>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</si>
  <si>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</si>
  <si>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</si>
  <si>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</si>
  <si>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</si>
  <si>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</si>
  <si>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</si>
  <si>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</si>
  <si>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</si>
  <si>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</si>
  <si>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</si>
  <si>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</si>
  <si>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</si>
  <si>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</si>
  <si>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</si>
  <si>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</si>
  <si>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</si>
  <si>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</si>
  <si>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</si>
  <si>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</si>
  <si>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</si>
  <si>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</si>
  <si>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</si>
  <si>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</si>
  <si>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</si>
  <si>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</si>
  <si>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</si>
  <si>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</si>
  <si>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</si>
  <si>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</si>
  <si>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</si>
  <si>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</si>
  <si>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</si>
  <si>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</si>
  <si>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</si>
  <si>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</si>
  <si>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</si>
  <si>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</si>
  <si>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</si>
  <si>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</si>
  <si>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</si>
  <si>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</si>
  <si>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</si>
  <si>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</si>
  <si>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</si>
  <si>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</si>
  <si>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</si>
  <si>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</si>
  <si>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</si>
  <si>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</si>
  <si>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</si>
  <si>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</si>
  <si>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</si>
  <si>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</si>
  <si>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</si>
  <si>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</si>
  <si>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</si>
  <si>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</si>
  <si>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</si>
  <si>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</si>
  <si>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</si>
  <si>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</si>
  <si>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</si>
  <si>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</si>
  <si>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</si>
  <si>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</si>
  <si>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</si>
  <si>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</si>
  <si>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</si>
  <si>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</si>
  <si>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</si>
  <si>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</si>
  <si>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</si>
  <si>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</si>
  <si>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</si>
  <si>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</si>
  <si>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</si>
  <si>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</si>
  <si>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</si>
  <si>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</si>
  <si>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</si>
  <si>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</si>
  <si>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</si>
  <si>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</si>
  <si>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</si>
  <si>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</si>
  <si>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</si>
  <si>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</si>
  <si>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</si>
  <si>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</si>
  <si>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</si>
  <si>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</si>
  <si>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</si>
  <si>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</si>
  <si>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</si>
  <si>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</si>
  <si>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</si>
  <si>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</si>
  <si>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</si>
  <si>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</si>
  <si>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</si>
  <si>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</si>
  <si>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</si>
  <si>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</si>
  <si>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</si>
  <si>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</si>
  <si>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</si>
  <si>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</si>
  <si>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</si>
  <si>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</si>
  <si>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</si>
  <si>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</si>
  <si>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</si>
  <si>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</si>
  <si>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</si>
  <si>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</si>
  <si>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</si>
  <si>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</si>
  <si>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</si>
  <si>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</si>
  <si>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</si>
  <si>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</si>
  <si>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</si>
  <si>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</si>
  <si>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</si>
  <si>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</si>
  <si>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</si>
  <si>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</si>
  <si>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</si>
  <si>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</si>
  <si>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</si>
  <si>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</si>
  <si>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</si>
  <si>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</si>
  <si>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</si>
  <si>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</si>
  <si>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</si>
  <si>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</si>
  <si>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</si>
  <si>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</si>
  <si>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</si>
  <si>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</si>
  <si>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</si>
  <si>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</si>
  <si>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</si>
  <si>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</si>
  <si>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</si>
  <si>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</si>
  <si>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</si>
  <si>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</si>
  <si>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</si>
  <si>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</si>
  <si>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</si>
  <si>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</si>
  <si>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</si>
  <si>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</si>
  <si>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</si>
  <si>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</si>
  <si>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</si>
  <si>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</si>
  <si>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</si>
  <si>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</si>
  <si>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</si>
  <si>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</si>
  <si>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</si>
  <si>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</si>
  <si>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</si>
  <si>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</si>
  <si>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</si>
  <si>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</si>
  <si>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</si>
  <si>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</si>
  <si>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</si>
  <si>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</si>
  <si>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</si>
  <si>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</si>
  <si>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</si>
  <si>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</si>
  <si>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</si>
  <si>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</si>
  <si>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</si>
  <si>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</si>
  <si>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</si>
  <si>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</si>
  <si>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</si>
  <si>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</si>
  <si>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</si>
  <si>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</si>
  <si>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</si>
  <si>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</si>
  <si>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</si>
  <si>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</si>
  <si>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</si>
  <si>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</si>
  <si>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</si>
  <si>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</si>
  <si>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</si>
  <si>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</si>
  <si>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</si>
  <si>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</si>
  <si>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</si>
  <si>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</si>
  <si>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</si>
  <si>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</si>
  <si>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</si>
  <si>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</si>
  <si>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</si>
  <si>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</si>
  <si>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</si>
  <si>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</si>
  <si>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</si>
  <si>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</si>
  <si>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</si>
  <si>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</si>
  <si>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</si>
  <si>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</si>
  <si>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</si>
  <si>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</si>
  <si>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</si>
  <si>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</si>
  <si>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</si>
  <si>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</si>
  <si>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</si>
  <si>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</si>
  <si>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</si>
  <si>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</si>
  <si>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</si>
  <si>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</si>
  <si>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</si>
  <si>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</si>
  <si>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</si>
  <si>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</si>
  <si>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</si>
  <si>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</si>
  <si>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</si>
  <si>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</si>
  <si>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</si>
  <si>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</si>
  <si>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</si>
  <si>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</si>
  <si>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</si>
  <si>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</si>
  <si>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</si>
  <si>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</si>
  <si>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</si>
  <si>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</si>
  <si>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</si>
  <si>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</si>
  <si>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</si>
  <si>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</si>
  <si>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</si>
  <si>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</si>
  <si>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</si>
  <si>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</si>
  <si>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</si>
  <si>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</si>
  <si>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</si>
  <si>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</si>
  <si>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</si>
  <si>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</si>
  <si>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</si>
  <si>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</si>
  <si>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</si>
  <si>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</si>
  <si>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</si>
  <si>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</si>
  <si>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</si>
  <si>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</si>
  <si>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</si>
  <si>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</si>
  <si>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</si>
  <si>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</si>
  <si>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</si>
  <si>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</si>
  <si>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</si>
  <si>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</si>
  <si>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</si>
  <si>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</si>
  <si>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</si>
  <si>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</si>
  <si>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</si>
  <si>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</si>
  <si>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</si>
  <si>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</si>
  <si>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</si>
  <si>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</si>
  <si>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</si>
  <si>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</si>
  <si>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</si>
  <si>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</si>
  <si>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</si>
  <si>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</si>
  <si>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</si>
  <si>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</si>
  <si>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</si>
  <si>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</si>
  <si>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</si>
  <si>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</si>
  <si>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</si>
  <si>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</si>
  <si>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</si>
  <si>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</si>
  <si>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</si>
  <si>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</si>
  <si>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</si>
  <si>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</si>
  <si>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</si>
  <si>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</si>
  <si>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</si>
  <si>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</si>
  <si>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</si>
  <si>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</si>
  <si>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</si>
  <si>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</si>
  <si>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</si>
  <si>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</si>
  <si>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</si>
  <si>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</si>
  <si>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</si>
  <si>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</si>
  <si>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</si>
  <si>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</si>
  <si>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</si>
  <si>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</si>
  <si>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</si>
  <si>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</si>
  <si>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</si>
  <si>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</si>
  <si>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</si>
  <si>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</si>
  <si>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</si>
  <si>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</si>
  <si>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</si>
  <si>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</si>
  <si>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</si>
  <si>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</si>
  <si>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</si>
  <si>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</si>
  <si>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</si>
  <si>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</si>
  <si>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</si>
  <si>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</si>
  <si>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</si>
  <si>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</si>
  <si>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</si>
  <si>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</si>
  <si>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</si>
  <si>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</si>
  <si>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</si>
  <si>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</si>
  <si>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</si>
  <si>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</si>
  <si>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</si>
  <si>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</si>
  <si>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</si>
  <si>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</si>
  <si>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</si>
  <si>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</si>
  <si>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</si>
  <si>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</si>
  <si>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</si>
  <si>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</si>
  <si>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</si>
  <si>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</si>
  <si>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</si>
  <si>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</si>
  <si>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</si>
  <si>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</si>
  <si>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</si>
  <si>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</si>
  <si>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</si>
  <si>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</si>
  <si>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</si>
  <si>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</si>
  <si>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</si>
  <si>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</si>
  <si>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</si>
  <si>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</si>
  <si>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</si>
  <si>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</si>
  <si>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</si>
  <si>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</si>
  <si>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</si>
  <si>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</si>
  <si>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</si>
  <si>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</si>
  <si>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</si>
  <si>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</si>
  <si>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</si>
  <si>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</si>
  <si>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</si>
  <si>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</si>
  <si>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</si>
  <si>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</si>
  <si>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</si>
  <si>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</si>
  <si>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</si>
  <si>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</si>
  <si>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</si>
  <si>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</si>
  <si>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</si>
  <si>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</si>
  <si>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</si>
  <si>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</si>
  <si>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</si>
  <si>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</si>
  <si>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</si>
  <si>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</si>
  <si>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</si>
  <si>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</si>
  <si>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</si>
  <si>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</si>
  <si>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</si>
  <si>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</si>
  <si>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</si>
  <si>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</si>
  <si>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</si>
  <si>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</si>
  <si>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</si>
  <si>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</si>
  <si>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</si>
  <si>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</si>
  <si>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</si>
  <si>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</si>
  <si>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</si>
  <si>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</si>
  <si>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</si>
  <si>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</si>
  <si>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</si>
  <si>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</si>
  <si>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</si>
  <si>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</si>
  <si>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</si>
  <si>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</si>
  <si>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</si>
  <si>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</si>
  <si>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</si>
  <si>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</si>
  <si>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</si>
  <si>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</si>
  <si>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</si>
  <si>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</si>
  <si>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</si>
  <si>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</si>
  <si>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</si>
  <si>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</si>
  <si>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</si>
  <si>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</si>
  <si>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</si>
  <si>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</si>
  <si>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</si>
  <si>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</si>
  <si>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</si>
  <si>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</si>
  <si>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</si>
  <si>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</si>
  <si>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</si>
  <si>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</si>
  <si>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</si>
  <si>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</si>
  <si>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</si>
  <si>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</si>
  <si>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</si>
  <si>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</si>
  <si>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</si>
  <si>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</si>
  <si>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</si>
  <si>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</si>
  <si>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</si>
  <si>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</si>
  <si>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</si>
  <si>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</si>
  <si>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</si>
  <si>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</si>
  <si>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</si>
  <si>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</si>
  <si>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</si>
  <si>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</si>
  <si>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</si>
  <si>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</si>
  <si>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</si>
  <si>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</si>
  <si>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</si>
  <si>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</si>
  <si>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</si>
  <si>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</si>
  <si>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</si>
  <si>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</si>
  <si>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</si>
  <si>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</si>
  <si>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</si>
  <si>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</si>
  <si>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</si>
  <si>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</si>
  <si>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</si>
  <si>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</si>
  <si>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</si>
  <si>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</si>
  <si>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</si>
  <si>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</si>
  <si>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</si>
  <si>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</si>
  <si>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</si>
  <si>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</si>
  <si>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</si>
  <si>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</si>
  <si>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</si>
  <si>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</si>
  <si>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</si>
  <si>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</si>
  <si>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</si>
  <si>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</si>
  <si>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</si>
  <si>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</si>
  <si>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</si>
  <si>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</si>
  <si>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</si>
  <si>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</si>
  <si>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</si>
  <si>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</si>
  <si>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</si>
  <si>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</si>
  <si>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</si>
  <si>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</si>
  <si>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</si>
  <si>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</si>
  <si>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</si>
  <si>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</si>
  <si>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</si>
  <si>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</si>
  <si>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</si>
  <si>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</si>
  <si>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</si>
  <si>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</si>
  <si>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</si>
  <si>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</si>
  <si>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</si>
  <si>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</si>
  <si>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</si>
  <si>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</si>
  <si>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</si>
  <si>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</si>
  <si>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</si>
  <si>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</si>
  <si>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</si>
  <si>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</si>
  <si>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</si>
  <si>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</si>
  <si>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</si>
  <si>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</si>
  <si>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</si>
  <si>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</si>
  <si>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</si>
  <si>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</si>
  <si>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</si>
  <si>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</si>
  <si>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</si>
  <si>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</si>
  <si>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</si>
  <si>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</si>
  <si>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</si>
  <si>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</si>
  <si>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</si>
  <si>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</si>
  <si>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</si>
  <si>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</si>
  <si>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</si>
  <si>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</si>
  <si>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</si>
  <si>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</si>
  <si>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</si>
  <si>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</si>
  <si>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</si>
  <si>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</si>
  <si>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</si>
  <si>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</si>
  <si>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</si>
  <si>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</si>
  <si>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</si>
  <si>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</si>
  <si>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</si>
  <si>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</si>
  <si>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</si>
  <si>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</si>
  <si>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</si>
  <si>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</si>
  <si>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</si>
  <si>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</si>
  <si>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</si>
  <si>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</si>
  <si>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</si>
  <si>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</si>
  <si>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</si>
  <si>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</si>
  <si>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</si>
  <si>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</si>
  <si>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</si>
  <si>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</si>
  <si>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</si>
  <si>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</si>
  <si>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</si>
  <si>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</si>
  <si>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</si>
  <si>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</si>
  <si>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</si>
  <si>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</si>
  <si>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</si>
  <si>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</si>
  <si>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</si>
  <si>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</si>
  <si>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</si>
  <si>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</si>
  <si>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</si>
  <si>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</si>
  <si>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</si>
  <si>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</si>
  <si>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</si>
  <si>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</si>
  <si>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</si>
  <si>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</si>
  <si>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</si>
  <si>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</si>
  <si>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</si>
  <si>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</si>
  <si>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</si>
  <si>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</si>
  <si>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</si>
  <si>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</si>
  <si>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</si>
  <si>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</si>
  <si>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</si>
  <si>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</si>
  <si>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</si>
  <si>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</si>
  <si>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</si>
  <si>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</si>
  <si>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</si>
  <si>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</si>
  <si>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</si>
  <si>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</si>
  <si>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</si>
  <si>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</si>
  <si>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</si>
  <si>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</si>
  <si>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</si>
  <si>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</si>
  <si>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</si>
  <si>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</si>
  <si>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</si>
  <si>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</si>
  <si>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</si>
  <si>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</si>
  <si>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</si>
  <si>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</si>
  <si>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</si>
  <si>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</si>
  <si>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</si>
  <si>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</si>
  <si>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</si>
  <si>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</si>
  <si>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</si>
  <si>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</si>
  <si>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</si>
  <si>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</si>
  <si>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</si>
  <si>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</si>
  <si>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</si>
  <si>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</si>
  <si>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</si>
  <si>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</si>
  <si>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</si>
  <si>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</si>
  <si>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</si>
  <si>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</si>
  <si>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</si>
  <si>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</si>
  <si>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</si>
  <si>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</si>
  <si>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</si>
  <si>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</si>
  <si>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</si>
  <si>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</si>
  <si>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</si>
  <si>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</si>
  <si>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</si>
  <si>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</si>
  <si>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</si>
  <si>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</si>
  <si>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</si>
  <si>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</si>
  <si>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</si>
  <si>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</si>
  <si>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</si>
  <si>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</si>
  <si>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</si>
  <si>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</si>
  <si>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令和2年
3月</t>
  </si>
  <si>
    <t>令和3年
3月</t>
  </si>
  <si>
    <t>訪問型サービスＢ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</si>
  <si>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</si>
  <si>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</si>
  <si>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</si>
  <si>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</si>
  <si>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</si>
  <si>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</si>
  <si>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</si>
  <si>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</si>
  <si>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</si>
  <si>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</si>
  <si>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</si>
  <si>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</si>
  <si>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</si>
  <si>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</si>
  <si>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</si>
  <si>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</si>
  <si>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</si>
  <si>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</si>
  <si>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</si>
  <si>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</si>
  <si>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</si>
  <si>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</si>
  <si>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</si>
  <si>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</si>
  <si>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</si>
  <si>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</si>
  <si>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</si>
  <si>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</si>
  <si>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</si>
  <si>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</si>
  <si>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</si>
  <si>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</si>
  <si>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</si>
  <si>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</si>
  <si>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</si>
  <si>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</si>
  <si>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</si>
  <si>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</si>
  <si>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</si>
  <si>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</si>
  <si>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</si>
  <si>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</si>
  <si>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</si>
  <si>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</si>
  <si>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</si>
  <si>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</si>
  <si>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</si>
  <si>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</si>
  <si>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</si>
  <si>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</si>
  <si>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</si>
  <si>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</si>
  <si>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</si>
  <si>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</si>
  <si>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</si>
  <si>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</si>
  <si>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</si>
  <si>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</si>
  <si>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</si>
  <si>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訪問型サービスＢ実施延べ件数【65歳以上人口1万対】</t>
  </si>
  <si>
    <t>令和3年3月(2021年3月)</t>
  </si>
  <si>
    <t>小野町</t>
  </si>
  <si>
    <t>延べ件数</t>
  </si>
  <si>
    <t>件[65歳以上人口1万対]</t>
  </si>
  <si>
    <t>厚生労働省「介護予防・日常生活支援総合事業（地域支援事業）の実施状況に関する調査結果」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</si>
  <si>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</si>
  <si>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</si>
  <si>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</si>
  <si>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（件[65歳以上人口1万対]）</t>
  </si>
  <si>
    <t>訪問型サービスＢ実施延べ件数</t>
  </si>
  <si>
    <t>（人）</t>
  </si>
  <si>
    <t>65歳以上人口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</si>
</sst>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2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177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>
      <alignment vertical="center" horizontal="right"/>
    </xf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>
      <alignment vertical="center" horizontal="right"/>
    </xf>
    <xf numFmtId="0" fontId="128" fillId="0" borderId="5" xfId="0" applyBorder="true" applyFont="true"/>
    <xf numFmtId="3" fontId="128" fillId="0" borderId="5" xfId="0" applyBorder="true" applyFont="true" applyNumberFormat="true">
      <alignment shrinkToFit="true"/>
    </xf>
    <xf numFmtId="0" fontId="128" fillId="0" borderId="5" xfId="0" applyBorder="true" applyFont="true"/>
    <xf numFmtId="0" fontId="128" fillId="0" borderId="5" xfId="0" applyBorder="true" applyFont="true">
      <alignment vertical="center" horizontal="right"/>
    </xf>
    <xf numFmtId="177" fontId="129" fillId="0" borderId="5" xfId="0" applyBorder="true" applyFont="true" applyNumberFormat="true">
      <alignment shrinkToFit="true"/>
    </xf>
    <xf numFmtId="0" fontId="129" fillId="0" borderId="5" xfId="0" applyBorder="true" applyFont="true"/>
    <xf numFmtId="0" fontId="129" fillId="0" borderId="5" xfId="0" applyBorder="true" applyFont="true"/>
    <xf numFmtId="0" fontId="12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18.835937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870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871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872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873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874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875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876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877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878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879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880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881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882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883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884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885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886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887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888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889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890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891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892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893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894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895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896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897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898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899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900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901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902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903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904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905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906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907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908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909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910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911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912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913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914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915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916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917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918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919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920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921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922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923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924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925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926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927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928</v>
      </c>
      <c r="C256" s="267" t="n">
        <v>0.1</v>
      </c>
      <c r="D256" s="267" t="n">
        <v>0.2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935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訪問型サービスＢ実施延べ件数【65歳以上人口1万対】（小野町）</v>
      </c>
      <c r="B2" s="7" t="str">
        <f>"（注目する地域）" &amp; E2</f>
        <v>（注目する地域）小野町</v>
      </c>
      <c r="C2" s="8" t="s">
        <v>929</v>
      </c>
      <c r="D2" s="8" t="s">
        <v>930</v>
      </c>
      <c r="E2" s="8" t="s">
        <v>931</v>
      </c>
      <c r="F2" s="8" t="str">
        <f>IF(H2="",G2,G2 &amp; "（" &amp; H2 &amp; "）")</f>
        <v>延べ件数（件[65歳以上人口1万対]）</v>
      </c>
      <c r="G2" s="8" t="s">
        <v>932</v>
      </c>
      <c r="H2" s="8" t="s">
        <v>933</v>
      </c>
      <c r="I2" s="8" t="s">
        <v>934</v>
      </c>
      <c r="J2" s="7" t="str">
        <f>"（出典）" &amp; I2</f>
        <v>（出典）厚生労働省「介護予防・日常生活支援総合事業（地域支援事業）の実施状況に関する調査結果」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5.93359375" collapsed="false" bestFit="true"/>
    <col min="4" max="4" customWidth="true" style="10" width="29.269531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936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931</v>
      </c>
      <c r="C3" s="17" t="s">
        <v>929</v>
      </c>
      <c r="D3" s="12" t="s">
        <v>938</v>
      </c>
      <c r="E3" s="278" t="s">
        <v>937</v>
      </c>
      <c r="F3" s="278" t="s">
        <v>937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931</v>
      </c>
      <c r="C4" s="17" t="s">
        <v>939</v>
      </c>
      <c r="D4" s="12" t="s">
        <v>940</v>
      </c>
      <c r="E4" s="280" t="n">
        <v>408.0</v>
      </c>
      <c r="F4" s="280" t="n">
        <v>1051.0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931</v>
      </c>
      <c r="C5" s="17" t="s">
        <v>941</v>
      </c>
      <c r="D5" s="12" t="s">
        <v>940</v>
      </c>
      <c r="E5" s="286" t="s">
        <v>937</v>
      </c>
      <c r="F5" s="286" t="s">
        <v>937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927</v>
      </c>
      <c r="C6" s="17" t="s">
        <v>929</v>
      </c>
      <c r="D6" s="12" t="s">
        <v>938</v>
      </c>
      <c r="E6" s="290" t="s">
        <v>937</v>
      </c>
      <c r="F6" s="290" t="s">
        <v>937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926</v>
      </c>
      <c r="C7" s="17" t="s">
        <v>929</v>
      </c>
      <c r="D7" s="12" t="s">
        <v>938</v>
      </c>
      <c r="E7" s="294" t="s">
        <v>937</v>
      </c>
      <c r="F7" s="294" t="s">
        <v>937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925</v>
      </c>
      <c r="C8" s="17" t="s">
        <v>929</v>
      </c>
      <c r="D8" s="12" t="s">
        <v>938</v>
      </c>
      <c r="E8" s="298" t="s">
        <v>937</v>
      </c>
      <c r="F8" s="298" t="s">
        <v>937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924</v>
      </c>
      <c r="C9" s="17" t="s">
        <v>929</v>
      </c>
      <c r="D9" s="12" t="s">
        <v>938</v>
      </c>
      <c r="E9" s="302" t="s">
        <v>937</v>
      </c>
      <c r="F9" s="302" t="s">
        <v>937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923</v>
      </c>
      <c r="C10" s="17" t="s">
        <v>929</v>
      </c>
      <c r="D10" s="12" t="s">
        <v>938</v>
      </c>
      <c r="E10" s="306" t="s">
        <v>937</v>
      </c>
      <c r="F10" s="306" t="s">
        <v>937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922</v>
      </c>
      <c r="C11" s="17" t="s">
        <v>929</v>
      </c>
      <c r="D11" s="12" t="s">
        <v>938</v>
      </c>
      <c r="E11" s="310" t="s">
        <v>937</v>
      </c>
      <c r="F11" s="310" t="s">
        <v>937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921</v>
      </c>
      <c r="C12" s="17" t="s">
        <v>929</v>
      </c>
      <c r="D12" s="12" t="s">
        <v>938</v>
      </c>
      <c r="E12" s="314" t="s">
        <v>937</v>
      </c>
      <c r="F12" s="314" t="s">
        <v>937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920</v>
      </c>
      <c r="C13" s="17" t="s">
        <v>929</v>
      </c>
      <c r="D13" s="12" t="s">
        <v>938</v>
      </c>
      <c r="E13" s="318" t="s">
        <v>937</v>
      </c>
      <c r="F13" s="318" t="s">
        <v>937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919</v>
      </c>
      <c r="C14" s="17" t="s">
        <v>929</v>
      </c>
      <c r="D14" s="12" t="s">
        <v>938</v>
      </c>
      <c r="E14" s="322" t="s">
        <v>937</v>
      </c>
      <c r="F14" s="322" t="s">
        <v>937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918</v>
      </c>
      <c r="C15" s="17" t="s">
        <v>929</v>
      </c>
      <c r="D15" s="12" t="s">
        <v>938</v>
      </c>
      <c r="E15" s="326" t="s">
        <v>937</v>
      </c>
      <c r="F15" s="326" t="s">
        <v>937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917</v>
      </c>
      <c r="C16" s="17" t="s">
        <v>929</v>
      </c>
      <c r="D16" s="12" t="s">
        <v>938</v>
      </c>
      <c r="E16" s="330" t="s">
        <v>937</v>
      </c>
      <c r="F16" s="330" t="s">
        <v>937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916</v>
      </c>
      <c r="C17" s="17" t="s">
        <v>929</v>
      </c>
      <c r="D17" s="12" t="s">
        <v>938</v>
      </c>
      <c r="E17" s="334" t="s">
        <v>937</v>
      </c>
      <c r="F17" s="334" t="s">
        <v>937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915</v>
      </c>
      <c r="C18" s="17" t="s">
        <v>929</v>
      </c>
      <c r="D18" s="12" t="s">
        <v>938</v>
      </c>
      <c r="E18" s="338" t="s">
        <v>937</v>
      </c>
      <c r="F18" s="338" t="s">
        <v>937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914</v>
      </c>
      <c r="C19" s="17" t="s">
        <v>929</v>
      </c>
      <c r="D19" s="12" t="s">
        <v>938</v>
      </c>
      <c r="E19" s="342" t="s">
        <v>937</v>
      </c>
      <c r="F19" s="342" t="s">
        <v>937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913</v>
      </c>
      <c r="C20" s="17" t="s">
        <v>929</v>
      </c>
      <c r="D20" s="12" t="s">
        <v>938</v>
      </c>
      <c r="E20" s="346" t="s">
        <v>937</v>
      </c>
      <c r="F20" s="346" t="s">
        <v>937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912</v>
      </c>
      <c r="C21" s="17" t="s">
        <v>929</v>
      </c>
      <c r="D21" s="12" t="s">
        <v>938</v>
      </c>
      <c r="E21" s="350" t="s">
        <v>937</v>
      </c>
      <c r="F21" s="350" t="s">
        <v>937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911</v>
      </c>
      <c r="C22" s="17" t="s">
        <v>929</v>
      </c>
      <c r="D22" s="12" t="s">
        <v>938</v>
      </c>
      <c r="E22" s="354" t="s">
        <v>937</v>
      </c>
      <c r="F22" s="354" t="s">
        <v>937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910</v>
      </c>
      <c r="C23" s="17" t="s">
        <v>929</v>
      </c>
      <c r="D23" s="12" t="s">
        <v>938</v>
      </c>
      <c r="E23" s="358" t="s">
        <v>937</v>
      </c>
      <c r="F23" s="358" t="s">
        <v>937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909</v>
      </c>
      <c r="C24" s="17" t="s">
        <v>929</v>
      </c>
      <c r="D24" s="12" t="s">
        <v>938</v>
      </c>
      <c r="E24" s="362" t="s">
        <v>937</v>
      </c>
      <c r="F24" s="362" t="s">
        <v>937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908</v>
      </c>
      <c r="C25" s="17" t="s">
        <v>929</v>
      </c>
      <c r="D25" s="12" t="s">
        <v>938</v>
      </c>
      <c r="E25" s="366" t="s">
        <v>937</v>
      </c>
      <c r="F25" s="366" t="s">
        <v>937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907</v>
      </c>
      <c r="C26" s="17" t="s">
        <v>929</v>
      </c>
      <c r="D26" s="12" t="s">
        <v>938</v>
      </c>
      <c r="E26" s="370" t="s">
        <v>937</v>
      </c>
      <c r="F26" s="370" t="s">
        <v>937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906</v>
      </c>
      <c r="C27" s="17" t="s">
        <v>929</v>
      </c>
      <c r="D27" s="12" t="s">
        <v>938</v>
      </c>
      <c r="E27" s="374" t="s">
        <v>937</v>
      </c>
      <c r="F27" s="374" t="s">
        <v>937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905</v>
      </c>
      <c r="C28" s="17" t="s">
        <v>929</v>
      </c>
      <c r="D28" s="12" t="s">
        <v>938</v>
      </c>
      <c r="E28" s="378" t="s">
        <v>937</v>
      </c>
      <c r="F28" s="378" t="s">
        <v>937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904</v>
      </c>
      <c r="C29" s="17" t="s">
        <v>929</v>
      </c>
      <c r="D29" s="12" t="s">
        <v>938</v>
      </c>
      <c r="E29" s="382" t="s">
        <v>937</v>
      </c>
      <c r="F29" s="382" t="s">
        <v>937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903</v>
      </c>
      <c r="C30" s="17" t="s">
        <v>929</v>
      </c>
      <c r="D30" s="12" t="s">
        <v>938</v>
      </c>
      <c r="E30" s="386" t="s">
        <v>937</v>
      </c>
      <c r="F30" s="386" t="s">
        <v>937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902</v>
      </c>
      <c r="C31" s="17" t="s">
        <v>929</v>
      </c>
      <c r="D31" s="12" t="s">
        <v>938</v>
      </c>
      <c r="E31" s="390" t="s">
        <v>937</v>
      </c>
      <c r="F31" s="390" t="s">
        <v>937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901</v>
      </c>
      <c r="C32" s="17" t="s">
        <v>929</v>
      </c>
      <c r="D32" s="12" t="s">
        <v>938</v>
      </c>
      <c r="E32" s="394" t="s">
        <v>937</v>
      </c>
      <c r="F32" s="394" t="s">
        <v>937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900</v>
      </c>
      <c r="C33" s="17" t="s">
        <v>929</v>
      </c>
      <c r="D33" s="12" t="s">
        <v>938</v>
      </c>
      <c r="E33" s="398" t="s">
        <v>937</v>
      </c>
      <c r="F33" s="398" t="s">
        <v>937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899</v>
      </c>
      <c r="C34" s="17" t="s">
        <v>929</v>
      </c>
      <c r="D34" s="12" t="s">
        <v>938</v>
      </c>
      <c r="E34" s="402" t="s">
        <v>937</v>
      </c>
      <c r="F34" s="402" t="s">
        <v>937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898</v>
      </c>
      <c r="C35" s="17" t="s">
        <v>929</v>
      </c>
      <c r="D35" s="12" t="s">
        <v>938</v>
      </c>
      <c r="E35" s="406" t="s">
        <v>937</v>
      </c>
      <c r="F35" s="406" t="s">
        <v>937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897</v>
      </c>
      <c r="C36" s="17" t="s">
        <v>929</v>
      </c>
      <c r="D36" s="12" t="s">
        <v>938</v>
      </c>
      <c r="E36" s="410" t="s">
        <v>937</v>
      </c>
      <c r="F36" s="410" t="s">
        <v>937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896</v>
      </c>
      <c r="C37" s="17" t="s">
        <v>929</v>
      </c>
      <c r="D37" s="12" t="s">
        <v>938</v>
      </c>
      <c r="E37" s="414" t="s">
        <v>937</v>
      </c>
      <c r="F37" s="414" t="s">
        <v>937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895</v>
      </c>
      <c r="C38" s="17" t="s">
        <v>929</v>
      </c>
      <c r="D38" s="12" t="s">
        <v>938</v>
      </c>
      <c r="E38" s="418" t="s">
        <v>937</v>
      </c>
      <c r="F38" s="418" t="s">
        <v>937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894</v>
      </c>
      <c r="C39" s="17" t="s">
        <v>929</v>
      </c>
      <c r="D39" s="12" t="s">
        <v>938</v>
      </c>
      <c r="E39" s="422" t="s">
        <v>937</v>
      </c>
      <c r="F39" s="422" t="s">
        <v>937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893</v>
      </c>
      <c r="C40" s="17" t="s">
        <v>929</v>
      </c>
      <c r="D40" s="12" t="s">
        <v>938</v>
      </c>
      <c r="E40" s="426" t="s">
        <v>937</v>
      </c>
      <c r="F40" s="426" t="s">
        <v>937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892</v>
      </c>
      <c r="C41" s="17" t="s">
        <v>929</v>
      </c>
      <c r="D41" s="12" t="s">
        <v>938</v>
      </c>
      <c r="E41" s="430" t="s">
        <v>937</v>
      </c>
      <c r="F41" s="430" t="s">
        <v>937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891</v>
      </c>
      <c r="C42" s="17" t="s">
        <v>929</v>
      </c>
      <c r="D42" s="12" t="s">
        <v>938</v>
      </c>
      <c r="E42" s="434" t="s">
        <v>937</v>
      </c>
      <c r="F42" s="434" t="s">
        <v>937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890</v>
      </c>
      <c r="C43" s="17" t="s">
        <v>929</v>
      </c>
      <c r="D43" s="12" t="s">
        <v>938</v>
      </c>
      <c r="E43" s="438" t="s">
        <v>937</v>
      </c>
      <c r="F43" s="438" t="s">
        <v>937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889</v>
      </c>
      <c r="C44" s="17" t="s">
        <v>929</v>
      </c>
      <c r="D44" s="12" t="s">
        <v>938</v>
      </c>
      <c r="E44" s="442" t="s">
        <v>937</v>
      </c>
      <c r="F44" s="442" t="s">
        <v>937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888</v>
      </c>
      <c r="C45" s="17" t="s">
        <v>929</v>
      </c>
      <c r="D45" s="12" t="s">
        <v>938</v>
      </c>
      <c r="E45" s="446" t="s">
        <v>937</v>
      </c>
      <c r="F45" s="446" t="s">
        <v>937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887</v>
      </c>
      <c r="C46" s="17" t="s">
        <v>929</v>
      </c>
      <c r="D46" s="12" t="s">
        <v>938</v>
      </c>
      <c r="E46" s="450" t="s">
        <v>937</v>
      </c>
      <c r="F46" s="450" t="s">
        <v>937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886</v>
      </c>
      <c r="C47" s="17" t="s">
        <v>929</v>
      </c>
      <c r="D47" s="12" t="s">
        <v>938</v>
      </c>
      <c r="E47" s="454" t="s">
        <v>937</v>
      </c>
      <c r="F47" s="454" t="s">
        <v>937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885</v>
      </c>
      <c r="C48" s="17" t="s">
        <v>929</v>
      </c>
      <c r="D48" s="12" t="s">
        <v>938</v>
      </c>
      <c r="E48" s="458" t="s">
        <v>937</v>
      </c>
      <c r="F48" s="458" t="s">
        <v>937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884</v>
      </c>
      <c r="C49" s="17" t="s">
        <v>929</v>
      </c>
      <c r="D49" s="12" t="s">
        <v>938</v>
      </c>
      <c r="E49" s="462" t="s">
        <v>937</v>
      </c>
      <c r="F49" s="462" t="s">
        <v>937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883</v>
      </c>
      <c r="C50" s="17" t="s">
        <v>929</v>
      </c>
      <c r="D50" s="12" t="s">
        <v>938</v>
      </c>
      <c r="E50" s="466" t="s">
        <v>937</v>
      </c>
      <c r="F50" s="466" t="s">
        <v>937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882</v>
      </c>
      <c r="C51" s="17" t="s">
        <v>929</v>
      </c>
      <c r="D51" s="12" t="s">
        <v>938</v>
      </c>
      <c r="E51" s="470" t="s">
        <v>937</v>
      </c>
      <c r="F51" s="470" t="s">
        <v>937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881</v>
      </c>
      <c r="C52" s="17" t="s">
        <v>929</v>
      </c>
      <c r="D52" s="12" t="s">
        <v>938</v>
      </c>
      <c r="E52" s="474" t="s">
        <v>937</v>
      </c>
      <c r="F52" s="474" t="s">
        <v>937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880</v>
      </c>
      <c r="C53" s="17" t="s">
        <v>929</v>
      </c>
      <c r="D53" s="12" t="s">
        <v>938</v>
      </c>
      <c r="E53" s="478" t="s">
        <v>937</v>
      </c>
      <c r="F53" s="478" t="s">
        <v>937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879</v>
      </c>
      <c r="C54" s="17" t="s">
        <v>929</v>
      </c>
      <c r="D54" s="12" t="s">
        <v>938</v>
      </c>
      <c r="E54" s="482" t="s">
        <v>937</v>
      </c>
      <c r="F54" s="482" t="s">
        <v>937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878</v>
      </c>
      <c r="C55" s="17" t="s">
        <v>929</v>
      </c>
      <c r="D55" s="12" t="s">
        <v>938</v>
      </c>
      <c r="E55" s="486" t="s">
        <v>937</v>
      </c>
      <c r="F55" s="486" t="s">
        <v>937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877</v>
      </c>
      <c r="C56" s="17" t="s">
        <v>929</v>
      </c>
      <c r="D56" s="12" t="s">
        <v>938</v>
      </c>
      <c r="E56" s="490" t="s">
        <v>937</v>
      </c>
      <c r="F56" s="490" t="s">
        <v>937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876</v>
      </c>
      <c r="C57" s="17" t="s">
        <v>929</v>
      </c>
      <c r="D57" s="12" t="s">
        <v>938</v>
      </c>
      <c r="E57" s="494" t="s">
        <v>937</v>
      </c>
      <c r="F57" s="494" t="s">
        <v>937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875</v>
      </c>
      <c r="C58" s="17" t="s">
        <v>929</v>
      </c>
      <c r="D58" s="12" t="s">
        <v>938</v>
      </c>
      <c r="E58" s="498" t="s">
        <v>937</v>
      </c>
      <c r="F58" s="498" t="s">
        <v>937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874</v>
      </c>
      <c r="C59" s="17" t="s">
        <v>929</v>
      </c>
      <c r="D59" s="12" t="s">
        <v>938</v>
      </c>
      <c r="E59" s="502" t="s">
        <v>937</v>
      </c>
      <c r="F59" s="502" t="s">
        <v>937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873</v>
      </c>
      <c r="C60" s="17" t="s">
        <v>929</v>
      </c>
      <c r="D60" s="12" t="s">
        <v>938</v>
      </c>
      <c r="E60" s="506" t="s">
        <v>937</v>
      </c>
      <c r="F60" s="506" t="s">
        <v>937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872</v>
      </c>
      <c r="C61" s="17" t="s">
        <v>929</v>
      </c>
      <c r="D61" s="12" t="s">
        <v>938</v>
      </c>
      <c r="E61" s="510" t="s">
        <v>937</v>
      </c>
      <c r="F61" s="510" t="s">
        <v>937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871</v>
      </c>
      <c r="C62" s="17" t="s">
        <v>929</v>
      </c>
      <c r="D62" s="12" t="s">
        <v>938</v>
      </c>
      <c r="E62" s="514" t="s">
        <v>937</v>
      </c>
      <c r="F62" s="514" t="s">
        <v>937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>
      <c r="B63" s="17" t="s">
        <v>870</v>
      </c>
      <c r="C63" s="17" t="s">
        <v>929</v>
      </c>
      <c r="D63" s="12" t="s">
        <v>938</v>
      </c>
      <c r="E63" s="518" t="s">
        <v>937</v>
      </c>
      <c r="F63" s="518" t="s">
        <v>937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>
      <c r="B64" s="17" t="s">
        <v>928</v>
      </c>
      <c r="C64" s="17" t="s">
        <v>929</v>
      </c>
      <c r="D64" s="12" t="s">
        <v>938</v>
      </c>
      <c r="E64" s="519" t="n">
        <v>0.1</v>
      </c>
      <c r="F64" s="519" t="n">
        <v>0.2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（出典）厚生労働省「介護予防・日常生活支援総合事業（地域支援事業）の実施状況に関する調査結果」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