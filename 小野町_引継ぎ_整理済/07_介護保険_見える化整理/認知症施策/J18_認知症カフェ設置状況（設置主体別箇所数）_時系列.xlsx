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<sst xmlns="http://schemas.openxmlformats.org/spreadsheetml/2006/main" count="1280" uniqueCount="938">
  <si>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</si>
  <si>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</si>
  <si>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</si>
  <si>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</si>
  <si>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</si>
  <si>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</si>
  <si>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</si>
  <si>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</si>
  <si>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</si>
  <si>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</si>
  <si>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</si>
  <si>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</si>
  <si>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</si>
  <si>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</si>
  <si>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</si>
  <si>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</si>
  <si>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</si>
  <si>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</si>
  <si>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</si>
  <si>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</si>
  <si>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</si>
  <si>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</si>
  <si>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</si>
  <si>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</si>
  <si>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</si>
  <si>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</si>
  <si>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</si>
  <si>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</si>
  <si>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</si>
  <si>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</si>
  <si>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</si>
  <si>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</si>
  <si>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</si>
  <si>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</si>
  <si>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</si>
  <si>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</si>
  <si>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</si>
  <si>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</si>
  <si>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</si>
  <si>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</si>
  <si>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</si>
  <si>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</si>
  <si>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</si>
  <si>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</si>
  <si>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</si>
  <si>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</si>
  <si>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</si>
  <si>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</si>
  <si>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</si>
  <si>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</si>
  <si>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</si>
  <si>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</si>
  <si>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</si>
  <si>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</si>
  <si>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</si>
  <si>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</si>
  <si>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</si>
  <si>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</si>
  <si>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</si>
  <si>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</si>
  <si>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</si>
  <si>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</si>
  <si>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</si>
  <si>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</si>
  <si>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</si>
  <si>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</si>
  <si>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</si>
  <si>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</si>
  <si>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</si>
  <si>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</si>
  <si>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</si>
  <si>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</si>
  <si>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</si>
  <si>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</si>
  <si>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</si>
  <si>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</si>
  <si>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</si>
  <si>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</si>
  <si>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</si>
  <si>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</si>
  <si>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</si>
  <si>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</si>
  <si>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</si>
  <si>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</si>
  <si>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</si>
  <si>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</si>
  <si>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</si>
  <si>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</si>
  <si>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</si>
  <si>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</si>
  <si>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</si>
  <si>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</si>
  <si>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</si>
  <si>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</si>
  <si>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</si>
  <si>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</si>
  <si>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</si>
  <si>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</si>
  <si>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</si>
  <si>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</si>
  <si>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</si>
  <si>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</si>
  <si>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</si>
  <si>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</si>
  <si>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</si>
  <si>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</si>
  <si>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</si>
  <si>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</si>
  <si>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</si>
  <si>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</si>
  <si>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</si>
  <si>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</si>
  <si>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</si>
  <si>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</si>
  <si>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</si>
  <si>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</si>
  <si>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</si>
  <si>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</si>
  <si>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</si>
  <si>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</si>
  <si>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</si>
  <si>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</si>
  <si>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</si>
  <si>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</si>
  <si>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</si>
  <si>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</si>
  <si>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</si>
  <si>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</si>
  <si>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</si>
  <si>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</si>
  <si>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</si>
  <si>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</si>
  <si>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</si>
  <si>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</si>
  <si>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</si>
  <si>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</si>
  <si>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</si>
  <si>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</si>
  <si>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</si>
  <si>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</si>
  <si>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</si>
  <si>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</si>
  <si>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</si>
  <si>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</si>
  <si>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</si>
  <si>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</si>
  <si>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</si>
  <si>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</si>
  <si>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</si>
  <si>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</si>
  <si>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</si>
  <si>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</si>
  <si>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</si>
  <si>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</si>
  <si>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</si>
  <si>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</si>
  <si>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</si>
  <si>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</si>
  <si>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</si>
  <si>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</si>
  <si>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</si>
  <si>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</si>
  <si>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</si>
  <si>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</si>
  <si>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</si>
  <si>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</si>
  <si>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</si>
  <si>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</si>
  <si>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</si>
  <si>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</si>
  <si>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</si>
  <si>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</si>
  <si>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</si>
  <si>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</si>
  <si>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</si>
  <si>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</si>
  <si>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</si>
  <si>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</si>
  <si>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</si>
  <si>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</si>
  <si>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</si>
  <si>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</si>
  <si>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</si>
  <si>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</si>
  <si>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</si>
  <si>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</si>
  <si>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</si>
  <si>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</si>
  <si>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</si>
  <si>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</si>
  <si>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</si>
  <si>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</si>
  <si>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</si>
  <si>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</si>
  <si>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</si>
  <si>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</si>
  <si>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</si>
  <si>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</si>
  <si>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</si>
  <si>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</si>
  <si>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</si>
  <si>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</si>
  <si>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</si>
  <si>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</si>
  <si>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</si>
  <si>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</si>
  <si>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</si>
  <si>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</si>
  <si>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</si>
  <si>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</si>
  <si>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</si>
  <si>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</si>
  <si>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</si>
  <si>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</si>
  <si>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</si>
  <si>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</si>
  <si>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</si>
  <si>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</si>
  <si>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</si>
  <si>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</si>
  <si>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</si>
  <si>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</si>
  <si>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</si>
  <si>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</si>
  <si>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</si>
  <si>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</si>
  <si>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</si>
  <si>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</si>
  <si>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</si>
  <si>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</si>
  <si>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</si>
  <si>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</si>
  <si>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</si>
  <si>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</si>
  <si>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</si>
  <si>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</si>
  <si>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</si>
  <si>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</si>
  <si>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</si>
  <si>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</si>
  <si>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</si>
  <si>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</si>
  <si>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</si>
  <si>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</si>
  <si>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</si>
  <si>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</si>
  <si>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</si>
  <si>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</si>
  <si>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</si>
  <si>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</si>
  <si>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</si>
  <si>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</si>
  <si>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</si>
  <si>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</si>
  <si>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</si>
  <si>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</si>
  <si>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</si>
  <si>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</si>
  <si>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</si>
  <si>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</si>
  <si>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</si>
  <si>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</si>
  <si>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</si>
  <si>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</si>
  <si>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</si>
  <si>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</si>
  <si>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</si>
  <si>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</si>
  <si>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</si>
  <si>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</si>
  <si>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</si>
  <si>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</si>
  <si>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</si>
  <si>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</si>
  <si>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</si>
  <si>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</si>
  <si>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</si>
  <si>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</si>
  <si>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</si>
  <si>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</si>
  <si>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</si>
  <si>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</si>
  <si>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</si>
  <si>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</si>
  <si>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</si>
  <si>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</si>
  <si>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</si>
  <si>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</si>
  <si>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</si>
  <si>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</si>
  <si>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</si>
  <si>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</si>
  <si>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</si>
  <si>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</si>
  <si>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</si>
  <si>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</si>
  <si>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</si>
  <si>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</si>
  <si>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</si>
  <si>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</si>
  <si>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</si>
  <si>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</si>
  <si>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</si>
  <si>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</si>
  <si>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</si>
  <si>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</si>
  <si>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</si>
  <si>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</si>
  <si>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</si>
  <si>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</si>
  <si>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</si>
  <si>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</si>
  <si>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</si>
  <si>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</si>
  <si>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</si>
  <si>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</si>
  <si>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</si>
  <si>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</si>
  <si>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</si>
  <si>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</si>
  <si>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</si>
  <si>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</si>
  <si>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</si>
  <si>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</si>
  <si>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</si>
  <si>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</si>
  <si>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</si>
  <si>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</si>
  <si>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</si>
  <si>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</si>
  <si>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</si>
  <si>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</si>
  <si>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</si>
  <si>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</si>
  <si>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</si>
  <si>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</si>
  <si>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</si>
  <si>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</si>
  <si>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</si>
  <si>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</si>
  <si>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</si>
  <si>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</si>
  <si>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</si>
  <si>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</si>
  <si>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</si>
  <si>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</si>
  <si>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</si>
  <si>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</si>
  <si>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</si>
  <si>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</si>
  <si>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</si>
  <si>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</si>
  <si>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</si>
  <si>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</si>
  <si>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</si>
  <si>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</si>
  <si>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</si>
  <si>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</si>
  <si>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</si>
  <si>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</si>
  <si>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</si>
  <si>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</si>
  <si>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</si>
  <si>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</si>
  <si>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</si>
  <si>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</si>
  <si>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</si>
  <si>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</si>
  <si>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</si>
  <si>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</si>
  <si>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</si>
  <si>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</si>
  <si>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</si>
  <si>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</si>
  <si>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</si>
  <si>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</si>
  <si>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</si>
  <si>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</si>
  <si>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</si>
  <si>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</si>
  <si>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</si>
  <si>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</si>
  <si>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</si>
  <si>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</si>
  <si>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</si>
  <si>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</si>
  <si>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</si>
  <si>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</si>
  <si>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</si>
  <si>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</si>
  <si>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</si>
  <si>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</si>
  <si>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</si>
  <si>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</si>
  <si>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</si>
  <si>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</si>
  <si>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</si>
  <si>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</si>
  <si>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</si>
  <si>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</si>
  <si>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</si>
  <si>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</si>
  <si>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</si>
  <si>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</si>
  <si>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</si>
  <si>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</si>
  <si>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</si>
  <si>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</si>
  <si>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</si>
  <si>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</si>
  <si>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</si>
  <si>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</si>
  <si>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</si>
  <si>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</si>
  <si>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</si>
  <si>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</si>
  <si>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</si>
  <si>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</si>
  <si>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</si>
  <si>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</si>
  <si>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</si>
  <si>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</si>
  <si>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</si>
  <si>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</si>
  <si>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</si>
  <si>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</si>
  <si>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</si>
  <si>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</si>
  <si>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</si>
  <si>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</si>
  <si>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</si>
  <si>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</si>
  <si>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</si>
  <si>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</si>
  <si>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</si>
  <si>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</si>
  <si>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</si>
  <si>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</si>
  <si>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</si>
  <si>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</si>
  <si>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</si>
  <si>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</si>
  <si>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</si>
  <si>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</si>
  <si>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</si>
  <si>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</si>
  <si>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</si>
  <si>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</si>
  <si>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</si>
  <si>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</si>
  <si>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</si>
  <si>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</si>
  <si>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</si>
  <si>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</si>
  <si>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</si>
  <si>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</si>
  <si>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</si>
  <si>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</si>
  <si>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</si>
  <si>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</si>
  <si>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</si>
  <si>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</si>
  <si>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</si>
  <si>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</si>
  <si>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</si>
  <si>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</si>
  <si>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</si>
  <si>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</si>
  <si>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</si>
  <si>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</si>
  <si>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</si>
  <si>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</si>
  <si>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</si>
  <si>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</si>
  <si>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</si>
  <si>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</si>
  <si>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</si>
  <si>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</si>
  <si>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</si>
  <si>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</si>
  <si>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</si>
  <si>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</si>
  <si>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</si>
  <si>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</si>
  <si>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</si>
  <si>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</si>
  <si>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</si>
  <si>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</si>
  <si>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</si>
  <si>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</si>
  <si>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</si>
  <si>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</si>
  <si>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</si>
  <si>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</si>
  <si>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</si>
  <si>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</si>
  <si>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</si>
  <si>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</si>
  <si>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</si>
  <si>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</si>
  <si>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</si>
  <si>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</si>
  <si>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</si>
  <si>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</si>
  <si>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</si>
  <si>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</si>
  <si>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</si>
  <si>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</si>
  <si>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</si>
  <si>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</si>
  <si>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</si>
  <si>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</si>
  <si>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</si>
  <si>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</si>
  <si>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</si>
  <si>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</si>
  <si>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</si>
  <si>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</si>
  <si>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</si>
  <si>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</si>
  <si>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</si>
  <si>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</si>
  <si>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</si>
  <si>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</si>
  <si>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</si>
  <si>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</si>
  <si>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</si>
  <si>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</si>
  <si>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</si>
  <si>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</si>
  <si>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</si>
  <si>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</si>
  <si>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</si>
  <si>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</si>
  <si>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</si>
  <si>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</si>
  <si>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</si>
  <si>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</si>
  <si>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</si>
  <si>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</si>
  <si>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</si>
  <si>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</si>
  <si>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</si>
  <si>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</si>
  <si>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</si>
  <si>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</si>
  <si>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</si>
  <si>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</si>
  <si>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</si>
  <si>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</si>
  <si>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</si>
  <si>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</si>
  <si>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</si>
  <si>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</si>
  <si>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</si>
  <si>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</si>
  <si>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</si>
  <si>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</si>
  <si>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</si>
  <si>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</si>
  <si>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</si>
  <si>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</si>
  <si>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</si>
  <si>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</si>
  <si>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</si>
  <si>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</si>
  <si>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</si>
  <si>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</si>
  <si>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</si>
  <si>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</si>
  <si>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</si>
  <si>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</si>
  <si>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</si>
  <si>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</si>
  <si>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</si>
  <si>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</si>
  <si>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</si>
  <si>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</si>
  <si>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</si>
  <si>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</si>
  <si>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</si>
  <si>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</si>
  <si>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</si>
  <si>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</si>
  <si>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</si>
  <si>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</si>
  <si>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</si>
  <si>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</si>
  <si>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</si>
  <si>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</si>
  <si>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</si>
  <si>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</si>
  <si>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</si>
  <si>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</si>
  <si>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</si>
  <si>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</si>
  <si>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</si>
  <si>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</si>
  <si>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</si>
  <si>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</si>
  <si>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</si>
  <si>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</si>
  <si>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</si>
  <si>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</si>
  <si>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</si>
  <si>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</si>
  <si>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</si>
  <si>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</si>
  <si>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</si>
  <si>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</si>
  <si>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</si>
  <si>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</si>
  <si>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</si>
  <si>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</si>
  <si>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</si>
  <si>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</si>
  <si>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</si>
  <si>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</si>
  <si>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</si>
  <si>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</si>
  <si>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</si>
  <si>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</si>
  <si>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</si>
  <si>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</si>
  <si>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</si>
  <si>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</si>
  <si>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</si>
  <si>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</si>
  <si>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</si>
  <si>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</si>
  <si>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</si>
  <si>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</si>
  <si>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</si>
  <si>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</si>
  <si>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</si>
  <si>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</si>
  <si>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</si>
  <si>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</si>
  <si>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</si>
  <si>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</si>
  <si>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</si>
  <si>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</si>
  <si>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</si>
  <si>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</si>
  <si>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</si>
  <si>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</si>
  <si>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</si>
  <si>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</si>
  <si>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</si>
  <si>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</si>
  <si>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</si>
  <si>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</si>
  <si>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</si>
  <si>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</si>
  <si>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</si>
  <si>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</si>
  <si>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</si>
  <si>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</si>
  <si>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</si>
  <si>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</si>
  <si>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</si>
  <si>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</si>
  <si>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</si>
  <si>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</si>
  <si>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</si>
  <si>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</si>
  <si>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</si>
  <si>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</si>
  <si>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</si>
  <si>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</si>
  <si>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</si>
  <si>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</si>
  <si>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</si>
  <si>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</si>
  <si>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</si>
  <si>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</si>
  <si>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</si>
  <si>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</si>
  <si>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</si>
  <si>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</si>
  <si>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</si>
  <si>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</si>
  <si>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</si>
  <si>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</si>
  <si>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</si>
  <si>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</si>
  <si>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</si>
  <si>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</si>
  <si>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</si>
  <si>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</si>
  <si>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</si>
  <si>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</si>
  <si>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</si>
  <si>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</si>
  <si>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</si>
  <si>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</si>
  <si>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</si>
  <si>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</si>
  <si>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</si>
  <si>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</si>
  <si>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</si>
  <si>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</si>
  <si>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</si>
  <si>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</si>
  <si>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</si>
  <si>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</si>
  <si>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</si>
  <si>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</si>
  <si>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</si>
  <si>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</si>
  <si>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</si>
  <si>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</si>
  <si>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</si>
  <si>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</si>
  <si>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</si>
  <si>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</si>
  <si>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</si>
  <si>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</si>
  <si>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</si>
  <si>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</si>
  <si>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</si>
  <si>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</si>
  <si>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</si>
  <si>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</si>
  <si>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</si>
  <si>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</si>
  <si>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</si>
  <si>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</si>
  <si>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</si>
  <si>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</si>
  <si>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</si>
  <si>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</si>
  <si>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</si>
  <si>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</si>
  <si>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</si>
  <si>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</si>
  <si>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</si>
  <si>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</si>
  <si>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</si>
  <si>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</si>
  <si>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</si>
  <si>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</si>
  <si>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</si>
  <si>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</si>
  <si>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</si>
  <si>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</si>
  <si>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</si>
  <si>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</si>
  <si>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</si>
  <si>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</si>
  <si>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</si>
  <si>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</si>
  <si>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</si>
  <si>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</si>
  <si>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</si>
  <si>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</si>
  <si>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</si>
  <si>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</si>
  <si>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</si>
  <si>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</si>
  <si>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</si>
  <si>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</si>
  <si>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</si>
  <si>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</si>
  <si>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</si>
  <si>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</si>
  <si>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</si>
  <si>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</si>
  <si>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</si>
  <si>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</si>
  <si>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</si>
  <si>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</si>
  <si>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</si>
  <si>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</si>
  <si>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</si>
  <si>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</si>
  <si>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</si>
  <si>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</si>
  <si>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</si>
  <si>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</si>
  <si>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</si>
  <si>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</si>
  <si>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</si>
  <si>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</si>
  <si>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</si>
  <si>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</si>
  <si>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</si>
  <si>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</si>
  <si>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</si>
  <si>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</si>
  <si>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</si>
  <si>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</si>
  <si>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</si>
  <si>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</si>
  <si>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</si>
  <si>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</si>
  <si>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</si>
  <si>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</si>
  <si>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</si>
  <si>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</si>
  <si>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</si>
  <si>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</si>
  <si>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</si>
  <si>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</si>
  <si>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</si>
  <si>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</si>
  <si>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</si>
  <si>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</si>
  <si>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</si>
  <si>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</si>
  <si>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</si>
  <si>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</si>
  <si>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</si>
  <si>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</si>
  <si>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</si>
  <si>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</si>
  <si>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</si>
  <si>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</si>
  <si>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</si>
  <si>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</si>
  <si>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</si>
  <si>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</si>
  <si>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</si>
  <si>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</si>
  <si>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</si>
  <si>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</si>
  <si>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</si>
  <si>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</si>
  <si>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</si>
  <si>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</si>
  <si>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</si>
  <si>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</si>
  <si>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</si>
  <si>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</si>
  <si>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</si>
  <si>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</si>
  <si>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</si>
  <si>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</si>
  <si>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</si>
  <si>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</si>
  <si>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</si>
  <si>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</si>
  <si>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</si>
  <si>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</si>
  <si>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</si>
  <si>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</si>
  <si>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</si>
  <si>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</si>
  <si>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</si>
  <si>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</si>
  <si>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</si>
  <si>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</si>
  <si>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</si>
  <si>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</si>
  <si>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</si>
  <si>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</si>
  <si>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</si>
  <si>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</si>
  <si>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</si>
  <si>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</si>
  <si>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</si>
  <si>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</si>
  <si>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</si>
  <si>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</si>
  <si>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</si>
  <si>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</si>
  <si>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</si>
  <si>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令和3年
4月</t>
  </si>
  <si>
    <t>令和6年
4月</t>
  </si>
  <si>
    <t>設置主体別箇所数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</si>
  <si>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</si>
  <si>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</si>
  <si>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</si>
  <si>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</si>
  <si>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</si>
  <si>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</si>
  <si>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</si>
  <si>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</si>
  <si>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</si>
  <si>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</si>
  <si>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</si>
  <si>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</si>
  <si>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</si>
  <si>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</si>
  <si>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</si>
  <si>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</si>
  <si>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</si>
  <si>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</si>
  <si>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</si>
  <si>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</si>
  <si>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</si>
  <si>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</si>
  <si>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</si>
  <si>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</si>
  <si>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</si>
  <si>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</si>
  <si>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</si>
  <si>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</si>
  <si>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</si>
  <si>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</si>
  <si>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</si>
  <si>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</si>
  <si>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</si>
  <si>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</si>
  <si>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</si>
  <si>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</si>
  <si>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</si>
  <si>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</si>
  <si>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</si>
  <si>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</si>
  <si>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</si>
  <si>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</si>
  <si>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</si>
  <si>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</si>
  <si>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</si>
  <si>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</si>
  <si>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</si>
  <si>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</si>
  <si>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</si>
  <si>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</si>
  <si>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</si>
  <si>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</si>
  <si>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</si>
  <si>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</si>
  <si>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</si>
  <si>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</si>
  <si>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</si>
  <si>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</si>
  <si>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</si>
  <si>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認知症カフェ設置状況（設置主体別箇所数）</t>
  </si>
  <si>
    <t>令和5年(2023年)</t>
  </si>
  <si>
    <t>小野町</t>
  </si>
  <si>
    <t>箇所数</t>
  </si>
  <si>
    <t>箇所</t>
  </si>
  <si>
    <t>厚生労働省「認知症総合支援事業等実施状況調べ」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</si>
  <si>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</si>
  <si>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</si>
  <si>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（箇所）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</si>
</sst>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18.83593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1.0</v>
      </c>
      <c r="D3" s="32" t="n">
        <v>1.0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870</v>
      </c>
      <c r="C36" s="36" t="n">
        <v>25.0</v>
      </c>
      <c r="D36" s="36" t="n">
        <v>25.0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871</v>
      </c>
      <c r="C37" s="40" t="n">
        <v>8.0</v>
      </c>
      <c r="D37" s="40" t="n">
        <v>7.0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872</v>
      </c>
      <c r="C38" s="44" t="n">
        <v>15.0</v>
      </c>
      <c r="D38" s="44" t="n">
        <v>17.0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873</v>
      </c>
      <c r="C39" s="48" t="n">
        <v>10.0</v>
      </c>
      <c r="D39" s="48" t="n">
        <v>12.0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874</v>
      </c>
      <c r="C40" s="52" t="n">
        <v>1.0</v>
      </c>
      <c r="D40" s="52" t="n">
        <v>1.0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875</v>
      </c>
      <c r="C41" s="56" t="n">
        <v>4.0</v>
      </c>
      <c r="D41" s="56" t="n">
        <v>4.0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876</v>
      </c>
      <c r="C42" s="60" t="n">
        <v>13.0</v>
      </c>
      <c r="D42" s="60" t="n">
        <v>13.0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877</v>
      </c>
      <c r="C43" s="64" t="n">
        <v>1.0</v>
      </c>
      <c r="D43" s="64" t="n">
        <v>1.0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878</v>
      </c>
      <c r="C44" s="68" t="n">
        <v>7.0</v>
      </c>
      <c r="D44" s="68" t="n">
        <v>7.0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879</v>
      </c>
      <c r="C45" s="72" t="n">
        <v>3.0</v>
      </c>
      <c r="D45" s="72" t="n">
        <v>6.0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880</v>
      </c>
      <c r="C46" s="76" t="n">
        <v>1.0</v>
      </c>
      <c r="D46" s="76" t="n">
        <v>2.0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881</v>
      </c>
      <c r="C47" s="80" t="n">
        <v>14.0</v>
      </c>
      <c r="D47" s="80" t="n">
        <v>15.0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882</v>
      </c>
      <c r="C48" s="84" t="n">
        <v>3.0</v>
      </c>
      <c r="D48" s="84" t="n">
        <v>3.0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883</v>
      </c>
      <c r="C49" s="88" t="n">
        <v>1.0</v>
      </c>
      <c r="D49" s="88" t="n">
        <v>1.0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884</v>
      </c>
      <c r="C50" s="92" t="n">
        <v>0.0</v>
      </c>
      <c r="D50" s="92" t="n">
        <v>1.0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885</v>
      </c>
      <c r="C51" s="96" t="n">
        <v>1.0</v>
      </c>
      <c r="D51" s="96" t="n">
        <v>1.0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886</v>
      </c>
      <c r="C52" s="100" t="n">
        <v>1.0</v>
      </c>
      <c r="D52" s="100" t="n">
        <v>1.0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887</v>
      </c>
      <c r="C53" s="104" t="n">
        <v>1.0</v>
      </c>
      <c r="D53" s="104" t="n">
        <v>1.0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888</v>
      </c>
      <c r="C54" s="108" t="n">
        <v>2.0</v>
      </c>
      <c r="D54" s="108" t="n">
        <v>2.0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889</v>
      </c>
      <c r="C55" s="112" t="n">
        <v>1.0</v>
      </c>
      <c r="D55" s="112" t="n">
        <v>1.0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890</v>
      </c>
      <c r="C56" s="116" t="n">
        <v>0.0</v>
      </c>
      <c r="D56" s="116" t="n">
        <v>0.0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891</v>
      </c>
      <c r="C57" s="120" t="n">
        <v>0.0</v>
      </c>
      <c r="D57" s="120" t="n">
        <v>1.0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892</v>
      </c>
      <c r="C58" s="124" t="n">
        <v>2.0</v>
      </c>
      <c r="D58" s="124" t="n">
        <v>4.0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893</v>
      </c>
      <c r="C59" s="128" t="n">
        <v>0.0</v>
      </c>
      <c r="D59" s="128" t="n">
        <v>1.0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894</v>
      </c>
      <c r="C60" s="132" t="n">
        <v>1.0</v>
      </c>
      <c r="D60" s="132" t="n">
        <v>1.0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895</v>
      </c>
      <c r="C61" s="136" t="n">
        <v>1.0</v>
      </c>
      <c r="D61" s="136" t="n">
        <v>1.0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896</v>
      </c>
      <c r="C62" s="140" t="n">
        <v>3.0</v>
      </c>
      <c r="D62" s="140" t="n">
        <v>1.0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897</v>
      </c>
      <c r="C63" s="144" t="n">
        <v>3.0</v>
      </c>
      <c r="D63" s="144" t="n">
        <v>2.0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898</v>
      </c>
      <c r="C64" s="148" t="n">
        <v>1.0</v>
      </c>
      <c r="D64" s="148" t="n">
        <v>1.0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899</v>
      </c>
      <c r="C65" s="152" t="n">
        <v>2.0</v>
      </c>
      <c r="D65" s="152" t="n">
        <v>1.0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900</v>
      </c>
      <c r="C66" s="156" t="n">
        <v>1.0</v>
      </c>
      <c r="D66" s="156" t="n">
        <v>1.0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901</v>
      </c>
      <c r="C67" s="160" t="n">
        <v>0.0</v>
      </c>
      <c r="D67" s="160" t="n">
        <v>1.0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902</v>
      </c>
      <c r="C68" s="164" t="n">
        <v>2.0</v>
      </c>
      <c r="D68" s="164" t="n">
        <v>2.0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903</v>
      </c>
      <c r="C69" s="168" t="n">
        <v>3.0</v>
      </c>
      <c r="D69" s="168" t="n">
        <v>1.0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904</v>
      </c>
      <c r="C70" s="172" t="n">
        <v>1.0</v>
      </c>
      <c r="D70" s="172" t="n">
        <v>3.0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905</v>
      </c>
      <c r="C71" s="176" t="n">
        <v>0.0</v>
      </c>
      <c r="D71" s="176" t="n">
        <v>1.0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906</v>
      </c>
      <c r="C72" s="180" t="n">
        <v>1.0</v>
      </c>
      <c r="D72" s="180" t="n">
        <v>1.0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907</v>
      </c>
      <c r="C73" s="184" t="n">
        <v>1.0</v>
      </c>
      <c r="D73" s="184" t="n">
        <v>1.0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908</v>
      </c>
      <c r="C74" s="188" t="n">
        <v>1.0</v>
      </c>
      <c r="D74" s="188" t="n">
        <v>1.0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909</v>
      </c>
      <c r="C75" s="192" t="n">
        <v>1.0</v>
      </c>
      <c r="D75" s="192" t="n">
        <v>1.0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910</v>
      </c>
      <c r="C76" s="196" t="n">
        <v>1.0</v>
      </c>
      <c r="D76" s="196" t="n">
        <v>1.0</v>
      </c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911</v>
      </c>
      <c r="C77" s="200" t="n">
        <v>1.0</v>
      </c>
      <c r="D77" s="200" t="n">
        <v>1.0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912</v>
      </c>
      <c r="C78" s="204" t="n">
        <v>1.0</v>
      </c>
      <c r="D78" s="204" t="n">
        <v>1.0</v>
      </c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913</v>
      </c>
      <c r="C79" s="208" t="n">
        <v>1.0</v>
      </c>
      <c r="D79" s="208" t="n">
        <v>1.0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914</v>
      </c>
      <c r="C80" s="212" t="n">
        <v>1.0</v>
      </c>
      <c r="D80" s="212" t="n">
        <v>1.0</v>
      </c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915</v>
      </c>
      <c r="C81" s="216" t="n">
        <v>0.0</v>
      </c>
      <c r="D81" s="216" t="n">
        <v>1.0</v>
      </c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916</v>
      </c>
      <c r="C82" s="220" t="n">
        <v>1.0</v>
      </c>
      <c r="D82" s="220" t="n">
        <v>1.0</v>
      </c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917</v>
      </c>
      <c r="C83" s="224" t="n">
        <v>2.0</v>
      </c>
      <c r="D83" s="224" t="n">
        <v>2.0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918</v>
      </c>
      <c r="C84" s="228" t="n">
        <v>1.0</v>
      </c>
      <c r="D84" s="228" t="n">
        <v>1.0</v>
      </c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919</v>
      </c>
      <c r="C85" s="232" t="n">
        <v>1.0</v>
      </c>
      <c r="D85" s="232" t="n">
        <v>2.0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920</v>
      </c>
      <c r="C86" s="236" t="n">
        <v>1.0</v>
      </c>
      <c r="D86" s="236" t="n">
        <v>4.0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921</v>
      </c>
      <c r="C87" s="240" t="n">
        <v>1.0</v>
      </c>
      <c r="D87" s="240" t="n">
        <v>1.0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922</v>
      </c>
      <c r="C88" s="244" t="n">
        <v>1.0</v>
      </c>
      <c r="D88" s="244" t="n">
        <v>1.0</v>
      </c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923</v>
      </c>
      <c r="C89" s="248" t="n">
        <v>1.0</v>
      </c>
      <c r="D89" s="248" t="n">
        <v>1.0</v>
      </c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924</v>
      </c>
      <c r="C90" s="252" t="n">
        <v>1.0</v>
      </c>
      <c r="D90" s="252" t="n">
        <v>1.0</v>
      </c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925</v>
      </c>
      <c r="C91" s="256" t="n">
        <v>1.0</v>
      </c>
      <c r="D91" s="256" t="n">
        <v>1.0</v>
      </c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926</v>
      </c>
      <c r="C92" s="260" t="n">
        <v>1.0</v>
      </c>
      <c r="D92" s="260" t="n">
        <v>2.0</v>
      </c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927</v>
      </c>
      <c r="C93" s="264" t="n">
        <v>1.0</v>
      </c>
      <c r="D93" s="264" t="n">
        <v>1.0</v>
      </c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928</v>
      </c>
      <c r="C256" s="268" t="n">
        <v>155.0</v>
      </c>
      <c r="D256" s="268" t="n">
        <v>172.0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935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認知症カフェ設置状況（設置主体別箇所数）（小野町）</v>
      </c>
      <c r="B2" s="7" t="str">
        <f>"（注目する地域）" &amp; E2</f>
        <v>（注目する地域）小野町</v>
      </c>
      <c r="C2" s="8" t="s">
        <v>929</v>
      </c>
      <c r="D2" s="8" t="s">
        <v>930</v>
      </c>
      <c r="E2" s="8" t="s">
        <v>931</v>
      </c>
      <c r="F2" s="8" t="str">
        <f>IF(H2="",G2,G2 &amp; "（" &amp; H2 &amp; "）")</f>
        <v>箇所数（箇所）</v>
      </c>
      <c r="G2" s="8" t="s">
        <v>932</v>
      </c>
      <c r="H2" s="8" t="s">
        <v>933</v>
      </c>
      <c r="I2" s="8" t="s">
        <v>934</v>
      </c>
      <c r="J2" s="7" t="str">
        <f>"（出典）" &amp; I2</f>
        <v>（出典）厚生労働省「認知症総合支援事業等実施状況調べ」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18.8359375" collapsed="false" bestFit="true"/>
    <col min="4" max="4" customWidth="true" style="10" width="10.035156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936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931</v>
      </c>
      <c r="C3" s="17" t="s">
        <v>869</v>
      </c>
      <c r="D3" s="12" t="s">
        <v>937</v>
      </c>
      <c r="E3" s="276" t="n">
        <v>1.0</v>
      </c>
      <c r="F3" s="276" t="n">
        <v>1.0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927</v>
      </c>
      <c r="C4" s="17" t="s">
        <v>869</v>
      </c>
      <c r="D4" s="12" t="s">
        <v>937</v>
      </c>
      <c r="E4" s="280" t="n">
        <v>1.0</v>
      </c>
      <c r="F4" s="280" t="n">
        <v>1.0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926</v>
      </c>
      <c r="C5" s="17" t="s">
        <v>869</v>
      </c>
      <c r="D5" s="12" t="s">
        <v>937</v>
      </c>
      <c r="E5" s="284" t="n">
        <v>1.0</v>
      </c>
      <c r="F5" s="284" t="n">
        <v>2.0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925</v>
      </c>
      <c r="C6" s="17" t="s">
        <v>869</v>
      </c>
      <c r="D6" s="12" t="s">
        <v>937</v>
      </c>
      <c r="E6" s="288" t="n">
        <v>1.0</v>
      </c>
      <c r="F6" s="288" t="n">
        <v>1.0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924</v>
      </c>
      <c r="C7" s="17" t="s">
        <v>869</v>
      </c>
      <c r="D7" s="12" t="s">
        <v>937</v>
      </c>
      <c r="E7" s="292" t="n">
        <v>1.0</v>
      </c>
      <c r="F7" s="292" t="n">
        <v>1.0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923</v>
      </c>
      <c r="C8" s="17" t="s">
        <v>869</v>
      </c>
      <c r="D8" s="12" t="s">
        <v>937</v>
      </c>
      <c r="E8" s="296" t="n">
        <v>1.0</v>
      </c>
      <c r="F8" s="296" t="n">
        <v>1.0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922</v>
      </c>
      <c r="C9" s="17" t="s">
        <v>869</v>
      </c>
      <c r="D9" s="12" t="s">
        <v>937</v>
      </c>
      <c r="E9" s="300" t="n">
        <v>1.0</v>
      </c>
      <c r="F9" s="300" t="n">
        <v>1.0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921</v>
      </c>
      <c r="C10" s="17" t="s">
        <v>869</v>
      </c>
      <c r="D10" s="12" t="s">
        <v>937</v>
      </c>
      <c r="E10" s="304" t="n">
        <v>1.0</v>
      </c>
      <c r="F10" s="304" t="n">
        <v>1.0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920</v>
      </c>
      <c r="C11" s="17" t="s">
        <v>869</v>
      </c>
      <c r="D11" s="12" t="s">
        <v>937</v>
      </c>
      <c r="E11" s="308" t="n">
        <v>1.0</v>
      </c>
      <c r="F11" s="308" t="n">
        <v>4.0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919</v>
      </c>
      <c r="C12" s="17" t="s">
        <v>869</v>
      </c>
      <c r="D12" s="12" t="s">
        <v>937</v>
      </c>
      <c r="E12" s="312" t="n">
        <v>1.0</v>
      </c>
      <c r="F12" s="312" t="n">
        <v>2.0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918</v>
      </c>
      <c r="C13" s="17" t="s">
        <v>869</v>
      </c>
      <c r="D13" s="12" t="s">
        <v>937</v>
      </c>
      <c r="E13" s="316" t="n">
        <v>1.0</v>
      </c>
      <c r="F13" s="316" t="n">
        <v>1.0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917</v>
      </c>
      <c r="C14" s="17" t="s">
        <v>869</v>
      </c>
      <c r="D14" s="12" t="s">
        <v>937</v>
      </c>
      <c r="E14" s="320" t="n">
        <v>2.0</v>
      </c>
      <c r="F14" s="320" t="n">
        <v>2.0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916</v>
      </c>
      <c r="C15" s="17" t="s">
        <v>869</v>
      </c>
      <c r="D15" s="12" t="s">
        <v>937</v>
      </c>
      <c r="E15" s="324" t="n">
        <v>1.0</v>
      </c>
      <c r="F15" s="324" t="n">
        <v>1.0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915</v>
      </c>
      <c r="C16" s="17" t="s">
        <v>869</v>
      </c>
      <c r="D16" s="12" t="s">
        <v>937</v>
      </c>
      <c r="E16" s="328" t="n">
        <v>0.0</v>
      </c>
      <c r="F16" s="328" t="n">
        <v>1.0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914</v>
      </c>
      <c r="C17" s="17" t="s">
        <v>869</v>
      </c>
      <c r="D17" s="12" t="s">
        <v>937</v>
      </c>
      <c r="E17" s="332" t="n">
        <v>1.0</v>
      </c>
      <c r="F17" s="332" t="n">
        <v>1.0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913</v>
      </c>
      <c r="C18" s="17" t="s">
        <v>869</v>
      </c>
      <c r="D18" s="12" t="s">
        <v>937</v>
      </c>
      <c r="E18" s="336" t="n">
        <v>1.0</v>
      </c>
      <c r="F18" s="336" t="n">
        <v>1.0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912</v>
      </c>
      <c r="C19" s="17" t="s">
        <v>869</v>
      </c>
      <c r="D19" s="12" t="s">
        <v>937</v>
      </c>
      <c r="E19" s="340" t="n">
        <v>1.0</v>
      </c>
      <c r="F19" s="340" t="n">
        <v>1.0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911</v>
      </c>
      <c r="C20" s="17" t="s">
        <v>869</v>
      </c>
      <c r="D20" s="12" t="s">
        <v>937</v>
      </c>
      <c r="E20" s="344" t="n">
        <v>1.0</v>
      </c>
      <c r="F20" s="344" t="n">
        <v>1.0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910</v>
      </c>
      <c r="C21" s="17" t="s">
        <v>869</v>
      </c>
      <c r="D21" s="12" t="s">
        <v>937</v>
      </c>
      <c r="E21" s="348" t="n">
        <v>1.0</v>
      </c>
      <c r="F21" s="348" t="n">
        <v>1.0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909</v>
      </c>
      <c r="C22" s="17" t="s">
        <v>869</v>
      </c>
      <c r="D22" s="12" t="s">
        <v>937</v>
      </c>
      <c r="E22" s="352" t="n">
        <v>1.0</v>
      </c>
      <c r="F22" s="352" t="n">
        <v>1.0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908</v>
      </c>
      <c r="C23" s="17" t="s">
        <v>869</v>
      </c>
      <c r="D23" s="12" t="s">
        <v>937</v>
      </c>
      <c r="E23" s="356" t="n">
        <v>1.0</v>
      </c>
      <c r="F23" s="356" t="n">
        <v>1.0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907</v>
      </c>
      <c r="C24" s="17" t="s">
        <v>869</v>
      </c>
      <c r="D24" s="12" t="s">
        <v>937</v>
      </c>
      <c r="E24" s="360" t="n">
        <v>1.0</v>
      </c>
      <c r="F24" s="360" t="n">
        <v>1.0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906</v>
      </c>
      <c r="C25" s="17" t="s">
        <v>869</v>
      </c>
      <c r="D25" s="12" t="s">
        <v>937</v>
      </c>
      <c r="E25" s="364" t="n">
        <v>1.0</v>
      </c>
      <c r="F25" s="364" t="n">
        <v>1.0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905</v>
      </c>
      <c r="C26" s="17" t="s">
        <v>869</v>
      </c>
      <c r="D26" s="12" t="s">
        <v>937</v>
      </c>
      <c r="E26" s="368" t="n">
        <v>0.0</v>
      </c>
      <c r="F26" s="368" t="n">
        <v>1.0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904</v>
      </c>
      <c r="C27" s="17" t="s">
        <v>869</v>
      </c>
      <c r="D27" s="12" t="s">
        <v>937</v>
      </c>
      <c r="E27" s="372" t="n">
        <v>1.0</v>
      </c>
      <c r="F27" s="372" t="n">
        <v>3.0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903</v>
      </c>
      <c r="C28" s="17" t="s">
        <v>869</v>
      </c>
      <c r="D28" s="12" t="s">
        <v>937</v>
      </c>
      <c r="E28" s="376" t="n">
        <v>3.0</v>
      </c>
      <c r="F28" s="376" t="n">
        <v>1.0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902</v>
      </c>
      <c r="C29" s="17" t="s">
        <v>869</v>
      </c>
      <c r="D29" s="12" t="s">
        <v>937</v>
      </c>
      <c r="E29" s="380" t="n">
        <v>2.0</v>
      </c>
      <c r="F29" s="380" t="n">
        <v>2.0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901</v>
      </c>
      <c r="C30" s="17" t="s">
        <v>869</v>
      </c>
      <c r="D30" s="12" t="s">
        <v>937</v>
      </c>
      <c r="E30" s="384" t="n">
        <v>0.0</v>
      </c>
      <c r="F30" s="384" t="n">
        <v>1.0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900</v>
      </c>
      <c r="C31" s="17" t="s">
        <v>869</v>
      </c>
      <c r="D31" s="12" t="s">
        <v>937</v>
      </c>
      <c r="E31" s="388" t="n">
        <v>1.0</v>
      </c>
      <c r="F31" s="388" t="n">
        <v>1.0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899</v>
      </c>
      <c r="C32" s="17" t="s">
        <v>869</v>
      </c>
      <c r="D32" s="12" t="s">
        <v>937</v>
      </c>
      <c r="E32" s="392" t="n">
        <v>2.0</v>
      </c>
      <c r="F32" s="392" t="n">
        <v>1.0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898</v>
      </c>
      <c r="C33" s="17" t="s">
        <v>869</v>
      </c>
      <c r="D33" s="12" t="s">
        <v>937</v>
      </c>
      <c r="E33" s="396" t="n">
        <v>1.0</v>
      </c>
      <c r="F33" s="396" t="n">
        <v>1.0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897</v>
      </c>
      <c r="C34" s="17" t="s">
        <v>869</v>
      </c>
      <c r="D34" s="12" t="s">
        <v>937</v>
      </c>
      <c r="E34" s="400" t="n">
        <v>3.0</v>
      </c>
      <c r="F34" s="400" t="n">
        <v>2.0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896</v>
      </c>
      <c r="C35" s="17" t="s">
        <v>869</v>
      </c>
      <c r="D35" s="12" t="s">
        <v>937</v>
      </c>
      <c r="E35" s="404" t="n">
        <v>3.0</v>
      </c>
      <c r="F35" s="404" t="n">
        <v>1.0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895</v>
      </c>
      <c r="C36" s="17" t="s">
        <v>869</v>
      </c>
      <c r="D36" s="12" t="s">
        <v>937</v>
      </c>
      <c r="E36" s="408" t="n">
        <v>1.0</v>
      </c>
      <c r="F36" s="408" t="n">
        <v>1.0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894</v>
      </c>
      <c r="C37" s="17" t="s">
        <v>869</v>
      </c>
      <c r="D37" s="12" t="s">
        <v>937</v>
      </c>
      <c r="E37" s="412" t="n">
        <v>1.0</v>
      </c>
      <c r="F37" s="412" t="n">
        <v>1.0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893</v>
      </c>
      <c r="C38" s="17" t="s">
        <v>869</v>
      </c>
      <c r="D38" s="12" t="s">
        <v>937</v>
      </c>
      <c r="E38" s="416" t="n">
        <v>0.0</v>
      </c>
      <c r="F38" s="416" t="n">
        <v>1.0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892</v>
      </c>
      <c r="C39" s="17" t="s">
        <v>869</v>
      </c>
      <c r="D39" s="12" t="s">
        <v>937</v>
      </c>
      <c r="E39" s="420" t="n">
        <v>2.0</v>
      </c>
      <c r="F39" s="420" t="n">
        <v>4.0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891</v>
      </c>
      <c r="C40" s="17" t="s">
        <v>869</v>
      </c>
      <c r="D40" s="12" t="s">
        <v>937</v>
      </c>
      <c r="E40" s="424" t="n">
        <v>0.0</v>
      </c>
      <c r="F40" s="424" t="n">
        <v>1.0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890</v>
      </c>
      <c r="C41" s="17" t="s">
        <v>869</v>
      </c>
      <c r="D41" s="12" t="s">
        <v>937</v>
      </c>
      <c r="E41" s="428" t="n">
        <v>0.0</v>
      </c>
      <c r="F41" s="428" t="n">
        <v>0.0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889</v>
      </c>
      <c r="C42" s="17" t="s">
        <v>869</v>
      </c>
      <c r="D42" s="12" t="s">
        <v>937</v>
      </c>
      <c r="E42" s="432" t="n">
        <v>1.0</v>
      </c>
      <c r="F42" s="432" t="n">
        <v>1.0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888</v>
      </c>
      <c r="C43" s="17" t="s">
        <v>869</v>
      </c>
      <c r="D43" s="12" t="s">
        <v>937</v>
      </c>
      <c r="E43" s="436" t="n">
        <v>2.0</v>
      </c>
      <c r="F43" s="436" t="n">
        <v>2.0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887</v>
      </c>
      <c r="C44" s="17" t="s">
        <v>869</v>
      </c>
      <c r="D44" s="12" t="s">
        <v>937</v>
      </c>
      <c r="E44" s="440" t="n">
        <v>1.0</v>
      </c>
      <c r="F44" s="440" t="n">
        <v>1.0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886</v>
      </c>
      <c r="C45" s="17" t="s">
        <v>869</v>
      </c>
      <c r="D45" s="12" t="s">
        <v>937</v>
      </c>
      <c r="E45" s="444" t="n">
        <v>1.0</v>
      </c>
      <c r="F45" s="444" t="n">
        <v>1.0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885</v>
      </c>
      <c r="C46" s="17" t="s">
        <v>869</v>
      </c>
      <c r="D46" s="12" t="s">
        <v>937</v>
      </c>
      <c r="E46" s="448" t="n">
        <v>1.0</v>
      </c>
      <c r="F46" s="448" t="n">
        <v>1.0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884</v>
      </c>
      <c r="C47" s="17" t="s">
        <v>869</v>
      </c>
      <c r="D47" s="12" t="s">
        <v>937</v>
      </c>
      <c r="E47" s="452" t="n">
        <v>0.0</v>
      </c>
      <c r="F47" s="452" t="n">
        <v>1.0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883</v>
      </c>
      <c r="C48" s="17" t="s">
        <v>869</v>
      </c>
      <c r="D48" s="12" t="s">
        <v>937</v>
      </c>
      <c r="E48" s="456" t="n">
        <v>1.0</v>
      </c>
      <c r="F48" s="456" t="n">
        <v>1.0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882</v>
      </c>
      <c r="C49" s="17" t="s">
        <v>869</v>
      </c>
      <c r="D49" s="12" t="s">
        <v>937</v>
      </c>
      <c r="E49" s="460" t="n">
        <v>3.0</v>
      </c>
      <c r="F49" s="460" t="n">
        <v>3.0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881</v>
      </c>
      <c r="C50" s="17" t="s">
        <v>869</v>
      </c>
      <c r="D50" s="12" t="s">
        <v>937</v>
      </c>
      <c r="E50" s="464" t="n">
        <v>14.0</v>
      </c>
      <c r="F50" s="464" t="n">
        <v>15.0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880</v>
      </c>
      <c r="C51" s="17" t="s">
        <v>869</v>
      </c>
      <c r="D51" s="12" t="s">
        <v>937</v>
      </c>
      <c r="E51" s="468" t="n">
        <v>1.0</v>
      </c>
      <c r="F51" s="468" t="n">
        <v>2.0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879</v>
      </c>
      <c r="C52" s="17" t="s">
        <v>869</v>
      </c>
      <c r="D52" s="12" t="s">
        <v>937</v>
      </c>
      <c r="E52" s="472" t="n">
        <v>3.0</v>
      </c>
      <c r="F52" s="472" t="n">
        <v>6.0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878</v>
      </c>
      <c r="C53" s="17" t="s">
        <v>869</v>
      </c>
      <c r="D53" s="12" t="s">
        <v>937</v>
      </c>
      <c r="E53" s="476" t="n">
        <v>7.0</v>
      </c>
      <c r="F53" s="476" t="n">
        <v>7.0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877</v>
      </c>
      <c r="C54" s="17" t="s">
        <v>869</v>
      </c>
      <c r="D54" s="12" t="s">
        <v>937</v>
      </c>
      <c r="E54" s="480" t="n">
        <v>1.0</v>
      </c>
      <c r="F54" s="480" t="n">
        <v>1.0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876</v>
      </c>
      <c r="C55" s="17" t="s">
        <v>869</v>
      </c>
      <c r="D55" s="12" t="s">
        <v>937</v>
      </c>
      <c r="E55" s="484" t="n">
        <v>13.0</v>
      </c>
      <c r="F55" s="484" t="n">
        <v>13.0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875</v>
      </c>
      <c r="C56" s="17" t="s">
        <v>869</v>
      </c>
      <c r="D56" s="12" t="s">
        <v>937</v>
      </c>
      <c r="E56" s="488" t="n">
        <v>4.0</v>
      </c>
      <c r="F56" s="488" t="n">
        <v>4.0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874</v>
      </c>
      <c r="C57" s="17" t="s">
        <v>869</v>
      </c>
      <c r="D57" s="12" t="s">
        <v>937</v>
      </c>
      <c r="E57" s="492" t="n">
        <v>1.0</v>
      </c>
      <c r="F57" s="492" t="n">
        <v>1.0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873</v>
      </c>
      <c r="C58" s="17" t="s">
        <v>869</v>
      </c>
      <c r="D58" s="12" t="s">
        <v>937</v>
      </c>
      <c r="E58" s="496" t="n">
        <v>10.0</v>
      </c>
      <c r="F58" s="496" t="n">
        <v>12.0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872</v>
      </c>
      <c r="C59" s="17" t="s">
        <v>869</v>
      </c>
      <c r="D59" s="12" t="s">
        <v>937</v>
      </c>
      <c r="E59" s="500" t="n">
        <v>15.0</v>
      </c>
      <c r="F59" s="500" t="n">
        <v>17.0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871</v>
      </c>
      <c r="C60" s="17" t="s">
        <v>869</v>
      </c>
      <c r="D60" s="12" t="s">
        <v>937</v>
      </c>
      <c r="E60" s="504" t="n">
        <v>8.0</v>
      </c>
      <c r="F60" s="504" t="n">
        <v>7.0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870</v>
      </c>
      <c r="C61" s="17" t="s">
        <v>869</v>
      </c>
      <c r="D61" s="12" t="s">
        <v>937</v>
      </c>
      <c r="E61" s="508" t="n">
        <v>25.0</v>
      </c>
      <c r="F61" s="508" t="n">
        <v>25.0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928</v>
      </c>
      <c r="C62" s="17" t="s">
        <v>869</v>
      </c>
      <c r="D62" s="12" t="s">
        <v>937</v>
      </c>
      <c r="E62" s="512" t="n">
        <v>155.0</v>
      </c>
      <c r="F62" s="512" t="n">
        <v>172.0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（出典）厚生労働省「認知症総合支援事業等実施状況調べ」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