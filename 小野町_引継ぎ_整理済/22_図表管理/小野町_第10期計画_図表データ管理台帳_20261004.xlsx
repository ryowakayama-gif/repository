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drawings/drawing14.xml" ContentType="application/vnd.openxmlformats-officedocument.drawing+xml"/>
  <Override PartName="/xl/worksheets/sheet21.xml" ContentType="application/vnd.openxmlformats-officedocument.spreadsheetml.worksheet+xml"/>
  <Override PartName="/xl/drawings/drawing15.xml" ContentType="application/vnd.openxmlformats-officedocument.drawing+xml"/>
  <Override PartName="/xl/worksheets/sheet22.xml" ContentType="application/vnd.openxmlformats-officedocument.spreadsheetml.worksheet+xml"/>
  <Override PartName="/xl/drawings/drawing16.xml" ContentType="application/vnd.openxmlformats-officedocument.drawing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drawings/drawing18.xml" ContentType="application/vnd.openxmlformats-officedocument.drawing+xml"/>
  <Override PartName="/xl/worksheets/sheet25.xml" ContentType="application/vnd.openxmlformats-officedocument.spreadsheetml.worksheet+xml"/>
  <Override PartName="/xl/drawings/drawing19.xml" ContentType="application/vnd.openxmlformats-officedocument.drawing+xml"/>
  <Override PartName="/xl/worksheets/sheet26.xml" ContentType="application/vnd.openxmlformats-officedocument.spreadsheetml.worksheet+xml"/>
  <Override PartName="/xl/drawings/drawing20.xml" ContentType="application/vnd.openxmlformats-officedocument.drawing+xml"/>
  <Override PartName="/xl/worksheets/sheet27.xml" ContentType="application/vnd.openxmlformats-officedocument.spreadsheetml.worksheet+xml"/>
  <Override PartName="/xl/drawings/drawing21.xml" ContentType="application/vnd.openxmlformats-officedocument.drawing+xml"/>
  <Override PartName="/xl/worksheets/sheet28.xml" ContentType="application/vnd.openxmlformats-officedocument.spreadsheetml.worksheet+xml"/>
  <Override PartName="/xl/drawings/drawing22.xml" ContentType="application/vnd.openxmlformats-officedocument.drawing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図の台帳" sheetId="2" state="visible" r:id="rId2"/>
    <sheet xmlns:r="http://schemas.openxmlformats.org/officeDocument/2006/relationships" name="02_表の台帳" sheetId="3" state="visible" r:id="rId3"/>
    <sheet xmlns:r="http://schemas.openxmlformats.org/officeDocument/2006/relationships" name="03_交付金との紐付け" sheetId="4" state="visible" r:id="rId4"/>
    <sheet xmlns:r="http://schemas.openxmlformats.org/officeDocument/2006/relationships" name="04_足りない図表" sheetId="5" state="visible" r:id="rId5"/>
    <sheet xmlns:r="http://schemas.openxmlformats.org/officeDocument/2006/relationships" name="05_出典の一覧" sheetId="6" state="visible" r:id="rId6"/>
    <sheet xmlns:r="http://schemas.openxmlformats.org/officeDocument/2006/relationships" name="D_f01_nintei_suii" sheetId="7" state="visible" r:id="rId7"/>
    <sheet xmlns:r="http://schemas.openxmlformats.org/officeDocument/2006/relationships" name="D_f02_nintei_bunkai" sheetId="8" state="visible" r:id="rId8"/>
    <sheet xmlns:r="http://schemas.openxmlformats.org/officeDocument/2006/relationships" name="D_f03_kyufu_suii" sheetId="9" state="visible" r:id="rId9"/>
    <sheet xmlns:r="http://schemas.openxmlformats.org/officeDocument/2006/relationships" name="D_f04_dai9_taihi" sheetId="10" state="visible" r:id="rId10"/>
    <sheet xmlns:r="http://schemas.openxmlformats.org/officeDocument/2006/relationships" name="D_f05_service" sheetId="11" state="visible" r:id="rId11"/>
    <sheet xmlns:r="http://schemas.openxmlformats.org/officeDocument/2006/relationships" name="D_f06_chiiki" sheetId="12" state="visible" r:id="rId12"/>
    <sheet xmlns:r="http://schemas.openxmlformats.org/officeDocument/2006/relationships" name="D_f07_riyou" sheetId="13" state="visible" r:id="rId13"/>
    <sheet xmlns:r="http://schemas.openxmlformats.org/officeDocument/2006/relationships" name="D_f08_hokenryo" sheetId="14" state="visible" r:id="rId14"/>
    <sheet xmlns:r="http://schemas.openxmlformats.org/officeDocument/2006/relationships" name="D_f09_zaisei" sheetId="15" state="visible" r:id="rId15"/>
    <sheet xmlns:r="http://schemas.openxmlformats.org/officeDocument/2006/relationships" name="D_f21_jinko" sheetId="16" state="visible" r:id="rId16"/>
    <sheet xmlns:r="http://schemas.openxmlformats.org/officeDocument/2006/relationships" name="D_f23_kubun" sheetId="17" state="visible" r:id="rId17"/>
    <sheet xmlns:r="http://schemas.openxmlformats.org/officeDocument/2006/relationships" name="D_f31_jinzai" sheetId="18" state="visible" r:id="rId18"/>
    <sheet xmlns:r="http://schemas.openxmlformats.org/officeDocument/2006/relationships" name="D_f32_keido" sheetId="19" state="visible" r:id="rId19"/>
    <sheet xmlns:r="http://schemas.openxmlformats.org/officeDocument/2006/relationships" name="D_f33_chosa" sheetId="20" state="visible" r:id="rId20"/>
    <sheet xmlns:r="http://schemas.openxmlformats.org/officeDocument/2006/relationships" name="D_f41_kofukin_moku" sheetId="21" state="visible" r:id="rId21"/>
    <sheet xmlns:r="http://schemas.openxmlformats.org/officeDocument/2006/relationships" name="D_f43_torikaeshi" sheetId="22" state="visible" r:id="rId22"/>
    <sheet xmlns:r="http://schemas.openxmlformats.org/officeDocument/2006/relationships" name="D_f44_kofukin_tatsu" sheetId="23" state="visible" r:id="rId23"/>
    <sheet xmlns:r="http://schemas.openxmlformats.org/officeDocument/2006/relationships" name="D_f45_kofukin_bunpu" sheetId="24" state="visible" r:id="rId24"/>
    <sheet xmlns:r="http://schemas.openxmlformats.org/officeDocument/2006/relationships" name="D_f46_nyutaiin" sheetId="25" state="visible" r:id="rId25"/>
    <sheet xmlns:r="http://schemas.openxmlformats.org/officeDocument/2006/relationships" name="D_f47_ninchisho" sheetId="26" state="visible" r:id="rId26"/>
    <sheet xmlns:r="http://schemas.openxmlformats.org/officeDocument/2006/relationships" name="D_f48_kayoi" sheetId="27" state="visible" r:id="rId27"/>
    <sheet xmlns:r="http://schemas.openxmlformats.org/officeDocument/2006/relationships" name="D_f49_yokaigo" sheetId="28" state="visible" r:id="rId28"/>
    <sheet xmlns:r="http://schemas.openxmlformats.org/officeDocument/2006/relationships" name="99_自己点検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1F3864"/>
      <sz val="14"/>
    </font>
    <font>
      <name val="游ゴシック"/>
      <sz val="9"/>
    </font>
    <font>
      <name val="游ゴシック"/>
      <sz val="10"/>
    </font>
    <font>
      <name val="游ゴシック"/>
      <b val="1"/>
      <sz val="10"/>
    </font>
    <font>
      <name val="游ゴシック"/>
      <b val="1"/>
      <color rgb="00FFFFFF"/>
      <sz val="9"/>
    </font>
    <font>
      <name val="游ゴシック"/>
      <b val="1"/>
      <sz val="9"/>
    </font>
    <font>
      <name val="游ゴシック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認定者数の推移（年度末基準）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'D_f01_nintei_suii'!B4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'D_f01_nintei_suii'!$A$5:$A$13</f>
            </numRef>
          </cat>
          <val>
            <numRef>
              <f>'D_f01_nintei_suii'!$B$5:$B$13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令和7年3月末→令和8年3月末の減少の年齢階層別内訳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'D_f02_nintei_bunkai'!B4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'D_f02_nintei_bunkai'!$A$5:$A$7</f>
            </numRef>
          </cat>
          <val>
            <numRef>
              <f>'D_f02_nintei_bunkai'!$B$5:$B$7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総給付費と標準給付費の推移</a:t>
            </a:r>
          </a:p>
        </rich>
      </tx>
    </title>
    <plotArea>
      <lineChart>
        <grouping val="standard"/>
        <ser>
          <idx val="0"/>
          <order val="0"/>
          <tx>
            <strRef>
              <f>'D_f03_kyufu_suii'!B4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'D_f03_kyufu_suii'!$A$5:$A$9</f>
            </numRef>
          </cat>
          <val>
            <numRef>
              <f>'D_f03_kyufu_suii'!$B$5:$B$9</f>
            </numRef>
          </val>
        </ser>
        <ser>
          <idx val="1"/>
          <order val="1"/>
          <tx>
            <strRef>
              <f>'D_f03_kyufu_suii'!C4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'D_f03_kyufu_suii'!$A$5:$A$9</f>
            </numRef>
          </cat>
          <val>
            <numRef>
              <f>'D_f03_kyufu_suii'!$C$5:$C$9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第9期の見込みと実績（標準給付費）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'D_f04_dai9_taihi'!B4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'D_f04_dai9_taihi'!$A$5:$A$6</f>
            </numRef>
          </cat>
          <val>
            <numRef>
              <f>'D_f04_dai9_taihi'!$B$5:$B$6</f>
            </numRef>
          </val>
        </ser>
        <ser>
          <idx val="1"/>
          <order val="1"/>
          <tx>
            <strRef>
              <f>'D_f04_dai9_taihi'!C4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'D_f04_dai9_taihi'!$A$5:$A$6</f>
            </numRef>
          </cat>
          <val>
            <numRef>
              <f>'D_f04_dai9_taihi'!$C$5:$C$6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サービス種類別の給付費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'D_f05_service'!B4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'D_f05_service'!$A$5:$A$15</f>
            </numRef>
          </cat>
          <val>
            <numRef>
              <f>'D_f05_service'!$B$5:$B$15</f>
            </numRef>
          </val>
        </ser>
        <ser>
          <idx val="1"/>
          <order val="1"/>
          <tx>
            <strRef>
              <f>'D_f05_service'!C4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'D_f05_service'!$A$5:$A$15</f>
            </numRef>
          </cat>
          <val>
            <numRef>
              <f>'D_f05_service'!$C$5:$C$15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地域支援事業費の推移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'D_f06_chiiki'!B4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'D_f06_chiiki'!$A$5:$A$8</f>
            </numRef>
          </cat>
          <val>
            <numRef>
              <f>'D_f06_chiiki'!$B$5:$B$8</f>
            </numRef>
          </val>
        </ser>
        <ser>
          <idx val="1"/>
          <order val="1"/>
          <tx>
            <strRef>
              <f>'D_f06_chiiki'!C4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'D_f06_chiiki'!$A$5:$A$8</f>
            </numRef>
          </cat>
          <val>
            <numRef>
              <f>'D_f06_chiiki'!$C$5:$C$8</f>
            </numRef>
          </val>
        </ser>
        <ser>
          <idx val="2"/>
          <order val="2"/>
          <tx>
            <strRef>
              <f>'D_f06_chiiki'!D4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'D_f06_chiiki'!$A$5:$A$8</f>
            </numRef>
          </cat>
          <val>
            <numRef>
              <f>'D_f06_chiiki'!$D$5:$D$8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在宅サービスの利用強度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'D_f07_riyou'!B4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'D_f07_riyou'!$A$5:$A$9</f>
            </numRef>
          </cat>
          <val>
            <numRef>
              <f>'D_f07_riyou'!$B$5:$B$9</f>
            </numRef>
          </val>
        </ser>
        <ser>
          <idx val="1"/>
          <order val="1"/>
          <tx>
            <strRef>
              <f>'D_f07_riyou'!C4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'D_f07_riyou'!$A$5:$A$9</f>
            </numRef>
          </cat>
          <val>
            <numRef>
              <f>'D_f07_riyou'!$C$5:$C$9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保険料基準額の選択肢（100円未満切上げ後）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'D_f08_hokenryo'!B4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'D_f08_hokenryo'!$A$5:$A$8</f>
            </numRef>
          </cat>
          <val>
            <numRef>
              <f>'D_f08_hokenryo'!$B$5:$B$8</f>
            </numRef>
          </val>
        </ser>
        <ser>
          <idx val="1"/>
          <order val="1"/>
          <tx>
            <strRef>
              <f>'D_f08_hokenryo'!C4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'D_f08_hokenryo'!$A$5:$A$8</f>
            </numRef>
          </cat>
          <val>
            <numRef>
              <f>'D_f08_hokenryo'!$C$5:$C$8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介護保険特別会計の状況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'D_f09_zaisei'!B4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'D_f09_zaisei'!$A$5:$A$8</f>
            </numRef>
          </cat>
          <val>
            <numRef>
              <f>'D_f09_zaisei'!$B$5:$B$8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総人口と高齢化率の推移・推計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'D_f21_jinko'!B4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'D_f21_jinko'!$A$5:$A$11</f>
            </numRef>
          </cat>
          <val>
            <numRef>
              <f>'D_f21_jinko'!$B$5:$B$11</f>
            </numRef>
          </val>
        </ser>
        <ser>
          <idx val="1"/>
          <order val="1"/>
          <tx>
            <strRef>
              <f>'D_f21_jinko'!C4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'D_f21_jinko'!$A$5:$A$11</f>
            </numRef>
          </cat>
          <val>
            <numRef>
              <f>'D_f21_jinko'!$C$5:$C$11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区分別の給付費の見込み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'D_f23_kubun'!B4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'D_f23_kubun'!$A$5:$A$7</f>
            </numRef>
          </cat>
          <val>
            <numRef>
              <f>'D_f23_kubun'!$B$5:$B$7</f>
            </numRef>
          </val>
        </ser>
        <ser>
          <idx val="1"/>
          <order val="1"/>
          <tx>
            <strRef>
              <f>'D_f23_kubun'!C4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'D_f23_kubun'!$A$5:$A$7</f>
            </numRef>
          </cat>
          <val>
            <numRef>
              <f>'D_f23_kubun'!$C$5:$C$7</f>
            </numRef>
          </val>
        </ser>
        <ser>
          <idx val="2"/>
          <order val="2"/>
          <tx>
            <strRef>
              <f>'D_f23_kubun'!D4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'D_f23_kubun'!$A$5:$A$7</f>
            </numRef>
          </cat>
          <val>
            <numRef>
              <f>'D_f23_kubun'!$D$5:$D$7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介護人材の需要と供給の見通し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'D_f31_jinzai'!B4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'D_f31_jinzai'!$A$5:$A$11</f>
            </numRef>
          </cat>
          <val>
            <numRef>
              <f>'D_f31_jinzai'!$B$5:$B$11</f>
            </numRef>
          </val>
        </ser>
        <ser>
          <idx val="1"/>
          <order val="1"/>
          <tx>
            <strRef>
              <f>'D_f31_jinzai'!C4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'D_f31_jinzai'!$A$5:$A$11</f>
            </numRef>
          </cat>
          <val>
            <numRef>
              <f>'D_f31_jinzai'!$C$5:$C$11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調整済み軽度認定率</a:t>
            </a:r>
          </a:p>
        </rich>
      </tx>
    </title>
    <plotArea>
      <lineChart>
        <grouping val="standard"/>
        <ser>
          <idx val="0"/>
          <order val="0"/>
          <tx>
            <strRef>
              <f>'D_f32_keido'!B4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'D_f32_keido'!$A$5:$A$12</f>
            </numRef>
          </cat>
          <val>
            <numRef>
              <f>'D_f32_keido'!$B$5:$B$12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総合事業の実施状況調査の回答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'D_f33_chosa'!B4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'D_f33_chosa'!$B$5:$B$9</f>
            </numRef>
          </val>
        </ser>
        <ser>
          <idx val="1"/>
          <order val="1"/>
          <tx>
            <strRef>
              <f>'D_f33_chosa'!C4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'D_f33_chosa'!$C$5:$C$9</f>
            </numRef>
          </val>
        </ser>
        <ser>
          <idx val="2"/>
          <order val="2"/>
          <tx>
            <strRef>
              <f>'D_f33_chosa'!D4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'D_f33_chosa'!$D$5:$D$9</f>
            </numRef>
          </val>
        </ser>
        <ser>
          <idx val="3"/>
          <order val="3"/>
          <tx>
            <strRef>
              <f>'D_f33_chosa'!E4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目標別の得点（小野町と全国平均）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'D_f41_kofukin_moku'!B4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'D_f41_kofukin_moku'!$A$5:$A$12</f>
            </numRef>
          </cat>
          <val>
            <numRef>
              <f>'D_f41_kofukin_moku'!$B$5:$B$12</f>
            </numRef>
          </val>
        </ser>
        <ser>
          <idx val="1"/>
          <order val="1"/>
          <tx>
            <strRef>
              <f>'D_f41_kofukin_moku'!C4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'D_f41_kofukin_moku'!$A$5:$A$12</f>
            </numRef>
          </cat>
          <val>
            <numRef>
              <f>'D_f41_kofukin_moku'!$C$5:$C$12</f>
            </numRef>
          </val>
        </ser>
        <ser>
          <idx val="2"/>
          <order val="2"/>
          <tx>
            <strRef>
              <f>'D_f41_kofukin_moku'!D4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'D_f41_kofukin_moku'!$A$5:$A$12</f>
            </numRef>
          </cat>
          <val>
            <numRef>
              <f>'D_f41_kofukin_moku'!$D$5:$D$12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全国平均に届いていない指標（伸びしろ）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'D_f43_torikaeshi'!B4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'D_f43_torikaeshi'!$A$5:$A$14</f>
            </numRef>
          </cat>
          <val>
            <numRef>
              <f>'D_f43_torikaeshi'!$B$5:$B$14</f>
            </numRef>
          </val>
        </ser>
        <ser>
          <idx val="1"/>
          <order val="1"/>
          <tx>
            <strRef>
              <f>'D_f43_torikaeshi'!C4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'D_f43_torikaeshi'!$A$5:$A$14</f>
            </numRef>
          </cat>
          <val>
            <numRef>
              <f>'D_f43_torikaeshi'!$C$5:$C$14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指標群別の到達度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'D_f44_kofukin_tatsu'!B4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'D_f44_kofukin_tatsu'!$A$5:$A$16</f>
            </numRef>
          </cat>
          <val>
            <numRef>
              <f>'D_f44_kofukin_tatsu'!$B$5:$B$16</f>
            </numRef>
          </val>
        </ser>
        <ser>
          <idx val="1"/>
          <order val="1"/>
          <tx>
            <strRef>
              <f>'D_f44_kofukin_tatsu'!C4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'D_f44_kofukin_tatsu'!$A$5:$A$16</f>
            </numRef>
          </cat>
          <val>
            <numRef>
              <f>'D_f44_kofukin_tatsu'!$C$5:$C$16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県内の得点の分布と小野町の位置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'D_f45_kofukin_bunpu'!B4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'D_f45_kofukin_bunpu'!$A$5:$A$12</f>
            </numRef>
          </cat>
          <val>
            <numRef>
              <f>'D_f45_kofukin_bunpu'!$B$5:$B$12</f>
            </numRef>
          </val>
        </ser>
        <ser>
          <idx val="1"/>
          <order val="1"/>
          <tx>
            <strRef>
              <f>'D_f45_kofukin_bunpu'!C4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'D_f45_kofukin_bunpu'!$A$5:$A$12</f>
            </numRef>
          </cat>
          <val>
            <numRef>
              <f>'D_f45_kofukin_bunpu'!$C$5:$C$12</f>
            </numRef>
          </val>
        </ser>
        <ser>
          <idx val="2"/>
          <order val="2"/>
          <tx>
            <strRef>
              <f>'D_f45_kofukin_bunpu'!D4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'D_f45_kofukin_bunpu'!$A$5:$A$12</f>
            </numRef>
          </cat>
          <val>
            <numRef>
              <f>'D_f45_kofukin_bunpu'!$D$5:$D$12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入退院支援と人生の最終段階における支援の位置（活動指標群）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'D_f46_nyutaiin'!B4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'D_f46_nyutaiin'!$A$5:$A$8</f>
            </numRef>
          </cat>
          <val>
            <numRef>
              <f>'D_f46_nyutaiin'!$B$5:$B$8</f>
            </numRef>
          </val>
        </ser>
        <ser>
          <idx val="1"/>
          <order val="1"/>
          <tx>
            <strRef>
              <f>'D_f46_nyutaiin'!C4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'D_f46_nyutaiin'!$A$5:$A$8</f>
            </numRef>
          </cat>
          <val>
            <numRef>
              <f>'D_f46_nyutaiin'!$C$5:$C$8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認知症施策の体制と活動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'D_f47_ninchisho'!B4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'D_f47_ninchisho'!$A$5:$A$6</f>
            </numRef>
          </cat>
          <val>
            <numRef>
              <f>'D_f47_ninchisho'!$B$5:$B$6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通いの場の実施状況と調査の回答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'D_f48_kayoi'!B4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'D_f48_kayoi'!$A$5:$A$12</f>
            </numRef>
          </cat>
          <val>
            <numRef>
              <f>'D_f48_kayoi'!$B$5:$B$12</f>
            </numRef>
          </val>
        </ser>
        <ser>
          <idx val="1"/>
          <order val="1"/>
          <tx>
            <strRef>
              <f>'D_f48_kayoi'!C4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'D_f48_kayoi'!$A$5:$A$12</f>
            </numRef>
          </cat>
          <val>
            <numRef>
              <f>'D_f48_kayoi'!$C$5:$C$12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成果指標群（目標Ⅳ）の指標別得点と、健康寿命が0点である理由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'D_f49_yokaigo'!B4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'D_f49_yokaigo'!$A$5:$A$9</f>
            </numRef>
          </cat>
          <val>
            <numRef>
              <f>'D_f49_yokaigo'!$B$5:$B$9</f>
            </numRef>
          </val>
        </ser>
        <ser>
          <idx val="1"/>
          <order val="1"/>
          <tx>
            <strRef>
              <f>'D_f49_yokaigo'!C4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'D_f49_yokaigo'!$A$5:$A$9</f>
            </numRef>
          </cat>
          <val>
            <numRef>
              <f>'D_f49_yokaigo'!$C$5:$C$9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小野町　第10期計画　図表データ管理台帳</t>
        </is>
      </c>
    </row>
    <row r="2" ht="30" customHeight="1">
      <c r="A2" s="2" t="inlineStr">
        <is>
          <t>令和8年10月4日　小野町高齢者保健福祉計画・第10期介護保険事業計画 策定業務</t>
        </is>
      </c>
    </row>
    <row r="4">
      <c r="A4" s="3" t="inlineStr">
        <is>
          <t>本表は、成果品に載せている図と表を一覧にし、出所と差し込み先を確かめられるようにしたものです。</t>
        </is>
      </c>
    </row>
    <row r="5">
      <c r="A5" s="3" t="inlineStr"/>
    </row>
    <row r="6">
      <c r="A6" s="4" t="inlineStr">
        <is>
          <t>【本表の数値について】</t>
        </is>
      </c>
    </row>
    <row r="7">
      <c r="A7" s="3" t="inlineStr">
        <is>
          <t>図の数値は、作図のときに図そのものから読み取って控えたものです。固定値を書き写してはいません。</t>
        </is>
      </c>
    </row>
    <row r="8">
      <c r="A8" s="4" t="inlineStr">
        <is>
          <t>成果品の図は、生成のたびに一次資料（年報・月報・見える化システム・令和7年度調査）から計算し直されます。したがって本表の数値を直しても成果品は変わりません。本表は控えであり、正本は一次資料です。</t>
        </is>
      </c>
    </row>
    <row r="9">
      <c r="A9" s="3" t="inlineStr"/>
    </row>
    <row r="10">
      <c r="A10" s="4" t="inlineStr">
        <is>
          <t>【数値を直すときの手順】</t>
        </is>
      </c>
    </row>
    <row r="11">
      <c r="A11" s="3" t="inlineStr">
        <is>
          <t>1　一次資料を直す、または算定を直す</t>
        </is>
      </c>
    </row>
    <row r="12">
      <c r="A12" s="3" t="inlineStr">
        <is>
          <t>2　成果品の生成スクリプトを実行し直す</t>
        </is>
      </c>
    </row>
    <row r="13">
      <c r="A13" s="3" t="inlineStr">
        <is>
          <t>3　本表を作り直す（python3 build_ono_zuhyo_daicho.py）</t>
        </is>
      </c>
    </row>
    <row r="14">
      <c r="A14" s="3" t="inlineStr"/>
    </row>
    <row r="15">
      <c r="A15" s="4" t="inlineStr">
        <is>
          <t>【シート】</t>
        </is>
      </c>
    </row>
    <row r="16">
      <c r="A16" s="3" t="inlineStr">
        <is>
          <t>01_図の台帳　　　　図19点の差し込み先・種類・系列・出所</t>
        </is>
      </c>
    </row>
    <row r="17">
      <c r="A17" s="3" t="inlineStr">
        <is>
          <t>02_表の台帳　　　　成果品ごとの表と図の数</t>
        </is>
      </c>
    </row>
    <row r="18">
      <c r="A18" s="3" t="inlineStr">
        <is>
          <t>03_交付金との紐付け　評価指標が求める分析と、それを裏づける図表</t>
        </is>
      </c>
    </row>
    <row r="19">
      <c r="A19" s="3" t="inlineStr">
        <is>
          <t>04_足りない図表　　作るべき図の一覧</t>
        </is>
      </c>
    </row>
    <row r="20">
      <c r="A20" s="3" t="inlineStr">
        <is>
          <t>05_出典の一覧　　　図が用いている一次資料</t>
        </is>
      </c>
    </row>
    <row r="21">
      <c r="A21" s="3" t="inlineStr">
        <is>
          <t>D_（図の名）　　　　図ごとの数値（Excelのグラフ付き）</t>
        </is>
      </c>
    </row>
    <row r="22">
      <c r="A22" s="3" t="inlineStr">
        <is>
          <t>99_自己点検　　　　図の実在・数値・差し込みの確認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20" customWidth="1" min="4" max="4"/>
    <col width="34" customWidth="1" min="5" max="5"/>
    <col width="10" customWidth="1" min="6" max="6"/>
    <col width="7" customWidth="1" min="7" max="7"/>
    <col width="7" customWidth="1" min="8" max="8"/>
    <col width="34" customWidth="1" min="9" max="9"/>
  </cols>
  <sheetData>
    <row r="1">
      <c r="A1" s="1" t="inlineStr">
        <is>
          <t>01　図の台帳</t>
        </is>
      </c>
    </row>
    <row r="2" ht="30" customHeight="1">
      <c r="A2" s="2" t="inlineStr">
        <is>
          <t>成果品に差し込んでいる図19点。数値は D_ シートに置いてある。</t>
        </is>
      </c>
    </row>
    <row r="4" ht="28" customHeight="1">
      <c r="A4" s="5" t="inlineStr">
        <is>
          <t>図番号</t>
        </is>
      </c>
      <c r="B4" s="5" t="inlineStr">
        <is>
          <t>図の名（PNG）</t>
        </is>
      </c>
      <c r="C4" s="5" t="inlineStr">
        <is>
          <t>差し込み先</t>
        </is>
      </c>
      <c r="D4" s="5" t="inlineStr">
        <is>
          <t>箇所</t>
        </is>
      </c>
      <c r="E4" s="5" t="inlineStr">
        <is>
          <t>表題</t>
        </is>
      </c>
      <c r="F4" s="5" t="inlineStr">
        <is>
          <t>種類</t>
        </is>
      </c>
      <c r="G4" s="5" t="inlineStr">
        <is>
          <t>系列数</t>
        </is>
      </c>
      <c r="H4" s="5" t="inlineStr">
        <is>
          <t>点数</t>
        </is>
      </c>
      <c r="I4" s="5" t="inlineStr">
        <is>
          <t>出所</t>
        </is>
      </c>
    </row>
    <row r="5">
      <c r="A5" s="6" t="inlineStr">
        <is>
          <t>図1</t>
        </is>
      </c>
      <c r="B5" s="6" t="inlineStr">
        <is>
          <t>f01_nintei_suii</t>
        </is>
      </c>
      <c r="C5" s="6" t="inlineStr">
        <is>
          <t>協議会資料</t>
        </is>
      </c>
      <c r="D5" s="6" t="inlineStr">
        <is>
          <t>第1部2-1</t>
        </is>
      </c>
      <c r="E5" s="6" t="inlineStr">
        <is>
          <t>認定者数の推移（年度末基準）</t>
        </is>
      </c>
      <c r="F5" s="6" t="inlineStr">
        <is>
          <t>縦棒</t>
        </is>
      </c>
      <c r="G5" s="6" t="n">
        <v>1</v>
      </c>
      <c r="H5" s="6" t="n">
        <v>9</v>
      </c>
      <c r="I5" s="6" t="inlineStr">
        <is>
          <t>介護保険事業状況報告（年報）様式1の5</t>
        </is>
      </c>
    </row>
    <row r="6">
      <c r="A6" s="6" t="inlineStr">
        <is>
          <t>図2</t>
        </is>
      </c>
      <c r="B6" s="6" t="inlineStr">
        <is>
          <t>f02_nintei_bunkai</t>
        </is>
      </c>
      <c r="C6" s="6" t="inlineStr">
        <is>
          <t>協議会資料</t>
        </is>
      </c>
      <c r="D6" s="6" t="inlineStr">
        <is>
          <t>第1部2-4</t>
        </is>
      </c>
      <c r="E6" s="6" t="inlineStr">
        <is>
          <t>令和7年3月末→令和8年3月末の減少の年齢階層別内訳</t>
        </is>
      </c>
      <c r="F6" s="6" t="inlineStr">
        <is>
          <t>横棒</t>
        </is>
      </c>
      <c r="G6" s="6" t="n">
        <v>1</v>
      </c>
      <c r="H6" s="6" t="n">
        <v>3</v>
      </c>
      <c r="I6" s="6" t="inlineStr">
        <is>
          <t>年報 様式1の5</t>
        </is>
      </c>
    </row>
    <row r="7">
      <c r="A7" s="6" t="inlineStr">
        <is>
          <t>図3</t>
        </is>
      </c>
      <c r="B7" s="6" t="inlineStr">
        <is>
          <t>f03_kyufu_suii</t>
        </is>
      </c>
      <c r="C7" s="6" t="inlineStr">
        <is>
          <t>協議会資料</t>
        </is>
      </c>
      <c r="D7" s="6" t="inlineStr">
        <is>
          <t>第1部3-1</t>
        </is>
      </c>
      <c r="E7" s="6" t="inlineStr">
        <is>
          <t>総給付費と標準給付費の推移</t>
        </is>
      </c>
      <c r="F7" s="6" t="inlineStr">
        <is>
          <t>折れ線</t>
        </is>
      </c>
      <c r="G7" s="6" t="n">
        <v>2</v>
      </c>
      <c r="H7" s="6" t="n">
        <v>5</v>
      </c>
      <c r="I7" s="6" t="inlineStr">
        <is>
          <t>年報 様式3</t>
        </is>
      </c>
    </row>
    <row r="8">
      <c r="A8" s="6" t="inlineStr">
        <is>
          <t>図4</t>
        </is>
      </c>
      <c r="B8" s="6" t="inlineStr">
        <is>
          <t>f04_dai9_taihi</t>
        </is>
      </c>
      <c r="C8" s="6" t="inlineStr">
        <is>
          <t>協議会資料</t>
        </is>
      </c>
      <c r="D8" s="6" t="inlineStr">
        <is>
          <t>第1部3-1</t>
        </is>
      </c>
      <c r="E8" s="6" t="inlineStr">
        <is>
          <t>第9期の見込みと実績（標準給付費）</t>
        </is>
      </c>
      <c r="F8" s="6" t="inlineStr">
        <is>
          <t>縦棒</t>
        </is>
      </c>
      <c r="G8" s="6" t="n">
        <v>2</v>
      </c>
      <c r="H8" s="6" t="n">
        <v>2</v>
      </c>
      <c r="I8" s="6" t="inlineStr">
        <is>
          <t>第9期計画本文及び年報 様式3</t>
        </is>
      </c>
    </row>
    <row r="9">
      <c r="A9" s="6" t="inlineStr">
        <is>
          <t>図5</t>
        </is>
      </c>
      <c r="B9" s="6" t="inlineStr">
        <is>
          <t>f05_service</t>
        </is>
      </c>
      <c r="C9" s="6" t="inlineStr">
        <is>
          <t>協議会資料</t>
        </is>
      </c>
      <c r="D9" s="6" t="inlineStr">
        <is>
          <t>第1部3-2</t>
        </is>
      </c>
      <c r="E9" s="6" t="inlineStr">
        <is>
          <t>サービス種類別の給付費</t>
        </is>
      </c>
      <c r="F9" s="6" t="inlineStr">
        <is>
          <t>折れ線・横棒</t>
        </is>
      </c>
      <c r="G9" s="6" t="n">
        <v>2</v>
      </c>
      <c r="H9" s="6" t="n">
        <v>11</v>
      </c>
      <c r="I9" s="6" t="inlineStr">
        <is>
          <t>国保連合会業務統計表（月報）</t>
        </is>
      </c>
    </row>
    <row r="10">
      <c r="A10" s="6" t="inlineStr">
        <is>
          <t>図6</t>
        </is>
      </c>
      <c r="B10" s="6" t="inlineStr">
        <is>
          <t>f06_chiiki</t>
        </is>
      </c>
      <c r="C10" s="6" t="inlineStr">
        <is>
          <t>協議会資料</t>
        </is>
      </c>
      <c r="D10" s="6" t="inlineStr">
        <is>
          <t>第1部4-1</t>
        </is>
      </c>
      <c r="E10" s="6" t="inlineStr">
        <is>
          <t>地域支援事業費の推移</t>
        </is>
      </c>
      <c r="F10" s="6" t="inlineStr">
        <is>
          <t>縦棒</t>
        </is>
      </c>
      <c r="G10" s="6" t="n">
        <v>3</v>
      </c>
      <c r="H10" s="6" t="n">
        <v>4</v>
      </c>
      <c r="I10" s="6" t="inlineStr">
        <is>
          <t>年報 様式4</t>
        </is>
      </c>
    </row>
    <row r="11">
      <c r="A11" s="6" t="inlineStr">
        <is>
          <t>図7</t>
        </is>
      </c>
      <c r="B11" s="6" t="inlineStr">
        <is>
          <t>f07_riyou</t>
        </is>
      </c>
      <c r="C11" s="6" t="inlineStr">
        <is>
          <t>協議会資料</t>
        </is>
      </c>
      <c r="D11" s="6" t="inlineStr">
        <is>
          <t>第1部3-3</t>
        </is>
      </c>
      <c r="E11" s="6" t="inlineStr">
        <is>
          <t>在宅サービスの利用強度</t>
        </is>
      </c>
      <c r="F11" s="6" t="inlineStr">
        <is>
          <t>横棒</t>
        </is>
      </c>
      <c r="G11" s="6" t="n">
        <v>2</v>
      </c>
      <c r="H11" s="6" t="n">
        <v>5</v>
      </c>
      <c r="I11" s="6" t="inlineStr">
        <is>
          <t>見える化システム</t>
        </is>
      </c>
    </row>
    <row r="12">
      <c r="A12" s="6" t="inlineStr">
        <is>
          <t>図8</t>
        </is>
      </c>
      <c r="B12" s="6" t="inlineStr">
        <is>
          <t>f08_hokenryo</t>
        </is>
      </c>
      <c r="C12" s="6" t="inlineStr">
        <is>
          <t>協議会資料・素案・打合せ資料</t>
        </is>
      </c>
      <c r="D12" s="6" t="inlineStr">
        <is>
          <t>協議会資料 第1部6／素案 第6章5／打合せ資料 第2章</t>
        </is>
      </c>
      <c r="E12" s="6" t="inlineStr">
        <is>
          <t>保険料基準額の選択肢（100円未満切上げ後）</t>
        </is>
      </c>
      <c r="F12" s="6" t="inlineStr">
        <is>
          <t>折れ線・横棒</t>
        </is>
      </c>
      <c r="G12" s="6" t="n">
        <v>2</v>
      </c>
      <c r="H12" s="6" t="n">
        <v>4</v>
      </c>
      <c r="I12" s="6" t="inlineStr">
        <is>
          <t>本業務による算定及び見える化システムの出力</t>
        </is>
      </c>
    </row>
    <row r="13">
      <c r="A13" s="6" t="inlineStr">
        <is>
          <t>図9</t>
        </is>
      </c>
      <c r="B13" s="6" t="inlineStr">
        <is>
          <t>f09_zaisei</t>
        </is>
      </c>
      <c r="C13" s="6" t="inlineStr">
        <is>
          <t>協議会資料</t>
        </is>
      </c>
      <c r="D13" s="6" t="inlineStr">
        <is>
          <t>第1部6-1</t>
        </is>
      </c>
      <c r="E13" s="6" t="inlineStr">
        <is>
          <t>介護保険特別会計の状況</t>
        </is>
      </c>
      <c r="F13" s="6" t="inlineStr">
        <is>
          <t>縦棒</t>
        </is>
      </c>
      <c r="G13" s="6" t="n">
        <v>1</v>
      </c>
      <c r="H13" s="6" t="n">
        <v>4</v>
      </c>
      <c r="I13" s="6" t="inlineStr">
        <is>
          <t>年報 様式4</t>
        </is>
      </c>
    </row>
    <row r="14">
      <c r="A14" s="6" t="inlineStr">
        <is>
          <t>図10</t>
        </is>
      </c>
      <c r="B14" s="6" t="inlineStr">
        <is>
          <t>f21_jinko</t>
        </is>
      </c>
      <c r="C14" s="6" t="inlineStr">
        <is>
          <t>素案</t>
        </is>
      </c>
      <c r="D14" s="6" t="inlineStr">
        <is>
          <t>第2章1</t>
        </is>
      </c>
      <c r="E14" s="6" t="inlineStr">
        <is>
          <t>総人口と高齢化率の推移・推計</t>
        </is>
      </c>
      <c r="F14" s="6" t="inlineStr">
        <is>
          <t>折れ線・縦棒</t>
        </is>
      </c>
      <c r="G14" s="6" t="n">
        <v>2</v>
      </c>
      <c r="H14" s="6" t="n">
        <v>7</v>
      </c>
      <c r="I14" s="6" t="inlineStr">
        <is>
          <t>第10期将来推計用推計人口</t>
        </is>
      </c>
    </row>
    <row r="15">
      <c r="A15" s="6" t="inlineStr">
        <is>
          <t>図11</t>
        </is>
      </c>
      <c r="B15" s="6" t="inlineStr">
        <is>
          <t>f23_kubun</t>
        </is>
      </c>
      <c r="C15" s="6" t="inlineStr">
        <is>
          <t>素案</t>
        </is>
      </c>
      <c r="D15" s="6" t="inlineStr">
        <is>
          <t>第6章2</t>
        </is>
      </c>
      <c r="E15" s="6" t="inlineStr">
        <is>
          <t>区分別の給付費の見込み</t>
        </is>
      </c>
      <c r="F15" s="6" t="inlineStr">
        <is>
          <t>横棒・縦棒</t>
        </is>
      </c>
      <c r="G15" s="6" t="n">
        <v>3</v>
      </c>
      <c r="H15" s="6" t="n">
        <v>3</v>
      </c>
      <c r="I15" s="6" t="inlineStr">
        <is>
          <t>本業務による算定</t>
        </is>
      </c>
    </row>
    <row r="16">
      <c r="A16" s="6" t="inlineStr">
        <is>
          <t>図12</t>
        </is>
      </c>
      <c r="B16" s="6" t="inlineStr">
        <is>
          <t>f31_jinzai</t>
        </is>
      </c>
      <c r="C16" s="6" t="inlineStr">
        <is>
          <t>総合事業ワークシートの確認結果</t>
        </is>
      </c>
      <c r="D16" s="6" t="inlineStr">
        <is>
          <t>第3章</t>
        </is>
      </c>
      <c r="E16" s="6" t="inlineStr">
        <is>
          <t>介護人材の需要と供給の見通し</t>
        </is>
      </c>
      <c r="F16" s="6" t="inlineStr">
        <is>
          <t>折れ線・縦棒</t>
        </is>
      </c>
      <c r="G16" s="6" t="n">
        <v>2</v>
      </c>
      <c r="H16" s="6" t="n">
        <v>7</v>
      </c>
      <c r="I16" s="6" t="inlineStr">
        <is>
          <t>国の（改修版）総合事業の充実に向けたワークシート</t>
        </is>
      </c>
    </row>
    <row r="17">
      <c r="A17" s="6" t="inlineStr">
        <is>
          <t>図13</t>
        </is>
      </c>
      <c r="B17" s="6" t="inlineStr">
        <is>
          <t>f32_keido</t>
        </is>
      </c>
      <c r="C17" s="6" t="inlineStr">
        <is>
          <t>総合事業ワークシートの確認結果</t>
        </is>
      </c>
      <c r="D17" s="6" t="inlineStr">
        <is>
          <t>第2章</t>
        </is>
      </c>
      <c r="E17" s="6" t="inlineStr">
        <is>
          <t>調整済み軽度認定率</t>
        </is>
      </c>
      <c r="F17" s="6" t="inlineStr">
        <is>
          <t>折れ線</t>
        </is>
      </c>
      <c r="G17" s="6" t="n">
        <v>1</v>
      </c>
      <c r="H17" s="6" t="n">
        <v>8</v>
      </c>
      <c r="I17" s="6" t="inlineStr">
        <is>
          <t>同上</t>
        </is>
      </c>
    </row>
    <row r="18">
      <c r="A18" s="6" t="inlineStr">
        <is>
          <t>図14</t>
        </is>
      </c>
      <c r="B18" s="6" t="inlineStr">
        <is>
          <t>f33_chosa</t>
        </is>
      </c>
      <c r="C18" s="6" t="inlineStr">
        <is>
          <t>総合事業ワークシートの確認結果</t>
        </is>
      </c>
      <c r="D18" s="6" t="inlineStr">
        <is>
          <t>第4章</t>
        </is>
      </c>
      <c r="E18" s="6" t="inlineStr">
        <is>
          <t>総合事業の実施状況調査の回答</t>
        </is>
      </c>
      <c r="F18" s="6" t="inlineStr">
        <is>
          <t>縦棒</t>
        </is>
      </c>
      <c r="G18" s="6" t="n">
        <v>4</v>
      </c>
      <c r="H18" s="6" t="n">
        <v>5</v>
      </c>
      <c r="I18" s="6" t="inlineStr">
        <is>
          <t>同上</t>
        </is>
      </c>
    </row>
    <row r="19">
      <c r="A19" s="6" t="inlineStr">
        <is>
          <t>図15</t>
        </is>
      </c>
      <c r="B19" s="6" t="inlineStr">
        <is>
          <t>f41_kofukin_moku</t>
        </is>
      </c>
      <c r="C19" s="6" t="inlineStr">
        <is>
          <t>給付適正化と交付金の取りまとめ</t>
        </is>
      </c>
      <c r="D19" s="6" t="inlineStr">
        <is>
          <t>第2章</t>
        </is>
      </c>
      <c r="E19" s="6" t="inlineStr">
        <is>
          <t>目標別の得点（小野町と全国平均）</t>
        </is>
      </c>
      <c r="F19" s="6" t="inlineStr">
        <is>
          <t>横棒</t>
        </is>
      </c>
      <c r="G19" s="6" t="n">
        <v>3</v>
      </c>
      <c r="H19" s="6" t="n">
        <v>8</v>
      </c>
      <c r="I19" s="6" t="inlineStr">
        <is>
          <t>令和8年度交付金 該当状況調査票集計表（市町村分）</t>
        </is>
      </c>
    </row>
    <row r="20">
      <c r="A20" s="6" t="inlineStr">
        <is>
          <t>図16</t>
        </is>
      </c>
      <c r="B20" s="6" t="inlineStr">
        <is>
          <t>f42_kofukin_gun</t>
        </is>
      </c>
      <c r="C20" s="7" t="inlineStr">
        <is>
          <t>（差し込み先なし）</t>
        </is>
      </c>
      <c r="D20" s="6" t="inlineStr">
        <is>
          <t>―</t>
        </is>
      </c>
      <c r="E20" s="6" t="inlineStr">
        <is>
          <t>指標群別の得点</t>
        </is>
      </c>
      <c r="F20" s="6" t="inlineStr">
        <is>
          <t>―</t>
        </is>
      </c>
      <c r="G20" s="6" t="n">
        <v>0</v>
      </c>
      <c r="H20" s="6" t="n">
        <v>0</v>
      </c>
      <c r="I20" s="6" t="inlineStr">
        <is>
          <t>令和8年度交付金 該当状況調査票集計表（市町村分）</t>
        </is>
      </c>
    </row>
    <row r="21">
      <c r="A21" s="6" t="inlineStr">
        <is>
          <t>図17</t>
        </is>
      </c>
      <c r="B21" s="6" t="inlineStr">
        <is>
          <t>f43_torikaeshi</t>
        </is>
      </c>
      <c r="C21" s="6" t="inlineStr">
        <is>
          <t>給付適正化と交付金の取りまとめ</t>
        </is>
      </c>
      <c r="D21" s="6" t="inlineStr">
        <is>
          <t>第7章</t>
        </is>
      </c>
      <c r="E21" s="6" t="inlineStr">
        <is>
          <t>全国平均に届いていない指標（伸びしろ）</t>
        </is>
      </c>
      <c r="F21" s="6" t="inlineStr">
        <is>
          <t>横棒</t>
        </is>
      </c>
      <c r="G21" s="6" t="n">
        <v>2</v>
      </c>
      <c r="H21" s="6" t="n">
        <v>10</v>
      </c>
      <c r="I21" s="6" t="inlineStr">
        <is>
          <t>同上</t>
        </is>
      </c>
    </row>
    <row r="22">
      <c r="A22" s="6" t="inlineStr">
        <is>
          <t>図18</t>
        </is>
      </c>
      <c r="B22" s="6" t="inlineStr">
        <is>
          <t>f44_kofukin_tatsu</t>
        </is>
      </c>
      <c r="C22" s="6" t="inlineStr">
        <is>
          <t>給付適正化と交付金の取りまとめ</t>
        </is>
      </c>
      <c r="D22" s="6" t="inlineStr">
        <is>
          <t>第2章</t>
        </is>
      </c>
      <c r="E22" s="6" t="inlineStr">
        <is>
          <t>指標群別の到達度</t>
        </is>
      </c>
      <c r="F22" s="6" t="inlineStr">
        <is>
          <t>横棒</t>
        </is>
      </c>
      <c r="G22" s="6" t="n">
        <v>2</v>
      </c>
      <c r="H22" s="6" t="n">
        <v>12</v>
      </c>
      <c r="I22" s="6" t="inlineStr">
        <is>
          <t>同上</t>
        </is>
      </c>
    </row>
    <row r="23">
      <c r="A23" s="6" t="inlineStr">
        <is>
          <t>図19</t>
        </is>
      </c>
      <c r="B23" s="6" t="inlineStr">
        <is>
          <t>f45_kofukin_bunpu</t>
        </is>
      </c>
      <c r="C23" s="6" t="inlineStr">
        <is>
          <t>給付適正化と交付金の取りまとめ</t>
        </is>
      </c>
      <c r="D23" s="6" t="inlineStr">
        <is>
          <t>第3章</t>
        </is>
      </c>
      <c r="E23" s="6" t="inlineStr">
        <is>
          <t>県内の得点の分布と小野町の位置</t>
        </is>
      </c>
      <c r="F23" s="6" t="inlineStr">
        <is>
          <t>折れ線・縦棒</t>
        </is>
      </c>
      <c r="G23" s="6" t="n">
        <v>3</v>
      </c>
      <c r="H23" s="6" t="n">
        <v>8</v>
      </c>
      <c r="I23" s="6" t="inlineStr">
        <is>
          <t>同上</t>
        </is>
      </c>
    </row>
    <row r="24">
      <c r="A24" s="6" t="inlineStr">
        <is>
          <t>図20</t>
        </is>
      </c>
      <c r="B24" s="6" t="inlineStr">
        <is>
          <t>f46_nyutaiin</t>
        </is>
      </c>
      <c r="C24" s="6" t="inlineStr">
        <is>
          <t>給付適正化と交付金の取りまとめ</t>
        </is>
      </c>
      <c r="D24" s="6" t="inlineStr">
        <is>
          <t>第5章(4)</t>
        </is>
      </c>
      <c r="E24" s="6" t="inlineStr">
        <is>
          <t>入退院支援と人生の最終段階における支援の位置（活動指標群）</t>
        </is>
      </c>
      <c r="F24" s="6" t="inlineStr">
        <is>
          <t>横棒</t>
        </is>
      </c>
      <c r="G24" s="6" t="n">
        <v>2</v>
      </c>
      <c r="H24" s="6" t="n">
        <v>4</v>
      </c>
      <c r="I24" s="6" t="inlineStr">
        <is>
          <t>同上</t>
        </is>
      </c>
    </row>
    <row r="25">
      <c r="A25" s="6" t="inlineStr">
        <is>
          <t>図21</t>
        </is>
      </c>
      <c r="B25" s="6" t="inlineStr">
        <is>
          <t>f47_ninchisho</t>
        </is>
      </c>
      <c r="C25" s="6" t="inlineStr">
        <is>
          <t>計画素案・協議会資料</t>
        </is>
      </c>
      <c r="D25" s="6" t="inlineStr">
        <is>
          <t>素案 第5章 基本目標2③／協議会資料 第1部4-3</t>
        </is>
      </c>
      <c r="E25" s="6" t="inlineStr">
        <is>
          <t>認知症施策の体制と活動</t>
        </is>
      </c>
      <c r="F25" s="6" t="inlineStr">
        <is>
          <t>縦棒</t>
        </is>
      </c>
      <c r="G25" s="6" t="n">
        <v>1</v>
      </c>
      <c r="H25" s="6" t="n">
        <v>2</v>
      </c>
      <c r="I25" s="6" t="inlineStr">
        <is>
          <t>見える化システム J16・J17・J18（厚生労働省「認知症総合支援事業等実施状況調べ」）</t>
        </is>
      </c>
    </row>
    <row r="26">
      <c r="A26" s="6" t="inlineStr">
        <is>
          <t>図22</t>
        </is>
      </c>
      <c r="B26" s="6" t="inlineStr">
        <is>
          <t>f48_kayoi</t>
        </is>
      </c>
      <c r="C26" s="6" t="inlineStr">
        <is>
          <t>計画素案・協議会資料</t>
        </is>
      </c>
      <c r="D26" s="6" t="inlineStr">
        <is>
          <t>素案 第5章 基本目標1②／協議会資料 第1部4-2</t>
        </is>
      </c>
      <c r="E26" s="6" t="inlineStr">
        <is>
          <t>通いの場の実施状況と調査の回答</t>
        </is>
      </c>
      <c r="F26" s="6" t="inlineStr">
        <is>
          <t>縦棒</t>
        </is>
      </c>
      <c r="G26" s="6" t="n">
        <v>2</v>
      </c>
      <c r="H26" s="6" t="n">
        <v>8</v>
      </c>
      <c r="I26" s="6" t="inlineStr">
        <is>
          <t>見える化システム F1〜F6及び令和7年度ニーズ調査</t>
        </is>
      </c>
    </row>
    <row r="27">
      <c r="A27" s="6" t="inlineStr">
        <is>
          <t>図23</t>
        </is>
      </c>
      <c r="B27" s="6" t="inlineStr">
        <is>
          <t>f49_yokaigo</t>
        </is>
      </c>
      <c r="C27" s="6" t="inlineStr">
        <is>
          <t>給付適正化と交付金の取りまとめ</t>
        </is>
      </c>
      <c r="D27" s="6" t="inlineStr">
        <is>
          <t>第2章(4)</t>
        </is>
      </c>
      <c r="E27" s="6" t="inlineStr">
        <is>
          <t>成果指標群（目標Ⅳ）の指標別得点と、健康寿命が0点である理由</t>
        </is>
      </c>
      <c r="F27" s="6" t="inlineStr">
        <is>
          <t>横棒</t>
        </is>
      </c>
      <c r="G27" s="6" t="n">
        <v>2</v>
      </c>
      <c r="H27" s="6" t="n">
        <v>5</v>
      </c>
      <c r="I27" s="6" t="inlineStr">
        <is>
          <t>令和8年度交付金 該当状況調査票集計表（市町村分）及び見える化システム W137・W144・W145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6" customWidth="1" min="3" max="3"/>
    <col width="8" customWidth="1" min="4" max="4"/>
    <col width="8" customWidth="1" min="5" max="5"/>
    <col width="14" customWidth="1" min="6" max="6"/>
  </cols>
  <sheetData>
    <row r="1">
      <c r="A1" s="1" t="inlineStr">
        <is>
          <t>02　表の台帳</t>
        </is>
      </c>
    </row>
    <row r="2" ht="30" customHeight="1">
      <c r="A2" s="2" t="inlineStr">
        <is>
          <t>成果品ごとの表と図の数。docx の中身を数えたもの。</t>
        </is>
      </c>
    </row>
    <row r="4" ht="28" customHeight="1">
      <c r="A4" s="5" t="inlineStr">
        <is>
          <t>成果品</t>
        </is>
      </c>
      <c r="B4" s="5" t="inlineStr">
        <is>
          <t>フォルダ</t>
        </is>
      </c>
      <c r="C4" s="5" t="inlineStr">
        <is>
          <t>ファイル</t>
        </is>
      </c>
      <c r="D4" s="5" t="inlineStr">
        <is>
          <t>表の数</t>
        </is>
      </c>
      <c r="E4" s="5" t="inlineStr">
        <is>
          <t>図の数</t>
        </is>
      </c>
      <c r="F4" s="5" t="inlineStr">
        <is>
          <t>状態</t>
        </is>
      </c>
    </row>
    <row r="5">
      <c r="A5" s="6" t="inlineStr">
        <is>
          <t>計画素案（第7版）</t>
        </is>
      </c>
      <c r="B5" s="6" t="inlineStr">
        <is>
          <t>03_計画素案</t>
        </is>
      </c>
      <c r="C5" s="6" t="inlineStr">
        <is>
          <t>小野町高齢者保健福祉計画_第10期介護保険事業計画_素案_第7版_20260929.docx</t>
        </is>
      </c>
      <c r="D5" s="6" t="n">
        <v>99</v>
      </c>
      <c r="E5" s="6" t="n">
        <v>5</v>
      </c>
      <c r="F5" s="8" t="inlineStr">
        <is>
          <t>あり</t>
        </is>
      </c>
    </row>
    <row r="6">
      <c r="A6" s="6" t="inlineStr">
        <is>
          <t>協議会資料（第3版）</t>
        </is>
      </c>
      <c r="B6" s="6" t="inlineStr">
        <is>
          <t>08_協議会資料</t>
        </is>
      </c>
      <c r="C6" s="6" t="inlineStr">
        <is>
          <t>小野町高齢者福祉サービス推進協議会資料_第9期計画の評価と令和7年度調査結果_20260929.docx</t>
        </is>
      </c>
      <c r="D6" s="6" t="n">
        <v>50</v>
      </c>
      <c r="E6" s="6" t="n">
        <v>11</v>
      </c>
      <c r="F6" s="8" t="inlineStr">
        <is>
          <t>あり</t>
        </is>
      </c>
    </row>
    <row r="7">
      <c r="A7" s="6" t="inlineStr">
        <is>
          <t>打合せ資料　現在地と論点</t>
        </is>
      </c>
      <c r="B7" s="6" t="inlineStr">
        <is>
          <t>19_打合せ</t>
        </is>
      </c>
      <c r="C7" s="6" t="inlineStr">
        <is>
          <t>小野町_打合せ資料_現在地と論点_20260929.docx</t>
        </is>
      </c>
      <c r="D7" s="6" t="n">
        <v>22</v>
      </c>
      <c r="E7" s="6" t="n">
        <v>1</v>
      </c>
      <c r="F7" s="8" t="inlineStr">
        <is>
          <t>あり</t>
        </is>
      </c>
    </row>
    <row r="8">
      <c r="A8" s="6" t="inlineStr">
        <is>
          <t>打合せ次第</t>
        </is>
      </c>
      <c r="B8" s="6" t="inlineStr">
        <is>
          <t>19_打合せ</t>
        </is>
      </c>
      <c r="C8" s="6" t="inlineStr">
        <is>
          <t>小野町_打合せ次第_20260929.docx</t>
        </is>
      </c>
      <c r="D8" s="6" t="n">
        <v>5</v>
      </c>
      <c r="E8" s="6" t="n">
        <v>0</v>
      </c>
      <c r="F8" s="8" t="inlineStr">
        <is>
          <t>あり</t>
        </is>
      </c>
    </row>
    <row r="9">
      <c r="A9" s="6" t="inlineStr">
        <is>
          <t>打合せ記録</t>
        </is>
      </c>
      <c r="B9" s="6" t="inlineStr">
        <is>
          <t>19_打合せ</t>
        </is>
      </c>
      <c r="C9" s="6" t="inlineStr">
        <is>
          <t>小野町_打合せ記録_20260929.docx</t>
        </is>
      </c>
      <c r="D9" s="6" t="n">
        <v>6</v>
      </c>
      <c r="E9" s="6" t="n">
        <v>0</v>
      </c>
      <c r="F9" s="8" t="inlineStr">
        <is>
          <t>あり</t>
        </is>
      </c>
    </row>
    <row r="10">
      <c r="A10" s="6" t="inlineStr">
        <is>
          <t>総合事業ワークシートの確認結果</t>
        </is>
      </c>
      <c r="B10" s="6" t="inlineStr">
        <is>
          <t>20_総合事業ワークシート</t>
        </is>
      </c>
      <c r="C10" s="6" t="inlineStr">
        <is>
          <t>小野町_総合事業ワークシートの確認結果_20260928.docx</t>
        </is>
      </c>
      <c r="D10" s="6" t="n">
        <v>20</v>
      </c>
      <c r="E10" s="6" t="n">
        <v>3</v>
      </c>
      <c r="F10" s="8" t="inlineStr">
        <is>
          <t>あり</t>
        </is>
      </c>
    </row>
    <row r="11">
      <c r="A11" s="6" t="inlineStr">
        <is>
          <t>給付適正化と交付金の取りまとめ</t>
        </is>
      </c>
      <c r="B11" s="6" t="inlineStr">
        <is>
          <t>21_給付適正化・交付金</t>
        </is>
      </c>
      <c r="C11" s="6" t="inlineStr">
        <is>
          <t>小野町_給付適正化と交付金の取りまとめ_20261004.docx</t>
        </is>
      </c>
      <c r="D11" s="6" t="n">
        <v>24</v>
      </c>
      <c r="E11" s="6" t="n">
        <v>6</v>
      </c>
      <c r="F11" s="8" t="inlineStr">
        <is>
          <t>あり</t>
        </is>
      </c>
    </row>
    <row r="12">
      <c r="A12" s="6" t="inlineStr">
        <is>
          <t>計画素案の構成の対比</t>
        </is>
      </c>
      <c r="B12" s="6" t="inlineStr">
        <is>
          <t>03_計画素案</t>
        </is>
      </c>
      <c r="C12" s="6" t="inlineStr">
        <is>
          <t>小野町_計画素案_構成の対比と漏れの点検_20260929.docx</t>
        </is>
      </c>
      <c r="D12" s="6" t="n">
        <v>8</v>
      </c>
      <c r="E12" s="6" t="n">
        <v>0</v>
      </c>
      <c r="F12" s="8" t="inlineStr">
        <is>
          <t>あり</t>
        </is>
      </c>
    </row>
    <row r="13">
      <c r="A13" s="6" t="inlineStr">
        <is>
          <t>令和7年度調査 集計結果・分析報告書</t>
        </is>
      </c>
      <c r="B13" s="6" t="inlineStr">
        <is>
          <t>14_アンケート集計</t>
        </is>
      </c>
      <c r="C13" s="6" t="inlineStr">
        <is>
          <t>小野町_令和7年度調査_集計結果・分析報告書_20260805.docx</t>
        </is>
      </c>
      <c r="D13" s="6" t="n">
        <v>72</v>
      </c>
      <c r="E13" s="6" t="n">
        <v>0</v>
      </c>
      <c r="F13" s="8" t="inlineStr">
        <is>
          <t>あり</t>
        </is>
      </c>
    </row>
    <row r="14">
      <c r="A14" s="7" t="inlineStr">
        <is>
          <t>計</t>
        </is>
      </c>
      <c r="B14" s="6" t="inlineStr"/>
      <c r="C14" s="6" t="inlineStr"/>
      <c r="D14" s="6" t="n">
        <v>306</v>
      </c>
      <c r="E14" s="6" t="n">
        <v>26</v>
      </c>
      <c r="F1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10" customWidth="1" min="4" max="4"/>
    <col width="44" customWidth="1" min="5" max="5"/>
  </cols>
  <sheetData>
    <row r="1">
      <c r="A1" s="1" t="inlineStr">
        <is>
          <t>03　交付金との紐付け</t>
        </is>
      </c>
    </row>
    <row r="2" ht="30" customHeight="1">
      <c r="A2" s="2" t="inlineStr">
        <is>
          <t>令和8年度交付金の評価指標が求める分析と、それを裏づける図表。</t>
        </is>
      </c>
    </row>
    <row r="4" ht="28" customHeight="1">
      <c r="A4" s="5" t="inlineStr">
        <is>
          <t>評価指標</t>
        </is>
      </c>
      <c r="B4" s="5" t="inlineStr">
        <is>
          <t>求められている分析</t>
        </is>
      </c>
      <c r="C4" s="5" t="inlineStr">
        <is>
          <t>裏づける図</t>
        </is>
      </c>
      <c r="D4" s="5" t="inlineStr">
        <is>
          <t>状態</t>
        </is>
      </c>
      <c r="E4" s="5" t="inlineStr">
        <is>
          <t>備考</t>
        </is>
      </c>
    </row>
    <row r="5">
      <c r="A5" s="6" t="inlineStr">
        <is>
          <t>推進Ⅰ(ⅰ)1</t>
        </is>
      </c>
      <c r="B5" s="6" t="inlineStr">
        <is>
          <t>地域の介護保険事業の特徴の把握</t>
        </is>
      </c>
      <c r="C5" s="6" t="inlineStr">
        <is>
          <t>f01_nintei_suii／f03_kyufu_suii／f05_service</t>
        </is>
      </c>
      <c r="D5" s="9" t="inlineStr">
        <is>
          <t>ある</t>
        </is>
      </c>
      <c r="E5" s="6" t="inlineStr"/>
    </row>
    <row r="6">
      <c r="A6" s="6" t="inlineStr">
        <is>
          <t>推進Ⅰ(ⅰ)2</t>
        </is>
      </c>
      <c r="B6" s="6" t="inlineStr">
        <is>
          <t>介護保険事業計画の進捗管理</t>
        </is>
      </c>
      <c r="C6" s="6" t="inlineStr">
        <is>
          <t>f04_dai9_taihi</t>
        </is>
      </c>
      <c r="D6" s="9" t="inlineStr">
        <is>
          <t>ある</t>
        </is>
      </c>
      <c r="E6" s="6" t="inlineStr"/>
    </row>
    <row r="7">
      <c r="A7" s="6" t="inlineStr">
        <is>
          <t>推進Ⅰ(ⅱ)</t>
        </is>
      </c>
      <c r="B7" s="6" t="inlineStr">
        <is>
          <t>保険給付の分析（受給者数・給付費）</t>
        </is>
      </c>
      <c r="C7" s="6" t="inlineStr">
        <is>
          <t>f03_kyufu_suii／f05_service／f07_riyou</t>
        </is>
      </c>
      <c r="D7" s="9" t="inlineStr">
        <is>
          <t>ある</t>
        </is>
      </c>
      <c r="E7" s="6" t="inlineStr"/>
    </row>
    <row r="8">
      <c r="A8" s="6" t="inlineStr">
        <is>
          <t>推進Ⅱ(ⅰ)</t>
        </is>
      </c>
      <c r="B8" s="6" t="inlineStr">
        <is>
          <t>介護給付適正化の取組</t>
        </is>
      </c>
      <c r="C8" s="6" t="inlineStr">
        <is>
          <t>f41_kofukin_moku／f42_kofukin_gun</t>
        </is>
      </c>
      <c r="D8" s="9" t="inlineStr">
        <is>
          <t>ある</t>
        </is>
      </c>
      <c r="E8" s="7" t="inlineStr">
        <is>
          <t>主要3事業の実施状況そのものを示す図はない</t>
        </is>
      </c>
    </row>
    <row r="9">
      <c r="A9" s="6" t="inlineStr">
        <is>
          <t>推進Ⅲ(ⅱ)</t>
        </is>
      </c>
      <c r="B9" s="6" t="inlineStr">
        <is>
          <t>介護人材の確保</t>
        </is>
      </c>
      <c r="C9" s="6" t="inlineStr">
        <is>
          <t>f31_jinzai</t>
        </is>
      </c>
      <c r="D9" s="9" t="inlineStr">
        <is>
          <t>ある</t>
        </is>
      </c>
      <c r="E9" s="6" t="inlineStr"/>
    </row>
    <row r="10">
      <c r="A10" s="6" t="inlineStr">
        <is>
          <t>推進Ⅳ／支援Ⅳ</t>
        </is>
      </c>
      <c r="B10" s="6" t="inlineStr">
        <is>
          <t>要介護度の変化・健康寿命</t>
        </is>
      </c>
      <c r="C10" s="6" t="inlineStr">
        <is>
          <t>f49_yokaigo</t>
        </is>
      </c>
      <c r="D10" s="9" t="inlineStr">
        <is>
          <t>ある</t>
        </is>
      </c>
      <c r="E10" s="7" t="inlineStr">
        <is>
          <t>令和8年10月4日に作成。成果指標群は15点（令和6年度交付金）から60点（令和8年度）へ伸びた。0点のまま残るのは健康寿命延伸の状況だけで、性・年齢調整済み要介護2以上の認定率が全国8.99％・県10.09％に対し小野町14.28％と高いことによる</t>
        </is>
      </c>
    </row>
    <row r="11">
      <c r="A11" s="6" t="inlineStr">
        <is>
          <t>支援Ⅰ(ⅰ)</t>
        </is>
      </c>
      <c r="B11" s="6" t="inlineStr">
        <is>
          <t>介護予防・日常生活支援総合事業</t>
        </is>
      </c>
      <c r="C11" s="6" t="inlineStr">
        <is>
          <t>f32_keido／f33_chosa／f48_kayoi</t>
        </is>
      </c>
      <c r="D11" s="9" t="inlineStr">
        <is>
          <t>ある</t>
        </is>
      </c>
      <c r="E11" s="7" t="inlineStr">
        <is>
          <t>令和8年10月1日に通いの場の図を作成。見える化は平成28年度以降0か所である一方、調査では13.8％が年に数回以上参加と回答。この食い違いの解明が要る</t>
        </is>
      </c>
    </row>
    <row r="12">
      <c r="A12" s="6" t="inlineStr">
        <is>
          <t>支援Ⅱ(ⅰ)</t>
        </is>
      </c>
      <c r="B12" s="6" t="inlineStr">
        <is>
          <t>自立支援・重度化防止（地域ケア会議）</t>
        </is>
      </c>
      <c r="C12" s="6" t="inlineStr">
        <is>
          <t>―</t>
        </is>
      </c>
      <c r="D12" s="10" t="inlineStr">
        <is>
          <t>ない</t>
        </is>
      </c>
      <c r="E12" s="7" t="inlineStr">
        <is>
          <t>地域ケア会議の開催回数・検討件数の図がない。町の事業実績が要る</t>
        </is>
      </c>
    </row>
    <row r="13">
      <c r="A13" s="6" t="inlineStr">
        <is>
          <t>支援Ⅲ(ⅱ)</t>
        </is>
      </c>
      <c r="B13" s="6" t="inlineStr">
        <is>
          <t>在宅医療・在宅介護連携（活動指標群）</t>
        </is>
      </c>
      <c r="C13" s="6" t="inlineStr">
        <is>
          <t>f46_nyutaiin</t>
        </is>
      </c>
      <c r="D13" s="9" t="inlineStr">
        <is>
          <t>ある</t>
        </is>
      </c>
      <c r="E13" s="7" t="inlineStr">
        <is>
          <t>令和8年9月29日に作成。入院時情報連携加算は上位1割で配点満点、退院・退所加算は上位7割にも入らず0点。ターミナルケア・看取りは上位7割</t>
        </is>
      </c>
    </row>
    <row r="14">
      <c r="A14" s="6" t="inlineStr">
        <is>
          <t>支援Ⅲ(ⅰ)</t>
        </is>
      </c>
      <c r="B14" s="6" t="inlineStr">
        <is>
          <t>在宅医療・在宅介護連携（体制・取組指標群）</t>
        </is>
      </c>
      <c r="C14" s="6" t="inlineStr">
        <is>
          <t>―</t>
        </is>
      </c>
      <c r="D14" s="10" t="inlineStr">
        <is>
          <t>ない</t>
        </is>
      </c>
      <c r="E14" s="7" t="inlineStr">
        <is>
          <t>0点の5枝番（4つの場面ごとの目指すべき姿の設定ほか）を示す図がない。表では示している（第5章(2)）</t>
        </is>
      </c>
    </row>
    <row r="15">
      <c r="A15" s="6" t="inlineStr">
        <is>
          <t>支援Ⅱ(ⅰ)</t>
        </is>
      </c>
      <c r="B15" s="6" t="inlineStr">
        <is>
          <t>認知症総合支援</t>
        </is>
      </c>
      <c r="C15" s="6" t="inlineStr">
        <is>
          <t>f47_ninchisho</t>
        </is>
      </c>
      <c r="D15" s="9" t="inlineStr">
        <is>
          <t>ある</t>
        </is>
      </c>
      <c r="E15" s="7" t="inlineStr">
        <is>
          <t>令和8年10月1日に作成。推進員1→4人、カフェ1か所で横ばい、初期集中支援チームの訪問実績0件。自立度Ⅱa以上の人数は時点（平成24年→令和6年）が体制の指標（令和3年→令和6年）と違うため、同じ図に並べていな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04　足りない図表</t>
        </is>
      </c>
    </row>
    <row r="2" ht="30" customHeight="1">
      <c r="A2" s="2" t="inlineStr">
        <is>
          <t>交付金の評価が求める分析のうち、裏づける図がないもの。</t>
        </is>
      </c>
    </row>
    <row r="4" ht="28" customHeight="1">
      <c r="A4" s="5" t="inlineStr">
        <is>
          <t>#</t>
        </is>
      </c>
      <c r="B4" s="5" t="inlineStr">
        <is>
          <t>作る図</t>
        </is>
      </c>
      <c r="C4" s="5" t="inlineStr">
        <is>
          <t>何のために</t>
        </is>
      </c>
      <c r="D4" s="5" t="inlineStr">
        <is>
          <t>もとになる資料</t>
        </is>
      </c>
      <c r="E4" s="5" t="inlineStr">
        <is>
          <t>優先</t>
        </is>
      </c>
    </row>
    <row r="5">
      <c r="A5" s="7" t="inlineStr">
        <is>
          <t>済</t>
        </is>
      </c>
      <c r="B5" s="7" t="inlineStr">
        <is>
          <t>入院時情報連携加算・退院・退所加算の算定者数割合</t>
        </is>
      </c>
      <c r="C5" s="7" t="inlineStr">
        <is>
          <t>支援Ⅲの失点45点のうち活動指標群20点の説明。入院時は上位1割で満点、退院時は上位7割にも入っていない</t>
        </is>
      </c>
      <c r="D5" s="6" t="inlineStr">
        <is>
          <t>令和8年度交付金 該当状況調査票集計表（受領済み）</t>
        </is>
      </c>
      <c r="E5" s="7" t="inlineStr">
        <is>
          <t>令和8年9月29日に作成（f46_nyutaiin）</t>
        </is>
      </c>
    </row>
    <row r="6">
      <c r="A6" s="7" t="inlineStr">
        <is>
          <t>済</t>
        </is>
      </c>
      <c r="B6" s="7" t="inlineStr">
        <is>
          <t>認知症施策の実績（推進員、カフェ、初期集中支援チームの訪問実績）</t>
        </is>
      </c>
      <c r="C6" s="6" t="inlineStr">
        <is>
          <t>第5章 基本目標2③ の現状と課題の裏づけ</t>
        </is>
      </c>
      <c r="D6" s="6" t="inlineStr">
        <is>
          <t>見える化システム J系列（受領済み）</t>
        </is>
      </c>
      <c r="E6" s="7" t="inlineStr">
        <is>
          <t>令和8年10月1日に作成（f47_ninchisho）</t>
        </is>
      </c>
    </row>
    <row r="7">
      <c r="A7" s="7" t="inlineStr">
        <is>
          <t>済</t>
        </is>
      </c>
      <c r="B7" s="7" t="inlineStr">
        <is>
          <t>通いの場の参加率・箇所数の推移</t>
        </is>
      </c>
      <c r="C7" s="6" t="inlineStr">
        <is>
          <t>第3章1の評価（週1回以上が0か所）と第5章 基本目標1② の裏づけ</t>
        </is>
      </c>
      <c r="D7" s="7" t="inlineStr">
        <is>
          <t>見える化システム F系列（受領済み）。F系列は令和2年度までで、令和3年度以降のデータがない</t>
        </is>
      </c>
      <c r="E7" s="7" t="inlineStr">
        <is>
          <t>令和8年10月1日に作成（f48_kayoi）。町の事業実績との食い違いの確認は引き続き要る</t>
        </is>
      </c>
    </row>
    <row r="8">
      <c r="A8" s="7" t="inlineStr">
        <is>
          <t>済</t>
        </is>
      </c>
      <c r="B8" s="7" t="inlineStr">
        <is>
          <t>要介護度の維持・改善（成果指標群 目標Ⅳ）</t>
        </is>
      </c>
      <c r="C8" s="6" t="inlineStr">
        <is>
          <t>推進Ⅳ・支援Ⅳ（成果指標群）の説明</t>
        </is>
      </c>
      <c r="D8" s="6" t="inlineStr">
        <is>
          <t>令和8年度交付金 該当状況調査票集計表（受領済み）、見える化システム W137・W144・W145（受領済み）</t>
        </is>
      </c>
      <c r="E8" s="7" t="inlineStr">
        <is>
          <t>令和8年10月4日に作成（f49_yokaigo）。15点→60点に伸び、0点は健康寿命延伸の状況だけである</t>
        </is>
      </c>
    </row>
    <row r="9">
      <c r="A9" s="6" t="inlineStr">
        <is>
          <t>5</t>
        </is>
      </c>
      <c r="B9" s="6" t="inlineStr">
        <is>
          <t>地域ケア会議の開催回数・検討件数</t>
        </is>
      </c>
      <c r="C9" s="6" t="inlineStr">
        <is>
          <t>支援Ⅱ(ⅰ)の説明、第5章 基本目標3① の成果指標</t>
        </is>
      </c>
      <c r="D9" s="7" t="inlineStr">
        <is>
          <t>町の事業実績（未受領）</t>
        </is>
      </c>
      <c r="E9" s="6" t="inlineStr">
        <is>
          <t>中</t>
        </is>
      </c>
    </row>
    <row r="10">
      <c r="A10" s="6" t="inlineStr">
        <is>
          <t>6</t>
        </is>
      </c>
      <c r="B10" s="6" t="inlineStr">
        <is>
          <t>主要3事業（要介護認定の適正化・ケアプラン点検・縦覧点検／医療情報との突合）の実施状況</t>
        </is>
      </c>
      <c r="C10" s="6" t="inlineStr">
        <is>
          <t>推進Ⅱ(ⅰ)の説明、給付適正化計画の目標の裏づけ</t>
        </is>
      </c>
      <c r="D10" s="7" t="inlineStr">
        <is>
          <t>町の適正化事業の実施報告（未受領）</t>
        </is>
      </c>
      <c r="E10" s="6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4" customWidth="1" min="3" max="3"/>
    <col width="34" customWidth="1" min="4" max="4"/>
  </cols>
  <sheetData>
    <row r="1">
      <c r="A1" s="1" t="inlineStr">
        <is>
          <t>05　出典の一覧</t>
        </is>
      </c>
    </row>
    <row r="2" ht="30" customHeight="1">
      <c r="A2" s="2" t="inlineStr">
        <is>
          <t>図が用いている一次資料。受領の状況を含む。</t>
        </is>
      </c>
    </row>
    <row r="4" ht="28" customHeight="1">
      <c r="A4" s="5" t="inlineStr">
        <is>
          <t>一次資料</t>
        </is>
      </c>
      <c r="B4" s="5" t="inlineStr">
        <is>
          <t>受領</t>
        </is>
      </c>
      <c r="C4" s="5" t="inlineStr">
        <is>
          <t>用いている図</t>
        </is>
      </c>
      <c r="D4" s="5" t="inlineStr">
        <is>
          <t>備考</t>
        </is>
      </c>
    </row>
    <row r="5">
      <c r="A5" s="6" t="inlineStr">
        <is>
          <t>同上</t>
        </is>
      </c>
      <c r="B5" s="6" t="inlineStr">
        <is>
          <t>受領済み</t>
        </is>
      </c>
      <c r="C5" s="6" t="inlineStr">
        <is>
          <t>図13／図14／図17／図18／図19／図20</t>
        </is>
      </c>
      <c r="D5" s="6" t="inlineStr"/>
    </row>
    <row r="6">
      <c r="A6" s="6" t="inlineStr">
        <is>
          <t>年報 様式4</t>
        </is>
      </c>
      <c r="B6" s="6" t="inlineStr">
        <is>
          <t>受領済み</t>
        </is>
      </c>
      <c r="C6" s="6" t="inlineStr">
        <is>
          <t>図6／図9</t>
        </is>
      </c>
      <c r="D6" s="6" t="inlineStr"/>
    </row>
    <row r="7">
      <c r="A7" s="6" t="inlineStr">
        <is>
          <t>令和8年度交付金 該当状況調査票集計表（市町村分）</t>
        </is>
      </c>
      <c r="B7" s="6" t="inlineStr">
        <is>
          <t>受領済み</t>
        </is>
      </c>
      <c r="C7" s="6" t="inlineStr">
        <is>
          <t>図15／図16</t>
        </is>
      </c>
      <c r="D7" s="6" t="inlineStr"/>
    </row>
    <row r="8">
      <c r="A8" s="6" t="inlineStr">
        <is>
          <t>介護保険事業状況報告（年報）様式1の5</t>
        </is>
      </c>
      <c r="B8" s="6" t="inlineStr">
        <is>
          <t>受領済み</t>
        </is>
      </c>
      <c r="C8" s="6" t="inlineStr">
        <is>
          <t>図1</t>
        </is>
      </c>
      <c r="D8" s="6" t="inlineStr"/>
    </row>
    <row r="9">
      <c r="A9" s="6" t="inlineStr">
        <is>
          <t>年報 様式1の5</t>
        </is>
      </c>
      <c r="B9" s="6" t="inlineStr">
        <is>
          <t>受領済み</t>
        </is>
      </c>
      <c r="C9" s="6" t="inlineStr">
        <is>
          <t>図2</t>
        </is>
      </c>
      <c r="D9" s="6" t="inlineStr"/>
    </row>
    <row r="10">
      <c r="A10" s="6" t="inlineStr">
        <is>
          <t>年報 様式3</t>
        </is>
      </c>
      <c r="B10" s="6" t="inlineStr">
        <is>
          <t>受領済み</t>
        </is>
      </c>
      <c r="C10" s="6" t="inlineStr">
        <is>
          <t>図3</t>
        </is>
      </c>
      <c r="D10" s="6" t="inlineStr"/>
    </row>
    <row r="11">
      <c r="A11" s="6" t="inlineStr">
        <is>
          <t>第9期計画本文及び年報 様式3</t>
        </is>
      </c>
      <c r="B11" s="6" t="inlineStr">
        <is>
          <t>受領済み</t>
        </is>
      </c>
      <c r="C11" s="6" t="inlineStr">
        <is>
          <t>図4</t>
        </is>
      </c>
      <c r="D11" s="6" t="inlineStr"/>
    </row>
    <row r="12">
      <c r="A12" s="6" t="inlineStr">
        <is>
          <t>国保連合会業務統計表（月報）</t>
        </is>
      </c>
      <c r="B12" s="6" t="inlineStr">
        <is>
          <t>受領済み</t>
        </is>
      </c>
      <c r="C12" s="6" t="inlineStr">
        <is>
          <t>図5</t>
        </is>
      </c>
      <c r="D12" s="6" t="inlineStr"/>
    </row>
    <row r="13">
      <c r="A13" s="6" t="inlineStr">
        <is>
          <t>見える化システム</t>
        </is>
      </c>
      <c r="B13" s="6" t="inlineStr">
        <is>
          <t>受領済み</t>
        </is>
      </c>
      <c r="C13" s="6" t="inlineStr">
        <is>
          <t>図7</t>
        </is>
      </c>
      <c r="D13" s="6" t="inlineStr"/>
    </row>
    <row r="14">
      <c r="A14" s="6" t="inlineStr">
        <is>
          <t>本業務による算定及び見える化システムの出力</t>
        </is>
      </c>
      <c r="B14" s="6" t="inlineStr">
        <is>
          <t>受領済み</t>
        </is>
      </c>
      <c r="C14" s="6" t="inlineStr">
        <is>
          <t>図8</t>
        </is>
      </c>
      <c r="D14" s="6" t="inlineStr"/>
    </row>
    <row r="15">
      <c r="A15" s="6" t="inlineStr">
        <is>
          <t>第10期将来推計用推計人口</t>
        </is>
      </c>
      <c r="B15" s="6" t="inlineStr">
        <is>
          <t>受領済み</t>
        </is>
      </c>
      <c r="C15" s="6" t="inlineStr">
        <is>
          <t>図10</t>
        </is>
      </c>
      <c r="D15" s="6" t="inlineStr"/>
    </row>
    <row r="16">
      <c r="A16" s="6" t="inlineStr">
        <is>
          <t>本業務による算定</t>
        </is>
      </c>
      <c r="B16" s="6" t="inlineStr">
        <is>
          <t>受領済み</t>
        </is>
      </c>
      <c r="C16" s="6" t="inlineStr">
        <is>
          <t>図11</t>
        </is>
      </c>
      <c r="D16" s="6" t="inlineStr"/>
    </row>
    <row r="17">
      <c r="A17" s="6" t="inlineStr">
        <is>
          <t>国の（改修版）総合事業の充実に向けたワークシート</t>
        </is>
      </c>
      <c r="B17" s="6" t="inlineStr">
        <is>
          <t>受領済み</t>
        </is>
      </c>
      <c r="C17" s="6" t="inlineStr">
        <is>
          <t>図12</t>
        </is>
      </c>
      <c r="D17" s="6" t="inlineStr"/>
    </row>
    <row r="18">
      <c r="A18" s="6" t="inlineStr">
        <is>
          <t>見える化システム J16・J17・J18（厚生労働省「認知症総合支援事業等実施状況調べ」）</t>
        </is>
      </c>
      <c r="B18" s="6" t="inlineStr">
        <is>
          <t>受領済み</t>
        </is>
      </c>
      <c r="C18" s="6" t="inlineStr">
        <is>
          <t>図21</t>
        </is>
      </c>
      <c r="D18" s="6" t="inlineStr"/>
    </row>
    <row r="19">
      <c r="A19" s="6" t="inlineStr">
        <is>
          <t>見える化システム F1〜F6及び令和7年度ニーズ調査</t>
        </is>
      </c>
      <c r="B19" s="6" t="inlineStr">
        <is>
          <t>受領済み</t>
        </is>
      </c>
      <c r="C19" s="6" t="inlineStr">
        <is>
          <t>図22</t>
        </is>
      </c>
      <c r="D19" s="6" t="inlineStr"/>
    </row>
    <row r="20">
      <c r="A20" s="6" t="inlineStr">
        <is>
          <t>令和8年度交付金 該当状況調査票集計表（市町村分）及び見える化システム W137・W144・W145</t>
        </is>
      </c>
      <c r="B20" s="6" t="inlineStr">
        <is>
          <t>受領済み</t>
        </is>
      </c>
      <c r="C20" s="6" t="inlineStr">
        <is>
          <t>図23</t>
        </is>
      </c>
      <c r="D20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図1　認定者数の推移（年度末基準）</t>
        </is>
      </c>
    </row>
    <row r="2">
      <c r="A2" s="12" t="inlineStr">
        <is>
          <t>差し込み先：協議会資料　第1部2-1　／　種類：縦棒　／　出所：介護保険事業状況報告（年報）様式1の5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平成30年 3月末</t>
        </is>
      </c>
      <c r="B5" s="6" t="n">
        <v>691</v>
      </c>
    </row>
    <row r="6">
      <c r="A6" s="6" t="inlineStr">
        <is>
          <t>令和元年 3月末</t>
        </is>
      </c>
      <c r="B6" s="6" t="n">
        <v>722</v>
      </c>
    </row>
    <row r="7">
      <c r="A7" s="6" t="inlineStr">
        <is>
          <t>令和2年 3月末</t>
        </is>
      </c>
      <c r="B7" s="6" t="n">
        <v>754</v>
      </c>
    </row>
    <row r="8">
      <c r="A8" s="6" t="inlineStr">
        <is>
          <t>令和3年 3月末</t>
        </is>
      </c>
      <c r="B8" s="6" t="n">
        <v>861</v>
      </c>
    </row>
    <row r="9">
      <c r="A9" s="6" t="inlineStr">
        <is>
          <t>令和4年 3月末</t>
        </is>
      </c>
      <c r="B9" s="6" t="n">
        <v>872</v>
      </c>
    </row>
    <row r="10">
      <c r="A10" s="6" t="inlineStr">
        <is>
          <t>令和5年 3月末</t>
        </is>
      </c>
      <c r="B10" s="6" t="n">
        <v>898</v>
      </c>
    </row>
    <row r="11">
      <c r="A11" s="6" t="inlineStr">
        <is>
          <t>令和6年 3月末</t>
        </is>
      </c>
      <c r="B11" s="6" t="n">
        <v>919</v>
      </c>
    </row>
    <row r="12">
      <c r="A12" s="6" t="inlineStr">
        <is>
          <t>令和7年 3月末</t>
        </is>
      </c>
      <c r="B12" s="6" t="n">
        <v>944</v>
      </c>
    </row>
    <row r="13">
      <c r="A13" s="6" t="inlineStr">
        <is>
          <t>令和8年 3月末</t>
        </is>
      </c>
      <c r="B13" s="6" t="n">
        <v>792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図2　令和7年3月末→令和8年3月末の減少の年齢階層別内訳</t>
        </is>
      </c>
    </row>
    <row r="2">
      <c r="A2" s="12" t="inlineStr">
        <is>
          <t>差し込み先：協議会資料　第1部2-4　／　種類：横棒　／　出所：年報 様式1の5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1</t>
        </is>
      </c>
      <c r="B5" s="6" t="n">
        <v>-117</v>
      </c>
    </row>
    <row r="6">
      <c r="A6" s="6" t="inlineStr">
        <is>
          <t>2</t>
        </is>
      </c>
      <c r="B6" s="6" t="n">
        <v>-25</v>
      </c>
    </row>
    <row r="7">
      <c r="A7" s="6" t="inlineStr">
        <is>
          <t>3</t>
        </is>
      </c>
      <c r="B7" s="6" t="n">
        <v>-10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図3　総給付費と標準給付費の推移</t>
        </is>
      </c>
    </row>
    <row r="2">
      <c r="A2" s="12" t="inlineStr">
        <is>
          <t>差し込み先：協議会資料　第1部3-1　／　種類：折れ線　／　出所：年報 様式3</t>
        </is>
      </c>
    </row>
    <row r="4" ht="28" customHeight="1">
      <c r="A4" s="5" t="inlineStr">
        <is>
          <t>区分</t>
        </is>
      </c>
      <c r="B4" s="5" t="inlineStr">
        <is>
          <t>標準給付費</t>
        </is>
      </c>
      <c r="C4" s="5" t="inlineStr">
        <is>
          <t>総給付費</t>
        </is>
      </c>
    </row>
    <row r="5">
      <c r="A5" s="6" t="inlineStr">
        <is>
          <t>令和3 年度</t>
        </is>
      </c>
      <c r="B5" s="6" t="n">
        <v>1135.0841</v>
      </c>
      <c r="C5" s="6" t="n">
        <v>1060.7054</v>
      </c>
    </row>
    <row r="6">
      <c r="A6" s="6" t="inlineStr">
        <is>
          <t>令和4 年度</t>
        </is>
      </c>
      <c r="B6" s="6" t="n">
        <v>1093.7098</v>
      </c>
      <c r="C6" s="6" t="n">
        <v>1022.7261</v>
      </c>
    </row>
    <row r="7">
      <c r="A7" s="6" t="inlineStr">
        <is>
          <t>令和5 年度</t>
        </is>
      </c>
      <c r="B7" s="6" t="n">
        <v>1105.098</v>
      </c>
      <c r="C7" s="6" t="n">
        <v>1026.3239</v>
      </c>
    </row>
    <row r="8">
      <c r="A8" s="6" t="inlineStr">
        <is>
          <t>令和6 年度</t>
        </is>
      </c>
      <c r="B8" s="6" t="n">
        <v>1169.47</v>
      </c>
      <c r="C8" s="6" t="n">
        <v>1085.9984</v>
      </c>
    </row>
    <row r="9">
      <c r="A9" s="6" t="inlineStr">
        <is>
          <t>令和7 年度</t>
        </is>
      </c>
      <c r="B9" s="6" t="n">
        <v>1083.5132</v>
      </c>
      <c r="C9" s="6" t="n">
        <v>1005.1441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図4　第9期の見込みと実績（標準給付費）</t>
        </is>
      </c>
    </row>
    <row r="2">
      <c r="A2" s="12" t="inlineStr">
        <is>
          <t>差し込み先：協議会資料　第1部3-1　／　種類：縦棒　／　出所：第9期計画本文及び年報 様式3</t>
        </is>
      </c>
    </row>
    <row r="4" ht="28" customHeight="1">
      <c r="A4" s="5" t="inlineStr">
        <is>
          <t>区分</t>
        </is>
      </c>
      <c r="B4" s="5" t="inlineStr">
        <is>
          <t>第9期の見込み</t>
        </is>
      </c>
      <c r="C4" s="5" t="inlineStr">
        <is>
          <t>実績</t>
        </is>
      </c>
    </row>
    <row r="5">
      <c r="A5" s="6" t="inlineStr">
        <is>
          <t>令和6年度</t>
        </is>
      </c>
      <c r="B5" s="6" t="n">
        <v>1185.894</v>
      </c>
      <c r="C5" s="6" t="n">
        <v>1169.47</v>
      </c>
    </row>
    <row r="6">
      <c r="A6" s="6" t="inlineStr">
        <is>
          <t>令和7年度</t>
        </is>
      </c>
      <c r="B6" s="6" t="n">
        <v>1189.712</v>
      </c>
      <c r="C6" s="6" t="n">
        <v>1083.5132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図5　サービス種類別の給付費</t>
        </is>
      </c>
    </row>
    <row r="2">
      <c r="A2" s="12" t="inlineStr">
        <is>
          <t>差し込み先：協議会資料　第1部3-2　／　種類：折れ線・横棒　／　出所：国保連合会業務統計表（月報）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</row>
    <row r="5">
      <c r="A5" s="6" t="inlineStr">
        <is>
          <t>-30</t>
        </is>
      </c>
      <c r="B5" s="6" t="n">
        <v>8.7158</v>
      </c>
      <c r="C5" s="6" t="n">
        <v>0</v>
      </c>
    </row>
    <row r="6">
      <c r="A6" s="6" t="inlineStr">
        <is>
          <t>-25</t>
        </is>
      </c>
      <c r="B6" s="6" t="n">
        <v>6.6235</v>
      </c>
      <c r="C6" s="6" t="n">
        <v>1</v>
      </c>
    </row>
    <row r="7">
      <c r="A7" s="6" t="inlineStr">
        <is>
          <t>-20</t>
        </is>
      </c>
      <c r="B7" s="6" t="n">
        <v>4.8952</v>
      </c>
      <c r="C7" s="6" t="n"/>
    </row>
    <row r="8">
      <c r="A8" s="6" t="inlineStr">
        <is>
          <t>-15</t>
        </is>
      </c>
      <c r="B8" s="6" t="n">
        <v>-4.0643</v>
      </c>
      <c r="C8" s="6" t="n"/>
    </row>
    <row r="9">
      <c r="A9" s="6" t="inlineStr">
        <is>
          <t>-10</t>
        </is>
      </c>
      <c r="B9" s="6" t="n">
        <v>-4.2546</v>
      </c>
      <c r="C9" s="6" t="n"/>
    </row>
    <row r="10">
      <c r="A10" s="6" t="inlineStr">
        <is>
          <t>-5</t>
        </is>
      </c>
      <c r="B10" s="6" t="n">
        <v>-6.4302</v>
      </c>
      <c r="C10" s="6" t="n"/>
    </row>
    <row r="11">
      <c r="A11" s="6" t="inlineStr">
        <is>
          <t>0</t>
        </is>
      </c>
      <c r="B11" s="6" t="n">
        <v>-6.5032</v>
      </c>
      <c r="C11" s="6" t="n"/>
    </row>
    <row r="12">
      <c r="A12" s="6" t="inlineStr">
        <is>
          <t>5</t>
        </is>
      </c>
      <c r="B12" s="6" t="n">
        <v>-6.5371</v>
      </c>
      <c r="C12" s="6" t="n"/>
    </row>
    <row r="13">
      <c r="A13" s="6" t="inlineStr">
        <is>
          <t>10</t>
        </is>
      </c>
      <c r="B13" s="6" t="n">
        <v>-9.417899999999999</v>
      </c>
      <c r="C13" s="6" t="n"/>
    </row>
    <row r="14">
      <c r="A14" s="6" t="inlineStr">
        <is>
          <t>15</t>
        </is>
      </c>
      <c r="B14" s="6" t="n">
        <v>-15.9078</v>
      </c>
      <c r="C14" s="6" t="n"/>
    </row>
    <row r="15">
      <c r="A15" s="6" t="inlineStr">
        <is>
          <t>20</t>
        </is>
      </c>
      <c r="B15" s="6" t="n">
        <v>-20.5381</v>
      </c>
      <c r="C15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図6　地域支援事業費の推移</t>
        </is>
      </c>
    </row>
    <row r="2">
      <c r="A2" s="12" t="inlineStr">
        <is>
          <t>差し込み先：協議会資料　第1部4-1　／　種類：縦棒　／　出所：年報 様式4</t>
        </is>
      </c>
    </row>
    <row r="4" ht="28" customHeight="1">
      <c r="A4" s="5" t="inlineStr">
        <is>
          <t>区分</t>
        </is>
      </c>
      <c r="B4" s="5" t="inlineStr">
        <is>
          <t>介護予防・生活支援サービス事業</t>
        </is>
      </c>
      <c r="C4" s="5" t="inlineStr">
        <is>
          <t>一般介護予防事業</t>
        </is>
      </c>
      <c r="D4" s="5" t="inlineStr">
        <is>
          <t>包括的支援事業・任意事業</t>
        </is>
      </c>
    </row>
    <row r="5">
      <c r="A5" s="6" t="inlineStr">
        <is>
          <t>令和3年度</t>
        </is>
      </c>
      <c r="B5" s="6" t="n">
        <v>31.013</v>
      </c>
      <c r="C5" s="6" t="n">
        <v>1.2058</v>
      </c>
      <c r="D5" s="6" t="n">
        <v>23.3106</v>
      </c>
    </row>
    <row r="6">
      <c r="A6" s="6" t="inlineStr">
        <is>
          <t>令和4年度</t>
        </is>
      </c>
      <c r="B6" s="6" t="n">
        <v>31.4241</v>
      </c>
      <c r="C6" s="6" t="n">
        <v>1.0214</v>
      </c>
      <c r="D6" s="6" t="n">
        <v>24.8327</v>
      </c>
    </row>
    <row r="7">
      <c r="A7" s="6" t="inlineStr">
        <is>
          <t>令和5年度</t>
        </is>
      </c>
      <c r="B7" s="6" t="n">
        <v>34.6767</v>
      </c>
      <c r="C7" s="6" t="n">
        <v>0.9937</v>
      </c>
      <c r="D7" s="6" t="n">
        <v>27.6045</v>
      </c>
    </row>
    <row r="8">
      <c r="A8" s="6" t="inlineStr">
        <is>
          <t>令和6年度</t>
        </is>
      </c>
      <c r="B8" s="6" t="n">
        <v>29.2763</v>
      </c>
      <c r="C8" s="6" t="n">
        <v>5.3047</v>
      </c>
      <c r="D8" s="6" t="n">
        <v>29.3352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図7　在宅サービスの利用強度</t>
        </is>
      </c>
    </row>
    <row r="2">
      <c r="A2" s="12" t="inlineStr">
        <is>
          <t>差し込み先：協議会資料　第1部3-3　／　種類：横棒　／　出所：見える化システム</t>
        </is>
      </c>
    </row>
    <row r="4" ht="28" customHeight="1">
      <c r="A4" s="5" t="inlineStr">
        <is>
          <t>区分</t>
        </is>
      </c>
      <c r="B4" s="5" t="inlineStr">
        <is>
          <t>平成26年度</t>
        </is>
      </c>
      <c r="C4" s="5" t="inlineStr">
        <is>
          <t>令和7年度</t>
        </is>
      </c>
    </row>
    <row r="5">
      <c r="A5" s="6" t="inlineStr">
        <is>
          <t>1</t>
        </is>
      </c>
      <c r="B5" s="6" t="n">
        <v>12.2</v>
      </c>
      <c r="C5" s="6" t="n">
        <v>10.3</v>
      </c>
    </row>
    <row r="6">
      <c r="A6" s="6" t="inlineStr">
        <is>
          <t>2</t>
        </is>
      </c>
      <c r="B6" s="6" t="n">
        <v>59.3</v>
      </c>
      <c r="C6" s="6" t="n">
        <v>44.1</v>
      </c>
    </row>
    <row r="7">
      <c r="A7" s="6" t="inlineStr">
        <is>
          <t>3</t>
        </is>
      </c>
      <c r="B7" s="6" t="n">
        <v>10.9</v>
      </c>
      <c r="C7" s="6" t="n">
        <v>15.7</v>
      </c>
    </row>
    <row r="8">
      <c r="A8" s="6" t="inlineStr">
        <is>
          <t>4</t>
        </is>
      </c>
      <c r="B8" s="6" t="n">
        <v>7.4</v>
      </c>
      <c r="C8" s="6" t="n">
        <v>9.300000000000001</v>
      </c>
    </row>
    <row r="9">
      <c r="A9" s="6" t="inlineStr">
        <is>
          <t>5</t>
        </is>
      </c>
      <c r="B9" s="6" t="n">
        <v>3.1</v>
      </c>
      <c r="C9" s="6" t="n">
        <v>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図8　保険料基準額の選択肢（100円未満切上げ後）</t>
        </is>
      </c>
    </row>
    <row r="2">
      <c r="A2" s="12" t="inlineStr">
        <is>
          <t>差し込み先：協議会資料・素案・打合せ資料　協議会資料 第1部6／素案 第6章5／打合せ資料 第2章　／　種類：折れ線・横棒　／　出所：本業務による算定及び見える化システムの出力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</row>
    <row r="5">
      <c r="A5" s="6" t="inlineStr">
        <is>
          <t>1</t>
        </is>
      </c>
      <c r="B5" s="6" t="n">
        <v>6100</v>
      </c>
      <c r="C5" s="6" t="n">
        <v>0</v>
      </c>
    </row>
    <row r="6">
      <c r="A6" s="6" t="inlineStr">
        <is>
          <t>2</t>
        </is>
      </c>
      <c r="B6" s="6" t="n">
        <v>6600</v>
      </c>
      <c r="C6" s="6" t="n">
        <v>1</v>
      </c>
    </row>
    <row r="7">
      <c r="A7" s="6" t="inlineStr">
        <is>
          <t>3</t>
        </is>
      </c>
      <c r="B7" s="6" t="n">
        <v>6000</v>
      </c>
      <c r="C7" s="6" t="n"/>
    </row>
    <row r="8">
      <c r="A8" s="6" t="inlineStr">
        <is>
          <t>4</t>
        </is>
      </c>
      <c r="B8" s="6" t="n">
        <v>6400</v>
      </c>
      <c r="C8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図9　介護保険特別会計の状況</t>
        </is>
      </c>
    </row>
    <row r="2">
      <c r="A2" s="12" t="inlineStr">
        <is>
          <t>差し込み先：協議会資料　第1部6-1　／　種類：縦棒　／　出所：年報 様式4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平成26年度</t>
        </is>
      </c>
      <c r="B5" s="6" t="n">
        <v>32.4</v>
      </c>
    </row>
    <row r="6">
      <c r="A6" s="6" t="inlineStr">
        <is>
          <t>平成30年度</t>
        </is>
      </c>
      <c r="B6" s="6" t="n">
        <v>49.9</v>
      </c>
    </row>
    <row r="7">
      <c r="A7" s="6" t="inlineStr">
        <is>
          <t>令和2年度</t>
        </is>
      </c>
      <c r="B7" s="6" t="n">
        <v>155.9</v>
      </c>
    </row>
    <row r="8">
      <c r="A8" s="6" t="inlineStr">
        <is>
          <t>令和5年度</t>
        </is>
      </c>
      <c r="B8" s="6" t="n">
        <v>182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図10　総人口と高齢化率の推移・推計</t>
        </is>
      </c>
    </row>
    <row r="2">
      <c r="A2" s="12" t="inlineStr">
        <is>
          <t>差し込み先：素案　第2章1　／　種類：折れ線・縦棒　／　出所：第10期将来推計用推計人口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（第2軸）</t>
        </is>
      </c>
    </row>
    <row r="5">
      <c r="A5" s="6" t="inlineStr">
        <is>
          <t>令和5</t>
        </is>
      </c>
      <c r="B5" s="6" t="n">
        <v>9314</v>
      </c>
      <c r="C5" s="6" t="n">
        <v>37.0303</v>
      </c>
    </row>
    <row r="6">
      <c r="A6" s="6" t="inlineStr">
        <is>
          <t>令和6</t>
        </is>
      </c>
      <c r="B6" s="6" t="n">
        <v>9132</v>
      </c>
      <c r="C6" s="6" t="n">
        <v>37.9435</v>
      </c>
    </row>
    <row r="7">
      <c r="A7" s="6" t="inlineStr">
        <is>
          <t>令和7</t>
        </is>
      </c>
      <c r="B7" s="6" t="n">
        <v>8951</v>
      </c>
      <c r="C7" s="6" t="n">
        <v>38.6549</v>
      </c>
    </row>
    <row r="8">
      <c r="A8" s="6" t="inlineStr">
        <is>
          <t>令和8</t>
        </is>
      </c>
      <c r="B8" s="6" t="n">
        <v>8771</v>
      </c>
      <c r="C8" s="6" t="n">
        <v>39.3228</v>
      </c>
    </row>
    <row r="9">
      <c r="A9" s="6" t="inlineStr">
        <is>
          <t>令和9</t>
        </is>
      </c>
      <c r="B9" s="6" t="n">
        <v>8591</v>
      </c>
      <c r="C9" s="6" t="n">
        <v>40.0186</v>
      </c>
    </row>
    <row r="10">
      <c r="A10" s="6" t="inlineStr">
        <is>
          <t>令和10</t>
        </is>
      </c>
      <c r="B10" s="6" t="n">
        <v>8411</v>
      </c>
      <c r="C10" s="6" t="n">
        <v>40.7562</v>
      </c>
    </row>
    <row r="11">
      <c r="A11" s="6" t="inlineStr">
        <is>
          <t>令和11</t>
        </is>
      </c>
      <c r="B11" s="6" t="n">
        <v>8232</v>
      </c>
      <c r="C11" s="6" t="n">
        <v>41.5209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図11　区分別の給付費の見込み</t>
        </is>
      </c>
    </row>
    <row r="2">
      <c r="A2" s="12" t="inlineStr">
        <is>
          <t>差し込み先：素案　第6章2　／　種類：横棒・縦棒　／　出所：本業務による算定</t>
        </is>
      </c>
    </row>
    <row r="4" ht="28" customHeight="1">
      <c r="A4" s="5" t="inlineStr">
        <is>
          <t>区分</t>
        </is>
      </c>
      <c r="B4" s="5" t="inlineStr">
        <is>
          <t>居宅</t>
        </is>
      </c>
      <c r="C4" s="5" t="inlineStr">
        <is>
          <t>地域密着型</t>
        </is>
      </c>
      <c r="D4" s="5" t="inlineStr">
        <is>
          <t>施設</t>
        </is>
      </c>
    </row>
    <row r="5">
      <c r="A5" s="6" t="inlineStr">
        <is>
          <t>令和9年度</t>
        </is>
      </c>
      <c r="B5" s="6" t="n">
        <v>352.6902</v>
      </c>
      <c r="C5" s="6" t="n">
        <v>318.448</v>
      </c>
      <c r="D5" s="6" t="n">
        <v>0.5600000000000001</v>
      </c>
    </row>
    <row r="6">
      <c r="A6" s="6" t="inlineStr">
        <is>
          <t>令和10年度</t>
        </is>
      </c>
      <c r="B6" s="6" t="n">
        <v>349.9788</v>
      </c>
      <c r="C6" s="6" t="n">
        <v>317.1092</v>
      </c>
      <c r="D6" s="6" t="n">
        <v>0.5600000000000001</v>
      </c>
    </row>
    <row r="7">
      <c r="A7" s="6" t="inlineStr">
        <is>
          <t>令和11年度</t>
        </is>
      </c>
      <c r="B7" s="6" t="n">
        <v>347.2674</v>
      </c>
      <c r="C7" s="6" t="n">
        <v>315.7705</v>
      </c>
      <c r="D7" s="6" t="n">
        <v>0.5600000000000001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図12　介護人材の需要と供給の見通し</t>
        </is>
      </c>
    </row>
    <row r="2">
      <c r="A2" s="12" t="inlineStr">
        <is>
          <t>差し込み先：総合事業ワークシートの確認結果　第3章　／　種類：折れ線・縦棒　／　出所：国の（改修版）総合事業の充実に向けたワークシート</t>
        </is>
      </c>
    </row>
    <row r="4" ht="28" customHeight="1">
      <c r="A4" s="5" t="inlineStr">
        <is>
          <t>区分</t>
        </is>
      </c>
      <c r="B4" s="5" t="inlineStr">
        <is>
          <t>認定者数の推計（需要）</t>
        </is>
      </c>
      <c r="C4" s="5" t="inlineStr">
        <is>
          <t>生産年齢人口で縮めた供給可能量</t>
        </is>
      </c>
    </row>
    <row r="5">
      <c r="A5" s="6" t="inlineStr">
        <is>
          <t>2020年</t>
        </is>
      </c>
      <c r="B5" s="6" t="n">
        <v>788</v>
      </c>
      <c r="C5" s="6" t="n">
        <v>788</v>
      </c>
    </row>
    <row r="6">
      <c r="A6" s="6" t="inlineStr">
        <is>
          <t>2025年</t>
        </is>
      </c>
      <c r="B6" s="6" t="n">
        <v>800</v>
      </c>
      <c r="C6" s="6" t="n">
        <v>722</v>
      </c>
    </row>
    <row r="7">
      <c r="A7" s="6" t="inlineStr">
        <is>
          <t>2030年</t>
        </is>
      </c>
      <c r="B7" s="6" t="n">
        <v>778</v>
      </c>
      <c r="C7" s="6" t="n">
        <v>656</v>
      </c>
    </row>
    <row r="8">
      <c r="A8" s="6" t="inlineStr">
        <is>
          <t>2035年</t>
        </is>
      </c>
      <c r="B8" s="6" t="n">
        <v>805</v>
      </c>
      <c r="C8" s="6" t="n">
        <v>589</v>
      </c>
    </row>
    <row r="9">
      <c r="A9" s="6" t="inlineStr">
        <is>
          <t>2040年</t>
        </is>
      </c>
      <c r="B9" s="6" t="n">
        <v>870</v>
      </c>
      <c r="C9" s="6" t="n">
        <v>525</v>
      </c>
    </row>
    <row r="10">
      <c r="A10" s="6" t="inlineStr">
        <is>
          <t>2045年</t>
        </is>
      </c>
      <c r="B10" s="6" t="n">
        <v>872</v>
      </c>
      <c r="C10" s="6" t="n">
        <v>463</v>
      </c>
    </row>
    <row r="11">
      <c r="A11" s="6" t="inlineStr">
        <is>
          <t>2050年</t>
        </is>
      </c>
      <c r="B11" s="6" t="n">
        <v>808</v>
      </c>
      <c r="C11" s="6" t="n">
        <v>404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図13　調整済み軽度認定率</t>
        </is>
      </c>
    </row>
    <row r="2">
      <c r="A2" s="12" t="inlineStr">
        <is>
          <t>差し込み先：総合事業ワークシートの確認結果　第2章　／　種類：折れ線　／　出所：同上</t>
        </is>
      </c>
    </row>
    <row r="4" ht="28" customHeight="1">
      <c r="A4" s="5" t="inlineStr">
        <is>
          <t>区分</t>
        </is>
      </c>
      <c r="B4" s="5" t="inlineStr">
        <is>
          <t>小野町</t>
        </is>
      </c>
    </row>
    <row r="5">
      <c r="A5" s="6" t="inlineStr">
        <is>
          <t>平成29</t>
        </is>
      </c>
      <c r="B5" s="6" t="n">
        <v>12.22</v>
      </c>
    </row>
    <row r="6">
      <c r="A6" s="6" t="inlineStr">
        <is>
          <t>平成30</t>
        </is>
      </c>
      <c r="B6" s="6" t="n">
        <v>12.82</v>
      </c>
    </row>
    <row r="7">
      <c r="A7" s="6" t="inlineStr">
        <is>
          <t>令和元</t>
        </is>
      </c>
      <c r="B7" s="6" t="n">
        <v>13.02</v>
      </c>
    </row>
    <row r="8">
      <c r="A8" s="6" t="inlineStr">
        <is>
          <t>令和2</t>
        </is>
      </c>
      <c r="B8" s="6" t="n">
        <v>14.12</v>
      </c>
    </row>
    <row r="9">
      <c r="A9" s="6" t="inlineStr">
        <is>
          <t>令和3</t>
        </is>
      </c>
      <c r="B9" s="6" t="n">
        <v>13.74</v>
      </c>
    </row>
    <row r="10">
      <c r="A10" s="6" t="inlineStr">
        <is>
          <t>令和4</t>
        </is>
      </c>
      <c r="B10" s="6" t="n">
        <v>14.71</v>
      </c>
    </row>
    <row r="11">
      <c r="A11" s="6" t="inlineStr">
        <is>
          <t>令和5</t>
        </is>
      </c>
      <c r="B11" s="6" t="n">
        <v>14.69</v>
      </c>
    </row>
    <row r="12">
      <c r="A12" s="6" t="inlineStr">
        <is>
          <t>令和6</t>
        </is>
      </c>
      <c r="B12" s="6" t="n">
        <v>15.15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図14　総合事業の実施状況調査の回答</t>
        </is>
      </c>
    </row>
    <row r="2">
      <c r="A2" s="12" t="inlineStr">
        <is>
          <t>差し込み先：総合事業ワークシートの確認結果　第4章　／　種類：縦棒　／　出所：同上</t>
        </is>
      </c>
    </row>
    <row r="4" ht="28" customHeight="1">
      <c r="A4" s="5" t="inlineStr">
        <is>
          <t>区分</t>
        </is>
      </c>
      <c r="B4" s="5" t="inlineStr">
        <is>
          <t>訪問型B 実人数</t>
        </is>
      </c>
      <c r="C4" s="5" t="inlineStr">
        <is>
          <t>訪問型B 延べ人数</t>
        </is>
      </c>
      <c r="D4" s="5" t="inlineStr">
        <is>
          <t>通所型B 実人数</t>
        </is>
      </c>
      <c r="E4" s="5" t="inlineStr">
        <is>
          <t>通所型B 延べ人数</t>
        </is>
      </c>
    </row>
    <row r="5">
      <c r="A5" s="6" t="inlineStr">
        <is>
          <t>1</t>
        </is>
      </c>
      <c r="B5" s="6" t="n">
        <v>408</v>
      </c>
      <c r="C5" s="6" t="n">
        <v>408</v>
      </c>
      <c r="D5" s="6" t="n">
        <v>693</v>
      </c>
      <c r="E5" s="6" t="n">
        <v>693</v>
      </c>
    </row>
    <row r="6">
      <c r="A6" s="6" t="inlineStr">
        <is>
          <t>2</t>
        </is>
      </c>
      <c r="B6" s="6" t="n">
        <v>24</v>
      </c>
      <c r="C6" s="6" t="n">
        <v>1051</v>
      </c>
      <c r="D6" s="6" t="n">
        <v>51</v>
      </c>
      <c r="E6" s="6" t="n">
        <v>564</v>
      </c>
    </row>
    <row r="7">
      <c r="A7" s="6" t="inlineStr">
        <is>
          <t>3</t>
        </is>
      </c>
      <c r="B7" s="6" t="n">
        <v>150</v>
      </c>
      <c r="C7" s="6" t="n">
        <v>31</v>
      </c>
      <c r="D7" s="6" t="n">
        <v>60</v>
      </c>
      <c r="E7" s="6" t="n">
        <v>70</v>
      </c>
    </row>
    <row r="8">
      <c r="A8" s="6" t="inlineStr">
        <is>
          <t>4</t>
        </is>
      </c>
      <c r="B8" s="6" t="n">
        <v>24</v>
      </c>
      <c r="C8" s="6" t="n">
        <v>921</v>
      </c>
      <c r="D8" s="6" t="n">
        <v>0</v>
      </c>
      <c r="E8" s="6" t="n">
        <v>648</v>
      </c>
    </row>
    <row r="9">
      <c r="A9" s="6" t="inlineStr">
        <is>
          <t>5</t>
        </is>
      </c>
      <c r="B9" s="6" t="n"/>
      <c r="C9" s="6" t="n">
        <v>24</v>
      </c>
      <c r="D9" s="6" t="n"/>
      <c r="E9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図15　目標別の得点（小野町と全国平均）</t>
        </is>
      </c>
    </row>
    <row r="2">
      <c r="A2" s="12" t="inlineStr">
        <is>
          <t>差し込み先：給付適正化と交付金の取りまとめ　第2章　／　種類：横棒　／　出所：令和8年度交付金 該当状況調査票集計表（市町村分）</t>
        </is>
      </c>
    </row>
    <row r="4" ht="28" customHeight="1">
      <c r="A4" s="5" t="inlineStr">
        <is>
          <t>区分</t>
        </is>
      </c>
      <c r="B4" s="5" t="inlineStr">
        <is>
          <t>小野町</t>
        </is>
      </c>
      <c r="C4" s="5" t="inlineStr">
        <is>
          <t>福島県平均</t>
        </is>
      </c>
      <c r="D4" s="5" t="inlineStr">
        <is>
          <t>全国平均</t>
        </is>
      </c>
    </row>
    <row r="5">
      <c r="A5" s="6" t="inlineStr">
        <is>
          <t>1</t>
        </is>
      </c>
      <c r="B5" s="6" t="n">
        <v>76</v>
      </c>
      <c r="C5" s="6" t="n">
        <v>63.2712</v>
      </c>
      <c r="D5" s="6" t="n">
        <v>62.3691</v>
      </c>
    </row>
    <row r="6">
      <c r="A6" s="6" t="inlineStr">
        <is>
          <t>2</t>
        </is>
      </c>
      <c r="B6" s="6" t="n">
        <v>84</v>
      </c>
      <c r="C6" s="6" t="n">
        <v>70.77970000000001</v>
      </c>
      <c r="D6" s="6" t="n">
        <v>69.10420000000001</v>
      </c>
    </row>
    <row r="7">
      <c r="A7" s="6" t="inlineStr">
        <is>
          <t>3</t>
        </is>
      </c>
      <c r="B7" s="6" t="n">
        <v>52</v>
      </c>
      <c r="C7" s="6" t="n">
        <v>49.6949</v>
      </c>
      <c r="D7" s="6" t="n">
        <v>50.0553</v>
      </c>
    </row>
    <row r="8">
      <c r="A8" s="6" t="inlineStr">
        <is>
          <t>4</t>
        </is>
      </c>
      <c r="B8" s="6" t="n">
        <v>60</v>
      </c>
      <c r="C8" s="6" t="n">
        <v>46.4407</v>
      </c>
      <c r="D8" s="6" t="n">
        <v>47.7507</v>
      </c>
    </row>
    <row r="9">
      <c r="A9" s="6" t="inlineStr">
        <is>
          <t>5</t>
        </is>
      </c>
      <c r="B9" s="6" t="n">
        <v>77</v>
      </c>
      <c r="C9" s="6" t="n">
        <v>60.6102</v>
      </c>
      <c r="D9" s="6" t="n">
        <v>57.9342</v>
      </c>
    </row>
    <row r="10">
      <c r="A10" s="6" t="inlineStr">
        <is>
          <t>6</t>
        </is>
      </c>
      <c r="B10" s="6" t="n">
        <v>73</v>
      </c>
      <c r="C10" s="6" t="n">
        <v>54.5085</v>
      </c>
      <c r="D10" s="6" t="n">
        <v>51.5371</v>
      </c>
    </row>
    <row r="11">
      <c r="A11" s="6" t="inlineStr">
        <is>
          <t>7</t>
        </is>
      </c>
      <c r="B11" s="6" t="n">
        <v>55</v>
      </c>
      <c r="C11" s="6" t="n">
        <v>64.661</v>
      </c>
      <c r="D11" s="6" t="n">
        <v>68.3398</v>
      </c>
    </row>
    <row r="12">
      <c r="A12" s="6" t="inlineStr">
        <is>
          <t>8</t>
        </is>
      </c>
      <c r="B12" s="6" t="n">
        <v>60</v>
      </c>
      <c r="C12" s="6" t="n">
        <v>46.4407</v>
      </c>
      <c r="D12" s="6" t="n">
        <v>47.7507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図17　全国平均に届いていない指標（伸びしろ）</t>
        </is>
      </c>
    </row>
    <row r="2">
      <c r="A2" s="12" t="inlineStr">
        <is>
          <t>差し込み先：給付適正化と交付金の取りまとめ　第7章　／　種類：横棒　／　出所：同上</t>
        </is>
      </c>
    </row>
    <row r="4" ht="28" customHeight="1">
      <c r="A4" s="5" t="inlineStr">
        <is>
          <t>区分</t>
        </is>
      </c>
      <c r="B4" s="5" t="inlineStr">
        <is>
          <t>全国平均</t>
        </is>
      </c>
      <c r="C4" s="5" t="inlineStr">
        <is>
          <t>小野町</t>
        </is>
      </c>
    </row>
    <row r="5">
      <c r="A5" s="6" t="inlineStr">
        <is>
          <t>1</t>
        </is>
      </c>
      <c r="B5" s="6" t="n">
        <v>11.2565</v>
      </c>
      <c r="C5" s="6" t="n">
        <v>0</v>
      </c>
    </row>
    <row r="6">
      <c r="A6" s="6" t="inlineStr">
        <is>
          <t>2</t>
        </is>
      </c>
      <c r="B6" s="6" t="n">
        <v>18.8704</v>
      </c>
      <c r="C6" s="6" t="n">
        <v>11</v>
      </c>
    </row>
    <row r="7">
      <c r="A7" s="6" t="inlineStr">
        <is>
          <t>3</t>
        </is>
      </c>
      <c r="B7" s="6" t="n">
        <v>18.416</v>
      </c>
      <c r="C7" s="6" t="n">
        <v>11</v>
      </c>
    </row>
    <row r="8">
      <c r="A8" s="6" t="inlineStr">
        <is>
          <t>4</t>
        </is>
      </c>
      <c r="B8" s="6" t="n">
        <v>6.7266</v>
      </c>
      <c r="C8" s="6" t="n">
        <v>0</v>
      </c>
    </row>
    <row r="9">
      <c r="A9" s="6" t="inlineStr">
        <is>
          <t>5</t>
        </is>
      </c>
      <c r="B9" s="6" t="n">
        <v>3.875</v>
      </c>
      <c r="C9" s="6" t="n">
        <v>0</v>
      </c>
    </row>
    <row r="10">
      <c r="A10" s="6" t="inlineStr">
        <is>
          <t>6</t>
        </is>
      </c>
      <c r="B10" s="6" t="n">
        <v>6.582</v>
      </c>
      <c r="C10" s="6" t="n">
        <v>4</v>
      </c>
    </row>
    <row r="11">
      <c r="A11" s="6" t="inlineStr">
        <is>
          <t>7</t>
        </is>
      </c>
      <c r="B11" s="6" t="n">
        <v>5.2865</v>
      </c>
      <c r="C11" s="6" t="n">
        <v>3</v>
      </c>
    </row>
    <row r="12">
      <c r="A12" s="6" t="inlineStr">
        <is>
          <t>8</t>
        </is>
      </c>
      <c r="B12" s="6" t="n">
        <v>1.9844</v>
      </c>
      <c r="C12" s="6" t="n">
        <v>0</v>
      </c>
    </row>
    <row r="13">
      <c r="A13" s="6" t="inlineStr">
        <is>
          <t>9</t>
        </is>
      </c>
      <c r="B13" s="6" t="n">
        <v>4.8145</v>
      </c>
      <c r="C13" s="6" t="n">
        <v>3</v>
      </c>
    </row>
    <row r="14">
      <c r="A14" s="6" t="inlineStr">
        <is>
          <t>10</t>
        </is>
      </c>
      <c r="B14" s="6" t="n">
        <v>4.8105</v>
      </c>
      <c r="C14" s="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図18　指標群別の到達度</t>
        </is>
      </c>
    </row>
    <row r="2">
      <c r="A2" s="12" t="inlineStr">
        <is>
          <t>差し込み先：給付適正化と交付金の取りまとめ　第2章　／　種類：横棒　／　出所：同上</t>
        </is>
      </c>
    </row>
    <row r="4" ht="28" customHeight="1">
      <c r="A4" s="5" t="inlineStr">
        <is>
          <t>区分</t>
        </is>
      </c>
      <c r="B4" s="5" t="inlineStr">
        <is>
          <t>全国平均</t>
        </is>
      </c>
      <c r="C4" s="5" t="inlineStr">
        <is>
          <t>小野町</t>
        </is>
      </c>
    </row>
    <row r="5">
      <c r="A5" s="6" t="inlineStr">
        <is>
          <t>1</t>
        </is>
      </c>
      <c r="B5" s="6" t="n">
        <v>81.8665</v>
      </c>
      <c r="C5" s="6" t="n">
        <v>100</v>
      </c>
    </row>
    <row r="6">
      <c r="A6" s="6" t="inlineStr">
        <is>
          <t>2</t>
        </is>
      </c>
      <c r="B6" s="6" t="n">
        <v>27.7072</v>
      </c>
      <c r="C6" s="6" t="n">
        <v>33.3333</v>
      </c>
    </row>
    <row r="7">
      <c r="A7" s="6" t="inlineStr">
        <is>
          <t>3</t>
        </is>
      </c>
      <c r="B7" s="6" t="n">
        <v>73.41070000000001</v>
      </c>
      <c r="C7" s="6" t="n">
        <v>100</v>
      </c>
    </row>
    <row r="8">
      <c r="A8" s="6" t="inlineStr">
        <is>
          <t>4</t>
        </is>
      </c>
      <c r="B8" s="6" t="n">
        <v>59.9528</v>
      </c>
      <c r="C8" s="6" t="n">
        <v>50</v>
      </c>
    </row>
    <row r="9">
      <c r="A9" s="6" t="inlineStr">
        <is>
          <t>5</t>
        </is>
      </c>
      <c r="B9" s="6" t="n">
        <v>66.276</v>
      </c>
      <c r="C9" s="6" t="n">
        <v>81.25</v>
      </c>
    </row>
    <row r="10">
      <c r="A10" s="6" t="inlineStr">
        <is>
          <t>6</t>
        </is>
      </c>
      <c r="B10" s="6" t="n">
        <v>21.2185</v>
      </c>
      <c r="C10" s="6" t="n">
        <v>0</v>
      </c>
    </row>
    <row r="11">
      <c r="A11" s="6" t="inlineStr">
        <is>
          <t>7</t>
        </is>
      </c>
      <c r="B11" s="6" t="n">
        <v>72.4409</v>
      </c>
      <c r="C11" s="6" t="n">
        <v>92.3077</v>
      </c>
    </row>
    <row r="12">
      <c r="A12" s="6" t="inlineStr">
        <is>
          <t>8</t>
        </is>
      </c>
      <c r="B12" s="6" t="n">
        <v>42.2187</v>
      </c>
      <c r="C12" s="6" t="n">
        <v>60.4167</v>
      </c>
    </row>
    <row r="13">
      <c r="A13" s="6" t="inlineStr">
        <is>
          <t>9</t>
        </is>
      </c>
      <c r="B13" s="6" t="n">
        <v>59.6985</v>
      </c>
      <c r="C13" s="6" t="n">
        <v>76.5625</v>
      </c>
    </row>
    <row r="14">
      <c r="A14" s="6" t="inlineStr">
        <is>
          <t>10</t>
        </is>
      </c>
      <c r="B14" s="6" t="n">
        <v>37.028</v>
      </c>
      <c r="C14" s="6" t="n">
        <v>66.66670000000001</v>
      </c>
    </row>
    <row r="15">
      <c r="A15" s="6" t="inlineStr">
        <is>
          <t>11</t>
        </is>
      </c>
      <c r="B15" s="6" t="n">
        <v>81.4396</v>
      </c>
      <c r="C15" s="6" t="n">
        <v>63.2353</v>
      </c>
    </row>
    <row r="16">
      <c r="A16" s="6" t="inlineStr">
        <is>
          <t>12</t>
        </is>
      </c>
      <c r="B16" s="6" t="n">
        <v>40.5029</v>
      </c>
      <c r="C16" s="6" t="n">
        <v>37.5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図19　県内の得点の分布と小野町の位置</t>
        </is>
      </c>
    </row>
    <row r="2">
      <c r="A2" s="12" t="inlineStr">
        <is>
          <t>差し込み先：給付適正化と交付金の取りまとめ　第3章　／　種類：折れ線・縦棒　／　出所：同上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  <c r="D4" s="5" t="inlineStr">
        <is>
          <t>（系列）</t>
        </is>
      </c>
    </row>
    <row r="5">
      <c r="A5" s="6" t="inlineStr">
        <is>
          <t>1</t>
        </is>
      </c>
      <c r="B5" s="6" t="n">
        <v>2</v>
      </c>
      <c r="C5" s="6" t="n">
        <v>0</v>
      </c>
      <c r="D5" s="6" t="n">
        <v>0</v>
      </c>
    </row>
    <row r="6">
      <c r="A6" s="6" t="inlineStr">
        <is>
          <t>2</t>
        </is>
      </c>
      <c r="B6" s="6" t="n">
        <v>6</v>
      </c>
      <c r="C6" s="6" t="n">
        <v>1</v>
      </c>
      <c r="D6" s="6" t="n">
        <v>1</v>
      </c>
    </row>
    <row r="7">
      <c r="A7" s="6" t="inlineStr">
        <is>
          <t>3</t>
        </is>
      </c>
      <c r="B7" s="6" t="n">
        <v>7</v>
      </c>
      <c r="C7" s="6" t="n"/>
      <c r="D7" s="6" t="n"/>
    </row>
    <row r="8">
      <c r="A8" s="6" t="inlineStr">
        <is>
          <t>4</t>
        </is>
      </c>
      <c r="B8" s="6" t="n">
        <v>12</v>
      </c>
      <c r="C8" s="6" t="n"/>
      <c r="D8" s="6" t="n"/>
    </row>
    <row r="9">
      <c r="A9" s="6" t="inlineStr">
        <is>
          <t>5</t>
        </is>
      </c>
      <c r="B9" s="6" t="n">
        <v>15</v>
      </c>
      <c r="C9" s="6" t="n"/>
      <c r="D9" s="6" t="n"/>
    </row>
    <row r="10">
      <c r="A10" s="6" t="inlineStr">
        <is>
          <t>6</t>
        </is>
      </c>
      <c r="B10" s="6" t="n">
        <v>10</v>
      </c>
      <c r="C10" s="6" t="n"/>
      <c r="D10" s="6" t="n"/>
    </row>
    <row r="11">
      <c r="A11" s="6" t="inlineStr">
        <is>
          <t>7</t>
        </is>
      </c>
      <c r="B11" s="6" t="n">
        <v>6</v>
      </c>
      <c r="C11" s="6" t="n"/>
      <c r="D11" s="6" t="n"/>
    </row>
    <row r="12">
      <c r="A12" s="6" t="inlineStr">
        <is>
          <t>8</t>
        </is>
      </c>
      <c r="B12" s="6" t="n">
        <v>1</v>
      </c>
      <c r="C12" s="6" t="n"/>
      <c r="D12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図20　入退院支援と人生の最終段階における支援の位置（活動指標群）</t>
        </is>
      </c>
    </row>
    <row r="2">
      <c r="A2" s="12" t="inlineStr">
        <is>
          <t>差し込み先：給付適正化と交付金の取りまとめ　第5章(4)　／　種類：横棒　／　出所：同上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</row>
    <row r="5">
      <c r="A5" s="6" t="inlineStr">
        <is>
          <t>1</t>
        </is>
      </c>
      <c r="B5" s="6" t="n">
        <v>8</v>
      </c>
      <c r="C5" s="6" t="n">
        <v>8</v>
      </c>
    </row>
    <row r="6">
      <c r="A6" s="6" t="inlineStr">
        <is>
          <t>2</t>
        </is>
      </c>
      <c r="B6" s="6" t="n">
        <v>8</v>
      </c>
      <c r="C6" s="6" t="n">
        <v>0</v>
      </c>
    </row>
    <row r="7">
      <c r="A7" s="6" t="inlineStr">
        <is>
          <t>3</t>
        </is>
      </c>
      <c r="B7" s="6" t="n">
        <v>8</v>
      </c>
      <c r="C7" s="6" t="n">
        <v>2</v>
      </c>
    </row>
    <row r="8">
      <c r="A8" s="6" t="inlineStr">
        <is>
          <t>4</t>
        </is>
      </c>
      <c r="B8" s="6" t="n">
        <v>8</v>
      </c>
      <c r="C8" s="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図21　認知症施策の体制と活動</t>
        </is>
      </c>
    </row>
    <row r="2">
      <c r="A2" s="12" t="inlineStr">
        <is>
          <t>差し込み先：計画素案・協議会資料　素案 第5章 基本目標2③／協議会資料 第1部4-3　／　種類：縦棒　／　出所：見える化システム J16・J17・J18（厚生労働省「認知症総合支援事業等実施状況調べ」）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令和3年3月</t>
        </is>
      </c>
      <c r="B5" s="6" t="n">
        <v>1</v>
      </c>
    </row>
    <row r="6">
      <c r="A6" s="6" t="inlineStr">
        <is>
          <t>令和6年3月</t>
        </is>
      </c>
      <c r="B6" s="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図22　通いの場の実施状況と調査の回答</t>
        </is>
      </c>
    </row>
    <row r="2">
      <c r="A2" s="12" t="inlineStr">
        <is>
          <t>差し込み先：計画素案・協議会資料　素案 第5章 基本目標1②／協議会資料 第1部4-2　／　種類：縦棒　／　出所：見える化システム F1〜F6及び令和7年度ニーズ調査</t>
        </is>
      </c>
    </row>
    <row r="4" ht="28" customHeight="1">
      <c r="A4" s="5" t="inlineStr">
        <is>
          <t>区分</t>
        </is>
      </c>
      <c r="B4" s="5" t="inlineStr">
        <is>
          <t>月1回以上</t>
        </is>
      </c>
      <c r="C4" s="5" t="inlineStr">
        <is>
          <t>週1回以上</t>
        </is>
      </c>
    </row>
    <row r="5">
      <c r="A5" s="6" t="inlineStr">
        <is>
          <t>平成25</t>
        </is>
      </c>
      <c r="B5" s="6" t="n">
        <v>1</v>
      </c>
      <c r="C5" s="6" t="n">
        <v>0</v>
      </c>
    </row>
    <row r="6">
      <c r="A6" s="6" t="inlineStr">
        <is>
          <t>平成26</t>
        </is>
      </c>
      <c r="B6" s="6" t="n">
        <v>0</v>
      </c>
      <c r="C6" s="6" t="n">
        <v>0</v>
      </c>
    </row>
    <row r="7">
      <c r="A7" s="6" t="inlineStr">
        <is>
          <t>平成27</t>
        </is>
      </c>
      <c r="B7" s="6" t="n">
        <v>3</v>
      </c>
      <c r="C7" s="6" t="n">
        <v>3</v>
      </c>
    </row>
    <row r="8">
      <c r="A8" s="6" t="inlineStr">
        <is>
          <t>平成28</t>
        </is>
      </c>
      <c r="B8" s="6" t="n">
        <v>11</v>
      </c>
      <c r="C8" s="6" t="n">
        <v>0</v>
      </c>
    </row>
    <row r="9">
      <c r="A9" s="6" t="inlineStr">
        <is>
          <t>平成29</t>
        </is>
      </c>
      <c r="B9" s="6" t="n">
        <v>12</v>
      </c>
      <c r="C9" s="6" t="n">
        <v>0</v>
      </c>
    </row>
    <row r="10">
      <c r="A10" s="6" t="inlineStr">
        <is>
          <t>平成30</t>
        </is>
      </c>
      <c r="B10" s="6" t="n">
        <v>11</v>
      </c>
      <c r="C10" s="6" t="n">
        <v>0</v>
      </c>
    </row>
    <row r="11">
      <c r="A11" s="6" t="inlineStr">
        <is>
          <t>令和元</t>
        </is>
      </c>
      <c r="B11" s="6" t="n">
        <v>1</v>
      </c>
      <c r="C11" s="6" t="n">
        <v>0</v>
      </c>
    </row>
    <row r="12">
      <c r="A12" s="6" t="inlineStr">
        <is>
          <t>令和2</t>
        </is>
      </c>
      <c r="B12" s="6" t="n">
        <v>3</v>
      </c>
      <c r="C12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図23　成果指標群（目標Ⅳ）の指標別得点と、健康寿命が0点である理由</t>
        </is>
      </c>
    </row>
    <row r="2">
      <c r="A2" s="12" t="inlineStr">
        <is>
          <t>差し込み先：給付適正化と交付金の取りまとめ　第2章(4)　／　種類：横棒　／　出所：令和8年度交付金 該当状況調査票集計表（市町村分）及び見える化システム W137・W144・W145</t>
        </is>
      </c>
    </row>
    <row r="4" ht="28" customHeight="1">
      <c r="A4" s="5" t="inlineStr">
        <is>
          <t>区分</t>
        </is>
      </c>
      <c r="B4" s="5" t="inlineStr">
        <is>
          <t>令和6年度交付金</t>
        </is>
      </c>
      <c r="C4" s="5" t="inlineStr">
        <is>
          <t>令和8年度交付金</t>
        </is>
      </c>
    </row>
    <row r="5">
      <c r="A5" s="6" t="inlineStr">
        <is>
          <t>1</t>
        </is>
      </c>
      <c r="B5" s="6" t="n">
        <v>0</v>
      </c>
      <c r="C5" s="6" t="n">
        <v>15</v>
      </c>
    </row>
    <row r="6">
      <c r="A6" s="6" t="inlineStr">
        <is>
          <t>2</t>
        </is>
      </c>
      <c r="B6" s="6" t="n">
        <v>10</v>
      </c>
      <c r="C6" s="6" t="n">
        <v>15</v>
      </c>
    </row>
    <row r="7">
      <c r="A7" s="6" t="inlineStr">
        <is>
          <t>3</t>
        </is>
      </c>
      <c r="B7" s="6" t="n">
        <v>5</v>
      </c>
      <c r="C7" s="6" t="n">
        <v>20</v>
      </c>
    </row>
    <row r="8">
      <c r="A8" s="6" t="inlineStr">
        <is>
          <t>4</t>
        </is>
      </c>
      <c r="B8" s="6" t="n">
        <v>0</v>
      </c>
      <c r="C8" s="6" t="n">
        <v>10</v>
      </c>
    </row>
    <row r="9">
      <c r="A9" s="6" t="inlineStr">
        <is>
          <t>5</t>
        </is>
      </c>
      <c r="B9" s="6" t="n">
        <v>0</v>
      </c>
      <c r="C9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40" customWidth="1" min="4" max="4"/>
    <col width="12" customWidth="1" min="5" max="5"/>
  </cols>
  <sheetData>
    <row r="1">
      <c r="A1" s="1" t="inlineStr">
        <is>
          <t>99　自己点検</t>
        </is>
      </c>
    </row>
    <row r="2" ht="30" customHeight="1">
      <c r="A2" s="2" t="inlineStr">
        <is>
          <t>本表を作るたびに機械で確かめている項目。1件でも不適合があると生成は失敗で終わる。</t>
        </is>
      </c>
    </row>
    <row r="4" ht="28" customHeight="1">
      <c r="A4" s="5" t="inlineStr">
        <is>
          <t>#</t>
        </is>
      </c>
      <c r="B4" s="5" t="inlineStr">
        <is>
          <t>確かめたこと</t>
        </is>
      </c>
      <c r="C4" s="5" t="inlineStr">
        <is>
          <t>期待</t>
        </is>
      </c>
      <c r="D4" s="5" t="inlineStr">
        <is>
          <t>結果</t>
        </is>
      </c>
      <c r="E4" s="5" t="inlineStr">
        <is>
          <t>判定</t>
        </is>
      </c>
    </row>
    <row r="5">
      <c r="A5" s="6" t="inlineStr">
        <is>
          <t>1</t>
        </is>
      </c>
      <c r="B5" s="6" t="inlineStr">
        <is>
          <t>図のPNGが実在する</t>
        </is>
      </c>
      <c r="C5" s="6" t="inlineStr">
        <is>
          <t>23点すべて</t>
        </is>
      </c>
      <c r="D5" s="6" t="inlineStr">
        <is>
          <t>23点</t>
        </is>
      </c>
      <c r="E5" s="8" t="inlineStr">
        <is>
          <t>適合</t>
        </is>
      </c>
    </row>
    <row r="6">
      <c r="A6" s="6" t="inlineStr">
        <is>
          <t>2</t>
        </is>
      </c>
      <c r="B6" s="6" t="inlineStr">
        <is>
          <t>差し込んでいる図から数値を読み取れた</t>
        </is>
      </c>
      <c r="C6" s="6" t="inlineStr">
        <is>
          <t>22点すべて</t>
        </is>
      </c>
      <c r="D6" s="6" t="inlineStr">
        <is>
          <t>22点</t>
        </is>
      </c>
      <c r="E6" s="8" t="inlineStr">
        <is>
          <t>適合</t>
        </is>
      </c>
    </row>
    <row r="7">
      <c r="A7" s="6" t="inlineStr">
        <is>
          <t>2-2</t>
        </is>
      </c>
      <c r="B7" s="6" t="inlineStr">
        <is>
          <t>定義はあるが差し込んでいない図</t>
        </is>
      </c>
      <c r="C7" s="6" t="inlineStr">
        <is>
          <t>把握していること</t>
        </is>
      </c>
      <c r="D7" s="6" t="inlineStr">
        <is>
          <t>1点（f42_kofukin_gun）</t>
        </is>
      </c>
      <c r="E7" s="8" t="inlineStr">
        <is>
          <t>適合</t>
        </is>
      </c>
    </row>
    <row r="8">
      <c r="A8" s="6" t="inlineStr">
        <is>
          <t>3</t>
        </is>
      </c>
      <c r="B8" s="6" t="inlineStr">
        <is>
          <t>成果品が実在する</t>
        </is>
      </c>
      <c r="C8" s="6" t="inlineStr">
        <is>
          <t>9件すべて</t>
        </is>
      </c>
      <c r="D8" s="6" t="inlineStr">
        <is>
          <t>9件</t>
        </is>
      </c>
      <c r="E8" s="8" t="inlineStr">
        <is>
          <t>適合</t>
        </is>
      </c>
    </row>
    <row r="9">
      <c r="A9" s="6" t="inlineStr">
        <is>
          <t>4</t>
        </is>
      </c>
      <c r="B9" s="6" t="inlineStr">
        <is>
          <t>成果品に差し込まれている図の延べ数</t>
        </is>
      </c>
      <c r="C9" s="6" t="inlineStr">
        <is>
          <t>台帳の延べ 26点</t>
        </is>
      </c>
      <c r="D9" s="6" t="inlineStr">
        <is>
          <t>成果品の中 26点</t>
        </is>
      </c>
      <c r="E9" s="8" t="inlineStr">
        <is>
          <t>適合</t>
        </is>
      </c>
    </row>
    <row r="10">
      <c r="A10" s="6" t="inlineStr">
        <is>
          <t>5</t>
        </is>
      </c>
      <c r="B10" s="6" t="inlineStr">
        <is>
          <t>認定者数の図の令和8年3月末が年報と合う</t>
        </is>
      </c>
      <c r="C10" s="6" t="inlineStr">
        <is>
          <t>792人</t>
        </is>
      </c>
      <c r="D10" s="6" t="inlineStr">
        <is>
          <t>792人</t>
        </is>
      </c>
      <c r="E10" s="8" t="inlineStr">
        <is>
          <t>適合</t>
        </is>
      </c>
    </row>
    <row r="11">
      <c r="A11" s="6" t="inlineStr">
        <is>
          <t>6</t>
        </is>
      </c>
      <c r="B11" s="6" t="inlineStr">
        <is>
          <t>図がない分析を04シートに掲げてある</t>
        </is>
      </c>
      <c r="C11" s="6" t="inlineStr">
        <is>
          <t>2件すべて</t>
        </is>
      </c>
      <c r="D11" s="6" t="inlineStr">
        <is>
          <t>04シートに 6件</t>
        </is>
      </c>
      <c r="E11" s="8" t="inlineStr">
        <is>
          <t>適合</t>
        </is>
      </c>
    </row>
    <row r="12">
      <c r="A12" s="6" t="inlineStr">
        <is>
          <t>7</t>
        </is>
      </c>
      <c r="B12" s="6" t="inlineStr">
        <is>
          <t>読み取った数値が空でない</t>
        </is>
      </c>
      <c r="C12" s="6" t="inlineStr">
        <is>
          <t>空の図がない</t>
        </is>
      </c>
      <c r="D12" s="6" t="inlineStr">
        <is>
          <t>空の図はない</t>
        </is>
      </c>
      <c r="E12" s="8" t="inlineStr">
        <is>
          <t>適合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2026-10-04T13:42:07Z</dcterms:created>
  <dcterms:modified xmlns:dcterms="http://purl.org/dc/terms/" xmlns:xsi="http://www.w3.org/2001/XMLSchema-instance" xsi:type="dcterms:W3CDTF">2026-10-04T13:42:07Z</dcterms:modified>
</cp:coreProperties>
</file>