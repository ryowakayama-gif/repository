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52.26.11\令和8年度\6.保険年金\D.介護保険\1.事業計画\03_被保険者数推移\"/>
    </mc:Choice>
  </mc:AlternateContent>
  <xr:revisionPtr revIDLastSave="0" documentId="13_ncr:1_{FA18C5CC-4634-4D62-B7C4-EB1693F89915}" xr6:coauthVersionLast="45" xr6:coauthVersionMax="47" xr10:uidLastSave="{00000000-0000-0000-0000-000000000000}"/>
  <bookViews>
    <workbookView xWindow="-120" yWindow="-120" windowWidth="20730" windowHeight="11160" tabRatio="841" firstSheet="1" activeTab="1" xr2:uid="{00000000-000D-0000-FFFF-FFFF00000000}"/>
  </bookViews>
  <sheets>
    <sheet name="住基による人口 (もと)" sheetId="68" state="hidden" r:id="rId1"/>
    <sheet name="07522_小野町" sheetId="50" r:id="rId2"/>
    <sheet name="住基による人口" sheetId="67" r:id="rId3"/>
    <sheet name="2026住基と被保数比較 (年齢階層別補正用）" sheetId="69" r:id="rId4"/>
    <sheet name="(参考 1号被保数と住基のずれ）" sheetId="71" r:id="rId5"/>
  </sheets>
  <definedNames>
    <definedName name="_xlnm._FilterDatabase" localSheetId="4" hidden="1">'(参考 1号被保数と住基のずれ）'!$B$1:$F$1</definedName>
    <definedName name="_xlnm.Print_Area" localSheetId="1">'07522_小野町'!$A$1:$BE$52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42" i="50" l="1"/>
  <c r="AT42" i="50"/>
  <c r="AU42" i="50"/>
  <c r="AV42" i="50"/>
  <c r="AW42" i="50"/>
  <c r="AX42" i="50"/>
  <c r="AY42" i="50"/>
  <c r="AZ42" i="50"/>
  <c r="BA42" i="50"/>
  <c r="BB42" i="50"/>
  <c r="BC42" i="50"/>
  <c r="BD42" i="50"/>
  <c r="BE42" i="50"/>
  <c r="AS43" i="50"/>
  <c r="AT43" i="50"/>
  <c r="AU43" i="50"/>
  <c r="AV43" i="50"/>
  <c r="AW43" i="50"/>
  <c r="AX43" i="50"/>
  <c r="AY43" i="50"/>
  <c r="AZ43" i="50"/>
  <c r="BA43" i="50"/>
  <c r="BB43" i="50"/>
  <c r="BC43" i="50"/>
  <c r="BD43" i="50"/>
  <c r="BE43" i="50"/>
  <c r="AS44" i="50"/>
  <c r="AT44" i="50"/>
  <c r="AU44" i="50"/>
  <c r="AV44" i="50"/>
  <c r="AW44" i="50"/>
  <c r="AX44" i="50"/>
  <c r="AY44" i="50"/>
  <c r="AZ44" i="50"/>
  <c r="BA44" i="50"/>
  <c r="BB44" i="50"/>
  <c r="BC44" i="50"/>
  <c r="BD44" i="50"/>
  <c r="BE44" i="50"/>
  <c r="AS45" i="50"/>
  <c r="AT45" i="50"/>
  <c r="AU45" i="50"/>
  <c r="AV45" i="50"/>
  <c r="AW45" i="50"/>
  <c r="AX45" i="50"/>
  <c r="AY45" i="50"/>
  <c r="AZ45" i="50"/>
  <c r="BA45" i="50"/>
  <c r="BB45" i="50"/>
  <c r="BC45" i="50"/>
  <c r="BD45" i="50"/>
  <c r="BE45" i="50"/>
  <c r="AS46" i="50"/>
  <c r="AT46" i="50"/>
  <c r="AU46" i="50"/>
  <c r="AV46" i="50"/>
  <c r="AW46" i="50"/>
  <c r="AX46" i="50"/>
  <c r="AY46" i="50"/>
  <c r="AZ46" i="50"/>
  <c r="BA46" i="50"/>
  <c r="BB46" i="50"/>
  <c r="BC46" i="50"/>
  <c r="BD46" i="50"/>
  <c r="BE46" i="50"/>
  <c r="AS47" i="50"/>
  <c r="AT47" i="50"/>
  <c r="AU47" i="50"/>
  <c r="AV47" i="50"/>
  <c r="AW47" i="50"/>
  <c r="AX47" i="50"/>
  <c r="AY47" i="50"/>
  <c r="AZ47" i="50"/>
  <c r="BA47" i="50"/>
  <c r="BB47" i="50"/>
  <c r="BC47" i="50"/>
  <c r="BD47" i="50"/>
  <c r="BE47" i="50"/>
  <c r="AR47" i="50"/>
  <c r="AR46" i="50"/>
  <c r="AR45" i="50"/>
  <c r="AR44" i="50"/>
  <c r="AR43" i="50"/>
  <c r="AR42" i="50"/>
  <c r="AS22" i="50"/>
  <c r="AT22" i="50"/>
  <c r="AU22" i="50"/>
  <c r="AV22" i="50"/>
  <c r="AW22" i="50"/>
  <c r="AX22" i="50"/>
  <c r="AY22" i="50"/>
  <c r="AZ22" i="50"/>
  <c r="BA22" i="50"/>
  <c r="BB22" i="50"/>
  <c r="BC22" i="50"/>
  <c r="BD22" i="50"/>
  <c r="BE22" i="50"/>
  <c r="AS23" i="50"/>
  <c r="AT23" i="50"/>
  <c r="AU23" i="50"/>
  <c r="AV23" i="50"/>
  <c r="AW23" i="50"/>
  <c r="AX23" i="50"/>
  <c r="AY23" i="50"/>
  <c r="AZ23" i="50"/>
  <c r="BA23" i="50"/>
  <c r="BB23" i="50"/>
  <c r="BC23" i="50"/>
  <c r="BD23" i="50"/>
  <c r="BE23" i="50"/>
  <c r="AS24" i="50"/>
  <c r="AT24" i="50"/>
  <c r="AU24" i="50"/>
  <c r="AV24" i="50"/>
  <c r="AW24" i="50"/>
  <c r="AX24" i="50"/>
  <c r="AY24" i="50"/>
  <c r="AZ24" i="50"/>
  <c r="BA24" i="50"/>
  <c r="BB24" i="50"/>
  <c r="BC24" i="50"/>
  <c r="BD24" i="50"/>
  <c r="BE24" i="50"/>
  <c r="AS25" i="50"/>
  <c r="AT25" i="50"/>
  <c r="AU25" i="50"/>
  <c r="AV25" i="50"/>
  <c r="AW25" i="50"/>
  <c r="AX25" i="50"/>
  <c r="AY25" i="50"/>
  <c r="AZ25" i="50"/>
  <c r="BA25" i="50"/>
  <c r="BB25" i="50"/>
  <c r="BC25" i="50"/>
  <c r="BD25" i="50"/>
  <c r="BE25" i="50"/>
  <c r="AS26" i="50"/>
  <c r="AT26" i="50"/>
  <c r="AU26" i="50"/>
  <c r="AV26" i="50"/>
  <c r="AW26" i="50"/>
  <c r="AX26" i="50"/>
  <c r="AY26" i="50"/>
  <c r="AZ26" i="50"/>
  <c r="BA26" i="50"/>
  <c r="BB26" i="50"/>
  <c r="BC26" i="50"/>
  <c r="BD26" i="50"/>
  <c r="BE26" i="50"/>
  <c r="AS27" i="50"/>
  <c r="AT27" i="50"/>
  <c r="AU27" i="50"/>
  <c r="AV27" i="50"/>
  <c r="AW27" i="50"/>
  <c r="AX27" i="50"/>
  <c r="AY27" i="50"/>
  <c r="AZ27" i="50"/>
  <c r="BA27" i="50"/>
  <c r="BB27" i="50"/>
  <c r="BC27" i="50"/>
  <c r="BD27" i="50"/>
  <c r="BE27" i="50"/>
  <c r="AR27" i="50"/>
  <c r="AR26" i="50"/>
  <c r="AR25" i="50"/>
  <c r="AR24" i="50"/>
  <c r="AR23" i="50"/>
  <c r="AR22" i="50"/>
  <c r="AE42" i="50"/>
  <c r="AF42" i="50"/>
  <c r="AG42" i="50"/>
  <c r="AH42" i="50"/>
  <c r="AI42" i="50"/>
  <c r="AJ42" i="50"/>
  <c r="AK42" i="50"/>
  <c r="AL42" i="50"/>
  <c r="AM42" i="50"/>
  <c r="AN42" i="50"/>
  <c r="AO42" i="50"/>
  <c r="AP42" i="50"/>
  <c r="AQ42" i="50"/>
  <c r="AE43" i="50"/>
  <c r="AF43" i="50"/>
  <c r="AG43" i="50"/>
  <c r="AH43" i="50"/>
  <c r="AI43" i="50"/>
  <c r="AJ43" i="50"/>
  <c r="AK43" i="50"/>
  <c r="AL43" i="50"/>
  <c r="AM43" i="50"/>
  <c r="AN43" i="50"/>
  <c r="AO43" i="50"/>
  <c r="AP43" i="50"/>
  <c r="AQ43" i="50"/>
  <c r="AE44" i="50"/>
  <c r="AF44" i="50"/>
  <c r="AG44" i="50"/>
  <c r="AH44" i="50"/>
  <c r="AI44" i="50"/>
  <c r="AJ44" i="50"/>
  <c r="AK44" i="50"/>
  <c r="AL44" i="50"/>
  <c r="AM44" i="50"/>
  <c r="AN44" i="50"/>
  <c r="AO44" i="50"/>
  <c r="AP44" i="50"/>
  <c r="AQ44" i="50"/>
  <c r="AE45" i="50"/>
  <c r="AF45" i="50"/>
  <c r="AG45" i="50"/>
  <c r="AH45" i="50"/>
  <c r="AI45" i="50"/>
  <c r="AJ45" i="50"/>
  <c r="AK45" i="50"/>
  <c r="AL45" i="50"/>
  <c r="AM45" i="50"/>
  <c r="AN45" i="50"/>
  <c r="AO45" i="50"/>
  <c r="AP45" i="50"/>
  <c r="AQ45" i="50"/>
  <c r="AE46" i="50"/>
  <c r="AF46" i="50"/>
  <c r="AG46" i="50"/>
  <c r="AH46" i="50"/>
  <c r="AI46" i="50"/>
  <c r="AJ46" i="50"/>
  <c r="AK46" i="50"/>
  <c r="AL46" i="50"/>
  <c r="AM46" i="50"/>
  <c r="AN46" i="50"/>
  <c r="AO46" i="50"/>
  <c r="AP46" i="50"/>
  <c r="AQ46" i="50"/>
  <c r="AE47" i="50"/>
  <c r="AF47" i="50"/>
  <c r="AG47" i="50"/>
  <c r="AH47" i="50"/>
  <c r="AI47" i="50"/>
  <c r="AJ47" i="50"/>
  <c r="AK47" i="50"/>
  <c r="AL47" i="50"/>
  <c r="AM47" i="50"/>
  <c r="AN47" i="50"/>
  <c r="AO47" i="50"/>
  <c r="AP47" i="50"/>
  <c r="AQ47" i="50"/>
  <c r="AD47" i="50"/>
  <c r="AD46" i="50"/>
  <c r="AD45" i="50"/>
  <c r="AD44" i="50"/>
  <c r="AD43" i="50"/>
  <c r="AD42" i="50"/>
  <c r="AE22" i="50"/>
  <c r="AF22" i="50"/>
  <c r="AG22" i="50"/>
  <c r="AH22" i="50"/>
  <c r="AI22" i="50"/>
  <c r="AJ22" i="50"/>
  <c r="AK22" i="50"/>
  <c r="AL22" i="50"/>
  <c r="AM22" i="50"/>
  <c r="AN22" i="50"/>
  <c r="AO22" i="50"/>
  <c r="AP22" i="50"/>
  <c r="AQ22" i="50"/>
  <c r="AE23" i="50"/>
  <c r="AF23" i="50"/>
  <c r="AG23" i="50"/>
  <c r="AH23" i="50"/>
  <c r="AI23" i="50"/>
  <c r="AJ23" i="50"/>
  <c r="AK23" i="50"/>
  <c r="AL23" i="50"/>
  <c r="AM23" i="50"/>
  <c r="AN23" i="50"/>
  <c r="AO23" i="50"/>
  <c r="AP23" i="50"/>
  <c r="AQ23" i="50"/>
  <c r="AE24" i="50"/>
  <c r="AF24" i="50"/>
  <c r="AG24" i="50"/>
  <c r="AH24" i="50"/>
  <c r="AI24" i="50"/>
  <c r="AJ24" i="50"/>
  <c r="AK24" i="50"/>
  <c r="AL24" i="50"/>
  <c r="AM24" i="50"/>
  <c r="AN24" i="50"/>
  <c r="AO24" i="50"/>
  <c r="AP24" i="50"/>
  <c r="AQ24" i="50"/>
  <c r="AE25" i="50"/>
  <c r="AF25" i="50"/>
  <c r="AG25" i="50"/>
  <c r="AH25" i="50"/>
  <c r="AI25" i="50"/>
  <c r="AJ25" i="50"/>
  <c r="AK25" i="50"/>
  <c r="AL25" i="50"/>
  <c r="AM25" i="50"/>
  <c r="AN25" i="50"/>
  <c r="AO25" i="50"/>
  <c r="AP25" i="50"/>
  <c r="AQ25" i="50"/>
  <c r="AE26" i="50"/>
  <c r="AF26" i="50"/>
  <c r="AG26" i="50"/>
  <c r="AH26" i="50"/>
  <c r="AI26" i="50"/>
  <c r="AJ26" i="50"/>
  <c r="AK26" i="50"/>
  <c r="AL26" i="50"/>
  <c r="AM26" i="50"/>
  <c r="AN26" i="50"/>
  <c r="AO26" i="50"/>
  <c r="AP26" i="50"/>
  <c r="AQ26" i="50"/>
  <c r="AE27" i="50"/>
  <c r="AF27" i="50"/>
  <c r="AG27" i="50"/>
  <c r="AH27" i="50"/>
  <c r="AI27" i="50"/>
  <c r="AJ27" i="50"/>
  <c r="AK27" i="50"/>
  <c r="AL27" i="50"/>
  <c r="AM27" i="50"/>
  <c r="AN27" i="50"/>
  <c r="AO27" i="50"/>
  <c r="AP27" i="50"/>
  <c r="AQ27" i="50"/>
  <c r="AD27" i="50"/>
  <c r="AD26" i="50"/>
  <c r="AD25" i="50"/>
  <c r="AD24" i="50"/>
  <c r="AD23" i="50"/>
  <c r="AD22" i="50"/>
  <c r="AS29" i="50"/>
  <c r="AT29" i="50"/>
  <c r="AU29" i="50"/>
  <c r="AV29" i="50"/>
  <c r="AW29" i="50"/>
  <c r="AX29" i="50"/>
  <c r="AY29" i="50"/>
  <c r="AZ29" i="50"/>
  <c r="BA29" i="50"/>
  <c r="BB29" i="50"/>
  <c r="BC29" i="50"/>
  <c r="BD29" i="50"/>
  <c r="BE29" i="50"/>
  <c r="AS30" i="50"/>
  <c r="AT30" i="50"/>
  <c r="AU30" i="50"/>
  <c r="AV30" i="50"/>
  <c r="AW30" i="50"/>
  <c r="AX30" i="50"/>
  <c r="AY30" i="50"/>
  <c r="AZ30" i="50"/>
  <c r="BA30" i="50"/>
  <c r="BB30" i="50"/>
  <c r="BC30" i="50"/>
  <c r="BD30" i="50"/>
  <c r="BE30" i="50"/>
  <c r="AS31" i="50"/>
  <c r="AT31" i="50"/>
  <c r="AU31" i="50"/>
  <c r="AV31" i="50"/>
  <c r="AW31" i="50"/>
  <c r="AX31" i="50"/>
  <c r="AY31" i="50"/>
  <c r="AZ31" i="50"/>
  <c r="BA31" i="50"/>
  <c r="BB31" i="50"/>
  <c r="BC31" i="50"/>
  <c r="BD31" i="50"/>
  <c r="BE31" i="50"/>
  <c r="AS32" i="50"/>
  <c r="AT32" i="50"/>
  <c r="AU32" i="50"/>
  <c r="AV32" i="50"/>
  <c r="AW32" i="50"/>
  <c r="AX32" i="50"/>
  <c r="AY32" i="50"/>
  <c r="AZ32" i="50"/>
  <c r="BA32" i="50"/>
  <c r="BB32" i="50"/>
  <c r="BC32" i="50"/>
  <c r="BD32" i="50"/>
  <c r="BE32" i="50"/>
  <c r="AS33" i="50"/>
  <c r="AT33" i="50"/>
  <c r="AU33" i="50"/>
  <c r="AV33" i="50"/>
  <c r="AW33" i="50"/>
  <c r="AX33" i="50"/>
  <c r="AY33" i="50"/>
  <c r="AZ33" i="50"/>
  <c r="BA33" i="50"/>
  <c r="BB33" i="50"/>
  <c r="BC33" i="50"/>
  <c r="BD33" i="50"/>
  <c r="BE33" i="50"/>
  <c r="AS34" i="50"/>
  <c r="AT34" i="50"/>
  <c r="AU34" i="50"/>
  <c r="AV34" i="50"/>
  <c r="AW34" i="50"/>
  <c r="AX34" i="50"/>
  <c r="AY34" i="50"/>
  <c r="AZ34" i="50"/>
  <c r="BA34" i="50"/>
  <c r="BB34" i="50"/>
  <c r="BC34" i="50"/>
  <c r="BD34" i="50"/>
  <c r="BE34" i="50"/>
  <c r="AS35" i="50"/>
  <c r="AT35" i="50"/>
  <c r="AU35" i="50"/>
  <c r="AV35" i="50"/>
  <c r="AW35" i="50"/>
  <c r="AX35" i="50"/>
  <c r="AY35" i="50"/>
  <c r="AZ35" i="50"/>
  <c r="BA35" i="50"/>
  <c r="BB35" i="50"/>
  <c r="BC35" i="50"/>
  <c r="BD35" i="50"/>
  <c r="BE35" i="50"/>
  <c r="AS36" i="50"/>
  <c r="AT36" i="50"/>
  <c r="AU36" i="50"/>
  <c r="AV36" i="50"/>
  <c r="AW36" i="50"/>
  <c r="AX36" i="50"/>
  <c r="AY36" i="50"/>
  <c r="AZ36" i="50"/>
  <c r="BA36" i="50"/>
  <c r="BB36" i="50"/>
  <c r="BC36" i="50"/>
  <c r="BD36" i="50"/>
  <c r="BE36" i="50"/>
  <c r="AS37" i="50"/>
  <c r="AT37" i="50"/>
  <c r="AU37" i="50"/>
  <c r="AV37" i="50"/>
  <c r="AW37" i="50"/>
  <c r="AX37" i="50"/>
  <c r="AY37" i="50"/>
  <c r="AZ37" i="50"/>
  <c r="BA37" i="50"/>
  <c r="BB37" i="50"/>
  <c r="BC37" i="50"/>
  <c r="BD37" i="50"/>
  <c r="BE37" i="50"/>
  <c r="AS38" i="50"/>
  <c r="AT38" i="50"/>
  <c r="AU38" i="50"/>
  <c r="AV38" i="50"/>
  <c r="AW38" i="50"/>
  <c r="AX38" i="50"/>
  <c r="AY38" i="50"/>
  <c r="AZ38" i="50"/>
  <c r="BA38" i="50"/>
  <c r="BB38" i="50"/>
  <c r="BC38" i="50"/>
  <c r="BD38" i="50"/>
  <c r="BE38" i="50"/>
  <c r="AS39" i="50"/>
  <c r="AT39" i="50"/>
  <c r="AU39" i="50"/>
  <c r="AV39" i="50"/>
  <c r="AW39" i="50"/>
  <c r="AX39" i="50"/>
  <c r="AY39" i="50"/>
  <c r="AZ39" i="50"/>
  <c r="BA39" i="50"/>
  <c r="BB39" i="50"/>
  <c r="BC39" i="50"/>
  <c r="BD39" i="50"/>
  <c r="BE39" i="50"/>
  <c r="AS40" i="50"/>
  <c r="AT40" i="50"/>
  <c r="AU40" i="50"/>
  <c r="AV40" i="50"/>
  <c r="AW40" i="50"/>
  <c r="AX40" i="50"/>
  <c r="AY40" i="50"/>
  <c r="AZ40" i="50"/>
  <c r="BA40" i="50"/>
  <c r="BB40" i="50"/>
  <c r="BC40" i="50"/>
  <c r="BD40" i="50"/>
  <c r="BE40" i="50"/>
  <c r="AS41" i="50"/>
  <c r="AT41" i="50"/>
  <c r="AU41" i="50"/>
  <c r="AV41" i="50"/>
  <c r="AW41" i="50"/>
  <c r="AX41" i="50"/>
  <c r="AY41" i="50"/>
  <c r="AZ41" i="50"/>
  <c r="BA41" i="50"/>
  <c r="BB41" i="50"/>
  <c r="BC41" i="50"/>
  <c r="BD41" i="50"/>
  <c r="BE41" i="50"/>
  <c r="AR30" i="50"/>
  <c r="AR31" i="50"/>
  <c r="AR32" i="50"/>
  <c r="AR33" i="50"/>
  <c r="AR34" i="50"/>
  <c r="AR35" i="50"/>
  <c r="AR36" i="50"/>
  <c r="AR37" i="50"/>
  <c r="AR38" i="50"/>
  <c r="AR39" i="50"/>
  <c r="AR40" i="50"/>
  <c r="AR41" i="50"/>
  <c r="AE29" i="50"/>
  <c r="AF29" i="50"/>
  <c r="AG29" i="50"/>
  <c r="AH29" i="50"/>
  <c r="AI29" i="50"/>
  <c r="AJ29" i="50"/>
  <c r="AK29" i="50"/>
  <c r="AL29" i="50"/>
  <c r="AM29" i="50"/>
  <c r="AN29" i="50"/>
  <c r="AO29" i="50"/>
  <c r="AP29" i="50"/>
  <c r="AQ29" i="50"/>
  <c r="AE30" i="50"/>
  <c r="AF30" i="50"/>
  <c r="AG30" i="50"/>
  <c r="AH30" i="50"/>
  <c r="AI30" i="50"/>
  <c r="AJ30" i="50"/>
  <c r="AK30" i="50"/>
  <c r="AL30" i="50"/>
  <c r="AM30" i="50"/>
  <c r="AN30" i="50"/>
  <c r="AO30" i="50"/>
  <c r="AP30" i="50"/>
  <c r="AQ30" i="50"/>
  <c r="AE31" i="50"/>
  <c r="AF31" i="50"/>
  <c r="AG31" i="50"/>
  <c r="AH31" i="50"/>
  <c r="AI31" i="50"/>
  <c r="AJ31" i="50"/>
  <c r="AK31" i="50"/>
  <c r="AL31" i="50"/>
  <c r="AM31" i="50"/>
  <c r="AN31" i="50"/>
  <c r="AO31" i="50"/>
  <c r="AP31" i="50"/>
  <c r="AQ31" i="50"/>
  <c r="AE32" i="50"/>
  <c r="AF32" i="50"/>
  <c r="AG32" i="50"/>
  <c r="AH32" i="50"/>
  <c r="AI32" i="50"/>
  <c r="AJ32" i="50"/>
  <c r="AK32" i="50"/>
  <c r="AL32" i="50"/>
  <c r="AM32" i="50"/>
  <c r="AN32" i="50"/>
  <c r="AO32" i="50"/>
  <c r="AP32" i="50"/>
  <c r="AQ32" i="50"/>
  <c r="AE33" i="50"/>
  <c r="AF33" i="50"/>
  <c r="AG33" i="50"/>
  <c r="AH33" i="50"/>
  <c r="AI33" i="50"/>
  <c r="AJ33" i="50"/>
  <c r="AK33" i="50"/>
  <c r="AL33" i="50"/>
  <c r="AM33" i="50"/>
  <c r="AN33" i="50"/>
  <c r="AO33" i="50"/>
  <c r="AP33" i="50"/>
  <c r="AQ33" i="50"/>
  <c r="AE34" i="50"/>
  <c r="AF34" i="50"/>
  <c r="AG34" i="50"/>
  <c r="AH34" i="50"/>
  <c r="AI34" i="50"/>
  <c r="AJ34" i="50"/>
  <c r="AK34" i="50"/>
  <c r="AL34" i="50"/>
  <c r="AM34" i="50"/>
  <c r="AN34" i="50"/>
  <c r="AO34" i="50"/>
  <c r="AP34" i="50"/>
  <c r="AQ34" i="50"/>
  <c r="AE35" i="50"/>
  <c r="AF35" i="50"/>
  <c r="AG35" i="50"/>
  <c r="AH35" i="50"/>
  <c r="AI35" i="50"/>
  <c r="AJ35" i="50"/>
  <c r="AK35" i="50"/>
  <c r="AL35" i="50"/>
  <c r="AM35" i="50"/>
  <c r="AN35" i="50"/>
  <c r="AO35" i="50"/>
  <c r="AP35" i="50"/>
  <c r="AQ35" i="50"/>
  <c r="AE36" i="50"/>
  <c r="AF36" i="50"/>
  <c r="AG36" i="50"/>
  <c r="AH36" i="50"/>
  <c r="AI36" i="50"/>
  <c r="AJ36" i="50"/>
  <c r="AK36" i="50"/>
  <c r="AL36" i="50"/>
  <c r="AM36" i="50"/>
  <c r="AN36" i="50"/>
  <c r="AO36" i="50"/>
  <c r="AP36" i="50"/>
  <c r="AQ36" i="50"/>
  <c r="AE37" i="50"/>
  <c r="AF37" i="50"/>
  <c r="AG37" i="50"/>
  <c r="AH37" i="50"/>
  <c r="AI37" i="50"/>
  <c r="AJ37" i="50"/>
  <c r="AK37" i="50"/>
  <c r="AL37" i="50"/>
  <c r="AM37" i="50"/>
  <c r="AN37" i="50"/>
  <c r="AO37" i="50"/>
  <c r="AP37" i="50"/>
  <c r="AQ37" i="50"/>
  <c r="AE38" i="50"/>
  <c r="AF38" i="50"/>
  <c r="AG38" i="50"/>
  <c r="AH38" i="50"/>
  <c r="AI38" i="50"/>
  <c r="AJ38" i="50"/>
  <c r="AK38" i="50"/>
  <c r="AL38" i="50"/>
  <c r="AM38" i="50"/>
  <c r="AN38" i="50"/>
  <c r="AO38" i="50"/>
  <c r="AP38" i="50"/>
  <c r="AQ38" i="50"/>
  <c r="AE39" i="50"/>
  <c r="AF39" i="50"/>
  <c r="AG39" i="50"/>
  <c r="AH39" i="50"/>
  <c r="AI39" i="50"/>
  <c r="AJ39" i="50"/>
  <c r="AK39" i="50"/>
  <c r="AL39" i="50"/>
  <c r="AM39" i="50"/>
  <c r="AN39" i="50"/>
  <c r="AO39" i="50"/>
  <c r="AP39" i="50"/>
  <c r="AQ39" i="50"/>
  <c r="AE40" i="50"/>
  <c r="AF40" i="50"/>
  <c r="AG40" i="50"/>
  <c r="AH40" i="50"/>
  <c r="AI40" i="50"/>
  <c r="AJ40" i="50"/>
  <c r="AK40" i="50"/>
  <c r="AL40" i="50"/>
  <c r="AM40" i="50"/>
  <c r="AN40" i="50"/>
  <c r="AO40" i="50"/>
  <c r="AP40" i="50"/>
  <c r="AQ40" i="50"/>
  <c r="AE41" i="50"/>
  <c r="AF41" i="50"/>
  <c r="AG41" i="50"/>
  <c r="AH41" i="50"/>
  <c r="AI41" i="50"/>
  <c r="AJ41" i="50"/>
  <c r="AK41" i="50"/>
  <c r="AL41" i="50"/>
  <c r="AM41" i="50"/>
  <c r="AN41" i="50"/>
  <c r="AO41" i="50"/>
  <c r="AP41" i="50"/>
  <c r="AQ41" i="50"/>
  <c r="AD30" i="50"/>
  <c r="AD31" i="50"/>
  <c r="AD32" i="50"/>
  <c r="AD33" i="50"/>
  <c r="AD34" i="50"/>
  <c r="AD35" i="50"/>
  <c r="AD36" i="50"/>
  <c r="AD37" i="50"/>
  <c r="AD38" i="50"/>
  <c r="AD39" i="50"/>
  <c r="AD40" i="50"/>
  <c r="AD41" i="50"/>
  <c r="AS9" i="50"/>
  <c r="AT9" i="50"/>
  <c r="AU9" i="50"/>
  <c r="AV9" i="50"/>
  <c r="AW9" i="50"/>
  <c r="AX9" i="50"/>
  <c r="AY9" i="50"/>
  <c r="AZ9" i="50"/>
  <c r="BA9" i="50"/>
  <c r="BB9" i="50"/>
  <c r="BC9" i="50"/>
  <c r="BD9" i="50"/>
  <c r="BE9" i="50"/>
  <c r="AS10" i="50"/>
  <c r="AT10" i="50"/>
  <c r="AU10" i="50"/>
  <c r="AV10" i="50"/>
  <c r="AW10" i="50"/>
  <c r="AX10" i="50"/>
  <c r="AY10" i="50"/>
  <c r="AZ10" i="50"/>
  <c r="BA10" i="50"/>
  <c r="BB10" i="50"/>
  <c r="BC10" i="50"/>
  <c r="BD10" i="50"/>
  <c r="BE10" i="50"/>
  <c r="AS11" i="50"/>
  <c r="AT11" i="50"/>
  <c r="AU11" i="50"/>
  <c r="AV11" i="50"/>
  <c r="AW11" i="50"/>
  <c r="AX11" i="50"/>
  <c r="AY11" i="50"/>
  <c r="AZ11" i="50"/>
  <c r="BA11" i="50"/>
  <c r="BB11" i="50"/>
  <c r="BC11" i="50"/>
  <c r="BD11" i="50"/>
  <c r="BE11" i="50"/>
  <c r="AS12" i="50"/>
  <c r="AT12" i="50"/>
  <c r="AU12" i="50"/>
  <c r="AV12" i="50"/>
  <c r="AW12" i="50"/>
  <c r="AX12" i="50"/>
  <c r="AY12" i="50"/>
  <c r="AZ12" i="50"/>
  <c r="BA12" i="50"/>
  <c r="BB12" i="50"/>
  <c r="BC12" i="50"/>
  <c r="BD12" i="50"/>
  <c r="BE12" i="50"/>
  <c r="AS13" i="50"/>
  <c r="AT13" i="50"/>
  <c r="AU13" i="50"/>
  <c r="AV13" i="50"/>
  <c r="AW13" i="50"/>
  <c r="AX13" i="50"/>
  <c r="AY13" i="50"/>
  <c r="AZ13" i="50"/>
  <c r="BA13" i="50"/>
  <c r="BB13" i="50"/>
  <c r="BC13" i="50"/>
  <c r="BD13" i="50"/>
  <c r="BE13" i="50"/>
  <c r="AS14" i="50"/>
  <c r="AT14" i="50"/>
  <c r="AU14" i="50"/>
  <c r="AV14" i="50"/>
  <c r="AW14" i="50"/>
  <c r="AX14" i="50"/>
  <c r="AY14" i="50"/>
  <c r="AZ14" i="50"/>
  <c r="BA14" i="50"/>
  <c r="BB14" i="50"/>
  <c r="BC14" i="50"/>
  <c r="BD14" i="50"/>
  <c r="BE14" i="50"/>
  <c r="AS15" i="50"/>
  <c r="AT15" i="50"/>
  <c r="AU15" i="50"/>
  <c r="AV15" i="50"/>
  <c r="AW15" i="50"/>
  <c r="AX15" i="50"/>
  <c r="AY15" i="50"/>
  <c r="AZ15" i="50"/>
  <c r="BA15" i="50"/>
  <c r="BB15" i="50"/>
  <c r="BC15" i="50"/>
  <c r="BD15" i="50"/>
  <c r="BE15" i="50"/>
  <c r="AS16" i="50"/>
  <c r="AT16" i="50"/>
  <c r="AU16" i="50"/>
  <c r="AV16" i="50"/>
  <c r="AW16" i="50"/>
  <c r="AX16" i="50"/>
  <c r="AY16" i="50"/>
  <c r="AZ16" i="50"/>
  <c r="BA16" i="50"/>
  <c r="BB16" i="50"/>
  <c r="BC16" i="50"/>
  <c r="BD16" i="50"/>
  <c r="BE16" i="50"/>
  <c r="AS17" i="50"/>
  <c r="AT17" i="50"/>
  <c r="AU17" i="50"/>
  <c r="AV17" i="50"/>
  <c r="AW17" i="50"/>
  <c r="AX17" i="50"/>
  <c r="AY17" i="50"/>
  <c r="AZ17" i="50"/>
  <c r="BA17" i="50"/>
  <c r="BB17" i="50"/>
  <c r="BC17" i="50"/>
  <c r="BD17" i="50"/>
  <c r="BE17" i="50"/>
  <c r="AS18" i="50"/>
  <c r="AT18" i="50"/>
  <c r="AU18" i="50"/>
  <c r="AV18" i="50"/>
  <c r="AW18" i="50"/>
  <c r="AX18" i="50"/>
  <c r="AY18" i="50"/>
  <c r="AZ18" i="50"/>
  <c r="BA18" i="50"/>
  <c r="BB18" i="50"/>
  <c r="BC18" i="50"/>
  <c r="BD18" i="50"/>
  <c r="BE18" i="50"/>
  <c r="AS19" i="50"/>
  <c r="AT19" i="50"/>
  <c r="AU19" i="50"/>
  <c r="AV19" i="50"/>
  <c r="AW19" i="50"/>
  <c r="AX19" i="50"/>
  <c r="AY19" i="50"/>
  <c r="AZ19" i="50"/>
  <c r="BA19" i="50"/>
  <c r="BB19" i="50"/>
  <c r="BC19" i="50"/>
  <c r="BD19" i="50"/>
  <c r="BE19" i="50"/>
  <c r="AS20" i="50"/>
  <c r="AT20" i="50"/>
  <c r="AU20" i="50"/>
  <c r="AV20" i="50"/>
  <c r="AW20" i="50"/>
  <c r="AX20" i="50"/>
  <c r="AY20" i="50"/>
  <c r="AZ20" i="50"/>
  <c r="BA20" i="50"/>
  <c r="BB20" i="50"/>
  <c r="BC20" i="50"/>
  <c r="BD20" i="50"/>
  <c r="BE20" i="50"/>
  <c r="AS21" i="50"/>
  <c r="AT21" i="50"/>
  <c r="AU21" i="50"/>
  <c r="AV21" i="50"/>
  <c r="AW21" i="50"/>
  <c r="AX21" i="50"/>
  <c r="AY21" i="50"/>
  <c r="AZ21" i="50"/>
  <c r="BA21" i="50"/>
  <c r="BB21" i="50"/>
  <c r="BC21" i="50"/>
  <c r="BD21" i="50"/>
  <c r="BE21" i="50"/>
  <c r="AR10" i="50"/>
  <c r="AR11" i="50"/>
  <c r="AR12" i="50"/>
  <c r="AR13" i="50"/>
  <c r="AR14" i="50"/>
  <c r="AR15" i="50"/>
  <c r="AR16" i="50"/>
  <c r="AR17" i="50"/>
  <c r="AR18" i="50"/>
  <c r="AR19" i="50"/>
  <c r="AR20" i="50"/>
  <c r="AR21" i="50"/>
  <c r="AE9" i="50"/>
  <c r="AF9" i="50"/>
  <c r="AG9" i="50"/>
  <c r="AH9" i="50"/>
  <c r="AI9" i="50"/>
  <c r="AJ9" i="50"/>
  <c r="AK9" i="50"/>
  <c r="AL9" i="50"/>
  <c r="AM9" i="50"/>
  <c r="AN9" i="50"/>
  <c r="AO9" i="50"/>
  <c r="AP9" i="50"/>
  <c r="AQ9" i="50"/>
  <c r="AE10" i="50"/>
  <c r="AF10" i="50"/>
  <c r="AG10" i="50"/>
  <c r="AH10" i="50"/>
  <c r="AI10" i="50"/>
  <c r="AJ10" i="50"/>
  <c r="AK10" i="50"/>
  <c r="AL10" i="50"/>
  <c r="AM10" i="50"/>
  <c r="AN10" i="50"/>
  <c r="AO10" i="50"/>
  <c r="AP10" i="50"/>
  <c r="AQ10" i="50"/>
  <c r="AE11" i="50"/>
  <c r="AF11" i="50"/>
  <c r="AG11" i="50"/>
  <c r="AH11" i="50"/>
  <c r="AI11" i="50"/>
  <c r="AJ11" i="50"/>
  <c r="AK11" i="50"/>
  <c r="AL11" i="50"/>
  <c r="AM11" i="50"/>
  <c r="AN11" i="50"/>
  <c r="AO11" i="50"/>
  <c r="AP11" i="50"/>
  <c r="AQ11" i="50"/>
  <c r="AE12" i="50"/>
  <c r="AF12" i="50"/>
  <c r="AG12" i="50"/>
  <c r="AH12" i="50"/>
  <c r="AI12" i="50"/>
  <c r="AJ12" i="50"/>
  <c r="AK12" i="50"/>
  <c r="AL12" i="50"/>
  <c r="AM12" i="50"/>
  <c r="AN12" i="50"/>
  <c r="AO12" i="50"/>
  <c r="AP12" i="50"/>
  <c r="AQ12" i="50"/>
  <c r="AE13" i="50"/>
  <c r="AF13" i="50"/>
  <c r="AG13" i="50"/>
  <c r="AH13" i="50"/>
  <c r="AI13" i="50"/>
  <c r="AJ13" i="50"/>
  <c r="AK13" i="50"/>
  <c r="AL13" i="50"/>
  <c r="AM13" i="50"/>
  <c r="AN13" i="50"/>
  <c r="AO13" i="50"/>
  <c r="AP13" i="50"/>
  <c r="AQ13" i="50"/>
  <c r="AE14" i="50"/>
  <c r="AF14" i="50"/>
  <c r="AG14" i="50"/>
  <c r="AH14" i="50"/>
  <c r="AI14" i="50"/>
  <c r="AJ14" i="50"/>
  <c r="AK14" i="50"/>
  <c r="AL14" i="50"/>
  <c r="AM14" i="50"/>
  <c r="AN14" i="50"/>
  <c r="AO14" i="50"/>
  <c r="AP14" i="50"/>
  <c r="AQ14" i="50"/>
  <c r="AE15" i="50"/>
  <c r="AF15" i="50"/>
  <c r="AG15" i="50"/>
  <c r="AH15" i="50"/>
  <c r="AI15" i="50"/>
  <c r="AJ15" i="50"/>
  <c r="AK15" i="50"/>
  <c r="AL15" i="50"/>
  <c r="AM15" i="50"/>
  <c r="AN15" i="50"/>
  <c r="AO15" i="50"/>
  <c r="AP15" i="50"/>
  <c r="AQ15" i="50"/>
  <c r="AE16" i="50"/>
  <c r="AF16" i="50"/>
  <c r="AG16" i="50"/>
  <c r="AH16" i="50"/>
  <c r="AI16" i="50"/>
  <c r="AJ16" i="50"/>
  <c r="AK16" i="50"/>
  <c r="AL16" i="50"/>
  <c r="AM16" i="50"/>
  <c r="AN16" i="50"/>
  <c r="AO16" i="50"/>
  <c r="AP16" i="50"/>
  <c r="AQ16" i="50"/>
  <c r="AE17" i="50"/>
  <c r="AF17" i="50"/>
  <c r="AG17" i="50"/>
  <c r="AH17" i="50"/>
  <c r="AI17" i="50"/>
  <c r="AJ17" i="50"/>
  <c r="AK17" i="50"/>
  <c r="AL17" i="50"/>
  <c r="AM17" i="50"/>
  <c r="AN17" i="50"/>
  <c r="AO17" i="50"/>
  <c r="AP17" i="50"/>
  <c r="AQ17" i="50"/>
  <c r="AE18" i="50"/>
  <c r="AF18" i="50"/>
  <c r="AG18" i="50"/>
  <c r="AH18" i="50"/>
  <c r="AI18" i="50"/>
  <c r="AJ18" i="50"/>
  <c r="AK18" i="50"/>
  <c r="AL18" i="50"/>
  <c r="AM18" i="50"/>
  <c r="AN18" i="50"/>
  <c r="AO18" i="50"/>
  <c r="AP18" i="50"/>
  <c r="AQ18" i="50"/>
  <c r="AE19" i="50"/>
  <c r="AF19" i="50"/>
  <c r="AG19" i="50"/>
  <c r="AH19" i="50"/>
  <c r="AI19" i="50"/>
  <c r="AJ19" i="50"/>
  <c r="AK19" i="50"/>
  <c r="AL19" i="50"/>
  <c r="AM19" i="50"/>
  <c r="AN19" i="50"/>
  <c r="AO19" i="50"/>
  <c r="AP19" i="50"/>
  <c r="AQ19" i="50"/>
  <c r="AE20" i="50"/>
  <c r="AF20" i="50"/>
  <c r="AG20" i="50"/>
  <c r="AH20" i="50"/>
  <c r="AI20" i="50"/>
  <c r="AJ20" i="50"/>
  <c r="AK20" i="50"/>
  <c r="AL20" i="50"/>
  <c r="AM20" i="50"/>
  <c r="AN20" i="50"/>
  <c r="AO20" i="50"/>
  <c r="AP20" i="50"/>
  <c r="AQ20" i="50"/>
  <c r="AE21" i="50"/>
  <c r="AF21" i="50"/>
  <c r="AG21" i="50"/>
  <c r="AH21" i="50"/>
  <c r="AI21" i="50"/>
  <c r="AJ21" i="50"/>
  <c r="AK21" i="50"/>
  <c r="AL21" i="50"/>
  <c r="AM21" i="50"/>
  <c r="AN21" i="50"/>
  <c r="AO21" i="50"/>
  <c r="AP21" i="50"/>
  <c r="AQ21" i="50"/>
  <c r="AD10" i="50"/>
  <c r="AD11" i="50"/>
  <c r="AD12" i="50"/>
  <c r="AD13" i="50"/>
  <c r="AD14" i="50"/>
  <c r="AD15" i="50"/>
  <c r="AD16" i="50"/>
  <c r="AD17" i="50"/>
  <c r="AD18" i="50"/>
  <c r="AD19" i="50"/>
  <c r="AD20" i="50"/>
  <c r="AD21" i="50"/>
  <c r="T7" i="69" l="1"/>
  <c r="P7" i="69" l="1"/>
  <c r="AQ10" i="67" l="1"/>
  <c r="AQ4" i="67"/>
  <c r="AS3" i="67"/>
  <c r="AR26" i="67"/>
  <c r="AS26" i="67"/>
  <c r="AT26" i="67"/>
  <c r="H48" i="67"/>
  <c r="G48" i="67"/>
  <c r="E41" i="71" l="1"/>
  <c r="F41" i="71" s="1"/>
  <c r="E34" i="71"/>
  <c r="F34" i="71" s="1"/>
  <c r="E59" i="71"/>
  <c r="F59" i="71" s="1"/>
  <c r="E16" i="71"/>
  <c r="F16" i="71" s="1"/>
  <c r="E43" i="71"/>
  <c r="F43" i="71" s="1"/>
  <c r="E32" i="71"/>
  <c r="F32" i="71" s="1"/>
  <c r="E54" i="71"/>
  <c r="F54" i="71" s="1"/>
  <c r="E26" i="71"/>
  <c r="F26" i="71" s="1"/>
  <c r="E36" i="71"/>
  <c r="F36" i="71" s="1"/>
  <c r="E48" i="71"/>
  <c r="F48" i="71" s="1"/>
  <c r="E30" i="71"/>
  <c r="F30" i="71" s="1"/>
  <c r="E17" i="71"/>
  <c r="F17" i="71" s="1"/>
  <c r="E46" i="71"/>
  <c r="F46" i="71" s="1"/>
  <c r="E39" i="71"/>
  <c r="F39" i="71" s="1"/>
  <c r="E44" i="71"/>
  <c r="F44" i="71" s="1"/>
  <c r="E38" i="71"/>
  <c r="F38" i="71" s="1"/>
  <c r="E20" i="71"/>
  <c r="F20" i="71" s="1"/>
  <c r="E51" i="71"/>
  <c r="F51" i="71" s="1"/>
  <c r="E31" i="71"/>
  <c r="F31" i="71" s="1"/>
  <c r="E42" i="71"/>
  <c r="F42" i="71" s="1"/>
  <c r="E25" i="71"/>
  <c r="F25" i="71" s="1"/>
  <c r="E21" i="71"/>
  <c r="F21" i="71" s="1"/>
  <c r="E49" i="71"/>
  <c r="F49" i="71" s="1"/>
  <c r="E40" i="71"/>
  <c r="F40" i="71" s="1"/>
  <c r="E22" i="71"/>
  <c r="F22" i="71" s="1"/>
  <c r="E15" i="71"/>
  <c r="F15" i="71" s="1"/>
  <c r="E58" i="71"/>
  <c r="F58" i="71" s="1"/>
  <c r="E55" i="71"/>
  <c r="F55" i="71" s="1"/>
  <c r="E57" i="71"/>
  <c r="F57" i="71" s="1"/>
  <c r="E50" i="71"/>
  <c r="F50" i="71" s="1"/>
  <c r="E53" i="71"/>
  <c r="F53" i="71" s="1"/>
  <c r="E19" i="71"/>
  <c r="F19" i="71" s="1"/>
  <c r="E23" i="71"/>
  <c r="F23" i="71" s="1"/>
  <c r="E52" i="71"/>
  <c r="F52" i="71" s="1"/>
  <c r="E33" i="71"/>
  <c r="F33" i="71" s="1"/>
  <c r="E56" i="71"/>
  <c r="F56" i="71" s="1"/>
  <c r="E18" i="71"/>
  <c r="F18" i="71" s="1"/>
  <c r="E47" i="71"/>
  <c r="F47" i="71" s="1"/>
  <c r="E60" i="71"/>
  <c r="F60" i="71" s="1"/>
  <c r="E37" i="71"/>
  <c r="F37" i="71" s="1"/>
  <c r="E45" i="71"/>
  <c r="F45" i="71" s="1"/>
  <c r="E28" i="71"/>
  <c r="F28" i="71" s="1"/>
  <c r="E35" i="71"/>
  <c r="F35" i="71" s="1"/>
  <c r="E24" i="71"/>
  <c r="F24" i="71" s="1"/>
  <c r="E29" i="71"/>
  <c r="F29" i="71" s="1"/>
  <c r="E27" i="71"/>
  <c r="F27" i="71" s="1"/>
  <c r="E14" i="71"/>
  <c r="F14" i="71" s="1"/>
  <c r="E8" i="71"/>
  <c r="F8" i="71" s="1"/>
  <c r="E7" i="71"/>
  <c r="F7" i="71" s="1"/>
  <c r="E12" i="71"/>
  <c r="F12" i="71" s="1"/>
  <c r="E10" i="71"/>
  <c r="F10" i="71" s="1"/>
  <c r="E13" i="71"/>
  <c r="F13" i="71" s="1"/>
  <c r="E11" i="71"/>
  <c r="F11" i="71" s="1"/>
  <c r="E6" i="71"/>
  <c r="F6" i="71" s="1"/>
  <c r="E9" i="71"/>
  <c r="F9" i="71" s="1"/>
  <c r="E2" i="71"/>
  <c r="F2" i="71" s="1"/>
  <c r="E3" i="71"/>
  <c r="F3" i="71" s="1"/>
  <c r="E5" i="71"/>
  <c r="F5" i="71" s="1"/>
  <c r="E4" i="71"/>
  <c r="F4" i="71" s="1"/>
  <c r="T65" i="69"/>
  <c r="S65" i="69"/>
  <c r="P65" i="69"/>
  <c r="O65" i="69"/>
  <c r="M65" i="69"/>
  <c r="N65" i="69" s="1"/>
  <c r="I65" i="69"/>
  <c r="J65" i="69" s="1"/>
  <c r="E65" i="69"/>
  <c r="F65" i="69" s="1"/>
  <c r="T64" i="69"/>
  <c r="S64" i="69"/>
  <c r="P64" i="69"/>
  <c r="Q64" i="69" s="1"/>
  <c r="R64" i="69" s="1"/>
  <c r="O64" i="69"/>
  <c r="M64" i="69"/>
  <c r="N64" i="69" s="1"/>
  <c r="I64" i="69"/>
  <c r="J64" i="69" s="1"/>
  <c r="E64" i="69"/>
  <c r="F64" i="69" s="1"/>
  <c r="T63" i="69"/>
  <c r="S63" i="69"/>
  <c r="P63" i="69"/>
  <c r="O63" i="69"/>
  <c r="Q63" i="69" s="1"/>
  <c r="R63" i="69" s="1"/>
  <c r="M63" i="69"/>
  <c r="N63" i="69" s="1"/>
  <c r="I63" i="69"/>
  <c r="J63" i="69" s="1"/>
  <c r="F63" i="69"/>
  <c r="E63" i="69"/>
  <c r="T62" i="69"/>
  <c r="S62" i="69"/>
  <c r="P62" i="69"/>
  <c r="O62" i="69"/>
  <c r="Q62" i="69" s="1"/>
  <c r="R62" i="69" s="1"/>
  <c r="M62" i="69"/>
  <c r="N62" i="69" s="1"/>
  <c r="I62" i="69"/>
  <c r="J62" i="69" s="1"/>
  <c r="E62" i="69"/>
  <c r="F62" i="69" s="1"/>
  <c r="T61" i="69"/>
  <c r="S61" i="69"/>
  <c r="P61" i="69"/>
  <c r="O61" i="69"/>
  <c r="N61" i="69"/>
  <c r="M61" i="69"/>
  <c r="I61" i="69"/>
  <c r="J61" i="69" s="1"/>
  <c r="E61" i="69"/>
  <c r="F61" i="69" s="1"/>
  <c r="T60" i="69"/>
  <c r="S60" i="69"/>
  <c r="P60" i="69"/>
  <c r="O60" i="69"/>
  <c r="Q60" i="69" s="1"/>
  <c r="R60" i="69" s="1"/>
  <c r="M60" i="69"/>
  <c r="N60" i="69" s="1"/>
  <c r="I60" i="69"/>
  <c r="J60" i="69" s="1"/>
  <c r="E60" i="69"/>
  <c r="F60" i="69" s="1"/>
  <c r="T59" i="69"/>
  <c r="S59" i="69"/>
  <c r="P59" i="69"/>
  <c r="O59" i="69"/>
  <c r="Q59" i="69" s="1"/>
  <c r="R59" i="69" s="1"/>
  <c r="M59" i="69"/>
  <c r="N59" i="69" s="1"/>
  <c r="J59" i="69"/>
  <c r="I59" i="69"/>
  <c r="E59" i="69"/>
  <c r="F59" i="69" s="1"/>
  <c r="T58" i="69"/>
  <c r="S58" i="69"/>
  <c r="P58" i="69"/>
  <c r="Q58" i="69" s="1"/>
  <c r="R58" i="69" s="1"/>
  <c r="O58" i="69"/>
  <c r="M58" i="69"/>
  <c r="N58" i="69" s="1"/>
  <c r="I58" i="69"/>
  <c r="J58" i="69" s="1"/>
  <c r="E58" i="69"/>
  <c r="F58" i="69" s="1"/>
  <c r="T57" i="69"/>
  <c r="S57" i="69"/>
  <c r="P57" i="69"/>
  <c r="O57" i="69"/>
  <c r="M57" i="69"/>
  <c r="N57" i="69" s="1"/>
  <c r="J57" i="69"/>
  <c r="I57" i="69"/>
  <c r="E57" i="69"/>
  <c r="F57" i="69" s="1"/>
  <c r="T56" i="69"/>
  <c r="S56" i="69"/>
  <c r="P56" i="69"/>
  <c r="Q56" i="69" s="1"/>
  <c r="R56" i="69" s="1"/>
  <c r="O56" i="69"/>
  <c r="M56" i="69"/>
  <c r="N56" i="69" s="1"/>
  <c r="I56" i="69"/>
  <c r="J56" i="69" s="1"/>
  <c r="E56" i="69"/>
  <c r="F56" i="69" s="1"/>
  <c r="T55" i="69"/>
  <c r="S55" i="69"/>
  <c r="P55" i="69"/>
  <c r="O55" i="69"/>
  <c r="M55" i="69"/>
  <c r="N55" i="69" s="1"/>
  <c r="I55" i="69"/>
  <c r="J55" i="69" s="1"/>
  <c r="E55" i="69"/>
  <c r="F55" i="69" s="1"/>
  <c r="T54" i="69"/>
  <c r="U54" i="69" s="1"/>
  <c r="V54" i="69" s="1"/>
  <c r="S54" i="69"/>
  <c r="P54" i="69"/>
  <c r="O54" i="69"/>
  <c r="M54" i="69"/>
  <c r="N54" i="69" s="1"/>
  <c r="I54" i="69"/>
  <c r="J54" i="69" s="1"/>
  <c r="E54" i="69"/>
  <c r="F54" i="69" s="1"/>
  <c r="T53" i="69"/>
  <c r="S53" i="69"/>
  <c r="P53" i="69"/>
  <c r="Q53" i="69" s="1"/>
  <c r="R53" i="69" s="1"/>
  <c r="O53" i="69"/>
  <c r="M53" i="69"/>
  <c r="N53" i="69" s="1"/>
  <c r="I53" i="69"/>
  <c r="J53" i="69" s="1"/>
  <c r="E53" i="69"/>
  <c r="F53" i="69" s="1"/>
  <c r="T52" i="69"/>
  <c r="S52" i="69"/>
  <c r="P52" i="69"/>
  <c r="O52" i="69"/>
  <c r="Q52" i="69" s="1"/>
  <c r="R52" i="69" s="1"/>
  <c r="M52" i="69"/>
  <c r="N52" i="69" s="1"/>
  <c r="I52" i="69"/>
  <c r="J52" i="69" s="1"/>
  <c r="E52" i="69"/>
  <c r="F52" i="69" s="1"/>
  <c r="T51" i="69"/>
  <c r="S51" i="69"/>
  <c r="U51" i="69" s="1"/>
  <c r="V51" i="69" s="1"/>
  <c r="P51" i="69"/>
  <c r="O51" i="69"/>
  <c r="Q51" i="69" s="1"/>
  <c r="R51" i="69" s="1"/>
  <c r="M51" i="69"/>
  <c r="N51" i="69" s="1"/>
  <c r="I51" i="69"/>
  <c r="J51" i="69" s="1"/>
  <c r="E51" i="69"/>
  <c r="F51" i="69" s="1"/>
  <c r="T50" i="69"/>
  <c r="S50" i="69"/>
  <c r="P50" i="69"/>
  <c r="O50" i="69"/>
  <c r="Q50" i="69" s="1"/>
  <c r="R50" i="69" s="1"/>
  <c r="M50" i="69"/>
  <c r="N50" i="69" s="1"/>
  <c r="I50" i="69"/>
  <c r="J50" i="69" s="1"/>
  <c r="E50" i="69"/>
  <c r="F50" i="69" s="1"/>
  <c r="T49" i="69"/>
  <c r="S49" i="69"/>
  <c r="P49" i="69"/>
  <c r="O49" i="69"/>
  <c r="M49" i="69"/>
  <c r="N49" i="69" s="1"/>
  <c r="I49" i="69"/>
  <c r="J49" i="69" s="1"/>
  <c r="E49" i="69"/>
  <c r="F49" i="69" s="1"/>
  <c r="T48" i="69"/>
  <c r="S48" i="69"/>
  <c r="P48" i="69"/>
  <c r="O48" i="69"/>
  <c r="Q48" i="69" s="1"/>
  <c r="R48" i="69" s="1"/>
  <c r="M48" i="69"/>
  <c r="N48" i="69" s="1"/>
  <c r="I48" i="69"/>
  <c r="J48" i="69" s="1"/>
  <c r="E48" i="69"/>
  <c r="F48" i="69" s="1"/>
  <c r="T47" i="69"/>
  <c r="S47" i="69"/>
  <c r="U47" i="69" s="1"/>
  <c r="V47" i="69" s="1"/>
  <c r="P47" i="69"/>
  <c r="O47" i="69"/>
  <c r="M47" i="69"/>
  <c r="N47" i="69" s="1"/>
  <c r="I47" i="69"/>
  <c r="J47" i="69" s="1"/>
  <c r="E47" i="69"/>
  <c r="F47" i="69" s="1"/>
  <c r="T46" i="69"/>
  <c r="S46" i="69"/>
  <c r="P46" i="69"/>
  <c r="Q46" i="69" s="1"/>
  <c r="R46" i="69" s="1"/>
  <c r="O46" i="69"/>
  <c r="M46" i="69"/>
  <c r="N46" i="69" s="1"/>
  <c r="I46" i="69"/>
  <c r="J46" i="69" s="1"/>
  <c r="E46" i="69"/>
  <c r="F46" i="69" s="1"/>
  <c r="T45" i="69"/>
  <c r="S45" i="69"/>
  <c r="P45" i="69"/>
  <c r="O45" i="69"/>
  <c r="N45" i="69"/>
  <c r="M45" i="69"/>
  <c r="I45" i="69"/>
  <c r="J45" i="69" s="1"/>
  <c r="E45" i="69"/>
  <c r="F45" i="69" s="1"/>
  <c r="T44" i="69"/>
  <c r="S44" i="69"/>
  <c r="U44" i="69" s="1"/>
  <c r="V44" i="69" s="1"/>
  <c r="P44" i="69"/>
  <c r="O44" i="69"/>
  <c r="M44" i="69"/>
  <c r="N44" i="69" s="1"/>
  <c r="I44" i="69"/>
  <c r="J44" i="69" s="1"/>
  <c r="E44" i="69"/>
  <c r="F44" i="69" s="1"/>
  <c r="T43" i="69"/>
  <c r="S43" i="69"/>
  <c r="P43" i="69"/>
  <c r="O43" i="69"/>
  <c r="M43" i="69"/>
  <c r="N43" i="69" s="1"/>
  <c r="J43" i="69"/>
  <c r="I43" i="69"/>
  <c r="E43" i="69"/>
  <c r="F43" i="69" s="1"/>
  <c r="T42" i="69"/>
  <c r="S42" i="69"/>
  <c r="P42" i="69"/>
  <c r="O42" i="69"/>
  <c r="Q42" i="69" s="1"/>
  <c r="R42" i="69" s="1"/>
  <c r="M42" i="69"/>
  <c r="N42" i="69" s="1"/>
  <c r="I42" i="69"/>
  <c r="J42" i="69" s="1"/>
  <c r="E42" i="69"/>
  <c r="F42" i="69" s="1"/>
  <c r="T41" i="69"/>
  <c r="U41" i="69" s="1"/>
  <c r="V41" i="69" s="1"/>
  <c r="S41" i="69"/>
  <c r="P41" i="69"/>
  <c r="O41" i="69"/>
  <c r="Q41" i="69" s="1"/>
  <c r="R41" i="69" s="1"/>
  <c r="M41" i="69"/>
  <c r="N41" i="69" s="1"/>
  <c r="I41" i="69"/>
  <c r="J41" i="69" s="1"/>
  <c r="E41" i="69"/>
  <c r="F41" i="69" s="1"/>
  <c r="T40" i="69"/>
  <c r="S40" i="69"/>
  <c r="P40" i="69"/>
  <c r="O40" i="69"/>
  <c r="M40" i="69"/>
  <c r="N40" i="69" s="1"/>
  <c r="I40" i="69"/>
  <c r="J40" i="69" s="1"/>
  <c r="E40" i="69"/>
  <c r="F40" i="69" s="1"/>
  <c r="T39" i="69"/>
  <c r="S39" i="69"/>
  <c r="P39" i="69"/>
  <c r="O39" i="69"/>
  <c r="M39" i="69"/>
  <c r="N39" i="69" s="1"/>
  <c r="I39" i="69"/>
  <c r="J39" i="69" s="1"/>
  <c r="E39" i="69"/>
  <c r="F39" i="69" s="1"/>
  <c r="T38" i="69"/>
  <c r="S38" i="69"/>
  <c r="P38" i="69"/>
  <c r="O38" i="69"/>
  <c r="Q38" i="69" s="1"/>
  <c r="R38" i="69" s="1"/>
  <c r="M38" i="69"/>
  <c r="N38" i="69" s="1"/>
  <c r="I38" i="69"/>
  <c r="J38" i="69" s="1"/>
  <c r="E38" i="69"/>
  <c r="F38" i="69" s="1"/>
  <c r="T37" i="69"/>
  <c r="S37" i="69"/>
  <c r="P37" i="69"/>
  <c r="O37" i="69"/>
  <c r="Q37" i="69" s="1"/>
  <c r="R37" i="69" s="1"/>
  <c r="M37" i="69"/>
  <c r="N37" i="69" s="1"/>
  <c r="I37" i="69"/>
  <c r="J37" i="69" s="1"/>
  <c r="E37" i="69"/>
  <c r="F37" i="69" s="1"/>
  <c r="T36" i="69"/>
  <c r="S36" i="69"/>
  <c r="P36" i="69"/>
  <c r="O36" i="69"/>
  <c r="M36" i="69"/>
  <c r="N36" i="69" s="1"/>
  <c r="I36" i="69"/>
  <c r="J36" i="69" s="1"/>
  <c r="E36" i="69"/>
  <c r="F36" i="69" s="1"/>
  <c r="T35" i="69"/>
  <c r="S35" i="69"/>
  <c r="P35" i="69"/>
  <c r="O35" i="69"/>
  <c r="Q35" i="69" s="1"/>
  <c r="R35" i="69" s="1"/>
  <c r="M35" i="69"/>
  <c r="N35" i="69" s="1"/>
  <c r="I35" i="69"/>
  <c r="J35" i="69" s="1"/>
  <c r="E35" i="69"/>
  <c r="F35" i="69" s="1"/>
  <c r="T34" i="69"/>
  <c r="S34" i="69"/>
  <c r="Q34" i="69"/>
  <c r="R34" i="69" s="1"/>
  <c r="P34" i="69"/>
  <c r="O34" i="69"/>
  <c r="M34" i="69"/>
  <c r="N34" i="69" s="1"/>
  <c r="I34" i="69"/>
  <c r="J34" i="69" s="1"/>
  <c r="E34" i="69"/>
  <c r="F34" i="69" s="1"/>
  <c r="T33" i="69"/>
  <c r="S33" i="69"/>
  <c r="U33" i="69" s="1"/>
  <c r="V33" i="69" s="1"/>
  <c r="P33" i="69"/>
  <c r="Q33" i="69" s="1"/>
  <c r="R33" i="69" s="1"/>
  <c r="O33" i="69"/>
  <c r="M33" i="69"/>
  <c r="N33" i="69" s="1"/>
  <c r="I33" i="69"/>
  <c r="J33" i="69" s="1"/>
  <c r="E33" i="69"/>
  <c r="F33" i="69" s="1"/>
  <c r="T32" i="69"/>
  <c r="S32" i="69"/>
  <c r="P32" i="69"/>
  <c r="O32" i="69"/>
  <c r="M32" i="69"/>
  <c r="N32" i="69" s="1"/>
  <c r="J32" i="69"/>
  <c r="I32" i="69"/>
  <c r="E32" i="69"/>
  <c r="F32" i="69" s="1"/>
  <c r="T31" i="69"/>
  <c r="S31" i="69"/>
  <c r="U31" i="69" s="1"/>
  <c r="V31" i="69" s="1"/>
  <c r="P31" i="69"/>
  <c r="O31" i="69"/>
  <c r="Q31" i="69" s="1"/>
  <c r="R31" i="69" s="1"/>
  <c r="M31" i="69"/>
  <c r="N31" i="69" s="1"/>
  <c r="I31" i="69"/>
  <c r="J31" i="69" s="1"/>
  <c r="E31" i="69"/>
  <c r="F31" i="69" s="1"/>
  <c r="T30" i="69"/>
  <c r="U30" i="69" s="1"/>
  <c r="V30" i="69" s="1"/>
  <c r="S30" i="69"/>
  <c r="P30" i="69"/>
  <c r="O30" i="69"/>
  <c r="Q30" i="69" s="1"/>
  <c r="R30" i="69" s="1"/>
  <c r="M30" i="69"/>
  <c r="N30" i="69" s="1"/>
  <c r="I30" i="69"/>
  <c r="J30" i="69" s="1"/>
  <c r="E30" i="69"/>
  <c r="F30" i="69" s="1"/>
  <c r="T29" i="69"/>
  <c r="S29" i="69"/>
  <c r="U29" i="69" s="1"/>
  <c r="V29" i="69" s="1"/>
  <c r="P29" i="69"/>
  <c r="O29" i="69"/>
  <c r="Q29" i="69" s="1"/>
  <c r="R29" i="69" s="1"/>
  <c r="M29" i="69"/>
  <c r="N29" i="69" s="1"/>
  <c r="I29" i="69"/>
  <c r="J29" i="69" s="1"/>
  <c r="E29" i="69"/>
  <c r="F29" i="69" s="1"/>
  <c r="T28" i="69"/>
  <c r="S28" i="69"/>
  <c r="P28" i="69"/>
  <c r="O28" i="69"/>
  <c r="M28" i="69"/>
  <c r="N28" i="69" s="1"/>
  <c r="J28" i="69"/>
  <c r="I28" i="69"/>
  <c r="E28" i="69"/>
  <c r="F28" i="69" s="1"/>
  <c r="T27" i="69"/>
  <c r="S27" i="69"/>
  <c r="U27" i="69" s="1"/>
  <c r="V27" i="69" s="1"/>
  <c r="P27" i="69"/>
  <c r="O27" i="69"/>
  <c r="Q27" i="69" s="1"/>
  <c r="R27" i="69" s="1"/>
  <c r="M27" i="69"/>
  <c r="N27" i="69" s="1"/>
  <c r="I27" i="69"/>
  <c r="J27" i="69" s="1"/>
  <c r="E27" i="69"/>
  <c r="F27" i="69" s="1"/>
  <c r="T26" i="69"/>
  <c r="S26" i="69"/>
  <c r="P26" i="69"/>
  <c r="Q26" i="69" s="1"/>
  <c r="R26" i="69" s="1"/>
  <c r="O26" i="69"/>
  <c r="M26" i="69"/>
  <c r="N26" i="69" s="1"/>
  <c r="I26" i="69"/>
  <c r="J26" i="69" s="1"/>
  <c r="E26" i="69"/>
  <c r="F26" i="69" s="1"/>
  <c r="T25" i="69"/>
  <c r="S25" i="69"/>
  <c r="Q25" i="69"/>
  <c r="R25" i="69" s="1"/>
  <c r="P25" i="69"/>
  <c r="O25" i="69"/>
  <c r="M25" i="69"/>
  <c r="N25" i="69" s="1"/>
  <c r="I25" i="69"/>
  <c r="J25" i="69" s="1"/>
  <c r="E25" i="69"/>
  <c r="F25" i="69" s="1"/>
  <c r="T24" i="69"/>
  <c r="S24" i="69"/>
  <c r="P24" i="69"/>
  <c r="O24" i="69"/>
  <c r="M24" i="69"/>
  <c r="N24" i="69" s="1"/>
  <c r="I24" i="69"/>
  <c r="J24" i="69" s="1"/>
  <c r="E24" i="69"/>
  <c r="F24" i="69" s="1"/>
  <c r="T23" i="69"/>
  <c r="S23" i="69"/>
  <c r="U23" i="69" s="1"/>
  <c r="V23" i="69" s="1"/>
  <c r="P23" i="69"/>
  <c r="O23" i="69"/>
  <c r="Q23" i="69" s="1"/>
  <c r="R23" i="69" s="1"/>
  <c r="M23" i="69"/>
  <c r="N23" i="69" s="1"/>
  <c r="I23" i="69"/>
  <c r="J23" i="69" s="1"/>
  <c r="E23" i="69"/>
  <c r="F23" i="69" s="1"/>
  <c r="T22" i="69"/>
  <c r="S22" i="69"/>
  <c r="P22" i="69"/>
  <c r="O22" i="69"/>
  <c r="Q22" i="69" s="1"/>
  <c r="R22" i="69" s="1"/>
  <c r="M22" i="69"/>
  <c r="N22" i="69" s="1"/>
  <c r="I22" i="69"/>
  <c r="J22" i="69" s="1"/>
  <c r="E22" i="69"/>
  <c r="F22" i="69" s="1"/>
  <c r="T21" i="69"/>
  <c r="S21" i="69"/>
  <c r="P21" i="69"/>
  <c r="O21" i="69"/>
  <c r="Q21" i="69" s="1"/>
  <c r="R21" i="69" s="1"/>
  <c r="M21" i="69"/>
  <c r="N21" i="69" s="1"/>
  <c r="I21" i="69"/>
  <c r="J21" i="69" s="1"/>
  <c r="E21" i="69"/>
  <c r="F21" i="69" s="1"/>
  <c r="T20" i="69"/>
  <c r="U20" i="69" s="1"/>
  <c r="V20" i="69" s="1"/>
  <c r="S20" i="69"/>
  <c r="P20" i="69"/>
  <c r="Q20" i="69" s="1"/>
  <c r="R20" i="69" s="1"/>
  <c r="O20" i="69"/>
  <c r="M20" i="69"/>
  <c r="N20" i="69" s="1"/>
  <c r="J20" i="69"/>
  <c r="I20" i="69"/>
  <c r="E20" i="69"/>
  <c r="F20" i="69" s="1"/>
  <c r="T19" i="69"/>
  <c r="S19" i="69"/>
  <c r="P19" i="69"/>
  <c r="O19" i="69"/>
  <c r="M19" i="69"/>
  <c r="N19" i="69" s="1"/>
  <c r="I19" i="69"/>
  <c r="J19" i="69" s="1"/>
  <c r="E19" i="69"/>
  <c r="F19" i="69" s="1"/>
  <c r="T18" i="69"/>
  <c r="S18" i="69"/>
  <c r="P18" i="69"/>
  <c r="Q18" i="69" s="1"/>
  <c r="R18" i="69" s="1"/>
  <c r="O18" i="69"/>
  <c r="M18" i="69"/>
  <c r="N18" i="69" s="1"/>
  <c r="I18" i="69"/>
  <c r="J18" i="69" s="1"/>
  <c r="E18" i="69"/>
  <c r="F18" i="69" s="1"/>
  <c r="T17" i="69"/>
  <c r="S17" i="69"/>
  <c r="U17" i="69" s="1"/>
  <c r="V17" i="69" s="1"/>
  <c r="P17" i="69"/>
  <c r="Q17" i="69" s="1"/>
  <c r="R17" i="69" s="1"/>
  <c r="O17" i="69"/>
  <c r="M17" i="69"/>
  <c r="N17" i="69" s="1"/>
  <c r="I17" i="69"/>
  <c r="J17" i="69" s="1"/>
  <c r="E17" i="69"/>
  <c r="F17" i="69" s="1"/>
  <c r="T16" i="69"/>
  <c r="S16" i="69"/>
  <c r="P16" i="69"/>
  <c r="O16" i="69"/>
  <c r="M16" i="69"/>
  <c r="N16" i="69" s="1"/>
  <c r="I16" i="69"/>
  <c r="J16" i="69" s="1"/>
  <c r="E16" i="69"/>
  <c r="F16" i="69" s="1"/>
  <c r="T15" i="69"/>
  <c r="S15" i="69"/>
  <c r="P15" i="69"/>
  <c r="O15" i="69"/>
  <c r="M15" i="69"/>
  <c r="N15" i="69" s="1"/>
  <c r="I15" i="69"/>
  <c r="J15" i="69" s="1"/>
  <c r="E15" i="69"/>
  <c r="F15" i="69" s="1"/>
  <c r="T14" i="69"/>
  <c r="S14" i="69"/>
  <c r="P14" i="69"/>
  <c r="O14" i="69"/>
  <c r="Q14" i="69" s="1"/>
  <c r="R14" i="69" s="1"/>
  <c r="M14" i="69"/>
  <c r="N14" i="69" s="1"/>
  <c r="I14" i="69"/>
  <c r="J14" i="69" s="1"/>
  <c r="E14" i="69"/>
  <c r="F14" i="69" s="1"/>
  <c r="T13" i="69"/>
  <c r="S13" i="69"/>
  <c r="P13" i="69"/>
  <c r="O13" i="69"/>
  <c r="Q13" i="69" s="1"/>
  <c r="R13" i="69" s="1"/>
  <c r="M13" i="69"/>
  <c r="N13" i="69" s="1"/>
  <c r="I13" i="69"/>
  <c r="J13" i="69" s="1"/>
  <c r="E13" i="69"/>
  <c r="F13" i="69" s="1"/>
  <c r="T12" i="69"/>
  <c r="S12" i="69"/>
  <c r="P12" i="69"/>
  <c r="Q12" i="69" s="1"/>
  <c r="R12" i="69" s="1"/>
  <c r="O12" i="69"/>
  <c r="M12" i="69"/>
  <c r="N12" i="69" s="1"/>
  <c r="I12" i="69"/>
  <c r="J12" i="69" s="1"/>
  <c r="E12" i="69"/>
  <c r="F12" i="69" s="1"/>
  <c r="T11" i="69"/>
  <c r="S11" i="69"/>
  <c r="P11" i="69"/>
  <c r="O11" i="69"/>
  <c r="M11" i="69"/>
  <c r="N11" i="69" s="1"/>
  <c r="I11" i="69"/>
  <c r="J11" i="69" s="1"/>
  <c r="E11" i="69"/>
  <c r="F11" i="69" s="1"/>
  <c r="T10" i="69"/>
  <c r="S10" i="69"/>
  <c r="U10" i="69" s="1"/>
  <c r="V10" i="69" s="1"/>
  <c r="P10" i="69"/>
  <c r="Q10" i="69" s="1"/>
  <c r="R10" i="69" s="1"/>
  <c r="O10" i="69"/>
  <c r="M10" i="69"/>
  <c r="N10" i="69" s="1"/>
  <c r="I10" i="69"/>
  <c r="J10" i="69" s="1"/>
  <c r="E10" i="69"/>
  <c r="F10" i="69" s="1"/>
  <c r="T9" i="69"/>
  <c r="S9" i="69"/>
  <c r="P9" i="69"/>
  <c r="Q9" i="69" s="1"/>
  <c r="R9" i="69" s="1"/>
  <c r="O9" i="69"/>
  <c r="M9" i="69"/>
  <c r="N9" i="69" s="1"/>
  <c r="I9" i="69"/>
  <c r="J9" i="69" s="1"/>
  <c r="E9" i="69"/>
  <c r="F9" i="69" s="1"/>
  <c r="T8" i="69"/>
  <c r="S8" i="69"/>
  <c r="P8" i="69"/>
  <c r="O8" i="69"/>
  <c r="N8" i="69"/>
  <c r="M8" i="69"/>
  <c r="J8" i="69"/>
  <c r="I8" i="69"/>
  <c r="E8" i="69"/>
  <c r="F8" i="69" s="1"/>
  <c r="S7" i="69"/>
  <c r="O7" i="69"/>
  <c r="Q7" i="69" s="1"/>
  <c r="R7" i="69" s="1"/>
  <c r="M7" i="69"/>
  <c r="N7" i="69" s="1"/>
  <c r="I7" i="69"/>
  <c r="J7" i="69" s="1"/>
  <c r="E7" i="69"/>
  <c r="F7" i="69" s="1"/>
  <c r="AN293" i="68"/>
  <c r="AQ61" i="68" s="1"/>
  <c r="AM293" i="68"/>
  <c r="AJ293" i="68"/>
  <c r="AI293" i="68"/>
  <c r="AF293" i="68"/>
  <c r="AE293" i="68"/>
  <c r="AB293" i="68"/>
  <c r="AA293" i="68"/>
  <c r="X293" i="68"/>
  <c r="AQ57" i="68" s="1"/>
  <c r="W293" i="68"/>
  <c r="T293" i="68"/>
  <c r="S293" i="68"/>
  <c r="P293" i="68"/>
  <c r="O293" i="68"/>
  <c r="L293" i="68"/>
  <c r="K293" i="68"/>
  <c r="H293" i="68"/>
  <c r="AQ53" i="68" s="1"/>
  <c r="G293" i="68"/>
  <c r="D293" i="68"/>
  <c r="C293" i="68"/>
  <c r="AN244" i="68"/>
  <c r="AM244" i="68"/>
  <c r="AJ244" i="68"/>
  <c r="AI244" i="68"/>
  <c r="AF244" i="68"/>
  <c r="AQ49" i="68" s="1"/>
  <c r="AE244" i="68"/>
  <c r="AB244" i="68"/>
  <c r="AA244" i="68"/>
  <c r="X244" i="68"/>
  <c r="W244" i="68"/>
  <c r="T244" i="68"/>
  <c r="S244" i="68"/>
  <c r="P244" i="68"/>
  <c r="O244" i="68"/>
  <c r="L244" i="68"/>
  <c r="K244" i="68"/>
  <c r="H244" i="68"/>
  <c r="G244" i="68"/>
  <c r="D244" i="68"/>
  <c r="C244" i="68"/>
  <c r="AN195" i="68"/>
  <c r="AM195" i="68"/>
  <c r="AJ195" i="68"/>
  <c r="AI195" i="68"/>
  <c r="AF195" i="68"/>
  <c r="AE195" i="68"/>
  <c r="AB195" i="68"/>
  <c r="AA195" i="68"/>
  <c r="X195" i="68"/>
  <c r="W195" i="68"/>
  <c r="T195" i="68"/>
  <c r="S195" i="68"/>
  <c r="P195" i="68"/>
  <c r="O195" i="68"/>
  <c r="L195" i="68"/>
  <c r="K195" i="68"/>
  <c r="H195" i="68"/>
  <c r="G195" i="68"/>
  <c r="D195" i="68"/>
  <c r="C195" i="68"/>
  <c r="AN146" i="68"/>
  <c r="AM146" i="68"/>
  <c r="AJ146" i="68"/>
  <c r="AI146" i="68"/>
  <c r="AF146" i="68"/>
  <c r="AE146" i="68"/>
  <c r="AB146" i="68"/>
  <c r="AA146" i="68"/>
  <c r="X146" i="68"/>
  <c r="W146" i="68"/>
  <c r="T146" i="68"/>
  <c r="S146" i="68"/>
  <c r="P146" i="68"/>
  <c r="O146" i="68"/>
  <c r="L146" i="68"/>
  <c r="K146" i="68"/>
  <c r="H146" i="68"/>
  <c r="G146" i="68"/>
  <c r="D146" i="68"/>
  <c r="C146" i="68"/>
  <c r="AN97" i="68"/>
  <c r="AM97" i="68"/>
  <c r="AJ97" i="68"/>
  <c r="AI97" i="68"/>
  <c r="AF97" i="68"/>
  <c r="AE97" i="68"/>
  <c r="AB97" i="68"/>
  <c r="AA97" i="68"/>
  <c r="X97" i="68"/>
  <c r="W97" i="68"/>
  <c r="T97" i="68"/>
  <c r="S97" i="68"/>
  <c r="P97" i="68"/>
  <c r="O97" i="68"/>
  <c r="L97" i="68"/>
  <c r="K97" i="68"/>
  <c r="H97" i="68"/>
  <c r="G97" i="68"/>
  <c r="D97" i="68"/>
  <c r="C97" i="68"/>
  <c r="AT61" i="68"/>
  <c r="AS61" i="68"/>
  <c r="AR61" i="68"/>
  <c r="AT60" i="68"/>
  <c r="AS60" i="68"/>
  <c r="AR60" i="68"/>
  <c r="AQ60" i="68"/>
  <c r="AT59" i="68"/>
  <c r="AS59" i="68"/>
  <c r="AR59" i="68"/>
  <c r="AQ59" i="68"/>
  <c r="AT58" i="68"/>
  <c r="AS58" i="68"/>
  <c r="AR58" i="68"/>
  <c r="AQ58" i="68"/>
  <c r="AT57" i="68"/>
  <c r="AS57" i="68"/>
  <c r="AR57" i="68"/>
  <c r="AT56" i="68"/>
  <c r="AS56" i="68"/>
  <c r="AR56" i="68"/>
  <c r="AQ56" i="68"/>
  <c r="AT55" i="68"/>
  <c r="AS55" i="68"/>
  <c r="AR55" i="68"/>
  <c r="AQ55" i="68"/>
  <c r="AT54" i="68"/>
  <c r="AS54" i="68"/>
  <c r="AR54" i="68"/>
  <c r="AQ54" i="68"/>
  <c r="AT53" i="68"/>
  <c r="AS53" i="68"/>
  <c r="AR53" i="68"/>
  <c r="AT52" i="68"/>
  <c r="AS52" i="68"/>
  <c r="AR52" i="68"/>
  <c r="AQ52" i="68"/>
  <c r="AT51" i="68"/>
  <c r="AS51" i="68"/>
  <c r="AR51" i="68"/>
  <c r="AQ51" i="68"/>
  <c r="AT50" i="68"/>
  <c r="AS50" i="68"/>
  <c r="AR50" i="68"/>
  <c r="AQ50" i="68"/>
  <c r="AT49" i="68"/>
  <c r="AS49" i="68"/>
  <c r="AR49" i="68"/>
  <c r="AT48" i="68"/>
  <c r="AS48" i="68"/>
  <c r="AR48" i="68"/>
  <c r="AQ48" i="68"/>
  <c r="AN48" i="68"/>
  <c r="AM48" i="68"/>
  <c r="AJ48" i="68"/>
  <c r="AI48" i="68"/>
  <c r="AF48" i="68"/>
  <c r="AE48" i="68"/>
  <c r="AB48" i="68"/>
  <c r="AA48" i="68"/>
  <c r="X48" i="68"/>
  <c r="W48" i="68"/>
  <c r="T48" i="68"/>
  <c r="S48" i="68"/>
  <c r="P48" i="68"/>
  <c r="O48" i="68"/>
  <c r="L48" i="68"/>
  <c r="K48" i="68"/>
  <c r="H48" i="68"/>
  <c r="G48" i="68"/>
  <c r="AT47" i="68"/>
  <c r="AS47" i="68"/>
  <c r="AR47" i="68"/>
  <c r="AQ47" i="68"/>
  <c r="AT46" i="68"/>
  <c r="AS46" i="68"/>
  <c r="AR46" i="68"/>
  <c r="AQ46" i="68"/>
  <c r="AT45" i="68"/>
  <c r="AS45" i="68"/>
  <c r="AR45" i="68"/>
  <c r="AQ45" i="68"/>
  <c r="AT44" i="68"/>
  <c r="AS44" i="68"/>
  <c r="AR44" i="68"/>
  <c r="AQ44" i="68"/>
  <c r="AT43" i="68"/>
  <c r="AS43" i="68"/>
  <c r="AR43" i="68"/>
  <c r="AQ43" i="68"/>
  <c r="AT42" i="68"/>
  <c r="AS42" i="68"/>
  <c r="AR42" i="68"/>
  <c r="AQ42" i="68"/>
  <c r="AT41" i="68"/>
  <c r="AS41" i="68"/>
  <c r="AR41" i="68"/>
  <c r="AQ41" i="68"/>
  <c r="AT40" i="68"/>
  <c r="AS40" i="68"/>
  <c r="AR40" i="68"/>
  <c r="AQ40" i="68"/>
  <c r="AT39" i="68"/>
  <c r="AS39" i="68"/>
  <c r="AR39" i="68"/>
  <c r="AQ39" i="68"/>
  <c r="AT38" i="68"/>
  <c r="AS38" i="68"/>
  <c r="AR38" i="68"/>
  <c r="AQ38" i="68"/>
  <c r="AT37" i="68"/>
  <c r="AS37" i="68"/>
  <c r="AR37" i="68"/>
  <c r="AQ37" i="68"/>
  <c r="AT36" i="68"/>
  <c r="AS36" i="68"/>
  <c r="AR36" i="68"/>
  <c r="AQ36" i="68"/>
  <c r="AT35" i="68"/>
  <c r="AS35" i="68"/>
  <c r="AR35" i="68"/>
  <c r="AQ35" i="68"/>
  <c r="AT34" i="68"/>
  <c r="AS34" i="68"/>
  <c r="AR34" i="68"/>
  <c r="AQ34" i="68"/>
  <c r="AT33" i="68"/>
  <c r="AS33" i="68"/>
  <c r="AR33" i="68"/>
  <c r="AQ33" i="68"/>
  <c r="AT32" i="68"/>
  <c r="AS32" i="68"/>
  <c r="AR32" i="68"/>
  <c r="AQ32" i="68"/>
  <c r="AT31" i="68"/>
  <c r="AS31" i="68"/>
  <c r="AR31" i="68"/>
  <c r="AQ31" i="68"/>
  <c r="AT30" i="68"/>
  <c r="AS30" i="68"/>
  <c r="AR30" i="68"/>
  <c r="AQ30" i="68"/>
  <c r="AT29" i="68"/>
  <c r="AS29" i="68"/>
  <c r="AR29" i="68"/>
  <c r="AQ29" i="68"/>
  <c r="AT28" i="68"/>
  <c r="AS28" i="68"/>
  <c r="AR28" i="68"/>
  <c r="AQ28" i="68"/>
  <c r="AT27" i="68"/>
  <c r="AS27" i="68"/>
  <c r="AR27" i="68"/>
  <c r="AQ27" i="68"/>
  <c r="AT26" i="68"/>
  <c r="AS26" i="68"/>
  <c r="AR26" i="68"/>
  <c r="AQ26" i="68"/>
  <c r="AT25" i="68"/>
  <c r="AS25" i="68"/>
  <c r="AR25" i="68"/>
  <c r="AQ25" i="68"/>
  <c r="AT24" i="68"/>
  <c r="AS24" i="68"/>
  <c r="AR24" i="68"/>
  <c r="AQ24" i="68"/>
  <c r="AT23" i="68"/>
  <c r="AS23" i="68"/>
  <c r="AR23" i="68"/>
  <c r="AQ23" i="68"/>
  <c r="AT22" i="68"/>
  <c r="AS22" i="68"/>
  <c r="AR22" i="68"/>
  <c r="AQ22" i="68"/>
  <c r="AT21" i="68"/>
  <c r="AS21" i="68"/>
  <c r="AR21" i="68"/>
  <c r="AQ21" i="68"/>
  <c r="AT20" i="68"/>
  <c r="AS20" i="68"/>
  <c r="AR20" i="68"/>
  <c r="AQ20" i="68"/>
  <c r="AT19" i="68"/>
  <c r="AS19" i="68"/>
  <c r="AR19" i="68"/>
  <c r="AQ19" i="68"/>
  <c r="AT18" i="68"/>
  <c r="AS18" i="68"/>
  <c r="AR18" i="68"/>
  <c r="AQ18" i="68"/>
  <c r="AT17" i="68"/>
  <c r="AS17" i="68"/>
  <c r="AR17" i="68"/>
  <c r="AQ17" i="68"/>
  <c r="AT16" i="68"/>
  <c r="AS16" i="68"/>
  <c r="AR16" i="68"/>
  <c r="AQ16" i="68"/>
  <c r="AT15" i="68"/>
  <c r="AS15" i="68"/>
  <c r="AR15" i="68"/>
  <c r="AQ15" i="68"/>
  <c r="AT14" i="68"/>
  <c r="AS14" i="68"/>
  <c r="AR14" i="68"/>
  <c r="AQ14" i="68"/>
  <c r="AT13" i="68"/>
  <c r="AS13" i="68"/>
  <c r="AR13" i="68"/>
  <c r="AQ13" i="68"/>
  <c r="AT12" i="68"/>
  <c r="AS12" i="68"/>
  <c r="AR12" i="68"/>
  <c r="AQ12" i="68"/>
  <c r="AT11" i="68"/>
  <c r="AS11" i="68"/>
  <c r="AR11" i="68"/>
  <c r="AQ11" i="68"/>
  <c r="AT10" i="68"/>
  <c r="AS10" i="68"/>
  <c r="AR10" i="68"/>
  <c r="AQ10" i="68"/>
  <c r="AT9" i="68"/>
  <c r="AS9" i="68"/>
  <c r="AR9" i="68"/>
  <c r="AQ9" i="68"/>
  <c r="AT8" i="68"/>
  <c r="AS8" i="68"/>
  <c r="AR8" i="68"/>
  <c r="AQ8" i="68"/>
  <c r="AT7" i="68"/>
  <c r="AS7" i="68"/>
  <c r="AR7" i="68"/>
  <c r="AQ7" i="68"/>
  <c r="AT6" i="68"/>
  <c r="AS6" i="68"/>
  <c r="AR6" i="68"/>
  <c r="AQ6" i="68"/>
  <c r="AT5" i="68"/>
  <c r="AS5" i="68"/>
  <c r="AR5" i="68"/>
  <c r="AQ5" i="68"/>
  <c r="AT4" i="68"/>
  <c r="AS4" i="68"/>
  <c r="AR4" i="68"/>
  <c r="AQ4" i="68"/>
  <c r="AT3" i="68"/>
  <c r="AS3" i="68"/>
  <c r="AR3" i="68"/>
  <c r="AQ3" i="68"/>
  <c r="AN293" i="67"/>
  <c r="AQ61" i="67" s="1"/>
  <c r="AM293" i="67"/>
  <c r="AJ293" i="67"/>
  <c r="AI293" i="67"/>
  <c r="AF293" i="67"/>
  <c r="AQ59" i="67" s="1"/>
  <c r="AE293" i="67"/>
  <c r="AB293" i="67"/>
  <c r="AQ58" i="67" s="1"/>
  <c r="AA293" i="67"/>
  <c r="X293" i="67"/>
  <c r="W293" i="67"/>
  <c r="T293" i="67"/>
  <c r="AQ56" i="67" s="1"/>
  <c r="S293" i="67"/>
  <c r="P293" i="67"/>
  <c r="AQ55" i="67" s="1"/>
  <c r="O293" i="67"/>
  <c r="L293" i="67"/>
  <c r="AQ54" i="67" s="1"/>
  <c r="K293" i="67"/>
  <c r="H293" i="67"/>
  <c r="AQ53" i="67" s="1"/>
  <c r="G293" i="67"/>
  <c r="D293" i="67"/>
  <c r="AQ52" i="67" s="1"/>
  <c r="C293" i="67"/>
  <c r="AN244" i="67"/>
  <c r="AQ51" i="67" s="1"/>
  <c r="AM244" i="67"/>
  <c r="AJ244" i="67"/>
  <c r="AQ50" i="67" s="1"/>
  <c r="AI244" i="67"/>
  <c r="AF244" i="67"/>
  <c r="AQ49" i="67" s="1"/>
  <c r="AE244" i="67"/>
  <c r="AB244" i="67"/>
  <c r="AA244" i="67"/>
  <c r="X244" i="67"/>
  <c r="AQ47" i="67" s="1"/>
  <c r="W244" i="67"/>
  <c r="T244" i="67"/>
  <c r="AQ46" i="67" s="1"/>
  <c r="S244" i="67"/>
  <c r="P244" i="67"/>
  <c r="O244" i="67"/>
  <c r="L244" i="67"/>
  <c r="AQ44" i="67" s="1"/>
  <c r="K244" i="67"/>
  <c r="H244" i="67"/>
  <c r="AQ43" i="67" s="1"/>
  <c r="G244" i="67"/>
  <c r="D244" i="67"/>
  <c r="AQ42" i="67" s="1"/>
  <c r="C244" i="67"/>
  <c r="AN195" i="67"/>
  <c r="AQ41" i="67" s="1"/>
  <c r="AM195" i="67"/>
  <c r="AJ195" i="67"/>
  <c r="AQ40" i="67" s="1"/>
  <c r="AI195" i="67"/>
  <c r="AF195" i="67"/>
  <c r="AE195" i="67"/>
  <c r="AB195" i="67"/>
  <c r="AQ38" i="67" s="1"/>
  <c r="AA195" i="67"/>
  <c r="X195" i="67"/>
  <c r="AQ37" i="67" s="1"/>
  <c r="W195" i="67"/>
  <c r="T195" i="67"/>
  <c r="AQ36" i="67" s="1"/>
  <c r="S195" i="67"/>
  <c r="P195" i="67"/>
  <c r="AQ35" i="67" s="1"/>
  <c r="O195" i="67"/>
  <c r="L195" i="67"/>
  <c r="AQ34" i="67" s="1"/>
  <c r="K195" i="67"/>
  <c r="H195" i="67"/>
  <c r="AQ33" i="67" s="1"/>
  <c r="G195" i="67"/>
  <c r="D195" i="67"/>
  <c r="AQ32" i="67" s="1"/>
  <c r="C195" i="67"/>
  <c r="AN146" i="67"/>
  <c r="AQ31" i="67" s="1"/>
  <c r="AM146" i="67"/>
  <c r="AJ146" i="67"/>
  <c r="AQ30" i="67" s="1"/>
  <c r="AI146" i="67"/>
  <c r="AF146" i="67"/>
  <c r="AE146" i="67"/>
  <c r="AB146" i="67"/>
  <c r="AQ28" i="67" s="1"/>
  <c r="AA146" i="67"/>
  <c r="X146" i="67"/>
  <c r="AQ27" i="67" s="1"/>
  <c r="W146" i="67"/>
  <c r="T146" i="67"/>
  <c r="AQ26" i="67" s="1"/>
  <c r="S146" i="67"/>
  <c r="P146" i="67"/>
  <c r="O146" i="67"/>
  <c r="L146" i="67"/>
  <c r="AQ24" i="67" s="1"/>
  <c r="K146" i="67"/>
  <c r="H146" i="67"/>
  <c r="AQ23" i="67" s="1"/>
  <c r="G146" i="67"/>
  <c r="D146" i="67"/>
  <c r="AQ22" i="67" s="1"/>
  <c r="C146" i="67"/>
  <c r="AN97" i="67"/>
  <c r="AM97" i="67"/>
  <c r="AJ97" i="67"/>
  <c r="AQ20" i="67" s="1"/>
  <c r="AI97" i="67"/>
  <c r="AF97" i="67"/>
  <c r="AE97" i="67"/>
  <c r="AB97" i="67"/>
  <c r="AQ18" i="67" s="1"/>
  <c r="AA97" i="67"/>
  <c r="X97" i="67"/>
  <c r="AQ17" i="67" s="1"/>
  <c r="W97" i="67"/>
  <c r="T97" i="67"/>
  <c r="S97" i="67"/>
  <c r="P97" i="67"/>
  <c r="AQ15" i="67" s="1"/>
  <c r="O97" i="67"/>
  <c r="L97" i="67"/>
  <c r="AQ14" i="67" s="1"/>
  <c r="K97" i="67"/>
  <c r="H97" i="67"/>
  <c r="AQ13" i="67" s="1"/>
  <c r="G97" i="67"/>
  <c r="D97" i="67"/>
  <c r="AQ12" i="67" s="1"/>
  <c r="C97" i="67"/>
  <c r="AT61" i="67"/>
  <c r="AS61" i="67"/>
  <c r="AR61" i="67"/>
  <c r="AT60" i="67"/>
  <c r="AS60" i="67"/>
  <c r="AR60" i="67"/>
  <c r="AQ60" i="67"/>
  <c r="AT59" i="67"/>
  <c r="AS59" i="67"/>
  <c r="AR59" i="67"/>
  <c r="AT58" i="67"/>
  <c r="AS58" i="67"/>
  <c r="AR58" i="67"/>
  <c r="AT57" i="67"/>
  <c r="AS57" i="67"/>
  <c r="AR57" i="67"/>
  <c r="AQ57" i="67"/>
  <c r="AT56" i="67"/>
  <c r="AS56" i="67"/>
  <c r="AR56" i="67"/>
  <c r="AT55" i="67"/>
  <c r="AS55" i="67"/>
  <c r="AR55" i="67"/>
  <c r="AT54" i="67"/>
  <c r="AS54" i="67"/>
  <c r="AR54" i="67"/>
  <c r="AT53" i="67"/>
  <c r="AS53" i="67"/>
  <c r="AR53" i="67"/>
  <c r="AT52" i="67"/>
  <c r="AS52" i="67"/>
  <c r="AR52" i="67"/>
  <c r="AT51" i="67"/>
  <c r="AS51" i="67"/>
  <c r="AR51" i="67"/>
  <c r="AT50" i="67"/>
  <c r="AS50" i="67"/>
  <c r="AR50" i="67"/>
  <c r="AT49" i="67"/>
  <c r="AS49" i="67"/>
  <c r="AR49" i="67"/>
  <c r="AT48" i="67"/>
  <c r="AS48" i="67"/>
  <c r="AR48" i="67"/>
  <c r="AQ48" i="67"/>
  <c r="AN48" i="67"/>
  <c r="AQ11" i="67" s="1"/>
  <c r="AM48" i="67"/>
  <c r="AJ48" i="67"/>
  <c r="AI48" i="67"/>
  <c r="AF48" i="67"/>
  <c r="AE48" i="67"/>
  <c r="AB48" i="67"/>
  <c r="AQ8" i="67" s="1"/>
  <c r="AA48" i="67"/>
  <c r="X48" i="67"/>
  <c r="W48" i="67"/>
  <c r="T48" i="67"/>
  <c r="AQ6" i="67" s="1"/>
  <c r="S48" i="67"/>
  <c r="P48" i="67"/>
  <c r="AQ5" i="67" s="1"/>
  <c r="O48" i="67"/>
  <c r="L48" i="67"/>
  <c r="K48" i="67"/>
  <c r="AT47" i="67"/>
  <c r="AS47" i="67"/>
  <c r="AR47" i="67"/>
  <c r="AT46" i="67"/>
  <c r="AS46" i="67"/>
  <c r="AR46" i="67"/>
  <c r="AT45" i="67"/>
  <c r="AS45" i="67"/>
  <c r="AR45" i="67"/>
  <c r="AQ45" i="67"/>
  <c r="AT44" i="67"/>
  <c r="AS44" i="67"/>
  <c r="AR44" i="67"/>
  <c r="AT43" i="67"/>
  <c r="AS43" i="67"/>
  <c r="AR43" i="67"/>
  <c r="AT42" i="67"/>
  <c r="AS42" i="67"/>
  <c r="AR42" i="67"/>
  <c r="AT41" i="67"/>
  <c r="AS41" i="67"/>
  <c r="AR41" i="67"/>
  <c r="AT40" i="67"/>
  <c r="AS40" i="67"/>
  <c r="AR40" i="67"/>
  <c r="AT39" i="67"/>
  <c r="AS39" i="67"/>
  <c r="AR39" i="67"/>
  <c r="AQ39" i="67"/>
  <c r="AT38" i="67"/>
  <c r="AS38" i="67"/>
  <c r="AR38" i="67"/>
  <c r="AT37" i="67"/>
  <c r="AS37" i="67"/>
  <c r="AR37" i="67"/>
  <c r="AT36" i="67"/>
  <c r="AS36" i="67"/>
  <c r="AR36" i="67"/>
  <c r="AT35" i="67"/>
  <c r="AS35" i="67"/>
  <c r="AR35" i="67"/>
  <c r="AT34" i="67"/>
  <c r="AS34" i="67"/>
  <c r="AR34" i="67"/>
  <c r="AT33" i="67"/>
  <c r="AS33" i="67"/>
  <c r="AR33" i="67"/>
  <c r="AT32" i="67"/>
  <c r="AS32" i="67"/>
  <c r="AR32" i="67"/>
  <c r="AT31" i="67"/>
  <c r="AS31" i="67"/>
  <c r="AR31" i="67"/>
  <c r="AT30" i="67"/>
  <c r="AS30" i="67"/>
  <c r="AR30" i="67"/>
  <c r="AT29" i="67"/>
  <c r="AS29" i="67"/>
  <c r="AR29" i="67"/>
  <c r="AQ29" i="67"/>
  <c r="AT28" i="67"/>
  <c r="AS28" i="67"/>
  <c r="AR28" i="67"/>
  <c r="AT27" i="67"/>
  <c r="AS27" i="67"/>
  <c r="AR27" i="67"/>
  <c r="AT25" i="67"/>
  <c r="AS25" i="67"/>
  <c r="AR25" i="67"/>
  <c r="AQ25" i="67"/>
  <c r="AT24" i="67"/>
  <c r="AS24" i="67"/>
  <c r="AR24" i="67"/>
  <c r="AT23" i="67"/>
  <c r="AS23" i="67"/>
  <c r="AR23" i="67"/>
  <c r="AT22" i="67"/>
  <c r="AS22" i="67"/>
  <c r="AR22" i="67"/>
  <c r="AT21" i="67"/>
  <c r="AS21" i="67"/>
  <c r="AR21" i="67"/>
  <c r="AQ21" i="67"/>
  <c r="AT20" i="67"/>
  <c r="AS20" i="67"/>
  <c r="AR20" i="67"/>
  <c r="AT19" i="67"/>
  <c r="AS19" i="67"/>
  <c r="AR19" i="67"/>
  <c r="AQ19" i="67"/>
  <c r="AT18" i="67"/>
  <c r="AS18" i="67"/>
  <c r="AR18" i="67"/>
  <c r="AT17" i="67"/>
  <c r="AS17" i="67"/>
  <c r="AR17" i="67"/>
  <c r="AT16" i="67"/>
  <c r="AS16" i="67"/>
  <c r="AR16" i="67"/>
  <c r="AQ16" i="67"/>
  <c r="AT15" i="67"/>
  <c r="AS15" i="67"/>
  <c r="AR15" i="67"/>
  <c r="AT14" i="67"/>
  <c r="AS14" i="67"/>
  <c r="AR14" i="67"/>
  <c r="AT13" i="67"/>
  <c r="AS13" i="67"/>
  <c r="AR13" i="67"/>
  <c r="AT12" i="67"/>
  <c r="AS12" i="67"/>
  <c r="AR12" i="67"/>
  <c r="AT11" i="67"/>
  <c r="AS11" i="67"/>
  <c r="AR11" i="67"/>
  <c r="AT10" i="67"/>
  <c r="AS10" i="67"/>
  <c r="AR10" i="67"/>
  <c r="AT9" i="67"/>
  <c r="AS9" i="67"/>
  <c r="AR9" i="67"/>
  <c r="AQ9" i="67"/>
  <c r="AT8" i="67"/>
  <c r="AS8" i="67"/>
  <c r="AR8" i="67"/>
  <c r="AT7" i="67"/>
  <c r="AS7" i="67"/>
  <c r="AR7" i="67"/>
  <c r="AQ7" i="67"/>
  <c r="AT6" i="67"/>
  <c r="AS6" i="67"/>
  <c r="AR6" i="67"/>
  <c r="AT5" i="67"/>
  <c r="AS5" i="67"/>
  <c r="AR5" i="67"/>
  <c r="AT4" i="67"/>
  <c r="AS4" i="67"/>
  <c r="AR4" i="67"/>
  <c r="AT3" i="67"/>
  <c r="AR3" i="67"/>
  <c r="AQ3" i="67"/>
  <c r="U22" i="69" l="1"/>
  <c r="V22" i="69" s="1"/>
  <c r="U25" i="69"/>
  <c r="V25" i="69" s="1"/>
  <c r="U9" i="69"/>
  <c r="V9" i="69" s="1"/>
  <c r="U63" i="69"/>
  <c r="V63" i="69" s="1"/>
  <c r="U38" i="69"/>
  <c r="V38" i="69" s="1"/>
  <c r="U15" i="69"/>
  <c r="V15" i="69" s="1"/>
  <c r="U18" i="69"/>
  <c r="V18" i="69" s="1"/>
  <c r="U50" i="69"/>
  <c r="V50" i="69" s="1"/>
  <c r="U64" i="69"/>
  <c r="V64" i="69" s="1"/>
  <c r="U8" i="69"/>
  <c r="V8" i="69" s="1"/>
  <c r="U11" i="69"/>
  <c r="V11" i="69" s="1"/>
  <c r="U21" i="69"/>
  <c r="V21" i="69" s="1"/>
  <c r="U39" i="69"/>
  <c r="V39" i="69" s="1"/>
  <c r="U60" i="69"/>
  <c r="V60" i="69" s="1"/>
  <c r="U7" i="69"/>
  <c r="V7" i="69" s="1"/>
  <c r="U14" i="69"/>
  <c r="V14" i="69" s="1"/>
  <c r="U35" i="69"/>
  <c r="V35" i="69" s="1"/>
  <c r="U42" i="69"/>
  <c r="V42" i="69" s="1"/>
  <c r="U46" i="69"/>
  <c r="V46" i="69" s="1"/>
  <c r="U56" i="69"/>
  <c r="V56" i="69" s="1"/>
  <c r="U52" i="69"/>
  <c r="V52" i="69" s="1"/>
  <c r="U13" i="69"/>
  <c r="V13" i="69" s="1"/>
  <c r="U62" i="69"/>
  <c r="V62" i="69" s="1"/>
  <c r="U34" i="69"/>
  <c r="V34" i="69" s="1"/>
  <c r="U37" i="69"/>
  <c r="V37" i="69" s="1"/>
  <c r="U45" i="69"/>
  <c r="V45" i="69" s="1"/>
  <c r="U55" i="69"/>
  <c r="V55" i="69" s="1"/>
  <c r="U19" i="69"/>
  <c r="V19" i="69" s="1"/>
  <c r="U26" i="69"/>
  <c r="V26" i="69" s="1"/>
  <c r="U48" i="69"/>
  <c r="V48" i="69" s="1"/>
  <c r="U58" i="69"/>
  <c r="V58" i="69" s="1"/>
  <c r="Q11" i="69"/>
  <c r="R11" i="69" s="1"/>
  <c r="Q15" i="69"/>
  <c r="R15" i="69" s="1"/>
  <c r="Q19" i="69"/>
  <c r="R19" i="69" s="1"/>
  <c r="Q39" i="69"/>
  <c r="R39" i="69" s="1"/>
  <c r="Q54" i="69"/>
  <c r="R54" i="69" s="1"/>
  <c r="U24" i="69"/>
  <c r="V24" i="69" s="1"/>
  <c r="U28" i="69"/>
  <c r="V28" i="69" s="1"/>
  <c r="U61" i="69"/>
  <c r="V61" i="69" s="1"/>
  <c r="U32" i="69"/>
  <c r="V32" i="69" s="1"/>
  <c r="U49" i="69"/>
  <c r="V49" i="69" s="1"/>
  <c r="U53" i="69"/>
  <c r="V53" i="69" s="1"/>
  <c r="U12" i="69"/>
  <c r="V12" i="69" s="1"/>
  <c r="U36" i="69"/>
  <c r="V36" i="69" s="1"/>
  <c r="U57" i="69"/>
  <c r="V57" i="69" s="1"/>
  <c r="U65" i="69"/>
  <c r="V65" i="69" s="1"/>
  <c r="U16" i="69"/>
  <c r="V16" i="69" s="1"/>
  <c r="U40" i="69"/>
  <c r="V40" i="69" s="1"/>
  <c r="Q28" i="69"/>
  <c r="R28" i="69" s="1"/>
  <c r="Q36" i="69"/>
  <c r="R36" i="69" s="1"/>
  <c r="Q61" i="69"/>
  <c r="R61" i="69" s="1"/>
  <c r="Q49" i="69"/>
  <c r="R49" i="69" s="1"/>
  <c r="Q65" i="69"/>
  <c r="R65" i="69" s="1"/>
  <c r="Q45" i="69"/>
  <c r="R45" i="69" s="1"/>
  <c r="Q57" i="69"/>
  <c r="R57" i="69" s="1"/>
  <c r="Q8" i="69"/>
  <c r="R8" i="69" s="1"/>
  <c r="Q16" i="69"/>
  <c r="R16" i="69" s="1"/>
  <c r="Q24" i="69"/>
  <c r="R24" i="69" s="1"/>
  <c r="Q32" i="69"/>
  <c r="R32" i="69" s="1"/>
  <c r="Q40" i="69"/>
  <c r="R40" i="69" s="1"/>
  <c r="U43" i="69"/>
  <c r="V43" i="69" s="1"/>
  <c r="Q44" i="69"/>
  <c r="R44" i="69" s="1"/>
  <c r="Q55" i="69"/>
  <c r="R55" i="69" s="1"/>
  <c r="Q43" i="69"/>
  <c r="R43" i="69" s="1"/>
  <c r="Q47" i="69"/>
  <c r="R47" i="69" s="1"/>
  <c r="U59" i="69"/>
  <c r="V59" i="69" s="1"/>
  <c r="E51" i="50" l="1"/>
  <c r="D51" i="50"/>
  <c r="E50" i="50"/>
  <c r="D50" i="50"/>
  <c r="F47" i="50" l="1"/>
  <c r="F46" i="50"/>
  <c r="F45" i="50"/>
  <c r="F44" i="50"/>
  <c r="F43" i="50"/>
  <c r="F42" i="50"/>
  <c r="F41" i="50"/>
  <c r="F40" i="50"/>
  <c r="F39" i="50"/>
  <c r="F38" i="50"/>
  <c r="F37" i="50"/>
  <c r="F36" i="50"/>
  <c r="F35" i="50"/>
  <c r="F34" i="50"/>
  <c r="F33" i="50"/>
  <c r="F32" i="50"/>
  <c r="F31" i="50"/>
  <c r="F30" i="50"/>
  <c r="E28" i="50"/>
  <c r="D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E8" i="50"/>
  <c r="D8" i="50"/>
  <c r="G24" i="50" l="1"/>
  <c r="W24" i="50" s="1"/>
  <c r="G40" i="50"/>
  <c r="W40" i="50" s="1"/>
  <c r="G16" i="50"/>
  <c r="W16" i="50" s="1"/>
  <c r="H16" i="50" s="1"/>
  <c r="G32" i="50"/>
  <c r="W32" i="50" s="1"/>
  <c r="G17" i="50"/>
  <c r="W17" i="50" s="1"/>
  <c r="G25" i="50"/>
  <c r="W25" i="50" s="1"/>
  <c r="G33" i="50"/>
  <c r="W33" i="50" s="1"/>
  <c r="G41" i="50"/>
  <c r="W41" i="50" s="1"/>
  <c r="G18" i="50"/>
  <c r="W18" i="50" s="1"/>
  <c r="G26" i="50"/>
  <c r="W26" i="50" s="1"/>
  <c r="H26" i="50" s="1"/>
  <c r="G34" i="50"/>
  <c r="W34" i="50" s="1"/>
  <c r="G42" i="50"/>
  <c r="W42" i="50" s="1"/>
  <c r="G11" i="50"/>
  <c r="W11" i="50" s="1"/>
  <c r="X12" i="50" s="1"/>
  <c r="G19" i="50"/>
  <c r="W19" i="50" s="1"/>
  <c r="G27" i="50"/>
  <c r="W27" i="50" s="1"/>
  <c r="G35" i="50"/>
  <c r="W35" i="50" s="1"/>
  <c r="X36" i="50" s="1"/>
  <c r="G43" i="50"/>
  <c r="W43" i="50" s="1"/>
  <c r="G12" i="50"/>
  <c r="W12" i="50" s="1"/>
  <c r="J12" i="50" s="1"/>
  <c r="G20" i="50"/>
  <c r="W20" i="50" s="1"/>
  <c r="J20" i="50" s="1"/>
  <c r="G36" i="50"/>
  <c r="W36" i="50" s="1"/>
  <c r="X37" i="50" s="1"/>
  <c r="G44" i="50"/>
  <c r="W44" i="50" s="1"/>
  <c r="G13" i="50"/>
  <c r="W13" i="50" s="1"/>
  <c r="H13" i="50" s="1"/>
  <c r="G21" i="50"/>
  <c r="W21" i="50" s="1"/>
  <c r="G37" i="50"/>
  <c r="W37" i="50" s="1"/>
  <c r="G45" i="50"/>
  <c r="W45" i="50" s="1"/>
  <c r="H45" i="50" s="1"/>
  <c r="G14" i="50"/>
  <c r="W14" i="50" s="1"/>
  <c r="J14" i="50" s="1"/>
  <c r="G22" i="50"/>
  <c r="W22" i="50" s="1"/>
  <c r="G38" i="50"/>
  <c r="W38" i="50" s="1"/>
  <c r="G46" i="50"/>
  <c r="W46" i="50" s="1"/>
  <c r="G15" i="50"/>
  <c r="W15" i="50" s="1"/>
  <c r="K15" i="50" s="1"/>
  <c r="G23" i="50"/>
  <c r="W23" i="50" s="1"/>
  <c r="G31" i="50"/>
  <c r="W31" i="50" s="1"/>
  <c r="G39" i="50"/>
  <c r="W39" i="50" s="1"/>
  <c r="G47" i="50"/>
  <c r="W47" i="50" s="1"/>
  <c r="G10" i="50"/>
  <c r="F8" i="50"/>
  <c r="K18" i="50"/>
  <c r="J18" i="50"/>
  <c r="H18" i="50"/>
  <c r="J22" i="50"/>
  <c r="K26" i="50"/>
  <c r="G30" i="50"/>
  <c r="F28" i="50"/>
  <c r="K11" i="50"/>
  <c r="J11" i="50"/>
  <c r="H11" i="50"/>
  <c r="J15" i="50"/>
  <c r="H47" i="50"/>
  <c r="K12" i="50"/>
  <c r="J16" i="50"/>
  <c r="K24" i="50"/>
  <c r="H40" i="50"/>
  <c r="K13" i="50"/>
  <c r="J13" i="50"/>
  <c r="K17" i="50"/>
  <c r="J17" i="50"/>
  <c r="H17" i="50"/>
  <c r="K21" i="50"/>
  <c r="J21" i="50"/>
  <c r="H21" i="50"/>
  <c r="K25" i="50"/>
  <c r="J25" i="50"/>
  <c r="H25" i="50"/>
  <c r="H41" i="50"/>
  <c r="X17" i="50"/>
  <c r="X41" i="50"/>
  <c r="X18" i="50"/>
  <c r="X26" i="50"/>
  <c r="X42" i="50"/>
  <c r="X21" i="50" l="1"/>
  <c r="K16" i="50"/>
  <c r="H12" i="50"/>
  <c r="J26" i="50"/>
  <c r="K14" i="50"/>
  <c r="K20" i="50"/>
  <c r="H20" i="50"/>
  <c r="X13" i="50"/>
  <c r="M13" i="50" s="1"/>
  <c r="I23" i="50"/>
  <c r="I15" i="50"/>
  <c r="P15" i="50"/>
  <c r="H43" i="50"/>
  <c r="X15" i="50"/>
  <c r="Q15" i="50" s="1"/>
  <c r="Q44" i="50"/>
  <c r="H36" i="50"/>
  <c r="O36" i="50"/>
  <c r="P36" i="50"/>
  <c r="Q36" i="50"/>
  <c r="I24" i="50"/>
  <c r="H31" i="50"/>
  <c r="I14" i="50"/>
  <c r="I21" i="50"/>
  <c r="O21" i="50"/>
  <c r="P21" i="50"/>
  <c r="Q21" i="50"/>
  <c r="I20" i="50"/>
  <c r="Q20" i="50"/>
  <c r="O20" i="50"/>
  <c r="I11" i="50"/>
  <c r="O42" i="50"/>
  <c r="P42" i="50"/>
  <c r="Q42" i="50"/>
  <c r="I16" i="50"/>
  <c r="O16" i="50"/>
  <c r="I13" i="50"/>
  <c r="O13" i="50"/>
  <c r="P13" i="50"/>
  <c r="I12" i="50"/>
  <c r="P12" i="50"/>
  <c r="Q12" i="50"/>
  <c r="O12" i="50"/>
  <c r="Q41" i="50"/>
  <c r="O41" i="50"/>
  <c r="P41" i="50"/>
  <c r="I26" i="50"/>
  <c r="Q26" i="50"/>
  <c r="O26" i="50"/>
  <c r="P26" i="50"/>
  <c r="I18" i="50"/>
  <c r="Q18" i="50"/>
  <c r="O18" i="50"/>
  <c r="P18" i="50"/>
  <c r="I25" i="50"/>
  <c r="I27" i="50"/>
  <c r="I22" i="50"/>
  <c r="H37" i="50"/>
  <c r="Q37" i="50"/>
  <c r="O37" i="50"/>
  <c r="P37" i="50"/>
  <c r="I19" i="50"/>
  <c r="H32" i="50"/>
  <c r="X20" i="50"/>
  <c r="N20" i="50" s="1"/>
  <c r="X35" i="50"/>
  <c r="M35" i="50" s="1"/>
  <c r="P47" i="50"/>
  <c r="O47" i="50"/>
  <c r="I17" i="50"/>
  <c r="O17" i="50"/>
  <c r="Q17" i="50"/>
  <c r="P17" i="50"/>
  <c r="I46" i="50"/>
  <c r="J46" i="50"/>
  <c r="K46" i="50"/>
  <c r="L46" i="50"/>
  <c r="J35" i="50"/>
  <c r="K35" i="50"/>
  <c r="L35" i="50"/>
  <c r="I35" i="50"/>
  <c r="X24" i="50"/>
  <c r="Y25" i="50" s="1"/>
  <c r="H22" i="50"/>
  <c r="H38" i="50"/>
  <c r="I38" i="50"/>
  <c r="J38" i="50"/>
  <c r="K38" i="50"/>
  <c r="L38" i="50"/>
  <c r="I45" i="50"/>
  <c r="J45" i="50"/>
  <c r="K45" i="50"/>
  <c r="L45" i="50"/>
  <c r="M44" i="50"/>
  <c r="I44" i="50"/>
  <c r="J44" i="50"/>
  <c r="K44" i="50"/>
  <c r="L44" i="50"/>
  <c r="X43" i="50"/>
  <c r="Q43" i="50" s="1"/>
  <c r="X47" i="50"/>
  <c r="Q47" i="50" s="1"/>
  <c r="K22" i="50"/>
  <c r="K42" i="50"/>
  <c r="L42" i="50"/>
  <c r="M42" i="50"/>
  <c r="N42" i="50"/>
  <c r="I42" i="50"/>
  <c r="J42" i="50"/>
  <c r="X19" i="50"/>
  <c r="O19" i="50" s="1"/>
  <c r="H19" i="50"/>
  <c r="I34" i="50"/>
  <c r="J34" i="50"/>
  <c r="K34" i="50"/>
  <c r="L34" i="50"/>
  <c r="J41" i="50"/>
  <c r="K41" i="50"/>
  <c r="L41" i="50"/>
  <c r="M41" i="50"/>
  <c r="N41" i="50"/>
  <c r="I41" i="50"/>
  <c r="X46" i="50"/>
  <c r="N46" i="50" s="1"/>
  <c r="J19" i="50"/>
  <c r="H46" i="50"/>
  <c r="I33" i="50"/>
  <c r="J33" i="50"/>
  <c r="K33" i="50"/>
  <c r="L33" i="50"/>
  <c r="X25" i="50"/>
  <c r="M25" i="50" s="1"/>
  <c r="X16" i="50"/>
  <c r="P16" i="50" s="1"/>
  <c r="H35" i="50"/>
  <c r="I37" i="50"/>
  <c r="J37" i="50"/>
  <c r="L37" i="50"/>
  <c r="M37" i="50"/>
  <c r="N37" i="50"/>
  <c r="K37" i="50"/>
  <c r="X22" i="50"/>
  <c r="O22" i="50" s="1"/>
  <c r="H24" i="50"/>
  <c r="K19" i="50"/>
  <c r="H42" i="50"/>
  <c r="I39" i="50"/>
  <c r="J39" i="50"/>
  <c r="K39" i="50"/>
  <c r="L39" i="50"/>
  <c r="L31" i="50"/>
  <c r="I31" i="50"/>
  <c r="J31" i="50"/>
  <c r="K31" i="50"/>
  <c r="L43" i="50"/>
  <c r="N43" i="50"/>
  <c r="I43" i="50"/>
  <c r="J43" i="50"/>
  <c r="K43" i="50"/>
  <c r="X32" i="50"/>
  <c r="N32" i="50" s="1"/>
  <c r="I36" i="50"/>
  <c r="K36" i="50"/>
  <c r="L36" i="50"/>
  <c r="M36" i="50"/>
  <c r="N36" i="50"/>
  <c r="J36" i="50"/>
  <c r="I32" i="50"/>
  <c r="J32" i="50"/>
  <c r="K32" i="50"/>
  <c r="L32" i="50"/>
  <c r="X14" i="50"/>
  <c r="P14" i="50" s="1"/>
  <c r="J24" i="50"/>
  <c r="H15" i="50"/>
  <c r="H34" i="50"/>
  <c r="H14" i="50"/>
  <c r="J47" i="50"/>
  <c r="K47" i="50"/>
  <c r="L47" i="50"/>
  <c r="M47" i="50"/>
  <c r="I47" i="50"/>
  <c r="I40" i="50"/>
  <c r="J40" i="50"/>
  <c r="K40" i="50"/>
  <c r="L40" i="50"/>
  <c r="X40" i="50"/>
  <c r="Y41" i="50" s="1"/>
  <c r="H39" i="50"/>
  <c r="H33" i="50"/>
  <c r="X45" i="50"/>
  <c r="N45" i="50" s="1"/>
  <c r="X33" i="50"/>
  <c r="N33" i="50" s="1"/>
  <c r="L27" i="50"/>
  <c r="K27" i="50"/>
  <c r="J27" i="50"/>
  <c r="H27" i="50"/>
  <c r="X27" i="50"/>
  <c r="Y27" i="50" s="1"/>
  <c r="W9" i="50"/>
  <c r="H44" i="50"/>
  <c r="W29" i="50"/>
  <c r="X44" i="50"/>
  <c r="O44" i="50" s="1"/>
  <c r="X39" i="50"/>
  <c r="N39" i="50" s="1"/>
  <c r="X38" i="50"/>
  <c r="O38" i="50" s="1"/>
  <c r="X34" i="50"/>
  <c r="O34" i="50" s="1"/>
  <c r="L22" i="50"/>
  <c r="L19" i="50"/>
  <c r="L25" i="50"/>
  <c r="N14" i="50"/>
  <c r="L14" i="50"/>
  <c r="L20" i="50"/>
  <c r="L11" i="50"/>
  <c r="N17" i="50"/>
  <c r="L17" i="50"/>
  <c r="N12" i="50"/>
  <c r="L12" i="50"/>
  <c r="N26" i="50"/>
  <c r="L26" i="50"/>
  <c r="L24" i="50"/>
  <c r="K23" i="50"/>
  <c r="L23" i="50"/>
  <c r="N18" i="50"/>
  <c r="L18" i="50"/>
  <c r="L15" i="50"/>
  <c r="N21" i="50"/>
  <c r="L21" i="50"/>
  <c r="L13" i="50"/>
  <c r="N16" i="50"/>
  <c r="L16" i="50"/>
  <c r="H23" i="50"/>
  <c r="X23" i="50"/>
  <c r="Y24" i="50" s="1"/>
  <c r="J23" i="50"/>
  <c r="W10" i="50"/>
  <c r="G8" i="50"/>
  <c r="W30" i="50"/>
  <c r="G28" i="50"/>
  <c r="M14" i="50"/>
  <c r="M21" i="50"/>
  <c r="M12" i="50"/>
  <c r="M26" i="50"/>
  <c r="M16" i="50"/>
  <c r="M17" i="50"/>
  <c r="M18" i="50"/>
  <c r="Y15" i="50"/>
  <c r="Y22" i="50"/>
  <c r="Y13" i="50"/>
  <c r="Y16" i="50"/>
  <c r="Y17" i="50"/>
  <c r="Y23" i="50"/>
  <c r="Y18" i="50"/>
  <c r="Y19" i="50"/>
  <c r="Y38" i="50"/>
  <c r="Y37" i="50"/>
  <c r="R37" i="50" s="1"/>
  <c r="Y43" i="50"/>
  <c r="Y42" i="50"/>
  <c r="R42" i="50" s="1"/>
  <c r="X30" i="50"/>
  <c r="O45" i="50" l="1"/>
  <c r="Y14" i="50"/>
  <c r="P33" i="50"/>
  <c r="O24" i="50"/>
  <c r="Y47" i="50"/>
  <c r="R47" i="50" s="1"/>
  <c r="N13" i="50"/>
  <c r="O15" i="50"/>
  <c r="M15" i="50"/>
  <c r="M24" i="50"/>
  <c r="N19" i="50"/>
  <c r="Y34" i="50"/>
  <c r="R34" i="50" s="1"/>
  <c r="N35" i="50"/>
  <c r="P32" i="50"/>
  <c r="Q34" i="50"/>
  <c r="Q16" i="50"/>
  <c r="O43" i="50"/>
  <c r="Q40" i="50"/>
  <c r="P34" i="50"/>
  <c r="P43" i="50"/>
  <c r="Q13" i="50"/>
  <c r="M20" i="50"/>
  <c r="N22" i="50"/>
  <c r="M33" i="50"/>
  <c r="P40" i="50"/>
  <c r="Q45" i="50"/>
  <c r="Y20" i="50"/>
  <c r="Q32" i="50"/>
  <c r="Y21" i="50"/>
  <c r="Z22" i="50" s="1"/>
  <c r="N15" i="50"/>
  <c r="N47" i="50"/>
  <c r="P25" i="50"/>
  <c r="Q14" i="50"/>
  <c r="P39" i="50"/>
  <c r="P45" i="50"/>
  <c r="Q38" i="50"/>
  <c r="P44" i="50"/>
  <c r="O40" i="50"/>
  <c r="O32" i="50"/>
  <c r="Q22" i="50"/>
  <c r="O35" i="50"/>
  <c r="O33" i="50"/>
  <c r="Q24" i="50"/>
  <c r="Q35" i="50"/>
  <c r="Q33" i="50"/>
  <c r="P24" i="50"/>
  <c r="Q46" i="50"/>
  <c r="Q23" i="50"/>
  <c r="M19" i="50"/>
  <c r="M22" i="50"/>
  <c r="R43" i="50"/>
  <c r="Q19" i="50"/>
  <c r="Q27" i="50"/>
  <c r="P35" i="50"/>
  <c r="P46" i="50"/>
  <c r="P23" i="50"/>
  <c r="P19" i="50"/>
  <c r="P27" i="50"/>
  <c r="O25" i="50"/>
  <c r="O14" i="50"/>
  <c r="O39" i="50"/>
  <c r="O46" i="50"/>
  <c r="O23" i="50"/>
  <c r="I10" i="50"/>
  <c r="Y36" i="50"/>
  <c r="R36" i="50" s="1"/>
  <c r="O30" i="50"/>
  <c r="P30" i="50"/>
  <c r="Q30" i="50"/>
  <c r="P20" i="50"/>
  <c r="Y39" i="50"/>
  <c r="R39" i="50" s="1"/>
  <c r="P22" i="50"/>
  <c r="P38" i="50"/>
  <c r="H9" i="50"/>
  <c r="O27" i="50"/>
  <c r="Q25" i="50"/>
  <c r="Q39" i="50"/>
  <c r="R41" i="50"/>
  <c r="K30" i="50"/>
  <c r="L30" i="50"/>
  <c r="M30" i="50"/>
  <c r="N30" i="50"/>
  <c r="I30" i="50"/>
  <c r="J30" i="50"/>
  <c r="N25" i="50"/>
  <c r="M32" i="50"/>
  <c r="M39" i="50"/>
  <c r="Y33" i="50"/>
  <c r="R38" i="50"/>
  <c r="J29" i="50"/>
  <c r="K29" i="50"/>
  <c r="L29" i="50"/>
  <c r="L28" i="50" s="1"/>
  <c r="I29" i="50"/>
  <c r="M43" i="50"/>
  <c r="M45" i="50"/>
  <c r="X10" i="50"/>
  <c r="Q10" i="50" s="1"/>
  <c r="Y35" i="50"/>
  <c r="M40" i="50"/>
  <c r="N34" i="50"/>
  <c r="N38" i="50"/>
  <c r="Y44" i="50"/>
  <c r="R44" i="50" s="1"/>
  <c r="M34" i="50"/>
  <c r="M38" i="50"/>
  <c r="Z37" i="50"/>
  <c r="AA38" i="50" s="1"/>
  <c r="N24" i="50"/>
  <c r="R45" i="50"/>
  <c r="I9" i="50"/>
  <c r="AD9" i="50" s="1"/>
  <c r="J9" i="50"/>
  <c r="K9" i="50"/>
  <c r="L9" i="50"/>
  <c r="Y40" i="50"/>
  <c r="R40" i="50" s="1"/>
  <c r="Y26" i="50"/>
  <c r="Z27" i="50" s="1"/>
  <c r="M27" i="50"/>
  <c r="N40" i="50"/>
  <c r="Y46" i="50"/>
  <c r="Y45" i="50"/>
  <c r="R33" i="50"/>
  <c r="N44" i="50"/>
  <c r="M46" i="50"/>
  <c r="X29" i="50"/>
  <c r="N29" i="50" s="1"/>
  <c r="X9" i="50"/>
  <c r="M9" i="50" s="1"/>
  <c r="N27" i="50"/>
  <c r="N23" i="50"/>
  <c r="M23" i="50"/>
  <c r="H29" i="50"/>
  <c r="W8" i="50"/>
  <c r="N10" i="50"/>
  <c r="L10" i="50"/>
  <c r="W28" i="50"/>
  <c r="R17" i="50"/>
  <c r="R19" i="50"/>
  <c r="R23" i="50"/>
  <c r="AR29" i="50"/>
  <c r="AD29" i="50"/>
  <c r="AR9" i="50"/>
  <c r="H30" i="50"/>
  <c r="X31" i="50"/>
  <c r="K10" i="50"/>
  <c r="J10" i="50"/>
  <c r="H10" i="50"/>
  <c r="X11" i="50"/>
  <c r="R27" i="50"/>
  <c r="R18" i="50"/>
  <c r="R16" i="50"/>
  <c r="M10" i="50"/>
  <c r="R24" i="50"/>
  <c r="R13" i="50"/>
  <c r="R25" i="50"/>
  <c r="R26" i="50"/>
  <c r="R15" i="50"/>
  <c r="R14" i="50"/>
  <c r="R20" i="50"/>
  <c r="R22" i="50"/>
  <c r="Z47" i="50"/>
  <c r="Z43" i="50"/>
  <c r="S43" i="50" s="1"/>
  <c r="Z19" i="50"/>
  <c r="Z24" i="50"/>
  <c r="Z25" i="50"/>
  <c r="Z17" i="50"/>
  <c r="Z14" i="50"/>
  <c r="Z16" i="50"/>
  <c r="Z26" i="50"/>
  <c r="Z34" i="50"/>
  <c r="Z45" i="50"/>
  <c r="Z42" i="50"/>
  <c r="Z46" i="50"/>
  <c r="Y31" i="50"/>
  <c r="Y11" i="50"/>
  <c r="Z39" i="50"/>
  <c r="Z44" i="50"/>
  <c r="Z38" i="50"/>
  <c r="Z40" i="50"/>
  <c r="Z35" i="50"/>
  <c r="Z20" i="50"/>
  <c r="Z15" i="50"/>
  <c r="Z18" i="50"/>
  <c r="Z21" i="50"/>
  <c r="Z23" i="50"/>
  <c r="Z36" i="50"/>
  <c r="I28" i="50" l="1"/>
  <c r="R21" i="50"/>
  <c r="Z41" i="50"/>
  <c r="P11" i="50"/>
  <c r="Q11" i="50"/>
  <c r="O11" i="50"/>
  <c r="Y10" i="50"/>
  <c r="P31" i="50"/>
  <c r="Q31" i="50"/>
  <c r="O31" i="50"/>
  <c r="O29" i="50"/>
  <c r="Q9" i="50"/>
  <c r="AL8" i="50" s="1"/>
  <c r="P10" i="50"/>
  <c r="P29" i="50"/>
  <c r="P9" i="50"/>
  <c r="O10" i="50"/>
  <c r="Q29" i="50"/>
  <c r="O9" i="50"/>
  <c r="T38" i="50"/>
  <c r="N9" i="50"/>
  <c r="S39" i="50"/>
  <c r="S40" i="50"/>
  <c r="M29" i="50"/>
  <c r="L8" i="50"/>
  <c r="K8" i="50"/>
  <c r="K28" i="50"/>
  <c r="J8" i="50"/>
  <c r="S35" i="50"/>
  <c r="R35" i="50"/>
  <c r="J28" i="50"/>
  <c r="S44" i="50"/>
  <c r="S42" i="50"/>
  <c r="S45" i="50"/>
  <c r="S36" i="50"/>
  <c r="R31" i="50"/>
  <c r="N31" i="50"/>
  <c r="M31" i="50"/>
  <c r="S46" i="50"/>
  <c r="S47" i="50"/>
  <c r="S41" i="50"/>
  <c r="H28" i="50"/>
  <c r="S38" i="50"/>
  <c r="S34" i="50"/>
  <c r="S37" i="50"/>
  <c r="R46" i="50"/>
  <c r="AG8" i="50"/>
  <c r="Y30" i="50"/>
  <c r="S25" i="50"/>
  <c r="AG28" i="50"/>
  <c r="AB39" i="50"/>
  <c r="N11" i="50"/>
  <c r="S21" i="50"/>
  <c r="S20" i="50"/>
  <c r="X8" i="50"/>
  <c r="X28" i="50"/>
  <c r="AU28" i="50"/>
  <c r="AT8" i="50"/>
  <c r="AF8" i="50"/>
  <c r="AS28" i="50"/>
  <c r="AE28" i="50"/>
  <c r="AS8" i="50"/>
  <c r="AZ8" i="50"/>
  <c r="AR28" i="50"/>
  <c r="AR8" i="50"/>
  <c r="AT28" i="50"/>
  <c r="H8" i="50"/>
  <c r="M11" i="50"/>
  <c r="M8" i="50" s="1"/>
  <c r="Y12" i="50"/>
  <c r="I8" i="50"/>
  <c r="Y32" i="50"/>
  <c r="S22" i="50"/>
  <c r="S15" i="50"/>
  <c r="S23" i="50"/>
  <c r="S18" i="50"/>
  <c r="S27" i="50"/>
  <c r="R11" i="50"/>
  <c r="R10" i="50"/>
  <c r="S26" i="50"/>
  <c r="S17" i="50"/>
  <c r="S19" i="50"/>
  <c r="S16" i="50"/>
  <c r="S14" i="50"/>
  <c r="S24" i="50"/>
  <c r="AA37" i="50"/>
  <c r="AA22" i="50"/>
  <c r="AA36" i="50"/>
  <c r="AA45" i="50"/>
  <c r="AA15" i="50"/>
  <c r="AA26" i="50"/>
  <c r="T26" i="50" s="1"/>
  <c r="AA25" i="50"/>
  <c r="AA24" i="50"/>
  <c r="AA23" i="50"/>
  <c r="AA21" i="50"/>
  <c r="AA41" i="50"/>
  <c r="Z11" i="50"/>
  <c r="AA40" i="50"/>
  <c r="Z32" i="50"/>
  <c r="AA43" i="50"/>
  <c r="AA46" i="50"/>
  <c r="AA47" i="50"/>
  <c r="AA17" i="50"/>
  <c r="AA18" i="50"/>
  <c r="AA20" i="50"/>
  <c r="AA44" i="50"/>
  <c r="AA19" i="50"/>
  <c r="AA16" i="50"/>
  <c r="AA39" i="50"/>
  <c r="U39" i="50" s="1"/>
  <c r="AA42" i="50"/>
  <c r="AA27" i="50"/>
  <c r="Z12" i="50"/>
  <c r="Z31" i="50"/>
  <c r="S31" i="50" s="1"/>
  <c r="AA35" i="50"/>
  <c r="AK8" i="50" l="1"/>
  <c r="AY28" i="50"/>
  <c r="M28" i="50"/>
  <c r="AI28" i="50"/>
  <c r="AJ8" i="50"/>
  <c r="AK28" i="50"/>
  <c r="T47" i="50"/>
  <c r="S32" i="50"/>
  <c r="R32" i="50"/>
  <c r="T35" i="50"/>
  <c r="T41" i="50"/>
  <c r="T44" i="50"/>
  <c r="R30" i="50"/>
  <c r="T37" i="50"/>
  <c r="T45" i="50"/>
  <c r="T39" i="50"/>
  <c r="T36" i="50"/>
  <c r="T46" i="50"/>
  <c r="T40" i="50"/>
  <c r="N28" i="50"/>
  <c r="AW28" i="50" s="1"/>
  <c r="T43" i="50"/>
  <c r="N8" i="50"/>
  <c r="AI8" i="50"/>
  <c r="T42" i="50"/>
  <c r="AD8" i="50"/>
  <c r="AD28" i="50"/>
  <c r="AF28" i="50"/>
  <c r="AE8" i="50"/>
  <c r="T23" i="50"/>
  <c r="T16" i="50"/>
  <c r="T18" i="50"/>
  <c r="T17" i="50"/>
  <c r="T22" i="50"/>
  <c r="T21" i="50"/>
  <c r="AC40" i="50"/>
  <c r="T27" i="50"/>
  <c r="T19" i="50"/>
  <c r="T25" i="50"/>
  <c r="T20" i="50"/>
  <c r="T15" i="50"/>
  <c r="T24" i="50"/>
  <c r="AB47" i="50"/>
  <c r="U47" i="50" s="1"/>
  <c r="AB41" i="50"/>
  <c r="AB38" i="50"/>
  <c r="AB43" i="50"/>
  <c r="U43" i="50" s="1"/>
  <c r="AB17" i="50"/>
  <c r="AB25" i="50"/>
  <c r="AB26" i="50"/>
  <c r="AB27" i="50"/>
  <c r="AB46" i="50"/>
  <c r="AB40" i="50"/>
  <c r="AB45" i="50"/>
  <c r="U45" i="50" s="1"/>
  <c r="AB19" i="50"/>
  <c r="AB44" i="50"/>
  <c r="AB24" i="50"/>
  <c r="AB16" i="50"/>
  <c r="AB18" i="50"/>
  <c r="AB23" i="50"/>
  <c r="AB20" i="50"/>
  <c r="AB36" i="50"/>
  <c r="AB42" i="50"/>
  <c r="AB37" i="50"/>
  <c r="U37" i="50" s="1"/>
  <c r="AB21" i="50"/>
  <c r="AB22" i="50"/>
  <c r="AH28" i="50"/>
  <c r="AV28" i="50"/>
  <c r="AV8" i="50"/>
  <c r="AH8" i="50"/>
  <c r="Y29" i="50"/>
  <c r="Y9" i="50"/>
  <c r="Z33" i="50"/>
  <c r="Z29" i="50" s="1"/>
  <c r="R12" i="50"/>
  <c r="Z13" i="50"/>
  <c r="S12" i="50"/>
  <c r="S11" i="50"/>
  <c r="AA32" i="50"/>
  <c r="AA13" i="50"/>
  <c r="AA33" i="50"/>
  <c r="AA12" i="50"/>
  <c r="AY8" i="50" l="1"/>
  <c r="AJ28" i="50"/>
  <c r="AL28" i="50"/>
  <c r="V40" i="50"/>
  <c r="T33" i="50"/>
  <c r="S33" i="50"/>
  <c r="U38" i="50"/>
  <c r="R9" i="50"/>
  <c r="R8" i="50" s="1"/>
  <c r="S29" i="50"/>
  <c r="R29" i="50"/>
  <c r="R28" i="50" s="1"/>
  <c r="T32" i="50"/>
  <c r="U36" i="50"/>
  <c r="U46" i="50"/>
  <c r="U42" i="50"/>
  <c r="U40" i="50"/>
  <c r="U44" i="50"/>
  <c r="U41" i="50"/>
  <c r="U25" i="50"/>
  <c r="AB34" i="50"/>
  <c r="T12" i="50"/>
  <c r="T13" i="50"/>
  <c r="AC17" i="50"/>
  <c r="U16" i="50"/>
  <c r="AC22" i="50"/>
  <c r="V22" i="50" s="1"/>
  <c r="U21" i="50"/>
  <c r="AC38" i="50"/>
  <c r="V38" i="50" s="1"/>
  <c r="AC18" i="50"/>
  <c r="U17" i="50"/>
  <c r="U27" i="50"/>
  <c r="AC23" i="50"/>
  <c r="V23" i="50" s="1"/>
  <c r="U22" i="50"/>
  <c r="AC43" i="50"/>
  <c r="V43" i="50" s="1"/>
  <c r="AC37" i="50"/>
  <c r="V37" i="50" s="1"/>
  <c r="AC21" i="50"/>
  <c r="U20" i="50"/>
  <c r="AC19" i="50"/>
  <c r="U18" i="50"/>
  <c r="AC25" i="50"/>
  <c r="AC45" i="50"/>
  <c r="V45" i="50" s="1"/>
  <c r="AC20" i="50"/>
  <c r="U19" i="50"/>
  <c r="AC46" i="50"/>
  <c r="V46" i="50" s="1"/>
  <c r="AC47" i="50"/>
  <c r="V47" i="50" s="1"/>
  <c r="AC44" i="50"/>
  <c r="V44" i="50" s="1"/>
  <c r="U26" i="50"/>
  <c r="AC26" i="50"/>
  <c r="AC42" i="50"/>
  <c r="V42" i="50" s="1"/>
  <c r="AC24" i="50"/>
  <c r="U23" i="50"/>
  <c r="AC41" i="50"/>
  <c r="V41" i="50" s="1"/>
  <c r="AC39" i="50"/>
  <c r="V39" i="50" s="1"/>
  <c r="U24" i="50"/>
  <c r="Z9" i="50"/>
  <c r="S9" i="50" s="1"/>
  <c r="AC27" i="50"/>
  <c r="AB13" i="50"/>
  <c r="AB33" i="50"/>
  <c r="U33" i="50" s="1"/>
  <c r="AB14" i="50"/>
  <c r="Z30" i="50"/>
  <c r="Y28" i="50"/>
  <c r="S13" i="50"/>
  <c r="AA14" i="50"/>
  <c r="AA34" i="50"/>
  <c r="Z10" i="50"/>
  <c r="Y8" i="50"/>
  <c r="AA30" i="50"/>
  <c r="V20" i="50" l="1"/>
  <c r="V21" i="50"/>
  <c r="V18" i="50"/>
  <c r="V19" i="50"/>
  <c r="V17" i="50"/>
  <c r="U34" i="50"/>
  <c r="T34" i="50"/>
  <c r="O8" i="50"/>
  <c r="AN8" i="50"/>
  <c r="T30" i="50"/>
  <c r="O28" i="50"/>
  <c r="AX28" i="50" s="1"/>
  <c r="S30" i="50"/>
  <c r="S28" i="50" s="1"/>
  <c r="V26" i="50"/>
  <c r="V27" i="50"/>
  <c r="V24" i="50"/>
  <c r="V25" i="50"/>
  <c r="AM28" i="50"/>
  <c r="AC14" i="50"/>
  <c r="AC15" i="50"/>
  <c r="AC34" i="50"/>
  <c r="V34" i="50" s="1"/>
  <c r="AC35" i="50"/>
  <c r="U14" i="50"/>
  <c r="T14" i="50"/>
  <c r="AB31" i="50"/>
  <c r="U13" i="50"/>
  <c r="AA10" i="50"/>
  <c r="T10" i="50" s="1"/>
  <c r="Z8" i="50"/>
  <c r="Z28" i="50"/>
  <c r="AB35" i="50"/>
  <c r="AB15" i="50"/>
  <c r="AA29" i="50"/>
  <c r="BA8" i="50"/>
  <c r="AM8" i="50"/>
  <c r="BA28" i="50"/>
  <c r="AA11" i="50"/>
  <c r="S10" i="50"/>
  <c r="AA31" i="50"/>
  <c r="AA9" i="50"/>
  <c r="V14" i="50" l="1"/>
  <c r="AU8" i="50"/>
  <c r="BE8" i="50"/>
  <c r="BD8" i="50"/>
  <c r="V35" i="50"/>
  <c r="U35" i="50"/>
  <c r="Q8" i="50"/>
  <c r="P28" i="50"/>
  <c r="Q28" i="50"/>
  <c r="AZ28" i="50" s="1"/>
  <c r="T29" i="50"/>
  <c r="U31" i="50"/>
  <c r="T31" i="50"/>
  <c r="P8" i="50"/>
  <c r="T9" i="50"/>
  <c r="AN28" i="50"/>
  <c r="AC16" i="50"/>
  <c r="V15" i="50"/>
  <c r="U15" i="50"/>
  <c r="AC32" i="50"/>
  <c r="AC36" i="50"/>
  <c r="V36" i="50" s="1"/>
  <c r="T11" i="50"/>
  <c r="AB30" i="50"/>
  <c r="AB11" i="50"/>
  <c r="AB12" i="50"/>
  <c r="AB10" i="50"/>
  <c r="AB32" i="50"/>
  <c r="AA8" i="50"/>
  <c r="BB28" i="50"/>
  <c r="S8" i="50"/>
  <c r="BB8" i="50"/>
  <c r="AO8" i="50"/>
  <c r="AA28" i="50"/>
  <c r="V16" i="50" l="1"/>
  <c r="V32" i="50"/>
  <c r="U32" i="50"/>
  <c r="U30" i="50"/>
  <c r="T28" i="50"/>
  <c r="BC28" i="50" s="1"/>
  <c r="T8" i="50"/>
  <c r="AP8" i="50"/>
  <c r="AC13" i="50"/>
  <c r="U12" i="50"/>
  <c r="AC31" i="50"/>
  <c r="V31" i="50" s="1"/>
  <c r="AC33" i="50"/>
  <c r="V33" i="50" s="1"/>
  <c r="AC11" i="50"/>
  <c r="AC12" i="50"/>
  <c r="U11" i="50"/>
  <c r="U10" i="50"/>
  <c r="AB29" i="50"/>
  <c r="AB9" i="50"/>
  <c r="V13" i="50" l="1"/>
  <c r="V11" i="50"/>
  <c r="V12" i="50"/>
  <c r="AC9" i="50"/>
  <c r="AX8" i="50" s="1"/>
  <c r="AO28" i="50"/>
  <c r="AC29" i="50"/>
  <c r="V29" i="50" s="1"/>
  <c r="U29" i="50"/>
  <c r="U28" i="50" s="1"/>
  <c r="U9" i="50"/>
  <c r="U8" i="50" s="1"/>
  <c r="AW8" i="50"/>
  <c r="BC8" i="50"/>
  <c r="AB8" i="50"/>
  <c r="AC10" i="50"/>
  <c r="AB28" i="50"/>
  <c r="AC30" i="50"/>
  <c r="V30" i="50" s="1"/>
  <c r="V9" i="50" l="1"/>
  <c r="V28" i="50"/>
  <c r="BE28" i="50" s="1"/>
  <c r="AP28" i="50"/>
  <c r="AC8" i="50"/>
  <c r="V10" i="50"/>
  <c r="V8" i="50" s="1"/>
  <c r="AC28" i="50"/>
  <c r="AQ28" i="50" l="1"/>
  <c r="AQ8" i="50"/>
</calcChain>
</file>

<file path=xl/sharedStrings.xml><?xml version="1.0" encoding="utf-8"?>
<sst xmlns="http://schemas.openxmlformats.org/spreadsheetml/2006/main" count="6458" uniqueCount="288">
  <si>
    <t>福島県</t>
    <rPh sb="0" eb="3">
      <t>フクシマケン</t>
    </rPh>
    <phoneticPr fontId="2"/>
  </si>
  <si>
    <t>2015年</t>
    <rPh sb="4" eb="5">
      <t>ネン</t>
    </rPh>
    <phoneticPr fontId="2"/>
  </si>
  <si>
    <t>2020年</t>
    <rPh sb="4" eb="5">
      <t>ネン</t>
    </rPh>
    <phoneticPr fontId="2"/>
  </si>
  <si>
    <t>福島市</t>
    <rPh sb="0" eb="3">
      <t>フクシマシ</t>
    </rPh>
    <phoneticPr fontId="2"/>
  </si>
  <si>
    <t>会津若松市</t>
    <rPh sb="0" eb="5">
      <t>アイヅワカマツシ</t>
    </rPh>
    <phoneticPr fontId="2"/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</si>
  <si>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</si>
  <si>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</si>
  <si>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</si>
  <si>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</si>
  <si>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</si>
  <si>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</si>
  <si>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</si>
  <si>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月報</t>
    <rPh sb="0" eb="2">
      <t>ゲッポウ</t>
    </rPh>
    <phoneticPr fontId="2"/>
  </si>
  <si>
    <t>男</t>
    <rPh sb="0" eb="1">
      <t>オトコ</t>
    </rPh>
    <phoneticPr fontId="2"/>
  </si>
  <si>
    <t>作業用</t>
    <rPh sb="0" eb="3">
      <t>サギョウヨウ</t>
    </rPh>
    <phoneticPr fontId="2"/>
  </si>
  <si>
    <t>65～74</t>
    <phoneticPr fontId="2"/>
  </si>
  <si>
    <t>75～84</t>
    <phoneticPr fontId="2"/>
  </si>
  <si>
    <t>85以上</t>
    <rPh sb="2" eb="4">
      <t>イジョウ</t>
    </rPh>
    <phoneticPr fontId="2"/>
  </si>
  <si>
    <t>総数</t>
    <rPh sb="0" eb="2">
      <t>ソウスウ</t>
    </rPh>
    <phoneticPr fontId="2"/>
  </si>
  <si>
    <t>福島市</t>
  </si>
  <si>
    <t>0～4歳</t>
    <rPh sb="3" eb="4">
      <t>サイ</t>
    </rPh>
    <phoneticPr fontId="2"/>
  </si>
  <si>
    <t>会津若松市</t>
  </si>
  <si>
    <t>5～9</t>
  </si>
  <si>
    <t>10～14</t>
  </si>
  <si>
    <t>15～19</t>
  </si>
  <si>
    <t>20～24</t>
  </si>
  <si>
    <t>25～29</t>
  </si>
  <si>
    <t>30～34</t>
  </si>
  <si>
    <t>35～39</t>
  </si>
  <si>
    <t>40～44</t>
  </si>
  <si>
    <t>田村市</t>
  </si>
  <si>
    <t>45～49</t>
  </si>
  <si>
    <t>南相馬市</t>
  </si>
  <si>
    <t>50～54</t>
  </si>
  <si>
    <t>伊達市</t>
  </si>
  <si>
    <t>55～59</t>
  </si>
  <si>
    <t>本宮市</t>
  </si>
  <si>
    <t>60～64</t>
  </si>
  <si>
    <t>桑折町</t>
  </si>
  <si>
    <t>65～69</t>
  </si>
  <si>
    <t>国見町</t>
  </si>
  <si>
    <t>70～74</t>
  </si>
  <si>
    <t>川俣町</t>
  </si>
  <si>
    <t>75～79</t>
  </si>
  <si>
    <t>大玉村</t>
  </si>
  <si>
    <t>80～84</t>
  </si>
  <si>
    <t>鏡石町</t>
  </si>
  <si>
    <t>85～89</t>
  </si>
  <si>
    <t>天栄村</t>
  </si>
  <si>
    <t>90～94</t>
  </si>
  <si>
    <t>下郷町</t>
  </si>
  <si>
    <t>95～99</t>
  </si>
  <si>
    <t>檜枝岐村</t>
  </si>
  <si>
    <t>100歳以上</t>
    <rPh sb="3" eb="4">
      <t>サイ</t>
    </rPh>
    <phoneticPr fontId="2"/>
  </si>
  <si>
    <t>只見町</t>
  </si>
  <si>
    <t>女</t>
    <rPh sb="0" eb="1">
      <t>オンナ</t>
    </rPh>
    <phoneticPr fontId="2"/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</si>
  <si>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</si>
  <si>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</si>
  <si>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</si>
  <si>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</si>
  <si>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</si>
  <si>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</si>
  <si>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</si>
  <si>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</si>
  <si>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</si>
  <si>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</si>
  <si>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</si>
  <si>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</si>
  <si>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</si>
  <si>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</si>
  <si>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</si>
  <si>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</si>
  <si>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</si>
  <si>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</si>
  <si>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</si>
  <si>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</si>
  <si>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</si>
  <si>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</si>
  <si>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</si>
  <si>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65歳以上</t>
    <rPh sb="2" eb="3">
      <t>サイ</t>
    </rPh>
    <rPh sb="3" eb="5">
      <t>イジョウ</t>
    </rPh>
    <phoneticPr fontId="2"/>
  </si>
  <si>
    <t>浅川町</t>
  </si>
  <si>
    <t>古殿町</t>
  </si>
  <si>
    <t>伊達郡桑折町*</t>
  </si>
  <si>
    <t>伊達郡国見町*</t>
  </si>
  <si>
    <t>伊達郡川俣町</t>
  </si>
  <si>
    <t>安達郡大玉村*</t>
  </si>
  <si>
    <t>岩瀬郡鏡石町*</t>
  </si>
  <si>
    <t>岩瀬郡天栄村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</si>
  <si>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</si>
  <si>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</si>
  <si>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</si>
  <si>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</si>
  <si>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</si>
  <si>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</si>
  <si>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</si>
  <si>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</si>
  <si>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</si>
  <si>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</si>
  <si>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</si>
  <si>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</si>
  <si>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南会津郡下郷町*</t>
  </si>
  <si>
    <t>南会津郡檜枝岐村*</t>
  </si>
  <si>
    <t>南会津郡只見町*</t>
  </si>
  <si>
    <t>南会津郡南会津町</t>
  </si>
  <si>
    <t>耶麻郡北塩原村*</t>
  </si>
  <si>
    <t>耶麻郡西会津町*</t>
  </si>
  <si>
    <t>耶麻郡磐梯町*</t>
  </si>
  <si>
    <t>耶麻郡猪苗代町</t>
  </si>
  <si>
    <t>河沼郡会津坂下町</t>
  </si>
  <si>
    <t>河沼郡湯川村*</t>
  </si>
  <si>
    <t>河沼郡柳津町*</t>
  </si>
  <si>
    <t>大沼郡三島町*</t>
  </si>
  <si>
    <t>大沼郡金山町*</t>
  </si>
  <si>
    <t>大沼郡昭和村*</t>
  </si>
  <si>
    <t>大沼郡会津美里町*</t>
  </si>
  <si>
    <t>西白河郡西郷村</t>
  </si>
  <si>
    <t>西白河郡泉崎村</t>
  </si>
  <si>
    <t>西白河郡中島村*</t>
  </si>
  <si>
    <t>西白河郡矢吹町</t>
  </si>
  <si>
    <t>東白川郡棚倉町</t>
  </si>
  <si>
    <t>東白川郡矢祭町*</t>
  </si>
  <si>
    <t>東白川郡塙町</t>
  </si>
  <si>
    <t>東白川郡鮫川村*</t>
  </si>
  <si>
    <t>石川郡石川町*</t>
  </si>
  <si>
    <t>石川郡玉川村*</t>
  </si>
  <si>
    <t>石川郡平田村</t>
  </si>
  <si>
    <t>石川郡浅川町*</t>
  </si>
  <si>
    <t>石川郡古殿町*</t>
  </si>
  <si>
    <t>田村郡三春町</t>
  </si>
  <si>
    <t>田村郡小野町</t>
  </si>
  <si>
    <t>双葉郡広野町*</t>
  </si>
  <si>
    <t>双葉郡楢葉町*</t>
  </si>
  <si>
    <t>双葉郡富岡町*</t>
  </si>
  <si>
    <t>双葉郡川内村*</t>
  </si>
  <si>
    <t>双葉郡大熊町*</t>
  </si>
  <si>
    <t>双葉郡双葉町*</t>
  </si>
  <si>
    <t>双葉郡浪江町*</t>
  </si>
  <si>
    <t>双葉郡葛尾村*</t>
  </si>
  <si>
    <t>相馬郡新地町*</t>
  </si>
  <si>
    <t>相馬郡飯舘村*</t>
  </si>
  <si>
    <t>第10期将来推計用推計人口等（福島県用）</t>
    <rPh sb="13" eb="14">
      <t>ナド</t>
    </rPh>
    <phoneticPr fontId="2"/>
  </si>
  <si>
    <t>保険者名</t>
    <rPh sb="0" eb="3">
      <t>ホケンシャ</t>
    </rPh>
    <rPh sb="3" eb="4">
      <t>メイ</t>
    </rPh>
    <phoneticPr fontId="2"/>
  </si>
  <si>
    <t>推計人口（各年10月1日時点）</t>
    <rPh sb="2" eb="4">
      <t>ジンコウ</t>
    </rPh>
    <rPh sb="5" eb="6">
      <t>カク</t>
    </rPh>
    <rPh sb="6" eb="7">
      <t>ネン</t>
    </rPh>
    <rPh sb="9" eb="10">
      <t>ガツ</t>
    </rPh>
    <rPh sb="11" eb="12">
      <t>ニチ</t>
    </rPh>
    <rPh sb="12" eb="14">
      <t>ジテン</t>
    </rPh>
    <phoneticPr fontId="2"/>
  </si>
  <si>
    <t>推計人口（各年1月1日時点）</t>
    <rPh sb="0" eb="2">
      <t>スイケイ</t>
    </rPh>
    <rPh sb="2" eb="4">
      <t>ジンコウ</t>
    </rPh>
    <rPh sb="5" eb="6">
      <t>カク</t>
    </rPh>
    <rPh sb="6" eb="7">
      <t>ネン</t>
    </rPh>
    <rPh sb="8" eb="9">
      <t>ガツ</t>
    </rPh>
    <rPh sb="10" eb="11">
      <t>ニチ</t>
    </rPh>
    <rPh sb="11" eb="13">
      <t>ジテン</t>
    </rPh>
    <phoneticPr fontId="2"/>
  </si>
  <si>
    <t>①３区分による推計人口を補正したデータ</t>
    <rPh sb="2" eb="4">
      <t>クブン</t>
    </rPh>
    <rPh sb="7" eb="9">
      <t>スイケイ</t>
    </rPh>
    <rPh sb="9" eb="11">
      <t>ジンコウ</t>
    </rPh>
    <rPh sb="12" eb="14">
      <t>ホセイ</t>
    </rPh>
    <phoneticPr fontId="2"/>
  </si>
  <si>
    <t>②前期・後期高齢者別による推計人口を補正したデータ</t>
    <rPh sb="1" eb="3">
      <t>ゼンキ</t>
    </rPh>
    <rPh sb="4" eb="6">
      <t>コウキ</t>
    </rPh>
    <rPh sb="6" eb="9">
      <t>コウレイシャ</t>
    </rPh>
    <rPh sb="9" eb="10">
      <t>ベツ</t>
    </rPh>
    <rPh sb="13" eb="15">
      <t>スイケイ</t>
    </rPh>
    <rPh sb="15" eb="17">
      <t>ジンコウ</t>
    </rPh>
    <rPh sb="18" eb="20">
      <t>ホセイ</t>
    </rPh>
    <phoneticPr fontId="2"/>
  </si>
  <si>
    <t>平成27年(2015年)
人口（住基）</t>
    <rPh sb="13" eb="15">
      <t>ジンコウ</t>
    </rPh>
    <phoneticPr fontId="2"/>
  </si>
  <si>
    <t>令和2年(2020年)
人口（住基）</t>
    <rPh sb="12" eb="14">
      <t>ジンコウ</t>
    </rPh>
    <phoneticPr fontId="2"/>
  </si>
  <si>
    <t>令和2年(2020年)
期待人口</t>
    <rPh sb="12" eb="14">
      <t>キタイ</t>
    </rPh>
    <rPh sb="14" eb="16">
      <t>ジンコウ</t>
    </rPh>
    <phoneticPr fontId="2"/>
  </si>
  <si>
    <t>人口移動率
平成27年
→令和2年</t>
    <rPh sb="0" eb="2">
      <t>ジンコウ</t>
    </rPh>
    <rPh sb="2" eb="4">
      <t>イドウ</t>
    </rPh>
    <rPh sb="4" eb="5">
      <t>リツ</t>
    </rPh>
    <phoneticPr fontId="2"/>
  </si>
  <si>
    <t>令和2年(2020年)
推計人口</t>
    <rPh sb="12" eb="14">
      <t>スイケイ</t>
    </rPh>
    <rPh sb="14" eb="16">
      <t>ジンコウ</t>
    </rPh>
    <phoneticPr fontId="2"/>
  </si>
  <si>
    <t>令和3年(2021年)
推計人口</t>
    <rPh sb="12" eb="14">
      <t>スイケイ</t>
    </rPh>
    <rPh sb="14" eb="16">
      <t>ジンコウ</t>
    </rPh>
    <phoneticPr fontId="2"/>
  </si>
  <si>
    <t>令和4年(2022年)
推計人口</t>
    <rPh sb="12" eb="14">
      <t>スイケイ</t>
    </rPh>
    <rPh sb="14" eb="16">
      <t>ジンコウ</t>
    </rPh>
    <phoneticPr fontId="2"/>
  </si>
  <si>
    <t>令和5年(2023年)
推計人口</t>
    <rPh sb="12" eb="14">
      <t>スイケイ</t>
    </rPh>
    <rPh sb="14" eb="16">
      <t>ジンコウ</t>
    </rPh>
    <phoneticPr fontId="2"/>
  </si>
  <si>
    <t>令和6年(2024年)
推計人口</t>
    <rPh sb="12" eb="14">
      <t>スイケイ</t>
    </rPh>
    <rPh sb="14" eb="16">
      <t>ジンコウ</t>
    </rPh>
    <phoneticPr fontId="2"/>
  </si>
  <si>
    <t>令和7年(2025年)
推計人口</t>
    <rPh sb="12" eb="14">
      <t>スイケイ</t>
    </rPh>
    <rPh sb="14" eb="16">
      <t>ジンコウ</t>
    </rPh>
    <phoneticPr fontId="2"/>
  </si>
  <si>
    <t>令和8年(2026年)
推計人口</t>
    <rPh sb="12" eb="14">
      <t>スイケイ</t>
    </rPh>
    <rPh sb="14" eb="16">
      <t>ジンコウ</t>
    </rPh>
    <phoneticPr fontId="2"/>
  </si>
  <si>
    <t>令和9年(2027年)
推計人口</t>
    <rPh sb="12" eb="14">
      <t>スイケイ</t>
    </rPh>
    <rPh sb="14" eb="16">
      <t>ジンコウ</t>
    </rPh>
    <phoneticPr fontId="2"/>
  </si>
  <si>
    <t>令和10年(2028年)
推計人口</t>
    <rPh sb="13" eb="15">
      <t>スイケイ</t>
    </rPh>
    <rPh sb="15" eb="17">
      <t>ジンコウ</t>
    </rPh>
    <phoneticPr fontId="2"/>
  </si>
  <si>
    <t>令和11年(2029年)
推計人口</t>
    <rPh sb="13" eb="15">
      <t>スイケイ</t>
    </rPh>
    <rPh sb="15" eb="17">
      <t>ジンコウ</t>
    </rPh>
    <phoneticPr fontId="2"/>
  </si>
  <si>
    <t>令和12年(2030年)
推計人口</t>
    <rPh sb="13" eb="15">
      <t>スイケイ</t>
    </rPh>
    <rPh sb="15" eb="17">
      <t>ジンコウ</t>
    </rPh>
    <phoneticPr fontId="2"/>
  </si>
  <si>
    <t>令和17年(2035年）
推計人口</t>
    <rPh sb="13" eb="15">
      <t>スイケイ</t>
    </rPh>
    <rPh sb="15" eb="17">
      <t>ジンコウ</t>
    </rPh>
    <phoneticPr fontId="2"/>
  </si>
  <si>
    <t>令和22年(2040年）
推計人口</t>
    <rPh sb="13" eb="15">
      <t>スイケイ</t>
    </rPh>
    <rPh sb="15" eb="17">
      <t>ジンコウ</t>
    </rPh>
    <phoneticPr fontId="2"/>
  </si>
  <si>
    <t>令和27年(2045年）
推計人口</t>
    <rPh sb="13" eb="15">
      <t>スイケイ</t>
    </rPh>
    <rPh sb="15" eb="17">
      <t>ジンコウ</t>
    </rPh>
    <phoneticPr fontId="2"/>
  </si>
  <si>
    <t>令和32年(2050年）
推計人口</t>
    <rPh sb="13" eb="15">
      <t>スイケイ</t>
    </rPh>
    <rPh sb="15" eb="17">
      <t>ジンコウ</t>
    </rPh>
    <phoneticPr fontId="2"/>
  </si>
  <si>
    <t>令和37年(2055年）
推計人口</t>
    <rPh sb="13" eb="15">
      <t>スイケイ</t>
    </rPh>
    <rPh sb="15" eb="17">
      <t>ジンコウ</t>
    </rPh>
    <phoneticPr fontId="2"/>
  </si>
  <si>
    <t>令和3年(2021年)</t>
    <phoneticPr fontId="2"/>
  </si>
  <si>
    <t>令和4年(2022年)</t>
    <phoneticPr fontId="2"/>
  </si>
  <si>
    <t>令和5年(2023年)</t>
    <phoneticPr fontId="2"/>
  </si>
  <si>
    <t>令和6年(2024年)</t>
    <phoneticPr fontId="2"/>
  </si>
  <si>
    <t>令和7年(2025年)</t>
    <phoneticPr fontId="2"/>
  </si>
  <si>
    <t>令和8年(2026年)</t>
    <phoneticPr fontId="2"/>
  </si>
  <si>
    <t>令和9年(2027年)</t>
    <phoneticPr fontId="2"/>
  </si>
  <si>
    <t>令和10年(2028年)</t>
    <phoneticPr fontId="2"/>
  </si>
  <si>
    <t>令和11年(2029年)</t>
    <phoneticPr fontId="2"/>
  </si>
  <si>
    <t>令和12年(2030年)</t>
    <phoneticPr fontId="2"/>
  </si>
  <si>
    <t>令和17年(2035年）</t>
    <phoneticPr fontId="2"/>
  </si>
  <si>
    <t>令和22年(2040年）</t>
    <phoneticPr fontId="2"/>
  </si>
  <si>
    <t>令和27年(2045年)</t>
    <phoneticPr fontId="2"/>
  </si>
  <si>
    <t>令和32年(2050年）</t>
    <phoneticPr fontId="2"/>
  </si>
  <si>
    <t>令和9年(2027年)</t>
  </si>
  <si>
    <t>令和10年(2028年)</t>
  </si>
  <si>
    <t>令和11年(2029年)</t>
  </si>
  <si>
    <t>男性</t>
    <rPh sb="0" eb="2">
      <t>ダンセイ</t>
    </rPh>
    <phoneticPr fontId="2"/>
  </si>
  <si>
    <t>総数</t>
    <rPh sb="0" eb="2">
      <t>ソウスウ</t>
    </rPh>
    <phoneticPr fontId="6"/>
  </si>
  <si>
    <t>0-4歳</t>
    <rPh sb="3" eb="4">
      <t>サイ</t>
    </rPh>
    <phoneticPr fontId="6"/>
  </si>
  <si>
    <t>5-9歳</t>
    <rPh sb="3" eb="4">
      <t>サイ</t>
    </rPh>
    <phoneticPr fontId="6"/>
  </si>
  <si>
    <t>10-14歳</t>
    <rPh sb="5" eb="6">
      <t>サイ</t>
    </rPh>
    <phoneticPr fontId="6"/>
  </si>
  <si>
    <t>15-19歳</t>
    <rPh sb="5" eb="6">
      <t>サイ</t>
    </rPh>
    <phoneticPr fontId="6"/>
  </si>
  <si>
    <t>20-24歳</t>
    <rPh sb="5" eb="6">
      <t>サイ</t>
    </rPh>
    <phoneticPr fontId="6"/>
  </si>
  <si>
    <t>25-29歳</t>
    <rPh sb="5" eb="6">
      <t>サイ</t>
    </rPh>
    <phoneticPr fontId="6"/>
  </si>
  <si>
    <t>30-34歳</t>
    <rPh sb="5" eb="6">
      <t>サイ</t>
    </rPh>
    <phoneticPr fontId="6"/>
  </si>
  <si>
    <t>35-39歳</t>
    <rPh sb="5" eb="6">
      <t>サイ</t>
    </rPh>
    <phoneticPr fontId="6"/>
  </si>
  <si>
    <t>40-44歳</t>
    <rPh sb="5" eb="6">
      <t>サイ</t>
    </rPh>
    <phoneticPr fontId="6"/>
  </si>
  <si>
    <t>45-49歳</t>
    <rPh sb="5" eb="6">
      <t>サイ</t>
    </rPh>
    <phoneticPr fontId="6"/>
  </si>
  <si>
    <t>50-54歳</t>
    <rPh sb="5" eb="6">
      <t>サイ</t>
    </rPh>
    <phoneticPr fontId="6"/>
  </si>
  <si>
    <t>55-59歳</t>
    <rPh sb="5" eb="6">
      <t>サイ</t>
    </rPh>
    <phoneticPr fontId="6"/>
  </si>
  <si>
    <t>60-64歳</t>
    <rPh sb="5" eb="6">
      <t>サイ</t>
    </rPh>
    <phoneticPr fontId="6"/>
  </si>
  <si>
    <t>65-69歳</t>
    <rPh sb="5" eb="6">
      <t>サイ</t>
    </rPh>
    <phoneticPr fontId="6"/>
  </si>
  <si>
    <t>70-74歳</t>
    <rPh sb="5" eb="6">
      <t>サイ</t>
    </rPh>
    <phoneticPr fontId="6"/>
  </si>
  <si>
    <t>75-79歳</t>
    <rPh sb="5" eb="6">
      <t>サイ</t>
    </rPh>
    <phoneticPr fontId="6"/>
  </si>
  <si>
    <t>80-84歳</t>
    <rPh sb="5" eb="6">
      <t>サイ</t>
    </rPh>
    <phoneticPr fontId="6"/>
  </si>
  <si>
    <t>85-89歳</t>
    <rPh sb="5" eb="6">
      <t>サイ</t>
    </rPh>
    <phoneticPr fontId="6"/>
  </si>
  <si>
    <t>90歳以上</t>
    <rPh sb="2" eb="3">
      <t>サイ</t>
    </rPh>
    <rPh sb="3" eb="5">
      <t>イジョウ</t>
    </rPh>
    <phoneticPr fontId="6"/>
  </si>
  <si>
    <t>女性</t>
    <rPh sb="0" eb="2">
      <t>ジョセイ</t>
    </rPh>
    <phoneticPr fontId="2"/>
  </si>
  <si>
    <t>平成27年</t>
    <rPh sb="0" eb="2">
      <t>ヘイセイ</t>
    </rPh>
    <rPh sb="4" eb="5">
      <t>ネン</t>
    </rPh>
    <phoneticPr fontId="2"/>
  </si>
  <si>
    <t>令和2年</t>
    <rPh sb="0" eb="2">
      <t>レイワ</t>
    </rPh>
    <rPh sb="3" eb="4">
      <t>ネン</t>
    </rPh>
    <phoneticPr fontId="2"/>
  </si>
  <si>
    <t>65歳～74歳</t>
    <rPh sb="2" eb="3">
      <t>サイ</t>
    </rPh>
    <rPh sb="6" eb="7">
      <t>サイ</t>
    </rPh>
    <phoneticPr fontId="2"/>
  </si>
  <si>
    <t>75歳～84歳</t>
    <rPh sb="2" eb="3">
      <t>サイ</t>
    </rPh>
    <rPh sb="6" eb="7">
      <t>サイ</t>
    </rPh>
    <phoneticPr fontId="2"/>
  </si>
  <si>
    <t>85歳以上全体</t>
    <rPh sb="2" eb="3">
      <t>サイ</t>
    </rPh>
    <rPh sb="3" eb="5">
      <t>イジョウ</t>
    </rPh>
    <rPh sb="5" eb="7">
      <t>ゼンタイ</t>
    </rPh>
    <phoneticPr fontId="2"/>
  </si>
  <si>
    <t>前期</t>
    <rPh sb="0" eb="2">
      <t>ゼンキ</t>
    </rPh>
    <phoneticPr fontId="2"/>
  </si>
  <si>
    <t>後期</t>
    <rPh sb="0" eb="2">
      <t>コウキ</t>
    </rPh>
    <phoneticPr fontId="2"/>
  </si>
  <si>
    <t>子ども女性比</t>
    <rPh sb="0" eb="1">
      <t>コ</t>
    </rPh>
    <rPh sb="3" eb="5">
      <t>ジョセイ</t>
    </rPh>
    <rPh sb="5" eb="6">
      <t>ヒ</t>
    </rPh>
    <phoneticPr fontId="2"/>
  </si>
  <si>
    <t>0～4歳性比</t>
    <rPh sb="3" eb="4">
      <t>サイ</t>
    </rPh>
    <rPh sb="4" eb="6">
      <t>セイヒ</t>
    </rPh>
    <phoneticPr fontId="2"/>
  </si>
  <si>
    <t>RC[-29]*(1+R50C15)</t>
  </si>
  <si>
    <t>小野町</t>
    <phoneticPr fontId="2"/>
  </si>
  <si>
    <t>葛尾村</t>
    <phoneticPr fontId="2"/>
  </si>
  <si>
    <t>2026年</t>
    <rPh sb="4" eb="5">
      <t>ネン</t>
    </rPh>
    <phoneticPr fontId="2"/>
  </si>
  <si>
    <t>伊達郡桑折町*</t>
    <phoneticPr fontId="2"/>
  </si>
  <si>
    <t>伊達郡国見町*</t>
    <phoneticPr fontId="2"/>
  </si>
  <si>
    <t>伊達郡川俣町</t>
    <phoneticPr fontId="2"/>
  </si>
  <si>
    <t>安達郡大玉村*</t>
    <phoneticPr fontId="2"/>
  </si>
  <si>
    <t>岩瀬郡鏡石町*</t>
    <phoneticPr fontId="2"/>
  </si>
  <si>
    <t>岩瀬郡天栄村</t>
    <phoneticPr fontId="2"/>
  </si>
  <si>
    <t>2023年</t>
    <rPh sb="4" eb="5">
      <t>ネン</t>
    </rPh>
    <phoneticPr fontId="2"/>
  </si>
  <si>
    <t>南会津郡下郷町*</t>
    <phoneticPr fontId="2"/>
  </si>
  <si>
    <t>南会津郡檜枝岐村*</t>
    <phoneticPr fontId="2"/>
  </si>
  <si>
    <t>南会津郡只見町*</t>
    <phoneticPr fontId="2"/>
  </si>
  <si>
    <t>南会津郡南会津町</t>
    <phoneticPr fontId="2"/>
  </si>
  <si>
    <t>耶麻郡北塩原村*</t>
    <phoneticPr fontId="2"/>
  </si>
  <si>
    <t>耶麻郡西会津町*</t>
    <phoneticPr fontId="2"/>
  </si>
  <si>
    <t>耶麻郡磐梯町*</t>
    <phoneticPr fontId="2"/>
  </si>
  <si>
    <t>耶麻郡猪苗代町</t>
    <phoneticPr fontId="2"/>
  </si>
  <si>
    <t>河沼郡会津坂下町</t>
    <phoneticPr fontId="2"/>
  </si>
  <si>
    <t>河沼郡湯川村*</t>
    <phoneticPr fontId="2"/>
  </si>
  <si>
    <t>河沼郡柳津町*</t>
    <phoneticPr fontId="2"/>
  </si>
  <si>
    <t>大沼郡三島町*</t>
    <phoneticPr fontId="2"/>
  </si>
  <si>
    <t>大沼郡金山町*</t>
    <phoneticPr fontId="2"/>
  </si>
  <si>
    <t>大沼郡昭和村*</t>
    <phoneticPr fontId="2"/>
  </si>
  <si>
    <t>大沼郡会津美里町*</t>
    <phoneticPr fontId="2"/>
  </si>
  <si>
    <t>西白河郡西郷村</t>
    <phoneticPr fontId="2"/>
  </si>
  <si>
    <t>西白河郡泉崎村</t>
    <phoneticPr fontId="2"/>
  </si>
  <si>
    <t>西白河郡中島村*</t>
    <phoneticPr fontId="2"/>
  </si>
  <si>
    <t>西白河郡矢吹町</t>
    <phoneticPr fontId="2"/>
  </si>
  <si>
    <t>東白川郡棚倉町</t>
    <phoneticPr fontId="2"/>
  </si>
  <si>
    <t>東白川郡矢祭町*</t>
    <phoneticPr fontId="2"/>
  </si>
  <si>
    <t>東白川郡塙町</t>
    <phoneticPr fontId="2"/>
  </si>
  <si>
    <t>東白川郡鮫川村*</t>
    <phoneticPr fontId="2"/>
  </si>
  <si>
    <t>石川郡石川町*</t>
    <phoneticPr fontId="2"/>
  </si>
  <si>
    <t>石川郡玉川村*</t>
    <phoneticPr fontId="2"/>
  </si>
  <si>
    <t>石川郡平田村</t>
    <phoneticPr fontId="2"/>
  </si>
  <si>
    <t>石川郡浅川町*</t>
    <phoneticPr fontId="2"/>
  </si>
  <si>
    <t>石川郡古殿町*</t>
    <phoneticPr fontId="2"/>
  </si>
  <si>
    <t>田村郡三春町</t>
    <phoneticPr fontId="2"/>
  </si>
  <si>
    <t>田村郡小野町</t>
    <phoneticPr fontId="2"/>
  </si>
  <si>
    <t>双葉郡広野町*</t>
    <phoneticPr fontId="2"/>
  </si>
  <si>
    <t>202６年</t>
    <rPh sb="4" eb="5">
      <t>ネン</t>
    </rPh>
    <phoneticPr fontId="2"/>
  </si>
  <si>
    <t>双葉郡楢葉町*</t>
    <phoneticPr fontId="2"/>
  </si>
  <si>
    <t>双葉郡富岡町*</t>
    <phoneticPr fontId="2"/>
  </si>
  <si>
    <t>双葉郡川内村*</t>
    <phoneticPr fontId="2"/>
  </si>
  <si>
    <t>双葉郡大熊町*</t>
    <phoneticPr fontId="2"/>
  </si>
  <si>
    <t>双葉郡双葉町*</t>
    <phoneticPr fontId="2"/>
  </si>
  <si>
    <t>双葉郡浪江町*</t>
    <phoneticPr fontId="2"/>
  </si>
  <si>
    <t>双葉郡葛尾村*</t>
    <phoneticPr fontId="2"/>
  </si>
  <si>
    <t>相馬郡新地町*</t>
    <phoneticPr fontId="2"/>
  </si>
  <si>
    <t>相馬郡飯舘村*</t>
    <phoneticPr fontId="2"/>
  </si>
  <si>
    <t>被保険者数と住民基本台帳に基づく人口の差及び補正係数</t>
    <rPh sb="0" eb="4">
      <t>ヒホケンシャ</t>
    </rPh>
    <rPh sb="4" eb="5">
      <t>スウ</t>
    </rPh>
    <rPh sb="6" eb="8">
      <t>ジュウミン</t>
    </rPh>
    <rPh sb="8" eb="10">
      <t>キホン</t>
    </rPh>
    <rPh sb="10" eb="12">
      <t>ダイチョウ</t>
    </rPh>
    <rPh sb="13" eb="14">
      <t>モト</t>
    </rPh>
    <rPh sb="16" eb="18">
      <t>ジンコウ</t>
    </rPh>
    <rPh sb="19" eb="20">
      <t>サ</t>
    </rPh>
    <rPh sb="20" eb="21">
      <t>オヨ</t>
    </rPh>
    <rPh sb="22" eb="24">
      <t>ホセイ</t>
    </rPh>
    <rPh sb="24" eb="26">
      <t>ケイスウ</t>
    </rPh>
    <phoneticPr fontId="2"/>
  </si>
  <si>
    <t>保険者</t>
    <rPh sb="0" eb="3">
      <t>ホケンシャ</t>
    </rPh>
    <phoneticPr fontId="2"/>
  </si>
  <si>
    <t>3区分による補正用</t>
    <rPh sb="1" eb="3">
      <t>クブン</t>
    </rPh>
    <rPh sb="6" eb="9">
      <t>ホセイヨウ</t>
    </rPh>
    <phoneticPr fontId="2"/>
  </si>
  <si>
    <t>前期・後期高齢者別による補正用</t>
    <rPh sb="0" eb="2">
      <t>ゼンキ</t>
    </rPh>
    <rPh sb="3" eb="5">
      <t>コウキ</t>
    </rPh>
    <rPh sb="5" eb="8">
      <t>コウレイシャ</t>
    </rPh>
    <rPh sb="8" eb="9">
      <t>ベツ</t>
    </rPh>
    <rPh sb="12" eb="15">
      <t>ホセイヨウ</t>
    </rPh>
    <phoneticPr fontId="2"/>
  </si>
  <si>
    <t>補正係数一覧</t>
    <rPh sb="0" eb="2">
      <t>ホセイ</t>
    </rPh>
    <rPh sb="2" eb="4">
      <t>ケイスウ</t>
    </rPh>
    <rPh sb="4" eb="6">
      <t>イチラン</t>
    </rPh>
    <phoneticPr fontId="2"/>
  </si>
  <si>
    <t>85歳以上</t>
    <rPh sb="2" eb="3">
      <t>サイ</t>
    </rPh>
    <rPh sb="3" eb="5">
      <t>イジョウ</t>
    </rPh>
    <phoneticPr fontId="2"/>
  </si>
  <si>
    <t>前期高齢者</t>
    <rPh sb="0" eb="2">
      <t>ゼンキ</t>
    </rPh>
    <rPh sb="2" eb="5">
      <t>コウレイシャ</t>
    </rPh>
    <phoneticPr fontId="2"/>
  </si>
  <si>
    <t>後期高齢者</t>
    <rPh sb="0" eb="2">
      <t>コウキ</t>
    </rPh>
    <rPh sb="2" eb="5">
      <t>コウレイシャ</t>
    </rPh>
    <phoneticPr fontId="2"/>
  </si>
  <si>
    <t>３区分</t>
    <rPh sb="1" eb="3">
      <t>クブン</t>
    </rPh>
    <phoneticPr fontId="2"/>
  </si>
  <si>
    <t>前期・後期高齢者別</t>
    <rPh sb="0" eb="2">
      <t>ゼンキ</t>
    </rPh>
    <rPh sb="3" eb="5">
      <t>コウキ</t>
    </rPh>
    <rPh sb="5" eb="8">
      <t>コウレイシャ</t>
    </rPh>
    <rPh sb="8" eb="9">
      <t>ベツ</t>
    </rPh>
    <phoneticPr fontId="2"/>
  </si>
  <si>
    <t>被保険者数
(a)</t>
    <rPh sb="0" eb="4">
      <t>ヒホケンシャ</t>
    </rPh>
    <rPh sb="4" eb="5">
      <t>スウ</t>
    </rPh>
    <phoneticPr fontId="2"/>
  </si>
  <si>
    <t>住基人口
(b)</t>
    <rPh sb="0" eb="2">
      <t>ジュウキ</t>
    </rPh>
    <rPh sb="2" eb="4">
      <t>ジンコウ</t>
    </rPh>
    <phoneticPr fontId="2"/>
  </si>
  <si>
    <t>差
(c=a-b)</t>
    <rPh sb="0" eb="1">
      <t>サ</t>
    </rPh>
    <phoneticPr fontId="2"/>
  </si>
  <si>
    <t>補正係数
(c/a)</t>
    <rPh sb="0" eb="2">
      <t>ホセイ</t>
    </rPh>
    <rPh sb="2" eb="4">
      <t>ケイスウ</t>
    </rPh>
    <phoneticPr fontId="2"/>
  </si>
  <si>
    <t>（注）</t>
    <rPh sb="1" eb="2">
      <t>チュウ</t>
    </rPh>
    <phoneticPr fontId="2"/>
  </si>
  <si>
    <t>（１）被保険者数は介護保険事業状況報告（令和７年12月月報）（令和７年12月末時点）</t>
    <rPh sb="3" eb="7">
      <t>ヒホケンシャ</t>
    </rPh>
    <rPh sb="7" eb="8">
      <t>スウ</t>
    </rPh>
    <rPh sb="9" eb="11">
      <t>カイゴ</t>
    </rPh>
    <rPh sb="11" eb="13">
      <t>ホケン</t>
    </rPh>
    <rPh sb="13" eb="15">
      <t>ジギョウ</t>
    </rPh>
    <rPh sb="15" eb="17">
      <t>ジョウキョウ</t>
    </rPh>
    <rPh sb="17" eb="19">
      <t>ホウコク</t>
    </rPh>
    <rPh sb="20" eb="22">
      <t>レイワ</t>
    </rPh>
    <rPh sb="23" eb="24">
      <t>ネン</t>
    </rPh>
    <rPh sb="26" eb="27">
      <t>ガツ</t>
    </rPh>
    <rPh sb="27" eb="29">
      <t>ゲッポウ</t>
    </rPh>
    <rPh sb="31" eb="33">
      <t>レイワ</t>
    </rPh>
    <rPh sb="34" eb="35">
      <t>ネン</t>
    </rPh>
    <rPh sb="37" eb="39">
      <t>ガツマツ</t>
    </rPh>
    <rPh sb="39" eb="41">
      <t>ジテン</t>
    </rPh>
    <phoneticPr fontId="2"/>
  </si>
  <si>
    <t>（２）住基人口は住民基本台帳に基づく人口、人口動態及び世帯数調査（2026年）（令和7年1月1日時点）</t>
    <rPh sb="3" eb="5">
      <t>ジュウキ</t>
    </rPh>
    <rPh sb="5" eb="7">
      <t>ジンコウ</t>
    </rPh>
    <rPh sb="37" eb="38">
      <t>ネン</t>
    </rPh>
    <rPh sb="40" eb="42">
      <t>レイワ</t>
    </rPh>
    <rPh sb="43" eb="44">
      <t>ネン</t>
    </rPh>
    <rPh sb="45" eb="46">
      <t>ガツ</t>
    </rPh>
    <rPh sb="47" eb="48">
      <t>ニチ</t>
    </rPh>
    <rPh sb="48" eb="50">
      <t>ジテン</t>
    </rPh>
    <phoneticPr fontId="2"/>
  </si>
  <si>
    <t>1号被保険者数
(a)</t>
    <rPh sb="1" eb="2">
      <t>ゴウ</t>
    </rPh>
    <rPh sb="2" eb="3">
      <t>ヒ</t>
    </rPh>
    <rPh sb="6" eb="7">
      <t>スウ</t>
    </rPh>
    <phoneticPr fontId="2"/>
  </si>
  <si>
    <t>住基
(b)</t>
    <rPh sb="0" eb="2">
      <t>ジュウキ</t>
    </rPh>
    <phoneticPr fontId="2"/>
  </si>
  <si>
    <t>ずれ率
(c/a)</t>
    <rPh sb="2" eb="3">
      <t>リツ</t>
    </rPh>
    <phoneticPr fontId="2"/>
  </si>
  <si>
    <t>困難区域有り</t>
  </si>
  <si>
    <t>（２）住基人口は住民基本台帳に基づく人口、人口動態及び世帯数調査（2026年)（令和7年1月1日時点）</t>
    <rPh sb="3" eb="5">
      <t>ジュウキ</t>
    </rPh>
    <rPh sb="5" eb="7">
      <t>ジンコウ</t>
    </rPh>
    <rPh sb="37" eb="38">
      <t>ネン</t>
    </rPh>
    <rPh sb="40" eb="42">
      <t>レイワ</t>
    </rPh>
    <rPh sb="43" eb="44">
      <t>ネン</t>
    </rPh>
    <rPh sb="45" eb="46">
      <t>ガツ</t>
    </rPh>
    <rPh sb="47" eb="48">
      <t>ニチ</t>
    </rPh>
    <rPh sb="48" eb="50">
      <t>ジテン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</si>
</sst>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&quot;△ &quot;#,##0"/>
    <numFmt numFmtId="177" formatCode="#,##0_ "/>
    <numFmt numFmtId="178" formatCode="#,##0.0000_ "/>
    <numFmt numFmtId="179" formatCode="0.00000"/>
    <numFmt numFmtId="180" formatCode="#,##0.00%;[Red]\-#,##0.00%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theme="1"/>
      </right>
      <top style="thick">
        <color rgb="FFFF0000"/>
      </top>
      <bottom style="hair">
        <color auto="1"/>
      </bottom>
      <diagonal/>
    </border>
    <border>
      <left style="thin">
        <color theme="1"/>
      </left>
      <right style="thick">
        <color rgb="FFFF0000"/>
      </right>
      <top style="thick">
        <color rgb="FFFF0000"/>
      </top>
      <bottom style="hair">
        <color auto="1"/>
      </bottom>
      <diagonal/>
    </border>
    <border diagonalUp="1">
      <left/>
      <right style="thin">
        <color indexed="64"/>
      </right>
      <top style="thin">
        <color indexed="64"/>
      </top>
      <bottom style="hair">
        <color auto="1"/>
      </bottom>
      <diagonal style="hair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 style="hair">
        <color auto="1"/>
      </diagonal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theme="1"/>
      </right>
      <top style="hair">
        <color auto="1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306">
    <xf numFmtId="0" fontId="0" fillId="0" borderId="0" xfId="0">
      <alignment vertical="center"/>
    </xf>
    <xf numFmtId="0" fontId="1" fillId="2" borderId="0" xfId="1" applyFill="1"/>
    <xf numFmtId="176" fontId="1" fillId="2" borderId="0" xfId="2" applyNumberFormat="1" applyFill="1">
      <alignment vertical="center"/>
    </xf>
    <xf numFmtId="0" fontId="1" fillId="0" borderId="0" xfId="1"/>
    <xf numFmtId="0" fontId="4" fillId="2" borderId="0" xfId="1" applyFont="1" applyFill="1" applyAlignment="1">
      <alignment horizontal="center" vertical="center"/>
    </xf>
    <xf numFmtId="176" fontId="1" fillId="2" borderId="1" xfId="2" applyNumberFormat="1" applyFill="1" applyBorder="1">
      <alignment vertical="center"/>
    </xf>
    <xf numFmtId="176" fontId="1" fillId="2" borderId="2" xfId="2" applyNumberFormat="1" applyFill="1" applyBorder="1">
      <alignment vertical="center"/>
    </xf>
    <xf numFmtId="176" fontId="1" fillId="2" borderId="3" xfId="2" applyNumberFormat="1" applyFill="1" applyBorder="1">
      <alignment vertical="center"/>
    </xf>
    <xf numFmtId="177" fontId="1" fillId="3" borderId="9" xfId="2" applyNumberFormat="1" applyFill="1" applyBorder="1" applyProtection="1">
      <alignment vertical="center"/>
      <protection locked="0"/>
    </xf>
    <xf numFmtId="177" fontId="1" fillId="3" borderId="10" xfId="2" applyNumberFormat="1" applyFill="1" applyBorder="1" applyProtection="1">
      <alignment vertical="center"/>
      <protection locked="0"/>
    </xf>
    <xf numFmtId="177" fontId="1" fillId="0" borderId="11" xfId="2" applyNumberFormat="1" applyBorder="1" applyProtection="1">
      <alignment vertical="center"/>
      <protection locked="0"/>
    </xf>
    <xf numFmtId="177" fontId="1" fillId="0" borderId="12" xfId="2" applyNumberFormat="1" applyBorder="1" applyProtection="1">
      <alignment vertical="center"/>
      <protection locked="0"/>
    </xf>
    <xf numFmtId="177" fontId="1" fillId="0" borderId="13" xfId="2" applyNumberFormat="1" applyBorder="1" applyProtection="1">
      <alignment vertical="center"/>
      <protection locked="0"/>
    </xf>
    <xf numFmtId="177" fontId="1" fillId="3" borderId="15" xfId="2" applyNumberFormat="1" applyFill="1" applyBorder="1" applyProtection="1">
      <alignment vertical="center"/>
      <protection locked="0"/>
    </xf>
    <xf numFmtId="177" fontId="1" fillId="3" borderId="16" xfId="2" applyNumberFormat="1" applyFill="1" applyBorder="1" applyProtection="1">
      <alignment vertical="center"/>
      <protection locked="0"/>
    </xf>
    <xf numFmtId="177" fontId="1" fillId="0" borderId="17" xfId="2" applyNumberFormat="1" applyBorder="1" applyProtection="1">
      <alignment vertical="center"/>
      <protection locked="0"/>
    </xf>
    <xf numFmtId="177" fontId="1" fillId="0" borderId="18" xfId="2" applyNumberFormat="1" applyBorder="1" applyProtection="1">
      <alignment vertical="center"/>
      <protection locked="0"/>
    </xf>
    <xf numFmtId="176" fontId="0" fillId="2" borderId="0" xfId="2" applyNumberFormat="1" applyFont="1" applyFill="1">
      <alignment vertical="center"/>
    </xf>
    <xf numFmtId="176" fontId="0" fillId="2" borderId="1" xfId="2" applyNumberFormat="1" applyFont="1" applyFill="1" applyBorder="1">
      <alignment vertical="center"/>
    </xf>
    <xf numFmtId="176" fontId="1" fillId="0" borderId="2" xfId="2" applyNumberFormat="1" applyBorder="1">
      <alignment vertical="center"/>
    </xf>
    <xf numFmtId="176" fontId="1" fillId="2" borderId="4" xfId="2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left" vertical="center"/>
    </xf>
    <xf numFmtId="176" fontId="1" fillId="0" borderId="0" xfId="2" applyNumberFormat="1">
      <alignment vertical="center"/>
    </xf>
    <xf numFmtId="0" fontId="0" fillId="0" borderId="0" xfId="0" applyAlignment="1"/>
    <xf numFmtId="38" fontId="9" fillId="0" borderId="21" xfId="3" applyFont="1" applyBorder="1" applyAlignment="1"/>
    <xf numFmtId="38" fontId="9" fillId="0" borderId="22" xfId="3" applyFont="1" applyBorder="1" applyAlignment="1"/>
    <xf numFmtId="38" fontId="9" fillId="0" borderId="22" xfId="3" applyFont="1" applyBorder="1">
      <alignment vertical="center"/>
    </xf>
    <xf numFmtId="38" fontId="9" fillId="0" borderId="23" xfId="3" applyFont="1" applyBorder="1">
      <alignment vertical="center"/>
    </xf>
    <xf numFmtId="38" fontId="9" fillId="0" borderId="24" xfId="3" applyFont="1" applyBorder="1" applyAlignment="1"/>
    <xf numFmtId="38" fontId="9" fillId="0" borderId="3" xfId="3" applyFont="1" applyBorder="1" applyAlignment="1"/>
    <xf numFmtId="38" fontId="9" fillId="0" borderId="3" xfId="3" applyFont="1" applyBorder="1">
      <alignment vertical="center"/>
    </xf>
    <xf numFmtId="38" fontId="9" fillId="0" borderId="25" xfId="3" applyFont="1" applyBorder="1">
      <alignment vertical="center"/>
    </xf>
    <xf numFmtId="38" fontId="10" fillId="0" borderId="3" xfId="3" applyFont="1" applyFill="1" applyBorder="1" applyAlignment="1">
      <alignment vertical="center"/>
    </xf>
    <xf numFmtId="38" fontId="10" fillId="0" borderId="25" xfId="3" applyFont="1" applyFill="1" applyBorder="1" applyAlignment="1">
      <alignment vertical="center"/>
    </xf>
    <xf numFmtId="38" fontId="9" fillId="0" borderId="26" xfId="3" applyFont="1" applyBorder="1" applyAlignment="1"/>
    <xf numFmtId="38" fontId="9" fillId="0" borderId="27" xfId="3" applyFont="1" applyBorder="1" applyAlignment="1"/>
    <xf numFmtId="38" fontId="9" fillId="0" borderId="27" xfId="3" applyFont="1" applyBorder="1">
      <alignment vertical="center"/>
    </xf>
    <xf numFmtId="38" fontId="10" fillId="0" borderId="27" xfId="3" applyFont="1" applyFill="1" applyBorder="1" applyAlignment="1">
      <alignment vertical="center"/>
    </xf>
    <xf numFmtId="38" fontId="10" fillId="0" borderId="28" xfId="3" applyFont="1" applyFill="1" applyBorder="1" applyAlignment="1">
      <alignment vertical="center"/>
    </xf>
    <xf numFmtId="38" fontId="9" fillId="0" borderId="0" xfId="3" applyFont="1" applyAlignment="1"/>
    <xf numFmtId="38" fontId="9" fillId="0" borderId="0" xfId="3" applyFont="1">
      <alignment vertical="center"/>
    </xf>
    <xf numFmtId="38" fontId="9" fillId="0" borderId="3" xfId="3" applyFont="1" applyBorder="1" applyAlignment="1">
      <alignment vertical="center"/>
    </xf>
    <xf numFmtId="38" fontId="9" fillId="0" borderId="24" xfId="3" applyFont="1" applyBorder="1">
      <alignment vertical="center"/>
    </xf>
    <xf numFmtId="38" fontId="9" fillId="0" borderId="26" xfId="3" applyFont="1" applyBorder="1">
      <alignment vertical="center"/>
    </xf>
    <xf numFmtId="38" fontId="9" fillId="0" borderId="0" xfId="3" applyFont="1" applyBorder="1" applyAlignment="1"/>
    <xf numFmtId="38" fontId="9" fillId="0" borderId="0" xfId="3" applyFont="1" applyBorder="1">
      <alignment vertical="center"/>
    </xf>
    <xf numFmtId="176" fontId="1" fillId="2" borderId="5" xfId="2" applyNumberFormat="1" applyFill="1" applyBorder="1" applyAlignment="1">
      <alignment horizontal="center" vertical="center"/>
    </xf>
    <xf numFmtId="179" fontId="1" fillId="2" borderId="3" xfId="2" applyNumberFormat="1" applyFill="1" applyBorder="1" applyProtection="1">
      <alignment vertical="center"/>
      <protection locked="0"/>
    </xf>
    <xf numFmtId="2" fontId="1" fillId="2" borderId="3" xfId="2" applyNumberFormat="1" applyFill="1" applyBorder="1" applyProtection="1">
      <alignment vertical="center"/>
      <protection locked="0"/>
    </xf>
    <xf numFmtId="38" fontId="0" fillId="0" borderId="0" xfId="0" applyNumberFormat="1">
      <alignment vertical="center"/>
    </xf>
    <xf numFmtId="180" fontId="0" fillId="0" borderId="0" xfId="0" applyNumberFormat="1">
      <alignment vertical="center"/>
    </xf>
    <xf numFmtId="38" fontId="0" fillId="0" borderId="3" xfId="3" applyFont="1" applyBorder="1">
      <alignment vertical="center"/>
    </xf>
    <xf numFmtId="0" fontId="0" fillId="0" borderId="3" xfId="0" applyBorder="1">
      <alignment vertical="center"/>
    </xf>
    <xf numFmtId="38" fontId="0" fillId="0" borderId="3" xfId="0" applyNumberFormat="1" applyBorder="1">
      <alignment vertical="center"/>
    </xf>
    <xf numFmtId="0" fontId="9" fillId="0" borderId="0" xfId="0" applyFont="1">
      <alignment vertical="center"/>
    </xf>
    <xf numFmtId="180" fontId="9" fillId="0" borderId="0" xfId="0" applyNumberFormat="1" applyFont="1">
      <alignment vertical="center"/>
    </xf>
    <xf numFmtId="180" fontId="0" fillId="0" borderId="0" xfId="4" applyNumberFormat="1" applyFont="1">
      <alignment vertical="center"/>
    </xf>
    <xf numFmtId="180" fontId="1" fillId="2" borderId="0" xfId="2" applyNumberFormat="1" applyFill="1">
      <alignment vertical="center"/>
    </xf>
    <xf numFmtId="0" fontId="4" fillId="2" borderId="0" xfId="1" applyFont="1" applyFill="1" applyAlignment="1">
      <alignment vertical="center"/>
    </xf>
    <xf numFmtId="180" fontId="12" fillId="0" borderId="0" xfId="0" applyNumberFormat="1" applyFont="1">
      <alignment vertical="center"/>
    </xf>
    <xf numFmtId="177" fontId="1" fillId="0" borderId="39" xfId="2" applyNumberFormat="1" applyBorder="1" applyProtection="1">
      <alignment vertical="center"/>
      <protection locked="0"/>
    </xf>
    <xf numFmtId="177" fontId="1" fillId="0" borderId="14" xfId="2" applyNumberFormat="1" applyBorder="1" applyProtection="1">
      <alignment vertical="center"/>
      <protection locked="0"/>
    </xf>
    <xf numFmtId="177" fontId="1" fillId="0" borderId="8" xfId="2" applyNumberFormat="1" applyBorder="1" applyProtection="1">
      <alignment vertical="center"/>
      <protection locked="0"/>
    </xf>
    <xf numFmtId="177" fontId="1" fillId="0" borderId="45" xfId="2" applyNumberFormat="1" applyBorder="1" applyProtection="1">
      <alignment vertical="center"/>
      <protection locked="0"/>
    </xf>
    <xf numFmtId="178" fontId="1" fillId="0" borderId="46" xfId="2" applyNumberFormat="1" applyBorder="1" applyProtection="1">
      <alignment vertical="center"/>
      <protection locked="0"/>
    </xf>
    <xf numFmtId="177" fontId="1" fillId="3" borderId="48" xfId="2" applyNumberFormat="1" applyFill="1" applyBorder="1" applyProtection="1">
      <alignment vertical="center"/>
      <protection locked="0"/>
    </xf>
    <xf numFmtId="177" fontId="1" fillId="3" borderId="49" xfId="2" applyNumberFormat="1" applyFill="1" applyBorder="1" applyProtection="1">
      <alignment vertical="center"/>
      <protection locked="0"/>
    </xf>
    <xf numFmtId="177" fontId="1" fillId="0" borderId="50" xfId="2" applyNumberFormat="1" applyBorder="1" applyProtection="1">
      <alignment vertical="center"/>
      <protection locked="0"/>
    </xf>
    <xf numFmtId="178" fontId="1" fillId="0" borderId="51" xfId="2" applyNumberFormat="1" applyBorder="1" applyProtection="1">
      <alignment vertical="center"/>
      <protection locked="0"/>
    </xf>
    <xf numFmtId="177" fontId="1" fillId="4" borderId="35" xfId="2" applyNumberFormat="1" applyFill="1" applyBorder="1" applyProtection="1">
      <alignment vertical="center"/>
      <protection locked="0"/>
    </xf>
    <xf numFmtId="177" fontId="1" fillId="4" borderId="12" xfId="2" applyNumberFormat="1" applyFill="1" applyBorder="1" applyProtection="1">
      <alignment vertical="center"/>
      <protection locked="0"/>
    </xf>
    <xf numFmtId="177" fontId="1" fillId="4" borderId="36" xfId="2" applyNumberFormat="1" applyFill="1" applyBorder="1" applyProtection="1">
      <alignment vertical="center"/>
      <protection locked="0"/>
    </xf>
    <xf numFmtId="177" fontId="1" fillId="4" borderId="26" xfId="2" applyNumberFormat="1" applyFill="1" applyBorder="1" applyProtection="1">
      <alignment vertical="center"/>
      <protection locked="0"/>
    </xf>
    <xf numFmtId="177" fontId="1" fillId="4" borderId="27" xfId="2" applyNumberFormat="1" applyFill="1" applyBorder="1" applyProtection="1">
      <alignment vertical="center"/>
      <protection locked="0"/>
    </xf>
    <xf numFmtId="177" fontId="1" fillId="4" borderId="28" xfId="2" applyNumberFormat="1" applyFill="1" applyBorder="1" applyProtection="1">
      <alignment vertical="center"/>
      <protection locked="0"/>
    </xf>
    <xf numFmtId="177" fontId="1" fillId="5" borderId="36" xfId="2" applyNumberFormat="1" applyFill="1" applyBorder="1" applyProtection="1">
      <alignment vertical="center"/>
      <protection locked="0"/>
    </xf>
    <xf numFmtId="177" fontId="1" fillId="5" borderId="28" xfId="2" applyNumberFormat="1" applyFill="1" applyBorder="1" applyProtection="1">
      <alignment vertical="center"/>
      <protection locked="0"/>
    </xf>
    <xf numFmtId="177" fontId="1" fillId="6" borderId="3" xfId="2" applyNumberFormat="1" applyFill="1" applyBorder="1" applyProtection="1">
      <alignment vertical="center"/>
      <protection locked="0"/>
    </xf>
    <xf numFmtId="177" fontId="1" fillId="6" borderId="27" xfId="2" applyNumberFormat="1" applyFill="1" applyBorder="1" applyProtection="1">
      <alignment vertical="center"/>
      <protection locked="0"/>
    </xf>
    <xf numFmtId="177" fontId="1" fillId="6" borderId="28" xfId="2" applyNumberFormat="1" applyFill="1" applyBorder="1" applyProtection="1">
      <alignment vertical="center"/>
      <protection locked="0"/>
    </xf>
    <xf numFmtId="176" fontId="1" fillId="2" borderId="54" xfId="2" applyNumberFormat="1" applyFill="1" applyBorder="1">
      <alignment vertical="center"/>
    </xf>
    <xf numFmtId="177" fontId="1" fillId="0" borderId="43" xfId="2" applyNumberFormat="1" applyBorder="1">
      <alignment vertical="center"/>
    </xf>
    <xf numFmtId="177" fontId="1" fillId="0" borderId="55" xfId="2" applyNumberFormat="1" applyBorder="1">
      <alignment vertical="center"/>
    </xf>
    <xf numFmtId="177" fontId="1" fillId="0" borderId="44" xfId="2" applyNumberFormat="1" applyBorder="1">
      <alignment vertical="center"/>
    </xf>
    <xf numFmtId="177" fontId="1" fillId="4" borderId="41" xfId="2" applyNumberFormat="1" applyFill="1" applyBorder="1">
      <alignment vertical="center"/>
    </xf>
    <xf numFmtId="177" fontId="1" fillId="4" borderId="30" xfId="2" applyNumberFormat="1" applyFill="1" applyBorder="1">
      <alignment vertical="center"/>
    </xf>
    <xf numFmtId="177" fontId="1" fillId="4" borderId="54" xfId="2" applyNumberFormat="1" applyFill="1" applyBorder="1">
      <alignment vertical="center"/>
    </xf>
    <xf numFmtId="177" fontId="1" fillId="4" borderId="23" xfId="2" applyNumberFormat="1" applyFill="1" applyBorder="1">
      <alignment vertical="center"/>
    </xf>
    <xf numFmtId="177" fontId="1" fillId="0" borderId="22" xfId="2" applyNumberFormat="1" applyBorder="1">
      <alignment vertical="center"/>
    </xf>
    <xf numFmtId="177" fontId="1" fillId="0" borderId="54" xfId="2" applyNumberFormat="1" applyBorder="1">
      <alignment vertical="center"/>
    </xf>
    <xf numFmtId="177" fontId="1" fillId="4" borderId="55" xfId="2" applyNumberFormat="1" applyFill="1" applyBorder="1">
      <alignment vertical="center"/>
    </xf>
    <xf numFmtId="177" fontId="1" fillId="0" borderId="58" xfId="2" applyNumberFormat="1" applyBorder="1" applyProtection="1">
      <alignment vertical="center"/>
      <protection locked="0"/>
    </xf>
    <xf numFmtId="177" fontId="1" fillId="0" borderId="47" xfId="2" applyNumberFormat="1" applyBorder="1" applyProtection="1">
      <alignment vertical="center"/>
      <protection locked="0"/>
    </xf>
    <xf numFmtId="177" fontId="1" fillId="2" borderId="41" xfId="2" applyNumberFormat="1" applyFill="1" applyBorder="1">
      <alignment vertical="center"/>
    </xf>
    <xf numFmtId="177" fontId="1" fillId="2" borderId="52" xfId="2" applyNumberFormat="1" applyFill="1" applyBorder="1" applyProtection="1">
      <alignment vertical="center"/>
      <protection locked="0"/>
    </xf>
    <xf numFmtId="177" fontId="1" fillId="2" borderId="53" xfId="2" applyNumberFormat="1" applyFill="1" applyBorder="1" applyProtection="1">
      <alignment vertical="center"/>
      <protection locked="0"/>
    </xf>
    <xf numFmtId="176" fontId="1" fillId="2" borderId="0" xfId="2" applyNumberFormat="1" applyFill="1" applyAlignment="1">
      <alignment horizontal="center" vertical="center"/>
    </xf>
    <xf numFmtId="179" fontId="1" fillId="2" borderId="0" xfId="2" applyNumberFormat="1" applyFill="1" applyProtection="1">
      <alignment vertical="center"/>
      <protection locked="0"/>
    </xf>
    <xf numFmtId="177" fontId="1" fillId="7" borderId="22" xfId="2" applyNumberFormat="1" applyFill="1" applyBorder="1">
      <alignment vertical="center"/>
    </xf>
    <xf numFmtId="177" fontId="1" fillId="7" borderId="23" xfId="2" applyNumberFormat="1" applyFill="1" applyBorder="1">
      <alignment vertical="center"/>
    </xf>
    <xf numFmtId="177" fontId="1" fillId="7" borderId="12" xfId="2" applyNumberFormat="1" applyFill="1" applyBorder="1" applyProtection="1">
      <alignment vertical="center"/>
      <protection locked="0"/>
    </xf>
    <xf numFmtId="177" fontId="1" fillId="7" borderId="36" xfId="2" applyNumberFormat="1" applyFill="1" applyBorder="1" applyProtection="1">
      <alignment vertical="center"/>
      <protection locked="0"/>
    </xf>
    <xf numFmtId="177" fontId="1" fillId="7" borderId="3" xfId="2" applyNumberFormat="1" applyFill="1" applyBorder="1" applyProtection="1">
      <alignment vertical="center"/>
      <protection locked="0"/>
    </xf>
    <xf numFmtId="38" fontId="11" fillId="0" borderId="62" xfId="3" applyFont="1" applyBorder="1" applyAlignment="1">
      <alignment horizontal="left" vertical="center"/>
    </xf>
    <xf numFmtId="38" fontId="11" fillId="2" borderId="62" xfId="3" applyFont="1" applyFill="1" applyBorder="1" applyAlignment="1">
      <alignment horizontal="left" vertical="center"/>
    </xf>
    <xf numFmtId="38" fontId="11" fillId="0" borderId="66" xfId="3" applyFont="1" applyBorder="1" applyAlignment="1">
      <alignment horizontal="left" vertical="center"/>
    </xf>
    <xf numFmtId="38" fontId="11" fillId="0" borderId="65" xfId="3" applyFont="1" applyBorder="1" applyAlignment="1">
      <alignment horizontal="left" vertical="center"/>
    </xf>
    <xf numFmtId="38" fontId="11" fillId="0" borderId="3" xfId="3" applyFont="1" applyBorder="1" applyAlignment="1">
      <alignment horizontal="left" vertical="center"/>
    </xf>
    <xf numFmtId="38" fontId="11" fillId="2" borderId="3" xfId="3" applyFont="1" applyFill="1" applyBorder="1" applyAlignment="1">
      <alignment horizontal="left" vertical="center"/>
    </xf>
    <xf numFmtId="180" fontId="9" fillId="9" borderId="27" xfId="4" applyNumberFormat="1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180" fontId="9" fillId="9" borderId="7" xfId="4" applyNumberFormat="1" applyFont="1" applyFill="1" applyBorder="1">
      <alignment vertical="center"/>
    </xf>
    <xf numFmtId="180" fontId="9" fillId="9" borderId="7" xfId="0" applyNumberFormat="1" applyFont="1" applyFill="1" applyBorder="1">
      <alignment vertical="center"/>
    </xf>
    <xf numFmtId="180" fontId="9" fillId="9" borderId="61" xfId="0" applyNumberFormat="1" applyFont="1" applyFill="1" applyBorder="1">
      <alignment vertical="center"/>
    </xf>
    <xf numFmtId="180" fontId="9" fillId="9" borderId="3" xfId="4" applyNumberFormat="1" applyFont="1" applyFill="1" applyBorder="1">
      <alignment vertical="center"/>
    </xf>
    <xf numFmtId="180" fontId="9" fillId="9" borderId="3" xfId="0" applyNumberFormat="1" applyFont="1" applyFill="1" applyBorder="1">
      <alignment vertical="center"/>
    </xf>
    <xf numFmtId="180" fontId="9" fillId="9" borderId="25" xfId="0" applyNumberFormat="1" applyFont="1" applyFill="1" applyBorder="1">
      <alignment vertical="center"/>
    </xf>
    <xf numFmtId="180" fontId="9" fillId="9" borderId="27" xfId="4" applyNumberFormat="1" applyFont="1" applyFill="1" applyBorder="1">
      <alignment vertical="center"/>
    </xf>
    <xf numFmtId="180" fontId="9" fillId="9" borderId="27" xfId="0" applyNumberFormat="1" applyFont="1" applyFill="1" applyBorder="1">
      <alignment vertical="center"/>
    </xf>
    <xf numFmtId="180" fontId="9" fillId="9" borderId="28" xfId="0" applyNumberFormat="1" applyFont="1" applyFill="1" applyBorder="1">
      <alignment vertical="center"/>
    </xf>
    <xf numFmtId="0" fontId="9" fillId="6" borderId="40" xfId="0" applyFont="1" applyFill="1" applyBorder="1" applyAlignment="1">
      <alignment horizontal="center" vertical="center" wrapText="1"/>
    </xf>
    <xf numFmtId="0" fontId="9" fillId="6" borderId="68" xfId="0" applyFont="1" applyFill="1" applyBorder="1" applyAlignment="1">
      <alignment horizontal="center" vertical="center" wrapText="1"/>
    </xf>
    <xf numFmtId="180" fontId="9" fillId="6" borderId="68" xfId="0" applyNumberFormat="1" applyFont="1" applyFill="1" applyBorder="1" applyAlignment="1">
      <alignment horizontal="center" vertical="center" wrapText="1"/>
    </xf>
    <xf numFmtId="180" fontId="9" fillId="6" borderId="69" xfId="0" applyNumberFormat="1" applyFont="1" applyFill="1" applyBorder="1" applyAlignment="1">
      <alignment horizontal="center" vertical="center" wrapText="1"/>
    </xf>
    <xf numFmtId="38" fontId="11" fillId="6" borderId="60" xfId="3" applyFont="1" applyFill="1" applyBorder="1" applyAlignment="1">
      <alignment horizontal="right" vertical="center"/>
    </xf>
    <xf numFmtId="38" fontId="9" fillId="6" borderId="7" xfId="3" applyFont="1" applyFill="1" applyBorder="1" applyAlignment="1">
      <alignment horizontal="right" vertical="center"/>
    </xf>
    <xf numFmtId="180" fontId="9" fillId="6" borderId="7" xfId="3" applyNumberFormat="1" applyFont="1" applyFill="1" applyBorder="1" applyAlignment="1">
      <alignment horizontal="right" vertical="center"/>
    </xf>
    <xf numFmtId="38" fontId="11" fillId="6" borderId="7" xfId="3" applyFont="1" applyFill="1" applyBorder="1" applyAlignment="1">
      <alignment horizontal="right" vertical="center"/>
    </xf>
    <xf numFmtId="180" fontId="9" fillId="6" borderId="61" xfId="3" applyNumberFormat="1" applyFont="1" applyFill="1" applyBorder="1" applyAlignment="1">
      <alignment horizontal="right" vertical="center"/>
    </xf>
    <xf numFmtId="38" fontId="11" fillId="6" borderId="24" xfId="3" applyFont="1" applyFill="1" applyBorder="1" applyAlignment="1">
      <alignment horizontal="right" vertical="center"/>
    </xf>
    <xf numFmtId="38" fontId="9" fillId="6" borderId="3" xfId="3" applyFont="1" applyFill="1" applyBorder="1" applyAlignment="1">
      <alignment horizontal="right" vertical="center"/>
    </xf>
    <xf numFmtId="180" fontId="9" fillId="6" borderId="3" xfId="3" applyNumberFormat="1" applyFont="1" applyFill="1" applyBorder="1" applyAlignment="1">
      <alignment horizontal="right" vertical="center"/>
    </xf>
    <xf numFmtId="38" fontId="11" fillId="6" borderId="3" xfId="3" applyFont="1" applyFill="1" applyBorder="1" applyAlignment="1">
      <alignment horizontal="right" vertical="center"/>
    </xf>
    <xf numFmtId="180" fontId="9" fillId="6" borderId="25" xfId="3" applyNumberFormat="1" applyFont="1" applyFill="1" applyBorder="1" applyAlignment="1">
      <alignment horizontal="right" vertical="center"/>
    </xf>
    <xf numFmtId="38" fontId="11" fillId="6" borderId="26" xfId="3" applyFont="1" applyFill="1" applyBorder="1" applyAlignment="1">
      <alignment horizontal="right" vertical="center"/>
    </xf>
    <xf numFmtId="38" fontId="9" fillId="6" borderId="27" xfId="3" applyFont="1" applyFill="1" applyBorder="1" applyAlignment="1">
      <alignment horizontal="right" vertical="center"/>
    </xf>
    <xf numFmtId="180" fontId="9" fillId="6" borderId="27" xfId="3" applyNumberFormat="1" applyFont="1" applyFill="1" applyBorder="1" applyAlignment="1">
      <alignment horizontal="right" vertical="center"/>
    </xf>
    <xf numFmtId="38" fontId="11" fillId="6" borderId="27" xfId="3" applyFont="1" applyFill="1" applyBorder="1" applyAlignment="1">
      <alignment horizontal="right" vertical="center"/>
    </xf>
    <xf numFmtId="180" fontId="9" fillId="6" borderId="28" xfId="3" applyNumberFormat="1" applyFont="1" applyFill="1" applyBorder="1" applyAlignment="1">
      <alignment horizontal="right" vertical="center"/>
    </xf>
    <xf numFmtId="0" fontId="9" fillId="10" borderId="40" xfId="0" applyFont="1" applyFill="1" applyBorder="1" applyAlignment="1">
      <alignment horizontal="center" vertical="center" wrapText="1"/>
    </xf>
    <xf numFmtId="0" fontId="9" fillId="10" borderId="68" xfId="0" applyFont="1" applyFill="1" applyBorder="1" applyAlignment="1">
      <alignment horizontal="center" vertical="center" wrapText="1"/>
    </xf>
    <xf numFmtId="180" fontId="9" fillId="10" borderId="68" xfId="0" applyNumberFormat="1" applyFont="1" applyFill="1" applyBorder="1" applyAlignment="1">
      <alignment horizontal="center" vertical="center" wrapText="1"/>
    </xf>
    <xf numFmtId="180" fontId="9" fillId="10" borderId="69" xfId="0" applyNumberFormat="1" applyFont="1" applyFill="1" applyBorder="1" applyAlignment="1">
      <alignment horizontal="center" vertical="center" wrapText="1"/>
    </xf>
    <xf numFmtId="38" fontId="11" fillId="10" borderId="60" xfId="3" applyFont="1" applyFill="1" applyBorder="1" applyAlignment="1">
      <alignment horizontal="right" vertical="center"/>
    </xf>
    <xf numFmtId="38" fontId="9" fillId="10" borderId="7" xfId="3" applyFont="1" applyFill="1" applyBorder="1" applyAlignment="1">
      <alignment horizontal="right" vertical="center"/>
    </xf>
    <xf numFmtId="180" fontId="9" fillId="10" borderId="7" xfId="3" applyNumberFormat="1" applyFont="1" applyFill="1" applyBorder="1" applyAlignment="1">
      <alignment horizontal="right" vertical="center"/>
    </xf>
    <xf numFmtId="38" fontId="11" fillId="10" borderId="7" xfId="3" applyFont="1" applyFill="1" applyBorder="1" applyAlignment="1">
      <alignment horizontal="right" vertical="center"/>
    </xf>
    <xf numFmtId="180" fontId="9" fillId="10" borderId="61" xfId="3" applyNumberFormat="1" applyFont="1" applyFill="1" applyBorder="1" applyAlignment="1">
      <alignment horizontal="right" vertical="center"/>
    </xf>
    <xf numFmtId="38" fontId="11" fillId="10" borderId="24" xfId="3" applyFont="1" applyFill="1" applyBorder="1" applyAlignment="1">
      <alignment horizontal="right" vertical="center"/>
    </xf>
    <xf numFmtId="38" fontId="9" fillId="10" borderId="3" xfId="3" applyFont="1" applyFill="1" applyBorder="1" applyAlignment="1">
      <alignment horizontal="right" vertical="center"/>
    </xf>
    <xf numFmtId="180" fontId="9" fillId="10" borderId="3" xfId="3" applyNumberFormat="1" applyFont="1" applyFill="1" applyBorder="1" applyAlignment="1">
      <alignment horizontal="right" vertical="center"/>
    </xf>
    <xf numFmtId="38" fontId="11" fillId="10" borderId="3" xfId="3" applyFont="1" applyFill="1" applyBorder="1" applyAlignment="1">
      <alignment horizontal="right" vertical="center"/>
    </xf>
    <xf numFmtId="180" fontId="9" fillId="10" borderId="25" xfId="3" applyNumberFormat="1" applyFont="1" applyFill="1" applyBorder="1" applyAlignment="1">
      <alignment horizontal="right" vertical="center"/>
    </xf>
    <xf numFmtId="38" fontId="11" fillId="10" borderId="26" xfId="3" applyFont="1" applyFill="1" applyBorder="1" applyAlignment="1">
      <alignment horizontal="right" vertical="center"/>
    </xf>
    <xf numFmtId="38" fontId="9" fillId="10" borderId="27" xfId="3" applyFont="1" applyFill="1" applyBorder="1" applyAlignment="1">
      <alignment horizontal="right" vertical="center"/>
    </xf>
    <xf numFmtId="180" fontId="9" fillId="10" borderId="27" xfId="3" applyNumberFormat="1" applyFont="1" applyFill="1" applyBorder="1" applyAlignment="1">
      <alignment horizontal="right" vertical="center"/>
    </xf>
    <xf numFmtId="38" fontId="11" fillId="10" borderId="27" xfId="3" applyFont="1" applyFill="1" applyBorder="1" applyAlignment="1">
      <alignment horizontal="right" vertical="center"/>
    </xf>
    <xf numFmtId="180" fontId="9" fillId="10" borderId="28" xfId="3" applyNumberFormat="1" applyFont="1" applyFill="1" applyBorder="1" applyAlignment="1">
      <alignment horizontal="right" vertical="center"/>
    </xf>
    <xf numFmtId="38" fontId="11" fillId="0" borderId="3" xfId="3" applyFont="1" applyBorder="1" applyAlignment="1">
      <alignment horizontal="right" vertical="center"/>
    </xf>
    <xf numFmtId="38" fontId="9" fillId="0" borderId="3" xfId="3" applyFont="1" applyBorder="1" applyAlignment="1">
      <alignment horizontal="right" vertical="center"/>
    </xf>
    <xf numFmtId="180" fontId="9" fillId="0" borderId="3" xfId="3" applyNumberFormat="1" applyFont="1" applyBorder="1" applyAlignment="1">
      <alignment horizontal="right" vertical="center"/>
    </xf>
    <xf numFmtId="38" fontId="11" fillId="2" borderId="3" xfId="3" applyFont="1" applyFill="1" applyBorder="1" applyAlignment="1">
      <alignment horizontal="right" vertical="center"/>
    </xf>
    <xf numFmtId="0" fontId="9" fillId="0" borderId="3" xfId="0" applyFont="1" applyBorder="1" applyAlignment="1">
      <alignment vertical="center" wrapText="1"/>
    </xf>
    <xf numFmtId="180" fontId="9" fillId="0" borderId="3" xfId="0" applyNumberFormat="1" applyFont="1" applyBorder="1" applyAlignment="1">
      <alignment vertical="center" wrapText="1"/>
    </xf>
    <xf numFmtId="38" fontId="9" fillId="11" borderId="22" xfId="3" applyFont="1" applyFill="1" applyBorder="1" applyAlignment="1"/>
    <xf numFmtId="38" fontId="9" fillId="0" borderId="3" xfId="3" applyFont="1" applyFill="1" applyBorder="1">
      <alignment vertical="center"/>
    </xf>
    <xf numFmtId="0" fontId="0" fillId="5" borderId="3" xfId="0" applyFill="1" applyBorder="1">
      <alignment vertical="center"/>
    </xf>
    <xf numFmtId="38" fontId="0" fillId="5" borderId="3" xfId="3" applyFont="1" applyFill="1" applyBorder="1">
      <alignment vertical="center"/>
    </xf>
    <xf numFmtId="38" fontId="9" fillId="11" borderId="21" xfId="3" applyFont="1" applyFill="1" applyBorder="1" applyAlignment="1"/>
    <xf numFmtId="38" fontId="9" fillId="11" borderId="22" xfId="3" applyFont="1" applyFill="1" applyBorder="1">
      <alignment vertical="center"/>
    </xf>
    <xf numFmtId="0" fontId="0" fillId="5" borderId="0" xfId="0" applyFill="1">
      <alignment vertical="center"/>
    </xf>
    <xf numFmtId="38" fontId="9" fillId="0" borderId="3" xfId="3" applyFont="1" applyFill="1" applyBorder="1" applyAlignment="1"/>
    <xf numFmtId="38" fontId="9" fillId="0" borderId="22" xfId="3" applyFont="1" applyFill="1" applyBorder="1" applyAlignment="1"/>
    <xf numFmtId="38" fontId="11" fillId="0" borderId="0" xfId="3" applyFont="1" applyFill="1" applyBorder="1" applyAlignment="1">
      <alignment horizontal="left" vertical="center"/>
    </xf>
    <xf numFmtId="177" fontId="1" fillId="4" borderId="66" xfId="2" applyNumberFormat="1" applyFill="1" applyBorder="1" applyProtection="1">
      <alignment vertical="center"/>
      <protection locked="0"/>
    </xf>
    <xf numFmtId="176" fontId="1" fillId="6" borderId="0" xfId="2" applyNumberFormat="1" applyFill="1">
      <alignment vertical="center"/>
    </xf>
    <xf numFmtId="180" fontId="1" fillId="6" borderId="0" xfId="2" applyNumberFormat="1" applyFill="1">
      <alignment vertical="center"/>
    </xf>
    <xf numFmtId="176" fontId="1" fillId="5" borderId="0" xfId="2" applyNumberFormat="1" applyFill="1">
      <alignment vertical="center"/>
    </xf>
    <xf numFmtId="180" fontId="1" fillId="5" borderId="0" xfId="2" applyNumberFormat="1" applyFill="1">
      <alignment vertical="center"/>
    </xf>
    <xf numFmtId="180" fontId="12" fillId="6" borderId="0" xfId="0" applyNumberFormat="1" applyFont="1" applyFill="1">
      <alignment vertical="center"/>
    </xf>
    <xf numFmtId="177" fontId="1" fillId="7" borderId="56" xfId="2" applyNumberFormat="1" applyFill="1" applyBorder="1">
      <alignment vertical="center"/>
    </xf>
    <xf numFmtId="177" fontId="1" fillId="7" borderId="13" xfId="2" applyNumberFormat="1" applyFill="1" applyBorder="1" applyProtection="1">
      <alignment vertical="center"/>
      <protection locked="0"/>
    </xf>
    <xf numFmtId="177" fontId="1" fillId="5" borderId="13" xfId="2" applyNumberFormat="1" applyFill="1" applyBorder="1" applyProtection="1">
      <alignment vertical="center"/>
      <protection locked="0"/>
    </xf>
    <xf numFmtId="177" fontId="1" fillId="5" borderId="70" xfId="2" applyNumberFormat="1" applyFill="1" applyBorder="1" applyProtection="1">
      <alignment vertical="center"/>
      <protection locked="0"/>
    </xf>
    <xf numFmtId="177" fontId="1" fillId="0" borderId="21" xfId="2" applyNumberFormat="1" applyBorder="1">
      <alignment vertical="center"/>
    </xf>
    <xf numFmtId="177" fontId="1" fillId="0" borderId="23" xfId="2" applyNumberFormat="1" applyBorder="1">
      <alignment vertical="center"/>
    </xf>
    <xf numFmtId="177" fontId="1" fillId="0" borderId="35" xfId="2" applyNumberFormat="1" applyBorder="1" applyProtection="1">
      <alignment vertical="center"/>
      <protection locked="0"/>
    </xf>
    <xf numFmtId="177" fontId="1" fillId="0" borderId="71" xfId="2" applyNumberFormat="1" applyBorder="1" applyProtection="1">
      <alignment vertical="center"/>
      <protection locked="0"/>
    </xf>
    <xf numFmtId="177" fontId="1" fillId="0" borderId="46" xfId="2" applyNumberFormat="1" applyBorder="1" applyProtection="1">
      <alignment vertical="center"/>
      <protection locked="0"/>
    </xf>
    <xf numFmtId="177" fontId="1" fillId="0" borderId="72" xfId="2" applyNumberFormat="1" applyBorder="1" applyProtection="1">
      <alignment vertical="center"/>
      <protection locked="0"/>
    </xf>
    <xf numFmtId="177" fontId="1" fillId="0" borderId="51" xfId="2" applyNumberFormat="1" applyBorder="1" applyProtection="1">
      <alignment vertical="center"/>
      <protection locked="0"/>
    </xf>
    <xf numFmtId="177" fontId="1" fillId="0" borderId="36" xfId="2" applyNumberFormat="1" applyBorder="1" applyProtection="1">
      <alignment vertical="center"/>
      <protection locked="0"/>
    </xf>
    <xf numFmtId="176" fontId="4" fillId="2" borderId="73" xfId="2" applyNumberFormat="1" applyFont="1" applyFill="1" applyBorder="1">
      <alignment vertical="center"/>
    </xf>
    <xf numFmtId="177" fontId="1" fillId="4" borderId="38" xfId="2" applyNumberFormat="1" applyFill="1" applyBorder="1">
      <alignment vertical="center"/>
    </xf>
    <xf numFmtId="176" fontId="1" fillId="12" borderId="8" xfId="2" applyNumberFormat="1" applyFill="1" applyBorder="1">
      <alignment vertical="center"/>
    </xf>
    <xf numFmtId="176" fontId="1" fillId="12" borderId="14" xfId="2" applyNumberFormat="1" applyFill="1" applyBorder="1">
      <alignment vertical="center"/>
    </xf>
    <xf numFmtId="176" fontId="12" fillId="12" borderId="14" xfId="2" applyNumberFormat="1" applyFont="1" applyFill="1" applyBorder="1">
      <alignment vertical="center"/>
    </xf>
    <xf numFmtId="176" fontId="12" fillId="12" borderId="47" xfId="2" applyNumberFormat="1" applyFont="1" applyFill="1" applyBorder="1">
      <alignment vertical="center"/>
    </xf>
    <xf numFmtId="38" fontId="9" fillId="5" borderId="3" xfId="3" applyFont="1" applyFill="1" applyBorder="1">
      <alignment vertical="center"/>
    </xf>
    <xf numFmtId="38" fontId="9" fillId="5" borderId="27" xfId="3" applyFont="1" applyFill="1" applyBorder="1">
      <alignment vertical="center"/>
    </xf>
    <xf numFmtId="38" fontId="11" fillId="5" borderId="3" xfId="3" applyFont="1" applyFill="1" applyBorder="1">
      <alignment vertical="center"/>
    </xf>
    <xf numFmtId="38" fontId="9" fillId="0" borderId="24" xfId="3" applyFont="1" applyFill="1" applyBorder="1" applyAlignment="1"/>
    <xf numFmtId="38" fontId="0" fillId="0" borderId="3" xfId="3" applyFont="1" applyFill="1" applyBorder="1">
      <alignment vertical="center"/>
    </xf>
    <xf numFmtId="38" fontId="10" fillId="5" borderId="3" xfId="3" applyFont="1" applyFill="1" applyBorder="1" applyAlignment="1">
      <alignment vertical="center"/>
    </xf>
    <xf numFmtId="38" fontId="10" fillId="5" borderId="27" xfId="3" applyFont="1" applyFill="1" applyBorder="1" applyAlignment="1">
      <alignment vertical="center"/>
    </xf>
    <xf numFmtId="38" fontId="10" fillId="5" borderId="25" xfId="3" applyFont="1" applyFill="1" applyBorder="1" applyAlignment="1">
      <alignment vertical="center"/>
    </xf>
    <xf numFmtId="38" fontId="9" fillId="0" borderId="25" xfId="3" applyFont="1" applyFill="1" applyBorder="1">
      <alignment vertical="center"/>
    </xf>
    <xf numFmtId="38" fontId="10" fillId="5" borderId="28" xfId="3" applyFont="1" applyFill="1" applyBorder="1" applyAlignment="1">
      <alignment vertical="center"/>
    </xf>
    <xf numFmtId="38" fontId="9" fillId="5" borderId="25" xfId="3" applyFont="1" applyFill="1" applyBorder="1">
      <alignment vertical="center"/>
    </xf>
    <xf numFmtId="38" fontId="9" fillId="5" borderId="28" xfId="3" applyFont="1" applyFill="1" applyBorder="1">
      <alignment vertical="center"/>
    </xf>
    <xf numFmtId="38" fontId="9" fillId="0" borderId="22" xfId="3" applyFont="1" applyFill="1" applyBorder="1">
      <alignment vertical="center"/>
    </xf>
    <xf numFmtId="38" fontId="9" fillId="0" borderId="24" xfId="3" applyFont="1" applyFill="1" applyBorder="1">
      <alignment vertical="center"/>
    </xf>
    <xf numFmtId="177" fontId="1" fillId="7" borderId="21" xfId="2" applyNumberFormat="1" applyFill="1" applyBorder="1">
      <alignment vertical="center"/>
    </xf>
    <xf numFmtId="177" fontId="1" fillId="7" borderId="24" xfId="2" applyNumberFormat="1" applyFill="1" applyBorder="1" applyProtection="1">
      <alignment vertical="center"/>
      <protection locked="0"/>
    </xf>
    <xf numFmtId="177" fontId="1" fillId="7" borderId="25" xfId="2" applyNumberFormat="1" applyFill="1" applyBorder="1" applyProtection="1">
      <alignment vertical="center"/>
      <protection locked="0"/>
    </xf>
    <xf numFmtId="177" fontId="1" fillId="6" borderId="24" xfId="2" applyNumberFormat="1" applyFill="1" applyBorder="1" applyProtection="1">
      <alignment vertical="center"/>
      <protection locked="0"/>
    </xf>
    <xf numFmtId="177" fontId="1" fillId="6" borderId="25" xfId="2" applyNumberFormat="1" applyFill="1" applyBorder="1" applyProtection="1">
      <alignment vertical="center"/>
      <protection locked="0"/>
    </xf>
    <xf numFmtId="177" fontId="1" fillId="6" borderId="26" xfId="2" applyNumberFormat="1" applyFill="1" applyBorder="1" applyProtection="1">
      <alignment vertical="center"/>
      <protection locked="0"/>
    </xf>
    <xf numFmtId="177" fontId="1" fillId="4" borderId="8" xfId="2" applyNumberFormat="1" applyFill="1" applyBorder="1" applyProtection="1">
      <alignment vertical="center"/>
      <protection locked="0"/>
    </xf>
    <xf numFmtId="177" fontId="1" fillId="4" borderId="74" xfId="2" applyNumberFormat="1" applyFill="1" applyBorder="1" applyProtection="1">
      <alignment vertical="center"/>
      <protection locked="0"/>
    </xf>
    <xf numFmtId="177" fontId="1" fillId="4" borderId="75" xfId="2" applyNumberFormat="1" applyFill="1" applyBorder="1">
      <alignment vertical="center"/>
    </xf>
    <xf numFmtId="177" fontId="1" fillId="4" borderId="21" xfId="2" applyNumberForma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6" borderId="30" xfId="1" applyFont="1" applyFill="1" applyBorder="1" applyAlignment="1">
      <alignment horizontal="center" vertical="center"/>
    </xf>
    <xf numFmtId="0" fontId="4" fillId="6" borderId="31" xfId="1" applyFont="1" applyFill="1" applyBorder="1" applyAlignment="1">
      <alignment horizontal="center" vertical="center"/>
    </xf>
    <xf numFmtId="0" fontId="4" fillId="6" borderId="32" xfId="1" applyFont="1" applyFill="1" applyBorder="1" applyAlignment="1">
      <alignment horizontal="center" vertical="center"/>
    </xf>
    <xf numFmtId="176" fontId="1" fillId="5" borderId="5" xfId="2" applyNumberFormat="1" applyFill="1" applyBorder="1" applyAlignment="1">
      <alignment horizontal="center" vertical="center" wrapText="1"/>
    </xf>
    <xf numFmtId="0" fontId="4" fillId="5" borderId="31" xfId="1" applyFont="1" applyFill="1" applyBorder="1" applyAlignment="1">
      <alignment horizontal="center" vertical="center"/>
    </xf>
    <xf numFmtId="0" fontId="4" fillId="5" borderId="32" xfId="1" applyFont="1" applyFill="1" applyBorder="1" applyAlignment="1">
      <alignment horizontal="center" vertical="center"/>
    </xf>
    <xf numFmtId="176" fontId="7" fillId="11" borderId="5" xfId="2" applyNumberFormat="1" applyFont="1" applyFill="1" applyBorder="1" applyAlignment="1">
      <alignment horizontal="center" vertical="center" wrapText="1"/>
    </xf>
    <xf numFmtId="176" fontId="1" fillId="5" borderId="33" xfId="2" applyNumberFormat="1" applyFill="1" applyBorder="1" applyAlignment="1">
      <alignment horizontal="center" vertical="center" wrapText="1"/>
    </xf>
    <xf numFmtId="176" fontId="3" fillId="3" borderId="0" xfId="2" applyNumberFormat="1" applyFont="1" applyFill="1" applyAlignment="1">
      <alignment horizontal="left" vertical="center"/>
    </xf>
    <xf numFmtId="176" fontId="1" fillId="2" borderId="21" xfId="2" applyNumberFormat="1" applyFill="1" applyBorder="1" applyAlignment="1">
      <alignment horizontal="center" vertical="center" textRotation="255"/>
    </xf>
    <xf numFmtId="176" fontId="1" fillId="2" borderId="24" xfId="2" applyNumberFormat="1" applyFill="1" applyBorder="1" applyAlignment="1">
      <alignment horizontal="center" vertical="center" textRotation="255"/>
    </xf>
    <xf numFmtId="176" fontId="1" fillId="2" borderId="26" xfId="2" applyNumberFormat="1" applyFill="1" applyBorder="1" applyAlignment="1">
      <alignment horizontal="center" vertical="center" textRotation="255"/>
    </xf>
    <xf numFmtId="176" fontId="5" fillId="2" borderId="41" xfId="2" applyNumberFormat="1" applyFont="1" applyFill="1" applyBorder="1" applyAlignment="1">
      <alignment horizontal="center" vertical="center"/>
    </xf>
    <xf numFmtId="176" fontId="5" fillId="2" borderId="42" xfId="2" applyNumberFormat="1" applyFont="1" applyFill="1" applyBorder="1" applyAlignment="1">
      <alignment horizontal="center" vertical="center"/>
    </xf>
    <xf numFmtId="176" fontId="5" fillId="2" borderId="37" xfId="2" applyNumberFormat="1" applyFont="1" applyFill="1" applyBorder="1" applyAlignment="1">
      <alignment horizontal="center" vertical="center"/>
    </xf>
    <xf numFmtId="176" fontId="5" fillId="2" borderId="0" xfId="2" applyNumberFormat="1" applyFont="1" applyFill="1" applyAlignment="1">
      <alignment horizontal="center" vertical="center"/>
    </xf>
    <xf numFmtId="176" fontId="1" fillId="2" borderId="43" xfId="2" applyNumberFormat="1" applyFill="1" applyBorder="1" applyAlignment="1">
      <alignment horizontal="center" vertical="center" wrapText="1"/>
    </xf>
    <xf numFmtId="176" fontId="1" fillId="2" borderId="19" xfId="2" applyNumberFormat="1" applyFill="1" applyBorder="1" applyAlignment="1">
      <alignment horizontal="center" vertical="center" wrapText="1"/>
    </xf>
    <xf numFmtId="176" fontId="1" fillId="2" borderId="44" xfId="2" applyNumberFormat="1" applyFill="1" applyBorder="1" applyAlignment="1">
      <alignment horizontal="center" vertical="center" wrapText="1"/>
    </xf>
    <xf numFmtId="176" fontId="1" fillId="2" borderId="38" xfId="2" applyNumberFormat="1" applyFill="1" applyBorder="1" applyAlignment="1">
      <alignment horizontal="center" vertical="center" wrapText="1"/>
    </xf>
    <xf numFmtId="176" fontId="1" fillId="2" borderId="29" xfId="2" applyNumberFormat="1" applyFill="1" applyBorder="1" applyAlignment="1">
      <alignment horizontal="center" vertical="center" wrapText="1"/>
    </xf>
    <xf numFmtId="176" fontId="1" fillId="2" borderId="57" xfId="2" applyNumberFormat="1" applyFill="1" applyBorder="1" applyAlignment="1">
      <alignment horizontal="center" vertical="center" wrapText="1"/>
    </xf>
    <xf numFmtId="176" fontId="1" fillId="2" borderId="5" xfId="2" applyNumberFormat="1" applyFill="1" applyBorder="1" applyAlignment="1">
      <alignment horizontal="center" vertical="center" wrapText="1"/>
    </xf>
    <xf numFmtId="176" fontId="12" fillId="4" borderId="5" xfId="2" applyNumberFormat="1" applyFont="1" applyFill="1" applyBorder="1" applyAlignment="1">
      <alignment horizontal="center" vertical="center" wrapText="1"/>
    </xf>
    <xf numFmtId="176" fontId="12" fillId="4" borderId="68" xfId="2" applyNumberFormat="1" applyFont="1" applyFill="1" applyBorder="1" applyAlignment="1">
      <alignment horizontal="center" vertical="center" wrapText="1"/>
    </xf>
    <xf numFmtId="176" fontId="1" fillId="5" borderId="34" xfId="2" applyNumberFormat="1" applyFill="1" applyBorder="1" applyAlignment="1">
      <alignment horizontal="center" vertical="center" wrapText="1"/>
    </xf>
    <xf numFmtId="176" fontId="7" fillId="5" borderId="5" xfId="2" applyNumberFormat="1" applyFont="1" applyFill="1" applyBorder="1" applyAlignment="1">
      <alignment horizontal="center" vertical="center" wrapText="1"/>
    </xf>
    <xf numFmtId="176" fontId="1" fillId="4" borderId="33" xfId="2" applyNumberFormat="1" applyFill="1" applyBorder="1" applyAlignment="1">
      <alignment horizontal="center" vertical="center" wrapText="1"/>
    </xf>
    <xf numFmtId="176" fontId="1" fillId="4" borderId="40" xfId="2" applyNumberFormat="1" applyFill="1" applyBorder="1" applyAlignment="1">
      <alignment horizontal="center" vertical="center" wrapText="1"/>
    </xf>
    <xf numFmtId="176" fontId="1" fillId="4" borderId="5" xfId="2" applyNumberFormat="1" applyFill="1" applyBorder="1" applyAlignment="1">
      <alignment horizontal="center" vertical="center" wrapText="1"/>
    </xf>
    <xf numFmtId="176" fontId="1" fillId="4" borderId="68" xfId="2" applyNumberFormat="1" applyFill="1" applyBorder="1" applyAlignment="1">
      <alignment horizontal="center" vertical="center" wrapText="1"/>
    </xf>
    <xf numFmtId="176" fontId="4" fillId="4" borderId="30" xfId="2" applyNumberFormat="1" applyFont="1" applyFill="1" applyBorder="1" applyAlignment="1">
      <alignment horizontal="center" vertical="center"/>
    </xf>
    <xf numFmtId="176" fontId="4" fillId="4" borderId="31" xfId="2" applyNumberFormat="1" applyFont="1" applyFill="1" applyBorder="1" applyAlignment="1">
      <alignment horizontal="center" vertical="center"/>
    </xf>
    <xf numFmtId="176" fontId="4" fillId="4" borderId="32" xfId="2" applyNumberFormat="1" applyFont="1" applyFill="1" applyBorder="1" applyAlignment="1">
      <alignment horizontal="center" vertical="center"/>
    </xf>
    <xf numFmtId="176" fontId="1" fillId="2" borderId="4" xfId="2" applyNumberFormat="1" applyFill="1" applyBorder="1" applyAlignment="1">
      <alignment horizontal="center" vertical="center" wrapText="1"/>
    </xf>
    <xf numFmtId="176" fontId="1" fillId="2" borderId="20" xfId="2" applyNumberFormat="1" applyFill="1" applyBorder="1" applyAlignment="1">
      <alignment horizontal="center" vertical="center" wrapText="1"/>
    </xf>
    <xf numFmtId="176" fontId="1" fillId="4" borderId="25" xfId="2" applyNumberFormat="1" applyFill="1" applyBorder="1" applyAlignment="1">
      <alignment horizontal="center" vertical="center" wrapText="1"/>
    </xf>
    <xf numFmtId="176" fontId="1" fillId="4" borderId="28" xfId="2" applyNumberFormat="1" applyFill="1" applyBorder="1" applyAlignment="1">
      <alignment horizontal="center" vertical="center" wrapText="1"/>
    </xf>
    <xf numFmtId="176" fontId="1" fillId="2" borderId="63" xfId="2" applyNumberFormat="1" applyFill="1" applyBorder="1" applyAlignment="1">
      <alignment horizontal="center" vertical="center" wrapText="1"/>
    </xf>
    <xf numFmtId="176" fontId="1" fillId="2" borderId="67" xfId="2" applyNumberForma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176" fontId="7" fillId="4" borderId="5" xfId="2" applyNumberFormat="1" applyFont="1" applyFill="1" applyBorder="1" applyAlignment="1">
      <alignment horizontal="center" vertical="center" wrapText="1"/>
    </xf>
    <xf numFmtId="176" fontId="7" fillId="4" borderId="68" xfId="2" applyNumberFormat="1" applyFont="1" applyFill="1" applyBorder="1" applyAlignment="1">
      <alignment horizontal="center" vertical="center" wrapText="1"/>
    </xf>
    <xf numFmtId="176" fontId="7" fillId="11" borderId="68" xfId="2" applyNumberFormat="1" applyFont="1" applyFill="1" applyBorder="1" applyAlignment="1">
      <alignment horizontal="center" vertical="center" wrapText="1"/>
    </xf>
    <xf numFmtId="176" fontId="1" fillId="4" borderId="3" xfId="2" applyNumberFormat="1" applyFill="1" applyBorder="1" applyAlignment="1">
      <alignment horizontal="center" vertical="center" wrapText="1"/>
    </xf>
    <xf numFmtId="176" fontId="1" fillId="4" borderId="27" xfId="2" applyNumberFormat="1" applyFill="1" applyBorder="1" applyAlignment="1">
      <alignment horizontal="center" vertical="center" wrapText="1"/>
    </xf>
    <xf numFmtId="176" fontId="1" fillId="5" borderId="69" xfId="2" applyNumberFormat="1" applyFill="1" applyBorder="1" applyAlignment="1">
      <alignment horizontal="center" vertical="center" wrapText="1"/>
    </xf>
    <xf numFmtId="176" fontId="1" fillId="2" borderId="34" xfId="2" applyNumberForma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/>
    </xf>
    <xf numFmtId="176" fontId="1" fillId="5" borderId="68" xfId="2" applyNumberFormat="1" applyFill="1" applyBorder="1" applyAlignment="1">
      <alignment horizontal="center" vertical="center" wrapText="1"/>
    </xf>
    <xf numFmtId="176" fontId="7" fillId="5" borderId="68" xfId="2" applyNumberFormat="1" applyFont="1" applyFill="1" applyBorder="1" applyAlignment="1">
      <alignment horizontal="center" vertical="center" wrapText="1"/>
    </xf>
    <xf numFmtId="176" fontId="1" fillId="5" borderId="40" xfId="2" applyNumberFormat="1" applyFill="1" applyBorder="1" applyAlignment="1">
      <alignment horizontal="center" vertical="center" wrapText="1"/>
    </xf>
    <xf numFmtId="176" fontId="1" fillId="6" borderId="25" xfId="2" applyNumberFormat="1" applyFill="1" applyBorder="1" applyAlignment="1">
      <alignment horizontal="center" vertical="center" wrapText="1"/>
    </xf>
    <xf numFmtId="176" fontId="1" fillId="6" borderId="3" xfId="2" applyNumberFormat="1" applyFill="1" applyBorder="1" applyAlignment="1">
      <alignment horizontal="center" vertical="center" wrapText="1"/>
    </xf>
    <xf numFmtId="176" fontId="1" fillId="6" borderId="24" xfId="2" applyNumberFormat="1" applyFill="1" applyBorder="1" applyAlignment="1">
      <alignment horizontal="center" vertical="center" wrapText="1"/>
    </xf>
    <xf numFmtId="176" fontId="7" fillId="11" borderId="3" xfId="2" applyNumberFormat="1" applyFont="1" applyFill="1" applyBorder="1" applyAlignment="1">
      <alignment horizontal="center" vertical="center" wrapText="1"/>
    </xf>
    <xf numFmtId="176" fontId="7" fillId="6" borderId="3" xfId="2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80" fontId="9" fillId="9" borderId="24" xfId="4" applyNumberFormat="1" applyFont="1" applyFill="1" applyBorder="1" applyAlignment="1">
      <alignment horizontal="center" vertical="center"/>
    </xf>
    <xf numFmtId="180" fontId="9" fillId="9" borderId="3" xfId="4" applyNumberFormat="1" applyFont="1" applyFill="1" applyBorder="1" applyAlignment="1">
      <alignment horizontal="center" vertical="center"/>
    </xf>
    <xf numFmtId="180" fontId="9" fillId="9" borderId="25" xfId="4" applyNumberFormat="1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/>
    </xf>
    <xf numFmtId="180" fontId="9" fillId="9" borderId="41" xfId="4" applyNumberFormat="1" applyFont="1" applyFill="1" applyBorder="1" applyAlignment="1">
      <alignment horizontal="center" vertical="center"/>
    </xf>
    <xf numFmtId="180" fontId="9" fillId="9" borderId="42" xfId="4" applyNumberFormat="1" applyFont="1" applyFill="1" applyBorder="1" applyAlignment="1">
      <alignment horizontal="center" vertical="center"/>
    </xf>
    <xf numFmtId="180" fontId="9" fillId="9" borderId="59" xfId="4" applyNumberFormat="1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</cellXfs>
  <cellStyles count="5">
    <cellStyle name="パーセント" xfId="4" builtinId="5"/>
    <cellStyle name="桁区切り" xfId="3" builtinId="6"/>
    <cellStyle name="標準" xfId="0" builtinId="0"/>
    <cellStyle name="標準 2" xfId="1" xr:uid="{00000000-0005-0000-0000-000003000000}"/>
    <cellStyle name="標準_080620_人口推計ワークシート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5E84-D155-49D2-991B-5E9D536C2265}">
  <dimension ref="A1:AW293"/>
  <sheetViews>
    <sheetView zoomScale="40" zoomScaleNormal="40" workbookViewId="0">
      <selection activeCell="T15" sqref="T15"/>
    </sheetView>
  </sheetViews>
  <sheetFormatPr defaultRowHeight="18.75" outlineLevelRow="1" x14ac:dyDescent="0.4"/>
  <cols>
    <col min="1" max="1" width="9.25" style="23" bestFit="1" customWidth="1"/>
    <col min="2" max="2" width="8.75" style="23"/>
    <col min="3" max="3" width="10.875" bestFit="1" customWidth="1"/>
    <col min="4" max="5" width="9.25" bestFit="1" customWidth="1"/>
    <col min="7" max="9" width="9.25" bestFit="1" customWidth="1"/>
    <col min="11" max="13" width="9.25" bestFit="1" customWidth="1"/>
    <col min="15" max="17" width="9.25" bestFit="1" customWidth="1"/>
    <col min="19" max="21" width="9.25" bestFit="1" customWidth="1"/>
    <col min="23" max="25" width="9.25" bestFit="1" customWidth="1"/>
    <col min="27" max="29" width="9.25" bestFit="1" customWidth="1"/>
    <col min="31" max="33" width="9.25" bestFit="1" customWidth="1"/>
    <col min="35" max="37" width="9.25" bestFit="1" customWidth="1"/>
    <col min="39" max="40" width="9.25" bestFit="1" customWidth="1"/>
    <col min="45" max="45" width="9.375" bestFit="1" customWidth="1"/>
  </cols>
  <sheetData>
    <row r="1" spans="1:49" outlineLevel="1" x14ac:dyDescent="0.25">
      <c r="A1" s="24" t="s">
        <v>0</v>
      </c>
      <c r="B1" s="25"/>
      <c r="C1" s="26" t="s">
        <v>1</v>
      </c>
      <c r="D1" s="26" t="s">
        <v>2</v>
      </c>
      <c r="E1" s="173" t="s">
        <v>3</v>
      </c>
      <c r="F1" s="25"/>
      <c r="G1" s="26" t="s">
        <v>1</v>
      </c>
      <c r="H1" s="26" t="s">
        <v>2</v>
      </c>
      <c r="I1" s="25" t="s">
        <v>4</v>
      </c>
      <c r="J1" s="25"/>
      <c r="K1" s="26" t="s">
        <v>1</v>
      </c>
      <c r="L1" s="26" t="s">
        <v>2</v>
      </c>
      <c r="M1" s="25" t="s">
        <v>5</v>
      </c>
      <c r="N1" s="25"/>
      <c r="O1" s="26" t="s">
        <v>1</v>
      </c>
      <c r="P1" s="26" t="s">
        <v>2</v>
      </c>
      <c r="Q1" s="25" t="s">
        <v>6</v>
      </c>
      <c r="R1" s="25"/>
      <c r="S1" s="26" t="s">
        <v>1</v>
      </c>
      <c r="T1" s="26" t="s">
        <v>2</v>
      </c>
      <c r="U1" s="25" t="s">
        <v>7</v>
      </c>
      <c r="V1" s="25"/>
      <c r="W1" s="26" t="s">
        <v>1</v>
      </c>
      <c r="X1" s="26" t="s">
        <v>2</v>
      </c>
      <c r="Y1" s="25" t="s">
        <v>8</v>
      </c>
      <c r="Z1" s="25"/>
      <c r="AA1" s="26" t="s">
        <v>1</v>
      </c>
      <c r="AB1" s="26" t="s">
        <v>2</v>
      </c>
      <c r="AC1" s="25" t="s">
        <v>9</v>
      </c>
      <c r="AD1" s="25"/>
      <c r="AE1" s="26" t="s">
        <v>1</v>
      </c>
      <c r="AF1" s="26" t="s">
        <v>2</v>
      </c>
      <c r="AG1" s="25" t="s">
        <v>10</v>
      </c>
      <c r="AH1" s="25"/>
      <c r="AI1" s="26" t="s">
        <v>1</v>
      </c>
      <c r="AJ1" s="26" t="s">
        <v>2</v>
      </c>
      <c r="AK1" s="25" t="s">
        <v>11</v>
      </c>
      <c r="AL1" s="25"/>
      <c r="AM1" s="26" t="s">
        <v>1</v>
      </c>
      <c r="AN1" s="27" t="s">
        <v>2</v>
      </c>
      <c r="AU1" s="223" t="s">
        <v>12</v>
      </c>
      <c r="AV1" s="223"/>
      <c r="AW1" s="223"/>
    </row>
    <row r="2" spans="1:49" outlineLevel="1" x14ac:dyDescent="0.25">
      <c r="A2" s="28">
        <v>1254</v>
      </c>
      <c r="B2" s="29"/>
      <c r="C2" s="30" t="s">
        <v>13</v>
      </c>
      <c r="D2" s="30" t="s">
        <v>13</v>
      </c>
      <c r="E2" s="29">
        <v>1257</v>
      </c>
      <c r="F2" s="29"/>
      <c r="G2" s="30" t="s">
        <v>13</v>
      </c>
      <c r="H2" s="30" t="s">
        <v>13</v>
      </c>
      <c r="I2" s="29">
        <v>1260</v>
      </c>
      <c r="J2" s="29"/>
      <c r="K2" s="30" t="s">
        <v>13</v>
      </c>
      <c r="L2" s="30" t="s">
        <v>13</v>
      </c>
      <c r="M2" s="29">
        <v>1263</v>
      </c>
      <c r="N2" s="29"/>
      <c r="O2" s="30" t="s">
        <v>13</v>
      </c>
      <c r="P2" s="30" t="s">
        <v>13</v>
      </c>
      <c r="Q2" s="29">
        <v>1266</v>
      </c>
      <c r="R2" s="29"/>
      <c r="S2" s="30" t="s">
        <v>13</v>
      </c>
      <c r="T2" s="30" t="s">
        <v>13</v>
      </c>
      <c r="U2" s="29">
        <v>1269</v>
      </c>
      <c r="V2" s="29"/>
      <c r="W2" s="30" t="s">
        <v>13</v>
      </c>
      <c r="X2" s="30" t="s">
        <v>13</v>
      </c>
      <c r="Y2" s="29">
        <v>1272</v>
      </c>
      <c r="Z2" s="29"/>
      <c r="AA2" s="30" t="s">
        <v>13</v>
      </c>
      <c r="AB2" s="30" t="s">
        <v>13</v>
      </c>
      <c r="AC2" s="29">
        <v>1275</v>
      </c>
      <c r="AD2" s="29"/>
      <c r="AE2" s="30" t="s">
        <v>13</v>
      </c>
      <c r="AF2" s="30" t="s">
        <v>13</v>
      </c>
      <c r="AG2" s="29">
        <v>1278</v>
      </c>
      <c r="AH2" s="29"/>
      <c r="AI2" s="30" t="s">
        <v>13</v>
      </c>
      <c r="AJ2" s="30" t="s">
        <v>13</v>
      </c>
      <c r="AK2" s="29">
        <v>1281</v>
      </c>
      <c r="AL2" s="29"/>
      <c r="AM2" s="30" t="s">
        <v>13</v>
      </c>
      <c r="AN2" s="31" t="s">
        <v>13</v>
      </c>
      <c r="AP2" s="224" t="s">
        <v>14</v>
      </c>
      <c r="AQ2" s="224"/>
      <c r="AR2" s="52" t="s">
        <v>15</v>
      </c>
      <c r="AS2" s="52" t="s">
        <v>16</v>
      </c>
      <c r="AT2" s="52" t="s">
        <v>17</v>
      </c>
      <c r="AU2" s="52" t="s">
        <v>15</v>
      </c>
      <c r="AV2" s="52" t="s">
        <v>16</v>
      </c>
      <c r="AW2" s="52" t="s">
        <v>17</v>
      </c>
    </row>
    <row r="3" spans="1:49" outlineLevel="1" x14ac:dyDescent="0.25">
      <c r="A3" s="28"/>
      <c r="B3" s="29" t="s">
        <v>18</v>
      </c>
      <c r="C3" s="30">
        <v>960877</v>
      </c>
      <c r="D3" s="30"/>
      <c r="E3" s="29"/>
      <c r="F3" s="29" t="s">
        <v>18</v>
      </c>
      <c r="G3" s="30">
        <v>138764</v>
      </c>
      <c r="H3" s="32">
        <v>134857</v>
      </c>
      <c r="I3" s="29"/>
      <c r="J3" s="29" t="s">
        <v>18</v>
      </c>
      <c r="K3" s="30">
        <v>58964</v>
      </c>
      <c r="L3" s="32">
        <v>56477</v>
      </c>
      <c r="M3" s="29"/>
      <c r="N3" s="29" t="s">
        <v>18</v>
      </c>
      <c r="O3" s="30">
        <v>160526</v>
      </c>
      <c r="P3" s="32">
        <v>158550</v>
      </c>
      <c r="Q3" s="29"/>
      <c r="R3" s="29" t="s">
        <v>18</v>
      </c>
      <c r="S3" s="30">
        <v>163472</v>
      </c>
      <c r="T3" s="32">
        <v>158141</v>
      </c>
      <c r="U3" s="29"/>
      <c r="V3" s="29" t="s">
        <v>18</v>
      </c>
      <c r="W3" s="30">
        <v>31301</v>
      </c>
      <c r="X3" s="32">
        <v>30067</v>
      </c>
      <c r="Y3" s="29"/>
      <c r="Z3" s="29" t="s">
        <v>18</v>
      </c>
      <c r="AA3" s="30">
        <v>38517</v>
      </c>
      <c r="AB3" s="32">
        <v>37602</v>
      </c>
      <c r="AC3" s="29"/>
      <c r="AD3" s="29" t="s">
        <v>18</v>
      </c>
      <c r="AE3" s="30">
        <v>24221</v>
      </c>
      <c r="AF3" s="32">
        <v>22761</v>
      </c>
      <c r="AG3" s="29"/>
      <c r="AH3" s="29" t="s">
        <v>18</v>
      </c>
      <c r="AI3" s="30">
        <v>17702</v>
      </c>
      <c r="AJ3" s="32">
        <v>17197</v>
      </c>
      <c r="AK3" s="29"/>
      <c r="AL3" s="29" t="s">
        <v>18</v>
      </c>
      <c r="AM3" s="30">
        <v>28313</v>
      </c>
      <c r="AN3" s="33">
        <v>26760</v>
      </c>
      <c r="AP3" s="52" t="s">
        <v>19</v>
      </c>
      <c r="AQ3" s="53">
        <f>$H48</f>
        <v>82105</v>
      </c>
      <c r="AR3" s="53">
        <f>H$17+H$18+H$40+H$41</f>
        <v>39861</v>
      </c>
      <c r="AS3" s="53">
        <f>H$19+H$20+H$42+H$43</f>
        <v>27736</v>
      </c>
      <c r="AT3" s="53">
        <f>H$21+H$22+H$23+H$24+H$44+H$45+H$46+H$47</f>
        <v>14508</v>
      </c>
      <c r="AU3" s="51">
        <v>39811</v>
      </c>
      <c r="AV3" s="51">
        <v>27713</v>
      </c>
      <c r="AW3" s="51">
        <v>14464</v>
      </c>
    </row>
    <row r="4" spans="1:49" outlineLevel="1" x14ac:dyDescent="0.25">
      <c r="A4" s="28"/>
      <c r="B4" s="29" t="s">
        <v>20</v>
      </c>
      <c r="C4" s="30">
        <v>37141</v>
      </c>
      <c r="D4" s="30"/>
      <c r="E4" s="29"/>
      <c r="F4" s="29" t="s">
        <v>20</v>
      </c>
      <c r="G4" s="30">
        <v>5344</v>
      </c>
      <c r="H4" s="32">
        <v>4924</v>
      </c>
      <c r="I4" s="29"/>
      <c r="J4" s="29" t="s">
        <v>20</v>
      </c>
      <c r="K4" s="30">
        <v>2532</v>
      </c>
      <c r="L4" s="32">
        <v>2624</v>
      </c>
      <c r="M4" s="29"/>
      <c r="N4" s="29" t="s">
        <v>20</v>
      </c>
      <c r="O4" s="30">
        <v>6859</v>
      </c>
      <c r="P4" s="32">
        <v>6454</v>
      </c>
      <c r="Q4" s="29"/>
      <c r="R4" s="29" t="s">
        <v>20</v>
      </c>
      <c r="S4" s="30">
        <v>6419</v>
      </c>
      <c r="T4" s="32">
        <v>5806</v>
      </c>
      <c r="U4" s="29"/>
      <c r="V4" s="29" t="s">
        <v>20</v>
      </c>
      <c r="W4" s="30">
        <v>1307</v>
      </c>
      <c r="X4" s="32">
        <v>1120</v>
      </c>
      <c r="Y4" s="29"/>
      <c r="Z4" s="29" t="s">
        <v>20</v>
      </c>
      <c r="AA4" s="30">
        <v>1562</v>
      </c>
      <c r="AB4" s="32">
        <v>1421</v>
      </c>
      <c r="AC4" s="29"/>
      <c r="AD4" s="29" t="s">
        <v>20</v>
      </c>
      <c r="AE4" s="30">
        <v>907</v>
      </c>
      <c r="AF4" s="32">
        <v>805</v>
      </c>
      <c r="AG4" s="29"/>
      <c r="AH4" s="29" t="s">
        <v>20</v>
      </c>
      <c r="AI4" s="30">
        <v>766</v>
      </c>
      <c r="AJ4" s="32">
        <v>645</v>
      </c>
      <c r="AK4" s="29"/>
      <c r="AL4" s="29" t="s">
        <v>20</v>
      </c>
      <c r="AM4" s="30">
        <v>976</v>
      </c>
      <c r="AN4" s="33">
        <v>868</v>
      </c>
      <c r="AP4" s="52" t="s">
        <v>21</v>
      </c>
      <c r="AQ4" s="53">
        <f>$L48</f>
        <v>34214</v>
      </c>
      <c r="AR4" s="53">
        <f>L$17+L$18+L$40+L$41</f>
        <v>16773</v>
      </c>
      <c r="AS4" s="53">
        <f>L$19+L$20+L$42+L$43</f>
        <v>11755</v>
      </c>
      <c r="AT4" s="53">
        <f>L$21+L$22+L$23+L$24+L$44+L$45+L$46+L$47</f>
        <v>5686</v>
      </c>
      <c r="AU4" s="51">
        <v>17072</v>
      </c>
      <c r="AV4" s="51">
        <v>12243</v>
      </c>
      <c r="AW4" s="51">
        <v>6652</v>
      </c>
    </row>
    <row r="5" spans="1:49" outlineLevel="1" x14ac:dyDescent="0.25">
      <c r="A5" s="28"/>
      <c r="B5" s="29" t="s">
        <v>22</v>
      </c>
      <c r="C5" s="30">
        <v>40920</v>
      </c>
      <c r="D5" s="30"/>
      <c r="E5" s="29"/>
      <c r="F5" s="29" t="s">
        <v>22</v>
      </c>
      <c r="G5" s="30">
        <v>5953</v>
      </c>
      <c r="H5" s="32">
        <v>5470</v>
      </c>
      <c r="I5" s="29"/>
      <c r="J5" s="29" t="s">
        <v>22</v>
      </c>
      <c r="K5" s="30">
        <v>2707</v>
      </c>
      <c r="L5" s="32">
        <v>2540</v>
      </c>
      <c r="M5" s="29"/>
      <c r="N5" s="29" t="s">
        <v>22</v>
      </c>
      <c r="O5" s="30">
        <v>7146</v>
      </c>
      <c r="P5" s="32">
        <v>6980</v>
      </c>
      <c r="Q5" s="29"/>
      <c r="R5" s="29" t="s">
        <v>22</v>
      </c>
      <c r="S5" s="30">
        <v>7085</v>
      </c>
      <c r="T5" s="32">
        <v>6461</v>
      </c>
      <c r="U5" s="29"/>
      <c r="V5" s="29" t="s">
        <v>22</v>
      </c>
      <c r="W5" s="30">
        <v>1401</v>
      </c>
      <c r="X5" s="32">
        <v>1263</v>
      </c>
      <c r="Y5" s="29"/>
      <c r="Z5" s="29" t="s">
        <v>22</v>
      </c>
      <c r="AA5" s="30">
        <v>1839</v>
      </c>
      <c r="AB5" s="32">
        <v>1649</v>
      </c>
      <c r="AC5" s="29"/>
      <c r="AD5" s="29" t="s">
        <v>22</v>
      </c>
      <c r="AE5" s="30">
        <v>979</v>
      </c>
      <c r="AF5" s="32">
        <v>919</v>
      </c>
      <c r="AG5" s="29"/>
      <c r="AH5" s="29" t="s">
        <v>22</v>
      </c>
      <c r="AI5" s="30">
        <v>784</v>
      </c>
      <c r="AJ5" s="32">
        <v>794</v>
      </c>
      <c r="AK5" s="29"/>
      <c r="AL5" s="29" t="s">
        <v>22</v>
      </c>
      <c r="AM5" s="30">
        <v>1118</v>
      </c>
      <c r="AN5" s="33">
        <v>1023</v>
      </c>
      <c r="AP5" s="52" t="s">
        <v>5</v>
      </c>
      <c r="AQ5" s="53">
        <f>$P48</f>
        <v>84189</v>
      </c>
      <c r="AR5" s="53">
        <f>P$17+P$18+P$40+P$41</f>
        <v>43209</v>
      </c>
      <c r="AS5" s="53">
        <f>P$19+P$20+P$42+P$43</f>
        <v>27268</v>
      </c>
      <c r="AT5" s="53">
        <f>P$21+P$22+P$23+P$24+P$44+P$45+P$46+P$47</f>
        <v>13712</v>
      </c>
      <c r="AU5" s="51">
        <v>43128</v>
      </c>
      <c r="AV5" s="51">
        <v>27237</v>
      </c>
      <c r="AW5" s="51">
        <v>13669</v>
      </c>
    </row>
    <row r="6" spans="1:49" outlineLevel="1" x14ac:dyDescent="0.25">
      <c r="A6" s="28"/>
      <c r="B6" s="29" t="s">
        <v>23</v>
      </c>
      <c r="C6" s="30">
        <v>47378</v>
      </c>
      <c r="D6" s="30"/>
      <c r="E6" s="29"/>
      <c r="F6" s="29" t="s">
        <v>23</v>
      </c>
      <c r="G6" s="30">
        <v>6845</v>
      </c>
      <c r="H6" s="32">
        <v>6065</v>
      </c>
      <c r="I6" s="29"/>
      <c r="J6" s="29" t="s">
        <v>23</v>
      </c>
      <c r="K6" s="30">
        <v>3070</v>
      </c>
      <c r="L6" s="32">
        <v>2738</v>
      </c>
      <c r="M6" s="29"/>
      <c r="N6" s="29" t="s">
        <v>23</v>
      </c>
      <c r="O6" s="30">
        <v>8047</v>
      </c>
      <c r="P6" s="32">
        <v>7258</v>
      </c>
      <c r="Q6" s="29"/>
      <c r="R6" s="29" t="s">
        <v>23</v>
      </c>
      <c r="S6" s="30">
        <v>7842</v>
      </c>
      <c r="T6" s="32">
        <v>7076</v>
      </c>
      <c r="U6" s="29"/>
      <c r="V6" s="29" t="s">
        <v>23</v>
      </c>
      <c r="W6" s="30">
        <v>1692</v>
      </c>
      <c r="X6" s="32">
        <v>1368</v>
      </c>
      <c r="Y6" s="29"/>
      <c r="Z6" s="29" t="s">
        <v>23</v>
      </c>
      <c r="AA6" s="30">
        <v>2116</v>
      </c>
      <c r="AB6" s="32">
        <v>1848</v>
      </c>
      <c r="AC6" s="29"/>
      <c r="AD6" s="29" t="s">
        <v>23</v>
      </c>
      <c r="AE6" s="30">
        <v>1161</v>
      </c>
      <c r="AF6" s="32">
        <v>976</v>
      </c>
      <c r="AG6" s="29"/>
      <c r="AH6" s="29" t="s">
        <v>23</v>
      </c>
      <c r="AI6" s="30">
        <v>840</v>
      </c>
      <c r="AJ6" s="32">
        <v>795</v>
      </c>
      <c r="AK6" s="29"/>
      <c r="AL6" s="29" t="s">
        <v>23</v>
      </c>
      <c r="AM6" s="30">
        <v>1389</v>
      </c>
      <c r="AN6" s="33">
        <v>1118</v>
      </c>
      <c r="AP6" s="52" t="s">
        <v>6</v>
      </c>
      <c r="AQ6" s="53">
        <f>$T48</f>
        <v>97758</v>
      </c>
      <c r="AR6" s="53">
        <f>T$17+T$18+T$40+T$41</f>
        <v>48199</v>
      </c>
      <c r="AS6" s="53">
        <f>T$19+T$20+T$42+T$43</f>
        <v>33156</v>
      </c>
      <c r="AT6" s="53">
        <f>T$21+T$22+T$23+T$24+T$44+T$45+T$46+T$47</f>
        <v>16403</v>
      </c>
      <c r="AU6" s="51">
        <v>48099</v>
      </c>
      <c r="AV6" s="51">
        <v>33140</v>
      </c>
      <c r="AW6" s="51">
        <v>16427</v>
      </c>
    </row>
    <row r="7" spans="1:49" outlineLevel="1" x14ac:dyDescent="0.25">
      <c r="A7" s="28"/>
      <c r="B7" s="29" t="s">
        <v>24</v>
      </c>
      <c r="C7" s="30">
        <v>50949</v>
      </c>
      <c r="D7" s="30"/>
      <c r="E7" s="29"/>
      <c r="F7" s="29" t="s">
        <v>24</v>
      </c>
      <c r="G7" s="30">
        <v>7545</v>
      </c>
      <c r="H7" s="32">
        <v>7040</v>
      </c>
      <c r="I7" s="29"/>
      <c r="J7" s="29" t="s">
        <v>24</v>
      </c>
      <c r="K7" s="30">
        <v>3195</v>
      </c>
      <c r="L7" s="32">
        <v>2941</v>
      </c>
      <c r="M7" s="29"/>
      <c r="N7" s="29" t="s">
        <v>24</v>
      </c>
      <c r="O7" s="30">
        <v>8647</v>
      </c>
      <c r="P7" s="32">
        <v>8091</v>
      </c>
      <c r="Q7" s="29"/>
      <c r="R7" s="29" t="s">
        <v>24</v>
      </c>
      <c r="S7" s="30">
        <v>8686</v>
      </c>
      <c r="T7" s="32">
        <v>7707</v>
      </c>
      <c r="U7" s="29"/>
      <c r="V7" s="29" t="s">
        <v>24</v>
      </c>
      <c r="W7" s="30">
        <v>1728</v>
      </c>
      <c r="X7" s="32">
        <v>1662</v>
      </c>
      <c r="Y7" s="29"/>
      <c r="Z7" s="29" t="s">
        <v>24</v>
      </c>
      <c r="AA7" s="30">
        <v>2190</v>
      </c>
      <c r="AB7" s="32">
        <v>2079</v>
      </c>
      <c r="AC7" s="29"/>
      <c r="AD7" s="29" t="s">
        <v>24</v>
      </c>
      <c r="AE7" s="30">
        <v>1282</v>
      </c>
      <c r="AF7" s="32">
        <v>1101</v>
      </c>
      <c r="AG7" s="29"/>
      <c r="AH7" s="29" t="s">
        <v>24</v>
      </c>
      <c r="AI7" s="30">
        <v>886</v>
      </c>
      <c r="AJ7" s="32">
        <v>826</v>
      </c>
      <c r="AK7" s="29"/>
      <c r="AL7" s="29" t="s">
        <v>24</v>
      </c>
      <c r="AM7" s="30">
        <v>1457</v>
      </c>
      <c r="AN7" s="33">
        <v>1317</v>
      </c>
      <c r="AP7" s="52" t="s">
        <v>7</v>
      </c>
      <c r="AQ7" s="53">
        <f>$X48</f>
        <v>17401</v>
      </c>
      <c r="AR7" s="53">
        <f>X$17+X$18+X$40+X$41</f>
        <v>8729</v>
      </c>
      <c r="AS7" s="53">
        <f>X$19+X$20+X$42+X$43</f>
        <v>5479</v>
      </c>
      <c r="AT7" s="53">
        <f>X$21+X$22+X$23+X$24+X$44+X$45+X$46+X$47</f>
        <v>3193</v>
      </c>
      <c r="AU7" s="51">
        <v>8733</v>
      </c>
      <c r="AV7" s="51">
        <v>5519</v>
      </c>
      <c r="AW7" s="51">
        <v>3316</v>
      </c>
    </row>
    <row r="8" spans="1:49" outlineLevel="1" x14ac:dyDescent="0.25">
      <c r="A8" s="28"/>
      <c r="B8" s="29" t="s">
        <v>25</v>
      </c>
      <c r="C8" s="30">
        <v>48441</v>
      </c>
      <c r="D8" s="30"/>
      <c r="E8" s="29"/>
      <c r="F8" s="29" t="s">
        <v>25</v>
      </c>
      <c r="G8" s="30">
        <v>7621</v>
      </c>
      <c r="H8" s="32">
        <v>7220</v>
      </c>
      <c r="I8" s="29"/>
      <c r="J8" s="29" t="s">
        <v>25</v>
      </c>
      <c r="K8" s="30">
        <v>2814</v>
      </c>
      <c r="L8" s="32">
        <v>2651</v>
      </c>
      <c r="M8" s="29"/>
      <c r="N8" s="29" t="s">
        <v>25</v>
      </c>
      <c r="O8" s="30">
        <v>8907</v>
      </c>
      <c r="P8" s="32">
        <v>8406</v>
      </c>
      <c r="Q8" s="29"/>
      <c r="R8" s="29" t="s">
        <v>25</v>
      </c>
      <c r="S8" s="30">
        <v>8010</v>
      </c>
      <c r="T8" s="32">
        <v>7737</v>
      </c>
      <c r="U8" s="29"/>
      <c r="V8" s="29" t="s">
        <v>25</v>
      </c>
      <c r="W8" s="30">
        <v>1591</v>
      </c>
      <c r="X8" s="32">
        <v>1506</v>
      </c>
      <c r="Y8" s="29"/>
      <c r="Z8" s="29" t="s">
        <v>25</v>
      </c>
      <c r="AA8" s="30">
        <v>2022</v>
      </c>
      <c r="AB8" s="32">
        <v>1929</v>
      </c>
      <c r="AC8" s="29"/>
      <c r="AD8" s="29" t="s">
        <v>25</v>
      </c>
      <c r="AE8" s="30">
        <v>961</v>
      </c>
      <c r="AF8" s="32">
        <v>965</v>
      </c>
      <c r="AG8" s="29"/>
      <c r="AH8" s="29" t="s">
        <v>25</v>
      </c>
      <c r="AI8" s="30">
        <v>857</v>
      </c>
      <c r="AJ8" s="32">
        <v>811</v>
      </c>
      <c r="AK8" s="29"/>
      <c r="AL8" s="29" t="s">
        <v>25</v>
      </c>
      <c r="AM8" s="30">
        <v>1376</v>
      </c>
      <c r="AN8" s="33">
        <v>1234</v>
      </c>
      <c r="AP8" s="52" t="s">
        <v>8</v>
      </c>
      <c r="AQ8" s="53">
        <f>$AB48</f>
        <v>21140</v>
      </c>
      <c r="AR8" s="53">
        <f>AB$17+AB$18+AB$40+AB$41</f>
        <v>10980</v>
      </c>
      <c r="AS8" s="53">
        <f>AB$19+AB$20+AB$42+AB$43</f>
        <v>6583</v>
      </c>
      <c r="AT8" s="53">
        <f>AB$21+AB$22+AB$23+AB$24+AB$44+AB$45+AB$46+AB$47</f>
        <v>3577</v>
      </c>
      <c r="AU8" s="51">
        <v>10981</v>
      </c>
      <c r="AV8" s="51">
        <v>6614</v>
      </c>
      <c r="AW8" s="51">
        <v>3620</v>
      </c>
    </row>
    <row r="9" spans="1:49" outlineLevel="1" x14ac:dyDescent="0.25">
      <c r="A9" s="28"/>
      <c r="B9" s="29" t="s">
        <v>26</v>
      </c>
      <c r="C9" s="30">
        <v>50629</v>
      </c>
      <c r="D9" s="30"/>
      <c r="E9" s="29"/>
      <c r="F9" s="29" t="s">
        <v>26</v>
      </c>
      <c r="G9" s="30">
        <v>7318</v>
      </c>
      <c r="H9" s="32">
        <v>6826</v>
      </c>
      <c r="I9" s="29"/>
      <c r="J9" s="29" t="s">
        <v>26</v>
      </c>
      <c r="K9" s="30">
        <v>3129</v>
      </c>
      <c r="L9" s="32">
        <v>2760</v>
      </c>
      <c r="M9" s="29"/>
      <c r="N9" s="29" t="s">
        <v>26</v>
      </c>
      <c r="O9" s="30">
        <v>9669</v>
      </c>
      <c r="P9" s="32">
        <v>8777</v>
      </c>
      <c r="Q9" s="29"/>
      <c r="R9" s="29" t="s">
        <v>26</v>
      </c>
      <c r="S9" s="30">
        <v>8389</v>
      </c>
      <c r="T9" s="32">
        <v>7981</v>
      </c>
      <c r="U9" s="29"/>
      <c r="V9" s="29" t="s">
        <v>26</v>
      </c>
      <c r="W9" s="30">
        <v>1775</v>
      </c>
      <c r="X9" s="32">
        <v>1506</v>
      </c>
      <c r="Y9" s="29"/>
      <c r="Z9" s="29" t="s">
        <v>26</v>
      </c>
      <c r="AA9" s="30">
        <v>2053</v>
      </c>
      <c r="AB9" s="32">
        <v>1846</v>
      </c>
      <c r="AC9" s="29"/>
      <c r="AD9" s="29" t="s">
        <v>26</v>
      </c>
      <c r="AE9" s="30">
        <v>1187</v>
      </c>
      <c r="AF9" s="32">
        <v>921</v>
      </c>
      <c r="AG9" s="29"/>
      <c r="AH9" s="29" t="s">
        <v>26</v>
      </c>
      <c r="AI9" s="30">
        <v>1008</v>
      </c>
      <c r="AJ9" s="32">
        <v>902</v>
      </c>
      <c r="AK9" s="29"/>
      <c r="AL9" s="29" t="s">
        <v>26</v>
      </c>
      <c r="AM9" s="30">
        <v>1446</v>
      </c>
      <c r="AN9" s="33">
        <v>1203</v>
      </c>
      <c r="AP9" s="52" t="s">
        <v>9</v>
      </c>
      <c r="AQ9" s="53">
        <f>$AF48</f>
        <v>16639</v>
      </c>
      <c r="AR9" s="53">
        <f>AF$17+AF$18+AF$40+AF$41</f>
        <v>7374</v>
      </c>
      <c r="AS9" s="53">
        <f>AF$19+AF$20+AF$42+AF$43</f>
        <v>5372</v>
      </c>
      <c r="AT9" s="53">
        <f>AF$21+AF$22+AF$23+AF$24+AF$44+AF$45+AF$46+AF$47</f>
        <v>3893</v>
      </c>
      <c r="AU9" s="51">
        <v>7345</v>
      </c>
      <c r="AV9" s="51">
        <v>5335</v>
      </c>
      <c r="AW9" s="51">
        <v>3828</v>
      </c>
    </row>
    <row r="10" spans="1:49" outlineLevel="1" x14ac:dyDescent="0.25">
      <c r="A10" s="28"/>
      <c r="B10" s="29" t="s">
        <v>27</v>
      </c>
      <c r="C10" s="30">
        <v>55655</v>
      </c>
      <c r="D10" s="30"/>
      <c r="E10" s="29"/>
      <c r="F10" s="29" t="s">
        <v>27</v>
      </c>
      <c r="G10" s="30">
        <v>8040</v>
      </c>
      <c r="H10" s="32">
        <v>7213</v>
      </c>
      <c r="I10" s="29"/>
      <c r="J10" s="29" t="s">
        <v>27</v>
      </c>
      <c r="K10" s="30">
        <v>3353</v>
      </c>
      <c r="L10" s="32">
        <v>3132</v>
      </c>
      <c r="M10" s="29"/>
      <c r="N10" s="29" t="s">
        <v>27</v>
      </c>
      <c r="O10" s="30">
        <v>10480</v>
      </c>
      <c r="P10" s="32">
        <v>9671</v>
      </c>
      <c r="Q10" s="29"/>
      <c r="R10" s="29" t="s">
        <v>27</v>
      </c>
      <c r="S10" s="30">
        <v>9196</v>
      </c>
      <c r="T10" s="32">
        <v>8492</v>
      </c>
      <c r="U10" s="29"/>
      <c r="V10" s="29" t="s">
        <v>27</v>
      </c>
      <c r="W10" s="30">
        <v>1913</v>
      </c>
      <c r="X10" s="32">
        <v>1754</v>
      </c>
      <c r="Y10" s="29"/>
      <c r="Z10" s="29" t="s">
        <v>27</v>
      </c>
      <c r="AA10" s="30">
        <v>2289</v>
      </c>
      <c r="AB10" s="32">
        <v>2123</v>
      </c>
      <c r="AC10" s="29"/>
      <c r="AD10" s="29" t="s">
        <v>27</v>
      </c>
      <c r="AE10" s="30">
        <v>1315</v>
      </c>
      <c r="AF10" s="32">
        <v>1185</v>
      </c>
      <c r="AG10" s="29"/>
      <c r="AH10" s="29" t="s">
        <v>27</v>
      </c>
      <c r="AI10" s="30">
        <v>1132</v>
      </c>
      <c r="AJ10" s="32">
        <v>1019</v>
      </c>
      <c r="AK10" s="29"/>
      <c r="AL10" s="29" t="s">
        <v>27</v>
      </c>
      <c r="AM10" s="30">
        <v>1599</v>
      </c>
      <c r="AN10" s="33">
        <v>1443</v>
      </c>
      <c r="AP10" s="52" t="s">
        <v>10</v>
      </c>
      <c r="AQ10" s="53">
        <f>$AJ48</f>
        <v>10691</v>
      </c>
      <c r="AR10" s="53">
        <f>AJ$17+AJ$18+AJ$40+AJ$41</f>
        <v>5268</v>
      </c>
      <c r="AS10" s="53">
        <f>AJ$19+AJ$20+AJ$42+AJ$43</f>
        <v>3446</v>
      </c>
      <c r="AT10" s="53">
        <f>AJ$21+AJ$22+AJ$23+AJ$24+AJ$44+AJ$45+AJ$46+AJ$47</f>
        <v>1977</v>
      </c>
      <c r="AU10" s="51">
        <v>5264</v>
      </c>
      <c r="AV10" s="51">
        <v>3463</v>
      </c>
      <c r="AW10" s="51">
        <v>2031</v>
      </c>
    </row>
    <row r="11" spans="1:49" outlineLevel="1" x14ac:dyDescent="0.25">
      <c r="A11" s="28"/>
      <c r="B11" s="29" t="s">
        <v>28</v>
      </c>
      <c r="C11" s="30">
        <v>62723</v>
      </c>
      <c r="D11" s="30"/>
      <c r="E11" s="29"/>
      <c r="F11" s="29" t="s">
        <v>28</v>
      </c>
      <c r="G11" s="30">
        <v>9408</v>
      </c>
      <c r="H11" s="32">
        <v>7978</v>
      </c>
      <c r="I11" s="29"/>
      <c r="J11" s="29" t="s">
        <v>28</v>
      </c>
      <c r="K11" s="30">
        <v>3812</v>
      </c>
      <c r="L11" s="32">
        <v>3362</v>
      </c>
      <c r="M11" s="29"/>
      <c r="N11" s="29" t="s">
        <v>28</v>
      </c>
      <c r="O11" s="30">
        <v>11580</v>
      </c>
      <c r="P11" s="32">
        <v>10547</v>
      </c>
      <c r="Q11" s="29"/>
      <c r="R11" s="29" t="s">
        <v>28</v>
      </c>
      <c r="S11" s="30">
        <v>10963</v>
      </c>
      <c r="T11" s="32">
        <v>9213</v>
      </c>
      <c r="U11" s="29"/>
      <c r="V11" s="29" t="s">
        <v>28</v>
      </c>
      <c r="W11" s="30">
        <v>2179</v>
      </c>
      <c r="X11" s="32">
        <v>1893</v>
      </c>
      <c r="Y11" s="29"/>
      <c r="Z11" s="29" t="s">
        <v>28</v>
      </c>
      <c r="AA11" s="30">
        <v>2669</v>
      </c>
      <c r="AB11" s="32">
        <v>2349</v>
      </c>
      <c r="AC11" s="29"/>
      <c r="AD11" s="29" t="s">
        <v>28</v>
      </c>
      <c r="AE11" s="30">
        <v>1387</v>
      </c>
      <c r="AF11" s="32">
        <v>1310</v>
      </c>
      <c r="AG11" s="29"/>
      <c r="AH11" s="29" t="s">
        <v>28</v>
      </c>
      <c r="AI11" s="30">
        <v>1127</v>
      </c>
      <c r="AJ11" s="32">
        <v>1107</v>
      </c>
      <c r="AK11" s="29"/>
      <c r="AL11" s="29" t="s">
        <v>28</v>
      </c>
      <c r="AM11" s="30">
        <v>1772</v>
      </c>
      <c r="AN11" s="33">
        <v>1559</v>
      </c>
      <c r="AP11" s="52" t="s">
        <v>11</v>
      </c>
      <c r="AQ11" s="53">
        <f>$AN48</f>
        <v>17929</v>
      </c>
      <c r="AR11" s="53">
        <f>AN$17+AN$18+AN$40+AN$41</f>
        <v>8845</v>
      </c>
      <c r="AS11" s="53">
        <f>AN$19+AN$20+AN$42+AN$43</f>
        <v>5581</v>
      </c>
      <c r="AT11" s="53">
        <f>AN$21+AN$22+AN$23+AN$24+AN$44+AN$45+AN$46+AN$47</f>
        <v>3503</v>
      </c>
      <c r="AU11" s="51">
        <v>8843</v>
      </c>
      <c r="AV11" s="51">
        <v>5599</v>
      </c>
      <c r="AW11" s="51">
        <v>3556</v>
      </c>
    </row>
    <row r="12" spans="1:49" outlineLevel="1" x14ac:dyDescent="0.25">
      <c r="A12" s="28"/>
      <c r="B12" s="29" t="s">
        <v>29</v>
      </c>
      <c r="C12" s="30">
        <v>66171</v>
      </c>
      <c r="D12" s="30"/>
      <c r="E12" s="29"/>
      <c r="F12" s="29" t="s">
        <v>29</v>
      </c>
      <c r="G12" s="30">
        <v>10429</v>
      </c>
      <c r="H12" s="32">
        <v>9415</v>
      </c>
      <c r="I12" s="29"/>
      <c r="J12" s="29" t="s">
        <v>29</v>
      </c>
      <c r="K12" s="30">
        <v>3971</v>
      </c>
      <c r="L12" s="32">
        <v>3857</v>
      </c>
      <c r="M12" s="29"/>
      <c r="N12" s="29" t="s">
        <v>29</v>
      </c>
      <c r="O12" s="30">
        <v>12545</v>
      </c>
      <c r="P12" s="32">
        <v>11564</v>
      </c>
      <c r="Q12" s="29"/>
      <c r="R12" s="29" t="s">
        <v>29</v>
      </c>
      <c r="S12" s="30">
        <v>11812</v>
      </c>
      <c r="T12" s="32">
        <v>11008</v>
      </c>
      <c r="U12" s="29"/>
      <c r="V12" s="29" t="s">
        <v>29</v>
      </c>
      <c r="W12" s="30">
        <v>2177</v>
      </c>
      <c r="X12" s="32">
        <v>2131</v>
      </c>
      <c r="Y12" s="29"/>
      <c r="Z12" s="29" t="s">
        <v>29</v>
      </c>
      <c r="AA12" s="30">
        <v>2829</v>
      </c>
      <c r="AB12" s="32">
        <v>2647</v>
      </c>
      <c r="AC12" s="29"/>
      <c r="AD12" s="29" t="s">
        <v>29</v>
      </c>
      <c r="AE12" s="30">
        <v>1382</v>
      </c>
      <c r="AF12" s="32">
        <v>1375</v>
      </c>
      <c r="AG12" s="29"/>
      <c r="AH12" s="29" t="s">
        <v>29</v>
      </c>
      <c r="AI12" s="30">
        <v>1216</v>
      </c>
      <c r="AJ12" s="32">
        <v>1137</v>
      </c>
      <c r="AK12" s="29"/>
      <c r="AL12" s="29" t="s">
        <v>29</v>
      </c>
      <c r="AM12" s="30">
        <v>1764</v>
      </c>
      <c r="AN12" s="33">
        <v>1727</v>
      </c>
      <c r="AP12" s="52" t="s">
        <v>30</v>
      </c>
      <c r="AQ12" s="53">
        <f>$D97</f>
        <v>12512</v>
      </c>
      <c r="AR12" s="53">
        <f>D$66+D$67+D$89+D$90</f>
        <v>5526</v>
      </c>
      <c r="AS12" s="53">
        <f>D$68+D$69+D$91+D$92</f>
        <v>4158</v>
      </c>
      <c r="AT12" s="53">
        <f>D$70+D$71+D$72+D$73+D$93+D$94+D$95+D$96</f>
        <v>2828</v>
      </c>
      <c r="AU12" s="51">
        <v>5529</v>
      </c>
      <c r="AV12" s="51">
        <v>4165</v>
      </c>
      <c r="AW12" s="51">
        <v>2818</v>
      </c>
    </row>
    <row r="13" spans="1:49" outlineLevel="1" x14ac:dyDescent="0.25">
      <c r="A13" s="28"/>
      <c r="B13" s="29" t="s">
        <v>31</v>
      </c>
      <c r="C13" s="30">
        <v>59415</v>
      </c>
      <c r="D13" s="30"/>
      <c r="E13" s="29"/>
      <c r="F13" s="29" t="s">
        <v>31</v>
      </c>
      <c r="G13" s="30">
        <v>9050</v>
      </c>
      <c r="H13" s="32">
        <v>10319</v>
      </c>
      <c r="I13" s="29"/>
      <c r="J13" s="29" t="s">
        <v>31</v>
      </c>
      <c r="K13" s="30">
        <v>3698</v>
      </c>
      <c r="L13" s="32">
        <v>3868</v>
      </c>
      <c r="M13" s="29"/>
      <c r="N13" s="29" t="s">
        <v>31</v>
      </c>
      <c r="O13" s="30">
        <v>10685</v>
      </c>
      <c r="P13" s="32">
        <v>12351</v>
      </c>
      <c r="Q13" s="29"/>
      <c r="R13" s="29" t="s">
        <v>31</v>
      </c>
      <c r="S13" s="30">
        <v>10806</v>
      </c>
      <c r="T13" s="32">
        <v>11860</v>
      </c>
      <c r="U13" s="29"/>
      <c r="V13" s="29" t="s">
        <v>31</v>
      </c>
      <c r="W13" s="30">
        <v>1926</v>
      </c>
      <c r="X13" s="32">
        <v>2135</v>
      </c>
      <c r="Y13" s="29"/>
      <c r="Z13" s="29" t="s">
        <v>31</v>
      </c>
      <c r="AA13" s="30">
        <v>2374</v>
      </c>
      <c r="AB13" s="32">
        <v>2796</v>
      </c>
      <c r="AC13" s="29"/>
      <c r="AD13" s="29" t="s">
        <v>31</v>
      </c>
      <c r="AE13" s="30">
        <v>1350</v>
      </c>
      <c r="AF13" s="32">
        <v>1368</v>
      </c>
      <c r="AG13" s="29"/>
      <c r="AH13" s="29" t="s">
        <v>31</v>
      </c>
      <c r="AI13" s="30">
        <v>1043</v>
      </c>
      <c r="AJ13" s="32">
        <v>1237</v>
      </c>
      <c r="AK13" s="29"/>
      <c r="AL13" s="29" t="s">
        <v>31</v>
      </c>
      <c r="AM13" s="30">
        <v>1640</v>
      </c>
      <c r="AN13" s="33">
        <v>1705</v>
      </c>
      <c r="AP13" s="52" t="s">
        <v>32</v>
      </c>
      <c r="AQ13" s="53">
        <f>$H97</f>
        <v>21037</v>
      </c>
      <c r="AR13" s="53">
        <f>H$66+H$67+H$89+H$90</f>
        <v>10396</v>
      </c>
      <c r="AS13" s="53">
        <f>H$68+H$69+H$91+H$92</f>
        <v>6692</v>
      </c>
      <c r="AT13" s="53">
        <f>H$70+H$71+H$72+H$73+H$93+H$94+H$95+H$96</f>
        <v>3949</v>
      </c>
      <c r="AU13" s="51">
        <v>10408</v>
      </c>
      <c r="AV13" s="51">
        <v>6724</v>
      </c>
      <c r="AW13" s="51">
        <v>4009</v>
      </c>
    </row>
    <row r="14" spans="1:49" outlineLevel="1" x14ac:dyDescent="0.25">
      <c r="A14" s="28"/>
      <c r="B14" s="29" t="s">
        <v>33</v>
      </c>
      <c r="C14" s="30">
        <v>63782</v>
      </c>
      <c r="D14" s="30"/>
      <c r="E14" s="29"/>
      <c r="F14" s="29" t="s">
        <v>33</v>
      </c>
      <c r="G14" s="30">
        <v>8962</v>
      </c>
      <c r="H14" s="32">
        <v>8953</v>
      </c>
      <c r="I14" s="29"/>
      <c r="J14" s="29" t="s">
        <v>33</v>
      </c>
      <c r="K14" s="30">
        <v>4024</v>
      </c>
      <c r="L14" s="32">
        <v>3697</v>
      </c>
      <c r="M14" s="29"/>
      <c r="N14" s="29" t="s">
        <v>33</v>
      </c>
      <c r="O14" s="30">
        <v>10801</v>
      </c>
      <c r="P14" s="32">
        <v>10527</v>
      </c>
      <c r="Q14" s="29"/>
      <c r="R14" s="29" t="s">
        <v>33</v>
      </c>
      <c r="S14" s="30">
        <v>10780</v>
      </c>
      <c r="T14" s="32">
        <v>10780</v>
      </c>
      <c r="U14" s="29"/>
      <c r="V14" s="29" t="s">
        <v>33</v>
      </c>
      <c r="W14" s="30">
        <v>2048</v>
      </c>
      <c r="X14" s="32">
        <v>1898</v>
      </c>
      <c r="Y14" s="29"/>
      <c r="Z14" s="29" t="s">
        <v>33</v>
      </c>
      <c r="AA14" s="30">
        <v>2620</v>
      </c>
      <c r="AB14" s="32">
        <v>2341</v>
      </c>
      <c r="AC14" s="29"/>
      <c r="AD14" s="29" t="s">
        <v>33</v>
      </c>
      <c r="AE14" s="30">
        <v>1682</v>
      </c>
      <c r="AF14" s="32">
        <v>1328</v>
      </c>
      <c r="AG14" s="29"/>
      <c r="AH14" s="29" t="s">
        <v>33</v>
      </c>
      <c r="AI14" s="30">
        <v>1082</v>
      </c>
      <c r="AJ14" s="32">
        <v>1038</v>
      </c>
      <c r="AK14" s="29"/>
      <c r="AL14" s="29" t="s">
        <v>33</v>
      </c>
      <c r="AM14" s="30">
        <v>1805</v>
      </c>
      <c r="AN14" s="33">
        <v>1619</v>
      </c>
      <c r="AP14" s="52" t="s">
        <v>34</v>
      </c>
      <c r="AQ14" s="53">
        <f>$L97</f>
        <v>20982</v>
      </c>
      <c r="AR14" s="53">
        <f>L$66+L$67+L$89+L$90</f>
        <v>9838</v>
      </c>
      <c r="AS14" s="53">
        <f>L$68+L$69+L$91+L$92</f>
        <v>6998</v>
      </c>
      <c r="AT14" s="53">
        <f>L$70+L$71+L$72+L$73+L$93+L$94+L$95+L$96</f>
        <v>4146</v>
      </c>
      <c r="AU14" s="51">
        <v>9859</v>
      </c>
      <c r="AV14" s="51">
        <v>6997</v>
      </c>
      <c r="AW14" s="51">
        <v>4120</v>
      </c>
    </row>
    <row r="15" spans="1:49" outlineLevel="1" x14ac:dyDescent="0.25">
      <c r="A15" s="28"/>
      <c r="B15" s="29" t="s">
        <v>35</v>
      </c>
      <c r="C15" s="30">
        <v>70101</v>
      </c>
      <c r="D15" s="30"/>
      <c r="E15" s="29"/>
      <c r="F15" s="29" t="s">
        <v>35</v>
      </c>
      <c r="G15" s="30">
        <v>9290</v>
      </c>
      <c r="H15" s="32">
        <v>8806</v>
      </c>
      <c r="I15" s="29"/>
      <c r="J15" s="29" t="s">
        <v>35</v>
      </c>
      <c r="K15" s="30">
        <v>4323</v>
      </c>
      <c r="L15" s="32">
        <v>3936</v>
      </c>
      <c r="M15" s="29"/>
      <c r="N15" s="29" t="s">
        <v>35</v>
      </c>
      <c r="O15" s="30">
        <v>11015</v>
      </c>
      <c r="P15" s="32">
        <v>10570</v>
      </c>
      <c r="Q15" s="29"/>
      <c r="R15" s="29" t="s">
        <v>35</v>
      </c>
      <c r="S15" s="30">
        <v>11524</v>
      </c>
      <c r="T15" s="32">
        <v>10653</v>
      </c>
      <c r="U15" s="29"/>
      <c r="V15" s="29" t="s">
        <v>35</v>
      </c>
      <c r="W15" s="30">
        <v>2324</v>
      </c>
      <c r="X15" s="32">
        <v>1977</v>
      </c>
      <c r="Y15" s="29"/>
      <c r="Z15" s="29" t="s">
        <v>35</v>
      </c>
      <c r="AA15" s="30">
        <v>2784</v>
      </c>
      <c r="AB15" s="32">
        <v>2581</v>
      </c>
      <c r="AC15" s="29"/>
      <c r="AD15" s="29" t="s">
        <v>35</v>
      </c>
      <c r="AE15" s="30">
        <v>1912</v>
      </c>
      <c r="AF15" s="32">
        <v>1658</v>
      </c>
      <c r="AG15" s="29"/>
      <c r="AH15" s="29" t="s">
        <v>35</v>
      </c>
      <c r="AI15" s="30">
        <v>1272</v>
      </c>
      <c r="AJ15" s="32">
        <v>1057</v>
      </c>
      <c r="AK15" s="29"/>
      <c r="AL15" s="29" t="s">
        <v>35</v>
      </c>
      <c r="AM15" s="30">
        <v>2187</v>
      </c>
      <c r="AN15" s="33">
        <v>1804</v>
      </c>
      <c r="AP15" s="52" t="s">
        <v>36</v>
      </c>
      <c r="AQ15" s="53">
        <f>$P97</f>
        <v>8340</v>
      </c>
      <c r="AR15" s="53">
        <f>P$66+P$67+P$89+P$90</f>
        <v>4122</v>
      </c>
      <c r="AS15" s="53">
        <f>P$68+P$69+P$91+P$92</f>
        <v>2603</v>
      </c>
      <c r="AT15" s="53">
        <f>P$70+P$71+P$72+P$73+P$93+P$94+P$95+P$96</f>
        <v>1615</v>
      </c>
      <c r="AU15" s="51">
        <v>4114</v>
      </c>
      <c r="AV15" s="51">
        <v>2603</v>
      </c>
      <c r="AW15" s="51">
        <v>1625</v>
      </c>
    </row>
    <row r="16" spans="1:49" outlineLevel="1" x14ac:dyDescent="0.25">
      <c r="A16" s="28"/>
      <c r="B16" s="29" t="s">
        <v>37</v>
      </c>
      <c r="C16" s="30">
        <v>79939</v>
      </c>
      <c r="D16" s="30"/>
      <c r="E16" s="29"/>
      <c r="F16" s="29" t="s">
        <v>37</v>
      </c>
      <c r="G16" s="30">
        <v>10696</v>
      </c>
      <c r="H16" s="32">
        <v>9054</v>
      </c>
      <c r="I16" s="29"/>
      <c r="J16" s="29" t="s">
        <v>37</v>
      </c>
      <c r="K16" s="30">
        <v>4644</v>
      </c>
      <c r="L16" s="32">
        <v>4224</v>
      </c>
      <c r="M16" s="29"/>
      <c r="N16" s="29" t="s">
        <v>37</v>
      </c>
      <c r="O16" s="30">
        <v>11852</v>
      </c>
      <c r="P16" s="32">
        <v>10664</v>
      </c>
      <c r="Q16" s="29"/>
      <c r="R16" s="29" t="s">
        <v>37</v>
      </c>
      <c r="S16" s="30">
        <v>13385</v>
      </c>
      <c r="T16" s="32">
        <v>11163</v>
      </c>
      <c r="U16" s="29"/>
      <c r="V16" s="29" t="s">
        <v>37</v>
      </c>
      <c r="W16" s="30">
        <v>2546</v>
      </c>
      <c r="X16" s="32">
        <v>2205</v>
      </c>
      <c r="Y16" s="29"/>
      <c r="Z16" s="29" t="s">
        <v>37</v>
      </c>
      <c r="AA16" s="30">
        <v>3143</v>
      </c>
      <c r="AB16" s="32">
        <v>2715</v>
      </c>
      <c r="AC16" s="29"/>
      <c r="AD16" s="29" t="s">
        <v>37</v>
      </c>
      <c r="AE16" s="30">
        <v>2182</v>
      </c>
      <c r="AF16" s="32">
        <v>1868</v>
      </c>
      <c r="AG16" s="29"/>
      <c r="AH16" s="29" t="s">
        <v>37</v>
      </c>
      <c r="AI16" s="30">
        <v>1446</v>
      </c>
      <c r="AJ16" s="32">
        <v>1226</v>
      </c>
      <c r="AK16" s="29"/>
      <c r="AL16" s="29" t="s">
        <v>37</v>
      </c>
      <c r="AM16" s="30">
        <v>2690</v>
      </c>
      <c r="AN16" s="33">
        <v>2133</v>
      </c>
      <c r="AP16" s="52" t="s">
        <v>38</v>
      </c>
      <c r="AQ16" s="53">
        <f>$T97</f>
        <v>4329</v>
      </c>
      <c r="AR16" s="53">
        <f>T$66+T$67+T$89+T$90</f>
        <v>1986</v>
      </c>
      <c r="AS16" s="53">
        <f>T$68+T$69+T$91+T$92</f>
        <v>1434</v>
      </c>
      <c r="AT16" s="53">
        <f>T$70+T$71+T$72+T$73+T$93+T$94+T$95+T$96</f>
        <v>909</v>
      </c>
      <c r="AU16" s="51">
        <v>1960</v>
      </c>
      <c r="AV16" s="51">
        <v>1398</v>
      </c>
      <c r="AW16" s="51">
        <v>868</v>
      </c>
    </row>
    <row r="17" spans="1:49" outlineLevel="1" x14ac:dyDescent="0.25">
      <c r="A17" s="28"/>
      <c r="B17" s="29" t="s">
        <v>39</v>
      </c>
      <c r="C17" s="30">
        <v>69253</v>
      </c>
      <c r="D17" s="30"/>
      <c r="E17" s="29"/>
      <c r="F17" s="29" t="s">
        <v>39</v>
      </c>
      <c r="G17" s="30">
        <v>9684</v>
      </c>
      <c r="H17" s="32">
        <v>10129</v>
      </c>
      <c r="I17" s="29"/>
      <c r="J17" s="29" t="s">
        <v>39</v>
      </c>
      <c r="K17" s="30">
        <v>4163</v>
      </c>
      <c r="L17" s="32">
        <v>4568</v>
      </c>
      <c r="M17" s="29"/>
      <c r="N17" s="29" t="s">
        <v>39</v>
      </c>
      <c r="O17" s="30">
        <v>10496</v>
      </c>
      <c r="P17" s="32">
        <v>11241</v>
      </c>
      <c r="Q17" s="29"/>
      <c r="R17" s="29" t="s">
        <v>39</v>
      </c>
      <c r="S17" s="30">
        <v>11887</v>
      </c>
      <c r="T17" s="32">
        <v>12664</v>
      </c>
      <c r="U17" s="29"/>
      <c r="V17" s="29" t="s">
        <v>39</v>
      </c>
      <c r="W17" s="30">
        <v>2080</v>
      </c>
      <c r="X17" s="32">
        <v>2410</v>
      </c>
      <c r="Y17" s="29"/>
      <c r="Z17" s="29" t="s">
        <v>39</v>
      </c>
      <c r="AA17" s="30">
        <v>2664</v>
      </c>
      <c r="AB17" s="32">
        <v>2984</v>
      </c>
      <c r="AC17" s="29"/>
      <c r="AD17" s="29" t="s">
        <v>39</v>
      </c>
      <c r="AE17" s="30">
        <v>1852</v>
      </c>
      <c r="AF17" s="32">
        <v>2061</v>
      </c>
      <c r="AG17" s="29"/>
      <c r="AH17" s="29" t="s">
        <v>39</v>
      </c>
      <c r="AI17" s="30">
        <v>1349</v>
      </c>
      <c r="AJ17" s="32">
        <v>1347</v>
      </c>
      <c r="AK17" s="29"/>
      <c r="AL17" s="29" t="s">
        <v>39</v>
      </c>
      <c r="AM17" s="30">
        <v>2171</v>
      </c>
      <c r="AN17" s="33">
        <v>2558</v>
      </c>
      <c r="AP17" s="52" t="s">
        <v>40</v>
      </c>
      <c r="AQ17" s="53">
        <f>$X97</f>
        <v>3642</v>
      </c>
      <c r="AR17" s="53">
        <f>X$66+X$67+X$89+X$90</f>
        <v>1750</v>
      </c>
      <c r="AS17" s="53">
        <f>X$68+X$69+X$91+X$92</f>
        <v>1206</v>
      </c>
      <c r="AT17" s="53">
        <f>X$70+X$71+X$72+X$73+X$93+X$94+X$95+X$96</f>
        <v>686</v>
      </c>
      <c r="AU17" s="51">
        <v>1756</v>
      </c>
      <c r="AV17" s="51">
        <v>1215</v>
      </c>
      <c r="AW17" s="51">
        <v>709</v>
      </c>
    </row>
    <row r="18" spans="1:49" outlineLevel="1" x14ac:dyDescent="0.25">
      <c r="A18" s="28"/>
      <c r="B18" s="29" t="s">
        <v>41</v>
      </c>
      <c r="C18" s="30">
        <v>54325</v>
      </c>
      <c r="D18" s="30"/>
      <c r="E18" s="29"/>
      <c r="F18" s="29" t="s">
        <v>41</v>
      </c>
      <c r="G18" s="30">
        <v>8026</v>
      </c>
      <c r="H18" s="32">
        <v>8998</v>
      </c>
      <c r="I18" s="29"/>
      <c r="J18" s="29" t="s">
        <v>41</v>
      </c>
      <c r="K18" s="30">
        <v>3338</v>
      </c>
      <c r="L18" s="32">
        <v>3414</v>
      </c>
      <c r="M18" s="29"/>
      <c r="N18" s="29" t="s">
        <v>41</v>
      </c>
      <c r="O18" s="30">
        <v>8156</v>
      </c>
      <c r="P18" s="32">
        <v>9680</v>
      </c>
      <c r="Q18" s="29"/>
      <c r="R18" s="29" t="s">
        <v>41</v>
      </c>
      <c r="S18" s="30">
        <v>9903</v>
      </c>
      <c r="T18" s="32">
        <v>10826</v>
      </c>
      <c r="U18" s="29"/>
      <c r="V18" s="29" t="s">
        <v>41</v>
      </c>
      <c r="W18" s="30">
        <v>1588</v>
      </c>
      <c r="X18" s="32">
        <v>1898</v>
      </c>
      <c r="Y18" s="29"/>
      <c r="Z18" s="29" t="s">
        <v>41</v>
      </c>
      <c r="AA18" s="30">
        <v>1936</v>
      </c>
      <c r="AB18" s="32">
        <v>2437</v>
      </c>
      <c r="AC18" s="29"/>
      <c r="AD18" s="29" t="s">
        <v>41</v>
      </c>
      <c r="AE18" s="30">
        <v>1382</v>
      </c>
      <c r="AF18" s="32">
        <v>1710</v>
      </c>
      <c r="AG18" s="29"/>
      <c r="AH18" s="29" t="s">
        <v>41</v>
      </c>
      <c r="AI18" s="30">
        <v>959</v>
      </c>
      <c r="AJ18" s="32">
        <v>1235</v>
      </c>
      <c r="AK18" s="29"/>
      <c r="AL18" s="29" t="s">
        <v>41</v>
      </c>
      <c r="AM18" s="30">
        <v>1565</v>
      </c>
      <c r="AN18" s="33">
        <v>2001</v>
      </c>
      <c r="AP18" s="52" t="s">
        <v>42</v>
      </c>
      <c r="AQ18" s="53">
        <f>$AB97</f>
        <v>5257</v>
      </c>
      <c r="AR18" s="53">
        <f>AB$66+AB$67+AB$89+AB$90</f>
        <v>2469</v>
      </c>
      <c r="AS18" s="53">
        <f>AB$68+AB$69+AB$91+AB$92</f>
        <v>1690</v>
      </c>
      <c r="AT18" s="53">
        <f>AB$70+AB$71+AB$72+AB$73+AB$93+AB$94+AB$95+AB$96</f>
        <v>1098</v>
      </c>
      <c r="AU18" s="51">
        <v>2456</v>
      </c>
      <c r="AV18" s="51">
        <v>1668</v>
      </c>
      <c r="AW18" s="51">
        <v>1078</v>
      </c>
    </row>
    <row r="19" spans="1:49" outlineLevel="1" x14ac:dyDescent="0.25">
      <c r="A19" s="28"/>
      <c r="B19" s="29" t="s">
        <v>43</v>
      </c>
      <c r="C19" s="30">
        <v>42985</v>
      </c>
      <c r="D19" s="30"/>
      <c r="E19" s="29"/>
      <c r="F19" s="29" t="s">
        <v>43</v>
      </c>
      <c r="G19" s="30">
        <v>6098</v>
      </c>
      <c r="H19" s="32">
        <v>7051</v>
      </c>
      <c r="I19" s="29"/>
      <c r="J19" s="29" t="s">
        <v>43</v>
      </c>
      <c r="K19" s="30">
        <v>2623</v>
      </c>
      <c r="L19" s="32">
        <v>2685</v>
      </c>
      <c r="M19" s="29"/>
      <c r="N19" s="29" t="s">
        <v>43</v>
      </c>
      <c r="O19" s="30">
        <v>5954</v>
      </c>
      <c r="P19" s="32">
        <v>7071</v>
      </c>
      <c r="Q19" s="29"/>
      <c r="R19" s="29" t="s">
        <v>43</v>
      </c>
      <c r="S19" s="30">
        <v>7241</v>
      </c>
      <c r="T19" s="32">
        <v>8435</v>
      </c>
      <c r="U19" s="29"/>
      <c r="V19" s="29" t="s">
        <v>43</v>
      </c>
      <c r="W19" s="30">
        <v>1253</v>
      </c>
      <c r="X19" s="32">
        <v>1389</v>
      </c>
      <c r="Y19" s="29"/>
      <c r="Z19" s="29" t="s">
        <v>43</v>
      </c>
      <c r="AA19" s="30">
        <v>1441</v>
      </c>
      <c r="AB19" s="32">
        <v>1678</v>
      </c>
      <c r="AC19" s="29"/>
      <c r="AD19" s="29" t="s">
        <v>43</v>
      </c>
      <c r="AE19" s="30">
        <v>1329</v>
      </c>
      <c r="AF19" s="32">
        <v>1182</v>
      </c>
      <c r="AG19" s="29"/>
      <c r="AH19" s="29" t="s">
        <v>43</v>
      </c>
      <c r="AI19" s="30">
        <v>802</v>
      </c>
      <c r="AJ19" s="32">
        <v>826</v>
      </c>
      <c r="AK19" s="29"/>
      <c r="AL19" s="29" t="s">
        <v>43</v>
      </c>
      <c r="AM19" s="30">
        <v>1329</v>
      </c>
      <c r="AN19" s="33">
        <v>1342</v>
      </c>
      <c r="AP19" s="52" t="s">
        <v>44</v>
      </c>
      <c r="AQ19" s="53">
        <f>$AF97</f>
        <v>2323</v>
      </c>
      <c r="AR19" s="53">
        <f>AF$66+AF$67+AF$89+AF$90</f>
        <v>1248</v>
      </c>
      <c r="AS19" s="53">
        <f>AF$68+AF$69+AF$91+AF$92</f>
        <v>622</v>
      </c>
      <c r="AT19" s="53">
        <f>AF$70+AF$71+AF$72+AF$73+AF$93+AF$94+AF$95+AF$96</f>
        <v>453</v>
      </c>
      <c r="AU19" s="51">
        <v>1248</v>
      </c>
      <c r="AV19" s="51">
        <v>634</v>
      </c>
      <c r="AW19" s="51">
        <v>446</v>
      </c>
    </row>
    <row r="20" spans="1:49" outlineLevel="1" x14ac:dyDescent="0.25">
      <c r="A20" s="28"/>
      <c r="B20" s="29" t="s">
        <v>45</v>
      </c>
      <c r="C20" s="30">
        <v>34061</v>
      </c>
      <c r="D20" s="30"/>
      <c r="E20" s="29"/>
      <c r="F20" s="29" t="s">
        <v>45</v>
      </c>
      <c r="G20" s="30">
        <v>4774</v>
      </c>
      <c r="H20" s="32">
        <v>4846</v>
      </c>
      <c r="I20" s="29"/>
      <c r="J20" s="29" t="s">
        <v>45</v>
      </c>
      <c r="K20" s="30">
        <v>1980</v>
      </c>
      <c r="L20" s="32">
        <v>1937</v>
      </c>
      <c r="M20" s="29"/>
      <c r="N20" s="29" t="s">
        <v>45</v>
      </c>
      <c r="O20" s="30">
        <v>4343</v>
      </c>
      <c r="P20" s="32">
        <v>4610</v>
      </c>
      <c r="Q20" s="29"/>
      <c r="R20" s="29" t="s">
        <v>45</v>
      </c>
      <c r="S20" s="30">
        <v>5444</v>
      </c>
      <c r="T20" s="32">
        <v>5494</v>
      </c>
      <c r="U20" s="29"/>
      <c r="V20" s="29" t="s">
        <v>45</v>
      </c>
      <c r="W20" s="30">
        <v>1012</v>
      </c>
      <c r="X20" s="32">
        <v>1003</v>
      </c>
      <c r="Y20" s="29"/>
      <c r="Z20" s="29" t="s">
        <v>45</v>
      </c>
      <c r="AA20" s="30">
        <v>1128</v>
      </c>
      <c r="AB20" s="32">
        <v>1134</v>
      </c>
      <c r="AC20" s="29"/>
      <c r="AD20" s="29" t="s">
        <v>45</v>
      </c>
      <c r="AE20" s="30">
        <v>1070</v>
      </c>
      <c r="AF20" s="32">
        <v>1015</v>
      </c>
      <c r="AG20" s="29"/>
      <c r="AH20" s="29" t="s">
        <v>45</v>
      </c>
      <c r="AI20" s="30">
        <v>656</v>
      </c>
      <c r="AJ20" s="32">
        <v>617</v>
      </c>
      <c r="AK20" s="29"/>
      <c r="AL20" s="29" t="s">
        <v>45</v>
      </c>
      <c r="AM20" s="30">
        <v>1141</v>
      </c>
      <c r="AN20" s="33">
        <v>1046</v>
      </c>
      <c r="AP20" s="52" t="s">
        <v>46</v>
      </c>
      <c r="AQ20" s="53">
        <f>$AJ97</f>
        <v>3445</v>
      </c>
      <c r="AR20" s="53">
        <f>AJ$66+AJ$67+AJ$89+AJ$90</f>
        <v>1776</v>
      </c>
      <c r="AS20" s="53">
        <f>AJ$68+AJ$69+AJ$91+AJ$92</f>
        <v>1081</v>
      </c>
      <c r="AT20" s="53">
        <f>AJ$70+AJ$71+AJ$72+AJ$73+AJ$93+AJ$94+AJ$95+AJ$96</f>
        <v>588</v>
      </c>
      <c r="AU20" s="51">
        <v>1782</v>
      </c>
      <c r="AV20" s="51">
        <v>1079</v>
      </c>
      <c r="AW20" s="51">
        <v>582</v>
      </c>
    </row>
    <row r="21" spans="1:49" outlineLevel="1" x14ac:dyDescent="0.25">
      <c r="A21" s="28"/>
      <c r="B21" s="29" t="s">
        <v>47</v>
      </c>
      <c r="C21" s="30">
        <v>19539</v>
      </c>
      <c r="D21" s="30"/>
      <c r="E21" s="29"/>
      <c r="F21" s="29" t="s">
        <v>47</v>
      </c>
      <c r="G21" s="30">
        <v>2696</v>
      </c>
      <c r="H21" s="32">
        <v>3029</v>
      </c>
      <c r="I21" s="29"/>
      <c r="J21" s="29" t="s">
        <v>47</v>
      </c>
      <c r="K21" s="30">
        <v>1149</v>
      </c>
      <c r="L21" s="32">
        <v>1082</v>
      </c>
      <c r="M21" s="29"/>
      <c r="N21" s="29" t="s">
        <v>47</v>
      </c>
      <c r="O21" s="30">
        <v>2480</v>
      </c>
      <c r="P21" s="32">
        <v>2783</v>
      </c>
      <c r="Q21" s="29"/>
      <c r="R21" s="29" t="s">
        <v>47</v>
      </c>
      <c r="S21" s="30">
        <v>3006</v>
      </c>
      <c r="T21" s="32">
        <v>3325</v>
      </c>
      <c r="U21" s="29"/>
      <c r="V21" s="29" t="s">
        <v>47</v>
      </c>
      <c r="W21" s="30">
        <v>572</v>
      </c>
      <c r="X21" s="32">
        <v>643</v>
      </c>
      <c r="Y21" s="29"/>
      <c r="Z21" s="29" t="s">
        <v>47</v>
      </c>
      <c r="AA21" s="30">
        <v>645</v>
      </c>
      <c r="AB21" s="32">
        <v>717</v>
      </c>
      <c r="AC21" s="29"/>
      <c r="AD21" s="29" t="s">
        <v>47</v>
      </c>
      <c r="AE21" s="30">
        <v>631</v>
      </c>
      <c r="AF21" s="32">
        <v>675</v>
      </c>
      <c r="AG21" s="29"/>
      <c r="AH21" s="29" t="s">
        <v>47</v>
      </c>
      <c r="AI21" s="30">
        <v>354</v>
      </c>
      <c r="AJ21" s="32">
        <v>391</v>
      </c>
      <c r="AK21" s="29"/>
      <c r="AL21" s="29" t="s">
        <v>47</v>
      </c>
      <c r="AM21" s="30">
        <v>654</v>
      </c>
      <c r="AN21" s="33">
        <v>713</v>
      </c>
      <c r="AP21" s="52" t="s">
        <v>48</v>
      </c>
      <c r="AQ21" s="53">
        <f>$AN97</f>
        <v>1947</v>
      </c>
      <c r="AR21" s="53">
        <f>AN$66+AN$67+AN$89+AN$90</f>
        <v>985</v>
      </c>
      <c r="AS21" s="53">
        <f>AN$68+AN$69+AN$91+AN$92</f>
        <v>552</v>
      </c>
      <c r="AT21" s="53">
        <f>AN$70+AN$71+AN$72+AN$73+AN$93+AN$94+AN$95+AN$96</f>
        <v>410</v>
      </c>
      <c r="AU21" s="51">
        <v>973</v>
      </c>
      <c r="AV21" s="51">
        <v>541</v>
      </c>
      <c r="AW21" s="51">
        <v>396</v>
      </c>
    </row>
    <row r="22" spans="1:49" outlineLevel="1" x14ac:dyDescent="0.25">
      <c r="A22" s="28"/>
      <c r="B22" s="29" t="s">
        <v>49</v>
      </c>
      <c r="C22" s="30">
        <v>6027</v>
      </c>
      <c r="D22" s="30"/>
      <c r="E22" s="29"/>
      <c r="F22" s="29" t="s">
        <v>49</v>
      </c>
      <c r="G22" s="30">
        <v>828</v>
      </c>
      <c r="H22" s="32">
        <v>1271</v>
      </c>
      <c r="I22" s="29"/>
      <c r="J22" s="29" t="s">
        <v>49</v>
      </c>
      <c r="K22" s="30">
        <v>371</v>
      </c>
      <c r="L22" s="32">
        <v>404</v>
      </c>
      <c r="M22" s="29"/>
      <c r="N22" s="29" t="s">
        <v>49</v>
      </c>
      <c r="O22" s="30">
        <v>714</v>
      </c>
      <c r="P22" s="32">
        <v>1081</v>
      </c>
      <c r="Q22" s="29"/>
      <c r="R22" s="29" t="s">
        <v>49</v>
      </c>
      <c r="S22" s="30">
        <v>904</v>
      </c>
      <c r="T22" s="32">
        <v>1230</v>
      </c>
      <c r="U22" s="29"/>
      <c r="V22" s="29" t="s">
        <v>49</v>
      </c>
      <c r="W22" s="30">
        <v>161</v>
      </c>
      <c r="X22" s="32">
        <v>261</v>
      </c>
      <c r="Y22" s="29"/>
      <c r="Z22" s="29" t="s">
        <v>49</v>
      </c>
      <c r="AA22" s="30">
        <v>184</v>
      </c>
      <c r="AB22" s="32">
        <v>284</v>
      </c>
      <c r="AC22" s="29"/>
      <c r="AD22" s="29" t="s">
        <v>49</v>
      </c>
      <c r="AE22" s="30">
        <v>223</v>
      </c>
      <c r="AF22" s="32">
        <v>266</v>
      </c>
      <c r="AG22" s="29"/>
      <c r="AH22" s="29" t="s">
        <v>49</v>
      </c>
      <c r="AI22" s="30">
        <v>102</v>
      </c>
      <c r="AJ22" s="32">
        <v>157</v>
      </c>
      <c r="AK22" s="29"/>
      <c r="AL22" s="29" t="s">
        <v>49</v>
      </c>
      <c r="AM22" s="30">
        <v>200</v>
      </c>
      <c r="AN22" s="33">
        <v>291</v>
      </c>
      <c r="AP22" s="52" t="s">
        <v>50</v>
      </c>
      <c r="AQ22" s="53">
        <f>$D146</f>
        <v>2404</v>
      </c>
      <c r="AR22" s="53">
        <f>D$115+D$116+D$138+D$139</f>
        <v>966</v>
      </c>
      <c r="AS22" s="53">
        <f>D$117+D$118+D$140+D$141</f>
        <v>822</v>
      </c>
      <c r="AT22" s="53">
        <f>D$119+D$120+D$121+D$122+D$142+D$143+D$144+D$145</f>
        <v>616</v>
      </c>
      <c r="AU22" s="51">
        <v>968</v>
      </c>
      <c r="AV22" s="51">
        <v>822</v>
      </c>
      <c r="AW22" s="51">
        <v>589</v>
      </c>
    </row>
    <row r="23" spans="1:49" outlineLevel="1" x14ac:dyDescent="0.25">
      <c r="A23" s="28"/>
      <c r="B23" s="29" t="s">
        <v>51</v>
      </c>
      <c r="C23" s="30">
        <v>1130</v>
      </c>
      <c r="D23" s="30"/>
      <c r="E23" s="29"/>
      <c r="F23" s="29" t="s">
        <v>51</v>
      </c>
      <c r="G23" s="30">
        <v>142</v>
      </c>
      <c r="H23" s="32">
        <v>230</v>
      </c>
      <c r="I23" s="29"/>
      <c r="J23" s="29" t="s">
        <v>51</v>
      </c>
      <c r="K23" s="30">
        <v>59</v>
      </c>
      <c r="L23" s="32">
        <v>53</v>
      </c>
      <c r="M23" s="29"/>
      <c r="N23" s="29" t="s">
        <v>51</v>
      </c>
      <c r="O23" s="30">
        <v>136</v>
      </c>
      <c r="P23" s="32">
        <v>206</v>
      </c>
      <c r="Q23" s="29"/>
      <c r="R23" s="29" t="s">
        <v>51</v>
      </c>
      <c r="S23" s="30">
        <v>168</v>
      </c>
      <c r="T23" s="32">
        <v>206</v>
      </c>
      <c r="U23" s="29"/>
      <c r="V23" s="29" t="s">
        <v>51</v>
      </c>
      <c r="W23" s="30">
        <v>28</v>
      </c>
      <c r="X23" s="32">
        <v>42</v>
      </c>
      <c r="Y23" s="29"/>
      <c r="Z23" s="29" t="s">
        <v>51</v>
      </c>
      <c r="AA23" s="30">
        <v>26</v>
      </c>
      <c r="AB23" s="32">
        <v>42</v>
      </c>
      <c r="AC23" s="29"/>
      <c r="AD23" s="29" t="s">
        <v>51</v>
      </c>
      <c r="AE23" s="30">
        <v>45</v>
      </c>
      <c r="AF23" s="32">
        <v>68</v>
      </c>
      <c r="AG23" s="29"/>
      <c r="AH23" s="29" t="s">
        <v>51</v>
      </c>
      <c r="AI23" s="30">
        <v>19</v>
      </c>
      <c r="AJ23" s="32">
        <v>25</v>
      </c>
      <c r="AK23" s="29"/>
      <c r="AL23" s="29" t="s">
        <v>51</v>
      </c>
      <c r="AM23" s="30">
        <v>31</v>
      </c>
      <c r="AN23" s="33">
        <v>49</v>
      </c>
      <c r="AP23" s="52" t="s">
        <v>52</v>
      </c>
      <c r="AQ23" s="53">
        <f>$H146</f>
        <v>195</v>
      </c>
      <c r="AR23" s="53">
        <f>H$115+H$116+H$138+H$139</f>
        <v>63</v>
      </c>
      <c r="AS23" s="53">
        <f>H$117+H$118+H$140+H$141</f>
        <v>80</v>
      </c>
      <c r="AT23" s="53">
        <f>H$119+H$120+H$121+H$122+H$142+H$143+H$144+H$145</f>
        <v>52</v>
      </c>
      <c r="AU23" s="51">
        <v>63</v>
      </c>
      <c r="AV23" s="51">
        <v>80</v>
      </c>
      <c r="AW23" s="51">
        <v>61</v>
      </c>
    </row>
    <row r="24" spans="1:49" outlineLevel="1" x14ac:dyDescent="0.25">
      <c r="A24" s="28"/>
      <c r="B24" s="29" t="s">
        <v>53</v>
      </c>
      <c r="C24" s="30">
        <v>118</v>
      </c>
      <c r="D24" s="30"/>
      <c r="E24" s="29"/>
      <c r="F24" s="29" t="s">
        <v>53</v>
      </c>
      <c r="G24" s="30">
        <v>15</v>
      </c>
      <c r="H24" s="32">
        <v>20</v>
      </c>
      <c r="I24" s="29"/>
      <c r="J24" s="29" t="s">
        <v>53</v>
      </c>
      <c r="K24" s="30">
        <v>9</v>
      </c>
      <c r="L24" s="32">
        <v>4</v>
      </c>
      <c r="M24" s="29"/>
      <c r="N24" s="29" t="s">
        <v>53</v>
      </c>
      <c r="O24" s="30">
        <v>14</v>
      </c>
      <c r="P24" s="32">
        <v>18</v>
      </c>
      <c r="Q24" s="29"/>
      <c r="R24" s="29" t="s">
        <v>53</v>
      </c>
      <c r="S24" s="30">
        <v>22</v>
      </c>
      <c r="T24" s="32">
        <v>24</v>
      </c>
      <c r="U24" s="29"/>
      <c r="V24" s="29" t="s">
        <v>53</v>
      </c>
      <c r="W24" s="30">
        <v>0</v>
      </c>
      <c r="X24" s="32">
        <v>3</v>
      </c>
      <c r="Y24" s="29"/>
      <c r="Z24" s="29" t="s">
        <v>53</v>
      </c>
      <c r="AA24" s="30">
        <v>3</v>
      </c>
      <c r="AB24" s="32">
        <v>2</v>
      </c>
      <c r="AC24" s="29"/>
      <c r="AD24" s="29" t="s">
        <v>53</v>
      </c>
      <c r="AE24" s="30">
        <v>2</v>
      </c>
      <c r="AF24" s="32">
        <v>5</v>
      </c>
      <c r="AG24" s="29"/>
      <c r="AH24" s="29" t="s">
        <v>53</v>
      </c>
      <c r="AI24" s="30">
        <v>2</v>
      </c>
      <c r="AJ24" s="32">
        <v>5</v>
      </c>
      <c r="AK24" s="29"/>
      <c r="AL24" s="29" t="s">
        <v>53</v>
      </c>
      <c r="AM24" s="30">
        <v>3</v>
      </c>
      <c r="AN24" s="33">
        <v>7</v>
      </c>
      <c r="AP24" s="52" t="s">
        <v>54</v>
      </c>
      <c r="AQ24" s="53">
        <f>$L146</f>
        <v>1968</v>
      </c>
      <c r="AR24" s="53">
        <f>L$115+L$116+L$138+L$139</f>
        <v>731</v>
      </c>
      <c r="AS24" s="53">
        <f>L$117+L$118+L$140+L$141</f>
        <v>695</v>
      </c>
      <c r="AT24" s="53">
        <f>L$119+L$120+L$121+L$122+L$142+L$143+L$144+L$145</f>
        <v>542</v>
      </c>
      <c r="AU24" s="51">
        <v>733</v>
      </c>
      <c r="AV24" s="51">
        <v>695</v>
      </c>
      <c r="AW24" s="51">
        <v>552</v>
      </c>
    </row>
    <row r="25" spans="1:49" outlineLevel="1" x14ac:dyDescent="0.25">
      <c r="A25" s="28"/>
      <c r="B25" s="29"/>
      <c r="C25" s="30" t="s">
        <v>55</v>
      </c>
      <c r="D25" s="30" t="s">
        <v>55</v>
      </c>
      <c r="E25" s="29"/>
      <c r="F25" s="29"/>
      <c r="G25" s="30" t="s">
        <v>55</v>
      </c>
      <c r="H25" s="30" t="s">
        <v>55</v>
      </c>
      <c r="I25" s="29"/>
      <c r="J25" s="29"/>
      <c r="K25" s="30" t="s">
        <v>55</v>
      </c>
      <c r="L25" s="30" t="s">
        <v>55</v>
      </c>
      <c r="M25" s="29"/>
      <c r="N25" s="29"/>
      <c r="O25" s="30" t="s">
        <v>55</v>
      </c>
      <c r="P25" s="30" t="s">
        <v>55</v>
      </c>
      <c r="Q25" s="29"/>
      <c r="R25" s="29"/>
      <c r="S25" s="30" t="s">
        <v>55</v>
      </c>
      <c r="T25" s="30" t="s">
        <v>55</v>
      </c>
      <c r="U25" s="29"/>
      <c r="V25" s="29"/>
      <c r="W25" s="30" t="s">
        <v>55</v>
      </c>
      <c r="X25" s="30" t="s">
        <v>55</v>
      </c>
      <c r="Y25" s="29"/>
      <c r="Z25" s="29"/>
      <c r="AA25" s="30" t="s">
        <v>55</v>
      </c>
      <c r="AB25" s="30" t="s">
        <v>55</v>
      </c>
      <c r="AC25" s="29"/>
      <c r="AD25" s="29"/>
      <c r="AE25" s="30" t="s">
        <v>55</v>
      </c>
      <c r="AF25" s="30" t="s">
        <v>55</v>
      </c>
      <c r="AG25" s="29"/>
      <c r="AH25" s="29"/>
      <c r="AI25" s="30" t="s">
        <v>55</v>
      </c>
      <c r="AJ25" s="30" t="s">
        <v>55</v>
      </c>
      <c r="AK25" s="29"/>
      <c r="AL25" s="29"/>
      <c r="AM25" s="30" t="s">
        <v>55</v>
      </c>
      <c r="AN25" s="31" t="s">
        <v>55</v>
      </c>
      <c r="AP25" s="52" t="s">
        <v>56</v>
      </c>
      <c r="AQ25" s="53">
        <f>$P146</f>
        <v>6224</v>
      </c>
      <c r="AR25" s="53">
        <f>P$115+P$116+P$138+P$139</f>
        <v>2550</v>
      </c>
      <c r="AS25" s="53">
        <f>P$117+P$118+P$140+P$141</f>
        <v>2166</v>
      </c>
      <c r="AT25" s="53">
        <f>P$119+P$120+P$121+P$122+P$142+P$143+P$144+P$145</f>
        <v>1508</v>
      </c>
      <c r="AU25" s="51">
        <v>2540</v>
      </c>
      <c r="AV25" s="51">
        <v>2171</v>
      </c>
      <c r="AW25" s="51">
        <v>1534</v>
      </c>
    </row>
    <row r="26" spans="1:49" outlineLevel="1" x14ac:dyDescent="0.25">
      <c r="A26" s="28"/>
      <c r="B26" s="29" t="s">
        <v>18</v>
      </c>
      <c r="C26" s="30">
        <v>1004509</v>
      </c>
      <c r="D26" s="30"/>
      <c r="E26" s="30"/>
      <c r="F26" s="29" t="s">
        <v>18</v>
      </c>
      <c r="G26" s="30">
        <v>146184</v>
      </c>
      <c r="H26" s="32">
        <v>142276</v>
      </c>
      <c r="I26" s="30"/>
      <c r="J26" s="29" t="s">
        <v>18</v>
      </c>
      <c r="K26" s="30">
        <v>64826</v>
      </c>
      <c r="L26" s="32">
        <v>61845</v>
      </c>
      <c r="M26" s="30"/>
      <c r="N26" s="29" t="s">
        <v>18</v>
      </c>
      <c r="O26" s="30">
        <v>166282</v>
      </c>
      <c r="P26" s="32">
        <v>164446</v>
      </c>
      <c r="Q26" s="30"/>
      <c r="R26" s="29" t="s">
        <v>18</v>
      </c>
      <c r="S26" s="30">
        <v>170330</v>
      </c>
      <c r="T26" s="32">
        <v>163394</v>
      </c>
      <c r="U26" s="30"/>
      <c r="V26" s="29" t="s">
        <v>18</v>
      </c>
      <c r="W26" s="30">
        <v>31885</v>
      </c>
      <c r="X26" s="32">
        <v>30481</v>
      </c>
      <c r="Y26" s="30"/>
      <c r="Z26" s="29" t="s">
        <v>18</v>
      </c>
      <c r="AA26" s="30">
        <v>39782</v>
      </c>
      <c r="AB26" s="32">
        <v>38758</v>
      </c>
      <c r="AC26" s="30"/>
      <c r="AD26" s="29" t="s">
        <v>18</v>
      </c>
      <c r="AE26" s="30">
        <v>26608</v>
      </c>
      <c r="AF26" s="32">
        <v>24593</v>
      </c>
      <c r="AG26" s="30"/>
      <c r="AH26" s="29" t="s">
        <v>18</v>
      </c>
      <c r="AI26" s="30">
        <v>18283</v>
      </c>
      <c r="AJ26" s="32">
        <v>17511</v>
      </c>
      <c r="AK26" s="30"/>
      <c r="AL26" s="29" t="s">
        <v>18</v>
      </c>
      <c r="AM26" s="30">
        <v>29360</v>
      </c>
      <c r="AN26" s="33">
        <v>27492</v>
      </c>
      <c r="AP26" s="52" t="s">
        <v>57</v>
      </c>
      <c r="AQ26" s="53">
        <f>$T146</f>
        <v>978</v>
      </c>
      <c r="AR26" s="53">
        <f>T$115+T$116+T$138+T$139</f>
        <v>503</v>
      </c>
      <c r="AS26" s="53">
        <f>T$117+T$118+T$140+T$141</f>
        <v>282</v>
      </c>
      <c r="AT26" s="53">
        <f>T$119+T$120+T$121+T$122+T$142+T$143+T$144+T$145</f>
        <v>193</v>
      </c>
      <c r="AU26" s="51">
        <v>504</v>
      </c>
      <c r="AV26" s="51">
        <v>283</v>
      </c>
      <c r="AW26" s="51">
        <v>206</v>
      </c>
    </row>
    <row r="27" spans="1:49" outlineLevel="1" x14ac:dyDescent="0.25">
      <c r="A27" s="28"/>
      <c r="B27" s="29" t="s">
        <v>20</v>
      </c>
      <c r="C27" s="30">
        <v>34854</v>
      </c>
      <c r="D27" s="30"/>
      <c r="E27" s="30"/>
      <c r="F27" s="29" t="s">
        <v>20</v>
      </c>
      <c r="G27" s="30">
        <v>5061</v>
      </c>
      <c r="H27" s="32">
        <v>4796</v>
      </c>
      <c r="I27" s="30"/>
      <c r="J27" s="29" t="s">
        <v>20</v>
      </c>
      <c r="K27" s="30">
        <v>2342</v>
      </c>
      <c r="L27" s="32">
        <v>2574</v>
      </c>
      <c r="M27" s="30"/>
      <c r="N27" s="29" t="s">
        <v>20</v>
      </c>
      <c r="O27" s="30">
        <v>6364</v>
      </c>
      <c r="P27" s="32">
        <v>6282</v>
      </c>
      <c r="Q27" s="30"/>
      <c r="R27" s="29" t="s">
        <v>20</v>
      </c>
      <c r="S27" s="30">
        <v>5973</v>
      </c>
      <c r="T27" s="32">
        <v>5593</v>
      </c>
      <c r="U27" s="30"/>
      <c r="V27" s="29" t="s">
        <v>20</v>
      </c>
      <c r="W27" s="30">
        <v>1241</v>
      </c>
      <c r="X27" s="32">
        <v>1094</v>
      </c>
      <c r="Y27" s="30"/>
      <c r="Z27" s="29" t="s">
        <v>20</v>
      </c>
      <c r="AA27" s="30">
        <v>1511</v>
      </c>
      <c r="AB27" s="32">
        <v>1459</v>
      </c>
      <c r="AC27" s="30"/>
      <c r="AD27" s="29" t="s">
        <v>20</v>
      </c>
      <c r="AE27" s="30">
        <v>912</v>
      </c>
      <c r="AF27" s="32">
        <v>762</v>
      </c>
      <c r="AG27" s="30"/>
      <c r="AH27" s="29" t="s">
        <v>20</v>
      </c>
      <c r="AI27" s="30">
        <v>680</v>
      </c>
      <c r="AJ27" s="32">
        <v>601</v>
      </c>
      <c r="AK27" s="30"/>
      <c r="AL27" s="29" t="s">
        <v>20</v>
      </c>
      <c r="AM27" s="30">
        <v>916</v>
      </c>
      <c r="AN27" s="33">
        <v>859</v>
      </c>
      <c r="AP27" s="52" t="s">
        <v>58</v>
      </c>
      <c r="AQ27" s="53">
        <f>$X146</f>
        <v>2831</v>
      </c>
      <c r="AR27" s="53">
        <f>X$115+X$116+X$138+X$139</f>
        <v>1110</v>
      </c>
      <c r="AS27" s="53">
        <f>X$117+X$118+X$140+X$141</f>
        <v>949</v>
      </c>
      <c r="AT27" s="53">
        <f>X$119+X$120+X$121+X$122+X$142+X$143+X$144+X$145</f>
        <v>772</v>
      </c>
      <c r="AU27" s="51">
        <v>1114</v>
      </c>
      <c r="AV27" s="51">
        <v>959</v>
      </c>
      <c r="AW27" s="51">
        <v>789</v>
      </c>
    </row>
    <row r="28" spans="1:49" outlineLevel="1" x14ac:dyDescent="0.25">
      <c r="A28" s="28"/>
      <c r="B28" s="29" t="s">
        <v>22</v>
      </c>
      <c r="C28" s="30">
        <v>38938</v>
      </c>
      <c r="D28" s="30"/>
      <c r="E28" s="30"/>
      <c r="F28" s="29" t="s">
        <v>22</v>
      </c>
      <c r="G28" s="30">
        <v>5500</v>
      </c>
      <c r="H28" s="32">
        <v>5148</v>
      </c>
      <c r="I28" s="30"/>
      <c r="J28" s="29" t="s">
        <v>22</v>
      </c>
      <c r="K28" s="30">
        <v>2561</v>
      </c>
      <c r="L28" s="32">
        <v>2308</v>
      </c>
      <c r="M28" s="30"/>
      <c r="N28" s="29" t="s">
        <v>22</v>
      </c>
      <c r="O28" s="30">
        <v>6780</v>
      </c>
      <c r="P28" s="32">
        <v>6421</v>
      </c>
      <c r="Q28" s="30"/>
      <c r="R28" s="29" t="s">
        <v>22</v>
      </c>
      <c r="S28" s="30">
        <v>6660</v>
      </c>
      <c r="T28" s="32">
        <v>6075</v>
      </c>
      <c r="U28" s="30"/>
      <c r="V28" s="29" t="s">
        <v>22</v>
      </c>
      <c r="W28" s="30">
        <v>1296</v>
      </c>
      <c r="X28" s="32">
        <v>1216</v>
      </c>
      <c r="Y28" s="30"/>
      <c r="Z28" s="29" t="s">
        <v>22</v>
      </c>
      <c r="AA28" s="30">
        <v>1783</v>
      </c>
      <c r="AB28" s="32">
        <v>1585</v>
      </c>
      <c r="AC28" s="30"/>
      <c r="AD28" s="29" t="s">
        <v>22</v>
      </c>
      <c r="AE28" s="30">
        <v>902</v>
      </c>
      <c r="AF28" s="32">
        <v>912</v>
      </c>
      <c r="AG28" s="30"/>
      <c r="AH28" s="29" t="s">
        <v>22</v>
      </c>
      <c r="AI28" s="30">
        <v>751</v>
      </c>
      <c r="AJ28" s="32">
        <v>699</v>
      </c>
      <c r="AK28" s="30"/>
      <c r="AL28" s="29" t="s">
        <v>22</v>
      </c>
      <c r="AM28" s="30">
        <v>1095</v>
      </c>
      <c r="AN28" s="33">
        <v>946</v>
      </c>
      <c r="AP28" s="52" t="s">
        <v>59</v>
      </c>
      <c r="AQ28" s="53">
        <f>$AB146</f>
        <v>1213</v>
      </c>
      <c r="AR28" s="53">
        <f>AB$115+AB$116+AB$138+AB$139</f>
        <v>560</v>
      </c>
      <c r="AS28" s="53">
        <f>AB$117+AB$118+AB$140+AB$141</f>
        <v>378</v>
      </c>
      <c r="AT28" s="53">
        <f>AB$119+AB$120+AB$121+AB$122+AB$142+AB$143+AB$144+AB$145</f>
        <v>275</v>
      </c>
      <c r="AU28" s="51">
        <v>563</v>
      </c>
      <c r="AV28" s="51">
        <v>382</v>
      </c>
      <c r="AW28" s="51">
        <v>297</v>
      </c>
    </row>
    <row r="29" spans="1:49" outlineLevel="1" x14ac:dyDescent="0.25">
      <c r="A29" s="28"/>
      <c r="B29" s="29" t="s">
        <v>23</v>
      </c>
      <c r="C29" s="30">
        <v>44791</v>
      </c>
      <c r="D29" s="30"/>
      <c r="E29" s="30"/>
      <c r="F29" s="29" t="s">
        <v>23</v>
      </c>
      <c r="G29" s="30">
        <v>6473</v>
      </c>
      <c r="H29" s="32">
        <v>5614</v>
      </c>
      <c r="I29" s="30"/>
      <c r="J29" s="29" t="s">
        <v>23</v>
      </c>
      <c r="K29" s="30">
        <v>2957</v>
      </c>
      <c r="L29" s="32">
        <v>2652</v>
      </c>
      <c r="M29" s="30"/>
      <c r="N29" s="29" t="s">
        <v>23</v>
      </c>
      <c r="O29" s="30">
        <v>7754</v>
      </c>
      <c r="P29" s="32">
        <v>6920</v>
      </c>
      <c r="Q29" s="30"/>
      <c r="R29" s="29" t="s">
        <v>23</v>
      </c>
      <c r="S29" s="30">
        <v>7660</v>
      </c>
      <c r="T29" s="32">
        <v>6684</v>
      </c>
      <c r="U29" s="30"/>
      <c r="V29" s="29" t="s">
        <v>23</v>
      </c>
      <c r="W29" s="30">
        <v>1511</v>
      </c>
      <c r="X29" s="32">
        <v>1301</v>
      </c>
      <c r="Y29" s="30"/>
      <c r="Z29" s="29" t="s">
        <v>23</v>
      </c>
      <c r="AA29" s="30">
        <v>1913</v>
      </c>
      <c r="AB29" s="32">
        <v>1786</v>
      </c>
      <c r="AC29" s="30"/>
      <c r="AD29" s="29" t="s">
        <v>23</v>
      </c>
      <c r="AE29" s="30">
        <v>1168</v>
      </c>
      <c r="AF29" s="32">
        <v>908</v>
      </c>
      <c r="AG29" s="30"/>
      <c r="AH29" s="29" t="s">
        <v>23</v>
      </c>
      <c r="AI29" s="30">
        <v>835</v>
      </c>
      <c r="AJ29" s="32">
        <v>768</v>
      </c>
      <c r="AK29" s="30"/>
      <c r="AL29" s="29" t="s">
        <v>23</v>
      </c>
      <c r="AM29" s="30">
        <v>1232</v>
      </c>
      <c r="AN29" s="33">
        <v>1096</v>
      </c>
      <c r="AP29" s="52" t="s">
        <v>60</v>
      </c>
      <c r="AQ29" s="53">
        <f>$AF146</f>
        <v>5253</v>
      </c>
      <c r="AR29" s="53">
        <f>AF$115+AF$116+AF$138+AF$139</f>
        <v>2393</v>
      </c>
      <c r="AS29" s="53">
        <f>AF$117+AF$118+AF$140+AF$141</f>
        <v>1694</v>
      </c>
      <c r="AT29" s="53">
        <f>AF$119+AF$120+AF$121+AF$122+AF$142+AF$143+AF$144+AF$145</f>
        <v>1166</v>
      </c>
      <c r="AU29" s="51">
        <v>2393</v>
      </c>
      <c r="AV29" s="51">
        <v>1697</v>
      </c>
      <c r="AW29" s="51">
        <v>1140</v>
      </c>
    </row>
    <row r="30" spans="1:49" outlineLevel="1" x14ac:dyDescent="0.25">
      <c r="A30" s="28"/>
      <c r="B30" s="29" t="s">
        <v>24</v>
      </c>
      <c r="C30" s="30">
        <v>48741</v>
      </c>
      <c r="D30" s="30"/>
      <c r="E30" s="30"/>
      <c r="F30" s="29" t="s">
        <v>24</v>
      </c>
      <c r="G30" s="30">
        <v>7091</v>
      </c>
      <c r="H30" s="32">
        <v>6516</v>
      </c>
      <c r="I30" s="30"/>
      <c r="J30" s="29" t="s">
        <v>24</v>
      </c>
      <c r="K30" s="30">
        <v>3266</v>
      </c>
      <c r="L30" s="32">
        <v>2908</v>
      </c>
      <c r="M30" s="30"/>
      <c r="N30" s="29" t="s">
        <v>24</v>
      </c>
      <c r="O30" s="30">
        <v>8288</v>
      </c>
      <c r="P30" s="32">
        <v>7808</v>
      </c>
      <c r="Q30" s="30"/>
      <c r="R30" s="29" t="s">
        <v>24</v>
      </c>
      <c r="S30" s="30">
        <v>8259</v>
      </c>
      <c r="T30" s="32">
        <v>7495</v>
      </c>
      <c r="U30" s="30"/>
      <c r="V30" s="29" t="s">
        <v>24</v>
      </c>
      <c r="W30" s="30">
        <v>1684</v>
      </c>
      <c r="X30" s="32">
        <v>1485</v>
      </c>
      <c r="Y30" s="30"/>
      <c r="Z30" s="29" t="s">
        <v>24</v>
      </c>
      <c r="AA30" s="30">
        <v>1972</v>
      </c>
      <c r="AB30" s="32">
        <v>1932</v>
      </c>
      <c r="AC30" s="30"/>
      <c r="AD30" s="29" t="s">
        <v>24</v>
      </c>
      <c r="AE30" s="30">
        <v>1195</v>
      </c>
      <c r="AF30" s="32">
        <v>1098</v>
      </c>
      <c r="AG30" s="30"/>
      <c r="AH30" s="29" t="s">
        <v>24</v>
      </c>
      <c r="AI30" s="30">
        <v>894</v>
      </c>
      <c r="AJ30" s="32">
        <v>793</v>
      </c>
      <c r="AK30" s="30"/>
      <c r="AL30" s="29" t="s">
        <v>24</v>
      </c>
      <c r="AM30" s="30">
        <v>1399</v>
      </c>
      <c r="AN30" s="33">
        <v>1175</v>
      </c>
      <c r="AP30" s="52" t="s">
        <v>61</v>
      </c>
      <c r="AQ30" s="53">
        <f>$AJ146</f>
        <v>5552</v>
      </c>
      <c r="AR30" s="53">
        <f>AJ$115+AJ$116+AJ$138+AJ$139</f>
        <v>2574</v>
      </c>
      <c r="AS30" s="53">
        <f>AJ$117+AJ$118+AJ$140+AJ$141</f>
        <v>1709</v>
      </c>
      <c r="AT30" s="53">
        <f>AJ$119+AJ$120+AJ$121+AJ$122+AJ$142+AJ$143+AJ$144+AJ$145</f>
        <v>1269</v>
      </c>
      <c r="AU30" s="51">
        <v>2579</v>
      </c>
      <c r="AV30" s="51">
        <v>1717</v>
      </c>
      <c r="AW30" s="51">
        <v>1298</v>
      </c>
    </row>
    <row r="31" spans="1:49" outlineLevel="1" x14ac:dyDescent="0.25">
      <c r="A31" s="28"/>
      <c r="B31" s="29" t="s">
        <v>25</v>
      </c>
      <c r="C31" s="30">
        <v>44220</v>
      </c>
      <c r="D31" s="30"/>
      <c r="E31" s="30"/>
      <c r="F31" s="29" t="s">
        <v>25</v>
      </c>
      <c r="G31" s="30">
        <v>6868</v>
      </c>
      <c r="H31" s="32">
        <v>6352</v>
      </c>
      <c r="I31" s="30"/>
      <c r="J31" s="29" t="s">
        <v>25</v>
      </c>
      <c r="K31" s="30">
        <v>2766</v>
      </c>
      <c r="L31" s="32">
        <v>2533</v>
      </c>
      <c r="M31" s="30"/>
      <c r="N31" s="29" t="s">
        <v>25</v>
      </c>
      <c r="O31" s="30">
        <v>8201</v>
      </c>
      <c r="P31" s="32">
        <v>7805</v>
      </c>
      <c r="Q31" s="30"/>
      <c r="R31" s="29" t="s">
        <v>25</v>
      </c>
      <c r="S31" s="30">
        <v>7307</v>
      </c>
      <c r="T31" s="32">
        <v>6868</v>
      </c>
      <c r="U31" s="30"/>
      <c r="V31" s="29" t="s">
        <v>25</v>
      </c>
      <c r="W31" s="30">
        <v>1316</v>
      </c>
      <c r="X31" s="32">
        <v>1349</v>
      </c>
      <c r="Y31" s="30"/>
      <c r="Z31" s="29" t="s">
        <v>25</v>
      </c>
      <c r="AA31" s="30">
        <v>1765</v>
      </c>
      <c r="AB31" s="32">
        <v>1578</v>
      </c>
      <c r="AC31" s="30"/>
      <c r="AD31" s="29" t="s">
        <v>25</v>
      </c>
      <c r="AE31" s="30">
        <v>1005</v>
      </c>
      <c r="AF31" s="32">
        <v>824</v>
      </c>
      <c r="AG31" s="30"/>
      <c r="AH31" s="29" t="s">
        <v>25</v>
      </c>
      <c r="AI31" s="30">
        <v>761</v>
      </c>
      <c r="AJ31" s="32">
        <v>727</v>
      </c>
      <c r="AK31" s="30"/>
      <c r="AL31" s="29" t="s">
        <v>25</v>
      </c>
      <c r="AM31" s="30">
        <v>1291</v>
      </c>
      <c r="AN31" s="33">
        <v>1114</v>
      </c>
      <c r="AP31" s="52" t="s">
        <v>62</v>
      </c>
      <c r="AQ31" s="53">
        <f>$AN146</f>
        <v>1076</v>
      </c>
      <c r="AR31" s="53">
        <f>AN$115+AN$116+AN$138+AN$139</f>
        <v>514</v>
      </c>
      <c r="AS31" s="53">
        <f>AN$117+AN$118+AN$140+AN$141</f>
        <v>330</v>
      </c>
      <c r="AT31" s="53">
        <f>AN$119+AN$120+AN$121+AN$122+AN$142+AN$143+AN$144+AN$145</f>
        <v>232</v>
      </c>
      <c r="AU31" s="51">
        <v>514</v>
      </c>
      <c r="AV31" s="51">
        <v>334</v>
      </c>
      <c r="AW31" s="51">
        <v>240</v>
      </c>
    </row>
    <row r="32" spans="1:49" outlineLevel="1" x14ac:dyDescent="0.25">
      <c r="A32" s="28"/>
      <c r="B32" s="29" t="s">
        <v>26</v>
      </c>
      <c r="C32" s="30">
        <v>45786</v>
      </c>
      <c r="D32" s="30"/>
      <c r="E32" s="30"/>
      <c r="F32" s="29" t="s">
        <v>26</v>
      </c>
      <c r="G32" s="30">
        <v>6902</v>
      </c>
      <c r="H32" s="32">
        <v>6201</v>
      </c>
      <c r="I32" s="30"/>
      <c r="J32" s="29" t="s">
        <v>26</v>
      </c>
      <c r="K32" s="30">
        <v>2961</v>
      </c>
      <c r="L32" s="32">
        <v>2650</v>
      </c>
      <c r="M32" s="30"/>
      <c r="N32" s="29" t="s">
        <v>26</v>
      </c>
      <c r="O32" s="30">
        <v>8949</v>
      </c>
      <c r="P32" s="32">
        <v>8037</v>
      </c>
      <c r="Q32" s="30"/>
      <c r="R32" s="29" t="s">
        <v>26</v>
      </c>
      <c r="S32" s="30">
        <v>7435</v>
      </c>
      <c r="T32" s="32">
        <v>6731</v>
      </c>
      <c r="U32" s="30"/>
      <c r="V32" s="29" t="s">
        <v>26</v>
      </c>
      <c r="W32" s="30">
        <v>1549</v>
      </c>
      <c r="X32" s="32">
        <v>1200</v>
      </c>
      <c r="Y32" s="30"/>
      <c r="Z32" s="29" t="s">
        <v>26</v>
      </c>
      <c r="AA32" s="30">
        <v>1908</v>
      </c>
      <c r="AB32" s="32">
        <v>1591</v>
      </c>
      <c r="AC32" s="30"/>
      <c r="AD32" s="29" t="s">
        <v>26</v>
      </c>
      <c r="AE32" s="30">
        <v>1105</v>
      </c>
      <c r="AF32" s="32">
        <v>837</v>
      </c>
      <c r="AG32" s="30"/>
      <c r="AH32" s="29" t="s">
        <v>26</v>
      </c>
      <c r="AI32" s="30">
        <v>786</v>
      </c>
      <c r="AJ32" s="32">
        <v>721</v>
      </c>
      <c r="AK32" s="30"/>
      <c r="AL32" s="29" t="s">
        <v>26</v>
      </c>
      <c r="AM32" s="30">
        <v>1274</v>
      </c>
      <c r="AN32" s="33">
        <v>1104</v>
      </c>
      <c r="AP32" s="52" t="s">
        <v>63</v>
      </c>
      <c r="AQ32" s="53">
        <f>$D195</f>
        <v>1444</v>
      </c>
      <c r="AR32" s="53">
        <f>D$164+D$165+D$187+D$188</f>
        <v>576</v>
      </c>
      <c r="AS32" s="53">
        <f>D$166+D$167+D$189+D$190</f>
        <v>471</v>
      </c>
      <c r="AT32" s="53">
        <f>D$168+D$169+D$170+D$171+D$191+D$192+D$193+D$194</f>
        <v>397</v>
      </c>
      <c r="AU32" s="51">
        <v>575</v>
      </c>
      <c r="AV32" s="51">
        <v>477</v>
      </c>
      <c r="AW32" s="51">
        <v>383</v>
      </c>
    </row>
    <row r="33" spans="1:49" outlineLevel="1" x14ac:dyDescent="0.25">
      <c r="A33" s="28"/>
      <c r="B33" s="29" t="s">
        <v>27</v>
      </c>
      <c r="C33" s="30">
        <v>51003</v>
      </c>
      <c r="D33" s="30"/>
      <c r="E33" s="30"/>
      <c r="F33" s="29" t="s">
        <v>27</v>
      </c>
      <c r="G33" s="30">
        <v>7696</v>
      </c>
      <c r="H33" s="32">
        <v>6873</v>
      </c>
      <c r="I33" s="30"/>
      <c r="J33" s="29" t="s">
        <v>27</v>
      </c>
      <c r="K33" s="30">
        <v>3220</v>
      </c>
      <c r="L33" s="32">
        <v>2974</v>
      </c>
      <c r="M33" s="30"/>
      <c r="N33" s="29" t="s">
        <v>27</v>
      </c>
      <c r="O33" s="30">
        <v>9677</v>
      </c>
      <c r="P33" s="32">
        <v>8911</v>
      </c>
      <c r="Q33" s="30"/>
      <c r="R33" s="29" t="s">
        <v>27</v>
      </c>
      <c r="S33" s="30">
        <v>8634</v>
      </c>
      <c r="T33" s="32">
        <v>7556</v>
      </c>
      <c r="U33" s="30"/>
      <c r="V33" s="29" t="s">
        <v>27</v>
      </c>
      <c r="W33" s="30">
        <v>1781</v>
      </c>
      <c r="X33" s="32">
        <v>1524</v>
      </c>
      <c r="Y33" s="30"/>
      <c r="Z33" s="29" t="s">
        <v>27</v>
      </c>
      <c r="AA33" s="30">
        <v>2192</v>
      </c>
      <c r="AB33" s="32">
        <v>2004</v>
      </c>
      <c r="AC33" s="30"/>
      <c r="AD33" s="29" t="s">
        <v>27</v>
      </c>
      <c r="AE33" s="30">
        <v>1178</v>
      </c>
      <c r="AF33" s="32">
        <v>1121</v>
      </c>
      <c r="AG33" s="30"/>
      <c r="AH33" s="29" t="s">
        <v>27</v>
      </c>
      <c r="AI33" s="30">
        <v>933</v>
      </c>
      <c r="AJ33" s="32">
        <v>761</v>
      </c>
      <c r="AK33" s="30"/>
      <c r="AL33" s="29" t="s">
        <v>27</v>
      </c>
      <c r="AM33" s="30">
        <v>1486</v>
      </c>
      <c r="AN33" s="33">
        <v>1219</v>
      </c>
      <c r="AP33" s="52" t="s">
        <v>64</v>
      </c>
      <c r="AQ33" s="53">
        <f>$H195</f>
        <v>840</v>
      </c>
      <c r="AR33" s="53">
        <f>H$164+H$165+H$187+H$188</f>
        <v>339</v>
      </c>
      <c r="AS33" s="53">
        <f>H$166+H$167+H$189+H$190</f>
        <v>262</v>
      </c>
      <c r="AT33" s="53">
        <f>H$168+H$169+H$170+H$171+H$191+H$192+H$193+H$194</f>
        <v>239</v>
      </c>
      <c r="AU33" s="51">
        <v>337</v>
      </c>
      <c r="AV33" s="51">
        <v>264</v>
      </c>
      <c r="AW33" s="51">
        <v>245</v>
      </c>
    </row>
    <row r="34" spans="1:49" outlineLevel="1" x14ac:dyDescent="0.25">
      <c r="A34" s="28"/>
      <c r="B34" s="29" t="s">
        <v>28</v>
      </c>
      <c r="C34" s="30">
        <v>57622</v>
      </c>
      <c r="D34" s="30"/>
      <c r="E34" s="30"/>
      <c r="F34" s="29" t="s">
        <v>28</v>
      </c>
      <c r="G34" s="30">
        <v>8857</v>
      </c>
      <c r="H34" s="32">
        <v>7789</v>
      </c>
      <c r="I34" s="30"/>
      <c r="J34" s="29" t="s">
        <v>28</v>
      </c>
      <c r="K34" s="30">
        <v>3596</v>
      </c>
      <c r="L34" s="32">
        <v>3233</v>
      </c>
      <c r="M34" s="30"/>
      <c r="N34" s="29" t="s">
        <v>28</v>
      </c>
      <c r="O34" s="30">
        <v>10974</v>
      </c>
      <c r="P34" s="32">
        <v>9833</v>
      </c>
      <c r="Q34" s="30"/>
      <c r="R34" s="29" t="s">
        <v>28</v>
      </c>
      <c r="S34" s="30">
        <v>9834</v>
      </c>
      <c r="T34" s="32">
        <v>8600</v>
      </c>
      <c r="U34" s="30"/>
      <c r="V34" s="29" t="s">
        <v>28</v>
      </c>
      <c r="W34" s="30">
        <v>1991</v>
      </c>
      <c r="X34" s="32">
        <v>1743</v>
      </c>
      <c r="Y34" s="30"/>
      <c r="Z34" s="29" t="s">
        <v>28</v>
      </c>
      <c r="AA34" s="30">
        <v>2502</v>
      </c>
      <c r="AB34" s="32">
        <v>2224</v>
      </c>
      <c r="AC34" s="30"/>
      <c r="AD34" s="29" t="s">
        <v>28</v>
      </c>
      <c r="AE34" s="30">
        <v>1286</v>
      </c>
      <c r="AF34" s="32">
        <v>1161</v>
      </c>
      <c r="AG34" s="30"/>
      <c r="AH34" s="29" t="s">
        <v>28</v>
      </c>
      <c r="AI34" s="30">
        <v>1056</v>
      </c>
      <c r="AJ34" s="32">
        <v>926</v>
      </c>
      <c r="AK34" s="30"/>
      <c r="AL34" s="29" t="s">
        <v>28</v>
      </c>
      <c r="AM34" s="30">
        <v>1512</v>
      </c>
      <c r="AN34" s="33">
        <v>1431</v>
      </c>
      <c r="AP34" s="52" t="s">
        <v>65</v>
      </c>
      <c r="AQ34" s="53">
        <f>$L195</f>
        <v>1201</v>
      </c>
      <c r="AR34" s="53">
        <f>L$164+L$165+L$187+L$188</f>
        <v>397</v>
      </c>
      <c r="AS34" s="53">
        <f>L$166+L$167+L$189+L$190</f>
        <v>412</v>
      </c>
      <c r="AT34" s="53">
        <f>L$168+L$169+L$170+L$171+L$191+L$192+L$193+L$194</f>
        <v>392</v>
      </c>
      <c r="AU34" s="51">
        <v>397</v>
      </c>
      <c r="AV34" s="51">
        <v>415</v>
      </c>
      <c r="AW34" s="51">
        <v>389</v>
      </c>
    </row>
    <row r="35" spans="1:49" outlineLevel="1" x14ac:dyDescent="0.25">
      <c r="A35" s="28"/>
      <c r="B35" s="29" t="s">
        <v>29</v>
      </c>
      <c r="C35" s="30">
        <v>62081</v>
      </c>
      <c r="D35" s="30"/>
      <c r="E35" s="30"/>
      <c r="F35" s="29" t="s">
        <v>29</v>
      </c>
      <c r="G35" s="30">
        <v>10228</v>
      </c>
      <c r="H35" s="32">
        <v>8931</v>
      </c>
      <c r="I35" s="30"/>
      <c r="J35" s="29" t="s">
        <v>29</v>
      </c>
      <c r="K35" s="30">
        <v>4060</v>
      </c>
      <c r="L35" s="32">
        <v>3736</v>
      </c>
      <c r="M35" s="30"/>
      <c r="N35" s="29" t="s">
        <v>29</v>
      </c>
      <c r="O35" s="30">
        <v>11657</v>
      </c>
      <c r="P35" s="32">
        <v>11173</v>
      </c>
      <c r="Q35" s="30"/>
      <c r="R35" s="29" t="s">
        <v>29</v>
      </c>
      <c r="S35" s="30">
        <v>10896</v>
      </c>
      <c r="T35" s="32">
        <v>9857</v>
      </c>
      <c r="U35" s="30"/>
      <c r="V35" s="29" t="s">
        <v>29</v>
      </c>
      <c r="W35" s="30">
        <v>1903</v>
      </c>
      <c r="X35" s="32">
        <v>1961</v>
      </c>
      <c r="Y35" s="30"/>
      <c r="Z35" s="29" t="s">
        <v>29</v>
      </c>
      <c r="AA35" s="30">
        <v>2622</v>
      </c>
      <c r="AB35" s="32">
        <v>2511</v>
      </c>
      <c r="AC35" s="30"/>
      <c r="AD35" s="29" t="s">
        <v>29</v>
      </c>
      <c r="AE35" s="30">
        <v>1305</v>
      </c>
      <c r="AF35" s="32">
        <v>1286</v>
      </c>
      <c r="AG35" s="30"/>
      <c r="AH35" s="29" t="s">
        <v>29</v>
      </c>
      <c r="AI35" s="30">
        <v>1063</v>
      </c>
      <c r="AJ35" s="32">
        <v>1057</v>
      </c>
      <c r="AK35" s="30"/>
      <c r="AL35" s="29" t="s">
        <v>29</v>
      </c>
      <c r="AM35" s="30">
        <v>1689</v>
      </c>
      <c r="AN35" s="33">
        <v>1488</v>
      </c>
      <c r="AP35" s="52" t="s">
        <v>66</v>
      </c>
      <c r="AQ35" s="53">
        <f>$P195</f>
        <v>692</v>
      </c>
      <c r="AR35" s="53">
        <f>P$164+P$165+P$187+P$188</f>
        <v>229</v>
      </c>
      <c r="AS35" s="53">
        <f>P$166+P$167+P$189+P$190</f>
        <v>234</v>
      </c>
      <c r="AT35" s="53">
        <f>P$168+P$169+P$170+P$171+P$191+P$192+P$193+P$194</f>
        <v>229</v>
      </c>
      <c r="AU35" s="51">
        <v>228</v>
      </c>
      <c r="AV35" s="51">
        <v>234</v>
      </c>
      <c r="AW35" s="51">
        <v>221</v>
      </c>
    </row>
    <row r="36" spans="1:49" outlineLevel="1" x14ac:dyDescent="0.25">
      <c r="A36" s="28"/>
      <c r="B36" s="29" t="s">
        <v>31</v>
      </c>
      <c r="C36" s="30">
        <v>58271</v>
      </c>
      <c r="D36" s="30"/>
      <c r="E36" s="30"/>
      <c r="F36" s="29" t="s">
        <v>31</v>
      </c>
      <c r="G36" s="30">
        <v>9236</v>
      </c>
      <c r="H36" s="32">
        <v>10238</v>
      </c>
      <c r="I36" s="30"/>
      <c r="J36" s="29" t="s">
        <v>31</v>
      </c>
      <c r="K36" s="30">
        <v>3790</v>
      </c>
      <c r="L36" s="32">
        <v>3957</v>
      </c>
      <c r="M36" s="30"/>
      <c r="N36" s="29" t="s">
        <v>31</v>
      </c>
      <c r="O36" s="30">
        <v>10555</v>
      </c>
      <c r="P36" s="32">
        <v>11704</v>
      </c>
      <c r="Q36" s="30"/>
      <c r="R36" s="29" t="s">
        <v>31</v>
      </c>
      <c r="S36" s="30">
        <v>10243</v>
      </c>
      <c r="T36" s="32">
        <v>10942</v>
      </c>
      <c r="U36" s="30"/>
      <c r="V36" s="29" t="s">
        <v>31</v>
      </c>
      <c r="W36" s="30">
        <v>1820</v>
      </c>
      <c r="X36" s="32">
        <v>1878</v>
      </c>
      <c r="Y36" s="30"/>
      <c r="Z36" s="29" t="s">
        <v>31</v>
      </c>
      <c r="AA36" s="30">
        <v>2347</v>
      </c>
      <c r="AB36" s="32">
        <v>2592</v>
      </c>
      <c r="AC36" s="30"/>
      <c r="AD36" s="29" t="s">
        <v>31</v>
      </c>
      <c r="AE36" s="30">
        <v>1373</v>
      </c>
      <c r="AF36" s="32">
        <v>1282</v>
      </c>
      <c r="AG36" s="30"/>
      <c r="AH36" s="29" t="s">
        <v>31</v>
      </c>
      <c r="AI36" s="30">
        <v>1000</v>
      </c>
      <c r="AJ36" s="32">
        <v>1061</v>
      </c>
      <c r="AK36" s="30"/>
      <c r="AL36" s="29" t="s">
        <v>31</v>
      </c>
      <c r="AM36" s="30">
        <v>1566</v>
      </c>
      <c r="AN36" s="33">
        <v>1662</v>
      </c>
      <c r="AP36" s="52" t="s">
        <v>67</v>
      </c>
      <c r="AQ36" s="53">
        <f>$T195</f>
        <v>7594</v>
      </c>
      <c r="AR36" s="53">
        <f>T$164+T$165+T$187+T$188</f>
        <v>3464</v>
      </c>
      <c r="AS36" s="53">
        <f>T$166+T$167+T$189+T$190</f>
        <v>2370</v>
      </c>
      <c r="AT36" s="53">
        <f>T$168+T$169+T$170+T$171+T$191+T$192+T$193+T$194</f>
        <v>1760</v>
      </c>
      <c r="AU36" s="51">
        <v>3463</v>
      </c>
      <c r="AV36" s="51">
        <v>2360</v>
      </c>
      <c r="AW36" s="51">
        <v>1723</v>
      </c>
    </row>
    <row r="37" spans="1:49" outlineLevel="1" x14ac:dyDescent="0.25">
      <c r="A37" s="28"/>
      <c r="B37" s="29" t="s">
        <v>33</v>
      </c>
      <c r="C37" s="30">
        <v>62194</v>
      </c>
      <c r="D37" s="30"/>
      <c r="E37" s="30"/>
      <c r="F37" s="29" t="s">
        <v>33</v>
      </c>
      <c r="G37" s="30">
        <v>8906</v>
      </c>
      <c r="H37" s="32">
        <v>9216</v>
      </c>
      <c r="I37" s="30"/>
      <c r="J37" s="29" t="s">
        <v>33</v>
      </c>
      <c r="K37" s="30">
        <v>4192</v>
      </c>
      <c r="L37" s="32">
        <v>3743</v>
      </c>
      <c r="M37" s="30"/>
      <c r="N37" s="29" t="s">
        <v>33</v>
      </c>
      <c r="O37" s="30">
        <v>10774</v>
      </c>
      <c r="P37" s="32">
        <v>10447</v>
      </c>
      <c r="Q37" s="30"/>
      <c r="R37" s="29" t="s">
        <v>33</v>
      </c>
      <c r="S37" s="30">
        <v>10551</v>
      </c>
      <c r="T37" s="32">
        <v>10131</v>
      </c>
      <c r="U37" s="30"/>
      <c r="V37" s="29" t="s">
        <v>33</v>
      </c>
      <c r="W37" s="30">
        <v>1999</v>
      </c>
      <c r="X37" s="32">
        <v>1802</v>
      </c>
      <c r="Y37" s="30"/>
      <c r="Z37" s="29" t="s">
        <v>33</v>
      </c>
      <c r="AA37" s="30">
        <v>2499</v>
      </c>
      <c r="AB37" s="32">
        <v>2341</v>
      </c>
      <c r="AC37" s="30"/>
      <c r="AD37" s="29" t="s">
        <v>33</v>
      </c>
      <c r="AE37" s="30">
        <v>1602</v>
      </c>
      <c r="AF37" s="32">
        <v>1362</v>
      </c>
      <c r="AG37" s="30"/>
      <c r="AH37" s="29" t="s">
        <v>33</v>
      </c>
      <c r="AI37" s="30">
        <v>1051</v>
      </c>
      <c r="AJ37" s="32">
        <v>1013</v>
      </c>
      <c r="AK37" s="30"/>
      <c r="AL37" s="29" t="s">
        <v>33</v>
      </c>
      <c r="AM37" s="30">
        <v>1772</v>
      </c>
      <c r="AN37" s="33">
        <v>1538</v>
      </c>
      <c r="AP37" s="52" t="s">
        <v>68</v>
      </c>
      <c r="AQ37" s="53">
        <f>$X195</f>
        <v>4903</v>
      </c>
      <c r="AR37" s="53">
        <f>X$164+X$165+X$187+X$188</f>
        <v>2705</v>
      </c>
      <c r="AS37" s="53">
        <f>X$166+X$167+X$189+X$190</f>
        <v>1431</v>
      </c>
      <c r="AT37" s="53">
        <f>X$168+X$169+X$170+X$171+X$191+X$192+X$193+X$194</f>
        <v>767</v>
      </c>
      <c r="AU37" s="51">
        <v>2558</v>
      </c>
      <c r="AV37" s="51">
        <v>1357</v>
      </c>
      <c r="AW37" s="51">
        <v>685</v>
      </c>
    </row>
    <row r="38" spans="1:49" outlineLevel="1" x14ac:dyDescent="0.25">
      <c r="A38" s="28"/>
      <c r="B38" s="29" t="s">
        <v>35</v>
      </c>
      <c r="C38" s="30">
        <v>68583</v>
      </c>
      <c r="D38" s="30"/>
      <c r="E38" s="30"/>
      <c r="F38" s="29" t="s">
        <v>35</v>
      </c>
      <c r="G38" s="30">
        <v>9391</v>
      </c>
      <c r="H38" s="32">
        <v>8828</v>
      </c>
      <c r="I38" s="30"/>
      <c r="J38" s="29" t="s">
        <v>35</v>
      </c>
      <c r="K38" s="30">
        <v>4331</v>
      </c>
      <c r="L38" s="32">
        <v>4191</v>
      </c>
      <c r="M38" s="30"/>
      <c r="N38" s="29" t="s">
        <v>35</v>
      </c>
      <c r="O38" s="30">
        <v>11118</v>
      </c>
      <c r="P38" s="32">
        <v>10634</v>
      </c>
      <c r="Q38" s="30"/>
      <c r="R38" s="29" t="s">
        <v>35</v>
      </c>
      <c r="S38" s="30">
        <v>11029</v>
      </c>
      <c r="T38" s="32">
        <v>10427</v>
      </c>
      <c r="U38" s="30"/>
      <c r="V38" s="29" t="s">
        <v>35</v>
      </c>
      <c r="W38" s="30">
        <v>2266</v>
      </c>
      <c r="X38" s="32">
        <v>1947</v>
      </c>
      <c r="Y38" s="30"/>
      <c r="Z38" s="29" t="s">
        <v>35</v>
      </c>
      <c r="AA38" s="30">
        <v>2841</v>
      </c>
      <c r="AB38" s="32">
        <v>2502</v>
      </c>
      <c r="AC38" s="30"/>
      <c r="AD38" s="29" t="s">
        <v>35</v>
      </c>
      <c r="AE38" s="30">
        <v>1807</v>
      </c>
      <c r="AF38" s="32">
        <v>1603</v>
      </c>
      <c r="AG38" s="30"/>
      <c r="AH38" s="29" t="s">
        <v>35</v>
      </c>
      <c r="AI38" s="30">
        <v>1244</v>
      </c>
      <c r="AJ38" s="32">
        <v>1074</v>
      </c>
      <c r="AK38" s="30"/>
      <c r="AL38" s="29" t="s">
        <v>35</v>
      </c>
      <c r="AM38" s="30">
        <v>2198</v>
      </c>
      <c r="AN38" s="33">
        <v>1761</v>
      </c>
      <c r="AP38" s="52" t="s">
        <v>69</v>
      </c>
      <c r="AQ38" s="53">
        <f>$AB195</f>
        <v>1965</v>
      </c>
      <c r="AR38" s="53">
        <f>AB$164+AB$165+AB$187+AB$188</f>
        <v>986</v>
      </c>
      <c r="AS38" s="53">
        <f>AB$166+AB$167+AB$189+AB$190</f>
        <v>596</v>
      </c>
      <c r="AT38" s="53">
        <f>AB$168+AB$169+AB$170+AB$171+AB$191+AB$192+AB$193+AB$194</f>
        <v>383</v>
      </c>
      <c r="AU38" s="51">
        <v>986</v>
      </c>
      <c r="AV38" s="51">
        <v>588</v>
      </c>
      <c r="AW38" s="51">
        <v>375</v>
      </c>
    </row>
    <row r="39" spans="1:49" outlineLevel="1" x14ac:dyDescent="0.25">
      <c r="A39" s="28"/>
      <c r="B39" s="29" t="s">
        <v>37</v>
      </c>
      <c r="C39" s="30">
        <v>77921</v>
      </c>
      <c r="D39" s="30"/>
      <c r="E39" s="30"/>
      <c r="F39" s="29" t="s">
        <v>37</v>
      </c>
      <c r="G39" s="30">
        <v>10877</v>
      </c>
      <c r="H39" s="32">
        <v>9243</v>
      </c>
      <c r="I39" s="30"/>
      <c r="J39" s="29" t="s">
        <v>37</v>
      </c>
      <c r="K39" s="30">
        <v>4821</v>
      </c>
      <c r="L39" s="32">
        <v>4319</v>
      </c>
      <c r="M39" s="30"/>
      <c r="N39" s="29" t="s">
        <v>37</v>
      </c>
      <c r="O39" s="30">
        <v>12046</v>
      </c>
      <c r="P39" s="32">
        <v>10972</v>
      </c>
      <c r="Q39" s="30"/>
      <c r="R39" s="29" t="s">
        <v>37</v>
      </c>
      <c r="S39" s="30">
        <v>13324</v>
      </c>
      <c r="T39" s="32">
        <v>10881</v>
      </c>
      <c r="U39" s="30"/>
      <c r="V39" s="29" t="s">
        <v>37</v>
      </c>
      <c r="W39" s="30">
        <v>2487</v>
      </c>
      <c r="X39" s="32">
        <v>2229</v>
      </c>
      <c r="Y39" s="30"/>
      <c r="Z39" s="29" t="s">
        <v>37</v>
      </c>
      <c r="AA39" s="30">
        <v>3106</v>
      </c>
      <c r="AB39" s="32">
        <v>2791</v>
      </c>
      <c r="AC39" s="30"/>
      <c r="AD39" s="29" t="s">
        <v>37</v>
      </c>
      <c r="AE39" s="30">
        <v>2000</v>
      </c>
      <c r="AF39" s="32">
        <v>1780</v>
      </c>
      <c r="AG39" s="30"/>
      <c r="AH39" s="29" t="s">
        <v>37</v>
      </c>
      <c r="AI39" s="30">
        <v>1447</v>
      </c>
      <c r="AJ39" s="32">
        <v>1222</v>
      </c>
      <c r="AK39" s="30"/>
      <c r="AL39" s="29" t="s">
        <v>37</v>
      </c>
      <c r="AM39" s="30">
        <v>2492</v>
      </c>
      <c r="AN39" s="33">
        <v>2177</v>
      </c>
      <c r="AP39" s="52" t="s">
        <v>70</v>
      </c>
      <c r="AQ39" s="53">
        <f>$AF195</f>
        <v>1465</v>
      </c>
      <c r="AR39" s="53">
        <f>AF$164+AF$165+AF$187+AF$188</f>
        <v>717</v>
      </c>
      <c r="AS39" s="53">
        <f>AF$166+AF$167+AF$189+AF$190</f>
        <v>417</v>
      </c>
      <c r="AT39" s="53">
        <f>AF$168+AF$169+AF$170+AF$171+AF$191+AF$192+AF$193+AF$194</f>
        <v>331</v>
      </c>
      <c r="AU39" s="51">
        <v>716</v>
      </c>
      <c r="AV39" s="51">
        <v>407</v>
      </c>
      <c r="AW39" s="51">
        <v>294</v>
      </c>
    </row>
    <row r="40" spans="1:49" outlineLevel="1" x14ac:dyDescent="0.25">
      <c r="A40" s="28"/>
      <c r="B40" s="29" t="s">
        <v>39</v>
      </c>
      <c r="C40" s="30">
        <v>68521</v>
      </c>
      <c r="D40" s="30"/>
      <c r="E40" s="30"/>
      <c r="F40" s="29" t="s">
        <v>39</v>
      </c>
      <c r="G40" s="30">
        <v>10485</v>
      </c>
      <c r="H40" s="32">
        <v>10626</v>
      </c>
      <c r="I40" s="30"/>
      <c r="J40" s="29" t="s">
        <v>39</v>
      </c>
      <c r="K40" s="30">
        <v>4337</v>
      </c>
      <c r="L40" s="32">
        <v>4886</v>
      </c>
      <c r="M40" s="30"/>
      <c r="N40" s="29" t="s">
        <v>39</v>
      </c>
      <c r="O40" s="30">
        <v>10939</v>
      </c>
      <c r="P40" s="32">
        <v>11769</v>
      </c>
      <c r="Q40" s="30"/>
      <c r="R40" s="29" t="s">
        <v>39</v>
      </c>
      <c r="S40" s="30">
        <v>12271</v>
      </c>
      <c r="T40" s="32">
        <v>12980</v>
      </c>
      <c r="U40" s="30"/>
      <c r="V40" s="29" t="s">
        <v>39</v>
      </c>
      <c r="W40" s="30">
        <v>2048</v>
      </c>
      <c r="X40" s="32">
        <v>2426</v>
      </c>
      <c r="Y40" s="30"/>
      <c r="Z40" s="29" t="s">
        <v>39</v>
      </c>
      <c r="AA40" s="30">
        <v>2607</v>
      </c>
      <c r="AB40" s="32">
        <v>3051</v>
      </c>
      <c r="AC40" s="30"/>
      <c r="AD40" s="29" t="s">
        <v>39</v>
      </c>
      <c r="AE40" s="30">
        <v>1699</v>
      </c>
      <c r="AF40" s="32">
        <v>1958</v>
      </c>
      <c r="AG40" s="30"/>
      <c r="AH40" s="29" t="s">
        <v>39</v>
      </c>
      <c r="AI40" s="30">
        <v>1325</v>
      </c>
      <c r="AJ40" s="32">
        <v>1412</v>
      </c>
      <c r="AK40" s="30"/>
      <c r="AL40" s="29" t="s">
        <v>39</v>
      </c>
      <c r="AM40" s="30">
        <v>1913</v>
      </c>
      <c r="AN40" s="33">
        <v>2437</v>
      </c>
      <c r="AP40" s="52" t="s">
        <v>71</v>
      </c>
      <c r="AQ40" s="53">
        <f>$AJ195</f>
        <v>5171</v>
      </c>
      <c r="AR40" s="53">
        <f>AJ$164+AJ$165+AJ$187+AJ$188</f>
        <v>2616</v>
      </c>
      <c r="AS40" s="53">
        <f>AJ$166+AJ$167+AJ$189+AJ$190</f>
        <v>1680</v>
      </c>
      <c r="AT40" s="53">
        <f>AJ$168+AJ$169+AJ$170+AJ$171+AJ$191+AJ$192+AJ$193+AJ$194</f>
        <v>875</v>
      </c>
      <c r="AU40" s="51">
        <v>2597</v>
      </c>
      <c r="AV40" s="51">
        <v>1676</v>
      </c>
      <c r="AW40" s="51">
        <v>896</v>
      </c>
    </row>
    <row r="41" spans="1:49" outlineLevel="1" x14ac:dyDescent="0.25">
      <c r="A41" s="28"/>
      <c r="B41" s="29" t="s">
        <v>41</v>
      </c>
      <c r="C41" s="30">
        <v>61301</v>
      </c>
      <c r="D41" s="30"/>
      <c r="E41" s="30"/>
      <c r="F41" s="29" t="s">
        <v>41</v>
      </c>
      <c r="G41" s="30">
        <v>9267</v>
      </c>
      <c r="H41" s="32">
        <v>10108</v>
      </c>
      <c r="I41" s="30"/>
      <c r="J41" s="29" t="s">
        <v>41</v>
      </c>
      <c r="K41" s="30">
        <v>4038</v>
      </c>
      <c r="L41" s="32">
        <v>3905</v>
      </c>
      <c r="M41" s="30"/>
      <c r="N41" s="29" t="s">
        <v>41</v>
      </c>
      <c r="O41" s="30">
        <v>9087</v>
      </c>
      <c r="P41" s="32">
        <v>10519</v>
      </c>
      <c r="Q41" s="30"/>
      <c r="R41" s="29" t="s">
        <v>41</v>
      </c>
      <c r="S41" s="30">
        <v>11310</v>
      </c>
      <c r="T41" s="32">
        <v>11729</v>
      </c>
      <c r="U41" s="30"/>
      <c r="V41" s="29" t="s">
        <v>41</v>
      </c>
      <c r="W41" s="30">
        <v>1725</v>
      </c>
      <c r="X41" s="32">
        <v>1995</v>
      </c>
      <c r="Y41" s="30"/>
      <c r="Z41" s="29" t="s">
        <v>41</v>
      </c>
      <c r="AA41" s="30">
        <v>2091</v>
      </c>
      <c r="AB41" s="32">
        <v>2508</v>
      </c>
      <c r="AC41" s="30"/>
      <c r="AD41" s="29" t="s">
        <v>41</v>
      </c>
      <c r="AE41" s="30">
        <v>1638</v>
      </c>
      <c r="AF41" s="32">
        <v>1645</v>
      </c>
      <c r="AG41" s="30"/>
      <c r="AH41" s="29" t="s">
        <v>41</v>
      </c>
      <c r="AI41" s="30">
        <v>1140</v>
      </c>
      <c r="AJ41" s="32">
        <v>1274</v>
      </c>
      <c r="AK41" s="30"/>
      <c r="AL41" s="29" t="s">
        <v>41</v>
      </c>
      <c r="AM41" s="30">
        <v>1749</v>
      </c>
      <c r="AN41" s="33">
        <v>1849</v>
      </c>
      <c r="AP41" s="52" t="s">
        <v>72</v>
      </c>
      <c r="AQ41" s="53">
        <f>$AN195</f>
        <v>4292</v>
      </c>
      <c r="AR41" s="53">
        <f>AN$164+AN$165+AN$187+AN$188</f>
        <v>2023</v>
      </c>
      <c r="AS41" s="53">
        <f>AN$166+AN$167+AN$189+AN$190</f>
        <v>1363</v>
      </c>
      <c r="AT41" s="53">
        <f>AN$168+AN$169+AN$170+AN$171+AN$191+AN$192+AN$193+AN$194</f>
        <v>906</v>
      </c>
      <c r="AU41" s="51">
        <v>2025</v>
      </c>
      <c r="AV41" s="51">
        <v>1365</v>
      </c>
      <c r="AW41" s="51">
        <v>897</v>
      </c>
    </row>
    <row r="42" spans="1:49" outlineLevel="1" x14ac:dyDescent="0.25">
      <c r="A42" s="28"/>
      <c r="B42" s="29" t="s">
        <v>43</v>
      </c>
      <c r="C42" s="30">
        <v>57886</v>
      </c>
      <c r="D42" s="30"/>
      <c r="E42" s="30"/>
      <c r="F42" s="29" t="s">
        <v>43</v>
      </c>
      <c r="G42" s="30">
        <v>7938</v>
      </c>
      <c r="H42" s="32">
        <v>8726</v>
      </c>
      <c r="I42" s="30"/>
      <c r="J42" s="29" t="s">
        <v>43</v>
      </c>
      <c r="K42" s="30">
        <v>4001</v>
      </c>
      <c r="L42" s="32">
        <v>3698</v>
      </c>
      <c r="M42" s="30"/>
      <c r="N42" s="29" t="s">
        <v>43</v>
      </c>
      <c r="O42" s="30">
        <v>7960</v>
      </c>
      <c r="P42" s="32">
        <v>8537</v>
      </c>
      <c r="Q42" s="30"/>
      <c r="R42" s="29" t="s">
        <v>43</v>
      </c>
      <c r="S42" s="30">
        <v>10091</v>
      </c>
      <c r="T42" s="32">
        <v>10446</v>
      </c>
      <c r="U42" s="30"/>
      <c r="V42" s="29" t="s">
        <v>43</v>
      </c>
      <c r="W42" s="30">
        <v>1672</v>
      </c>
      <c r="X42" s="32">
        <v>1607</v>
      </c>
      <c r="Y42" s="30"/>
      <c r="Z42" s="29" t="s">
        <v>43</v>
      </c>
      <c r="AA42" s="30">
        <v>2063</v>
      </c>
      <c r="AB42" s="32">
        <v>1958</v>
      </c>
      <c r="AC42" s="30"/>
      <c r="AD42" s="29" t="s">
        <v>43</v>
      </c>
      <c r="AE42" s="30">
        <v>1826</v>
      </c>
      <c r="AF42" s="32">
        <v>1530</v>
      </c>
      <c r="AG42" s="30"/>
      <c r="AH42" s="29" t="s">
        <v>43</v>
      </c>
      <c r="AI42" s="30">
        <v>1056</v>
      </c>
      <c r="AJ42" s="32">
        <v>1070</v>
      </c>
      <c r="AK42" s="30"/>
      <c r="AL42" s="29" t="s">
        <v>43</v>
      </c>
      <c r="AM42" s="30">
        <v>1750</v>
      </c>
      <c r="AN42" s="33">
        <v>1626</v>
      </c>
      <c r="AP42" s="52" t="s">
        <v>73</v>
      </c>
      <c r="AQ42" s="53">
        <f>$D244</f>
        <v>2151</v>
      </c>
      <c r="AR42" s="53">
        <f>D$213+D$214+D$236+D$237</f>
        <v>966</v>
      </c>
      <c r="AS42" s="53">
        <f>D$215+D$216+D$238+D$239</f>
        <v>656</v>
      </c>
      <c r="AT42" s="53">
        <f>D$217+D$218+D$219+D$220+D$240+D$241+D$242+D$243</f>
        <v>529</v>
      </c>
      <c r="AU42" s="51">
        <v>966</v>
      </c>
      <c r="AV42" s="51">
        <v>653</v>
      </c>
      <c r="AW42" s="51">
        <v>485</v>
      </c>
    </row>
    <row r="43" spans="1:49" outlineLevel="1" x14ac:dyDescent="0.25">
      <c r="A43" s="28"/>
      <c r="B43" s="29" t="s">
        <v>45</v>
      </c>
      <c r="C43" s="30">
        <v>55401</v>
      </c>
      <c r="D43" s="30"/>
      <c r="E43" s="30"/>
      <c r="F43" s="29" t="s">
        <v>45</v>
      </c>
      <c r="G43" s="30">
        <v>7250</v>
      </c>
      <c r="H43" s="32">
        <v>7113</v>
      </c>
      <c r="I43" s="30"/>
      <c r="J43" s="29" t="s">
        <v>45</v>
      </c>
      <c r="K43" s="30">
        <v>3535</v>
      </c>
      <c r="L43" s="32">
        <v>3435</v>
      </c>
      <c r="M43" s="30"/>
      <c r="N43" s="29" t="s">
        <v>45</v>
      </c>
      <c r="O43" s="30">
        <v>7121</v>
      </c>
      <c r="P43" s="32">
        <v>7050</v>
      </c>
      <c r="Q43" s="30"/>
      <c r="R43" s="29" t="s">
        <v>45</v>
      </c>
      <c r="S43" s="30">
        <v>8812</v>
      </c>
      <c r="T43" s="32">
        <v>8781</v>
      </c>
      <c r="U43" s="30"/>
      <c r="V43" s="29" t="s">
        <v>45</v>
      </c>
      <c r="W43" s="30">
        <v>1674</v>
      </c>
      <c r="X43" s="32">
        <v>1480</v>
      </c>
      <c r="Y43" s="30"/>
      <c r="Z43" s="29" t="s">
        <v>45</v>
      </c>
      <c r="AA43" s="30">
        <v>1833</v>
      </c>
      <c r="AB43" s="32">
        <v>1813</v>
      </c>
      <c r="AC43" s="30"/>
      <c r="AD43" s="29" t="s">
        <v>45</v>
      </c>
      <c r="AE43" s="30">
        <v>2005</v>
      </c>
      <c r="AF43" s="32">
        <v>1645</v>
      </c>
      <c r="AG43" s="30"/>
      <c r="AH43" s="29" t="s">
        <v>45</v>
      </c>
      <c r="AI43" s="30">
        <v>1068</v>
      </c>
      <c r="AJ43" s="32">
        <v>933</v>
      </c>
      <c r="AK43" s="30"/>
      <c r="AL43" s="29" t="s">
        <v>45</v>
      </c>
      <c r="AM43" s="30">
        <v>1778</v>
      </c>
      <c r="AN43" s="33">
        <v>1567</v>
      </c>
      <c r="AP43" s="52" t="s">
        <v>74</v>
      </c>
      <c r="AQ43" s="53">
        <f>$H244</f>
        <v>3139</v>
      </c>
      <c r="AR43" s="53">
        <f>H$213+H$214+H$236+H$237</f>
        <v>1397</v>
      </c>
      <c r="AS43" s="53">
        <f>H$215+H$216+H$238+H$239</f>
        <v>1014</v>
      </c>
      <c r="AT43" s="53">
        <f>H$217+H$218+H$219+H$220+H$240+H$241+H$242+H$243</f>
        <v>728</v>
      </c>
      <c r="AU43" s="51">
        <v>1384</v>
      </c>
      <c r="AV43" s="51">
        <v>1012</v>
      </c>
      <c r="AW43" s="51">
        <v>752</v>
      </c>
    </row>
    <row r="44" spans="1:49" outlineLevel="1" x14ac:dyDescent="0.25">
      <c r="A44" s="28"/>
      <c r="B44" s="29" t="s">
        <v>47</v>
      </c>
      <c r="C44" s="30">
        <v>40994</v>
      </c>
      <c r="D44" s="30"/>
      <c r="E44" s="30"/>
      <c r="F44" s="29" t="s">
        <v>47</v>
      </c>
      <c r="G44" s="30">
        <v>5200</v>
      </c>
      <c r="H44" s="32">
        <v>5709</v>
      </c>
      <c r="I44" s="30"/>
      <c r="J44" s="29" t="s">
        <v>47</v>
      </c>
      <c r="K44" s="30">
        <v>2551</v>
      </c>
      <c r="L44" s="32">
        <v>2485</v>
      </c>
      <c r="M44" s="30"/>
      <c r="N44" s="29" t="s">
        <v>47</v>
      </c>
      <c r="O44" s="30">
        <v>5073</v>
      </c>
      <c r="P44" s="32">
        <v>5565</v>
      </c>
      <c r="Q44" s="30"/>
      <c r="R44" s="29" t="s">
        <v>47</v>
      </c>
      <c r="S44" s="30">
        <v>6213</v>
      </c>
      <c r="T44" s="32">
        <v>6761</v>
      </c>
      <c r="U44" s="30"/>
      <c r="V44" s="29" t="s">
        <v>47</v>
      </c>
      <c r="W44" s="30">
        <v>1239</v>
      </c>
      <c r="X44" s="32">
        <v>1315</v>
      </c>
      <c r="Y44" s="30"/>
      <c r="Z44" s="29" t="s">
        <v>47</v>
      </c>
      <c r="AA44" s="30">
        <v>1450</v>
      </c>
      <c r="AB44" s="32">
        <v>1431</v>
      </c>
      <c r="AC44" s="30"/>
      <c r="AD44" s="29" t="s">
        <v>47</v>
      </c>
      <c r="AE44" s="30">
        <v>1548</v>
      </c>
      <c r="AF44" s="32">
        <v>1585</v>
      </c>
      <c r="AG44" s="30"/>
      <c r="AH44" s="29" t="s">
        <v>47</v>
      </c>
      <c r="AI44" s="30">
        <v>766</v>
      </c>
      <c r="AJ44" s="32">
        <v>817</v>
      </c>
      <c r="AK44" s="30"/>
      <c r="AL44" s="29" t="s">
        <v>47</v>
      </c>
      <c r="AM44" s="30">
        <v>1419</v>
      </c>
      <c r="AN44" s="33">
        <v>1334</v>
      </c>
      <c r="AP44" s="52" t="s">
        <v>75</v>
      </c>
      <c r="AQ44" s="53">
        <f>$L244</f>
        <v>1246</v>
      </c>
      <c r="AR44" s="53">
        <f>L$213+L$214+L$236+L$237</f>
        <v>559</v>
      </c>
      <c r="AS44" s="53">
        <f>L$215+L$216+L$238+L$239</f>
        <v>389</v>
      </c>
      <c r="AT44" s="53">
        <f>L$217+L$218+L$219+L$220+L$240+L$241+L$242+L$243</f>
        <v>298</v>
      </c>
      <c r="AU44" s="51">
        <v>566</v>
      </c>
      <c r="AV44" s="51">
        <v>391</v>
      </c>
      <c r="AW44" s="51">
        <v>311</v>
      </c>
    </row>
    <row r="45" spans="1:49" outlineLevel="1" x14ac:dyDescent="0.25">
      <c r="A45" s="28"/>
      <c r="B45" s="29" t="s">
        <v>49</v>
      </c>
      <c r="C45" s="30">
        <v>18974</v>
      </c>
      <c r="D45" s="30"/>
      <c r="E45" s="30"/>
      <c r="F45" s="29" t="s">
        <v>49</v>
      </c>
      <c r="G45" s="30">
        <v>2289</v>
      </c>
      <c r="H45" s="32">
        <v>3214</v>
      </c>
      <c r="I45" s="30"/>
      <c r="J45" s="29" t="s">
        <v>49</v>
      </c>
      <c r="K45" s="30">
        <v>1169</v>
      </c>
      <c r="L45" s="32">
        <v>1290</v>
      </c>
      <c r="M45" s="30"/>
      <c r="N45" s="29" t="s">
        <v>49</v>
      </c>
      <c r="O45" s="30">
        <v>2295</v>
      </c>
      <c r="P45" s="32">
        <v>3065</v>
      </c>
      <c r="Q45" s="30"/>
      <c r="R45" s="29" t="s">
        <v>49</v>
      </c>
      <c r="S45" s="30">
        <v>2941</v>
      </c>
      <c r="T45" s="32">
        <v>3697</v>
      </c>
      <c r="U45" s="30"/>
      <c r="V45" s="29" t="s">
        <v>49</v>
      </c>
      <c r="W45" s="30">
        <v>542</v>
      </c>
      <c r="X45" s="32">
        <v>713</v>
      </c>
      <c r="Y45" s="30"/>
      <c r="Z45" s="29" t="s">
        <v>49</v>
      </c>
      <c r="AA45" s="30">
        <v>608</v>
      </c>
      <c r="AB45" s="32">
        <v>846</v>
      </c>
      <c r="AC45" s="30"/>
      <c r="AD45" s="29" t="s">
        <v>49</v>
      </c>
      <c r="AE45" s="30">
        <v>792</v>
      </c>
      <c r="AF45" s="32">
        <v>952</v>
      </c>
      <c r="AG45" s="30"/>
      <c r="AH45" s="29" t="s">
        <v>49</v>
      </c>
      <c r="AI45" s="30">
        <v>328</v>
      </c>
      <c r="AJ45" s="32">
        <v>437</v>
      </c>
      <c r="AK45" s="30"/>
      <c r="AL45" s="29" t="s">
        <v>49</v>
      </c>
      <c r="AM45" s="30">
        <v>639</v>
      </c>
      <c r="AN45" s="33">
        <v>833</v>
      </c>
      <c r="AP45" s="52" t="s">
        <v>76</v>
      </c>
      <c r="AQ45" s="53">
        <f>$P244</f>
        <v>5432</v>
      </c>
      <c r="AR45" s="53">
        <f>P$213+P$214+P$236+P$237</f>
        <v>2593</v>
      </c>
      <c r="AS45" s="53">
        <f>P$215+P$216+P$238+P$239</f>
        <v>1754</v>
      </c>
      <c r="AT45" s="53">
        <f>P$217+P$218+P$219+P$220+P$240+P$241+P$242+P$243</f>
        <v>1085</v>
      </c>
      <c r="AU45" s="51">
        <v>2596</v>
      </c>
      <c r="AV45" s="51">
        <v>1762</v>
      </c>
      <c r="AW45" s="51">
        <v>1119</v>
      </c>
    </row>
    <row r="46" spans="1:49" outlineLevel="1" x14ac:dyDescent="0.25">
      <c r="A46" s="28"/>
      <c r="B46" s="29" t="s">
        <v>51</v>
      </c>
      <c r="C46" s="30">
        <v>4906</v>
      </c>
      <c r="D46" s="30"/>
      <c r="E46" s="30"/>
      <c r="F46" s="29" t="s">
        <v>51</v>
      </c>
      <c r="G46" s="30">
        <v>582</v>
      </c>
      <c r="H46" s="32">
        <v>922</v>
      </c>
      <c r="I46" s="30"/>
      <c r="J46" s="29" t="s">
        <v>51</v>
      </c>
      <c r="K46" s="30">
        <v>280</v>
      </c>
      <c r="L46" s="32">
        <v>319</v>
      </c>
      <c r="M46" s="30"/>
      <c r="N46" s="29" t="s">
        <v>51</v>
      </c>
      <c r="O46" s="30">
        <v>588</v>
      </c>
      <c r="P46" s="32">
        <v>857</v>
      </c>
      <c r="Q46" s="30"/>
      <c r="R46" s="29" t="s">
        <v>51</v>
      </c>
      <c r="S46" s="30">
        <v>757</v>
      </c>
      <c r="T46" s="32">
        <v>996</v>
      </c>
      <c r="U46" s="30"/>
      <c r="V46" s="29" t="s">
        <v>51</v>
      </c>
      <c r="W46" s="30">
        <v>126</v>
      </c>
      <c r="X46" s="32">
        <v>191</v>
      </c>
      <c r="Y46" s="30"/>
      <c r="Z46" s="29" t="s">
        <v>51</v>
      </c>
      <c r="AA46" s="30">
        <v>148</v>
      </c>
      <c r="AB46" s="32">
        <v>227</v>
      </c>
      <c r="AC46" s="30"/>
      <c r="AD46" s="29" t="s">
        <v>51</v>
      </c>
      <c r="AE46" s="30">
        <v>232</v>
      </c>
      <c r="AF46" s="32">
        <v>293</v>
      </c>
      <c r="AG46" s="30"/>
      <c r="AH46" s="29" t="s">
        <v>51</v>
      </c>
      <c r="AI46" s="30">
        <v>76</v>
      </c>
      <c r="AJ46" s="32">
        <v>126</v>
      </c>
      <c r="AK46" s="30"/>
      <c r="AL46" s="29" t="s">
        <v>51</v>
      </c>
      <c r="AM46" s="30">
        <v>165</v>
      </c>
      <c r="AN46" s="33">
        <v>242</v>
      </c>
      <c r="AP46" s="52" t="s">
        <v>77</v>
      </c>
      <c r="AQ46" s="53">
        <f>$T244</f>
        <v>2037</v>
      </c>
      <c r="AR46" s="53">
        <f>T$213+T$214+T$236+T$237</f>
        <v>1042</v>
      </c>
      <c r="AS46" s="53">
        <f>T$215+T$216+T$238+T$239</f>
        <v>588</v>
      </c>
      <c r="AT46" s="53">
        <f>T$217+T$218+T$219+T$220+T$240+T$241+T$242+T$243</f>
        <v>407</v>
      </c>
      <c r="AU46" s="51">
        <v>1044</v>
      </c>
      <c r="AV46" s="51">
        <v>587</v>
      </c>
      <c r="AW46" s="51">
        <v>403</v>
      </c>
    </row>
    <row r="47" spans="1:49" ht="19.5" outlineLevel="1" thickBot="1" x14ac:dyDescent="0.3">
      <c r="A47" s="34"/>
      <c r="B47" s="35" t="s">
        <v>53</v>
      </c>
      <c r="C47" s="36">
        <v>780</v>
      </c>
      <c r="D47" s="36"/>
      <c r="E47" s="36"/>
      <c r="F47" s="35" t="s">
        <v>53</v>
      </c>
      <c r="G47" s="36">
        <v>87</v>
      </c>
      <c r="H47" s="37">
        <v>113</v>
      </c>
      <c r="I47" s="36"/>
      <c r="J47" s="35" t="s">
        <v>53</v>
      </c>
      <c r="K47" s="36">
        <v>52</v>
      </c>
      <c r="L47" s="37">
        <v>49</v>
      </c>
      <c r="M47" s="36"/>
      <c r="N47" s="35" t="s">
        <v>53</v>
      </c>
      <c r="O47" s="36">
        <v>82</v>
      </c>
      <c r="P47" s="37">
        <v>137</v>
      </c>
      <c r="Q47" s="36"/>
      <c r="R47" s="35" t="s">
        <v>53</v>
      </c>
      <c r="S47" s="36">
        <v>130</v>
      </c>
      <c r="T47" s="37">
        <v>164</v>
      </c>
      <c r="U47" s="36"/>
      <c r="V47" s="35" t="s">
        <v>53</v>
      </c>
      <c r="W47" s="36">
        <v>15</v>
      </c>
      <c r="X47" s="37">
        <v>25</v>
      </c>
      <c r="Y47" s="36"/>
      <c r="Z47" s="35" t="s">
        <v>53</v>
      </c>
      <c r="AA47" s="36">
        <v>21</v>
      </c>
      <c r="AB47" s="37">
        <v>28</v>
      </c>
      <c r="AC47" s="36"/>
      <c r="AD47" s="35" t="s">
        <v>53</v>
      </c>
      <c r="AE47" s="36">
        <v>30</v>
      </c>
      <c r="AF47" s="37">
        <v>49</v>
      </c>
      <c r="AG47" s="36"/>
      <c r="AH47" s="35" t="s">
        <v>53</v>
      </c>
      <c r="AI47" s="36">
        <v>23</v>
      </c>
      <c r="AJ47" s="37">
        <v>19</v>
      </c>
      <c r="AK47" s="36"/>
      <c r="AL47" s="35" t="s">
        <v>53</v>
      </c>
      <c r="AM47" s="36">
        <v>25</v>
      </c>
      <c r="AN47" s="38">
        <v>34</v>
      </c>
      <c r="AP47" s="52" t="s">
        <v>78</v>
      </c>
      <c r="AQ47" s="53">
        <f>$X244</f>
        <v>1925</v>
      </c>
      <c r="AR47" s="53">
        <f>X$213+X$214+X$236+X$237</f>
        <v>962</v>
      </c>
      <c r="AS47" s="53">
        <f>X$215+X$216+X$238+X$239</f>
        <v>598</v>
      </c>
      <c r="AT47" s="53">
        <f>X$217+X$218+X$219+X$220+X$240+X$241+X$242+X$243</f>
        <v>365</v>
      </c>
      <c r="AU47" s="51">
        <v>961</v>
      </c>
      <c r="AV47" s="51">
        <v>597</v>
      </c>
      <c r="AW47" s="51">
        <v>358</v>
      </c>
    </row>
    <row r="48" spans="1:49" outlineLevel="1" x14ac:dyDescent="0.25">
      <c r="A48" s="44"/>
      <c r="B48" s="44" t="s">
        <v>79</v>
      </c>
      <c r="C48" s="45"/>
      <c r="D48" s="45"/>
      <c r="E48" s="45"/>
      <c r="F48" s="44" t="s">
        <v>79</v>
      </c>
      <c r="G48" s="45">
        <f>SUM(G17:G24,G40:G47)</f>
        <v>75361</v>
      </c>
      <c r="H48" s="45">
        <f>SUM(H17:H24,H40:H47)</f>
        <v>82105</v>
      </c>
      <c r="I48" s="45"/>
      <c r="J48" s="44" t="s">
        <v>79</v>
      </c>
      <c r="K48" s="45">
        <f>SUM(K17:K24,K40:K47)</f>
        <v>33655</v>
      </c>
      <c r="L48" s="45">
        <f>SUM(L17:L24,L40:L47)</f>
        <v>34214</v>
      </c>
      <c r="M48" s="45"/>
      <c r="N48" s="44" t="s">
        <v>79</v>
      </c>
      <c r="O48" s="45">
        <f>SUM(O17:O24,O40:O47)</f>
        <v>75438</v>
      </c>
      <c r="P48" s="45">
        <f>SUM(P17:P24,P40:P47)</f>
        <v>84189</v>
      </c>
      <c r="Q48" s="45"/>
      <c r="R48" s="44" t="s">
        <v>79</v>
      </c>
      <c r="S48" s="45">
        <f>SUM(S17:S24,S40:S47)</f>
        <v>91100</v>
      </c>
      <c r="T48" s="45">
        <f>SUM(T17:T24,T40:T47)</f>
        <v>97758</v>
      </c>
      <c r="U48" s="45"/>
      <c r="V48" s="44" t="s">
        <v>79</v>
      </c>
      <c r="W48" s="45">
        <f>SUM(W17:W24,W40:W47)</f>
        <v>15735</v>
      </c>
      <c r="X48" s="45">
        <f>SUM(X17:X24,X40:X47)</f>
        <v>17401</v>
      </c>
      <c r="Y48" s="45"/>
      <c r="Z48" s="44" t="s">
        <v>79</v>
      </c>
      <c r="AA48" s="45">
        <f>SUM(AA17:AA24,AA40:AA47)</f>
        <v>18848</v>
      </c>
      <c r="AB48" s="45">
        <f>SUM(AB17:AB24,AB40:AB47)</f>
        <v>21140</v>
      </c>
      <c r="AC48" s="45"/>
      <c r="AD48" s="44" t="s">
        <v>79</v>
      </c>
      <c r="AE48" s="45">
        <f>SUM(AE17:AE24,AE40:AE47)</f>
        <v>16304</v>
      </c>
      <c r="AF48" s="45">
        <f>SUM(AF17:AF24,AF40:AF47)</f>
        <v>16639</v>
      </c>
      <c r="AG48" s="45"/>
      <c r="AH48" s="44" t="s">
        <v>79</v>
      </c>
      <c r="AI48" s="45">
        <f>SUM(AI17:AI24,AI40:AI47)</f>
        <v>10025</v>
      </c>
      <c r="AJ48" s="45">
        <f>SUM(AJ17:AJ24,AJ40:AJ47)</f>
        <v>10691</v>
      </c>
      <c r="AK48" s="45"/>
      <c r="AL48" s="44" t="s">
        <v>79</v>
      </c>
      <c r="AM48" s="45">
        <f>SUM(AM17:AM24,AM40:AM47)</f>
        <v>16532</v>
      </c>
      <c r="AN48" s="45">
        <f>SUM(AN17:AN24,AN40:AN47)</f>
        <v>17929</v>
      </c>
      <c r="AP48" s="52" t="s">
        <v>80</v>
      </c>
      <c r="AQ48" s="53">
        <f>$AB244</f>
        <v>2087</v>
      </c>
      <c r="AR48" s="53">
        <f>AB$213+AB$214+AB$236+AB$237</f>
        <v>974</v>
      </c>
      <c r="AS48" s="53">
        <f>AB$215+AB$216+AB$238+AB$239</f>
        <v>705</v>
      </c>
      <c r="AT48" s="53">
        <f>AB$217+AB$218+AB$219+AB$220+AB$240+AB$241+AB$242+AB$243</f>
        <v>408</v>
      </c>
      <c r="AU48" s="51">
        <v>975</v>
      </c>
      <c r="AV48" s="51">
        <v>704</v>
      </c>
      <c r="AW48" s="51">
        <v>383</v>
      </c>
    </row>
    <row r="49" spans="1:49" ht="19.5" thickBot="1" x14ac:dyDescent="0.3">
      <c r="A49" s="39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P49" s="52" t="s">
        <v>81</v>
      </c>
      <c r="AQ49" s="53">
        <f>$AF244</f>
        <v>1918</v>
      </c>
      <c r="AR49" s="53">
        <f>AF$213+AF$214+AF$236+AF$237</f>
        <v>851</v>
      </c>
      <c r="AS49" s="53">
        <f>AF$215+AF$216+AF$238+AF$239</f>
        <v>569</v>
      </c>
      <c r="AT49" s="53">
        <f>AF$217+AF$218+AF$219+AF$220+AF$240+AF$241+AF$242+AF$243</f>
        <v>498</v>
      </c>
      <c r="AU49" s="51">
        <v>856</v>
      </c>
      <c r="AV49" s="51">
        <v>574</v>
      </c>
      <c r="AW49" s="51">
        <v>508</v>
      </c>
    </row>
    <row r="50" spans="1:49" outlineLevel="1" x14ac:dyDescent="0.25">
      <c r="A50" s="24" t="s">
        <v>30</v>
      </c>
      <c r="B50" s="25"/>
      <c r="C50" s="26" t="s">
        <v>1</v>
      </c>
      <c r="D50" s="26" t="s">
        <v>2</v>
      </c>
      <c r="E50" s="25" t="s">
        <v>32</v>
      </c>
      <c r="F50" s="25"/>
      <c r="G50" s="26" t="s">
        <v>1</v>
      </c>
      <c r="H50" s="26" t="s">
        <v>2</v>
      </c>
      <c r="I50" s="25" t="s">
        <v>34</v>
      </c>
      <c r="J50" s="25"/>
      <c r="K50" s="26" t="s">
        <v>1</v>
      </c>
      <c r="L50" s="26" t="s">
        <v>2</v>
      </c>
      <c r="M50" s="25" t="s">
        <v>36</v>
      </c>
      <c r="N50" s="25"/>
      <c r="O50" s="26" t="s">
        <v>1</v>
      </c>
      <c r="P50" s="26" t="s">
        <v>2</v>
      </c>
      <c r="Q50" s="26" t="s">
        <v>82</v>
      </c>
      <c r="R50" s="26"/>
      <c r="S50" s="26" t="s">
        <v>1</v>
      </c>
      <c r="T50" s="26" t="s">
        <v>2</v>
      </c>
      <c r="U50" s="25" t="s">
        <v>83</v>
      </c>
      <c r="V50" s="25"/>
      <c r="W50" s="26" t="s">
        <v>1</v>
      </c>
      <c r="X50" s="26" t="s">
        <v>2</v>
      </c>
      <c r="Y50" s="25" t="s">
        <v>84</v>
      </c>
      <c r="Z50" s="25"/>
      <c r="AA50" s="26" t="s">
        <v>1</v>
      </c>
      <c r="AB50" s="26" t="s">
        <v>2</v>
      </c>
      <c r="AC50" s="25" t="s">
        <v>85</v>
      </c>
      <c r="AD50" s="25"/>
      <c r="AE50" s="26" t="s">
        <v>1</v>
      </c>
      <c r="AF50" s="26" t="s">
        <v>2</v>
      </c>
      <c r="AG50" s="25" t="s">
        <v>86</v>
      </c>
      <c r="AH50" s="25"/>
      <c r="AI50" s="26" t="s">
        <v>1</v>
      </c>
      <c r="AJ50" s="26" t="s">
        <v>2</v>
      </c>
      <c r="AK50" s="25" t="s">
        <v>87</v>
      </c>
      <c r="AL50" s="25"/>
      <c r="AM50" s="26" t="s">
        <v>1</v>
      </c>
      <c r="AN50" s="27" t="s">
        <v>2</v>
      </c>
      <c r="AP50" s="52" t="s">
        <v>88</v>
      </c>
      <c r="AQ50" s="53">
        <f>$AJ244</f>
        <v>5625</v>
      </c>
      <c r="AR50" s="53">
        <f>AJ$213+AJ$214+AJ$236+AJ$237</f>
        <v>2790</v>
      </c>
      <c r="AS50" s="53">
        <f>AJ$215+AJ$216+AJ$238+AJ$239</f>
        <v>1765</v>
      </c>
      <c r="AT50" s="53">
        <f>AJ$217+AJ$218+AJ$219+AJ$220+AJ$240+AJ$241+AJ$242+AJ$243</f>
        <v>1070</v>
      </c>
      <c r="AU50" s="51">
        <v>2786</v>
      </c>
      <c r="AV50" s="51">
        <v>1746</v>
      </c>
      <c r="AW50" s="51">
        <v>1086</v>
      </c>
    </row>
    <row r="51" spans="1:49" outlineLevel="1" x14ac:dyDescent="0.25">
      <c r="A51" s="28">
        <v>1284</v>
      </c>
      <c r="B51" s="29"/>
      <c r="C51" s="30" t="s">
        <v>13</v>
      </c>
      <c r="D51" s="30"/>
      <c r="E51" s="29">
        <v>1287</v>
      </c>
      <c r="F51" s="29"/>
      <c r="G51" s="30" t="s">
        <v>13</v>
      </c>
      <c r="H51" s="30"/>
      <c r="I51" s="29">
        <v>1290</v>
      </c>
      <c r="J51" s="29"/>
      <c r="K51" s="30" t="s">
        <v>13</v>
      </c>
      <c r="L51" s="30"/>
      <c r="M51" s="29">
        <v>1293</v>
      </c>
      <c r="N51" s="29"/>
      <c r="O51" s="30" t="s">
        <v>13</v>
      </c>
      <c r="P51" s="30"/>
      <c r="Q51" s="30">
        <v>1299</v>
      </c>
      <c r="R51" s="30"/>
      <c r="S51" s="30" t="s">
        <v>13</v>
      </c>
      <c r="T51" s="30"/>
      <c r="U51" s="29">
        <v>1302</v>
      </c>
      <c r="V51" s="29"/>
      <c r="W51" s="30" t="s">
        <v>13</v>
      </c>
      <c r="X51" s="30"/>
      <c r="Y51" s="29">
        <v>1305</v>
      </c>
      <c r="Z51" s="29"/>
      <c r="AA51" s="30" t="s">
        <v>13</v>
      </c>
      <c r="AB51" s="30"/>
      <c r="AC51" s="29">
        <v>1311</v>
      </c>
      <c r="AD51" s="29"/>
      <c r="AE51" s="30" t="s">
        <v>13</v>
      </c>
      <c r="AF51" s="30"/>
      <c r="AG51" s="29">
        <v>1317</v>
      </c>
      <c r="AH51" s="29"/>
      <c r="AI51" s="30" t="s">
        <v>13</v>
      </c>
      <c r="AJ51" s="30"/>
      <c r="AK51" s="29">
        <v>1320</v>
      </c>
      <c r="AL51" s="29"/>
      <c r="AM51" s="30" t="s">
        <v>13</v>
      </c>
      <c r="AN51" s="31"/>
      <c r="AP51" s="52" t="s">
        <v>89</v>
      </c>
      <c r="AQ51" s="53">
        <f>$AN244</f>
        <v>3391</v>
      </c>
      <c r="AR51" s="53">
        <f>AN$213+AN$214+AN$236+AN$237</f>
        <v>1516</v>
      </c>
      <c r="AS51" s="53">
        <f>AN$215+AN$216+AN$238+AN$239</f>
        <v>1119</v>
      </c>
      <c r="AT51" s="53">
        <f>AN$217+AN$218+AN$219+AN$220+AN$240+AN$241+AN$242+AN$243</f>
        <v>756</v>
      </c>
      <c r="AU51" s="51">
        <v>1514</v>
      </c>
      <c r="AV51" s="51">
        <v>1123</v>
      </c>
      <c r="AW51" s="51">
        <v>766</v>
      </c>
    </row>
    <row r="52" spans="1:49" outlineLevel="1" x14ac:dyDescent="0.25">
      <c r="A52" s="28"/>
      <c r="B52" s="29" t="s">
        <v>18</v>
      </c>
      <c r="C52" s="30">
        <v>19272</v>
      </c>
      <c r="D52" s="32">
        <v>17891</v>
      </c>
      <c r="E52" s="29"/>
      <c r="F52" s="29" t="s">
        <v>18</v>
      </c>
      <c r="G52" s="30">
        <v>31716</v>
      </c>
      <c r="H52" s="32">
        <v>29829</v>
      </c>
      <c r="I52" s="29"/>
      <c r="J52" s="29" t="s">
        <v>18</v>
      </c>
      <c r="K52" s="30">
        <v>31169</v>
      </c>
      <c r="L52" s="32">
        <v>29251</v>
      </c>
      <c r="M52" s="29"/>
      <c r="N52" s="29" t="s">
        <v>18</v>
      </c>
      <c r="O52" s="30">
        <v>15196</v>
      </c>
      <c r="P52" s="32">
        <v>15059</v>
      </c>
      <c r="Q52" s="30"/>
      <c r="R52" s="29" t="s">
        <v>18</v>
      </c>
      <c r="S52" s="30">
        <v>5934</v>
      </c>
      <c r="T52" s="32">
        <v>5610</v>
      </c>
      <c r="U52" s="29"/>
      <c r="V52" s="29" t="s">
        <v>18</v>
      </c>
      <c r="W52" s="30">
        <v>4707</v>
      </c>
      <c r="X52" s="32">
        <v>4336</v>
      </c>
      <c r="Y52" s="29"/>
      <c r="Z52" s="29" t="s">
        <v>18</v>
      </c>
      <c r="AA52" s="30">
        <v>7284</v>
      </c>
      <c r="AB52" s="32">
        <v>6481</v>
      </c>
      <c r="AC52" s="29"/>
      <c r="AD52" s="29" t="s">
        <v>18</v>
      </c>
      <c r="AE52" s="30">
        <v>4225</v>
      </c>
      <c r="AF52" s="32">
        <v>4383</v>
      </c>
      <c r="AG52" s="29"/>
      <c r="AH52" s="29" t="s">
        <v>18</v>
      </c>
      <c r="AI52" s="30">
        <v>6327</v>
      </c>
      <c r="AJ52" s="32">
        <v>6200</v>
      </c>
      <c r="AK52" s="29"/>
      <c r="AL52" s="29" t="s">
        <v>18</v>
      </c>
      <c r="AM52" s="30">
        <v>2999</v>
      </c>
      <c r="AN52" s="33">
        <v>2806</v>
      </c>
      <c r="AP52" s="52" t="s">
        <v>90</v>
      </c>
      <c r="AQ52" s="53">
        <f>$D293</f>
        <v>1508</v>
      </c>
      <c r="AR52" s="53">
        <f>D$262+D$263+D$285+D$286</f>
        <v>810</v>
      </c>
      <c r="AS52" s="53">
        <f>D$264+D$265+D$287+D$288</f>
        <v>442</v>
      </c>
      <c r="AT52" s="53">
        <f>D$266+D$267+D$268+D$269+D$289+D$290+D$291+D$292</f>
        <v>256</v>
      </c>
      <c r="AU52" s="51">
        <v>811</v>
      </c>
      <c r="AV52" s="51">
        <v>444</v>
      </c>
      <c r="AW52" s="51">
        <v>263</v>
      </c>
    </row>
    <row r="53" spans="1:49" outlineLevel="1" x14ac:dyDescent="0.25">
      <c r="A53" s="28"/>
      <c r="B53" s="29" t="s">
        <v>20</v>
      </c>
      <c r="C53" s="30">
        <v>639</v>
      </c>
      <c r="D53" s="32">
        <v>531</v>
      </c>
      <c r="E53" s="29"/>
      <c r="F53" s="29" t="s">
        <v>20</v>
      </c>
      <c r="G53" s="30">
        <v>937</v>
      </c>
      <c r="H53" s="32">
        <v>871</v>
      </c>
      <c r="I53" s="29"/>
      <c r="J53" s="29" t="s">
        <v>20</v>
      </c>
      <c r="K53" s="30">
        <v>979</v>
      </c>
      <c r="L53" s="32">
        <v>844</v>
      </c>
      <c r="M53" s="29"/>
      <c r="N53" s="29" t="s">
        <v>20</v>
      </c>
      <c r="O53" s="30">
        <v>635</v>
      </c>
      <c r="P53" s="32">
        <v>597</v>
      </c>
      <c r="Q53" s="30"/>
      <c r="R53" s="29" t="s">
        <v>20</v>
      </c>
      <c r="S53" s="30">
        <v>186</v>
      </c>
      <c r="T53" s="32">
        <v>174</v>
      </c>
      <c r="U53" s="29"/>
      <c r="V53" s="29" t="s">
        <v>20</v>
      </c>
      <c r="W53" s="30">
        <v>128</v>
      </c>
      <c r="X53" s="32">
        <v>87</v>
      </c>
      <c r="Y53" s="29"/>
      <c r="Z53" s="29" t="s">
        <v>20</v>
      </c>
      <c r="AA53" s="30">
        <v>167</v>
      </c>
      <c r="AB53" s="32">
        <v>126</v>
      </c>
      <c r="AC53" s="29"/>
      <c r="AD53" s="29" t="s">
        <v>20</v>
      </c>
      <c r="AE53" s="30">
        <v>191</v>
      </c>
      <c r="AF53" s="32">
        <v>213</v>
      </c>
      <c r="AG53" s="29"/>
      <c r="AH53" s="29" t="s">
        <v>20</v>
      </c>
      <c r="AI53" s="30">
        <v>293</v>
      </c>
      <c r="AJ53" s="32">
        <v>258</v>
      </c>
      <c r="AK53" s="29"/>
      <c r="AL53" s="29" t="s">
        <v>20</v>
      </c>
      <c r="AM53" s="30">
        <v>106</v>
      </c>
      <c r="AN53" s="33">
        <v>85</v>
      </c>
      <c r="AP53" s="52" t="s">
        <v>91</v>
      </c>
      <c r="AQ53" s="53">
        <f>$H293</f>
        <v>2278</v>
      </c>
      <c r="AR53" s="53">
        <f>H$262+H$263+H$285+H$286</f>
        <v>1110</v>
      </c>
      <c r="AS53" s="53">
        <f>H$264+H$265+H$287+H$288</f>
        <v>725</v>
      </c>
      <c r="AT53" s="53">
        <f>H$266+H$267+H$268+H$269+H$289+H$290+H$291+H$292</f>
        <v>443</v>
      </c>
      <c r="AU53" s="51">
        <v>1117</v>
      </c>
      <c r="AV53" s="51">
        <v>725</v>
      </c>
      <c r="AW53" s="51">
        <v>458</v>
      </c>
    </row>
    <row r="54" spans="1:49" outlineLevel="1" x14ac:dyDescent="0.25">
      <c r="A54" s="28"/>
      <c r="B54" s="29" t="s">
        <v>22</v>
      </c>
      <c r="C54" s="30">
        <v>721</v>
      </c>
      <c r="D54" s="32">
        <v>623</v>
      </c>
      <c r="E54" s="29"/>
      <c r="F54" s="29" t="s">
        <v>22</v>
      </c>
      <c r="G54" s="30">
        <v>1239</v>
      </c>
      <c r="H54" s="32">
        <v>856</v>
      </c>
      <c r="I54" s="29"/>
      <c r="J54" s="29" t="s">
        <v>22</v>
      </c>
      <c r="K54" s="30">
        <v>1086</v>
      </c>
      <c r="L54" s="32">
        <v>1073</v>
      </c>
      <c r="M54" s="29"/>
      <c r="N54" s="29" t="s">
        <v>22</v>
      </c>
      <c r="O54" s="30">
        <v>750</v>
      </c>
      <c r="P54" s="32">
        <v>687</v>
      </c>
      <c r="Q54" s="30"/>
      <c r="R54" s="29" t="s">
        <v>22</v>
      </c>
      <c r="S54" s="30">
        <v>221</v>
      </c>
      <c r="T54" s="32">
        <v>205</v>
      </c>
      <c r="U54" s="29"/>
      <c r="V54" s="29" t="s">
        <v>22</v>
      </c>
      <c r="W54" s="30">
        <v>158</v>
      </c>
      <c r="X54" s="32">
        <v>135</v>
      </c>
      <c r="Y54" s="29"/>
      <c r="Z54" s="29" t="s">
        <v>22</v>
      </c>
      <c r="AA54" s="30">
        <v>234</v>
      </c>
      <c r="AB54" s="32">
        <v>161</v>
      </c>
      <c r="AC54" s="29"/>
      <c r="AD54" s="29" t="s">
        <v>22</v>
      </c>
      <c r="AE54" s="30">
        <v>209</v>
      </c>
      <c r="AF54" s="32">
        <v>214</v>
      </c>
      <c r="AG54" s="29"/>
      <c r="AH54" s="29" t="s">
        <v>22</v>
      </c>
      <c r="AI54" s="30">
        <v>329</v>
      </c>
      <c r="AJ54" s="32">
        <v>323</v>
      </c>
      <c r="AK54" s="29"/>
      <c r="AL54" s="29" t="s">
        <v>22</v>
      </c>
      <c r="AM54" s="30">
        <v>118</v>
      </c>
      <c r="AN54" s="33">
        <v>102</v>
      </c>
      <c r="AP54" s="52" t="s">
        <v>92</v>
      </c>
      <c r="AQ54" s="53">
        <f>$L293</f>
        <v>3903</v>
      </c>
      <c r="AR54" s="53">
        <f>L$262+L$263+L$285+L$286</f>
        <v>2003</v>
      </c>
      <c r="AS54" s="53">
        <f>L$264+L$265+L$287+L$288</f>
        <v>1218</v>
      </c>
      <c r="AT54" s="53">
        <f>L$266+L$267+L$268+L$269+L$289+L$290+L$291+L$292</f>
        <v>682</v>
      </c>
      <c r="AU54" s="51">
        <v>2004</v>
      </c>
      <c r="AV54" s="51">
        <v>1223</v>
      </c>
      <c r="AW54" s="51">
        <v>697</v>
      </c>
    </row>
    <row r="55" spans="1:49" outlineLevel="1" x14ac:dyDescent="0.25">
      <c r="A55" s="28"/>
      <c r="B55" s="29" t="s">
        <v>23</v>
      </c>
      <c r="C55" s="30">
        <v>900</v>
      </c>
      <c r="D55" s="32">
        <v>703</v>
      </c>
      <c r="E55" s="29"/>
      <c r="F55" s="29" t="s">
        <v>23</v>
      </c>
      <c r="G55" s="30">
        <v>1526</v>
      </c>
      <c r="H55" s="32">
        <v>1136</v>
      </c>
      <c r="I55" s="29"/>
      <c r="J55" s="29" t="s">
        <v>23</v>
      </c>
      <c r="K55" s="30">
        <v>1512</v>
      </c>
      <c r="L55" s="32">
        <v>1111</v>
      </c>
      <c r="M55" s="29"/>
      <c r="N55" s="29" t="s">
        <v>23</v>
      </c>
      <c r="O55" s="30">
        <v>812</v>
      </c>
      <c r="P55" s="32">
        <v>789</v>
      </c>
      <c r="Q55" s="30"/>
      <c r="R55" s="29" t="s">
        <v>23</v>
      </c>
      <c r="S55" s="30">
        <v>271</v>
      </c>
      <c r="T55" s="32">
        <v>235</v>
      </c>
      <c r="U55" s="29"/>
      <c r="V55" s="29" t="s">
        <v>23</v>
      </c>
      <c r="W55" s="30">
        <v>195</v>
      </c>
      <c r="X55" s="32">
        <v>163</v>
      </c>
      <c r="Y55" s="29"/>
      <c r="Z55" s="29" t="s">
        <v>23</v>
      </c>
      <c r="AA55" s="30">
        <v>332</v>
      </c>
      <c r="AB55" s="32">
        <v>237</v>
      </c>
      <c r="AC55" s="29"/>
      <c r="AD55" s="29" t="s">
        <v>23</v>
      </c>
      <c r="AE55" s="30">
        <v>215</v>
      </c>
      <c r="AF55" s="32">
        <v>213</v>
      </c>
      <c r="AG55" s="29"/>
      <c r="AH55" s="29" t="s">
        <v>23</v>
      </c>
      <c r="AI55" s="30">
        <v>356</v>
      </c>
      <c r="AJ55" s="32">
        <v>324</v>
      </c>
      <c r="AK55" s="29"/>
      <c r="AL55" s="29" t="s">
        <v>23</v>
      </c>
      <c r="AM55" s="30">
        <v>149</v>
      </c>
      <c r="AN55" s="33">
        <v>112</v>
      </c>
      <c r="AP55" s="52" t="s">
        <v>93</v>
      </c>
      <c r="AQ55" s="53">
        <f>$P293</f>
        <v>1099</v>
      </c>
      <c r="AR55" s="53">
        <f>P$262+P$263+P$285+P$286</f>
        <v>473</v>
      </c>
      <c r="AS55" s="53">
        <f>P$264+P$265+P$287+P$288</f>
        <v>321</v>
      </c>
      <c r="AT55" s="53">
        <f>P$266+P$267+P$268+P$269+P$289+P$290+P$291+P$292</f>
        <v>305</v>
      </c>
      <c r="AU55" s="51">
        <v>471</v>
      </c>
      <c r="AV55" s="51">
        <v>316</v>
      </c>
      <c r="AW55" s="51">
        <v>288</v>
      </c>
    </row>
    <row r="56" spans="1:49" outlineLevel="1" x14ac:dyDescent="0.25">
      <c r="A56" s="28"/>
      <c r="B56" s="29" t="s">
        <v>24</v>
      </c>
      <c r="C56" s="30">
        <v>957</v>
      </c>
      <c r="D56" s="32">
        <v>878</v>
      </c>
      <c r="E56" s="29"/>
      <c r="F56" s="29" t="s">
        <v>24</v>
      </c>
      <c r="G56" s="30">
        <v>1520</v>
      </c>
      <c r="H56" s="32">
        <v>1364</v>
      </c>
      <c r="I56" s="29"/>
      <c r="J56" s="29" t="s">
        <v>24</v>
      </c>
      <c r="K56" s="30">
        <v>1660</v>
      </c>
      <c r="L56" s="32">
        <v>1503</v>
      </c>
      <c r="M56" s="29"/>
      <c r="N56" s="29" t="s">
        <v>24</v>
      </c>
      <c r="O56" s="30">
        <v>837</v>
      </c>
      <c r="P56" s="32">
        <v>810</v>
      </c>
      <c r="Q56" s="30"/>
      <c r="R56" s="29" t="s">
        <v>24</v>
      </c>
      <c r="S56" s="30">
        <v>303</v>
      </c>
      <c r="T56" s="32">
        <v>268</v>
      </c>
      <c r="U56" s="29"/>
      <c r="V56" s="29" t="s">
        <v>24</v>
      </c>
      <c r="W56" s="30">
        <v>236</v>
      </c>
      <c r="X56" s="32">
        <v>186</v>
      </c>
      <c r="Y56" s="29"/>
      <c r="Z56" s="29" t="s">
        <v>24</v>
      </c>
      <c r="AA56" s="30">
        <v>328</v>
      </c>
      <c r="AB56" s="32">
        <v>309</v>
      </c>
      <c r="AC56" s="29"/>
      <c r="AD56" s="29" t="s">
        <v>24</v>
      </c>
      <c r="AE56" s="30">
        <v>228</v>
      </c>
      <c r="AF56" s="32">
        <v>212</v>
      </c>
      <c r="AG56" s="29"/>
      <c r="AH56" s="29" t="s">
        <v>24</v>
      </c>
      <c r="AI56" s="30">
        <v>348</v>
      </c>
      <c r="AJ56" s="32">
        <v>340</v>
      </c>
      <c r="AK56" s="29"/>
      <c r="AL56" s="29" t="s">
        <v>24</v>
      </c>
      <c r="AM56" s="30">
        <v>128</v>
      </c>
      <c r="AN56" s="33">
        <v>143</v>
      </c>
      <c r="AP56" s="52" t="s">
        <v>94</v>
      </c>
      <c r="AQ56" s="53">
        <f>$T293</f>
        <v>2732</v>
      </c>
      <c r="AR56" s="53">
        <f>T$262+T$263+T$285+T$286</f>
        <v>1458</v>
      </c>
      <c r="AS56" s="53">
        <f>T$264+T$265+T$287+T$288</f>
        <v>798</v>
      </c>
      <c r="AT56" s="53">
        <f>T$266+T$267+T$268+T$269+T$289+T$290+T$291+T$292</f>
        <v>476</v>
      </c>
      <c r="AU56" s="51">
        <v>1459</v>
      </c>
      <c r="AV56" s="51">
        <v>802</v>
      </c>
      <c r="AW56" s="51">
        <v>481</v>
      </c>
    </row>
    <row r="57" spans="1:49" outlineLevel="1" x14ac:dyDescent="0.25">
      <c r="A57" s="28"/>
      <c r="B57" s="29" t="s">
        <v>25</v>
      </c>
      <c r="C57" s="30">
        <v>1038</v>
      </c>
      <c r="D57" s="32">
        <v>793</v>
      </c>
      <c r="E57" s="29"/>
      <c r="F57" s="29" t="s">
        <v>25</v>
      </c>
      <c r="G57" s="30">
        <v>1464</v>
      </c>
      <c r="H57" s="32">
        <v>1295</v>
      </c>
      <c r="I57" s="29"/>
      <c r="J57" s="29" t="s">
        <v>25</v>
      </c>
      <c r="K57" s="30">
        <v>1507</v>
      </c>
      <c r="L57" s="32">
        <v>1270</v>
      </c>
      <c r="M57" s="29"/>
      <c r="N57" s="29" t="s">
        <v>25</v>
      </c>
      <c r="O57" s="30">
        <v>774</v>
      </c>
      <c r="P57" s="32">
        <v>742</v>
      </c>
      <c r="Q57" s="30"/>
      <c r="R57" s="29" t="s">
        <v>25</v>
      </c>
      <c r="S57" s="30">
        <v>270</v>
      </c>
      <c r="T57" s="32">
        <v>229</v>
      </c>
      <c r="U57" s="29"/>
      <c r="V57" s="29" t="s">
        <v>25</v>
      </c>
      <c r="W57" s="30">
        <v>207</v>
      </c>
      <c r="X57" s="32">
        <v>187</v>
      </c>
      <c r="Y57" s="29"/>
      <c r="Z57" s="29" t="s">
        <v>25</v>
      </c>
      <c r="AA57" s="30">
        <v>331</v>
      </c>
      <c r="AB57" s="32">
        <v>257</v>
      </c>
      <c r="AC57" s="29"/>
      <c r="AD57" s="29" t="s">
        <v>25</v>
      </c>
      <c r="AE57" s="30">
        <v>222</v>
      </c>
      <c r="AF57" s="32">
        <v>207</v>
      </c>
      <c r="AG57" s="29"/>
      <c r="AH57" s="29" t="s">
        <v>25</v>
      </c>
      <c r="AI57" s="30">
        <v>328</v>
      </c>
      <c r="AJ57" s="32">
        <v>305</v>
      </c>
      <c r="AK57" s="29"/>
      <c r="AL57" s="29" t="s">
        <v>25</v>
      </c>
      <c r="AM57" s="30">
        <v>157</v>
      </c>
      <c r="AN57" s="33">
        <v>123</v>
      </c>
      <c r="AP57" s="52" t="s">
        <v>95</v>
      </c>
      <c r="AQ57" s="53">
        <f>$X293</f>
        <v>2068</v>
      </c>
      <c r="AR57" s="53">
        <f>X$262+X$263+X$285+X$286</f>
        <v>972</v>
      </c>
      <c r="AS57" s="53">
        <f>X$264+X$265+X$287+X$288</f>
        <v>644</v>
      </c>
      <c r="AT57" s="53">
        <f>X$266+X$267+X$268+X$269+X$289+X$290+X$291+X$292</f>
        <v>452</v>
      </c>
      <c r="AU57" s="51">
        <v>973</v>
      </c>
      <c r="AV57" s="51">
        <v>648</v>
      </c>
      <c r="AW57" s="51">
        <v>456</v>
      </c>
    </row>
    <row r="58" spans="1:49" outlineLevel="1" x14ac:dyDescent="0.25">
      <c r="A58" s="28"/>
      <c r="B58" s="29" t="s">
        <v>26</v>
      </c>
      <c r="C58" s="30">
        <v>953</v>
      </c>
      <c r="D58" s="32">
        <v>851</v>
      </c>
      <c r="E58" s="29"/>
      <c r="F58" s="29" t="s">
        <v>26</v>
      </c>
      <c r="G58" s="30">
        <v>1490</v>
      </c>
      <c r="H58" s="32">
        <v>1510</v>
      </c>
      <c r="I58" s="29"/>
      <c r="J58" s="29" t="s">
        <v>26</v>
      </c>
      <c r="K58" s="30">
        <v>1415</v>
      </c>
      <c r="L58" s="32">
        <v>1277</v>
      </c>
      <c r="M58" s="29"/>
      <c r="N58" s="29" t="s">
        <v>26</v>
      </c>
      <c r="O58" s="30">
        <v>855</v>
      </c>
      <c r="P58" s="32">
        <v>737</v>
      </c>
      <c r="Q58" s="30"/>
      <c r="R58" s="29" t="s">
        <v>26</v>
      </c>
      <c r="S58" s="30">
        <v>250</v>
      </c>
      <c r="T58" s="32">
        <v>239</v>
      </c>
      <c r="U58" s="29"/>
      <c r="V58" s="29" t="s">
        <v>26</v>
      </c>
      <c r="W58" s="30">
        <v>189</v>
      </c>
      <c r="X58" s="32">
        <v>154</v>
      </c>
      <c r="Y58" s="29"/>
      <c r="Z58" s="29" t="s">
        <v>26</v>
      </c>
      <c r="AA58" s="30">
        <v>334</v>
      </c>
      <c r="AB58" s="32">
        <v>249</v>
      </c>
      <c r="AC58" s="29"/>
      <c r="AD58" s="29" t="s">
        <v>26</v>
      </c>
      <c r="AE58" s="30">
        <v>240</v>
      </c>
      <c r="AF58" s="32">
        <v>226</v>
      </c>
      <c r="AG58" s="29"/>
      <c r="AH58" s="29" t="s">
        <v>26</v>
      </c>
      <c r="AI58" s="30">
        <v>342</v>
      </c>
      <c r="AJ58" s="32">
        <v>313</v>
      </c>
      <c r="AK58" s="29"/>
      <c r="AL58" s="29" t="s">
        <v>26</v>
      </c>
      <c r="AM58" s="30">
        <v>187</v>
      </c>
      <c r="AN58" s="33">
        <v>125</v>
      </c>
      <c r="AP58" s="52" t="s">
        <v>96</v>
      </c>
      <c r="AQ58" s="53">
        <f>$AB293</f>
        <v>6053</v>
      </c>
      <c r="AR58" s="53">
        <f>AB$262+AB$263+AB$285+AB$286</f>
        <v>2925</v>
      </c>
      <c r="AS58" s="53">
        <f>AB$264+AB$265+AB$287+AB$288</f>
        <v>1929</v>
      </c>
      <c r="AT58" s="53">
        <f>AB$266+AB$267+AB$268+AB$269+AB$289+AB$290+AB$291+AB$292</f>
        <v>1199</v>
      </c>
      <c r="AU58" s="51">
        <v>2910</v>
      </c>
      <c r="AV58" s="51">
        <v>1910</v>
      </c>
      <c r="AW58" s="51">
        <v>1218</v>
      </c>
    </row>
    <row r="59" spans="1:49" outlineLevel="1" x14ac:dyDescent="0.25">
      <c r="A59" s="28"/>
      <c r="B59" s="29" t="s">
        <v>27</v>
      </c>
      <c r="C59" s="30">
        <v>1024</v>
      </c>
      <c r="D59" s="32">
        <v>849</v>
      </c>
      <c r="E59" s="29"/>
      <c r="F59" s="29" t="s">
        <v>27</v>
      </c>
      <c r="G59" s="30">
        <v>1640</v>
      </c>
      <c r="H59" s="32">
        <v>1492</v>
      </c>
      <c r="I59" s="29"/>
      <c r="J59" s="29" t="s">
        <v>27</v>
      </c>
      <c r="K59" s="30">
        <v>1548</v>
      </c>
      <c r="L59" s="32">
        <v>1376</v>
      </c>
      <c r="M59" s="29"/>
      <c r="N59" s="29" t="s">
        <v>27</v>
      </c>
      <c r="O59" s="30">
        <v>974</v>
      </c>
      <c r="P59" s="32">
        <v>869</v>
      </c>
      <c r="Q59" s="30"/>
      <c r="R59" s="29" t="s">
        <v>27</v>
      </c>
      <c r="S59" s="30">
        <v>302</v>
      </c>
      <c r="T59" s="32">
        <v>235</v>
      </c>
      <c r="U59" s="29"/>
      <c r="V59" s="29" t="s">
        <v>27</v>
      </c>
      <c r="W59" s="30">
        <v>221</v>
      </c>
      <c r="X59" s="32">
        <v>169</v>
      </c>
      <c r="Y59" s="29"/>
      <c r="Z59" s="29" t="s">
        <v>27</v>
      </c>
      <c r="AA59" s="30">
        <v>357</v>
      </c>
      <c r="AB59" s="32">
        <v>279</v>
      </c>
      <c r="AC59" s="29"/>
      <c r="AD59" s="29" t="s">
        <v>27</v>
      </c>
      <c r="AE59" s="30">
        <v>302</v>
      </c>
      <c r="AF59" s="32">
        <v>287</v>
      </c>
      <c r="AG59" s="29"/>
      <c r="AH59" s="29" t="s">
        <v>27</v>
      </c>
      <c r="AI59" s="30">
        <v>406</v>
      </c>
      <c r="AJ59" s="32">
        <v>357</v>
      </c>
      <c r="AK59" s="29"/>
      <c r="AL59" s="29" t="s">
        <v>27</v>
      </c>
      <c r="AM59" s="30">
        <v>188</v>
      </c>
      <c r="AN59" s="33">
        <v>160</v>
      </c>
      <c r="AP59" s="52" t="s">
        <v>97</v>
      </c>
      <c r="AQ59" s="53">
        <f>$AF293</f>
        <v>538</v>
      </c>
      <c r="AR59" s="53">
        <f>AF$262+AF$263+AF$285+AF$286</f>
        <v>239</v>
      </c>
      <c r="AS59" s="53">
        <f>AF$264+AF$265+AF$287+AF$288</f>
        <v>168</v>
      </c>
      <c r="AT59" s="53">
        <f>AF$266+AF$267+AF$268+AF$269+AF$289+AF$290+AF$291+AF$292</f>
        <v>131</v>
      </c>
      <c r="AU59" s="51">
        <v>238</v>
      </c>
      <c r="AV59" s="51">
        <v>170</v>
      </c>
      <c r="AW59" s="51">
        <v>138</v>
      </c>
    </row>
    <row r="60" spans="1:49" outlineLevel="1" x14ac:dyDescent="0.25">
      <c r="A60" s="28"/>
      <c r="B60" s="29" t="s">
        <v>28</v>
      </c>
      <c r="C60" s="30">
        <v>1007</v>
      </c>
      <c r="D60" s="32">
        <v>966</v>
      </c>
      <c r="E60" s="29"/>
      <c r="F60" s="29" t="s">
        <v>28</v>
      </c>
      <c r="G60" s="30">
        <v>2004</v>
      </c>
      <c r="H60" s="32">
        <v>1589</v>
      </c>
      <c r="I60" s="29"/>
      <c r="J60" s="29" t="s">
        <v>28</v>
      </c>
      <c r="K60" s="30">
        <v>1822</v>
      </c>
      <c r="L60" s="32">
        <v>1577</v>
      </c>
      <c r="M60" s="29"/>
      <c r="N60" s="29" t="s">
        <v>28</v>
      </c>
      <c r="O60" s="30">
        <v>1041</v>
      </c>
      <c r="P60" s="32">
        <v>1062</v>
      </c>
      <c r="Q60" s="30"/>
      <c r="R60" s="29" t="s">
        <v>28</v>
      </c>
      <c r="S60" s="30">
        <v>360</v>
      </c>
      <c r="T60" s="32">
        <v>312</v>
      </c>
      <c r="U60" s="29"/>
      <c r="V60" s="29" t="s">
        <v>28</v>
      </c>
      <c r="W60" s="30">
        <v>269</v>
      </c>
      <c r="X60" s="32">
        <v>216</v>
      </c>
      <c r="Y60" s="29"/>
      <c r="Z60" s="29" t="s">
        <v>28</v>
      </c>
      <c r="AA60" s="30">
        <v>418</v>
      </c>
      <c r="AB60" s="32">
        <v>324</v>
      </c>
      <c r="AC60" s="29"/>
      <c r="AD60" s="29" t="s">
        <v>28</v>
      </c>
      <c r="AE60" s="30">
        <v>284</v>
      </c>
      <c r="AF60" s="32">
        <v>331</v>
      </c>
      <c r="AG60" s="29"/>
      <c r="AH60" s="29" t="s">
        <v>28</v>
      </c>
      <c r="AI60" s="30">
        <v>487</v>
      </c>
      <c r="AJ60" s="32">
        <v>419</v>
      </c>
      <c r="AK60" s="29"/>
      <c r="AL60" s="29" t="s">
        <v>28</v>
      </c>
      <c r="AM60" s="30">
        <v>162</v>
      </c>
      <c r="AN60" s="33">
        <v>183</v>
      </c>
      <c r="AP60" s="52" t="s">
        <v>98</v>
      </c>
      <c r="AQ60" s="53">
        <f>$AJ293</f>
        <v>2542</v>
      </c>
      <c r="AR60" s="53">
        <f>AJ$262+AJ$263+AJ$285+AJ$286</f>
        <v>1234</v>
      </c>
      <c r="AS60" s="53">
        <f>AJ$264+AJ$265+AJ$287+AJ$288</f>
        <v>762</v>
      </c>
      <c r="AT60" s="53">
        <f>AJ$266+AJ$267+AJ$268+AJ$269+AJ$289+AJ$290+AJ$291+AJ$292</f>
        <v>546</v>
      </c>
      <c r="AU60" s="51">
        <v>1232</v>
      </c>
      <c r="AV60" s="51">
        <v>755</v>
      </c>
      <c r="AW60" s="51">
        <v>514</v>
      </c>
    </row>
    <row r="61" spans="1:49" outlineLevel="1" x14ac:dyDescent="0.25">
      <c r="A61" s="28"/>
      <c r="B61" s="29" t="s">
        <v>29</v>
      </c>
      <c r="C61" s="30">
        <v>1005</v>
      </c>
      <c r="D61" s="32">
        <v>984</v>
      </c>
      <c r="E61" s="29"/>
      <c r="F61" s="29" t="s">
        <v>29</v>
      </c>
      <c r="G61" s="30">
        <v>2190</v>
      </c>
      <c r="H61" s="32">
        <v>1941</v>
      </c>
      <c r="I61" s="29"/>
      <c r="J61" s="29" t="s">
        <v>29</v>
      </c>
      <c r="K61" s="30">
        <v>2031</v>
      </c>
      <c r="L61" s="32">
        <v>1803</v>
      </c>
      <c r="M61" s="29"/>
      <c r="N61" s="29" t="s">
        <v>29</v>
      </c>
      <c r="O61" s="30">
        <v>1056</v>
      </c>
      <c r="P61" s="32">
        <v>1074</v>
      </c>
      <c r="Q61" s="30"/>
      <c r="R61" s="29" t="s">
        <v>29</v>
      </c>
      <c r="S61" s="30">
        <v>379</v>
      </c>
      <c r="T61" s="32">
        <v>359</v>
      </c>
      <c r="U61" s="29"/>
      <c r="V61" s="29" t="s">
        <v>29</v>
      </c>
      <c r="W61" s="30">
        <v>274</v>
      </c>
      <c r="X61" s="32">
        <v>258</v>
      </c>
      <c r="Y61" s="29"/>
      <c r="Z61" s="29" t="s">
        <v>29</v>
      </c>
      <c r="AA61" s="30">
        <v>405</v>
      </c>
      <c r="AB61" s="32">
        <v>391</v>
      </c>
      <c r="AC61" s="29"/>
      <c r="AD61" s="29" t="s">
        <v>29</v>
      </c>
      <c r="AE61" s="30">
        <v>282</v>
      </c>
      <c r="AF61" s="32">
        <v>322</v>
      </c>
      <c r="AG61" s="29"/>
      <c r="AH61" s="29" t="s">
        <v>29</v>
      </c>
      <c r="AI61" s="30">
        <v>455</v>
      </c>
      <c r="AJ61" s="32">
        <v>500</v>
      </c>
      <c r="AK61" s="29"/>
      <c r="AL61" s="29" t="s">
        <v>29</v>
      </c>
      <c r="AM61" s="30">
        <v>146</v>
      </c>
      <c r="AN61" s="33">
        <v>163</v>
      </c>
      <c r="AP61" s="52" t="s">
        <v>99</v>
      </c>
      <c r="AQ61" s="53">
        <f>$AN293</f>
        <v>2024</v>
      </c>
      <c r="AR61" s="53">
        <f>AN$262+AN$263+AN$285+AN$286</f>
        <v>966</v>
      </c>
      <c r="AS61" s="53">
        <f>AN$264+AN$265+AN$287+AN$288</f>
        <v>595</v>
      </c>
      <c r="AT61" s="53">
        <f>AN$266+AN$267+AN$268+AN$269+AN$289+AN$290+AN$291+AN$292</f>
        <v>463</v>
      </c>
      <c r="AU61" s="51">
        <v>969</v>
      </c>
      <c r="AV61" s="51">
        <v>601</v>
      </c>
      <c r="AW61" s="51">
        <v>487</v>
      </c>
    </row>
    <row r="62" spans="1:49" outlineLevel="1" x14ac:dyDescent="0.25">
      <c r="A62" s="28"/>
      <c r="B62" s="29" t="s">
        <v>31</v>
      </c>
      <c r="C62" s="30">
        <v>1155</v>
      </c>
      <c r="D62" s="32">
        <v>1002</v>
      </c>
      <c r="E62" s="29"/>
      <c r="F62" s="29" t="s">
        <v>31</v>
      </c>
      <c r="G62" s="30">
        <v>1906</v>
      </c>
      <c r="H62" s="32">
        <v>2156</v>
      </c>
      <c r="I62" s="29"/>
      <c r="J62" s="29" t="s">
        <v>31</v>
      </c>
      <c r="K62" s="30">
        <v>1922</v>
      </c>
      <c r="L62" s="32">
        <v>2022</v>
      </c>
      <c r="M62" s="29"/>
      <c r="N62" s="29" t="s">
        <v>31</v>
      </c>
      <c r="O62" s="30">
        <v>895</v>
      </c>
      <c r="P62" s="32">
        <v>1074</v>
      </c>
      <c r="Q62" s="30"/>
      <c r="R62" s="29" t="s">
        <v>31</v>
      </c>
      <c r="S62" s="30">
        <v>333</v>
      </c>
      <c r="T62" s="32">
        <v>382</v>
      </c>
      <c r="U62" s="29"/>
      <c r="V62" s="29" t="s">
        <v>31</v>
      </c>
      <c r="W62" s="30">
        <v>244</v>
      </c>
      <c r="X62" s="32">
        <v>282</v>
      </c>
      <c r="Y62" s="29"/>
      <c r="Z62" s="29" t="s">
        <v>31</v>
      </c>
      <c r="AA62" s="30">
        <v>393</v>
      </c>
      <c r="AB62" s="32">
        <v>394</v>
      </c>
      <c r="AC62" s="29"/>
      <c r="AD62" s="29" t="s">
        <v>31</v>
      </c>
      <c r="AE62" s="30">
        <v>216</v>
      </c>
      <c r="AF62" s="32">
        <v>292</v>
      </c>
      <c r="AG62" s="29"/>
      <c r="AH62" s="29" t="s">
        <v>31</v>
      </c>
      <c r="AI62" s="30">
        <v>360</v>
      </c>
      <c r="AJ62" s="32">
        <v>458</v>
      </c>
      <c r="AK62" s="29"/>
      <c r="AL62" s="29" t="s">
        <v>31</v>
      </c>
      <c r="AM62" s="30">
        <v>138</v>
      </c>
      <c r="AN62" s="33">
        <v>149</v>
      </c>
      <c r="AQ62" s="49"/>
    </row>
    <row r="63" spans="1:49" outlineLevel="1" x14ac:dyDescent="0.25">
      <c r="A63" s="28"/>
      <c r="B63" s="29" t="s">
        <v>33</v>
      </c>
      <c r="C63" s="30">
        <v>1395</v>
      </c>
      <c r="D63" s="32">
        <v>1145</v>
      </c>
      <c r="E63" s="29"/>
      <c r="F63" s="29" t="s">
        <v>33</v>
      </c>
      <c r="G63" s="30">
        <v>2053</v>
      </c>
      <c r="H63" s="32">
        <v>1951</v>
      </c>
      <c r="I63" s="29"/>
      <c r="J63" s="29" t="s">
        <v>33</v>
      </c>
      <c r="K63" s="30">
        <v>2011</v>
      </c>
      <c r="L63" s="32">
        <v>1902</v>
      </c>
      <c r="M63" s="29"/>
      <c r="N63" s="29" t="s">
        <v>33</v>
      </c>
      <c r="O63" s="30">
        <v>1047</v>
      </c>
      <c r="P63" s="32">
        <v>884</v>
      </c>
      <c r="Q63" s="30"/>
      <c r="R63" s="29" t="s">
        <v>33</v>
      </c>
      <c r="S63" s="30">
        <v>374</v>
      </c>
      <c r="T63" s="32">
        <v>326</v>
      </c>
      <c r="U63" s="29"/>
      <c r="V63" s="29" t="s">
        <v>33</v>
      </c>
      <c r="W63" s="30">
        <v>301</v>
      </c>
      <c r="X63" s="32">
        <v>248</v>
      </c>
      <c r="Y63" s="29"/>
      <c r="Z63" s="29" t="s">
        <v>33</v>
      </c>
      <c r="AA63" s="30">
        <v>465</v>
      </c>
      <c r="AB63" s="32">
        <v>363</v>
      </c>
      <c r="AC63" s="29"/>
      <c r="AD63" s="29" t="s">
        <v>33</v>
      </c>
      <c r="AE63" s="30">
        <v>264</v>
      </c>
      <c r="AF63" s="32">
        <v>228</v>
      </c>
      <c r="AG63" s="29"/>
      <c r="AH63" s="29" t="s">
        <v>33</v>
      </c>
      <c r="AI63" s="30">
        <v>380</v>
      </c>
      <c r="AJ63" s="32">
        <v>365</v>
      </c>
      <c r="AK63" s="29"/>
      <c r="AL63" s="29" t="s">
        <v>33</v>
      </c>
      <c r="AM63" s="30">
        <v>196</v>
      </c>
      <c r="AN63" s="33">
        <v>130</v>
      </c>
      <c r="AQ63" s="49"/>
    </row>
    <row r="64" spans="1:49" outlineLevel="1" x14ac:dyDescent="0.25">
      <c r="A64" s="28"/>
      <c r="B64" s="29" t="s">
        <v>35</v>
      </c>
      <c r="C64" s="30">
        <v>1642</v>
      </c>
      <c r="D64" s="32">
        <v>1390</v>
      </c>
      <c r="E64" s="29"/>
      <c r="F64" s="29" t="s">
        <v>35</v>
      </c>
      <c r="G64" s="30">
        <v>2345</v>
      </c>
      <c r="H64" s="32">
        <v>2050</v>
      </c>
      <c r="I64" s="29"/>
      <c r="J64" s="29" t="s">
        <v>35</v>
      </c>
      <c r="K64" s="30">
        <v>2241</v>
      </c>
      <c r="L64" s="32">
        <v>1982</v>
      </c>
      <c r="M64" s="29"/>
      <c r="N64" s="29" t="s">
        <v>35</v>
      </c>
      <c r="O64" s="30">
        <v>1045</v>
      </c>
      <c r="P64" s="32">
        <v>1038</v>
      </c>
      <c r="Q64" s="30"/>
      <c r="R64" s="29" t="s">
        <v>35</v>
      </c>
      <c r="S64" s="30">
        <v>392</v>
      </c>
      <c r="T64" s="32">
        <v>376</v>
      </c>
      <c r="U64" s="29"/>
      <c r="V64" s="29" t="s">
        <v>35</v>
      </c>
      <c r="W64" s="30">
        <v>334</v>
      </c>
      <c r="X64" s="32">
        <v>288</v>
      </c>
      <c r="Y64" s="29"/>
      <c r="Z64" s="29" t="s">
        <v>35</v>
      </c>
      <c r="AA64" s="30">
        <v>589</v>
      </c>
      <c r="AB64" s="32">
        <v>450</v>
      </c>
      <c r="AC64" s="29"/>
      <c r="AD64" s="29" t="s">
        <v>35</v>
      </c>
      <c r="AE64" s="30">
        <v>303</v>
      </c>
      <c r="AF64" s="32">
        <v>259</v>
      </c>
      <c r="AG64" s="29"/>
      <c r="AH64" s="29" t="s">
        <v>35</v>
      </c>
      <c r="AI64" s="30">
        <v>432</v>
      </c>
      <c r="AJ64" s="32">
        <v>366</v>
      </c>
      <c r="AK64" s="29"/>
      <c r="AL64" s="29" t="s">
        <v>35</v>
      </c>
      <c r="AM64" s="30">
        <v>288</v>
      </c>
      <c r="AN64" s="33">
        <v>196</v>
      </c>
      <c r="AQ64" s="49"/>
    </row>
    <row r="65" spans="1:43" outlineLevel="1" x14ac:dyDescent="0.25">
      <c r="A65" s="28"/>
      <c r="B65" s="29" t="s">
        <v>37</v>
      </c>
      <c r="C65" s="30">
        <v>1772</v>
      </c>
      <c r="D65" s="32">
        <v>1614</v>
      </c>
      <c r="E65" s="29"/>
      <c r="F65" s="29" t="s">
        <v>37</v>
      </c>
      <c r="G65" s="30">
        <v>2976</v>
      </c>
      <c r="H65" s="32">
        <v>2346</v>
      </c>
      <c r="I65" s="29"/>
      <c r="J65" s="29" t="s">
        <v>37</v>
      </c>
      <c r="K65" s="30">
        <v>2727</v>
      </c>
      <c r="L65" s="32">
        <v>2184</v>
      </c>
      <c r="M65" s="29"/>
      <c r="N65" s="29" t="s">
        <v>37</v>
      </c>
      <c r="O65" s="30">
        <v>1199</v>
      </c>
      <c r="P65" s="32">
        <v>1024</v>
      </c>
      <c r="Q65" s="30"/>
      <c r="R65" s="29" t="s">
        <v>37</v>
      </c>
      <c r="S65" s="30">
        <v>515</v>
      </c>
      <c r="T65" s="32">
        <v>379</v>
      </c>
      <c r="U65" s="29"/>
      <c r="V65" s="29" t="s">
        <v>37</v>
      </c>
      <c r="W65" s="30">
        <v>468</v>
      </c>
      <c r="X65" s="32">
        <v>330</v>
      </c>
      <c r="Y65" s="29"/>
      <c r="Z65" s="29" t="s">
        <v>37</v>
      </c>
      <c r="AA65" s="30">
        <v>716</v>
      </c>
      <c r="AB65" s="32">
        <v>568</v>
      </c>
      <c r="AC65" s="29"/>
      <c r="AD65" s="29" t="s">
        <v>37</v>
      </c>
      <c r="AE65" s="30">
        <v>368</v>
      </c>
      <c r="AF65" s="32">
        <v>298</v>
      </c>
      <c r="AG65" s="29"/>
      <c r="AH65" s="29" t="s">
        <v>37</v>
      </c>
      <c r="AI65" s="30">
        <v>518</v>
      </c>
      <c r="AJ65" s="32">
        <v>407</v>
      </c>
      <c r="AK65" s="29"/>
      <c r="AL65" s="29" t="s">
        <v>37</v>
      </c>
      <c r="AM65" s="30">
        <v>330</v>
      </c>
      <c r="AN65" s="33">
        <v>274</v>
      </c>
      <c r="AQ65" s="49"/>
    </row>
    <row r="66" spans="1:43" outlineLevel="1" x14ac:dyDescent="0.25">
      <c r="A66" s="28"/>
      <c r="B66" s="29" t="s">
        <v>39</v>
      </c>
      <c r="C66" s="30">
        <v>1355</v>
      </c>
      <c r="D66" s="32">
        <v>1703</v>
      </c>
      <c r="E66" s="29"/>
      <c r="F66" s="29" t="s">
        <v>39</v>
      </c>
      <c r="G66" s="30">
        <v>2693</v>
      </c>
      <c r="H66" s="32">
        <v>2803</v>
      </c>
      <c r="I66" s="29"/>
      <c r="J66" s="29" t="s">
        <v>39</v>
      </c>
      <c r="K66" s="30">
        <v>2485</v>
      </c>
      <c r="L66" s="32">
        <v>2625</v>
      </c>
      <c r="M66" s="29"/>
      <c r="N66" s="29" t="s">
        <v>39</v>
      </c>
      <c r="O66" s="30">
        <v>1009</v>
      </c>
      <c r="P66" s="32">
        <v>1148</v>
      </c>
      <c r="Q66" s="30"/>
      <c r="R66" s="29" t="s">
        <v>39</v>
      </c>
      <c r="S66" s="30">
        <v>493</v>
      </c>
      <c r="T66" s="32">
        <v>497</v>
      </c>
      <c r="U66" s="29"/>
      <c r="V66" s="29" t="s">
        <v>39</v>
      </c>
      <c r="W66" s="30">
        <v>463</v>
      </c>
      <c r="X66" s="32">
        <v>447</v>
      </c>
      <c r="Y66" s="29"/>
      <c r="Z66" s="29" t="s">
        <v>39</v>
      </c>
      <c r="AA66" s="30">
        <v>665</v>
      </c>
      <c r="AB66" s="32">
        <v>688</v>
      </c>
      <c r="AC66" s="29"/>
      <c r="AD66" s="29" t="s">
        <v>39</v>
      </c>
      <c r="AE66" s="30">
        <v>322</v>
      </c>
      <c r="AF66" s="32">
        <v>359</v>
      </c>
      <c r="AG66" s="29"/>
      <c r="AH66" s="29" t="s">
        <v>39</v>
      </c>
      <c r="AI66" s="30">
        <v>414</v>
      </c>
      <c r="AJ66" s="32">
        <v>487</v>
      </c>
      <c r="AK66" s="29"/>
      <c r="AL66" s="29" t="s">
        <v>39</v>
      </c>
      <c r="AM66" s="30">
        <v>231</v>
      </c>
      <c r="AN66" s="33">
        <v>317</v>
      </c>
      <c r="AQ66" s="49"/>
    </row>
    <row r="67" spans="1:43" outlineLevel="1" x14ac:dyDescent="0.25">
      <c r="A67" s="28"/>
      <c r="B67" s="29" t="s">
        <v>41</v>
      </c>
      <c r="C67" s="30">
        <v>1107</v>
      </c>
      <c r="D67" s="32">
        <v>1239</v>
      </c>
      <c r="E67" s="29"/>
      <c r="F67" s="29" t="s">
        <v>41</v>
      </c>
      <c r="G67" s="30">
        <v>1947</v>
      </c>
      <c r="H67" s="32">
        <v>2409</v>
      </c>
      <c r="I67" s="29"/>
      <c r="J67" s="29" t="s">
        <v>41</v>
      </c>
      <c r="K67" s="30">
        <v>2050</v>
      </c>
      <c r="L67" s="32">
        <v>2272</v>
      </c>
      <c r="M67" s="29"/>
      <c r="N67" s="29" t="s">
        <v>41</v>
      </c>
      <c r="O67" s="30">
        <v>720</v>
      </c>
      <c r="P67" s="32">
        <v>921</v>
      </c>
      <c r="Q67" s="30"/>
      <c r="R67" s="29" t="s">
        <v>41</v>
      </c>
      <c r="S67" s="30">
        <v>440</v>
      </c>
      <c r="T67" s="32">
        <v>463</v>
      </c>
      <c r="U67" s="29"/>
      <c r="V67" s="29" t="s">
        <v>41</v>
      </c>
      <c r="W67" s="30">
        <v>346</v>
      </c>
      <c r="X67" s="32">
        <v>435</v>
      </c>
      <c r="Y67" s="29"/>
      <c r="Z67" s="29" t="s">
        <v>41</v>
      </c>
      <c r="AA67" s="30">
        <v>503</v>
      </c>
      <c r="AB67" s="32">
        <v>618</v>
      </c>
      <c r="AC67" s="29"/>
      <c r="AD67" s="29" t="s">
        <v>41</v>
      </c>
      <c r="AE67" s="30">
        <v>160</v>
      </c>
      <c r="AF67" s="32">
        <v>299</v>
      </c>
      <c r="AG67" s="29"/>
      <c r="AH67" s="29" t="s">
        <v>41</v>
      </c>
      <c r="AI67" s="30">
        <v>315</v>
      </c>
      <c r="AJ67" s="32">
        <v>385</v>
      </c>
      <c r="AK67" s="29"/>
      <c r="AL67" s="29" t="s">
        <v>41</v>
      </c>
      <c r="AM67" s="30">
        <v>149</v>
      </c>
      <c r="AN67" s="33">
        <v>218</v>
      </c>
    </row>
    <row r="68" spans="1:43" outlineLevel="1" x14ac:dyDescent="0.25">
      <c r="A68" s="28"/>
      <c r="B68" s="29" t="s">
        <v>43</v>
      </c>
      <c r="C68" s="30">
        <v>986</v>
      </c>
      <c r="D68" s="32">
        <v>952</v>
      </c>
      <c r="E68" s="29"/>
      <c r="F68" s="29" t="s">
        <v>43</v>
      </c>
      <c r="G68" s="30">
        <v>1540</v>
      </c>
      <c r="H68" s="32">
        <v>1663</v>
      </c>
      <c r="I68" s="29"/>
      <c r="J68" s="29" t="s">
        <v>43</v>
      </c>
      <c r="K68" s="30">
        <v>1687</v>
      </c>
      <c r="L68" s="32">
        <v>1799</v>
      </c>
      <c r="M68" s="29"/>
      <c r="N68" s="29" t="s">
        <v>43</v>
      </c>
      <c r="O68" s="30">
        <v>630</v>
      </c>
      <c r="P68" s="32">
        <v>629</v>
      </c>
      <c r="Q68" s="30"/>
      <c r="R68" s="29" t="s">
        <v>43</v>
      </c>
      <c r="S68" s="30">
        <v>322</v>
      </c>
      <c r="T68" s="32">
        <v>384</v>
      </c>
      <c r="U68" s="29"/>
      <c r="V68" s="29" t="s">
        <v>43</v>
      </c>
      <c r="W68" s="30">
        <v>268</v>
      </c>
      <c r="X68" s="32">
        <v>305</v>
      </c>
      <c r="Y68" s="29"/>
      <c r="Z68" s="29" t="s">
        <v>43</v>
      </c>
      <c r="AA68" s="30">
        <v>410</v>
      </c>
      <c r="AB68" s="32">
        <v>418</v>
      </c>
      <c r="AC68" s="29"/>
      <c r="AD68" s="29" t="s">
        <v>43</v>
      </c>
      <c r="AE68" s="30">
        <v>157</v>
      </c>
      <c r="AF68" s="32">
        <v>137</v>
      </c>
      <c r="AG68" s="29"/>
      <c r="AH68" s="29" t="s">
        <v>43</v>
      </c>
      <c r="AI68" s="30">
        <v>240</v>
      </c>
      <c r="AJ68" s="32">
        <v>270</v>
      </c>
      <c r="AK68" s="29"/>
      <c r="AL68" s="29" t="s">
        <v>43</v>
      </c>
      <c r="AM68" s="30">
        <v>124</v>
      </c>
      <c r="AN68" s="33">
        <v>124</v>
      </c>
    </row>
    <row r="69" spans="1:43" outlineLevel="1" x14ac:dyDescent="0.25">
      <c r="A69" s="28"/>
      <c r="B69" s="29" t="s">
        <v>45</v>
      </c>
      <c r="C69" s="30">
        <v>918</v>
      </c>
      <c r="D69" s="32">
        <v>776</v>
      </c>
      <c r="E69" s="29"/>
      <c r="F69" s="29" t="s">
        <v>45</v>
      </c>
      <c r="G69" s="30">
        <v>1230</v>
      </c>
      <c r="H69" s="32">
        <v>1209</v>
      </c>
      <c r="I69" s="29"/>
      <c r="J69" s="29" t="s">
        <v>45</v>
      </c>
      <c r="K69" s="30">
        <v>1355</v>
      </c>
      <c r="L69" s="32">
        <v>1313</v>
      </c>
      <c r="M69" s="29"/>
      <c r="N69" s="29" t="s">
        <v>45</v>
      </c>
      <c r="O69" s="30">
        <v>519</v>
      </c>
      <c r="P69" s="32">
        <v>477</v>
      </c>
      <c r="Q69" s="30"/>
      <c r="R69" s="29" t="s">
        <v>45</v>
      </c>
      <c r="S69" s="30">
        <v>270</v>
      </c>
      <c r="T69" s="32">
        <v>260</v>
      </c>
      <c r="U69" s="29"/>
      <c r="V69" s="29" t="s">
        <v>45</v>
      </c>
      <c r="W69" s="30">
        <v>224</v>
      </c>
      <c r="X69" s="32">
        <v>221</v>
      </c>
      <c r="Y69" s="29"/>
      <c r="Z69" s="29" t="s">
        <v>45</v>
      </c>
      <c r="AA69" s="30">
        <v>354</v>
      </c>
      <c r="AB69" s="32">
        <v>319</v>
      </c>
      <c r="AC69" s="29"/>
      <c r="AD69" s="29" t="s">
        <v>45</v>
      </c>
      <c r="AE69" s="30">
        <v>125</v>
      </c>
      <c r="AF69" s="32">
        <v>125</v>
      </c>
      <c r="AG69" s="29"/>
      <c r="AH69" s="29" t="s">
        <v>45</v>
      </c>
      <c r="AI69" s="30">
        <v>190</v>
      </c>
      <c r="AJ69" s="32">
        <v>177</v>
      </c>
      <c r="AK69" s="41"/>
      <c r="AL69" s="29" t="s">
        <v>45</v>
      </c>
      <c r="AM69" s="30">
        <v>113</v>
      </c>
      <c r="AN69" s="33">
        <v>95</v>
      </c>
    </row>
    <row r="70" spans="1:43" outlineLevel="1" x14ac:dyDescent="0.25">
      <c r="A70" s="28"/>
      <c r="B70" s="29" t="s">
        <v>47</v>
      </c>
      <c r="C70" s="30">
        <v>498</v>
      </c>
      <c r="D70" s="32">
        <v>591</v>
      </c>
      <c r="E70" s="29"/>
      <c r="F70" s="29" t="s">
        <v>47</v>
      </c>
      <c r="G70" s="30">
        <v>745</v>
      </c>
      <c r="H70" s="32">
        <v>781</v>
      </c>
      <c r="I70" s="29"/>
      <c r="J70" s="29" t="s">
        <v>47</v>
      </c>
      <c r="K70" s="30">
        <v>824</v>
      </c>
      <c r="L70" s="32">
        <v>851</v>
      </c>
      <c r="M70" s="29"/>
      <c r="N70" s="29" t="s">
        <v>47</v>
      </c>
      <c r="O70" s="30">
        <v>293</v>
      </c>
      <c r="P70" s="32">
        <v>329</v>
      </c>
      <c r="Q70" s="30"/>
      <c r="R70" s="29" t="s">
        <v>47</v>
      </c>
      <c r="S70" s="30">
        <v>180</v>
      </c>
      <c r="T70" s="32">
        <v>179</v>
      </c>
      <c r="U70" s="29"/>
      <c r="V70" s="29" t="s">
        <v>47</v>
      </c>
      <c r="W70" s="30">
        <v>119</v>
      </c>
      <c r="X70" s="32">
        <v>153</v>
      </c>
      <c r="Y70" s="29"/>
      <c r="Z70" s="29" t="s">
        <v>47</v>
      </c>
      <c r="AA70" s="30">
        <v>201</v>
      </c>
      <c r="AB70" s="32">
        <v>211</v>
      </c>
      <c r="AC70" s="29"/>
      <c r="AD70" s="29" t="s">
        <v>47</v>
      </c>
      <c r="AE70" s="30">
        <v>92</v>
      </c>
      <c r="AF70" s="32">
        <v>75</v>
      </c>
      <c r="AG70" s="29"/>
      <c r="AH70" s="29" t="s">
        <v>47</v>
      </c>
      <c r="AI70" s="30">
        <v>94</v>
      </c>
      <c r="AJ70" s="32">
        <v>109</v>
      </c>
      <c r="AK70" s="29"/>
      <c r="AL70" s="29" t="s">
        <v>47</v>
      </c>
      <c r="AM70" s="30">
        <v>64</v>
      </c>
      <c r="AN70" s="33">
        <v>72</v>
      </c>
    </row>
    <row r="71" spans="1:43" outlineLevel="1" x14ac:dyDescent="0.25">
      <c r="A71" s="28"/>
      <c r="B71" s="29" t="s">
        <v>49</v>
      </c>
      <c r="C71" s="30">
        <v>151</v>
      </c>
      <c r="D71" s="32">
        <v>246</v>
      </c>
      <c r="E71" s="29"/>
      <c r="F71" s="29" t="s">
        <v>49</v>
      </c>
      <c r="G71" s="30">
        <v>227</v>
      </c>
      <c r="H71" s="32">
        <v>326</v>
      </c>
      <c r="I71" s="29"/>
      <c r="J71" s="29" t="s">
        <v>49</v>
      </c>
      <c r="K71" s="30">
        <v>253</v>
      </c>
      <c r="L71" s="32">
        <v>397</v>
      </c>
      <c r="M71" s="29"/>
      <c r="N71" s="29" t="s">
        <v>49</v>
      </c>
      <c r="O71" s="30">
        <v>87</v>
      </c>
      <c r="P71" s="32">
        <v>143</v>
      </c>
      <c r="Q71" s="30"/>
      <c r="R71" s="29" t="s">
        <v>49</v>
      </c>
      <c r="S71" s="30">
        <v>46</v>
      </c>
      <c r="T71" s="32">
        <v>83</v>
      </c>
      <c r="U71" s="29"/>
      <c r="V71" s="29" t="s">
        <v>49</v>
      </c>
      <c r="W71" s="30">
        <v>47</v>
      </c>
      <c r="X71" s="32">
        <v>53</v>
      </c>
      <c r="Y71" s="29"/>
      <c r="Z71" s="29" t="s">
        <v>49</v>
      </c>
      <c r="AA71" s="30">
        <v>71</v>
      </c>
      <c r="AB71" s="32">
        <v>94</v>
      </c>
      <c r="AC71" s="29"/>
      <c r="AD71" s="29" t="s">
        <v>49</v>
      </c>
      <c r="AE71" s="30">
        <v>31</v>
      </c>
      <c r="AF71" s="32">
        <v>49</v>
      </c>
      <c r="AG71" s="29"/>
      <c r="AH71" s="29" t="s">
        <v>49</v>
      </c>
      <c r="AI71" s="30">
        <v>19</v>
      </c>
      <c r="AJ71" s="32">
        <v>30</v>
      </c>
      <c r="AK71" s="29"/>
      <c r="AL71" s="29" t="s">
        <v>49</v>
      </c>
      <c r="AM71" s="30">
        <v>24</v>
      </c>
      <c r="AN71" s="33">
        <v>30</v>
      </c>
    </row>
    <row r="72" spans="1:43" outlineLevel="1" x14ac:dyDescent="0.25">
      <c r="A72" s="28"/>
      <c r="B72" s="29" t="s">
        <v>51</v>
      </c>
      <c r="C72" s="30">
        <v>44</v>
      </c>
      <c r="D72" s="32">
        <v>49</v>
      </c>
      <c r="E72" s="29"/>
      <c r="F72" s="29" t="s">
        <v>51</v>
      </c>
      <c r="G72" s="30">
        <v>40</v>
      </c>
      <c r="H72" s="32">
        <v>69</v>
      </c>
      <c r="I72" s="29"/>
      <c r="J72" s="29" t="s">
        <v>51</v>
      </c>
      <c r="K72" s="30">
        <v>47</v>
      </c>
      <c r="L72" s="32">
        <v>66</v>
      </c>
      <c r="M72" s="29"/>
      <c r="N72" s="29" t="s">
        <v>51</v>
      </c>
      <c r="O72" s="30">
        <v>16</v>
      </c>
      <c r="P72" s="32">
        <v>24</v>
      </c>
      <c r="Q72" s="30"/>
      <c r="R72" s="29" t="s">
        <v>51</v>
      </c>
      <c r="S72" s="30">
        <v>18</v>
      </c>
      <c r="T72" s="32">
        <v>17</v>
      </c>
      <c r="U72" s="29"/>
      <c r="V72" s="29" t="s">
        <v>51</v>
      </c>
      <c r="W72" s="30">
        <v>7</v>
      </c>
      <c r="X72" s="32">
        <v>16</v>
      </c>
      <c r="Y72" s="29"/>
      <c r="Z72" s="29" t="s">
        <v>51</v>
      </c>
      <c r="AA72" s="30">
        <v>11</v>
      </c>
      <c r="AB72" s="32">
        <v>23</v>
      </c>
      <c r="AC72" s="29"/>
      <c r="AD72" s="29" t="s">
        <v>51</v>
      </c>
      <c r="AE72" s="30">
        <v>6</v>
      </c>
      <c r="AF72" s="32">
        <v>6</v>
      </c>
      <c r="AG72" s="29"/>
      <c r="AH72" s="29" t="s">
        <v>51</v>
      </c>
      <c r="AI72" s="30">
        <v>4</v>
      </c>
      <c r="AJ72" s="32">
        <v>7</v>
      </c>
      <c r="AK72" s="29"/>
      <c r="AL72" s="29" t="s">
        <v>51</v>
      </c>
      <c r="AM72" s="30">
        <v>1</v>
      </c>
      <c r="AN72" s="33">
        <v>5</v>
      </c>
    </row>
    <row r="73" spans="1:43" outlineLevel="1" x14ac:dyDescent="0.25">
      <c r="A73" s="28"/>
      <c r="B73" s="29" t="s">
        <v>53</v>
      </c>
      <c r="C73" s="30">
        <v>5</v>
      </c>
      <c r="D73" s="32">
        <v>6</v>
      </c>
      <c r="E73" s="29"/>
      <c r="F73" s="29" t="s">
        <v>53</v>
      </c>
      <c r="G73" s="30">
        <v>4</v>
      </c>
      <c r="H73" s="32">
        <v>12</v>
      </c>
      <c r="I73" s="29"/>
      <c r="J73" s="29" t="s">
        <v>53</v>
      </c>
      <c r="K73" s="30">
        <v>7</v>
      </c>
      <c r="L73" s="32">
        <v>4</v>
      </c>
      <c r="M73" s="29"/>
      <c r="N73" s="29" t="s">
        <v>53</v>
      </c>
      <c r="O73" s="30">
        <v>2</v>
      </c>
      <c r="P73" s="32">
        <v>1</v>
      </c>
      <c r="Q73" s="30"/>
      <c r="R73" s="29" t="s">
        <v>53</v>
      </c>
      <c r="S73" s="30">
        <v>1</v>
      </c>
      <c r="T73" s="32">
        <v>2</v>
      </c>
      <c r="U73" s="29"/>
      <c r="V73" s="29" t="s">
        <v>53</v>
      </c>
      <c r="W73" s="30">
        <v>1</v>
      </c>
      <c r="X73" s="32">
        <v>3</v>
      </c>
      <c r="Y73" s="29"/>
      <c r="Z73" s="29" t="s">
        <v>53</v>
      </c>
      <c r="AA73" s="30">
        <v>0</v>
      </c>
      <c r="AB73" s="32">
        <v>2</v>
      </c>
      <c r="AC73" s="29"/>
      <c r="AD73" s="29" t="s">
        <v>53</v>
      </c>
      <c r="AE73" s="30">
        <v>1</v>
      </c>
      <c r="AF73" s="32">
        <v>0</v>
      </c>
      <c r="AG73" s="29"/>
      <c r="AH73" s="29" t="s">
        <v>53</v>
      </c>
      <c r="AI73" s="30">
        <v>0</v>
      </c>
      <c r="AJ73" s="32">
        <v>0</v>
      </c>
      <c r="AK73" s="29"/>
      <c r="AL73" s="29" t="s">
        <v>53</v>
      </c>
      <c r="AM73" s="30">
        <v>0</v>
      </c>
      <c r="AN73" s="33">
        <v>0</v>
      </c>
    </row>
    <row r="74" spans="1:43" outlineLevel="1" x14ac:dyDescent="0.25">
      <c r="A74" s="28"/>
      <c r="B74" s="30"/>
      <c r="C74" s="30" t="s">
        <v>55</v>
      </c>
      <c r="D74" s="30"/>
      <c r="E74" s="30"/>
      <c r="F74" s="30"/>
      <c r="G74" s="30" t="s">
        <v>55</v>
      </c>
      <c r="H74" s="30"/>
      <c r="I74" s="30"/>
      <c r="J74" s="30"/>
      <c r="K74" s="30" t="s">
        <v>55</v>
      </c>
      <c r="L74" s="30"/>
      <c r="M74" s="30"/>
      <c r="N74" s="30"/>
      <c r="O74" s="30" t="s">
        <v>55</v>
      </c>
      <c r="P74" s="30"/>
      <c r="Q74" s="30"/>
      <c r="R74" s="30"/>
      <c r="S74" s="30" t="s">
        <v>55</v>
      </c>
      <c r="T74" s="30"/>
      <c r="U74" s="30"/>
      <c r="V74" s="30"/>
      <c r="W74" s="30" t="s">
        <v>55</v>
      </c>
      <c r="X74" s="30"/>
      <c r="Y74" s="30"/>
      <c r="Z74" s="30"/>
      <c r="AA74" s="30" t="s">
        <v>55</v>
      </c>
      <c r="AB74" s="30"/>
      <c r="AC74" s="30"/>
      <c r="AD74" s="30"/>
      <c r="AE74" s="30" t="s">
        <v>55</v>
      </c>
      <c r="AF74" s="30"/>
      <c r="AG74" s="30"/>
      <c r="AH74" s="30"/>
      <c r="AI74" s="30" t="s">
        <v>55</v>
      </c>
      <c r="AJ74" s="30"/>
      <c r="AK74" s="30"/>
      <c r="AL74" s="30"/>
      <c r="AM74" s="30" t="s">
        <v>55</v>
      </c>
      <c r="AN74" s="31"/>
    </row>
    <row r="75" spans="1:43" outlineLevel="1" x14ac:dyDescent="0.25">
      <c r="A75" s="28"/>
      <c r="B75" s="29" t="s">
        <v>18</v>
      </c>
      <c r="C75" s="30">
        <v>20212</v>
      </c>
      <c r="D75" s="32">
        <v>18443</v>
      </c>
      <c r="E75" s="30"/>
      <c r="F75" s="29" t="s">
        <v>18</v>
      </c>
      <c r="G75" s="30">
        <v>32823</v>
      </c>
      <c r="H75" s="32">
        <v>30001</v>
      </c>
      <c r="I75" s="30"/>
      <c r="J75" s="29" t="s">
        <v>18</v>
      </c>
      <c r="K75" s="30">
        <v>32586</v>
      </c>
      <c r="L75" s="32">
        <v>30778</v>
      </c>
      <c r="M75" s="30"/>
      <c r="N75" s="29" t="s">
        <v>18</v>
      </c>
      <c r="O75" s="30">
        <v>15661</v>
      </c>
      <c r="P75" s="32">
        <v>15312</v>
      </c>
      <c r="Q75" s="30"/>
      <c r="R75" s="29" t="s">
        <v>18</v>
      </c>
      <c r="S75" s="30">
        <v>6535</v>
      </c>
      <c r="T75" s="32">
        <v>6123</v>
      </c>
      <c r="U75" s="30"/>
      <c r="V75" s="29" t="s">
        <v>18</v>
      </c>
      <c r="W75" s="30">
        <v>5093</v>
      </c>
      <c r="X75" s="32">
        <v>4644</v>
      </c>
      <c r="Y75" s="30"/>
      <c r="Z75" s="29" t="s">
        <v>18</v>
      </c>
      <c r="AA75" s="30">
        <v>7448</v>
      </c>
      <c r="AB75" s="32">
        <v>6516</v>
      </c>
      <c r="AC75" s="29"/>
      <c r="AD75" s="29" t="s">
        <v>18</v>
      </c>
      <c r="AE75" s="30">
        <v>4281</v>
      </c>
      <c r="AF75" s="32">
        <v>4404</v>
      </c>
      <c r="AG75" s="30"/>
      <c r="AH75" s="29" t="s">
        <v>18</v>
      </c>
      <c r="AI75" s="30">
        <v>6552</v>
      </c>
      <c r="AJ75" s="32">
        <v>6424</v>
      </c>
      <c r="AK75" s="30"/>
      <c r="AL75" s="29" t="s">
        <v>18</v>
      </c>
      <c r="AM75" s="30">
        <v>3066</v>
      </c>
      <c r="AN75" s="33">
        <v>2821</v>
      </c>
    </row>
    <row r="76" spans="1:43" outlineLevel="1" x14ac:dyDescent="0.25">
      <c r="A76" s="28"/>
      <c r="B76" s="29" t="s">
        <v>20</v>
      </c>
      <c r="C76" s="30">
        <v>623</v>
      </c>
      <c r="D76" s="32">
        <v>531</v>
      </c>
      <c r="E76" s="30"/>
      <c r="F76" s="29" t="s">
        <v>20</v>
      </c>
      <c r="G76" s="30">
        <v>969</v>
      </c>
      <c r="H76" s="32">
        <v>844</v>
      </c>
      <c r="I76" s="30"/>
      <c r="J76" s="29" t="s">
        <v>20</v>
      </c>
      <c r="K76" s="30">
        <v>875</v>
      </c>
      <c r="L76" s="32">
        <v>871</v>
      </c>
      <c r="M76" s="30"/>
      <c r="N76" s="29" t="s">
        <v>20</v>
      </c>
      <c r="O76" s="30">
        <v>555</v>
      </c>
      <c r="P76" s="32">
        <v>553</v>
      </c>
      <c r="Q76" s="30"/>
      <c r="R76" s="29" t="s">
        <v>20</v>
      </c>
      <c r="S76" s="30">
        <v>183</v>
      </c>
      <c r="T76" s="32">
        <v>166</v>
      </c>
      <c r="U76" s="30"/>
      <c r="V76" s="29" t="s">
        <v>20</v>
      </c>
      <c r="W76" s="30">
        <v>97</v>
      </c>
      <c r="X76" s="32">
        <v>96</v>
      </c>
      <c r="Y76" s="30"/>
      <c r="Z76" s="29" t="s">
        <v>20</v>
      </c>
      <c r="AA76" s="30">
        <v>182</v>
      </c>
      <c r="AB76" s="32">
        <v>120</v>
      </c>
      <c r="AC76" s="29"/>
      <c r="AD76" s="29" t="s">
        <v>20</v>
      </c>
      <c r="AE76" s="30">
        <v>171</v>
      </c>
      <c r="AF76" s="32">
        <v>226</v>
      </c>
      <c r="AG76" s="30"/>
      <c r="AH76" s="29" t="s">
        <v>20</v>
      </c>
      <c r="AI76" s="30">
        <v>258</v>
      </c>
      <c r="AJ76" s="32">
        <v>257</v>
      </c>
      <c r="AK76" s="30"/>
      <c r="AL76" s="29" t="s">
        <v>20</v>
      </c>
      <c r="AM76" s="30">
        <v>83</v>
      </c>
      <c r="AN76" s="33">
        <v>72</v>
      </c>
    </row>
    <row r="77" spans="1:43" outlineLevel="1" x14ac:dyDescent="0.25">
      <c r="A77" s="28"/>
      <c r="B77" s="29" t="s">
        <v>22</v>
      </c>
      <c r="C77" s="30">
        <v>699</v>
      </c>
      <c r="D77" s="32">
        <v>646</v>
      </c>
      <c r="E77" s="30"/>
      <c r="F77" s="29" t="s">
        <v>22</v>
      </c>
      <c r="G77" s="30">
        <v>1196</v>
      </c>
      <c r="H77" s="32">
        <v>864</v>
      </c>
      <c r="I77" s="30"/>
      <c r="J77" s="29" t="s">
        <v>22</v>
      </c>
      <c r="K77" s="30">
        <v>1128</v>
      </c>
      <c r="L77" s="32">
        <v>1019</v>
      </c>
      <c r="M77" s="30"/>
      <c r="N77" s="29" t="s">
        <v>22</v>
      </c>
      <c r="O77" s="30">
        <v>693</v>
      </c>
      <c r="P77" s="32">
        <v>607</v>
      </c>
      <c r="Q77" s="30"/>
      <c r="R77" s="29" t="s">
        <v>22</v>
      </c>
      <c r="S77" s="30">
        <v>239</v>
      </c>
      <c r="T77" s="32">
        <v>196</v>
      </c>
      <c r="U77" s="30"/>
      <c r="V77" s="29" t="s">
        <v>22</v>
      </c>
      <c r="W77" s="30">
        <v>168</v>
      </c>
      <c r="X77" s="32">
        <v>110</v>
      </c>
      <c r="Y77" s="30"/>
      <c r="Z77" s="29" t="s">
        <v>22</v>
      </c>
      <c r="AA77" s="30">
        <v>233</v>
      </c>
      <c r="AB77" s="32">
        <v>166</v>
      </c>
      <c r="AC77" s="29"/>
      <c r="AD77" s="29" t="s">
        <v>22</v>
      </c>
      <c r="AE77" s="30">
        <v>207</v>
      </c>
      <c r="AF77" s="32">
        <v>202</v>
      </c>
      <c r="AG77" s="30"/>
      <c r="AH77" s="29" t="s">
        <v>22</v>
      </c>
      <c r="AI77" s="30">
        <v>291</v>
      </c>
      <c r="AJ77" s="32">
        <v>272</v>
      </c>
      <c r="AK77" s="30"/>
      <c r="AL77" s="29" t="s">
        <v>22</v>
      </c>
      <c r="AM77" s="30">
        <v>110</v>
      </c>
      <c r="AN77" s="33">
        <v>84</v>
      </c>
    </row>
    <row r="78" spans="1:43" outlineLevel="1" x14ac:dyDescent="0.25">
      <c r="A78" s="28"/>
      <c r="B78" s="29" t="s">
        <v>23</v>
      </c>
      <c r="C78" s="30">
        <v>855</v>
      </c>
      <c r="D78" s="32">
        <v>696</v>
      </c>
      <c r="E78" s="30"/>
      <c r="F78" s="29" t="s">
        <v>23</v>
      </c>
      <c r="G78" s="30">
        <v>1438</v>
      </c>
      <c r="H78" s="32">
        <v>1057</v>
      </c>
      <c r="I78" s="30"/>
      <c r="J78" s="29" t="s">
        <v>23</v>
      </c>
      <c r="K78" s="30">
        <v>1467</v>
      </c>
      <c r="L78" s="32">
        <v>1152</v>
      </c>
      <c r="M78" s="30"/>
      <c r="N78" s="29" t="s">
        <v>23</v>
      </c>
      <c r="O78" s="30">
        <v>722</v>
      </c>
      <c r="P78" s="32">
        <v>720</v>
      </c>
      <c r="Q78" s="30"/>
      <c r="R78" s="29" t="s">
        <v>23</v>
      </c>
      <c r="S78" s="30">
        <v>257</v>
      </c>
      <c r="T78" s="32">
        <v>246</v>
      </c>
      <c r="U78" s="30"/>
      <c r="V78" s="29" t="s">
        <v>23</v>
      </c>
      <c r="W78" s="30">
        <v>227</v>
      </c>
      <c r="X78" s="32">
        <v>171</v>
      </c>
      <c r="Y78" s="30"/>
      <c r="Z78" s="29" t="s">
        <v>23</v>
      </c>
      <c r="AA78" s="30">
        <v>276</v>
      </c>
      <c r="AB78" s="32">
        <v>225</v>
      </c>
      <c r="AC78" s="29"/>
      <c r="AD78" s="29" t="s">
        <v>23</v>
      </c>
      <c r="AE78" s="30">
        <v>175</v>
      </c>
      <c r="AF78" s="32">
        <v>211</v>
      </c>
      <c r="AG78" s="30"/>
      <c r="AH78" s="29" t="s">
        <v>23</v>
      </c>
      <c r="AI78" s="30">
        <v>340</v>
      </c>
      <c r="AJ78" s="32">
        <v>309</v>
      </c>
      <c r="AK78" s="30"/>
      <c r="AL78" s="29" t="s">
        <v>23</v>
      </c>
      <c r="AM78" s="30">
        <v>126</v>
      </c>
      <c r="AN78" s="33">
        <v>108</v>
      </c>
    </row>
    <row r="79" spans="1:43" outlineLevel="1" x14ac:dyDescent="0.25">
      <c r="A79" s="28"/>
      <c r="B79" s="29" t="s">
        <v>24</v>
      </c>
      <c r="C79" s="30">
        <v>1019</v>
      </c>
      <c r="D79" s="32">
        <v>813</v>
      </c>
      <c r="E79" s="30"/>
      <c r="F79" s="29" t="s">
        <v>24</v>
      </c>
      <c r="G79" s="30">
        <v>1425</v>
      </c>
      <c r="H79" s="32">
        <v>1326</v>
      </c>
      <c r="I79" s="30"/>
      <c r="J79" s="29" t="s">
        <v>24</v>
      </c>
      <c r="K79" s="30">
        <v>1608</v>
      </c>
      <c r="L79" s="32">
        <v>1435</v>
      </c>
      <c r="M79" s="30"/>
      <c r="N79" s="29" t="s">
        <v>24</v>
      </c>
      <c r="O79" s="30">
        <v>825</v>
      </c>
      <c r="P79" s="32">
        <v>736</v>
      </c>
      <c r="Q79" s="30"/>
      <c r="R79" s="29" t="s">
        <v>24</v>
      </c>
      <c r="S79" s="30">
        <v>293</v>
      </c>
      <c r="T79" s="32">
        <v>283</v>
      </c>
      <c r="U79" s="30"/>
      <c r="V79" s="29" t="s">
        <v>24</v>
      </c>
      <c r="W79" s="30">
        <v>239</v>
      </c>
      <c r="X79" s="32">
        <v>213</v>
      </c>
      <c r="Y79" s="30"/>
      <c r="Z79" s="29" t="s">
        <v>24</v>
      </c>
      <c r="AA79" s="30">
        <v>340</v>
      </c>
      <c r="AB79" s="32">
        <v>267</v>
      </c>
      <c r="AC79" s="29"/>
      <c r="AD79" s="29" t="s">
        <v>24</v>
      </c>
      <c r="AE79" s="30">
        <v>185</v>
      </c>
      <c r="AF79" s="32">
        <v>173</v>
      </c>
      <c r="AG79" s="30"/>
      <c r="AH79" s="29" t="s">
        <v>24</v>
      </c>
      <c r="AI79" s="30">
        <v>356</v>
      </c>
      <c r="AJ79" s="32">
        <v>321</v>
      </c>
      <c r="AK79" s="30"/>
      <c r="AL79" s="29" t="s">
        <v>24</v>
      </c>
      <c r="AM79" s="30">
        <v>138</v>
      </c>
      <c r="AN79" s="33">
        <v>118</v>
      </c>
    </row>
    <row r="80" spans="1:43" outlineLevel="1" x14ac:dyDescent="0.25">
      <c r="A80" s="28"/>
      <c r="B80" s="29" t="s">
        <v>25</v>
      </c>
      <c r="C80" s="30">
        <v>1007</v>
      </c>
      <c r="D80" s="32">
        <v>734</v>
      </c>
      <c r="E80" s="30"/>
      <c r="F80" s="29" t="s">
        <v>25</v>
      </c>
      <c r="G80" s="30">
        <v>1286</v>
      </c>
      <c r="H80" s="32">
        <v>1115</v>
      </c>
      <c r="I80" s="30"/>
      <c r="J80" s="29" t="s">
        <v>25</v>
      </c>
      <c r="K80" s="30">
        <v>1347</v>
      </c>
      <c r="L80" s="32">
        <v>1264</v>
      </c>
      <c r="M80" s="30"/>
      <c r="N80" s="29" t="s">
        <v>25</v>
      </c>
      <c r="O80" s="30">
        <v>725</v>
      </c>
      <c r="P80" s="32">
        <v>644</v>
      </c>
      <c r="Q80" s="30"/>
      <c r="R80" s="29" t="s">
        <v>25</v>
      </c>
      <c r="S80" s="30">
        <v>274</v>
      </c>
      <c r="T80" s="32">
        <v>232</v>
      </c>
      <c r="U80" s="30"/>
      <c r="V80" s="29" t="s">
        <v>25</v>
      </c>
      <c r="W80" s="30">
        <v>202</v>
      </c>
      <c r="X80" s="32">
        <v>174</v>
      </c>
      <c r="Y80" s="30"/>
      <c r="Z80" s="29" t="s">
        <v>25</v>
      </c>
      <c r="AA80" s="30">
        <v>273</v>
      </c>
      <c r="AB80" s="32">
        <v>251</v>
      </c>
      <c r="AC80" s="29"/>
      <c r="AD80" s="29" t="s">
        <v>25</v>
      </c>
      <c r="AE80" s="30">
        <v>198</v>
      </c>
      <c r="AF80" s="32">
        <v>173</v>
      </c>
      <c r="AG80" s="30"/>
      <c r="AH80" s="29" t="s">
        <v>25</v>
      </c>
      <c r="AI80" s="30">
        <v>299</v>
      </c>
      <c r="AJ80" s="32">
        <v>303</v>
      </c>
      <c r="AK80" s="30"/>
      <c r="AL80" s="29" t="s">
        <v>25</v>
      </c>
      <c r="AM80" s="30">
        <v>131</v>
      </c>
      <c r="AN80" s="33">
        <v>121</v>
      </c>
    </row>
    <row r="81" spans="1:40" outlineLevel="1" x14ac:dyDescent="0.25">
      <c r="A81" s="28"/>
      <c r="B81" s="29" t="s">
        <v>26</v>
      </c>
      <c r="C81" s="30">
        <v>867</v>
      </c>
      <c r="D81" s="32">
        <v>710</v>
      </c>
      <c r="E81" s="30"/>
      <c r="F81" s="29" t="s">
        <v>26</v>
      </c>
      <c r="G81" s="30">
        <v>1183</v>
      </c>
      <c r="H81" s="32">
        <v>1102</v>
      </c>
      <c r="I81" s="30"/>
      <c r="J81" s="29" t="s">
        <v>26</v>
      </c>
      <c r="K81" s="30">
        <v>1316</v>
      </c>
      <c r="L81" s="32">
        <v>1064</v>
      </c>
      <c r="M81" s="30"/>
      <c r="N81" s="29" t="s">
        <v>26</v>
      </c>
      <c r="O81" s="30">
        <v>796</v>
      </c>
      <c r="P81" s="32">
        <v>641</v>
      </c>
      <c r="Q81" s="30"/>
      <c r="R81" s="29" t="s">
        <v>26</v>
      </c>
      <c r="S81" s="30">
        <v>263</v>
      </c>
      <c r="T81" s="32">
        <v>186</v>
      </c>
      <c r="U81" s="30"/>
      <c r="V81" s="29" t="s">
        <v>26</v>
      </c>
      <c r="W81" s="30">
        <v>175</v>
      </c>
      <c r="X81" s="32">
        <v>134</v>
      </c>
      <c r="Y81" s="30"/>
      <c r="Z81" s="29" t="s">
        <v>26</v>
      </c>
      <c r="AA81" s="30">
        <v>257</v>
      </c>
      <c r="AB81" s="32">
        <v>178</v>
      </c>
      <c r="AC81" s="29"/>
      <c r="AD81" s="29" t="s">
        <v>26</v>
      </c>
      <c r="AE81" s="30">
        <v>216</v>
      </c>
      <c r="AF81" s="32">
        <v>231</v>
      </c>
      <c r="AG81" s="30"/>
      <c r="AH81" s="29" t="s">
        <v>26</v>
      </c>
      <c r="AI81" s="30">
        <v>295</v>
      </c>
      <c r="AJ81" s="32">
        <v>249</v>
      </c>
      <c r="AK81" s="30"/>
      <c r="AL81" s="29" t="s">
        <v>26</v>
      </c>
      <c r="AM81" s="30">
        <v>159</v>
      </c>
      <c r="AN81" s="33">
        <v>95</v>
      </c>
    </row>
    <row r="82" spans="1:40" outlineLevel="1" x14ac:dyDescent="0.25">
      <c r="A82" s="28"/>
      <c r="B82" s="29" t="s">
        <v>27</v>
      </c>
      <c r="C82" s="30">
        <v>911</v>
      </c>
      <c r="D82" s="32">
        <v>799</v>
      </c>
      <c r="E82" s="30"/>
      <c r="F82" s="29" t="s">
        <v>27</v>
      </c>
      <c r="G82" s="30">
        <v>1369</v>
      </c>
      <c r="H82" s="32">
        <v>1149</v>
      </c>
      <c r="I82" s="30"/>
      <c r="J82" s="29" t="s">
        <v>27</v>
      </c>
      <c r="K82" s="30">
        <v>1423</v>
      </c>
      <c r="L82" s="32">
        <v>1263</v>
      </c>
      <c r="M82" s="30"/>
      <c r="N82" s="29" t="s">
        <v>27</v>
      </c>
      <c r="O82" s="30">
        <v>941</v>
      </c>
      <c r="P82" s="32">
        <v>796</v>
      </c>
      <c r="Q82" s="30"/>
      <c r="R82" s="29" t="s">
        <v>27</v>
      </c>
      <c r="S82" s="30">
        <v>283</v>
      </c>
      <c r="T82" s="32">
        <v>237</v>
      </c>
      <c r="U82" s="30"/>
      <c r="V82" s="29" t="s">
        <v>27</v>
      </c>
      <c r="W82" s="30">
        <v>187</v>
      </c>
      <c r="X82" s="32">
        <v>159</v>
      </c>
      <c r="Y82" s="30"/>
      <c r="Z82" s="29" t="s">
        <v>27</v>
      </c>
      <c r="AA82" s="30">
        <v>285</v>
      </c>
      <c r="AB82" s="32">
        <v>226</v>
      </c>
      <c r="AC82" s="29"/>
      <c r="AD82" s="29" t="s">
        <v>27</v>
      </c>
      <c r="AE82" s="30">
        <v>264</v>
      </c>
      <c r="AF82" s="32">
        <v>267</v>
      </c>
      <c r="AG82" s="30"/>
      <c r="AH82" s="29" t="s">
        <v>27</v>
      </c>
      <c r="AI82" s="30">
        <v>376</v>
      </c>
      <c r="AJ82" s="32">
        <v>329</v>
      </c>
      <c r="AK82" s="30"/>
      <c r="AL82" s="29" t="s">
        <v>27</v>
      </c>
      <c r="AM82" s="30">
        <v>157</v>
      </c>
      <c r="AN82" s="33">
        <v>136</v>
      </c>
    </row>
    <row r="83" spans="1:40" outlineLevel="1" x14ac:dyDescent="0.25">
      <c r="A83" s="28"/>
      <c r="B83" s="29" t="s">
        <v>28</v>
      </c>
      <c r="C83" s="30">
        <v>929</v>
      </c>
      <c r="D83" s="32">
        <v>832</v>
      </c>
      <c r="E83" s="30"/>
      <c r="F83" s="29" t="s">
        <v>28</v>
      </c>
      <c r="G83" s="30">
        <v>1858</v>
      </c>
      <c r="H83" s="32">
        <v>1321</v>
      </c>
      <c r="I83" s="30"/>
      <c r="J83" s="29" t="s">
        <v>28</v>
      </c>
      <c r="K83" s="30">
        <v>1654</v>
      </c>
      <c r="L83" s="32">
        <v>1448</v>
      </c>
      <c r="M83" s="30"/>
      <c r="N83" s="29" t="s">
        <v>28</v>
      </c>
      <c r="O83" s="30">
        <v>959</v>
      </c>
      <c r="P83" s="32">
        <v>996</v>
      </c>
      <c r="Q83" s="30"/>
      <c r="R83" s="29" t="s">
        <v>28</v>
      </c>
      <c r="S83" s="30">
        <v>336</v>
      </c>
      <c r="T83" s="32">
        <v>285</v>
      </c>
      <c r="U83" s="30"/>
      <c r="V83" s="29" t="s">
        <v>28</v>
      </c>
      <c r="W83" s="30">
        <v>248</v>
      </c>
      <c r="X83" s="32">
        <v>196</v>
      </c>
      <c r="Y83" s="30"/>
      <c r="Z83" s="29" t="s">
        <v>28</v>
      </c>
      <c r="AA83" s="30">
        <v>333</v>
      </c>
      <c r="AB83" s="32">
        <v>264</v>
      </c>
      <c r="AC83" s="29"/>
      <c r="AD83" s="29" t="s">
        <v>28</v>
      </c>
      <c r="AE83" s="30">
        <v>271</v>
      </c>
      <c r="AF83" s="32">
        <v>292</v>
      </c>
      <c r="AG83" s="30"/>
      <c r="AH83" s="29" t="s">
        <v>28</v>
      </c>
      <c r="AI83" s="30">
        <v>439</v>
      </c>
      <c r="AJ83" s="32">
        <v>387</v>
      </c>
      <c r="AK83" s="30"/>
      <c r="AL83" s="29" t="s">
        <v>28</v>
      </c>
      <c r="AM83" s="30">
        <v>169</v>
      </c>
      <c r="AN83" s="33">
        <v>148</v>
      </c>
    </row>
    <row r="84" spans="1:40" outlineLevel="1" x14ac:dyDescent="0.25">
      <c r="A84" s="28"/>
      <c r="B84" s="29" t="s">
        <v>29</v>
      </c>
      <c r="C84" s="30">
        <v>983</v>
      </c>
      <c r="D84" s="32">
        <v>898</v>
      </c>
      <c r="E84" s="30"/>
      <c r="F84" s="29" t="s">
        <v>29</v>
      </c>
      <c r="G84" s="30">
        <v>1967</v>
      </c>
      <c r="H84" s="32">
        <v>1749</v>
      </c>
      <c r="I84" s="30"/>
      <c r="J84" s="29" t="s">
        <v>29</v>
      </c>
      <c r="K84" s="30">
        <v>1959</v>
      </c>
      <c r="L84" s="32">
        <v>1639</v>
      </c>
      <c r="M84" s="30"/>
      <c r="N84" s="29" t="s">
        <v>29</v>
      </c>
      <c r="O84" s="30">
        <v>972</v>
      </c>
      <c r="P84" s="32">
        <v>1000</v>
      </c>
      <c r="Q84" s="30"/>
      <c r="R84" s="29" t="s">
        <v>29</v>
      </c>
      <c r="S84" s="30">
        <v>356</v>
      </c>
      <c r="T84" s="32">
        <v>342</v>
      </c>
      <c r="U84" s="30"/>
      <c r="V84" s="29" t="s">
        <v>29</v>
      </c>
      <c r="W84" s="30">
        <v>281</v>
      </c>
      <c r="X84" s="32">
        <v>244</v>
      </c>
      <c r="Y84" s="30"/>
      <c r="Z84" s="29" t="s">
        <v>29</v>
      </c>
      <c r="AA84" s="30">
        <v>393</v>
      </c>
      <c r="AB84" s="32">
        <v>314</v>
      </c>
      <c r="AC84" s="29"/>
      <c r="AD84" s="29" t="s">
        <v>29</v>
      </c>
      <c r="AE84" s="30">
        <v>254</v>
      </c>
      <c r="AF84" s="32">
        <v>289</v>
      </c>
      <c r="AG84" s="30"/>
      <c r="AH84" s="29" t="s">
        <v>29</v>
      </c>
      <c r="AI84" s="30">
        <v>409</v>
      </c>
      <c r="AJ84" s="32">
        <v>443</v>
      </c>
      <c r="AK84" s="30"/>
      <c r="AL84" s="29" t="s">
        <v>29</v>
      </c>
      <c r="AM84" s="30">
        <v>134</v>
      </c>
      <c r="AN84" s="33">
        <v>160</v>
      </c>
    </row>
    <row r="85" spans="1:40" outlineLevel="1" x14ac:dyDescent="0.25">
      <c r="A85" s="28"/>
      <c r="B85" s="29" t="s">
        <v>31</v>
      </c>
      <c r="C85" s="30">
        <v>1145</v>
      </c>
      <c r="D85" s="32">
        <v>945</v>
      </c>
      <c r="E85" s="30"/>
      <c r="F85" s="29" t="s">
        <v>31</v>
      </c>
      <c r="G85" s="30">
        <v>1718</v>
      </c>
      <c r="H85" s="32">
        <v>1885</v>
      </c>
      <c r="I85" s="30"/>
      <c r="J85" s="29" t="s">
        <v>31</v>
      </c>
      <c r="K85" s="30">
        <v>1937</v>
      </c>
      <c r="L85" s="32">
        <v>1940</v>
      </c>
      <c r="M85" s="30"/>
      <c r="N85" s="29" t="s">
        <v>31</v>
      </c>
      <c r="O85" s="30">
        <v>913</v>
      </c>
      <c r="P85" s="32">
        <v>987</v>
      </c>
      <c r="Q85" s="30"/>
      <c r="R85" s="29" t="s">
        <v>31</v>
      </c>
      <c r="S85" s="30">
        <v>331</v>
      </c>
      <c r="T85" s="32">
        <v>361</v>
      </c>
      <c r="U85" s="30"/>
      <c r="V85" s="29" t="s">
        <v>31</v>
      </c>
      <c r="W85" s="30">
        <v>257</v>
      </c>
      <c r="X85" s="32">
        <v>279</v>
      </c>
      <c r="Y85" s="30"/>
      <c r="Z85" s="29" t="s">
        <v>31</v>
      </c>
      <c r="AA85" s="30">
        <v>368</v>
      </c>
      <c r="AB85" s="32">
        <v>371</v>
      </c>
      <c r="AC85" s="29"/>
      <c r="AD85" s="29" t="s">
        <v>31</v>
      </c>
      <c r="AE85" s="30">
        <v>188</v>
      </c>
      <c r="AF85" s="32">
        <v>254</v>
      </c>
      <c r="AG85" s="30"/>
      <c r="AH85" s="29" t="s">
        <v>31</v>
      </c>
      <c r="AI85" s="30">
        <v>342</v>
      </c>
      <c r="AJ85" s="32">
        <v>412</v>
      </c>
      <c r="AK85" s="30"/>
      <c r="AL85" s="29" t="s">
        <v>31</v>
      </c>
      <c r="AM85" s="30">
        <v>127</v>
      </c>
      <c r="AN85" s="33">
        <v>136</v>
      </c>
    </row>
    <row r="86" spans="1:40" outlineLevel="1" x14ac:dyDescent="0.25">
      <c r="A86" s="28"/>
      <c r="B86" s="29" t="s">
        <v>33</v>
      </c>
      <c r="C86" s="30">
        <v>1316</v>
      </c>
      <c r="D86" s="32">
        <v>1117</v>
      </c>
      <c r="E86" s="30"/>
      <c r="F86" s="29" t="s">
        <v>33</v>
      </c>
      <c r="G86" s="30">
        <v>1925</v>
      </c>
      <c r="H86" s="32">
        <v>1672</v>
      </c>
      <c r="I86" s="30"/>
      <c r="J86" s="29" t="s">
        <v>33</v>
      </c>
      <c r="K86" s="30">
        <v>1948</v>
      </c>
      <c r="L86" s="32">
        <v>1898</v>
      </c>
      <c r="M86" s="30"/>
      <c r="N86" s="29" t="s">
        <v>33</v>
      </c>
      <c r="O86" s="30">
        <v>960</v>
      </c>
      <c r="P86" s="32">
        <v>916</v>
      </c>
      <c r="Q86" s="30"/>
      <c r="R86" s="29" t="s">
        <v>33</v>
      </c>
      <c r="S86" s="30">
        <v>379</v>
      </c>
      <c r="T86" s="32">
        <v>331</v>
      </c>
      <c r="U86" s="30"/>
      <c r="V86" s="29" t="s">
        <v>33</v>
      </c>
      <c r="W86" s="30">
        <v>279</v>
      </c>
      <c r="X86" s="32">
        <v>258</v>
      </c>
      <c r="Y86" s="30"/>
      <c r="Z86" s="29" t="s">
        <v>33</v>
      </c>
      <c r="AA86" s="30">
        <v>425</v>
      </c>
      <c r="AB86" s="32">
        <v>347</v>
      </c>
      <c r="AC86" s="29"/>
      <c r="AD86" s="29" t="s">
        <v>33</v>
      </c>
      <c r="AE86" s="30">
        <v>285</v>
      </c>
      <c r="AF86" s="32">
        <v>195</v>
      </c>
      <c r="AG86" s="30"/>
      <c r="AH86" s="29" t="s">
        <v>33</v>
      </c>
      <c r="AI86" s="30">
        <v>395</v>
      </c>
      <c r="AJ86" s="32">
        <v>341</v>
      </c>
      <c r="AK86" s="30"/>
      <c r="AL86" s="29" t="s">
        <v>33</v>
      </c>
      <c r="AM86" s="30">
        <v>196</v>
      </c>
      <c r="AN86" s="33">
        <v>121</v>
      </c>
    </row>
    <row r="87" spans="1:40" outlineLevel="1" x14ac:dyDescent="0.25">
      <c r="A87" s="28"/>
      <c r="B87" s="29" t="s">
        <v>35</v>
      </c>
      <c r="C87" s="30">
        <v>1496</v>
      </c>
      <c r="D87" s="32">
        <v>1299</v>
      </c>
      <c r="E87" s="30"/>
      <c r="F87" s="29" t="s">
        <v>35</v>
      </c>
      <c r="G87" s="30">
        <v>2358</v>
      </c>
      <c r="H87" s="32">
        <v>1856</v>
      </c>
      <c r="I87" s="30"/>
      <c r="J87" s="29" t="s">
        <v>35</v>
      </c>
      <c r="K87" s="30">
        <v>2187</v>
      </c>
      <c r="L87" s="32">
        <v>1936</v>
      </c>
      <c r="M87" s="30"/>
      <c r="N87" s="29" t="s">
        <v>35</v>
      </c>
      <c r="O87" s="30">
        <v>1087</v>
      </c>
      <c r="P87" s="32">
        <v>964</v>
      </c>
      <c r="Q87" s="30"/>
      <c r="R87" s="29" t="s">
        <v>35</v>
      </c>
      <c r="S87" s="30">
        <v>416</v>
      </c>
      <c r="T87" s="32">
        <v>383</v>
      </c>
      <c r="U87" s="30"/>
      <c r="V87" s="29" t="s">
        <v>35</v>
      </c>
      <c r="W87" s="30">
        <v>321</v>
      </c>
      <c r="X87" s="32">
        <v>282</v>
      </c>
      <c r="Y87" s="30"/>
      <c r="Z87" s="29" t="s">
        <v>35</v>
      </c>
      <c r="AA87" s="30">
        <v>527</v>
      </c>
      <c r="AB87" s="32">
        <v>404</v>
      </c>
      <c r="AC87" s="29"/>
      <c r="AD87" s="29" t="s">
        <v>35</v>
      </c>
      <c r="AE87" s="30">
        <v>306</v>
      </c>
      <c r="AF87" s="32">
        <v>287</v>
      </c>
      <c r="AG87" s="30"/>
      <c r="AH87" s="29" t="s">
        <v>35</v>
      </c>
      <c r="AI87" s="30">
        <v>430</v>
      </c>
      <c r="AJ87" s="32">
        <v>388</v>
      </c>
      <c r="AK87" s="30"/>
      <c r="AL87" s="29" t="s">
        <v>35</v>
      </c>
      <c r="AM87" s="30">
        <v>250</v>
      </c>
      <c r="AN87" s="33">
        <v>190</v>
      </c>
    </row>
    <row r="88" spans="1:40" outlineLevel="1" x14ac:dyDescent="0.25">
      <c r="A88" s="28"/>
      <c r="B88" s="29" t="s">
        <v>37</v>
      </c>
      <c r="C88" s="30">
        <v>1529</v>
      </c>
      <c r="D88" s="32">
        <v>1473</v>
      </c>
      <c r="E88" s="30"/>
      <c r="F88" s="29" t="s">
        <v>37</v>
      </c>
      <c r="G88" s="30">
        <v>2866</v>
      </c>
      <c r="H88" s="32">
        <v>2296</v>
      </c>
      <c r="I88" s="30"/>
      <c r="J88" s="29" t="s">
        <v>37</v>
      </c>
      <c r="K88" s="30">
        <v>2667</v>
      </c>
      <c r="L88" s="32">
        <v>2194</v>
      </c>
      <c r="M88" s="30"/>
      <c r="N88" s="29" t="s">
        <v>37</v>
      </c>
      <c r="O88" s="30">
        <v>1178</v>
      </c>
      <c r="P88" s="32">
        <v>1084</v>
      </c>
      <c r="Q88" s="30"/>
      <c r="R88" s="29" t="s">
        <v>37</v>
      </c>
      <c r="S88" s="30">
        <v>540</v>
      </c>
      <c r="T88" s="32">
        <v>403</v>
      </c>
      <c r="U88" s="30"/>
      <c r="V88" s="29" t="s">
        <v>37</v>
      </c>
      <c r="W88" s="30">
        <v>484</v>
      </c>
      <c r="X88" s="32">
        <v>319</v>
      </c>
      <c r="Y88" s="30"/>
      <c r="Z88" s="29" t="s">
        <v>37</v>
      </c>
      <c r="AA88" s="30">
        <v>654</v>
      </c>
      <c r="AB88" s="32">
        <v>499</v>
      </c>
      <c r="AC88" s="29"/>
      <c r="AD88" s="29" t="s">
        <v>37</v>
      </c>
      <c r="AE88" s="30">
        <v>345</v>
      </c>
      <c r="AF88" s="32">
        <v>313</v>
      </c>
      <c r="AG88" s="30"/>
      <c r="AH88" s="29" t="s">
        <v>37</v>
      </c>
      <c r="AI88" s="30">
        <v>524</v>
      </c>
      <c r="AJ88" s="32">
        <v>433</v>
      </c>
      <c r="AK88" s="30"/>
      <c r="AL88" s="29" t="s">
        <v>37</v>
      </c>
      <c r="AM88" s="30">
        <v>270</v>
      </c>
      <c r="AN88" s="33">
        <v>246</v>
      </c>
    </row>
    <row r="89" spans="1:40" outlineLevel="1" x14ac:dyDescent="0.25">
      <c r="A89" s="28"/>
      <c r="B89" s="29" t="s">
        <v>39</v>
      </c>
      <c r="C89" s="30">
        <v>1151</v>
      </c>
      <c r="D89" s="32">
        <v>1492</v>
      </c>
      <c r="E89" s="30"/>
      <c r="F89" s="29" t="s">
        <v>39</v>
      </c>
      <c r="G89" s="30">
        <v>2575</v>
      </c>
      <c r="H89" s="32">
        <v>2742</v>
      </c>
      <c r="I89" s="30"/>
      <c r="J89" s="29" t="s">
        <v>39</v>
      </c>
      <c r="K89" s="30">
        <v>2392</v>
      </c>
      <c r="L89" s="32">
        <v>2629</v>
      </c>
      <c r="M89" s="30"/>
      <c r="N89" s="29" t="s">
        <v>39</v>
      </c>
      <c r="O89" s="30">
        <v>931</v>
      </c>
      <c r="P89" s="32">
        <v>1153</v>
      </c>
      <c r="Q89" s="30"/>
      <c r="R89" s="29" t="s">
        <v>39</v>
      </c>
      <c r="S89" s="30">
        <v>497</v>
      </c>
      <c r="T89" s="32">
        <v>536</v>
      </c>
      <c r="U89" s="30"/>
      <c r="V89" s="29" t="s">
        <v>39</v>
      </c>
      <c r="W89" s="30">
        <v>396</v>
      </c>
      <c r="X89" s="32">
        <v>481</v>
      </c>
      <c r="Y89" s="30"/>
      <c r="Z89" s="29" t="s">
        <v>39</v>
      </c>
      <c r="AA89" s="30">
        <v>547</v>
      </c>
      <c r="AB89" s="32">
        <v>641</v>
      </c>
      <c r="AC89" s="29"/>
      <c r="AD89" s="29" t="s">
        <v>39</v>
      </c>
      <c r="AE89" s="30">
        <v>246</v>
      </c>
      <c r="AF89" s="32">
        <v>351</v>
      </c>
      <c r="AG89" s="30"/>
      <c r="AH89" s="29" t="s">
        <v>39</v>
      </c>
      <c r="AI89" s="30">
        <v>411</v>
      </c>
      <c r="AJ89" s="32">
        <v>512</v>
      </c>
      <c r="AK89" s="30"/>
      <c r="AL89" s="29" t="s">
        <v>39</v>
      </c>
      <c r="AM89" s="30">
        <v>195</v>
      </c>
      <c r="AN89" s="33">
        <v>266</v>
      </c>
    </row>
    <row r="90" spans="1:40" outlineLevel="1" x14ac:dyDescent="0.25">
      <c r="A90" s="28"/>
      <c r="B90" s="29" t="s">
        <v>41</v>
      </c>
      <c r="C90" s="30">
        <v>1289</v>
      </c>
      <c r="D90" s="32">
        <v>1092</v>
      </c>
      <c r="E90" s="30"/>
      <c r="F90" s="29" t="s">
        <v>41</v>
      </c>
      <c r="G90" s="30">
        <v>2211</v>
      </c>
      <c r="H90" s="32">
        <v>2442</v>
      </c>
      <c r="I90" s="30"/>
      <c r="J90" s="29" t="s">
        <v>41</v>
      </c>
      <c r="K90" s="30">
        <v>2251</v>
      </c>
      <c r="L90" s="32">
        <v>2312</v>
      </c>
      <c r="M90" s="30"/>
      <c r="N90" s="29" t="s">
        <v>41</v>
      </c>
      <c r="O90" s="30">
        <v>801</v>
      </c>
      <c r="P90" s="32">
        <v>900</v>
      </c>
      <c r="Q90" s="30"/>
      <c r="R90" s="29" t="s">
        <v>41</v>
      </c>
      <c r="S90" s="30">
        <v>442</v>
      </c>
      <c r="T90" s="32">
        <v>490</v>
      </c>
      <c r="U90" s="30"/>
      <c r="V90" s="29" t="s">
        <v>41</v>
      </c>
      <c r="W90" s="30">
        <v>408</v>
      </c>
      <c r="X90" s="32">
        <v>387</v>
      </c>
      <c r="Y90" s="30"/>
      <c r="Z90" s="29" t="s">
        <v>41</v>
      </c>
      <c r="AA90" s="30">
        <v>515</v>
      </c>
      <c r="AB90" s="32">
        <v>522</v>
      </c>
      <c r="AC90" s="29"/>
      <c r="AD90" s="29" t="s">
        <v>41</v>
      </c>
      <c r="AE90" s="30">
        <v>186</v>
      </c>
      <c r="AF90" s="32">
        <v>239</v>
      </c>
      <c r="AG90" s="30"/>
      <c r="AH90" s="29" t="s">
        <v>41</v>
      </c>
      <c r="AI90" s="30">
        <v>364</v>
      </c>
      <c r="AJ90" s="32">
        <v>392</v>
      </c>
      <c r="AK90" s="30"/>
      <c r="AL90" s="29" t="s">
        <v>41</v>
      </c>
      <c r="AM90" s="30">
        <v>149</v>
      </c>
      <c r="AN90" s="33">
        <v>184</v>
      </c>
    </row>
    <row r="91" spans="1:40" outlineLevel="1" x14ac:dyDescent="0.25">
      <c r="A91" s="28"/>
      <c r="B91" s="29" t="s">
        <v>43</v>
      </c>
      <c r="C91" s="30">
        <v>1369</v>
      </c>
      <c r="D91" s="32">
        <v>1213</v>
      </c>
      <c r="E91" s="30"/>
      <c r="F91" s="29" t="s">
        <v>43</v>
      </c>
      <c r="G91" s="30">
        <v>2045</v>
      </c>
      <c r="H91" s="32">
        <v>2064</v>
      </c>
      <c r="I91" s="30"/>
      <c r="J91" s="29" t="s">
        <v>43</v>
      </c>
      <c r="K91" s="30">
        <v>2012</v>
      </c>
      <c r="L91" s="32">
        <v>2089</v>
      </c>
      <c r="M91" s="30"/>
      <c r="N91" s="29" t="s">
        <v>43</v>
      </c>
      <c r="O91" s="30">
        <v>821</v>
      </c>
      <c r="P91" s="32">
        <v>757</v>
      </c>
      <c r="Q91" s="30"/>
      <c r="R91" s="29" t="s">
        <v>43</v>
      </c>
      <c r="S91" s="30">
        <v>415</v>
      </c>
      <c r="T91" s="32">
        <v>420</v>
      </c>
      <c r="U91" s="30"/>
      <c r="V91" s="29" t="s">
        <v>43</v>
      </c>
      <c r="W91" s="30">
        <v>332</v>
      </c>
      <c r="X91" s="32">
        <v>388</v>
      </c>
      <c r="Y91" s="30"/>
      <c r="Z91" s="29" t="s">
        <v>43</v>
      </c>
      <c r="AA91" s="30">
        <v>540</v>
      </c>
      <c r="AB91" s="32">
        <v>478</v>
      </c>
      <c r="AC91" s="29"/>
      <c r="AD91" s="29" t="s">
        <v>43</v>
      </c>
      <c r="AE91" s="30">
        <v>213</v>
      </c>
      <c r="AF91" s="32">
        <v>178</v>
      </c>
      <c r="AG91" s="30"/>
      <c r="AH91" s="29" t="s">
        <v>43</v>
      </c>
      <c r="AI91" s="30">
        <v>323</v>
      </c>
      <c r="AJ91" s="32">
        <v>343</v>
      </c>
      <c r="AK91" s="30"/>
      <c r="AL91" s="29" t="s">
        <v>43</v>
      </c>
      <c r="AM91" s="30">
        <v>211</v>
      </c>
      <c r="AN91" s="33">
        <v>139</v>
      </c>
    </row>
    <row r="92" spans="1:40" outlineLevel="1" x14ac:dyDescent="0.25">
      <c r="A92" s="28"/>
      <c r="B92" s="29" t="s">
        <v>45</v>
      </c>
      <c r="C92" s="30">
        <v>1358</v>
      </c>
      <c r="D92" s="32">
        <v>1217</v>
      </c>
      <c r="E92" s="30"/>
      <c r="F92" s="29" t="s">
        <v>45</v>
      </c>
      <c r="G92" s="30">
        <v>2046</v>
      </c>
      <c r="H92" s="32">
        <v>1756</v>
      </c>
      <c r="I92" s="30"/>
      <c r="J92" s="29" t="s">
        <v>45</v>
      </c>
      <c r="K92" s="30">
        <v>1980</v>
      </c>
      <c r="L92" s="32">
        <v>1797</v>
      </c>
      <c r="M92" s="30"/>
      <c r="N92" s="29" t="s">
        <v>45</v>
      </c>
      <c r="O92" s="30">
        <v>846</v>
      </c>
      <c r="P92" s="32">
        <v>740</v>
      </c>
      <c r="Q92" s="30"/>
      <c r="R92" s="29" t="s">
        <v>45</v>
      </c>
      <c r="S92" s="30">
        <v>441</v>
      </c>
      <c r="T92" s="32">
        <v>370</v>
      </c>
      <c r="U92" s="30"/>
      <c r="V92" s="29" t="s">
        <v>45</v>
      </c>
      <c r="W92" s="30">
        <v>337</v>
      </c>
      <c r="X92" s="32">
        <v>292</v>
      </c>
      <c r="Y92" s="30"/>
      <c r="Z92" s="29" t="s">
        <v>45</v>
      </c>
      <c r="AA92" s="30">
        <v>541</v>
      </c>
      <c r="AB92" s="32">
        <v>475</v>
      </c>
      <c r="AC92" s="29"/>
      <c r="AD92" s="29" t="s">
        <v>45</v>
      </c>
      <c r="AE92" s="30">
        <v>250</v>
      </c>
      <c r="AF92" s="32">
        <v>182</v>
      </c>
      <c r="AG92" s="30"/>
      <c r="AH92" s="29" t="s">
        <v>45</v>
      </c>
      <c r="AI92" s="30">
        <v>329</v>
      </c>
      <c r="AJ92" s="32">
        <v>291</v>
      </c>
      <c r="AK92" s="30"/>
      <c r="AL92" s="29" t="s">
        <v>45</v>
      </c>
      <c r="AM92" s="30">
        <v>213</v>
      </c>
      <c r="AN92" s="33">
        <v>194</v>
      </c>
    </row>
    <row r="93" spans="1:40" outlineLevel="1" x14ac:dyDescent="0.25">
      <c r="A93" s="28"/>
      <c r="B93" s="29" t="s">
        <v>47</v>
      </c>
      <c r="C93" s="30">
        <v>1031</v>
      </c>
      <c r="D93" s="32">
        <v>1085</v>
      </c>
      <c r="E93" s="30"/>
      <c r="F93" s="29" t="s">
        <v>47</v>
      </c>
      <c r="G93" s="30">
        <v>1497</v>
      </c>
      <c r="H93" s="32">
        <v>1582</v>
      </c>
      <c r="I93" s="30"/>
      <c r="J93" s="29" t="s">
        <v>47</v>
      </c>
      <c r="K93" s="30">
        <v>1503</v>
      </c>
      <c r="L93" s="32">
        <v>1551</v>
      </c>
      <c r="M93" s="30"/>
      <c r="N93" s="29" t="s">
        <v>47</v>
      </c>
      <c r="O93" s="30">
        <v>571</v>
      </c>
      <c r="P93" s="32">
        <v>642</v>
      </c>
      <c r="Q93" s="30"/>
      <c r="R93" s="29" t="s">
        <v>47</v>
      </c>
      <c r="S93" s="30">
        <v>313</v>
      </c>
      <c r="T93" s="32">
        <v>343</v>
      </c>
      <c r="U93" s="30"/>
      <c r="V93" s="29" t="s">
        <v>47</v>
      </c>
      <c r="W93" s="30">
        <v>258</v>
      </c>
      <c r="X93" s="32">
        <v>260</v>
      </c>
      <c r="Y93" s="30"/>
      <c r="Z93" s="29" t="s">
        <v>47</v>
      </c>
      <c r="AA93" s="30">
        <v>447</v>
      </c>
      <c r="AB93" s="32">
        <v>409</v>
      </c>
      <c r="AC93" s="29"/>
      <c r="AD93" s="29" t="s">
        <v>47</v>
      </c>
      <c r="AE93" s="30">
        <v>179</v>
      </c>
      <c r="AF93" s="32">
        <v>198</v>
      </c>
      <c r="AG93" s="30"/>
      <c r="AH93" s="29" t="s">
        <v>47</v>
      </c>
      <c r="AI93" s="30">
        <v>226</v>
      </c>
      <c r="AJ93" s="32">
        <v>253</v>
      </c>
      <c r="AK93" s="30"/>
      <c r="AL93" s="29" t="s">
        <v>47</v>
      </c>
      <c r="AM93" s="30">
        <v>159</v>
      </c>
      <c r="AN93" s="33">
        <v>163</v>
      </c>
    </row>
    <row r="94" spans="1:40" outlineLevel="1" x14ac:dyDescent="0.25">
      <c r="A94" s="28"/>
      <c r="B94" s="29" t="s">
        <v>49</v>
      </c>
      <c r="C94" s="30">
        <v>495</v>
      </c>
      <c r="D94" s="32">
        <v>636</v>
      </c>
      <c r="E94" s="30"/>
      <c r="F94" s="29" t="s">
        <v>49</v>
      </c>
      <c r="G94" s="30">
        <v>694</v>
      </c>
      <c r="H94" s="32">
        <v>882</v>
      </c>
      <c r="I94" s="30"/>
      <c r="J94" s="29" t="s">
        <v>49</v>
      </c>
      <c r="K94" s="30">
        <v>723</v>
      </c>
      <c r="L94" s="32">
        <v>938</v>
      </c>
      <c r="M94" s="30"/>
      <c r="N94" s="29" t="s">
        <v>49</v>
      </c>
      <c r="O94" s="30">
        <v>278</v>
      </c>
      <c r="P94" s="32">
        <v>347</v>
      </c>
      <c r="Q94" s="30"/>
      <c r="R94" s="29" t="s">
        <v>49</v>
      </c>
      <c r="S94" s="30">
        <v>199</v>
      </c>
      <c r="T94" s="32">
        <v>199</v>
      </c>
      <c r="U94" s="30"/>
      <c r="V94" s="29" t="s">
        <v>49</v>
      </c>
      <c r="W94" s="30">
        <v>118</v>
      </c>
      <c r="X94" s="32">
        <v>159</v>
      </c>
      <c r="Y94" s="30"/>
      <c r="Z94" s="29" t="s">
        <v>49</v>
      </c>
      <c r="AA94" s="30">
        <v>250</v>
      </c>
      <c r="AB94" s="32">
        <v>259</v>
      </c>
      <c r="AC94" s="29"/>
      <c r="AD94" s="29" t="s">
        <v>49</v>
      </c>
      <c r="AE94" s="30">
        <v>95</v>
      </c>
      <c r="AF94" s="32">
        <v>95</v>
      </c>
      <c r="AG94" s="30"/>
      <c r="AH94" s="29" t="s">
        <v>49</v>
      </c>
      <c r="AI94" s="30">
        <v>96</v>
      </c>
      <c r="AJ94" s="32">
        <v>145</v>
      </c>
      <c r="AK94" s="30"/>
      <c r="AL94" s="29" t="s">
        <v>49</v>
      </c>
      <c r="AM94" s="30">
        <v>70</v>
      </c>
      <c r="AN94" s="33">
        <v>101</v>
      </c>
    </row>
    <row r="95" spans="1:40" outlineLevel="1" x14ac:dyDescent="0.25">
      <c r="A95" s="28"/>
      <c r="B95" s="29" t="s">
        <v>51</v>
      </c>
      <c r="C95" s="30">
        <v>118</v>
      </c>
      <c r="D95" s="32">
        <v>197</v>
      </c>
      <c r="E95" s="30"/>
      <c r="F95" s="29" t="s">
        <v>51</v>
      </c>
      <c r="G95" s="30">
        <v>160</v>
      </c>
      <c r="H95" s="32">
        <v>260</v>
      </c>
      <c r="I95" s="30"/>
      <c r="J95" s="29" t="s">
        <v>51</v>
      </c>
      <c r="K95" s="30">
        <v>188</v>
      </c>
      <c r="L95" s="32">
        <v>298</v>
      </c>
      <c r="M95" s="30"/>
      <c r="N95" s="29" t="s">
        <v>51</v>
      </c>
      <c r="O95" s="30">
        <v>75</v>
      </c>
      <c r="P95" s="32">
        <v>116</v>
      </c>
      <c r="Q95" s="30"/>
      <c r="R95" s="29" t="s">
        <v>51</v>
      </c>
      <c r="S95" s="30">
        <v>48</v>
      </c>
      <c r="T95" s="32">
        <v>77</v>
      </c>
      <c r="U95" s="30"/>
      <c r="V95" s="29" t="s">
        <v>51</v>
      </c>
      <c r="W95" s="30">
        <v>24</v>
      </c>
      <c r="X95" s="32">
        <v>39</v>
      </c>
      <c r="Y95" s="30"/>
      <c r="Z95" s="29" t="s">
        <v>51</v>
      </c>
      <c r="AA95" s="30">
        <v>56</v>
      </c>
      <c r="AB95" s="32">
        <v>90</v>
      </c>
      <c r="AC95" s="29"/>
      <c r="AD95" s="29" t="s">
        <v>51</v>
      </c>
      <c r="AE95" s="30">
        <v>24</v>
      </c>
      <c r="AF95" s="32">
        <v>24</v>
      </c>
      <c r="AG95" s="30"/>
      <c r="AH95" s="29" t="s">
        <v>51</v>
      </c>
      <c r="AI95" s="30">
        <v>23</v>
      </c>
      <c r="AJ95" s="32">
        <v>38</v>
      </c>
      <c r="AK95" s="30"/>
      <c r="AL95" s="29" t="s">
        <v>51</v>
      </c>
      <c r="AM95" s="30">
        <v>17</v>
      </c>
      <c r="AN95" s="33">
        <v>35</v>
      </c>
    </row>
    <row r="96" spans="1:40" ht="19.5" outlineLevel="1" thickBot="1" x14ac:dyDescent="0.3">
      <c r="A96" s="34"/>
      <c r="B96" s="35" t="s">
        <v>53</v>
      </c>
      <c r="C96" s="36">
        <v>22</v>
      </c>
      <c r="D96" s="37">
        <v>18</v>
      </c>
      <c r="E96" s="36"/>
      <c r="F96" s="35" t="s">
        <v>53</v>
      </c>
      <c r="G96" s="36">
        <v>37</v>
      </c>
      <c r="H96" s="37">
        <v>37</v>
      </c>
      <c r="I96" s="36"/>
      <c r="J96" s="35" t="s">
        <v>53</v>
      </c>
      <c r="K96" s="36">
        <v>21</v>
      </c>
      <c r="L96" s="37">
        <v>41</v>
      </c>
      <c r="M96" s="36"/>
      <c r="N96" s="35" t="s">
        <v>53</v>
      </c>
      <c r="O96" s="36">
        <v>12</v>
      </c>
      <c r="P96" s="37">
        <v>13</v>
      </c>
      <c r="Q96" s="36"/>
      <c r="R96" s="35" t="s">
        <v>53</v>
      </c>
      <c r="S96" s="36">
        <v>7</v>
      </c>
      <c r="T96" s="37">
        <v>9</v>
      </c>
      <c r="U96" s="36"/>
      <c r="V96" s="35" t="s">
        <v>53</v>
      </c>
      <c r="W96" s="36">
        <v>3</v>
      </c>
      <c r="X96" s="37">
        <v>3</v>
      </c>
      <c r="Y96" s="36"/>
      <c r="Z96" s="35" t="s">
        <v>53</v>
      </c>
      <c r="AA96" s="36">
        <v>6</v>
      </c>
      <c r="AB96" s="37">
        <v>10</v>
      </c>
      <c r="AC96" s="35"/>
      <c r="AD96" s="35" t="s">
        <v>53</v>
      </c>
      <c r="AE96" s="36">
        <v>7</v>
      </c>
      <c r="AF96" s="37">
        <v>6</v>
      </c>
      <c r="AG96" s="36"/>
      <c r="AH96" s="35" t="s">
        <v>53</v>
      </c>
      <c r="AI96" s="36">
        <v>0</v>
      </c>
      <c r="AJ96" s="37">
        <v>6</v>
      </c>
      <c r="AK96" s="36"/>
      <c r="AL96" s="35" t="s">
        <v>53</v>
      </c>
      <c r="AM96" s="36">
        <v>2</v>
      </c>
      <c r="AN96" s="38">
        <v>4</v>
      </c>
    </row>
    <row r="97" spans="1:40" outlineLevel="1" x14ac:dyDescent="0.25">
      <c r="A97" s="44"/>
      <c r="B97" s="44" t="s">
        <v>79</v>
      </c>
      <c r="C97" s="45">
        <f>SUM(C66:C73,C89:C96)</f>
        <v>11897</v>
      </c>
      <c r="D97" s="45">
        <f>SUM(D66:D73,D89:D96)</f>
        <v>12512</v>
      </c>
      <c r="E97" s="45"/>
      <c r="F97" s="44" t="s">
        <v>79</v>
      </c>
      <c r="G97" s="45">
        <f>SUM(G66:G73,G89:G96)</f>
        <v>19691</v>
      </c>
      <c r="H97" s="45">
        <f>SUM(H66:H73,H89:H96)</f>
        <v>21037</v>
      </c>
      <c r="I97" s="45"/>
      <c r="J97" s="44" t="s">
        <v>79</v>
      </c>
      <c r="K97" s="45">
        <f>SUM(K66:K73,K89:K96)</f>
        <v>19778</v>
      </c>
      <c r="L97" s="45">
        <f>SUM(L66:L73,L89:L96)</f>
        <v>20982</v>
      </c>
      <c r="M97" s="45"/>
      <c r="N97" s="44" t="s">
        <v>79</v>
      </c>
      <c r="O97" s="45">
        <f>SUM(O66:O73,O89:O96)</f>
        <v>7611</v>
      </c>
      <c r="P97" s="45">
        <f>SUM(P66:P73,P89:P96)</f>
        <v>8340</v>
      </c>
      <c r="Q97" s="45"/>
      <c r="R97" s="44" t="s">
        <v>79</v>
      </c>
      <c r="S97" s="45">
        <f>SUM(S66:S73,S89:S96)</f>
        <v>4132</v>
      </c>
      <c r="T97" s="45">
        <f>SUM(T66:T73,T89:T96)</f>
        <v>4329</v>
      </c>
      <c r="U97" s="45"/>
      <c r="V97" s="44" t="s">
        <v>79</v>
      </c>
      <c r="W97" s="45">
        <f>SUM(W66:W73,W89:W96)</f>
        <v>3351</v>
      </c>
      <c r="X97" s="45">
        <f>SUM(X66:X73,X89:X96)</f>
        <v>3642</v>
      </c>
      <c r="Y97" s="45"/>
      <c r="Z97" s="44" t="s">
        <v>79</v>
      </c>
      <c r="AA97" s="45">
        <f>SUM(AA66:AA73,AA89:AA96)</f>
        <v>5117</v>
      </c>
      <c r="AB97" s="45">
        <f>SUM(AB66:AB73,AB89:AB96)</f>
        <v>5257</v>
      </c>
      <c r="AC97" s="45"/>
      <c r="AD97" s="44" t="s">
        <v>79</v>
      </c>
      <c r="AE97" s="45">
        <f>SUM(AE66:AE73,AE89:AE96)</f>
        <v>2094</v>
      </c>
      <c r="AF97" s="45">
        <f>SUM(AF66:AF73,AF89:AF96)</f>
        <v>2323</v>
      </c>
      <c r="AG97" s="45"/>
      <c r="AH97" s="44" t="s">
        <v>79</v>
      </c>
      <c r="AI97" s="45">
        <f>SUM(AI66:AI73,AI89:AI96)</f>
        <v>3048</v>
      </c>
      <c r="AJ97" s="45">
        <f>SUM(AJ66:AJ73,AJ89:AJ96)</f>
        <v>3445</v>
      </c>
      <c r="AK97" s="45"/>
      <c r="AL97" s="44" t="s">
        <v>79</v>
      </c>
      <c r="AM97" s="45">
        <f>SUM(AM66:AM73,AM89:AM96)</f>
        <v>1722</v>
      </c>
      <c r="AN97" s="45">
        <f>SUM(AN66:AN73,AN89:AN96)</f>
        <v>1947</v>
      </c>
    </row>
    <row r="98" spans="1:40" ht="19.5" thickBot="1" x14ac:dyDescent="0.3">
      <c r="A98" s="39"/>
      <c r="B98" s="39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</row>
    <row r="99" spans="1:40" outlineLevel="1" x14ac:dyDescent="0.25">
      <c r="A99" s="24" t="s">
        <v>100</v>
      </c>
      <c r="B99" s="25"/>
      <c r="C99" s="26" t="s">
        <v>1</v>
      </c>
      <c r="D99" s="26" t="s">
        <v>2</v>
      </c>
      <c r="E99" s="25" t="s">
        <v>101</v>
      </c>
      <c r="F99" s="25"/>
      <c r="G99" s="26" t="s">
        <v>1</v>
      </c>
      <c r="H99" s="26" t="s">
        <v>2</v>
      </c>
      <c r="I99" s="25" t="s">
        <v>102</v>
      </c>
      <c r="J99" s="25"/>
      <c r="K99" s="26" t="s">
        <v>1</v>
      </c>
      <c r="L99" s="26" t="s">
        <v>2</v>
      </c>
      <c r="M99" s="25" t="s">
        <v>103</v>
      </c>
      <c r="N99" s="25"/>
      <c r="O99" s="26" t="s">
        <v>1</v>
      </c>
      <c r="P99" s="26" t="s">
        <v>2</v>
      </c>
      <c r="Q99" s="25" t="s">
        <v>104</v>
      </c>
      <c r="R99" s="25"/>
      <c r="S99" s="26" t="s">
        <v>1</v>
      </c>
      <c r="T99" s="26" t="s">
        <v>2</v>
      </c>
      <c r="U99" s="25" t="s">
        <v>105</v>
      </c>
      <c r="V99" s="25"/>
      <c r="W99" s="26" t="s">
        <v>1</v>
      </c>
      <c r="X99" s="26" t="s">
        <v>2</v>
      </c>
      <c r="Y99" s="25" t="s">
        <v>106</v>
      </c>
      <c r="Z99" s="25"/>
      <c r="AA99" s="26" t="s">
        <v>1</v>
      </c>
      <c r="AB99" s="26" t="s">
        <v>2</v>
      </c>
      <c r="AC99" s="25" t="s">
        <v>107</v>
      </c>
      <c r="AD99" s="25"/>
      <c r="AE99" s="26" t="s">
        <v>1</v>
      </c>
      <c r="AF99" s="26" t="s">
        <v>2</v>
      </c>
      <c r="AG99" s="25" t="s">
        <v>108</v>
      </c>
      <c r="AH99" s="25"/>
      <c r="AI99" s="26" t="s">
        <v>1</v>
      </c>
      <c r="AJ99" s="26" t="s">
        <v>2</v>
      </c>
      <c r="AK99" s="25" t="s">
        <v>109</v>
      </c>
      <c r="AL99" s="25"/>
      <c r="AM99" s="26" t="s">
        <v>1</v>
      </c>
      <c r="AN99" s="27" t="s">
        <v>2</v>
      </c>
    </row>
    <row r="100" spans="1:40" outlineLevel="1" x14ac:dyDescent="0.25">
      <c r="A100" s="28">
        <v>1326</v>
      </c>
      <c r="B100" s="29"/>
      <c r="C100" s="30" t="s">
        <v>13</v>
      </c>
      <c r="D100" s="30"/>
      <c r="E100" s="29">
        <v>1329</v>
      </c>
      <c r="F100" s="29"/>
      <c r="G100" s="30" t="s">
        <v>13</v>
      </c>
      <c r="H100" s="30"/>
      <c r="I100" s="29">
        <v>1332</v>
      </c>
      <c r="J100" s="29"/>
      <c r="K100" s="30" t="s">
        <v>13</v>
      </c>
      <c r="L100" s="30"/>
      <c r="M100" s="29">
        <v>1335</v>
      </c>
      <c r="N100" s="29"/>
      <c r="O100" s="30" t="s">
        <v>13</v>
      </c>
      <c r="P100" s="30"/>
      <c r="Q100" s="29">
        <v>1341</v>
      </c>
      <c r="R100" s="29"/>
      <c r="S100" s="30" t="s">
        <v>13</v>
      </c>
      <c r="T100" s="30"/>
      <c r="U100" s="29">
        <v>1344</v>
      </c>
      <c r="V100" s="29"/>
      <c r="W100" s="30" t="s">
        <v>13</v>
      </c>
      <c r="X100" s="30"/>
      <c r="Y100" s="29">
        <v>1347</v>
      </c>
      <c r="Z100" s="29"/>
      <c r="AA100" s="30" t="s">
        <v>13</v>
      </c>
      <c r="AB100" s="30"/>
      <c r="AC100" s="29">
        <v>1350</v>
      </c>
      <c r="AD100" s="29"/>
      <c r="AE100" s="30" t="s">
        <v>13</v>
      </c>
      <c r="AF100" s="30"/>
      <c r="AG100" s="29">
        <v>1356</v>
      </c>
      <c r="AH100" s="29"/>
      <c r="AI100" s="30" t="s">
        <v>13</v>
      </c>
      <c r="AJ100" s="30"/>
      <c r="AK100" s="29">
        <v>1359</v>
      </c>
      <c r="AL100" s="29"/>
      <c r="AM100" s="30" t="s">
        <v>13</v>
      </c>
      <c r="AN100" s="31"/>
    </row>
    <row r="101" spans="1:40" outlineLevel="1" x14ac:dyDescent="0.25">
      <c r="A101" s="28"/>
      <c r="B101" s="29" t="s">
        <v>18</v>
      </c>
      <c r="C101" s="30">
        <v>3056</v>
      </c>
      <c r="D101" s="32">
        <v>2759</v>
      </c>
      <c r="E101" s="29"/>
      <c r="F101" s="29" t="s">
        <v>18</v>
      </c>
      <c r="G101" s="30">
        <v>308</v>
      </c>
      <c r="H101" s="32">
        <v>280</v>
      </c>
      <c r="I101" s="29"/>
      <c r="J101" s="29" t="s">
        <v>18</v>
      </c>
      <c r="K101" s="30">
        <v>2259</v>
      </c>
      <c r="L101" s="32">
        <v>2090</v>
      </c>
      <c r="M101" s="29"/>
      <c r="N101" s="29" t="s">
        <v>18</v>
      </c>
      <c r="O101" s="30">
        <v>8371</v>
      </c>
      <c r="P101" s="32">
        <v>7508</v>
      </c>
      <c r="Q101" s="29"/>
      <c r="R101" s="29" t="s">
        <v>18</v>
      </c>
      <c r="S101" s="30">
        <v>1521</v>
      </c>
      <c r="T101" s="32">
        <v>1382</v>
      </c>
      <c r="U101" s="29"/>
      <c r="V101" s="29" t="s">
        <v>18</v>
      </c>
      <c r="W101" s="30">
        <v>3415</v>
      </c>
      <c r="X101" s="32">
        <v>2966</v>
      </c>
      <c r="Y101" s="29"/>
      <c r="Z101" s="29" t="s">
        <v>18</v>
      </c>
      <c r="AA101" s="30">
        <v>1808</v>
      </c>
      <c r="AB101" s="32">
        <v>1692</v>
      </c>
      <c r="AC101" s="29"/>
      <c r="AD101" s="29" t="s">
        <v>18</v>
      </c>
      <c r="AE101" s="30">
        <v>7442</v>
      </c>
      <c r="AF101" s="32">
        <v>6780</v>
      </c>
      <c r="AG101" s="29"/>
      <c r="AH101" s="29" t="s">
        <v>18</v>
      </c>
      <c r="AI101" s="30">
        <v>8188</v>
      </c>
      <c r="AJ101" s="32">
        <v>7631</v>
      </c>
      <c r="AK101" s="29"/>
      <c r="AL101" s="29" t="s">
        <v>18</v>
      </c>
      <c r="AM101" s="30">
        <v>1586</v>
      </c>
      <c r="AN101" s="33">
        <v>1529</v>
      </c>
    </row>
    <row r="102" spans="1:40" outlineLevel="1" x14ac:dyDescent="0.25">
      <c r="A102" s="28"/>
      <c r="B102" s="29" t="s">
        <v>20</v>
      </c>
      <c r="C102" s="30">
        <v>84</v>
      </c>
      <c r="D102" s="32">
        <v>58</v>
      </c>
      <c r="E102" s="29"/>
      <c r="F102" s="29" t="s">
        <v>20</v>
      </c>
      <c r="G102" s="30">
        <v>17</v>
      </c>
      <c r="H102" s="32">
        <v>10</v>
      </c>
      <c r="I102" s="29"/>
      <c r="J102" s="29" t="s">
        <v>20</v>
      </c>
      <c r="K102" s="30">
        <v>68</v>
      </c>
      <c r="L102" s="32">
        <v>55</v>
      </c>
      <c r="M102" s="29"/>
      <c r="N102" s="29" t="s">
        <v>20</v>
      </c>
      <c r="O102" s="30">
        <v>228</v>
      </c>
      <c r="P102" s="32">
        <v>169</v>
      </c>
      <c r="Q102" s="29"/>
      <c r="R102" s="29" t="s">
        <v>20</v>
      </c>
      <c r="S102" s="30">
        <v>43</v>
      </c>
      <c r="T102" s="32">
        <v>34</v>
      </c>
      <c r="U102" s="29"/>
      <c r="V102" s="29" t="s">
        <v>20</v>
      </c>
      <c r="W102" s="30">
        <v>91</v>
      </c>
      <c r="X102" s="32">
        <v>65</v>
      </c>
      <c r="Y102" s="29"/>
      <c r="Z102" s="29" t="s">
        <v>20</v>
      </c>
      <c r="AA102" s="30">
        <v>83</v>
      </c>
      <c r="AB102" s="32">
        <v>60</v>
      </c>
      <c r="AC102" s="29"/>
      <c r="AD102" s="29" t="s">
        <v>20</v>
      </c>
      <c r="AE102" s="30">
        <v>288</v>
      </c>
      <c r="AF102" s="32">
        <v>218</v>
      </c>
      <c r="AG102" s="29"/>
      <c r="AH102" s="29" t="s">
        <v>20</v>
      </c>
      <c r="AI102" s="30">
        <v>294</v>
      </c>
      <c r="AJ102" s="32">
        <v>243</v>
      </c>
      <c r="AK102" s="29"/>
      <c r="AL102" s="29" t="s">
        <v>20</v>
      </c>
      <c r="AM102" s="30">
        <v>66</v>
      </c>
      <c r="AN102" s="33">
        <v>67</v>
      </c>
    </row>
    <row r="103" spans="1:40" outlineLevel="1" x14ac:dyDescent="0.25">
      <c r="A103" s="28"/>
      <c r="B103" s="29" t="s">
        <v>22</v>
      </c>
      <c r="C103" s="30">
        <v>114</v>
      </c>
      <c r="D103" s="32">
        <v>83</v>
      </c>
      <c r="E103" s="29"/>
      <c r="F103" s="29" t="s">
        <v>22</v>
      </c>
      <c r="G103" s="30">
        <v>11</v>
      </c>
      <c r="H103" s="32">
        <v>16</v>
      </c>
      <c r="I103" s="29"/>
      <c r="J103" s="29" t="s">
        <v>22</v>
      </c>
      <c r="K103" s="30">
        <v>76</v>
      </c>
      <c r="L103" s="32">
        <v>65</v>
      </c>
      <c r="M103" s="29"/>
      <c r="N103" s="29" t="s">
        <v>22</v>
      </c>
      <c r="O103" s="30">
        <v>327</v>
      </c>
      <c r="P103" s="32">
        <v>229</v>
      </c>
      <c r="Q103" s="29"/>
      <c r="R103" s="29" t="s">
        <v>22</v>
      </c>
      <c r="S103" s="30">
        <v>76</v>
      </c>
      <c r="T103" s="32">
        <v>47</v>
      </c>
      <c r="U103" s="29"/>
      <c r="V103" s="29" t="s">
        <v>22</v>
      </c>
      <c r="W103" s="30">
        <v>82</v>
      </c>
      <c r="X103" s="32">
        <v>90</v>
      </c>
      <c r="Y103" s="29"/>
      <c r="Z103" s="29" t="s">
        <v>22</v>
      </c>
      <c r="AA103" s="30">
        <v>79</v>
      </c>
      <c r="AB103" s="32">
        <v>84</v>
      </c>
      <c r="AC103" s="29"/>
      <c r="AD103" s="29" t="s">
        <v>22</v>
      </c>
      <c r="AE103" s="30">
        <v>282</v>
      </c>
      <c r="AF103" s="32">
        <v>264</v>
      </c>
      <c r="AG103" s="29"/>
      <c r="AH103" s="29" t="s">
        <v>22</v>
      </c>
      <c r="AI103" s="30">
        <v>326</v>
      </c>
      <c r="AJ103" s="32">
        <v>289</v>
      </c>
      <c r="AK103" s="29"/>
      <c r="AL103" s="29" t="s">
        <v>22</v>
      </c>
      <c r="AM103" s="30">
        <v>91</v>
      </c>
      <c r="AN103" s="33">
        <v>76</v>
      </c>
    </row>
    <row r="104" spans="1:40" outlineLevel="1" x14ac:dyDescent="0.25">
      <c r="A104" s="28"/>
      <c r="B104" s="29" t="s">
        <v>23</v>
      </c>
      <c r="C104" s="30">
        <v>126</v>
      </c>
      <c r="D104" s="32">
        <v>116</v>
      </c>
      <c r="E104" s="29"/>
      <c r="F104" s="29" t="s">
        <v>23</v>
      </c>
      <c r="G104" s="30">
        <v>17</v>
      </c>
      <c r="H104" s="32">
        <v>10</v>
      </c>
      <c r="I104" s="29"/>
      <c r="J104" s="29" t="s">
        <v>23</v>
      </c>
      <c r="K104" s="30">
        <v>87</v>
      </c>
      <c r="L104" s="32">
        <v>77</v>
      </c>
      <c r="M104" s="29"/>
      <c r="N104" s="29" t="s">
        <v>23</v>
      </c>
      <c r="O104" s="30">
        <v>371</v>
      </c>
      <c r="P104" s="32">
        <v>300</v>
      </c>
      <c r="Q104" s="29"/>
      <c r="R104" s="29" t="s">
        <v>23</v>
      </c>
      <c r="S104" s="30">
        <v>85</v>
      </c>
      <c r="T104" s="32">
        <v>72</v>
      </c>
      <c r="U104" s="29"/>
      <c r="V104" s="29" t="s">
        <v>23</v>
      </c>
      <c r="W104" s="30">
        <v>106</v>
      </c>
      <c r="X104" s="32">
        <v>77</v>
      </c>
      <c r="Y104" s="29"/>
      <c r="Z104" s="29" t="s">
        <v>23</v>
      </c>
      <c r="AA104" s="30">
        <v>83</v>
      </c>
      <c r="AB104" s="32">
        <v>75</v>
      </c>
      <c r="AC104" s="29"/>
      <c r="AD104" s="29" t="s">
        <v>23</v>
      </c>
      <c r="AE104" s="30">
        <v>365</v>
      </c>
      <c r="AF104" s="32">
        <v>264</v>
      </c>
      <c r="AG104" s="29"/>
      <c r="AH104" s="29" t="s">
        <v>23</v>
      </c>
      <c r="AI104" s="30">
        <v>415</v>
      </c>
      <c r="AJ104" s="32">
        <v>327</v>
      </c>
      <c r="AK104" s="29"/>
      <c r="AL104" s="29" t="s">
        <v>23</v>
      </c>
      <c r="AM104" s="30">
        <v>86</v>
      </c>
      <c r="AN104" s="33">
        <v>90</v>
      </c>
    </row>
    <row r="105" spans="1:40" outlineLevel="1" x14ac:dyDescent="0.25">
      <c r="A105" s="28"/>
      <c r="B105" s="29" t="s">
        <v>24</v>
      </c>
      <c r="C105" s="30">
        <v>149</v>
      </c>
      <c r="D105" s="32">
        <v>121</v>
      </c>
      <c r="E105" s="29"/>
      <c r="F105" s="29" t="s">
        <v>24</v>
      </c>
      <c r="G105" s="30">
        <v>14</v>
      </c>
      <c r="H105" s="32">
        <v>14</v>
      </c>
      <c r="I105" s="29"/>
      <c r="J105" s="29" t="s">
        <v>24</v>
      </c>
      <c r="K105" s="30">
        <v>97</v>
      </c>
      <c r="L105" s="32">
        <v>107</v>
      </c>
      <c r="M105" s="29"/>
      <c r="N105" s="29" t="s">
        <v>24</v>
      </c>
      <c r="O105" s="30">
        <v>377</v>
      </c>
      <c r="P105" s="32">
        <v>343</v>
      </c>
      <c r="Q105" s="29"/>
      <c r="R105" s="29" t="s">
        <v>24</v>
      </c>
      <c r="S105" s="30">
        <v>75</v>
      </c>
      <c r="T105" s="32">
        <v>72</v>
      </c>
      <c r="U105" s="29"/>
      <c r="V105" s="29" t="s">
        <v>24</v>
      </c>
      <c r="W105" s="30">
        <v>168</v>
      </c>
      <c r="X105" s="32">
        <v>95</v>
      </c>
      <c r="Y105" s="29"/>
      <c r="Z105" s="29" t="s">
        <v>24</v>
      </c>
      <c r="AA105" s="30">
        <v>87</v>
      </c>
      <c r="AB105" s="32">
        <v>78</v>
      </c>
      <c r="AC105" s="29"/>
      <c r="AD105" s="29" t="s">
        <v>24</v>
      </c>
      <c r="AE105" s="30">
        <v>396</v>
      </c>
      <c r="AF105" s="32">
        <v>332</v>
      </c>
      <c r="AG105" s="29"/>
      <c r="AH105" s="29" t="s">
        <v>24</v>
      </c>
      <c r="AI105" s="30">
        <v>467</v>
      </c>
      <c r="AJ105" s="32">
        <v>378</v>
      </c>
      <c r="AK105" s="29"/>
      <c r="AL105" s="29" t="s">
        <v>24</v>
      </c>
      <c r="AM105" s="30">
        <v>91</v>
      </c>
      <c r="AN105" s="33">
        <v>85</v>
      </c>
    </row>
    <row r="106" spans="1:40" outlineLevel="1" x14ac:dyDescent="0.25">
      <c r="A106" s="28"/>
      <c r="B106" s="29" t="s">
        <v>25</v>
      </c>
      <c r="C106" s="30">
        <v>112</v>
      </c>
      <c r="D106" s="32">
        <v>100</v>
      </c>
      <c r="E106" s="29"/>
      <c r="F106" s="29" t="s">
        <v>25</v>
      </c>
      <c r="G106" s="30">
        <v>14</v>
      </c>
      <c r="H106" s="32">
        <v>7</v>
      </c>
      <c r="I106" s="29"/>
      <c r="J106" s="29" t="s">
        <v>25</v>
      </c>
      <c r="K106" s="30">
        <v>70</v>
      </c>
      <c r="L106" s="32">
        <v>52</v>
      </c>
      <c r="M106" s="29"/>
      <c r="N106" s="29" t="s">
        <v>25</v>
      </c>
      <c r="O106" s="30">
        <v>339</v>
      </c>
      <c r="P106" s="32">
        <v>260</v>
      </c>
      <c r="Q106" s="29"/>
      <c r="R106" s="29" t="s">
        <v>25</v>
      </c>
      <c r="S106" s="30">
        <v>65</v>
      </c>
      <c r="T106" s="32">
        <v>53</v>
      </c>
      <c r="U106" s="29"/>
      <c r="V106" s="29" t="s">
        <v>25</v>
      </c>
      <c r="W106" s="30">
        <v>154</v>
      </c>
      <c r="X106" s="32">
        <v>106</v>
      </c>
      <c r="Y106" s="29"/>
      <c r="Z106" s="29" t="s">
        <v>25</v>
      </c>
      <c r="AA106" s="30">
        <v>71</v>
      </c>
      <c r="AB106" s="32">
        <v>60</v>
      </c>
      <c r="AC106" s="29"/>
      <c r="AD106" s="29" t="s">
        <v>25</v>
      </c>
      <c r="AE106" s="30">
        <v>350</v>
      </c>
      <c r="AF106" s="32">
        <v>289</v>
      </c>
      <c r="AG106" s="29"/>
      <c r="AH106" s="29" t="s">
        <v>25</v>
      </c>
      <c r="AI106" s="30">
        <v>385</v>
      </c>
      <c r="AJ106" s="32">
        <v>322</v>
      </c>
      <c r="AK106" s="29"/>
      <c r="AL106" s="29" t="s">
        <v>25</v>
      </c>
      <c r="AM106" s="30">
        <v>70</v>
      </c>
      <c r="AN106" s="33">
        <v>68</v>
      </c>
    </row>
    <row r="107" spans="1:40" outlineLevel="1" x14ac:dyDescent="0.25">
      <c r="A107" s="28"/>
      <c r="B107" s="29" t="s">
        <v>26</v>
      </c>
      <c r="C107" s="30">
        <v>94</v>
      </c>
      <c r="D107" s="32">
        <v>76</v>
      </c>
      <c r="E107" s="29"/>
      <c r="F107" s="29" t="s">
        <v>26</v>
      </c>
      <c r="G107" s="30">
        <v>13</v>
      </c>
      <c r="H107" s="32">
        <v>11</v>
      </c>
      <c r="I107" s="29"/>
      <c r="J107" s="29" t="s">
        <v>26</v>
      </c>
      <c r="K107" s="30">
        <v>73</v>
      </c>
      <c r="L107" s="32">
        <v>77</v>
      </c>
      <c r="M107" s="29"/>
      <c r="N107" s="29" t="s">
        <v>26</v>
      </c>
      <c r="O107" s="30">
        <v>329</v>
      </c>
      <c r="P107" s="32">
        <v>315</v>
      </c>
      <c r="Q107" s="29"/>
      <c r="R107" s="29" t="s">
        <v>26</v>
      </c>
      <c r="S107" s="30">
        <v>59</v>
      </c>
      <c r="T107" s="32">
        <v>51</v>
      </c>
      <c r="U107" s="29"/>
      <c r="V107" s="29" t="s">
        <v>26</v>
      </c>
      <c r="W107" s="30">
        <v>126</v>
      </c>
      <c r="X107" s="32">
        <v>112</v>
      </c>
      <c r="Y107" s="29"/>
      <c r="Z107" s="29" t="s">
        <v>26</v>
      </c>
      <c r="AA107" s="30">
        <v>96</v>
      </c>
      <c r="AB107" s="32">
        <v>50</v>
      </c>
      <c r="AC107" s="29"/>
      <c r="AD107" s="29" t="s">
        <v>26</v>
      </c>
      <c r="AE107" s="30">
        <v>329</v>
      </c>
      <c r="AF107" s="32">
        <v>267</v>
      </c>
      <c r="AG107" s="29"/>
      <c r="AH107" s="29" t="s">
        <v>26</v>
      </c>
      <c r="AI107" s="30">
        <v>411</v>
      </c>
      <c r="AJ107" s="32">
        <v>315</v>
      </c>
      <c r="AK107" s="29"/>
      <c r="AL107" s="29" t="s">
        <v>26</v>
      </c>
      <c r="AM107" s="30">
        <v>55</v>
      </c>
      <c r="AN107" s="33">
        <v>55</v>
      </c>
    </row>
    <row r="108" spans="1:40" outlineLevel="1" x14ac:dyDescent="0.25">
      <c r="A108" s="28"/>
      <c r="B108" s="29" t="s">
        <v>27</v>
      </c>
      <c r="C108" s="30">
        <v>114</v>
      </c>
      <c r="D108" s="32">
        <v>91</v>
      </c>
      <c r="E108" s="29"/>
      <c r="F108" s="29" t="s">
        <v>27</v>
      </c>
      <c r="G108" s="30">
        <v>13</v>
      </c>
      <c r="H108" s="32">
        <v>10</v>
      </c>
      <c r="I108" s="29"/>
      <c r="J108" s="29" t="s">
        <v>27</v>
      </c>
      <c r="K108" s="30">
        <v>98</v>
      </c>
      <c r="L108" s="32">
        <v>71</v>
      </c>
      <c r="M108" s="29"/>
      <c r="N108" s="29" t="s">
        <v>27</v>
      </c>
      <c r="O108" s="30">
        <v>351</v>
      </c>
      <c r="P108" s="32">
        <v>315</v>
      </c>
      <c r="Q108" s="29"/>
      <c r="R108" s="29" t="s">
        <v>27</v>
      </c>
      <c r="S108" s="30">
        <v>78</v>
      </c>
      <c r="T108" s="32">
        <v>51</v>
      </c>
      <c r="U108" s="29"/>
      <c r="V108" s="29" t="s">
        <v>27</v>
      </c>
      <c r="W108" s="30">
        <v>117</v>
      </c>
      <c r="X108" s="32">
        <v>119</v>
      </c>
      <c r="Y108" s="29"/>
      <c r="Z108" s="29" t="s">
        <v>27</v>
      </c>
      <c r="AA108" s="30">
        <v>108</v>
      </c>
      <c r="AB108" s="32">
        <v>99</v>
      </c>
      <c r="AC108" s="29"/>
      <c r="AD108" s="29" t="s">
        <v>27</v>
      </c>
      <c r="AE108" s="30">
        <v>398</v>
      </c>
      <c r="AF108" s="32">
        <v>307</v>
      </c>
      <c r="AG108" s="29"/>
      <c r="AH108" s="29" t="s">
        <v>27</v>
      </c>
      <c r="AI108" s="30">
        <v>452</v>
      </c>
      <c r="AJ108" s="32">
        <v>406</v>
      </c>
      <c r="AK108" s="29"/>
      <c r="AL108" s="29" t="s">
        <v>27</v>
      </c>
      <c r="AM108" s="30">
        <v>74</v>
      </c>
      <c r="AN108" s="33">
        <v>61</v>
      </c>
    </row>
    <row r="109" spans="1:40" outlineLevel="1" x14ac:dyDescent="0.25">
      <c r="A109" s="28"/>
      <c r="B109" s="29" t="s">
        <v>28</v>
      </c>
      <c r="C109" s="30">
        <v>147</v>
      </c>
      <c r="D109" s="32">
        <v>112</v>
      </c>
      <c r="E109" s="29"/>
      <c r="F109" s="29" t="s">
        <v>28</v>
      </c>
      <c r="G109" s="30">
        <v>13</v>
      </c>
      <c r="H109" s="32">
        <v>13</v>
      </c>
      <c r="I109" s="29"/>
      <c r="J109" s="29" t="s">
        <v>28</v>
      </c>
      <c r="K109" s="30">
        <v>111</v>
      </c>
      <c r="L109" s="32">
        <v>93</v>
      </c>
      <c r="M109" s="29"/>
      <c r="N109" s="29" t="s">
        <v>28</v>
      </c>
      <c r="O109" s="30">
        <v>412</v>
      </c>
      <c r="P109" s="32">
        <v>324</v>
      </c>
      <c r="Q109" s="29"/>
      <c r="R109" s="29" t="s">
        <v>28</v>
      </c>
      <c r="S109" s="30">
        <v>86</v>
      </c>
      <c r="T109" s="32">
        <v>74</v>
      </c>
      <c r="U109" s="29"/>
      <c r="V109" s="29" t="s">
        <v>28</v>
      </c>
      <c r="W109" s="30">
        <v>159</v>
      </c>
      <c r="X109" s="32">
        <v>113</v>
      </c>
      <c r="Y109" s="29"/>
      <c r="Z109" s="29" t="s">
        <v>28</v>
      </c>
      <c r="AA109" s="30">
        <v>102</v>
      </c>
      <c r="AB109" s="32">
        <v>113</v>
      </c>
      <c r="AC109" s="29"/>
      <c r="AD109" s="29" t="s">
        <v>28</v>
      </c>
      <c r="AE109" s="30">
        <v>439</v>
      </c>
      <c r="AF109" s="32">
        <v>367</v>
      </c>
      <c r="AG109" s="29"/>
      <c r="AH109" s="29" t="s">
        <v>28</v>
      </c>
      <c r="AI109" s="30">
        <v>466</v>
      </c>
      <c r="AJ109" s="32">
        <v>461</v>
      </c>
      <c r="AK109" s="29"/>
      <c r="AL109" s="29" t="s">
        <v>28</v>
      </c>
      <c r="AM109" s="30">
        <v>97</v>
      </c>
      <c r="AN109" s="33">
        <v>77</v>
      </c>
    </row>
    <row r="110" spans="1:40" outlineLevel="1" x14ac:dyDescent="0.25">
      <c r="A110" s="28"/>
      <c r="B110" s="29" t="s">
        <v>29</v>
      </c>
      <c r="C110" s="30">
        <v>146</v>
      </c>
      <c r="D110" s="32">
        <v>135</v>
      </c>
      <c r="E110" s="29"/>
      <c r="F110" s="29" t="s">
        <v>29</v>
      </c>
      <c r="G110" s="30">
        <v>18</v>
      </c>
      <c r="H110" s="32">
        <v>16</v>
      </c>
      <c r="I110" s="29"/>
      <c r="J110" s="29" t="s">
        <v>29</v>
      </c>
      <c r="K110" s="30">
        <v>109</v>
      </c>
      <c r="L110" s="32">
        <v>119</v>
      </c>
      <c r="M110" s="29"/>
      <c r="N110" s="29" t="s">
        <v>29</v>
      </c>
      <c r="O110" s="30">
        <v>478</v>
      </c>
      <c r="P110" s="32">
        <v>401</v>
      </c>
      <c r="Q110" s="29"/>
      <c r="R110" s="29" t="s">
        <v>29</v>
      </c>
      <c r="S110" s="30">
        <v>91</v>
      </c>
      <c r="T110" s="32">
        <v>81</v>
      </c>
      <c r="U110" s="29"/>
      <c r="V110" s="29" t="s">
        <v>29</v>
      </c>
      <c r="W110" s="30">
        <v>145</v>
      </c>
      <c r="X110" s="32">
        <v>150</v>
      </c>
      <c r="Y110" s="29"/>
      <c r="Z110" s="29" t="s">
        <v>29</v>
      </c>
      <c r="AA110" s="30">
        <v>84</v>
      </c>
      <c r="AB110" s="32">
        <v>104</v>
      </c>
      <c r="AC110" s="29"/>
      <c r="AD110" s="29" t="s">
        <v>29</v>
      </c>
      <c r="AE110" s="30">
        <v>401</v>
      </c>
      <c r="AF110" s="32">
        <v>411</v>
      </c>
      <c r="AG110" s="29"/>
      <c r="AH110" s="29" t="s">
        <v>29</v>
      </c>
      <c r="AI110" s="30">
        <v>458</v>
      </c>
      <c r="AJ110" s="32">
        <v>466</v>
      </c>
      <c r="AK110" s="29"/>
      <c r="AL110" s="29" t="s">
        <v>29</v>
      </c>
      <c r="AM110" s="30">
        <v>101</v>
      </c>
      <c r="AN110" s="33">
        <v>101</v>
      </c>
    </row>
    <row r="111" spans="1:40" outlineLevel="1" x14ac:dyDescent="0.25">
      <c r="A111" s="28"/>
      <c r="B111" s="29" t="s">
        <v>31</v>
      </c>
      <c r="C111" s="30">
        <v>159</v>
      </c>
      <c r="D111" s="32">
        <v>142</v>
      </c>
      <c r="E111" s="29"/>
      <c r="F111" s="29" t="s">
        <v>31</v>
      </c>
      <c r="G111" s="30">
        <v>26</v>
      </c>
      <c r="H111" s="32">
        <v>17</v>
      </c>
      <c r="I111" s="29"/>
      <c r="J111" s="29" t="s">
        <v>31</v>
      </c>
      <c r="K111" s="30">
        <v>131</v>
      </c>
      <c r="L111" s="32">
        <v>107</v>
      </c>
      <c r="M111" s="29"/>
      <c r="N111" s="29" t="s">
        <v>31</v>
      </c>
      <c r="O111" s="30">
        <v>488</v>
      </c>
      <c r="P111" s="32">
        <v>474</v>
      </c>
      <c r="Q111" s="29"/>
      <c r="R111" s="29" t="s">
        <v>31</v>
      </c>
      <c r="S111" s="30">
        <v>74</v>
      </c>
      <c r="T111" s="32">
        <v>91</v>
      </c>
      <c r="U111" s="29"/>
      <c r="V111" s="29" t="s">
        <v>31</v>
      </c>
      <c r="W111" s="30">
        <v>165</v>
      </c>
      <c r="X111" s="32">
        <v>136</v>
      </c>
      <c r="Y111" s="29"/>
      <c r="Z111" s="29" t="s">
        <v>31</v>
      </c>
      <c r="AA111" s="30">
        <v>80</v>
      </c>
      <c r="AB111" s="32">
        <v>83</v>
      </c>
      <c r="AC111" s="29"/>
      <c r="AD111" s="29" t="s">
        <v>31</v>
      </c>
      <c r="AE111" s="30">
        <v>391</v>
      </c>
      <c r="AF111" s="32">
        <v>400</v>
      </c>
      <c r="AG111" s="29"/>
      <c r="AH111" s="29" t="s">
        <v>31</v>
      </c>
      <c r="AI111" s="30">
        <v>427</v>
      </c>
      <c r="AJ111" s="32">
        <v>456</v>
      </c>
      <c r="AK111" s="29"/>
      <c r="AL111" s="29" t="s">
        <v>31</v>
      </c>
      <c r="AM111" s="30">
        <v>92</v>
      </c>
      <c r="AN111" s="33">
        <v>99</v>
      </c>
    </row>
    <row r="112" spans="1:40" outlineLevel="1" x14ac:dyDescent="0.25">
      <c r="A112" s="28"/>
      <c r="B112" s="29" t="s">
        <v>33</v>
      </c>
      <c r="C112" s="30">
        <v>217</v>
      </c>
      <c r="D112" s="32">
        <v>152</v>
      </c>
      <c r="E112" s="29"/>
      <c r="F112" s="29" t="s">
        <v>33</v>
      </c>
      <c r="G112" s="30">
        <v>17</v>
      </c>
      <c r="H112" s="32">
        <v>24</v>
      </c>
      <c r="I112" s="29"/>
      <c r="J112" s="29" t="s">
        <v>33</v>
      </c>
      <c r="K112" s="30">
        <v>138</v>
      </c>
      <c r="L112" s="32">
        <v>132</v>
      </c>
      <c r="M112" s="29"/>
      <c r="N112" s="29" t="s">
        <v>33</v>
      </c>
      <c r="O112" s="30">
        <v>609</v>
      </c>
      <c r="P112" s="32">
        <v>486</v>
      </c>
      <c r="Q112" s="29"/>
      <c r="R112" s="29" t="s">
        <v>33</v>
      </c>
      <c r="S112" s="30">
        <v>105</v>
      </c>
      <c r="T112" s="32">
        <v>77</v>
      </c>
      <c r="U112" s="29"/>
      <c r="V112" s="29" t="s">
        <v>33</v>
      </c>
      <c r="W112" s="30">
        <v>245</v>
      </c>
      <c r="X112" s="32">
        <v>157</v>
      </c>
      <c r="Y112" s="29"/>
      <c r="Z112" s="29" t="s">
        <v>33</v>
      </c>
      <c r="AA112" s="30">
        <v>119</v>
      </c>
      <c r="AB112" s="32">
        <v>76</v>
      </c>
      <c r="AC112" s="29"/>
      <c r="AD112" s="29" t="s">
        <v>33</v>
      </c>
      <c r="AE112" s="30">
        <v>452</v>
      </c>
      <c r="AF112" s="32">
        <v>388</v>
      </c>
      <c r="AG112" s="29"/>
      <c r="AH112" s="29" t="s">
        <v>33</v>
      </c>
      <c r="AI112" s="30">
        <v>542</v>
      </c>
      <c r="AJ112" s="32">
        <v>419</v>
      </c>
      <c r="AK112" s="29"/>
      <c r="AL112" s="29" t="s">
        <v>33</v>
      </c>
      <c r="AM112" s="30">
        <v>92</v>
      </c>
      <c r="AN112" s="33">
        <v>94</v>
      </c>
    </row>
    <row r="113" spans="1:40" outlineLevel="1" x14ac:dyDescent="0.25">
      <c r="A113" s="28"/>
      <c r="B113" s="29" t="s">
        <v>35</v>
      </c>
      <c r="C113" s="30">
        <v>277</v>
      </c>
      <c r="D113" s="32">
        <v>216</v>
      </c>
      <c r="E113" s="29"/>
      <c r="F113" s="29" t="s">
        <v>35</v>
      </c>
      <c r="G113" s="30">
        <v>26</v>
      </c>
      <c r="H113" s="32">
        <v>16</v>
      </c>
      <c r="I113" s="29"/>
      <c r="J113" s="29" t="s">
        <v>35</v>
      </c>
      <c r="K113" s="30">
        <v>142</v>
      </c>
      <c r="L113" s="32">
        <v>136</v>
      </c>
      <c r="M113" s="29"/>
      <c r="N113" s="29" t="s">
        <v>35</v>
      </c>
      <c r="O113" s="30">
        <v>655</v>
      </c>
      <c r="P113" s="32">
        <v>576</v>
      </c>
      <c r="Q113" s="29"/>
      <c r="R113" s="29" t="s">
        <v>35</v>
      </c>
      <c r="S113" s="30">
        <v>124</v>
      </c>
      <c r="T113" s="32">
        <v>107</v>
      </c>
      <c r="U113" s="29"/>
      <c r="V113" s="29" t="s">
        <v>35</v>
      </c>
      <c r="W113" s="30">
        <v>295</v>
      </c>
      <c r="X113" s="32">
        <v>227</v>
      </c>
      <c r="Y113" s="29"/>
      <c r="Z113" s="29" t="s">
        <v>35</v>
      </c>
      <c r="AA113" s="30">
        <v>152</v>
      </c>
      <c r="AB113" s="32">
        <v>120</v>
      </c>
      <c r="AC113" s="29"/>
      <c r="AD113" s="29" t="s">
        <v>35</v>
      </c>
      <c r="AE113" s="30">
        <v>598</v>
      </c>
      <c r="AF113" s="32">
        <v>441</v>
      </c>
      <c r="AG113" s="29"/>
      <c r="AH113" s="29" t="s">
        <v>35</v>
      </c>
      <c r="AI113" s="30">
        <v>636</v>
      </c>
      <c r="AJ113" s="32">
        <v>540</v>
      </c>
      <c r="AK113" s="29"/>
      <c r="AL113" s="29" t="s">
        <v>35</v>
      </c>
      <c r="AM113" s="30">
        <v>113</v>
      </c>
      <c r="AN113" s="33">
        <v>88</v>
      </c>
    </row>
    <row r="114" spans="1:40" outlineLevel="1" x14ac:dyDescent="0.25">
      <c r="A114" s="28"/>
      <c r="B114" s="29" t="s">
        <v>37</v>
      </c>
      <c r="C114" s="30">
        <v>311</v>
      </c>
      <c r="D114" s="32">
        <v>279</v>
      </c>
      <c r="E114" s="29"/>
      <c r="F114" s="29" t="s">
        <v>37</v>
      </c>
      <c r="G114" s="30">
        <v>20</v>
      </c>
      <c r="H114" s="32">
        <v>24</v>
      </c>
      <c r="I114" s="29"/>
      <c r="J114" s="29" t="s">
        <v>37</v>
      </c>
      <c r="K114" s="30">
        <v>191</v>
      </c>
      <c r="L114" s="32">
        <v>141</v>
      </c>
      <c r="M114" s="29"/>
      <c r="N114" s="29" t="s">
        <v>37</v>
      </c>
      <c r="O114" s="30">
        <v>737</v>
      </c>
      <c r="P114" s="32">
        <v>615</v>
      </c>
      <c r="Q114" s="29"/>
      <c r="R114" s="29" t="s">
        <v>37</v>
      </c>
      <c r="S114" s="30">
        <v>150</v>
      </c>
      <c r="T114" s="32">
        <v>121</v>
      </c>
      <c r="U114" s="29"/>
      <c r="V114" s="29" t="s">
        <v>37</v>
      </c>
      <c r="W114" s="30">
        <v>360</v>
      </c>
      <c r="X114" s="32">
        <v>277</v>
      </c>
      <c r="Y114" s="29"/>
      <c r="Z114" s="29" t="s">
        <v>37</v>
      </c>
      <c r="AA114" s="30">
        <v>185</v>
      </c>
      <c r="AB114" s="32">
        <v>154</v>
      </c>
      <c r="AC114" s="29"/>
      <c r="AD114" s="29" t="s">
        <v>37</v>
      </c>
      <c r="AE114" s="30">
        <v>720</v>
      </c>
      <c r="AF114" s="32">
        <v>574</v>
      </c>
      <c r="AG114" s="29"/>
      <c r="AH114" s="29" t="s">
        <v>37</v>
      </c>
      <c r="AI114" s="30">
        <v>761</v>
      </c>
      <c r="AJ114" s="32">
        <v>636</v>
      </c>
      <c r="AK114" s="29"/>
      <c r="AL114" s="29" t="s">
        <v>37</v>
      </c>
      <c r="AM114" s="30">
        <v>148</v>
      </c>
      <c r="AN114" s="33">
        <v>112</v>
      </c>
    </row>
    <row r="115" spans="1:40" outlineLevel="1" x14ac:dyDescent="0.25">
      <c r="A115" s="28"/>
      <c r="B115" s="29" t="s">
        <v>39</v>
      </c>
      <c r="C115" s="30">
        <v>244</v>
      </c>
      <c r="D115" s="32">
        <v>296</v>
      </c>
      <c r="E115" s="29"/>
      <c r="F115" s="29" t="s">
        <v>39</v>
      </c>
      <c r="G115" s="30">
        <v>13</v>
      </c>
      <c r="H115" s="32">
        <v>20</v>
      </c>
      <c r="I115" s="29"/>
      <c r="J115" s="29" t="s">
        <v>39</v>
      </c>
      <c r="K115" s="30">
        <v>191</v>
      </c>
      <c r="L115" s="32">
        <v>188</v>
      </c>
      <c r="M115" s="29"/>
      <c r="N115" s="29" t="s">
        <v>39</v>
      </c>
      <c r="O115" s="30">
        <v>637</v>
      </c>
      <c r="P115" s="32">
        <v>715</v>
      </c>
      <c r="Q115" s="29"/>
      <c r="R115" s="29" t="s">
        <v>39</v>
      </c>
      <c r="S115" s="30">
        <v>146</v>
      </c>
      <c r="T115" s="32">
        <v>142</v>
      </c>
      <c r="U115" s="29"/>
      <c r="V115" s="29" t="s">
        <v>39</v>
      </c>
      <c r="W115" s="30">
        <v>306</v>
      </c>
      <c r="X115" s="32">
        <v>332</v>
      </c>
      <c r="Y115" s="29"/>
      <c r="Z115" s="29" t="s">
        <v>39</v>
      </c>
      <c r="AA115" s="30">
        <v>141</v>
      </c>
      <c r="AB115" s="32">
        <v>165</v>
      </c>
      <c r="AC115" s="29"/>
      <c r="AD115" s="29" t="s">
        <v>39</v>
      </c>
      <c r="AE115" s="30">
        <v>565</v>
      </c>
      <c r="AF115" s="32">
        <v>693</v>
      </c>
      <c r="AG115" s="29"/>
      <c r="AH115" s="29" t="s">
        <v>39</v>
      </c>
      <c r="AI115" s="30">
        <v>650</v>
      </c>
      <c r="AJ115" s="32">
        <v>727</v>
      </c>
      <c r="AK115" s="29"/>
      <c r="AL115" s="29" t="s">
        <v>39</v>
      </c>
      <c r="AM115" s="30">
        <v>121</v>
      </c>
      <c r="AN115" s="33">
        <v>145</v>
      </c>
    </row>
    <row r="116" spans="1:40" outlineLevel="1" x14ac:dyDescent="0.25">
      <c r="A116" s="28"/>
      <c r="B116" s="29" t="s">
        <v>41</v>
      </c>
      <c r="C116" s="30">
        <v>235</v>
      </c>
      <c r="D116" s="32">
        <v>225</v>
      </c>
      <c r="E116" s="29"/>
      <c r="F116" s="29" t="s">
        <v>41</v>
      </c>
      <c r="G116" s="30">
        <v>16</v>
      </c>
      <c r="H116" s="32">
        <v>13</v>
      </c>
      <c r="I116" s="29"/>
      <c r="J116" s="29" t="s">
        <v>41</v>
      </c>
      <c r="K116" s="30">
        <v>175</v>
      </c>
      <c r="L116" s="32">
        <v>176</v>
      </c>
      <c r="M116" s="29"/>
      <c r="N116" s="29" t="s">
        <v>41</v>
      </c>
      <c r="O116" s="30">
        <v>582</v>
      </c>
      <c r="P116" s="32">
        <v>594</v>
      </c>
      <c r="Q116" s="29"/>
      <c r="R116" s="29" t="s">
        <v>41</v>
      </c>
      <c r="S116" s="30">
        <v>81</v>
      </c>
      <c r="T116" s="32">
        <v>129</v>
      </c>
      <c r="U116" s="29"/>
      <c r="V116" s="29" t="s">
        <v>41</v>
      </c>
      <c r="W116" s="30">
        <v>242</v>
      </c>
      <c r="X116" s="32">
        <v>282</v>
      </c>
      <c r="Y116" s="29"/>
      <c r="Z116" s="29" t="s">
        <v>41</v>
      </c>
      <c r="AA116" s="30">
        <v>86</v>
      </c>
      <c r="AB116" s="32">
        <v>126</v>
      </c>
      <c r="AC116" s="29"/>
      <c r="AD116" s="29" t="s">
        <v>41</v>
      </c>
      <c r="AE116" s="30">
        <v>420</v>
      </c>
      <c r="AF116" s="32">
        <v>521</v>
      </c>
      <c r="AG116" s="29"/>
      <c r="AH116" s="29" t="s">
        <v>41</v>
      </c>
      <c r="AI116" s="30">
        <v>426</v>
      </c>
      <c r="AJ116" s="32">
        <v>601</v>
      </c>
      <c r="AK116" s="29"/>
      <c r="AL116" s="29" t="s">
        <v>41</v>
      </c>
      <c r="AM116" s="30">
        <v>87</v>
      </c>
      <c r="AN116" s="33">
        <v>108</v>
      </c>
    </row>
    <row r="117" spans="1:40" outlineLevel="1" x14ac:dyDescent="0.25">
      <c r="A117" s="28"/>
      <c r="B117" s="29" t="s">
        <v>43</v>
      </c>
      <c r="C117" s="30">
        <v>209</v>
      </c>
      <c r="D117" s="32">
        <v>205</v>
      </c>
      <c r="E117" s="29"/>
      <c r="F117" s="29" t="s">
        <v>43</v>
      </c>
      <c r="G117" s="30">
        <v>24</v>
      </c>
      <c r="H117" s="32">
        <v>14</v>
      </c>
      <c r="I117" s="29"/>
      <c r="J117" s="29" t="s">
        <v>43</v>
      </c>
      <c r="K117" s="30">
        <v>187</v>
      </c>
      <c r="L117" s="32">
        <v>150</v>
      </c>
      <c r="M117" s="29"/>
      <c r="N117" s="29" t="s">
        <v>43</v>
      </c>
      <c r="O117" s="30">
        <v>525</v>
      </c>
      <c r="P117" s="32">
        <v>496</v>
      </c>
      <c r="Q117" s="29"/>
      <c r="R117" s="29" t="s">
        <v>43</v>
      </c>
      <c r="S117" s="30">
        <v>69</v>
      </c>
      <c r="T117" s="32">
        <v>62</v>
      </c>
      <c r="U117" s="29"/>
      <c r="V117" s="29" t="s">
        <v>43</v>
      </c>
      <c r="W117" s="30">
        <v>266</v>
      </c>
      <c r="X117" s="32">
        <v>200</v>
      </c>
      <c r="Y117" s="29"/>
      <c r="Z117" s="29" t="s">
        <v>43</v>
      </c>
      <c r="AA117" s="30">
        <v>97</v>
      </c>
      <c r="AB117" s="32">
        <v>79</v>
      </c>
      <c r="AC117" s="29"/>
      <c r="AD117" s="29" t="s">
        <v>43</v>
      </c>
      <c r="AE117" s="30">
        <v>421</v>
      </c>
      <c r="AF117" s="32">
        <v>367</v>
      </c>
      <c r="AG117" s="29"/>
      <c r="AH117" s="29" t="s">
        <v>43</v>
      </c>
      <c r="AI117" s="30">
        <v>415</v>
      </c>
      <c r="AJ117" s="32">
        <v>367</v>
      </c>
      <c r="AK117" s="29"/>
      <c r="AL117" s="29" t="s">
        <v>43</v>
      </c>
      <c r="AM117" s="30">
        <v>86</v>
      </c>
      <c r="AN117" s="33">
        <v>76</v>
      </c>
    </row>
    <row r="118" spans="1:40" outlineLevel="1" x14ac:dyDescent="0.25">
      <c r="A118" s="28"/>
      <c r="B118" s="29" t="s">
        <v>45</v>
      </c>
      <c r="C118" s="30">
        <v>180</v>
      </c>
      <c r="D118" s="32">
        <v>172</v>
      </c>
      <c r="E118" s="29"/>
      <c r="F118" s="29" t="s">
        <v>45</v>
      </c>
      <c r="G118" s="30">
        <v>17</v>
      </c>
      <c r="H118" s="32">
        <v>23</v>
      </c>
      <c r="I118" s="29"/>
      <c r="J118" s="29" t="s">
        <v>45</v>
      </c>
      <c r="K118" s="30">
        <v>175</v>
      </c>
      <c r="L118" s="32">
        <v>145</v>
      </c>
      <c r="M118" s="29"/>
      <c r="N118" s="29" t="s">
        <v>45</v>
      </c>
      <c r="O118" s="30">
        <v>498</v>
      </c>
      <c r="P118" s="32">
        <v>402</v>
      </c>
      <c r="Q118" s="29"/>
      <c r="R118" s="29" t="s">
        <v>45</v>
      </c>
      <c r="S118" s="30">
        <v>58</v>
      </c>
      <c r="T118" s="32">
        <v>53</v>
      </c>
      <c r="U118" s="29"/>
      <c r="V118" s="29" t="s">
        <v>45</v>
      </c>
      <c r="W118" s="30">
        <v>218</v>
      </c>
      <c r="X118" s="32">
        <v>208</v>
      </c>
      <c r="Y118" s="29"/>
      <c r="Z118" s="29" t="s">
        <v>45</v>
      </c>
      <c r="AA118" s="30">
        <v>88</v>
      </c>
      <c r="AB118" s="32">
        <v>81</v>
      </c>
      <c r="AC118" s="29"/>
      <c r="AD118" s="29" t="s">
        <v>45</v>
      </c>
      <c r="AE118" s="30">
        <v>360</v>
      </c>
      <c r="AF118" s="32">
        <v>339</v>
      </c>
      <c r="AG118" s="29"/>
      <c r="AH118" s="29" t="s">
        <v>45</v>
      </c>
      <c r="AI118" s="30">
        <v>345</v>
      </c>
      <c r="AJ118" s="32">
        <v>343</v>
      </c>
      <c r="AK118" s="29"/>
      <c r="AL118" s="29" t="s">
        <v>45</v>
      </c>
      <c r="AM118" s="30">
        <v>46</v>
      </c>
      <c r="AN118" s="33">
        <v>65</v>
      </c>
    </row>
    <row r="119" spans="1:40" outlineLevel="1" x14ac:dyDescent="0.25">
      <c r="A119" s="28"/>
      <c r="B119" s="29" t="s">
        <v>47</v>
      </c>
      <c r="C119" s="30">
        <v>94</v>
      </c>
      <c r="D119" s="32">
        <v>115</v>
      </c>
      <c r="E119" s="29"/>
      <c r="F119" s="29" t="s">
        <v>47</v>
      </c>
      <c r="G119" s="30">
        <v>12</v>
      </c>
      <c r="H119" s="32">
        <v>13</v>
      </c>
      <c r="I119" s="29"/>
      <c r="J119" s="29" t="s">
        <v>47</v>
      </c>
      <c r="K119" s="30">
        <v>99</v>
      </c>
      <c r="L119" s="32">
        <v>118</v>
      </c>
      <c r="M119" s="29"/>
      <c r="N119" s="29" t="s">
        <v>47</v>
      </c>
      <c r="O119" s="30">
        <v>288</v>
      </c>
      <c r="P119" s="32">
        <v>326</v>
      </c>
      <c r="Q119" s="29"/>
      <c r="R119" s="29" t="s">
        <v>47</v>
      </c>
      <c r="S119" s="30">
        <v>33</v>
      </c>
      <c r="T119" s="32">
        <v>35</v>
      </c>
      <c r="U119" s="29"/>
      <c r="V119" s="29" t="s">
        <v>47</v>
      </c>
      <c r="W119" s="30">
        <v>116</v>
      </c>
      <c r="X119" s="32">
        <v>144</v>
      </c>
      <c r="Y119" s="29"/>
      <c r="Z119" s="29" t="s">
        <v>47</v>
      </c>
      <c r="AA119" s="30">
        <v>53</v>
      </c>
      <c r="AB119" s="32">
        <v>50</v>
      </c>
      <c r="AC119" s="29"/>
      <c r="AD119" s="29" t="s">
        <v>47</v>
      </c>
      <c r="AE119" s="30">
        <v>187</v>
      </c>
      <c r="AF119" s="32">
        <v>236</v>
      </c>
      <c r="AG119" s="29"/>
      <c r="AH119" s="29" t="s">
        <v>47</v>
      </c>
      <c r="AI119" s="30">
        <v>226</v>
      </c>
      <c r="AJ119" s="32">
        <v>208</v>
      </c>
      <c r="AK119" s="29"/>
      <c r="AL119" s="29" t="s">
        <v>47</v>
      </c>
      <c r="AM119" s="30">
        <v>48</v>
      </c>
      <c r="AN119" s="33">
        <v>36</v>
      </c>
    </row>
    <row r="120" spans="1:40" outlineLevel="1" x14ac:dyDescent="0.25">
      <c r="A120" s="28"/>
      <c r="B120" s="29" t="s">
        <v>49</v>
      </c>
      <c r="C120" s="30">
        <v>33</v>
      </c>
      <c r="D120" s="32">
        <v>45</v>
      </c>
      <c r="E120" s="29"/>
      <c r="F120" s="29" t="s">
        <v>49</v>
      </c>
      <c r="G120" s="30">
        <v>6</v>
      </c>
      <c r="H120" s="32">
        <v>5</v>
      </c>
      <c r="I120" s="29"/>
      <c r="J120" s="29" t="s">
        <v>49</v>
      </c>
      <c r="K120" s="30">
        <v>30</v>
      </c>
      <c r="L120" s="32">
        <v>52</v>
      </c>
      <c r="M120" s="29"/>
      <c r="N120" s="29" t="s">
        <v>49</v>
      </c>
      <c r="O120" s="30">
        <v>110</v>
      </c>
      <c r="P120" s="32">
        <v>133</v>
      </c>
      <c r="Q120" s="29"/>
      <c r="R120" s="29" t="s">
        <v>49</v>
      </c>
      <c r="S120" s="30">
        <v>17</v>
      </c>
      <c r="T120" s="32">
        <v>10</v>
      </c>
      <c r="U120" s="29"/>
      <c r="V120" s="29" t="s">
        <v>49</v>
      </c>
      <c r="W120" s="30">
        <v>42</v>
      </c>
      <c r="X120" s="32">
        <v>54</v>
      </c>
      <c r="Y120" s="29"/>
      <c r="Z120" s="29" t="s">
        <v>49</v>
      </c>
      <c r="AA120" s="30">
        <v>9</v>
      </c>
      <c r="AB120" s="32">
        <v>20</v>
      </c>
      <c r="AC120" s="29"/>
      <c r="AD120" s="29" t="s">
        <v>49</v>
      </c>
      <c r="AE120" s="30">
        <v>67</v>
      </c>
      <c r="AF120" s="32">
        <v>85</v>
      </c>
      <c r="AG120" s="29"/>
      <c r="AH120" s="29" t="s">
        <v>49</v>
      </c>
      <c r="AI120" s="30">
        <v>74</v>
      </c>
      <c r="AJ120" s="32">
        <v>101</v>
      </c>
      <c r="AK120" s="29"/>
      <c r="AL120" s="29" t="s">
        <v>49</v>
      </c>
      <c r="AM120" s="30">
        <v>14</v>
      </c>
      <c r="AN120" s="33">
        <v>22</v>
      </c>
    </row>
    <row r="121" spans="1:40" outlineLevel="1" x14ac:dyDescent="0.25">
      <c r="A121" s="28"/>
      <c r="B121" s="29" t="s">
        <v>51</v>
      </c>
      <c r="C121" s="30">
        <v>5</v>
      </c>
      <c r="D121" s="32">
        <v>15</v>
      </c>
      <c r="E121" s="29"/>
      <c r="F121" s="29" t="s">
        <v>51</v>
      </c>
      <c r="G121" s="30">
        <v>0</v>
      </c>
      <c r="H121" s="32">
        <v>3</v>
      </c>
      <c r="I121" s="29"/>
      <c r="J121" s="29" t="s">
        <v>51</v>
      </c>
      <c r="K121" s="30">
        <v>9</v>
      </c>
      <c r="L121" s="32">
        <v>11</v>
      </c>
      <c r="M121" s="29"/>
      <c r="N121" s="29" t="s">
        <v>51</v>
      </c>
      <c r="O121" s="30">
        <v>28</v>
      </c>
      <c r="P121" s="32">
        <v>32</v>
      </c>
      <c r="Q121" s="29"/>
      <c r="R121" s="29" t="s">
        <v>51</v>
      </c>
      <c r="S121" s="30">
        <v>4</v>
      </c>
      <c r="T121" s="32">
        <v>4</v>
      </c>
      <c r="U121" s="29"/>
      <c r="V121" s="29" t="s">
        <v>51</v>
      </c>
      <c r="W121" s="30">
        <v>6</v>
      </c>
      <c r="X121" s="32">
        <v>13</v>
      </c>
      <c r="Y121" s="29"/>
      <c r="Z121" s="29" t="s">
        <v>51</v>
      </c>
      <c r="AA121" s="30">
        <v>2</v>
      </c>
      <c r="AB121" s="32">
        <v>4</v>
      </c>
      <c r="AC121" s="29"/>
      <c r="AD121" s="29" t="s">
        <v>51</v>
      </c>
      <c r="AE121" s="30">
        <v>11</v>
      </c>
      <c r="AF121" s="32">
        <v>14</v>
      </c>
      <c r="AG121" s="29"/>
      <c r="AH121" s="29" t="s">
        <v>51</v>
      </c>
      <c r="AI121" s="30">
        <v>10</v>
      </c>
      <c r="AJ121" s="32">
        <v>22</v>
      </c>
      <c r="AK121" s="29"/>
      <c r="AL121" s="29" t="s">
        <v>51</v>
      </c>
      <c r="AM121" s="30">
        <v>7</v>
      </c>
      <c r="AN121" s="33">
        <v>4</v>
      </c>
    </row>
    <row r="122" spans="1:40" outlineLevel="1" x14ac:dyDescent="0.25">
      <c r="A122" s="28"/>
      <c r="B122" s="29" t="s">
        <v>53</v>
      </c>
      <c r="C122" s="30">
        <v>1</v>
      </c>
      <c r="D122" s="32">
        <v>2</v>
      </c>
      <c r="E122" s="29"/>
      <c r="F122" s="29" t="s">
        <v>53</v>
      </c>
      <c r="G122" s="30">
        <v>0</v>
      </c>
      <c r="H122" s="32">
        <v>0</v>
      </c>
      <c r="I122" s="29"/>
      <c r="J122" s="29" t="s">
        <v>53</v>
      </c>
      <c r="K122" s="30">
        <v>2</v>
      </c>
      <c r="L122" s="32">
        <v>3</v>
      </c>
      <c r="M122" s="29"/>
      <c r="N122" s="29" t="s">
        <v>53</v>
      </c>
      <c r="O122" s="30">
        <v>2</v>
      </c>
      <c r="P122" s="32">
        <v>3</v>
      </c>
      <c r="Q122" s="29"/>
      <c r="R122" s="29" t="s">
        <v>53</v>
      </c>
      <c r="S122" s="30">
        <v>0</v>
      </c>
      <c r="T122" s="32">
        <v>0</v>
      </c>
      <c r="U122" s="29"/>
      <c r="V122" s="29" t="s">
        <v>53</v>
      </c>
      <c r="W122" s="30">
        <v>1</v>
      </c>
      <c r="X122" s="32">
        <v>2</v>
      </c>
      <c r="Y122" s="29"/>
      <c r="Z122" s="29" t="s">
        <v>53</v>
      </c>
      <c r="AA122" s="30">
        <v>0</v>
      </c>
      <c r="AB122" s="32">
        <v>1</v>
      </c>
      <c r="AC122" s="29"/>
      <c r="AD122" s="29" t="s">
        <v>53</v>
      </c>
      <c r="AE122" s="30">
        <v>2</v>
      </c>
      <c r="AF122" s="32">
        <v>3</v>
      </c>
      <c r="AG122" s="29"/>
      <c r="AH122" s="29" t="s">
        <v>53</v>
      </c>
      <c r="AI122" s="30">
        <v>2</v>
      </c>
      <c r="AJ122" s="32">
        <v>4</v>
      </c>
      <c r="AK122" s="29"/>
      <c r="AL122" s="29" t="s">
        <v>53</v>
      </c>
      <c r="AM122" s="30">
        <v>0</v>
      </c>
      <c r="AN122" s="33">
        <v>0</v>
      </c>
    </row>
    <row r="123" spans="1:40" outlineLevel="1" x14ac:dyDescent="0.25">
      <c r="A123" s="28"/>
      <c r="B123" s="30"/>
      <c r="C123" s="30" t="s">
        <v>55</v>
      </c>
      <c r="D123" s="30"/>
      <c r="E123" s="30"/>
      <c r="F123" s="30"/>
      <c r="G123" s="30" t="s">
        <v>55</v>
      </c>
      <c r="H123" s="30"/>
      <c r="I123" s="30"/>
      <c r="J123" s="30"/>
      <c r="K123" s="30" t="s">
        <v>55</v>
      </c>
      <c r="L123" s="30"/>
      <c r="M123" s="30"/>
      <c r="N123" s="30"/>
      <c r="O123" s="30" t="s">
        <v>55</v>
      </c>
      <c r="P123" s="30"/>
      <c r="Q123" s="30"/>
      <c r="R123" s="30"/>
      <c r="S123" s="30" t="s">
        <v>55</v>
      </c>
      <c r="T123" s="30"/>
      <c r="U123" s="30"/>
      <c r="V123" s="30"/>
      <c r="W123" s="30" t="s">
        <v>55</v>
      </c>
      <c r="X123" s="30"/>
      <c r="Y123" s="30"/>
      <c r="Z123" s="30"/>
      <c r="AA123" s="30" t="s">
        <v>55</v>
      </c>
      <c r="AB123" s="30"/>
      <c r="AC123" s="30"/>
      <c r="AD123" s="30"/>
      <c r="AE123" s="30" t="s">
        <v>55</v>
      </c>
      <c r="AF123" s="30"/>
      <c r="AG123" s="30"/>
      <c r="AH123" s="30"/>
      <c r="AI123" s="30" t="s">
        <v>55</v>
      </c>
      <c r="AJ123" s="30"/>
      <c r="AK123" s="30"/>
      <c r="AL123" s="30"/>
      <c r="AM123" s="30" t="s">
        <v>55</v>
      </c>
      <c r="AN123" s="31"/>
    </row>
    <row r="124" spans="1:40" outlineLevel="1" x14ac:dyDescent="0.25">
      <c r="A124" s="28"/>
      <c r="B124" s="29" t="s">
        <v>18</v>
      </c>
      <c r="C124" s="30">
        <v>3178</v>
      </c>
      <c r="D124" s="32">
        <v>2826</v>
      </c>
      <c r="E124" s="30"/>
      <c r="F124" s="29" t="s">
        <v>18</v>
      </c>
      <c r="G124" s="30">
        <v>295</v>
      </c>
      <c r="H124" s="32">
        <v>269</v>
      </c>
      <c r="I124" s="30"/>
      <c r="J124" s="29" t="s">
        <v>18</v>
      </c>
      <c r="K124" s="30">
        <v>2411</v>
      </c>
      <c r="L124" s="32">
        <v>2185</v>
      </c>
      <c r="M124" s="30"/>
      <c r="N124" s="29" t="s">
        <v>18</v>
      </c>
      <c r="O124" s="30">
        <v>8859</v>
      </c>
      <c r="P124" s="32">
        <v>7810</v>
      </c>
      <c r="Q124" s="30"/>
      <c r="R124" s="29" t="s">
        <v>18</v>
      </c>
      <c r="S124" s="30">
        <v>1509</v>
      </c>
      <c r="T124" s="32">
        <v>1340</v>
      </c>
      <c r="U124" s="30"/>
      <c r="V124" s="29" t="s">
        <v>18</v>
      </c>
      <c r="W124" s="30">
        <v>3682</v>
      </c>
      <c r="X124" s="32">
        <v>3189</v>
      </c>
      <c r="Y124" s="29"/>
      <c r="Z124" s="29" t="s">
        <v>18</v>
      </c>
      <c r="AA124" s="30">
        <v>1884</v>
      </c>
      <c r="AB124" s="32">
        <v>1751</v>
      </c>
      <c r="AC124" s="30"/>
      <c r="AD124" s="29" t="s">
        <v>18</v>
      </c>
      <c r="AE124" s="30">
        <v>8009</v>
      </c>
      <c r="AF124" s="32">
        <v>7171</v>
      </c>
      <c r="AG124" s="30"/>
      <c r="AH124" s="29" t="s">
        <v>18</v>
      </c>
      <c r="AI124" s="30">
        <v>8812</v>
      </c>
      <c r="AJ124" s="32">
        <v>8137</v>
      </c>
      <c r="AK124" s="30"/>
      <c r="AL124" s="29" t="s">
        <v>18</v>
      </c>
      <c r="AM124" s="30">
        <v>1763</v>
      </c>
      <c r="AN124" s="33">
        <v>1665</v>
      </c>
    </row>
    <row r="125" spans="1:40" outlineLevel="1" x14ac:dyDescent="0.25">
      <c r="A125" s="28"/>
      <c r="B125" s="29" t="s">
        <v>20</v>
      </c>
      <c r="C125" s="30">
        <v>87</v>
      </c>
      <c r="D125" s="32">
        <v>67</v>
      </c>
      <c r="E125" s="30"/>
      <c r="F125" s="29" t="s">
        <v>20</v>
      </c>
      <c r="G125" s="30">
        <v>12</v>
      </c>
      <c r="H125" s="32">
        <v>9</v>
      </c>
      <c r="I125" s="30"/>
      <c r="J125" s="29" t="s">
        <v>20</v>
      </c>
      <c r="K125" s="30">
        <v>44</v>
      </c>
      <c r="L125" s="32">
        <v>46</v>
      </c>
      <c r="M125" s="30"/>
      <c r="N125" s="29" t="s">
        <v>20</v>
      </c>
      <c r="O125" s="30">
        <v>264</v>
      </c>
      <c r="P125" s="32">
        <v>182</v>
      </c>
      <c r="Q125" s="30"/>
      <c r="R125" s="29" t="s">
        <v>20</v>
      </c>
      <c r="S125" s="30">
        <v>38</v>
      </c>
      <c r="T125" s="32">
        <v>40</v>
      </c>
      <c r="U125" s="30"/>
      <c r="V125" s="29" t="s">
        <v>20</v>
      </c>
      <c r="W125" s="30">
        <v>69</v>
      </c>
      <c r="X125" s="32">
        <v>86</v>
      </c>
      <c r="Y125" s="29"/>
      <c r="Z125" s="29" t="s">
        <v>20</v>
      </c>
      <c r="AA125" s="30">
        <v>72</v>
      </c>
      <c r="AB125" s="32">
        <v>77</v>
      </c>
      <c r="AC125" s="30"/>
      <c r="AD125" s="29" t="s">
        <v>20</v>
      </c>
      <c r="AE125" s="30">
        <v>256</v>
      </c>
      <c r="AF125" s="32">
        <v>202</v>
      </c>
      <c r="AG125" s="30"/>
      <c r="AH125" s="29" t="s">
        <v>20</v>
      </c>
      <c r="AI125" s="30">
        <v>273</v>
      </c>
      <c r="AJ125" s="32">
        <v>241</v>
      </c>
      <c r="AK125" s="30"/>
      <c r="AL125" s="29" t="s">
        <v>20</v>
      </c>
      <c r="AM125" s="30">
        <v>51</v>
      </c>
      <c r="AN125" s="33">
        <v>61</v>
      </c>
    </row>
    <row r="126" spans="1:40" outlineLevel="1" x14ac:dyDescent="0.25">
      <c r="A126" s="28"/>
      <c r="B126" s="29" t="s">
        <v>22</v>
      </c>
      <c r="C126" s="30">
        <v>100</v>
      </c>
      <c r="D126" s="32">
        <v>82</v>
      </c>
      <c r="E126" s="30"/>
      <c r="F126" s="29" t="s">
        <v>22</v>
      </c>
      <c r="G126" s="30">
        <v>9</v>
      </c>
      <c r="H126" s="32">
        <v>12</v>
      </c>
      <c r="I126" s="30"/>
      <c r="J126" s="29" t="s">
        <v>22</v>
      </c>
      <c r="K126" s="30">
        <v>82</v>
      </c>
      <c r="L126" s="32">
        <v>43</v>
      </c>
      <c r="M126" s="30"/>
      <c r="N126" s="29" t="s">
        <v>22</v>
      </c>
      <c r="O126" s="30">
        <v>295</v>
      </c>
      <c r="P126" s="32">
        <v>257</v>
      </c>
      <c r="Q126" s="30"/>
      <c r="R126" s="29" t="s">
        <v>22</v>
      </c>
      <c r="S126" s="30">
        <v>63</v>
      </c>
      <c r="T126" s="32">
        <v>34</v>
      </c>
      <c r="U126" s="30"/>
      <c r="V126" s="29" t="s">
        <v>22</v>
      </c>
      <c r="W126" s="30">
        <v>96</v>
      </c>
      <c r="X126" s="32">
        <v>69</v>
      </c>
      <c r="Y126" s="29"/>
      <c r="Z126" s="29" t="s">
        <v>22</v>
      </c>
      <c r="AA126" s="30">
        <v>69</v>
      </c>
      <c r="AB126" s="32">
        <v>74</v>
      </c>
      <c r="AC126" s="30"/>
      <c r="AD126" s="29" t="s">
        <v>22</v>
      </c>
      <c r="AE126" s="30">
        <v>306</v>
      </c>
      <c r="AF126" s="32">
        <v>232</v>
      </c>
      <c r="AG126" s="30"/>
      <c r="AH126" s="29" t="s">
        <v>22</v>
      </c>
      <c r="AI126" s="30">
        <v>307</v>
      </c>
      <c r="AJ126" s="32">
        <v>274</v>
      </c>
      <c r="AK126" s="30"/>
      <c r="AL126" s="29" t="s">
        <v>22</v>
      </c>
      <c r="AM126" s="30">
        <v>62</v>
      </c>
      <c r="AN126" s="33">
        <v>62</v>
      </c>
    </row>
    <row r="127" spans="1:40" outlineLevel="1" x14ac:dyDescent="0.25">
      <c r="A127" s="28"/>
      <c r="B127" s="29" t="s">
        <v>23</v>
      </c>
      <c r="C127" s="30">
        <v>120</v>
      </c>
      <c r="D127" s="32">
        <v>96</v>
      </c>
      <c r="E127" s="30"/>
      <c r="F127" s="29" t="s">
        <v>23</v>
      </c>
      <c r="G127" s="30">
        <v>12</v>
      </c>
      <c r="H127" s="32">
        <v>9</v>
      </c>
      <c r="I127" s="30"/>
      <c r="J127" s="29" t="s">
        <v>23</v>
      </c>
      <c r="K127" s="30">
        <v>91</v>
      </c>
      <c r="L127" s="32">
        <v>86</v>
      </c>
      <c r="M127" s="30"/>
      <c r="N127" s="29" t="s">
        <v>23</v>
      </c>
      <c r="O127" s="30">
        <v>310</v>
      </c>
      <c r="P127" s="32">
        <v>280</v>
      </c>
      <c r="Q127" s="30"/>
      <c r="R127" s="29" t="s">
        <v>23</v>
      </c>
      <c r="S127" s="30">
        <v>57</v>
      </c>
      <c r="T127" s="32">
        <v>54</v>
      </c>
      <c r="U127" s="30"/>
      <c r="V127" s="29" t="s">
        <v>23</v>
      </c>
      <c r="W127" s="30">
        <v>131</v>
      </c>
      <c r="X127" s="32">
        <v>94</v>
      </c>
      <c r="Y127" s="29"/>
      <c r="Z127" s="29" t="s">
        <v>23</v>
      </c>
      <c r="AA127" s="30">
        <v>82</v>
      </c>
      <c r="AB127" s="32">
        <v>68</v>
      </c>
      <c r="AC127" s="30"/>
      <c r="AD127" s="29" t="s">
        <v>23</v>
      </c>
      <c r="AE127" s="30">
        <v>323</v>
      </c>
      <c r="AF127" s="32">
        <v>287</v>
      </c>
      <c r="AG127" s="30"/>
      <c r="AH127" s="29" t="s">
        <v>23</v>
      </c>
      <c r="AI127" s="30">
        <v>390</v>
      </c>
      <c r="AJ127" s="32">
        <v>293</v>
      </c>
      <c r="AK127" s="30"/>
      <c r="AL127" s="29" t="s">
        <v>23</v>
      </c>
      <c r="AM127" s="30">
        <v>91</v>
      </c>
      <c r="AN127" s="33">
        <v>61</v>
      </c>
    </row>
    <row r="128" spans="1:40" outlineLevel="1" x14ac:dyDescent="0.25">
      <c r="A128" s="28"/>
      <c r="B128" s="29" t="s">
        <v>24</v>
      </c>
      <c r="C128" s="30">
        <v>136</v>
      </c>
      <c r="D128" s="32">
        <v>105</v>
      </c>
      <c r="E128" s="30"/>
      <c r="F128" s="29" t="s">
        <v>24</v>
      </c>
      <c r="G128" s="30">
        <v>16</v>
      </c>
      <c r="H128" s="32">
        <v>11</v>
      </c>
      <c r="I128" s="30"/>
      <c r="J128" s="29" t="s">
        <v>24</v>
      </c>
      <c r="K128" s="30">
        <v>90</v>
      </c>
      <c r="L128" s="32">
        <v>92</v>
      </c>
      <c r="M128" s="30"/>
      <c r="N128" s="29" t="s">
        <v>24</v>
      </c>
      <c r="O128" s="30">
        <v>406</v>
      </c>
      <c r="P128" s="32">
        <v>286</v>
      </c>
      <c r="Q128" s="30"/>
      <c r="R128" s="29" t="s">
        <v>24</v>
      </c>
      <c r="S128" s="30">
        <v>67</v>
      </c>
      <c r="T128" s="32">
        <v>43</v>
      </c>
      <c r="U128" s="30"/>
      <c r="V128" s="29" t="s">
        <v>24</v>
      </c>
      <c r="W128" s="30">
        <v>154</v>
      </c>
      <c r="X128" s="32">
        <v>122</v>
      </c>
      <c r="Y128" s="29"/>
      <c r="Z128" s="29" t="s">
        <v>24</v>
      </c>
      <c r="AA128" s="30">
        <v>74</v>
      </c>
      <c r="AB128" s="32">
        <v>73</v>
      </c>
      <c r="AC128" s="30"/>
      <c r="AD128" s="29" t="s">
        <v>24</v>
      </c>
      <c r="AE128" s="30">
        <v>350</v>
      </c>
      <c r="AF128" s="32">
        <v>298</v>
      </c>
      <c r="AG128" s="30"/>
      <c r="AH128" s="29" t="s">
        <v>24</v>
      </c>
      <c r="AI128" s="30">
        <v>438</v>
      </c>
      <c r="AJ128" s="32">
        <v>377</v>
      </c>
      <c r="AK128" s="30"/>
      <c r="AL128" s="29" t="s">
        <v>24</v>
      </c>
      <c r="AM128" s="30">
        <v>97</v>
      </c>
      <c r="AN128" s="33">
        <v>90</v>
      </c>
    </row>
    <row r="129" spans="1:40" outlineLevel="1" x14ac:dyDescent="0.25">
      <c r="A129" s="28"/>
      <c r="B129" s="29" t="s">
        <v>25</v>
      </c>
      <c r="C129" s="30">
        <v>107</v>
      </c>
      <c r="D129" s="32">
        <v>77</v>
      </c>
      <c r="E129" s="30"/>
      <c r="F129" s="29" t="s">
        <v>25</v>
      </c>
      <c r="G129" s="30">
        <v>12</v>
      </c>
      <c r="H129" s="32">
        <v>10</v>
      </c>
      <c r="I129" s="30"/>
      <c r="J129" s="29" t="s">
        <v>25</v>
      </c>
      <c r="K129" s="30">
        <v>56</v>
      </c>
      <c r="L129" s="32">
        <v>39</v>
      </c>
      <c r="M129" s="30"/>
      <c r="N129" s="29" t="s">
        <v>25</v>
      </c>
      <c r="O129" s="30">
        <v>307</v>
      </c>
      <c r="P129" s="32">
        <v>236</v>
      </c>
      <c r="Q129" s="30"/>
      <c r="R129" s="29" t="s">
        <v>25</v>
      </c>
      <c r="S129" s="30">
        <v>59</v>
      </c>
      <c r="T129" s="32">
        <v>48</v>
      </c>
      <c r="U129" s="30"/>
      <c r="V129" s="29" t="s">
        <v>25</v>
      </c>
      <c r="W129" s="30">
        <v>105</v>
      </c>
      <c r="X129" s="32">
        <v>83</v>
      </c>
      <c r="Y129" s="29"/>
      <c r="Z129" s="29" t="s">
        <v>25</v>
      </c>
      <c r="AA129" s="30">
        <v>63</v>
      </c>
      <c r="AB129" s="32">
        <v>57</v>
      </c>
      <c r="AC129" s="30"/>
      <c r="AD129" s="29" t="s">
        <v>25</v>
      </c>
      <c r="AE129" s="30">
        <v>314</v>
      </c>
      <c r="AF129" s="32">
        <v>229</v>
      </c>
      <c r="AG129" s="30"/>
      <c r="AH129" s="29" t="s">
        <v>25</v>
      </c>
      <c r="AI129" s="30">
        <v>338</v>
      </c>
      <c r="AJ129" s="32">
        <v>316</v>
      </c>
      <c r="AK129" s="30"/>
      <c r="AL129" s="29" t="s">
        <v>25</v>
      </c>
      <c r="AM129" s="30">
        <v>71</v>
      </c>
      <c r="AN129" s="33">
        <v>72</v>
      </c>
    </row>
    <row r="130" spans="1:40" outlineLevel="1" x14ac:dyDescent="0.25">
      <c r="A130" s="28"/>
      <c r="B130" s="29" t="s">
        <v>26</v>
      </c>
      <c r="C130" s="30">
        <v>87</v>
      </c>
      <c r="D130" s="32">
        <v>68</v>
      </c>
      <c r="E130" s="30"/>
      <c r="F130" s="29" t="s">
        <v>26</v>
      </c>
      <c r="G130" s="30">
        <v>12</v>
      </c>
      <c r="H130" s="32">
        <v>10</v>
      </c>
      <c r="I130" s="30"/>
      <c r="J130" s="29" t="s">
        <v>26</v>
      </c>
      <c r="K130" s="30">
        <v>52</v>
      </c>
      <c r="L130" s="32">
        <v>42</v>
      </c>
      <c r="M130" s="30"/>
      <c r="N130" s="29" t="s">
        <v>26</v>
      </c>
      <c r="O130" s="30">
        <v>289</v>
      </c>
      <c r="P130" s="32">
        <v>207</v>
      </c>
      <c r="Q130" s="30"/>
      <c r="R130" s="29" t="s">
        <v>26</v>
      </c>
      <c r="S130" s="30">
        <v>45</v>
      </c>
      <c r="T130" s="32">
        <v>38</v>
      </c>
      <c r="U130" s="30"/>
      <c r="V130" s="29" t="s">
        <v>26</v>
      </c>
      <c r="W130" s="30">
        <v>106</v>
      </c>
      <c r="X130" s="32">
        <v>86</v>
      </c>
      <c r="Y130" s="29"/>
      <c r="Z130" s="29" t="s">
        <v>26</v>
      </c>
      <c r="AA130" s="30">
        <v>81</v>
      </c>
      <c r="AB130" s="32">
        <v>44</v>
      </c>
      <c r="AC130" s="30"/>
      <c r="AD130" s="29" t="s">
        <v>26</v>
      </c>
      <c r="AE130" s="30">
        <v>300</v>
      </c>
      <c r="AF130" s="32">
        <v>248</v>
      </c>
      <c r="AG130" s="30"/>
      <c r="AH130" s="29" t="s">
        <v>26</v>
      </c>
      <c r="AI130" s="30">
        <v>351</v>
      </c>
      <c r="AJ130" s="32">
        <v>283</v>
      </c>
      <c r="AK130" s="30"/>
      <c r="AL130" s="29" t="s">
        <v>26</v>
      </c>
      <c r="AM130" s="30">
        <v>64</v>
      </c>
      <c r="AN130" s="33">
        <v>48</v>
      </c>
    </row>
    <row r="131" spans="1:40" outlineLevel="1" x14ac:dyDescent="0.25">
      <c r="A131" s="28"/>
      <c r="B131" s="29" t="s">
        <v>27</v>
      </c>
      <c r="C131" s="30">
        <v>100</v>
      </c>
      <c r="D131" s="32">
        <v>84</v>
      </c>
      <c r="E131" s="30"/>
      <c r="F131" s="29" t="s">
        <v>27</v>
      </c>
      <c r="G131" s="30">
        <v>8</v>
      </c>
      <c r="H131" s="32">
        <v>14</v>
      </c>
      <c r="I131" s="30"/>
      <c r="J131" s="29" t="s">
        <v>27</v>
      </c>
      <c r="K131" s="30">
        <v>67</v>
      </c>
      <c r="L131" s="32">
        <v>62</v>
      </c>
      <c r="M131" s="30"/>
      <c r="N131" s="29" t="s">
        <v>27</v>
      </c>
      <c r="O131" s="30">
        <v>318</v>
      </c>
      <c r="P131" s="32">
        <v>288</v>
      </c>
      <c r="Q131" s="30"/>
      <c r="R131" s="29" t="s">
        <v>27</v>
      </c>
      <c r="S131" s="30">
        <v>71</v>
      </c>
      <c r="T131" s="32">
        <v>42</v>
      </c>
      <c r="U131" s="30"/>
      <c r="V131" s="29" t="s">
        <v>27</v>
      </c>
      <c r="W131" s="30">
        <v>98</v>
      </c>
      <c r="X131" s="32">
        <v>94</v>
      </c>
      <c r="Y131" s="29"/>
      <c r="Z131" s="29" t="s">
        <v>27</v>
      </c>
      <c r="AA131" s="30">
        <v>87</v>
      </c>
      <c r="AB131" s="32">
        <v>83</v>
      </c>
      <c r="AC131" s="30"/>
      <c r="AD131" s="29" t="s">
        <v>27</v>
      </c>
      <c r="AE131" s="30">
        <v>350</v>
      </c>
      <c r="AF131" s="32">
        <v>235</v>
      </c>
      <c r="AG131" s="30"/>
      <c r="AH131" s="29" t="s">
        <v>27</v>
      </c>
      <c r="AI131" s="30">
        <v>400</v>
      </c>
      <c r="AJ131" s="32">
        <v>331</v>
      </c>
      <c r="AK131" s="30"/>
      <c r="AL131" s="29" t="s">
        <v>27</v>
      </c>
      <c r="AM131" s="30">
        <v>75</v>
      </c>
      <c r="AN131" s="33">
        <v>75</v>
      </c>
    </row>
    <row r="132" spans="1:40" outlineLevel="1" x14ac:dyDescent="0.25">
      <c r="A132" s="28"/>
      <c r="B132" s="29" t="s">
        <v>28</v>
      </c>
      <c r="C132" s="30">
        <v>132</v>
      </c>
      <c r="D132" s="32">
        <v>102</v>
      </c>
      <c r="E132" s="30"/>
      <c r="F132" s="29" t="s">
        <v>28</v>
      </c>
      <c r="G132" s="30">
        <v>18</v>
      </c>
      <c r="H132" s="32">
        <v>7</v>
      </c>
      <c r="I132" s="30"/>
      <c r="J132" s="29" t="s">
        <v>28</v>
      </c>
      <c r="K132" s="30">
        <v>89</v>
      </c>
      <c r="L132" s="32">
        <v>63</v>
      </c>
      <c r="M132" s="30"/>
      <c r="N132" s="29" t="s">
        <v>28</v>
      </c>
      <c r="O132" s="30">
        <v>362</v>
      </c>
      <c r="P132" s="32">
        <v>292</v>
      </c>
      <c r="Q132" s="30"/>
      <c r="R132" s="29" t="s">
        <v>28</v>
      </c>
      <c r="S132" s="30">
        <v>72</v>
      </c>
      <c r="T132" s="32">
        <v>59</v>
      </c>
      <c r="U132" s="30"/>
      <c r="V132" s="29" t="s">
        <v>28</v>
      </c>
      <c r="W132" s="30">
        <v>113</v>
      </c>
      <c r="X132" s="32">
        <v>94</v>
      </c>
      <c r="Y132" s="29"/>
      <c r="Z132" s="29" t="s">
        <v>28</v>
      </c>
      <c r="AA132" s="30">
        <v>84</v>
      </c>
      <c r="AB132" s="32">
        <v>94</v>
      </c>
      <c r="AC132" s="30"/>
      <c r="AD132" s="29" t="s">
        <v>28</v>
      </c>
      <c r="AE132" s="30">
        <v>391</v>
      </c>
      <c r="AF132" s="32">
        <v>326</v>
      </c>
      <c r="AG132" s="30"/>
      <c r="AH132" s="29" t="s">
        <v>28</v>
      </c>
      <c r="AI132" s="30">
        <v>440</v>
      </c>
      <c r="AJ132" s="32">
        <v>386</v>
      </c>
      <c r="AK132" s="30"/>
      <c r="AL132" s="29" t="s">
        <v>28</v>
      </c>
      <c r="AM132" s="30">
        <v>97</v>
      </c>
      <c r="AN132" s="33">
        <v>82</v>
      </c>
    </row>
    <row r="133" spans="1:40" outlineLevel="1" x14ac:dyDescent="0.25">
      <c r="A133" s="28"/>
      <c r="B133" s="29" t="s">
        <v>29</v>
      </c>
      <c r="C133" s="30">
        <v>145</v>
      </c>
      <c r="D133" s="32">
        <v>128</v>
      </c>
      <c r="E133" s="30"/>
      <c r="F133" s="29" t="s">
        <v>29</v>
      </c>
      <c r="G133" s="30">
        <v>14</v>
      </c>
      <c r="H133" s="32">
        <v>18</v>
      </c>
      <c r="I133" s="30"/>
      <c r="J133" s="29" t="s">
        <v>29</v>
      </c>
      <c r="K133" s="30">
        <v>122</v>
      </c>
      <c r="L133" s="32">
        <v>89</v>
      </c>
      <c r="M133" s="30"/>
      <c r="N133" s="29" t="s">
        <v>29</v>
      </c>
      <c r="O133" s="30">
        <v>404</v>
      </c>
      <c r="P133" s="32">
        <v>338</v>
      </c>
      <c r="Q133" s="30"/>
      <c r="R133" s="29" t="s">
        <v>29</v>
      </c>
      <c r="S133" s="30">
        <v>74</v>
      </c>
      <c r="T133" s="32">
        <v>69</v>
      </c>
      <c r="U133" s="30"/>
      <c r="V133" s="29" t="s">
        <v>29</v>
      </c>
      <c r="W133" s="30">
        <v>123</v>
      </c>
      <c r="X133" s="32">
        <v>109</v>
      </c>
      <c r="Y133" s="29"/>
      <c r="Z133" s="29" t="s">
        <v>29</v>
      </c>
      <c r="AA133" s="30">
        <v>75</v>
      </c>
      <c r="AB133" s="32">
        <v>86</v>
      </c>
      <c r="AC133" s="30"/>
      <c r="AD133" s="29" t="s">
        <v>29</v>
      </c>
      <c r="AE133" s="30">
        <v>400</v>
      </c>
      <c r="AF133" s="32">
        <v>379</v>
      </c>
      <c r="AG133" s="30"/>
      <c r="AH133" s="29" t="s">
        <v>29</v>
      </c>
      <c r="AI133" s="30">
        <v>412</v>
      </c>
      <c r="AJ133" s="32">
        <v>429</v>
      </c>
      <c r="AK133" s="30"/>
      <c r="AL133" s="29" t="s">
        <v>29</v>
      </c>
      <c r="AM133" s="30">
        <v>91</v>
      </c>
      <c r="AN133" s="33">
        <v>97</v>
      </c>
    </row>
    <row r="134" spans="1:40" outlineLevel="1" x14ac:dyDescent="0.25">
      <c r="A134" s="28"/>
      <c r="B134" s="29" t="s">
        <v>31</v>
      </c>
      <c r="C134" s="30">
        <v>143</v>
      </c>
      <c r="D134" s="32">
        <v>138</v>
      </c>
      <c r="E134" s="30"/>
      <c r="F134" s="29" t="s">
        <v>31</v>
      </c>
      <c r="G134" s="30">
        <v>14</v>
      </c>
      <c r="H134" s="32">
        <v>12</v>
      </c>
      <c r="I134" s="30"/>
      <c r="J134" s="29" t="s">
        <v>31</v>
      </c>
      <c r="K134" s="30">
        <v>104</v>
      </c>
      <c r="L134" s="32">
        <v>113</v>
      </c>
      <c r="M134" s="30"/>
      <c r="N134" s="29" t="s">
        <v>31</v>
      </c>
      <c r="O134" s="30">
        <v>435</v>
      </c>
      <c r="P134" s="32">
        <v>399</v>
      </c>
      <c r="Q134" s="30"/>
      <c r="R134" s="29" t="s">
        <v>31</v>
      </c>
      <c r="S134" s="30">
        <v>83</v>
      </c>
      <c r="T134" s="32">
        <v>73</v>
      </c>
      <c r="U134" s="30"/>
      <c r="V134" s="29" t="s">
        <v>31</v>
      </c>
      <c r="W134" s="30">
        <v>136</v>
      </c>
      <c r="X134" s="32">
        <v>118</v>
      </c>
      <c r="Y134" s="29"/>
      <c r="Z134" s="29" t="s">
        <v>31</v>
      </c>
      <c r="AA134" s="30">
        <v>95</v>
      </c>
      <c r="AB134" s="32">
        <v>71</v>
      </c>
      <c r="AC134" s="30"/>
      <c r="AD134" s="29" t="s">
        <v>31</v>
      </c>
      <c r="AE134" s="30">
        <v>388</v>
      </c>
      <c r="AF134" s="32">
        <v>384</v>
      </c>
      <c r="AG134" s="30"/>
      <c r="AH134" s="29" t="s">
        <v>31</v>
      </c>
      <c r="AI134" s="30">
        <v>451</v>
      </c>
      <c r="AJ134" s="32">
        <v>393</v>
      </c>
      <c r="AK134" s="30"/>
      <c r="AL134" s="29" t="s">
        <v>31</v>
      </c>
      <c r="AM134" s="30">
        <v>83</v>
      </c>
      <c r="AN134" s="33">
        <v>91</v>
      </c>
    </row>
    <row r="135" spans="1:40" outlineLevel="1" x14ac:dyDescent="0.25">
      <c r="A135" s="28"/>
      <c r="B135" s="29" t="s">
        <v>33</v>
      </c>
      <c r="C135" s="30">
        <v>182</v>
      </c>
      <c r="D135" s="32">
        <v>139</v>
      </c>
      <c r="E135" s="30"/>
      <c r="F135" s="29" t="s">
        <v>33</v>
      </c>
      <c r="G135" s="30">
        <v>19</v>
      </c>
      <c r="H135" s="32">
        <v>13</v>
      </c>
      <c r="I135" s="30"/>
      <c r="J135" s="29" t="s">
        <v>33</v>
      </c>
      <c r="K135" s="30">
        <v>116</v>
      </c>
      <c r="L135" s="32">
        <v>107</v>
      </c>
      <c r="M135" s="30"/>
      <c r="N135" s="29" t="s">
        <v>33</v>
      </c>
      <c r="O135" s="30">
        <v>535</v>
      </c>
      <c r="P135" s="32">
        <v>420</v>
      </c>
      <c r="Q135" s="30"/>
      <c r="R135" s="29" t="s">
        <v>33</v>
      </c>
      <c r="S135" s="30">
        <v>93</v>
      </c>
      <c r="T135" s="32">
        <v>77</v>
      </c>
      <c r="U135" s="30"/>
      <c r="V135" s="29" t="s">
        <v>33</v>
      </c>
      <c r="W135" s="30">
        <v>225</v>
      </c>
      <c r="X135" s="32">
        <v>132</v>
      </c>
      <c r="Y135" s="29"/>
      <c r="Z135" s="29" t="s">
        <v>33</v>
      </c>
      <c r="AA135" s="30">
        <v>99</v>
      </c>
      <c r="AB135" s="32">
        <v>98</v>
      </c>
      <c r="AC135" s="30"/>
      <c r="AD135" s="29" t="s">
        <v>33</v>
      </c>
      <c r="AE135" s="30">
        <v>464</v>
      </c>
      <c r="AF135" s="32">
        <v>368</v>
      </c>
      <c r="AG135" s="30"/>
      <c r="AH135" s="29" t="s">
        <v>33</v>
      </c>
      <c r="AI135" s="30">
        <v>549</v>
      </c>
      <c r="AJ135" s="32">
        <v>456</v>
      </c>
      <c r="AK135" s="30"/>
      <c r="AL135" s="29" t="s">
        <v>33</v>
      </c>
      <c r="AM135" s="30">
        <v>93</v>
      </c>
      <c r="AN135" s="33">
        <v>81</v>
      </c>
    </row>
    <row r="136" spans="1:40" outlineLevel="1" x14ac:dyDescent="0.25">
      <c r="A136" s="28"/>
      <c r="B136" s="29" t="s">
        <v>35</v>
      </c>
      <c r="C136" s="30">
        <v>230</v>
      </c>
      <c r="D136" s="32">
        <v>175</v>
      </c>
      <c r="E136" s="30"/>
      <c r="F136" s="29" t="s">
        <v>35</v>
      </c>
      <c r="G136" s="30">
        <v>19</v>
      </c>
      <c r="H136" s="32">
        <v>19</v>
      </c>
      <c r="I136" s="30"/>
      <c r="J136" s="29" t="s">
        <v>35</v>
      </c>
      <c r="K136" s="30">
        <v>140</v>
      </c>
      <c r="L136" s="32">
        <v>114</v>
      </c>
      <c r="M136" s="30"/>
      <c r="N136" s="29" t="s">
        <v>35</v>
      </c>
      <c r="O136" s="30">
        <v>598</v>
      </c>
      <c r="P136" s="32">
        <v>525</v>
      </c>
      <c r="Q136" s="30"/>
      <c r="R136" s="29" t="s">
        <v>35</v>
      </c>
      <c r="S136" s="30">
        <v>107</v>
      </c>
      <c r="T136" s="32">
        <v>92</v>
      </c>
      <c r="U136" s="30"/>
      <c r="V136" s="29" t="s">
        <v>35</v>
      </c>
      <c r="W136" s="30">
        <v>242</v>
      </c>
      <c r="X136" s="32">
        <v>216</v>
      </c>
      <c r="Y136" s="29"/>
      <c r="Z136" s="29" t="s">
        <v>35</v>
      </c>
      <c r="AA136" s="30">
        <v>141</v>
      </c>
      <c r="AB136" s="32">
        <v>92</v>
      </c>
      <c r="AC136" s="30"/>
      <c r="AD136" s="29" t="s">
        <v>35</v>
      </c>
      <c r="AE136" s="30">
        <v>532</v>
      </c>
      <c r="AF136" s="32">
        <v>455</v>
      </c>
      <c r="AG136" s="30"/>
      <c r="AH136" s="29" t="s">
        <v>35</v>
      </c>
      <c r="AI136" s="30">
        <v>644</v>
      </c>
      <c r="AJ136" s="32">
        <v>546</v>
      </c>
      <c r="AK136" s="30"/>
      <c r="AL136" s="29" t="s">
        <v>35</v>
      </c>
      <c r="AM136" s="30">
        <v>125</v>
      </c>
      <c r="AN136" s="33">
        <v>93</v>
      </c>
    </row>
    <row r="137" spans="1:40" outlineLevel="1" x14ac:dyDescent="0.25">
      <c r="A137" s="28"/>
      <c r="B137" s="29" t="s">
        <v>37</v>
      </c>
      <c r="C137" s="30">
        <v>246</v>
      </c>
      <c r="D137" s="32">
        <v>223</v>
      </c>
      <c r="E137" s="30"/>
      <c r="F137" s="29" t="s">
        <v>37</v>
      </c>
      <c r="G137" s="30">
        <v>15</v>
      </c>
      <c r="H137" s="32">
        <v>20</v>
      </c>
      <c r="I137" s="30"/>
      <c r="J137" s="29" t="s">
        <v>37</v>
      </c>
      <c r="K137" s="30">
        <v>188</v>
      </c>
      <c r="L137" s="32">
        <v>145</v>
      </c>
      <c r="M137" s="30"/>
      <c r="N137" s="29" t="s">
        <v>37</v>
      </c>
      <c r="O137" s="30">
        <v>661</v>
      </c>
      <c r="P137" s="32">
        <v>577</v>
      </c>
      <c r="Q137" s="30"/>
      <c r="R137" s="29" t="s">
        <v>37</v>
      </c>
      <c r="S137" s="30">
        <v>149</v>
      </c>
      <c r="T137" s="32">
        <v>103</v>
      </c>
      <c r="U137" s="30"/>
      <c r="V137" s="29" t="s">
        <v>37</v>
      </c>
      <c r="W137" s="30">
        <v>285</v>
      </c>
      <c r="X137" s="32">
        <v>243</v>
      </c>
      <c r="Y137" s="29"/>
      <c r="Z137" s="29" t="s">
        <v>37</v>
      </c>
      <c r="AA137" s="30">
        <v>170</v>
      </c>
      <c r="AB137" s="32">
        <v>136</v>
      </c>
      <c r="AC137" s="30"/>
      <c r="AD137" s="29" t="s">
        <v>37</v>
      </c>
      <c r="AE137" s="30">
        <v>659</v>
      </c>
      <c r="AF137" s="32">
        <v>533</v>
      </c>
      <c r="AG137" s="30"/>
      <c r="AH137" s="29" t="s">
        <v>37</v>
      </c>
      <c r="AI137" s="30">
        <v>731</v>
      </c>
      <c r="AJ137" s="32">
        <v>633</v>
      </c>
      <c r="AK137" s="30"/>
      <c r="AL137" s="29" t="s">
        <v>37</v>
      </c>
      <c r="AM137" s="30">
        <v>146</v>
      </c>
      <c r="AN137" s="33">
        <v>124</v>
      </c>
    </row>
    <row r="138" spans="1:40" outlineLevel="1" x14ac:dyDescent="0.25">
      <c r="A138" s="28"/>
      <c r="B138" s="29" t="s">
        <v>39</v>
      </c>
      <c r="C138" s="30">
        <v>206</v>
      </c>
      <c r="D138" s="32">
        <v>243</v>
      </c>
      <c r="E138" s="30"/>
      <c r="F138" s="29" t="s">
        <v>39</v>
      </c>
      <c r="G138" s="30">
        <v>15</v>
      </c>
      <c r="H138" s="32">
        <v>15</v>
      </c>
      <c r="I138" s="30"/>
      <c r="J138" s="29" t="s">
        <v>39</v>
      </c>
      <c r="K138" s="30">
        <v>186</v>
      </c>
      <c r="L138" s="32">
        <v>183</v>
      </c>
      <c r="M138" s="30"/>
      <c r="N138" s="29" t="s">
        <v>39</v>
      </c>
      <c r="O138" s="30">
        <v>611</v>
      </c>
      <c r="P138" s="32">
        <v>648</v>
      </c>
      <c r="Q138" s="30"/>
      <c r="R138" s="29" t="s">
        <v>39</v>
      </c>
      <c r="S138" s="30">
        <v>93</v>
      </c>
      <c r="T138" s="32">
        <v>146</v>
      </c>
      <c r="U138" s="30"/>
      <c r="V138" s="29" t="s">
        <v>39</v>
      </c>
      <c r="W138" s="30">
        <v>229</v>
      </c>
      <c r="X138" s="32">
        <v>274</v>
      </c>
      <c r="Y138" s="29"/>
      <c r="Z138" s="29" t="s">
        <v>39</v>
      </c>
      <c r="AA138" s="30">
        <v>113</v>
      </c>
      <c r="AB138" s="32">
        <v>163</v>
      </c>
      <c r="AC138" s="30"/>
      <c r="AD138" s="29" t="s">
        <v>39</v>
      </c>
      <c r="AE138" s="30">
        <v>562</v>
      </c>
      <c r="AF138" s="32">
        <v>643</v>
      </c>
      <c r="AG138" s="30"/>
      <c r="AH138" s="29" t="s">
        <v>39</v>
      </c>
      <c r="AI138" s="30">
        <v>535</v>
      </c>
      <c r="AJ138" s="32">
        <v>724</v>
      </c>
      <c r="AK138" s="30"/>
      <c r="AL138" s="29" t="s">
        <v>39</v>
      </c>
      <c r="AM138" s="30">
        <v>126</v>
      </c>
      <c r="AN138" s="33">
        <v>141</v>
      </c>
    </row>
    <row r="139" spans="1:40" outlineLevel="1" x14ac:dyDescent="0.25">
      <c r="A139" s="28"/>
      <c r="B139" s="29" t="s">
        <v>41</v>
      </c>
      <c r="C139" s="30">
        <v>230</v>
      </c>
      <c r="D139" s="32">
        <v>202</v>
      </c>
      <c r="E139" s="30"/>
      <c r="F139" s="29" t="s">
        <v>41</v>
      </c>
      <c r="G139" s="30">
        <v>25</v>
      </c>
      <c r="H139" s="32">
        <v>15</v>
      </c>
      <c r="I139" s="30"/>
      <c r="J139" s="29" t="s">
        <v>41</v>
      </c>
      <c r="K139" s="30">
        <v>196</v>
      </c>
      <c r="L139" s="32">
        <v>184</v>
      </c>
      <c r="M139" s="30"/>
      <c r="N139" s="29" t="s">
        <v>41</v>
      </c>
      <c r="O139" s="30">
        <v>672</v>
      </c>
      <c r="P139" s="32">
        <v>593</v>
      </c>
      <c r="Q139" s="30"/>
      <c r="R139" s="29" t="s">
        <v>41</v>
      </c>
      <c r="S139" s="30">
        <v>84</v>
      </c>
      <c r="T139" s="32">
        <v>86</v>
      </c>
      <c r="U139" s="30"/>
      <c r="V139" s="29" t="s">
        <v>41</v>
      </c>
      <c r="W139" s="30">
        <v>270</v>
      </c>
      <c r="X139" s="32">
        <v>222</v>
      </c>
      <c r="Y139" s="29"/>
      <c r="Z139" s="29" t="s">
        <v>41</v>
      </c>
      <c r="AA139" s="30">
        <v>112</v>
      </c>
      <c r="AB139" s="32">
        <v>106</v>
      </c>
      <c r="AC139" s="30"/>
      <c r="AD139" s="29" t="s">
        <v>41</v>
      </c>
      <c r="AE139" s="30">
        <v>502</v>
      </c>
      <c r="AF139" s="32">
        <v>536</v>
      </c>
      <c r="AG139" s="30"/>
      <c r="AH139" s="29" t="s">
        <v>41</v>
      </c>
      <c r="AI139" s="30">
        <v>534</v>
      </c>
      <c r="AJ139" s="32">
        <v>522</v>
      </c>
      <c r="AK139" s="30"/>
      <c r="AL139" s="29" t="s">
        <v>41</v>
      </c>
      <c r="AM139" s="30">
        <v>91</v>
      </c>
      <c r="AN139" s="33">
        <v>120</v>
      </c>
    </row>
    <row r="140" spans="1:40" outlineLevel="1" x14ac:dyDescent="0.25">
      <c r="A140" s="28"/>
      <c r="B140" s="29" t="s">
        <v>43</v>
      </c>
      <c r="C140" s="30">
        <v>252</v>
      </c>
      <c r="D140" s="32">
        <v>217</v>
      </c>
      <c r="E140" s="30"/>
      <c r="F140" s="29" t="s">
        <v>43</v>
      </c>
      <c r="G140" s="30">
        <v>22</v>
      </c>
      <c r="H140" s="32">
        <v>23</v>
      </c>
      <c r="I140" s="30"/>
      <c r="J140" s="29" t="s">
        <v>43</v>
      </c>
      <c r="K140" s="30">
        <v>236</v>
      </c>
      <c r="L140" s="32">
        <v>185</v>
      </c>
      <c r="M140" s="30"/>
      <c r="N140" s="29" t="s">
        <v>43</v>
      </c>
      <c r="O140" s="30">
        <v>713</v>
      </c>
      <c r="P140" s="32">
        <v>623</v>
      </c>
      <c r="Q140" s="30"/>
      <c r="R140" s="29" t="s">
        <v>43</v>
      </c>
      <c r="S140" s="30">
        <v>92</v>
      </c>
      <c r="T140" s="32">
        <v>83</v>
      </c>
      <c r="U140" s="30"/>
      <c r="V140" s="29" t="s">
        <v>43</v>
      </c>
      <c r="W140" s="30">
        <v>341</v>
      </c>
      <c r="X140" s="32">
        <v>249</v>
      </c>
      <c r="Y140" s="29"/>
      <c r="Z140" s="29" t="s">
        <v>43</v>
      </c>
      <c r="AA140" s="30">
        <v>136</v>
      </c>
      <c r="AB140" s="32">
        <v>101</v>
      </c>
      <c r="AC140" s="30"/>
      <c r="AD140" s="29" t="s">
        <v>43</v>
      </c>
      <c r="AE140" s="30">
        <v>576</v>
      </c>
      <c r="AF140" s="32">
        <v>475</v>
      </c>
      <c r="AG140" s="30"/>
      <c r="AH140" s="29" t="s">
        <v>43</v>
      </c>
      <c r="AI140" s="30">
        <v>527</v>
      </c>
      <c r="AJ140" s="32">
        <v>519</v>
      </c>
      <c r="AK140" s="30"/>
      <c r="AL140" s="29" t="s">
        <v>43</v>
      </c>
      <c r="AM140" s="30">
        <v>107</v>
      </c>
      <c r="AN140" s="33">
        <v>89</v>
      </c>
    </row>
    <row r="141" spans="1:40" outlineLevel="1" x14ac:dyDescent="0.25">
      <c r="A141" s="28"/>
      <c r="B141" s="29" t="s">
        <v>45</v>
      </c>
      <c r="C141" s="30">
        <v>282</v>
      </c>
      <c r="D141" s="32">
        <v>228</v>
      </c>
      <c r="E141" s="30"/>
      <c r="F141" s="29" t="s">
        <v>45</v>
      </c>
      <c r="G141" s="30">
        <v>19</v>
      </c>
      <c r="H141" s="32">
        <v>20</v>
      </c>
      <c r="I141" s="30"/>
      <c r="J141" s="29" t="s">
        <v>45</v>
      </c>
      <c r="K141" s="30">
        <v>238</v>
      </c>
      <c r="L141" s="32">
        <v>215</v>
      </c>
      <c r="M141" s="30"/>
      <c r="N141" s="29" t="s">
        <v>45</v>
      </c>
      <c r="O141" s="30">
        <v>712</v>
      </c>
      <c r="P141" s="32">
        <v>645</v>
      </c>
      <c r="Q141" s="30"/>
      <c r="R141" s="29" t="s">
        <v>45</v>
      </c>
      <c r="S141" s="30">
        <v>102</v>
      </c>
      <c r="T141" s="32">
        <v>84</v>
      </c>
      <c r="U141" s="30"/>
      <c r="V141" s="29" t="s">
        <v>45</v>
      </c>
      <c r="W141" s="30">
        <v>406</v>
      </c>
      <c r="X141" s="32">
        <v>292</v>
      </c>
      <c r="Y141" s="29"/>
      <c r="Z141" s="29" t="s">
        <v>45</v>
      </c>
      <c r="AA141" s="30">
        <v>135</v>
      </c>
      <c r="AB141" s="32">
        <v>117</v>
      </c>
      <c r="AC141" s="30"/>
      <c r="AD141" s="29" t="s">
        <v>45</v>
      </c>
      <c r="AE141" s="30">
        <v>548</v>
      </c>
      <c r="AF141" s="32">
        <v>513</v>
      </c>
      <c r="AG141" s="30"/>
      <c r="AH141" s="29" t="s">
        <v>45</v>
      </c>
      <c r="AI141" s="30">
        <v>667</v>
      </c>
      <c r="AJ141" s="32">
        <v>480</v>
      </c>
      <c r="AK141" s="30"/>
      <c r="AL141" s="29" t="s">
        <v>45</v>
      </c>
      <c r="AM141" s="30">
        <v>125</v>
      </c>
      <c r="AN141" s="33">
        <v>100</v>
      </c>
    </row>
    <row r="142" spans="1:40" outlineLevel="1" x14ac:dyDescent="0.25">
      <c r="A142" s="28"/>
      <c r="B142" s="29" t="s">
        <v>47</v>
      </c>
      <c r="C142" s="30">
        <v>208</v>
      </c>
      <c r="D142" s="32">
        <v>237</v>
      </c>
      <c r="E142" s="30"/>
      <c r="F142" s="29" t="s">
        <v>47</v>
      </c>
      <c r="G142" s="30">
        <v>18</v>
      </c>
      <c r="H142" s="32">
        <v>16</v>
      </c>
      <c r="I142" s="30"/>
      <c r="J142" s="29" t="s">
        <v>47</v>
      </c>
      <c r="K142" s="30">
        <v>181</v>
      </c>
      <c r="L142" s="32">
        <v>201</v>
      </c>
      <c r="M142" s="30"/>
      <c r="N142" s="29" t="s">
        <v>47</v>
      </c>
      <c r="O142" s="30">
        <v>567</v>
      </c>
      <c r="P142" s="32">
        <v>539</v>
      </c>
      <c r="Q142" s="30"/>
      <c r="R142" s="29" t="s">
        <v>47</v>
      </c>
      <c r="S142" s="30">
        <v>91</v>
      </c>
      <c r="T142" s="32">
        <v>76</v>
      </c>
      <c r="U142" s="30"/>
      <c r="V142" s="29" t="s">
        <v>47</v>
      </c>
      <c r="W142" s="30">
        <v>292</v>
      </c>
      <c r="X142" s="32">
        <v>311</v>
      </c>
      <c r="Y142" s="29"/>
      <c r="Z142" s="29" t="s">
        <v>47</v>
      </c>
      <c r="AA142" s="30">
        <v>117</v>
      </c>
      <c r="AB142" s="32">
        <v>100</v>
      </c>
      <c r="AC142" s="30"/>
      <c r="AD142" s="29" t="s">
        <v>47</v>
      </c>
      <c r="AE142" s="30">
        <v>477</v>
      </c>
      <c r="AF142" s="32">
        <v>429</v>
      </c>
      <c r="AG142" s="30"/>
      <c r="AH142" s="29" t="s">
        <v>47</v>
      </c>
      <c r="AI142" s="30">
        <v>512</v>
      </c>
      <c r="AJ142" s="32">
        <v>519</v>
      </c>
      <c r="AK142" s="30"/>
      <c r="AL142" s="29" t="s">
        <v>47</v>
      </c>
      <c r="AM142" s="30">
        <v>100</v>
      </c>
      <c r="AN142" s="33">
        <v>92</v>
      </c>
    </row>
    <row r="143" spans="1:40" outlineLevel="1" x14ac:dyDescent="0.25">
      <c r="A143" s="28"/>
      <c r="B143" s="29" t="s">
        <v>49</v>
      </c>
      <c r="C143" s="30">
        <v>125</v>
      </c>
      <c r="D143" s="32">
        <v>140</v>
      </c>
      <c r="E143" s="30"/>
      <c r="F143" s="29" t="s">
        <v>49</v>
      </c>
      <c r="G143" s="30">
        <v>12</v>
      </c>
      <c r="H143" s="32">
        <v>10</v>
      </c>
      <c r="I143" s="30"/>
      <c r="J143" s="29" t="s">
        <v>49</v>
      </c>
      <c r="K143" s="30">
        <v>94</v>
      </c>
      <c r="L143" s="32">
        <v>120</v>
      </c>
      <c r="M143" s="30"/>
      <c r="N143" s="29" t="s">
        <v>49</v>
      </c>
      <c r="O143" s="30">
        <v>297</v>
      </c>
      <c r="P143" s="32">
        <v>341</v>
      </c>
      <c r="Q143" s="30"/>
      <c r="R143" s="29" t="s">
        <v>49</v>
      </c>
      <c r="S143" s="30">
        <v>46</v>
      </c>
      <c r="T143" s="32">
        <v>50</v>
      </c>
      <c r="U143" s="30"/>
      <c r="V143" s="29" t="s">
        <v>49</v>
      </c>
      <c r="W143" s="30">
        <v>172</v>
      </c>
      <c r="X143" s="32">
        <v>180</v>
      </c>
      <c r="Y143" s="29"/>
      <c r="Z143" s="29" t="s">
        <v>49</v>
      </c>
      <c r="AA143" s="30">
        <v>60</v>
      </c>
      <c r="AB143" s="32">
        <v>73</v>
      </c>
      <c r="AC143" s="30"/>
      <c r="AD143" s="29" t="s">
        <v>49</v>
      </c>
      <c r="AE143" s="30">
        <v>227</v>
      </c>
      <c r="AF143" s="32">
        <v>287</v>
      </c>
      <c r="AG143" s="30"/>
      <c r="AH143" s="29" t="s">
        <v>49</v>
      </c>
      <c r="AI143" s="30">
        <v>252</v>
      </c>
      <c r="AJ143" s="32">
        <v>299</v>
      </c>
      <c r="AK143" s="30"/>
      <c r="AL143" s="29" t="s">
        <v>49</v>
      </c>
      <c r="AM143" s="30">
        <v>48</v>
      </c>
      <c r="AN143" s="33">
        <v>62</v>
      </c>
    </row>
    <row r="144" spans="1:40" outlineLevel="1" x14ac:dyDescent="0.25">
      <c r="A144" s="28"/>
      <c r="B144" s="29" t="s">
        <v>51</v>
      </c>
      <c r="C144" s="30">
        <v>34</v>
      </c>
      <c r="D144" s="32">
        <v>49</v>
      </c>
      <c r="E144" s="30"/>
      <c r="F144" s="29" t="s">
        <v>51</v>
      </c>
      <c r="G144" s="30">
        <v>3</v>
      </c>
      <c r="H144" s="32">
        <v>5</v>
      </c>
      <c r="I144" s="30"/>
      <c r="J144" s="29" t="s">
        <v>51</v>
      </c>
      <c r="K144" s="30">
        <v>23</v>
      </c>
      <c r="L144" s="32">
        <v>32</v>
      </c>
      <c r="M144" s="30"/>
      <c r="N144" s="29" t="s">
        <v>51</v>
      </c>
      <c r="O144" s="30">
        <v>94</v>
      </c>
      <c r="P144" s="32">
        <v>113</v>
      </c>
      <c r="Q144" s="30"/>
      <c r="R144" s="29" t="s">
        <v>51</v>
      </c>
      <c r="S144" s="30">
        <v>12</v>
      </c>
      <c r="T144" s="32">
        <v>16</v>
      </c>
      <c r="U144" s="30"/>
      <c r="V144" s="29" t="s">
        <v>51</v>
      </c>
      <c r="W144" s="30">
        <v>48</v>
      </c>
      <c r="X144" s="32">
        <v>60</v>
      </c>
      <c r="Y144" s="29"/>
      <c r="Z144" s="29" t="s">
        <v>51</v>
      </c>
      <c r="AA144" s="30">
        <v>13</v>
      </c>
      <c r="AB144" s="32">
        <v>23</v>
      </c>
      <c r="AC144" s="30"/>
      <c r="AD144" s="29" t="s">
        <v>51</v>
      </c>
      <c r="AE144" s="30">
        <v>73</v>
      </c>
      <c r="AF144" s="32">
        <v>98</v>
      </c>
      <c r="AG144" s="30"/>
      <c r="AH144" s="29" t="s">
        <v>51</v>
      </c>
      <c r="AI144" s="30">
        <v>52</v>
      </c>
      <c r="AJ144" s="32">
        <v>99</v>
      </c>
      <c r="AK144" s="30"/>
      <c r="AL144" s="29" t="s">
        <v>51</v>
      </c>
      <c r="AM144" s="30">
        <v>11</v>
      </c>
      <c r="AN144" s="33">
        <v>15</v>
      </c>
    </row>
    <row r="145" spans="1:40" ht="19.5" outlineLevel="1" thickBot="1" x14ac:dyDescent="0.3">
      <c r="A145" s="34"/>
      <c r="B145" s="35" t="s">
        <v>53</v>
      </c>
      <c r="C145" s="36">
        <v>8</v>
      </c>
      <c r="D145" s="37">
        <v>13</v>
      </c>
      <c r="E145" s="36"/>
      <c r="F145" s="35" t="s">
        <v>53</v>
      </c>
      <c r="G145" s="36">
        <v>0</v>
      </c>
      <c r="H145" s="37">
        <v>0</v>
      </c>
      <c r="I145" s="36"/>
      <c r="J145" s="35" t="s">
        <v>53</v>
      </c>
      <c r="K145" s="36">
        <v>6</v>
      </c>
      <c r="L145" s="37">
        <v>5</v>
      </c>
      <c r="M145" s="36"/>
      <c r="N145" s="35" t="s">
        <v>53</v>
      </c>
      <c r="O145" s="36">
        <v>9</v>
      </c>
      <c r="P145" s="37">
        <v>21</v>
      </c>
      <c r="Q145" s="36"/>
      <c r="R145" s="35" t="s">
        <v>53</v>
      </c>
      <c r="S145" s="36">
        <v>1</v>
      </c>
      <c r="T145" s="37">
        <v>2</v>
      </c>
      <c r="U145" s="36"/>
      <c r="V145" s="35" t="s">
        <v>53</v>
      </c>
      <c r="W145" s="36">
        <v>12</v>
      </c>
      <c r="X145" s="37">
        <v>8</v>
      </c>
      <c r="Y145" s="35"/>
      <c r="Z145" s="35" t="s">
        <v>53</v>
      </c>
      <c r="AA145" s="36">
        <v>1</v>
      </c>
      <c r="AB145" s="37">
        <v>4</v>
      </c>
      <c r="AC145" s="36"/>
      <c r="AD145" s="35" t="s">
        <v>53</v>
      </c>
      <c r="AE145" s="36">
        <v>11</v>
      </c>
      <c r="AF145" s="37">
        <v>14</v>
      </c>
      <c r="AG145" s="36"/>
      <c r="AH145" s="35" t="s">
        <v>53</v>
      </c>
      <c r="AI145" s="36">
        <v>9</v>
      </c>
      <c r="AJ145" s="37">
        <v>17</v>
      </c>
      <c r="AK145" s="36"/>
      <c r="AL145" s="35" t="s">
        <v>53</v>
      </c>
      <c r="AM145" s="36">
        <v>1</v>
      </c>
      <c r="AN145" s="38">
        <v>1</v>
      </c>
    </row>
    <row r="146" spans="1:40" outlineLevel="1" x14ac:dyDescent="0.25">
      <c r="A146" s="44"/>
      <c r="B146" s="44" t="s">
        <v>79</v>
      </c>
      <c r="C146" s="45">
        <f>SUM(C115:C122,C138:C145)</f>
        <v>2346</v>
      </c>
      <c r="D146" s="45">
        <f>SUM(D115:D122,D138:D145)</f>
        <v>2404</v>
      </c>
      <c r="E146" s="45"/>
      <c r="F146" s="44" t="s">
        <v>79</v>
      </c>
      <c r="G146" s="45">
        <f>SUM(G115:G122,G138:G145)</f>
        <v>202</v>
      </c>
      <c r="H146" s="45">
        <f>SUM(H115:H122,H138:H145)</f>
        <v>195</v>
      </c>
      <c r="I146" s="45"/>
      <c r="J146" s="44" t="s">
        <v>79</v>
      </c>
      <c r="K146" s="45">
        <f>SUM(K115:K122,K138:K145)</f>
        <v>2028</v>
      </c>
      <c r="L146" s="45">
        <f>SUM(L115:L122,L138:L145)</f>
        <v>1968</v>
      </c>
      <c r="M146" s="45"/>
      <c r="N146" s="44" t="s">
        <v>79</v>
      </c>
      <c r="O146" s="45">
        <f>SUM(O115:O122,O138:O145)</f>
        <v>6345</v>
      </c>
      <c r="P146" s="45">
        <f>SUM(P115:P122,P138:P145)</f>
        <v>6224</v>
      </c>
      <c r="Q146" s="45"/>
      <c r="R146" s="44" t="s">
        <v>79</v>
      </c>
      <c r="S146" s="45">
        <f>SUM(S115:S122,S138:S145)</f>
        <v>929</v>
      </c>
      <c r="T146" s="45">
        <f>SUM(T115:T122,T138:T145)</f>
        <v>978</v>
      </c>
      <c r="U146" s="45"/>
      <c r="V146" s="44" t="s">
        <v>79</v>
      </c>
      <c r="W146" s="45">
        <f>SUM(W115:W122,W138:W145)</f>
        <v>2967</v>
      </c>
      <c r="X146" s="45">
        <f>SUM(X115:X122,X138:X145)</f>
        <v>2831</v>
      </c>
      <c r="Y146" s="45"/>
      <c r="Z146" s="44" t="s">
        <v>79</v>
      </c>
      <c r="AA146" s="45">
        <f>SUM(AA115:AA122,AA138:AA145)</f>
        <v>1163</v>
      </c>
      <c r="AB146" s="45">
        <f>SUM(AB115:AB122,AB138:AB145)</f>
        <v>1213</v>
      </c>
      <c r="AC146" s="45"/>
      <c r="AD146" s="44" t="s">
        <v>79</v>
      </c>
      <c r="AE146" s="45">
        <f>SUM(AE115:AE122,AE138:AE145)</f>
        <v>5009</v>
      </c>
      <c r="AF146" s="45">
        <f>SUM(AF115:AF122,AF138:AF145)</f>
        <v>5253</v>
      </c>
      <c r="AG146" s="45"/>
      <c r="AH146" s="44" t="s">
        <v>79</v>
      </c>
      <c r="AI146" s="45">
        <f>SUM(AI115:AI122,AI138:AI145)</f>
        <v>5236</v>
      </c>
      <c r="AJ146" s="45">
        <f>SUM(AJ115:AJ122,AJ138:AJ145)</f>
        <v>5552</v>
      </c>
      <c r="AK146" s="45"/>
      <c r="AL146" s="44" t="s">
        <v>79</v>
      </c>
      <c r="AM146" s="45">
        <f>SUM(AM115:AM122,AM138:AM145)</f>
        <v>1018</v>
      </c>
      <c r="AN146" s="45">
        <f>SUM(AN115:AN122,AN138:AN145)</f>
        <v>1076</v>
      </c>
    </row>
    <row r="147" spans="1:40" ht="19.5" thickBot="1" x14ac:dyDescent="0.3">
      <c r="A147" s="39"/>
      <c r="B147" s="39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</row>
    <row r="148" spans="1:40" outlineLevel="1" x14ac:dyDescent="0.25">
      <c r="A148" s="24" t="s">
        <v>110</v>
      </c>
      <c r="B148" s="25"/>
      <c r="C148" s="26" t="s">
        <v>1</v>
      </c>
      <c r="D148" s="26" t="s">
        <v>2</v>
      </c>
      <c r="E148" s="25" t="s">
        <v>111</v>
      </c>
      <c r="F148" s="25"/>
      <c r="G148" s="26" t="s">
        <v>1</v>
      </c>
      <c r="H148" s="26" t="s">
        <v>2</v>
      </c>
      <c r="I148" s="25" t="s">
        <v>112</v>
      </c>
      <c r="J148" s="25"/>
      <c r="K148" s="26" t="s">
        <v>1</v>
      </c>
      <c r="L148" s="26" t="s">
        <v>2</v>
      </c>
      <c r="M148" s="25" t="s">
        <v>113</v>
      </c>
      <c r="N148" s="25"/>
      <c r="O148" s="26" t="s">
        <v>1</v>
      </c>
      <c r="P148" s="26" t="s">
        <v>2</v>
      </c>
      <c r="Q148" s="25" t="s">
        <v>114</v>
      </c>
      <c r="R148" s="25"/>
      <c r="S148" s="26" t="s">
        <v>1</v>
      </c>
      <c r="T148" s="26" t="s">
        <v>2</v>
      </c>
      <c r="U148" s="25" t="s">
        <v>115</v>
      </c>
      <c r="V148" s="25"/>
      <c r="W148" s="26" t="s">
        <v>1</v>
      </c>
      <c r="X148" s="26" t="s">
        <v>2</v>
      </c>
      <c r="Y148" s="25" t="s">
        <v>116</v>
      </c>
      <c r="Z148" s="25"/>
      <c r="AA148" s="26" t="s">
        <v>1</v>
      </c>
      <c r="AB148" s="26" t="s">
        <v>2</v>
      </c>
      <c r="AC148" s="25" t="s">
        <v>117</v>
      </c>
      <c r="AD148" s="25"/>
      <c r="AE148" s="26" t="s">
        <v>1</v>
      </c>
      <c r="AF148" s="26" t="s">
        <v>2</v>
      </c>
      <c r="AG148" s="25" t="s">
        <v>118</v>
      </c>
      <c r="AH148" s="25"/>
      <c r="AI148" s="26" t="s">
        <v>1</v>
      </c>
      <c r="AJ148" s="26" t="s">
        <v>2</v>
      </c>
      <c r="AK148" s="25" t="s">
        <v>119</v>
      </c>
      <c r="AL148" s="25"/>
      <c r="AM148" s="26" t="s">
        <v>1</v>
      </c>
      <c r="AN148" s="27" t="s">
        <v>2</v>
      </c>
    </row>
    <row r="149" spans="1:40" outlineLevel="1" x14ac:dyDescent="0.25">
      <c r="A149" s="28">
        <v>1362</v>
      </c>
      <c r="B149" s="29"/>
      <c r="C149" s="30" t="s">
        <v>13</v>
      </c>
      <c r="D149" s="30"/>
      <c r="E149" s="29">
        <v>1368</v>
      </c>
      <c r="F149" s="29"/>
      <c r="G149" s="30" t="s">
        <v>13</v>
      </c>
      <c r="H149" s="30"/>
      <c r="I149" s="29">
        <v>1371</v>
      </c>
      <c r="J149" s="29"/>
      <c r="K149" s="30" t="s">
        <v>13</v>
      </c>
      <c r="L149" s="30"/>
      <c r="M149" s="29">
        <v>1374</v>
      </c>
      <c r="N149" s="29"/>
      <c r="O149" s="30" t="s">
        <v>13</v>
      </c>
      <c r="P149" s="30"/>
      <c r="Q149" s="29">
        <v>1377</v>
      </c>
      <c r="R149" s="29"/>
      <c r="S149" s="30" t="s">
        <v>13</v>
      </c>
      <c r="T149" s="30"/>
      <c r="U149" s="29">
        <v>1383</v>
      </c>
      <c r="V149" s="29"/>
      <c r="W149" s="30" t="s">
        <v>13</v>
      </c>
      <c r="X149" s="30"/>
      <c r="Y149" s="29">
        <v>1386</v>
      </c>
      <c r="Z149" s="29"/>
      <c r="AA149" s="30" t="s">
        <v>13</v>
      </c>
      <c r="AB149" s="30"/>
      <c r="AC149" s="29">
        <v>1389</v>
      </c>
      <c r="AD149" s="29"/>
      <c r="AE149" s="30" t="s">
        <v>13</v>
      </c>
      <c r="AF149" s="30"/>
      <c r="AG149" s="29">
        <v>1392</v>
      </c>
      <c r="AH149" s="29"/>
      <c r="AI149" s="30" t="s">
        <v>13</v>
      </c>
      <c r="AJ149" s="30"/>
      <c r="AK149" s="29">
        <v>1398</v>
      </c>
      <c r="AL149" s="29"/>
      <c r="AM149" s="30" t="s">
        <v>13</v>
      </c>
      <c r="AN149" s="31"/>
    </row>
    <row r="150" spans="1:40" outlineLevel="1" x14ac:dyDescent="0.25">
      <c r="A150" s="28"/>
      <c r="B150" s="29" t="s">
        <v>18</v>
      </c>
      <c r="C150" s="30">
        <v>1825</v>
      </c>
      <c r="D150" s="32">
        <v>1628</v>
      </c>
      <c r="E150" s="29"/>
      <c r="F150" s="29" t="s">
        <v>18</v>
      </c>
      <c r="G150" s="30">
        <v>880</v>
      </c>
      <c r="H150" s="32">
        <v>786</v>
      </c>
      <c r="I150" s="29"/>
      <c r="J150" s="29" t="s">
        <v>18</v>
      </c>
      <c r="K150" s="30">
        <v>1086</v>
      </c>
      <c r="L150" s="32">
        <v>970</v>
      </c>
      <c r="M150" s="29"/>
      <c r="N150" s="29" t="s">
        <v>18</v>
      </c>
      <c r="O150" s="30">
        <v>667</v>
      </c>
      <c r="P150" s="32">
        <v>608</v>
      </c>
      <c r="Q150" s="29"/>
      <c r="R150" s="29" t="s">
        <v>18</v>
      </c>
      <c r="S150" s="30">
        <v>10518</v>
      </c>
      <c r="T150" s="32">
        <v>9692</v>
      </c>
      <c r="U150" s="29"/>
      <c r="V150" s="29" t="s">
        <v>18</v>
      </c>
      <c r="W150" s="30">
        <v>10018</v>
      </c>
      <c r="X150" s="32">
        <v>10267</v>
      </c>
      <c r="Y150" s="29"/>
      <c r="Z150" s="29" t="s">
        <v>18</v>
      </c>
      <c r="AA150" s="30">
        <v>3290</v>
      </c>
      <c r="AB150" s="32">
        <v>3215</v>
      </c>
      <c r="AC150" s="29"/>
      <c r="AD150" s="29" t="s">
        <v>18</v>
      </c>
      <c r="AE150" s="30">
        <v>2557</v>
      </c>
      <c r="AF150" s="32">
        <v>2496</v>
      </c>
      <c r="AG150" s="29"/>
      <c r="AH150" s="29" t="s">
        <v>18</v>
      </c>
      <c r="AI150" s="30">
        <v>8893</v>
      </c>
      <c r="AJ150" s="32">
        <v>8706</v>
      </c>
      <c r="AK150" s="29"/>
      <c r="AL150" s="29" t="s">
        <v>18</v>
      </c>
      <c r="AM150" s="30">
        <v>7297</v>
      </c>
      <c r="AN150" s="33">
        <v>6905</v>
      </c>
    </row>
    <row r="151" spans="1:40" outlineLevel="1" x14ac:dyDescent="0.25">
      <c r="A151" s="28"/>
      <c r="B151" s="29" t="s">
        <v>20</v>
      </c>
      <c r="C151" s="30">
        <v>69</v>
      </c>
      <c r="D151" s="32">
        <v>55</v>
      </c>
      <c r="E151" s="29"/>
      <c r="F151" s="29" t="s">
        <v>20</v>
      </c>
      <c r="G151" s="30">
        <v>23</v>
      </c>
      <c r="H151" s="32">
        <v>21</v>
      </c>
      <c r="I151" s="29"/>
      <c r="J151" s="29" t="s">
        <v>20</v>
      </c>
      <c r="K151" s="30">
        <v>12</v>
      </c>
      <c r="L151" s="32">
        <v>22</v>
      </c>
      <c r="M151" s="29"/>
      <c r="N151" s="29" t="s">
        <v>20</v>
      </c>
      <c r="O151" s="30">
        <v>15</v>
      </c>
      <c r="P151" s="32">
        <v>11</v>
      </c>
      <c r="Q151" s="29"/>
      <c r="R151" s="29" t="s">
        <v>20</v>
      </c>
      <c r="S151" s="30">
        <v>352</v>
      </c>
      <c r="T151" s="32">
        <v>276</v>
      </c>
      <c r="U151" s="29"/>
      <c r="V151" s="29" t="s">
        <v>20</v>
      </c>
      <c r="W151" s="30">
        <v>481</v>
      </c>
      <c r="X151" s="32">
        <v>486</v>
      </c>
      <c r="Y151" s="29"/>
      <c r="Z151" s="29" t="s">
        <v>20</v>
      </c>
      <c r="AA151" s="30">
        <v>138</v>
      </c>
      <c r="AB151" s="32">
        <v>109</v>
      </c>
      <c r="AC151" s="29"/>
      <c r="AD151" s="29" t="s">
        <v>20</v>
      </c>
      <c r="AE151" s="30">
        <v>99</v>
      </c>
      <c r="AF151" s="32">
        <v>99</v>
      </c>
      <c r="AG151" s="29"/>
      <c r="AH151" s="29" t="s">
        <v>20</v>
      </c>
      <c r="AI151" s="30">
        <v>390</v>
      </c>
      <c r="AJ151" s="32">
        <v>324</v>
      </c>
      <c r="AK151" s="29"/>
      <c r="AL151" s="29" t="s">
        <v>20</v>
      </c>
      <c r="AM151" s="30">
        <v>286</v>
      </c>
      <c r="AN151" s="33">
        <v>231</v>
      </c>
    </row>
    <row r="152" spans="1:40" outlineLevel="1" x14ac:dyDescent="0.25">
      <c r="A152" s="28"/>
      <c r="B152" s="29" t="s">
        <v>22</v>
      </c>
      <c r="C152" s="30">
        <v>59</v>
      </c>
      <c r="D152" s="32">
        <v>57</v>
      </c>
      <c r="E152" s="29"/>
      <c r="F152" s="29" t="s">
        <v>22</v>
      </c>
      <c r="G152" s="30">
        <v>17</v>
      </c>
      <c r="H152" s="32">
        <v>17</v>
      </c>
      <c r="I152" s="29"/>
      <c r="J152" s="29" t="s">
        <v>22</v>
      </c>
      <c r="K152" s="30">
        <v>20</v>
      </c>
      <c r="L152" s="32">
        <v>10</v>
      </c>
      <c r="M152" s="29"/>
      <c r="N152" s="29" t="s">
        <v>22</v>
      </c>
      <c r="O152" s="30">
        <v>13</v>
      </c>
      <c r="P152" s="32">
        <v>13</v>
      </c>
      <c r="Q152" s="29"/>
      <c r="R152" s="29" t="s">
        <v>22</v>
      </c>
      <c r="S152" s="30">
        <v>390</v>
      </c>
      <c r="T152" s="32">
        <v>393</v>
      </c>
      <c r="U152" s="29"/>
      <c r="V152" s="29" t="s">
        <v>22</v>
      </c>
      <c r="W152" s="30">
        <v>466</v>
      </c>
      <c r="X152" s="32">
        <v>509</v>
      </c>
      <c r="Y152" s="29"/>
      <c r="Z152" s="29" t="s">
        <v>22</v>
      </c>
      <c r="AA152" s="30">
        <v>154</v>
      </c>
      <c r="AB152" s="32">
        <v>153</v>
      </c>
      <c r="AC152" s="29"/>
      <c r="AD152" s="29" t="s">
        <v>22</v>
      </c>
      <c r="AE152" s="30">
        <v>105</v>
      </c>
      <c r="AF152" s="32">
        <v>110</v>
      </c>
      <c r="AG152" s="29"/>
      <c r="AH152" s="29" t="s">
        <v>22</v>
      </c>
      <c r="AI152" s="30">
        <v>403</v>
      </c>
      <c r="AJ152" s="32">
        <v>391</v>
      </c>
      <c r="AK152" s="29"/>
      <c r="AL152" s="29" t="s">
        <v>22</v>
      </c>
      <c r="AM152" s="30">
        <v>330</v>
      </c>
      <c r="AN152" s="33">
        <v>305</v>
      </c>
    </row>
    <row r="153" spans="1:40" outlineLevel="1" x14ac:dyDescent="0.25">
      <c r="A153" s="28"/>
      <c r="B153" s="29" t="s">
        <v>23</v>
      </c>
      <c r="C153" s="30">
        <v>81</v>
      </c>
      <c r="D153" s="32">
        <v>56</v>
      </c>
      <c r="E153" s="29"/>
      <c r="F153" s="29" t="s">
        <v>23</v>
      </c>
      <c r="G153" s="30">
        <v>26</v>
      </c>
      <c r="H153" s="32">
        <v>18</v>
      </c>
      <c r="I153" s="29"/>
      <c r="J153" s="29" t="s">
        <v>23</v>
      </c>
      <c r="K153" s="30">
        <v>25</v>
      </c>
      <c r="L153" s="32">
        <v>20</v>
      </c>
      <c r="M153" s="29"/>
      <c r="N153" s="29" t="s">
        <v>23</v>
      </c>
      <c r="O153" s="30">
        <v>18</v>
      </c>
      <c r="P153" s="32">
        <v>11</v>
      </c>
      <c r="Q153" s="29"/>
      <c r="R153" s="29" t="s">
        <v>23</v>
      </c>
      <c r="S153" s="30">
        <v>492</v>
      </c>
      <c r="T153" s="32">
        <v>386</v>
      </c>
      <c r="U153" s="29"/>
      <c r="V153" s="29" t="s">
        <v>23</v>
      </c>
      <c r="W153" s="30">
        <v>538</v>
      </c>
      <c r="X153" s="32">
        <v>469</v>
      </c>
      <c r="Y153" s="29"/>
      <c r="Z153" s="29" t="s">
        <v>23</v>
      </c>
      <c r="AA153" s="30">
        <v>178</v>
      </c>
      <c r="AB153" s="32">
        <v>153</v>
      </c>
      <c r="AC153" s="29"/>
      <c r="AD153" s="29" t="s">
        <v>23</v>
      </c>
      <c r="AE153" s="30">
        <v>159</v>
      </c>
      <c r="AF153" s="32">
        <v>108</v>
      </c>
      <c r="AG153" s="29"/>
      <c r="AH153" s="29" t="s">
        <v>23</v>
      </c>
      <c r="AI153" s="30">
        <v>447</v>
      </c>
      <c r="AJ153" s="32">
        <v>398</v>
      </c>
      <c r="AK153" s="29"/>
      <c r="AL153" s="29" t="s">
        <v>23</v>
      </c>
      <c r="AM153" s="30">
        <v>383</v>
      </c>
      <c r="AN153" s="33">
        <v>326</v>
      </c>
    </row>
    <row r="154" spans="1:40" outlineLevel="1" x14ac:dyDescent="0.25">
      <c r="A154" s="28"/>
      <c r="B154" s="29" t="s">
        <v>24</v>
      </c>
      <c r="C154" s="30">
        <v>83</v>
      </c>
      <c r="D154" s="32">
        <v>74</v>
      </c>
      <c r="E154" s="29"/>
      <c r="F154" s="29" t="s">
        <v>24</v>
      </c>
      <c r="G154" s="30">
        <v>26</v>
      </c>
      <c r="H154" s="32">
        <v>22</v>
      </c>
      <c r="I154" s="29"/>
      <c r="J154" s="29" t="s">
        <v>24</v>
      </c>
      <c r="K154" s="30">
        <v>35</v>
      </c>
      <c r="L154" s="32">
        <v>32</v>
      </c>
      <c r="M154" s="29"/>
      <c r="N154" s="29" t="s">
        <v>24</v>
      </c>
      <c r="O154" s="30">
        <v>20</v>
      </c>
      <c r="P154" s="32">
        <v>16</v>
      </c>
      <c r="Q154" s="29"/>
      <c r="R154" s="29" t="s">
        <v>24</v>
      </c>
      <c r="S154" s="30">
        <v>577</v>
      </c>
      <c r="T154" s="32">
        <v>447</v>
      </c>
      <c r="U154" s="29"/>
      <c r="V154" s="29" t="s">
        <v>24</v>
      </c>
      <c r="W154" s="30">
        <v>497</v>
      </c>
      <c r="X154" s="32">
        <v>530</v>
      </c>
      <c r="Y154" s="29"/>
      <c r="Z154" s="29" t="s">
        <v>24</v>
      </c>
      <c r="AA154" s="30">
        <v>171</v>
      </c>
      <c r="AB154" s="32">
        <v>163</v>
      </c>
      <c r="AC154" s="29"/>
      <c r="AD154" s="29" t="s">
        <v>24</v>
      </c>
      <c r="AE154" s="30">
        <v>159</v>
      </c>
      <c r="AF154" s="32">
        <v>147</v>
      </c>
      <c r="AG154" s="29"/>
      <c r="AH154" s="29" t="s">
        <v>24</v>
      </c>
      <c r="AI154" s="30">
        <v>490</v>
      </c>
      <c r="AJ154" s="32">
        <v>444</v>
      </c>
      <c r="AK154" s="29"/>
      <c r="AL154" s="29" t="s">
        <v>24</v>
      </c>
      <c r="AM154" s="30">
        <v>445</v>
      </c>
      <c r="AN154" s="33">
        <v>367</v>
      </c>
    </row>
    <row r="155" spans="1:40" outlineLevel="1" x14ac:dyDescent="0.25">
      <c r="A155" s="28"/>
      <c r="B155" s="29" t="s">
        <v>25</v>
      </c>
      <c r="C155" s="30">
        <v>79</v>
      </c>
      <c r="D155" s="32">
        <v>54</v>
      </c>
      <c r="E155" s="29"/>
      <c r="F155" s="29" t="s">
        <v>25</v>
      </c>
      <c r="G155" s="30">
        <v>37</v>
      </c>
      <c r="H155" s="32">
        <v>20</v>
      </c>
      <c r="I155" s="29"/>
      <c r="J155" s="29" t="s">
        <v>25</v>
      </c>
      <c r="K155" s="30">
        <v>16</v>
      </c>
      <c r="L155" s="32">
        <v>27</v>
      </c>
      <c r="M155" s="29"/>
      <c r="N155" s="29" t="s">
        <v>25</v>
      </c>
      <c r="O155" s="30">
        <v>12</v>
      </c>
      <c r="P155" s="32">
        <v>20</v>
      </c>
      <c r="Q155" s="29"/>
      <c r="R155" s="29" t="s">
        <v>25</v>
      </c>
      <c r="S155" s="30">
        <v>432</v>
      </c>
      <c r="T155" s="32">
        <v>402</v>
      </c>
      <c r="U155" s="29"/>
      <c r="V155" s="29" t="s">
        <v>25</v>
      </c>
      <c r="W155" s="30">
        <v>489</v>
      </c>
      <c r="X155" s="32">
        <v>527</v>
      </c>
      <c r="Y155" s="29"/>
      <c r="Z155" s="29" t="s">
        <v>25</v>
      </c>
      <c r="AA155" s="30">
        <v>165</v>
      </c>
      <c r="AB155" s="32">
        <v>148</v>
      </c>
      <c r="AC155" s="29"/>
      <c r="AD155" s="29" t="s">
        <v>25</v>
      </c>
      <c r="AE155" s="30">
        <v>136</v>
      </c>
      <c r="AF155" s="32">
        <v>120</v>
      </c>
      <c r="AG155" s="29"/>
      <c r="AH155" s="29" t="s">
        <v>25</v>
      </c>
      <c r="AI155" s="30">
        <v>424</v>
      </c>
      <c r="AJ155" s="32">
        <v>472</v>
      </c>
      <c r="AK155" s="29"/>
      <c r="AL155" s="29" t="s">
        <v>25</v>
      </c>
      <c r="AM155" s="30">
        <v>379</v>
      </c>
      <c r="AN155" s="33">
        <v>407</v>
      </c>
    </row>
    <row r="156" spans="1:40" outlineLevel="1" x14ac:dyDescent="0.25">
      <c r="A156" s="28"/>
      <c r="B156" s="29" t="s">
        <v>26</v>
      </c>
      <c r="C156" s="30">
        <v>76</v>
      </c>
      <c r="D156" s="32">
        <v>58</v>
      </c>
      <c r="E156" s="29"/>
      <c r="F156" s="29" t="s">
        <v>26</v>
      </c>
      <c r="G156" s="30">
        <v>36</v>
      </c>
      <c r="H156" s="32">
        <v>25</v>
      </c>
      <c r="I156" s="29"/>
      <c r="J156" s="29" t="s">
        <v>26</v>
      </c>
      <c r="K156" s="30">
        <v>23</v>
      </c>
      <c r="L156" s="32">
        <v>11</v>
      </c>
      <c r="M156" s="29"/>
      <c r="N156" s="29" t="s">
        <v>26</v>
      </c>
      <c r="O156" s="30">
        <v>23</v>
      </c>
      <c r="P156" s="32">
        <v>20</v>
      </c>
      <c r="Q156" s="29"/>
      <c r="R156" s="29" t="s">
        <v>26</v>
      </c>
      <c r="S156" s="30">
        <v>499</v>
      </c>
      <c r="T156" s="32">
        <v>345</v>
      </c>
      <c r="U156" s="29"/>
      <c r="V156" s="29" t="s">
        <v>26</v>
      </c>
      <c r="W156" s="30">
        <v>636</v>
      </c>
      <c r="X156" s="32">
        <v>551</v>
      </c>
      <c r="Y156" s="29"/>
      <c r="Z156" s="29" t="s">
        <v>26</v>
      </c>
      <c r="AA156" s="30">
        <v>155</v>
      </c>
      <c r="AB156" s="32">
        <v>156</v>
      </c>
      <c r="AC156" s="29"/>
      <c r="AD156" s="29" t="s">
        <v>26</v>
      </c>
      <c r="AE156" s="30">
        <v>128</v>
      </c>
      <c r="AF156" s="32">
        <v>115</v>
      </c>
      <c r="AG156" s="29"/>
      <c r="AH156" s="29" t="s">
        <v>26</v>
      </c>
      <c r="AI156" s="30">
        <v>542</v>
      </c>
      <c r="AJ156" s="32">
        <v>442</v>
      </c>
      <c r="AK156" s="29"/>
      <c r="AL156" s="29" t="s">
        <v>26</v>
      </c>
      <c r="AM156" s="30">
        <v>407</v>
      </c>
      <c r="AN156" s="33">
        <v>350</v>
      </c>
    </row>
    <row r="157" spans="1:40" outlineLevel="1" x14ac:dyDescent="0.25">
      <c r="A157" s="28"/>
      <c r="B157" s="29" t="s">
        <v>27</v>
      </c>
      <c r="C157" s="30">
        <v>87</v>
      </c>
      <c r="D157" s="32">
        <v>69</v>
      </c>
      <c r="E157" s="29"/>
      <c r="F157" s="29" t="s">
        <v>27</v>
      </c>
      <c r="G157" s="30">
        <v>31</v>
      </c>
      <c r="H157" s="32">
        <v>32</v>
      </c>
      <c r="I157" s="29"/>
      <c r="J157" s="29" t="s">
        <v>27</v>
      </c>
      <c r="K157" s="30">
        <v>29</v>
      </c>
      <c r="L157" s="32">
        <v>26</v>
      </c>
      <c r="M157" s="29"/>
      <c r="N157" s="29" t="s">
        <v>27</v>
      </c>
      <c r="O157" s="30">
        <v>22</v>
      </c>
      <c r="P157" s="32">
        <v>30</v>
      </c>
      <c r="Q157" s="29"/>
      <c r="R157" s="29" t="s">
        <v>27</v>
      </c>
      <c r="S157" s="30">
        <v>536</v>
      </c>
      <c r="T157" s="32">
        <v>484</v>
      </c>
      <c r="U157" s="29"/>
      <c r="V157" s="29" t="s">
        <v>27</v>
      </c>
      <c r="W157" s="30">
        <v>776</v>
      </c>
      <c r="X157" s="32">
        <v>705</v>
      </c>
      <c r="Y157" s="29"/>
      <c r="Z157" s="29" t="s">
        <v>27</v>
      </c>
      <c r="AA157" s="30">
        <v>208</v>
      </c>
      <c r="AB157" s="32">
        <v>149</v>
      </c>
      <c r="AC157" s="29"/>
      <c r="AD157" s="29" t="s">
        <v>27</v>
      </c>
      <c r="AE157" s="30">
        <v>155</v>
      </c>
      <c r="AF157" s="32">
        <v>133</v>
      </c>
      <c r="AG157" s="29"/>
      <c r="AH157" s="29" t="s">
        <v>27</v>
      </c>
      <c r="AI157" s="30">
        <v>538</v>
      </c>
      <c r="AJ157" s="32">
        <v>543</v>
      </c>
      <c r="AK157" s="29"/>
      <c r="AL157" s="29" t="s">
        <v>27</v>
      </c>
      <c r="AM157" s="30">
        <v>435</v>
      </c>
      <c r="AN157" s="33">
        <v>372</v>
      </c>
    </row>
    <row r="158" spans="1:40" outlineLevel="1" x14ac:dyDescent="0.25">
      <c r="A158" s="28"/>
      <c r="B158" s="29" t="s">
        <v>28</v>
      </c>
      <c r="C158" s="30">
        <v>86</v>
      </c>
      <c r="D158" s="32">
        <v>83</v>
      </c>
      <c r="E158" s="29"/>
      <c r="F158" s="29" t="s">
        <v>28</v>
      </c>
      <c r="G158" s="30">
        <v>37</v>
      </c>
      <c r="H158" s="32">
        <v>32</v>
      </c>
      <c r="I158" s="29"/>
      <c r="J158" s="29" t="s">
        <v>28</v>
      </c>
      <c r="K158" s="30">
        <v>41</v>
      </c>
      <c r="L158" s="32">
        <v>28</v>
      </c>
      <c r="M158" s="29"/>
      <c r="N158" s="29" t="s">
        <v>28</v>
      </c>
      <c r="O158" s="30">
        <v>17</v>
      </c>
      <c r="P158" s="32">
        <v>22</v>
      </c>
      <c r="Q158" s="29"/>
      <c r="R158" s="29" t="s">
        <v>28</v>
      </c>
      <c r="S158" s="30">
        <v>563</v>
      </c>
      <c r="T158" s="32">
        <v>522</v>
      </c>
      <c r="U158" s="29"/>
      <c r="V158" s="29" t="s">
        <v>28</v>
      </c>
      <c r="W158" s="30">
        <v>745</v>
      </c>
      <c r="X158" s="32">
        <v>798</v>
      </c>
      <c r="Y158" s="29"/>
      <c r="Z158" s="29" t="s">
        <v>28</v>
      </c>
      <c r="AA158" s="30">
        <v>215</v>
      </c>
      <c r="AB158" s="32">
        <v>214</v>
      </c>
      <c r="AC158" s="29"/>
      <c r="AD158" s="29" t="s">
        <v>28</v>
      </c>
      <c r="AE158" s="30">
        <v>179</v>
      </c>
      <c r="AF158" s="32">
        <v>166</v>
      </c>
      <c r="AG158" s="29"/>
      <c r="AH158" s="29" t="s">
        <v>28</v>
      </c>
      <c r="AI158" s="30">
        <v>579</v>
      </c>
      <c r="AJ158" s="32">
        <v>531</v>
      </c>
      <c r="AK158" s="29"/>
      <c r="AL158" s="29" t="s">
        <v>28</v>
      </c>
      <c r="AM158" s="30">
        <v>419</v>
      </c>
      <c r="AN158" s="33">
        <v>406</v>
      </c>
    </row>
    <row r="159" spans="1:40" outlineLevel="1" x14ac:dyDescent="0.25">
      <c r="A159" s="28"/>
      <c r="B159" s="29" t="s">
        <v>29</v>
      </c>
      <c r="C159" s="30">
        <v>81</v>
      </c>
      <c r="D159" s="32">
        <v>79</v>
      </c>
      <c r="E159" s="29"/>
      <c r="F159" s="29" t="s">
        <v>29</v>
      </c>
      <c r="G159" s="30">
        <v>32</v>
      </c>
      <c r="H159" s="32">
        <v>40</v>
      </c>
      <c r="I159" s="29"/>
      <c r="J159" s="29" t="s">
        <v>29</v>
      </c>
      <c r="K159" s="30">
        <v>41</v>
      </c>
      <c r="L159" s="32">
        <v>40</v>
      </c>
      <c r="M159" s="29"/>
      <c r="N159" s="29" t="s">
        <v>29</v>
      </c>
      <c r="O159" s="30">
        <v>17</v>
      </c>
      <c r="P159" s="32">
        <v>21</v>
      </c>
      <c r="Q159" s="29"/>
      <c r="R159" s="29" t="s">
        <v>29</v>
      </c>
      <c r="S159" s="30">
        <v>516</v>
      </c>
      <c r="T159" s="32">
        <v>557</v>
      </c>
      <c r="U159" s="29"/>
      <c r="V159" s="29" t="s">
        <v>29</v>
      </c>
      <c r="W159" s="30">
        <v>733</v>
      </c>
      <c r="X159" s="32">
        <v>764</v>
      </c>
      <c r="Y159" s="29"/>
      <c r="Z159" s="29" t="s">
        <v>29</v>
      </c>
      <c r="AA159" s="30">
        <v>203</v>
      </c>
      <c r="AB159" s="32">
        <v>218</v>
      </c>
      <c r="AC159" s="29"/>
      <c r="AD159" s="29" t="s">
        <v>29</v>
      </c>
      <c r="AE159" s="30">
        <v>143</v>
      </c>
      <c r="AF159" s="32">
        <v>179</v>
      </c>
      <c r="AG159" s="29"/>
      <c r="AH159" s="29" t="s">
        <v>29</v>
      </c>
      <c r="AI159" s="30">
        <v>631</v>
      </c>
      <c r="AJ159" s="32">
        <v>582</v>
      </c>
      <c r="AK159" s="29"/>
      <c r="AL159" s="29" t="s">
        <v>29</v>
      </c>
      <c r="AM159" s="30">
        <v>444</v>
      </c>
      <c r="AN159" s="33">
        <v>417</v>
      </c>
    </row>
    <row r="160" spans="1:40" outlineLevel="1" x14ac:dyDescent="0.25">
      <c r="A160" s="28"/>
      <c r="B160" s="29" t="s">
        <v>31</v>
      </c>
      <c r="C160" s="30">
        <v>82</v>
      </c>
      <c r="D160" s="32">
        <v>88</v>
      </c>
      <c r="E160" s="29"/>
      <c r="F160" s="29" t="s">
        <v>31</v>
      </c>
      <c r="G160" s="30">
        <v>47</v>
      </c>
      <c r="H160" s="32">
        <v>34</v>
      </c>
      <c r="I160" s="29"/>
      <c r="J160" s="29" t="s">
        <v>31</v>
      </c>
      <c r="K160" s="30">
        <v>41</v>
      </c>
      <c r="L160" s="32">
        <v>39</v>
      </c>
      <c r="M160" s="29"/>
      <c r="N160" s="29" t="s">
        <v>31</v>
      </c>
      <c r="O160" s="30">
        <v>28</v>
      </c>
      <c r="P160" s="32">
        <v>16</v>
      </c>
      <c r="Q160" s="29"/>
      <c r="R160" s="29" t="s">
        <v>31</v>
      </c>
      <c r="S160" s="30">
        <v>543</v>
      </c>
      <c r="T160" s="32">
        <v>512</v>
      </c>
      <c r="U160" s="29"/>
      <c r="V160" s="29" t="s">
        <v>31</v>
      </c>
      <c r="W160" s="30">
        <v>661</v>
      </c>
      <c r="X160" s="32">
        <v>726</v>
      </c>
      <c r="Y160" s="29"/>
      <c r="Z160" s="29" t="s">
        <v>31</v>
      </c>
      <c r="AA160" s="30">
        <v>164</v>
      </c>
      <c r="AB160" s="32">
        <v>206</v>
      </c>
      <c r="AC160" s="29"/>
      <c r="AD160" s="29" t="s">
        <v>31</v>
      </c>
      <c r="AE160" s="30">
        <v>139</v>
      </c>
      <c r="AF160" s="32">
        <v>140</v>
      </c>
      <c r="AG160" s="29"/>
      <c r="AH160" s="29" t="s">
        <v>31</v>
      </c>
      <c r="AI160" s="30">
        <v>490</v>
      </c>
      <c r="AJ160" s="32">
        <v>643</v>
      </c>
      <c r="AK160" s="29"/>
      <c r="AL160" s="29" t="s">
        <v>31</v>
      </c>
      <c r="AM160" s="30">
        <v>429</v>
      </c>
      <c r="AN160" s="33">
        <v>433</v>
      </c>
    </row>
    <row r="161" spans="1:40" outlineLevel="1" x14ac:dyDescent="0.25">
      <c r="A161" s="28"/>
      <c r="B161" s="29" t="s">
        <v>33</v>
      </c>
      <c r="C161" s="30">
        <v>116</v>
      </c>
      <c r="D161" s="32">
        <v>75</v>
      </c>
      <c r="E161" s="29"/>
      <c r="F161" s="29" t="s">
        <v>33</v>
      </c>
      <c r="G161" s="30">
        <v>52</v>
      </c>
      <c r="H161" s="32">
        <v>46</v>
      </c>
      <c r="I161" s="29"/>
      <c r="J161" s="29" t="s">
        <v>33</v>
      </c>
      <c r="K161" s="30">
        <v>62</v>
      </c>
      <c r="L161" s="32">
        <v>43</v>
      </c>
      <c r="M161" s="29"/>
      <c r="N161" s="29" t="s">
        <v>33</v>
      </c>
      <c r="O161" s="30">
        <v>29</v>
      </c>
      <c r="P161" s="32">
        <v>28</v>
      </c>
      <c r="Q161" s="29"/>
      <c r="R161" s="29" t="s">
        <v>33</v>
      </c>
      <c r="S161" s="30">
        <v>720</v>
      </c>
      <c r="T161" s="32">
        <v>543</v>
      </c>
      <c r="U161" s="29"/>
      <c r="V161" s="29" t="s">
        <v>33</v>
      </c>
      <c r="W161" s="30">
        <v>653</v>
      </c>
      <c r="X161" s="32">
        <v>633</v>
      </c>
      <c r="Y161" s="29"/>
      <c r="Z161" s="29" t="s">
        <v>33</v>
      </c>
      <c r="AA161" s="30">
        <v>210</v>
      </c>
      <c r="AB161" s="32">
        <v>161</v>
      </c>
      <c r="AC161" s="29"/>
      <c r="AD161" s="29" t="s">
        <v>33</v>
      </c>
      <c r="AE161" s="30">
        <v>180</v>
      </c>
      <c r="AF161" s="32">
        <v>133</v>
      </c>
      <c r="AG161" s="29"/>
      <c r="AH161" s="29" t="s">
        <v>33</v>
      </c>
      <c r="AI161" s="30">
        <v>534</v>
      </c>
      <c r="AJ161" s="32">
        <v>475</v>
      </c>
      <c r="AK161" s="29"/>
      <c r="AL161" s="29" t="s">
        <v>33</v>
      </c>
      <c r="AM161" s="30">
        <v>505</v>
      </c>
      <c r="AN161" s="33">
        <v>415</v>
      </c>
    </row>
    <row r="162" spans="1:40" outlineLevel="1" x14ac:dyDescent="0.25">
      <c r="A162" s="28"/>
      <c r="B162" s="29" t="s">
        <v>35</v>
      </c>
      <c r="C162" s="30">
        <v>145</v>
      </c>
      <c r="D162" s="32">
        <v>111</v>
      </c>
      <c r="E162" s="29"/>
      <c r="F162" s="29" t="s">
        <v>35</v>
      </c>
      <c r="G162" s="30">
        <v>57</v>
      </c>
      <c r="H162" s="32">
        <v>53</v>
      </c>
      <c r="I162" s="29"/>
      <c r="J162" s="29" t="s">
        <v>35</v>
      </c>
      <c r="K162" s="30">
        <v>90</v>
      </c>
      <c r="L162" s="32">
        <v>59</v>
      </c>
      <c r="M162" s="29"/>
      <c r="N162" s="29" t="s">
        <v>35</v>
      </c>
      <c r="O162" s="30">
        <v>64</v>
      </c>
      <c r="P162" s="32">
        <v>30</v>
      </c>
      <c r="Q162" s="29"/>
      <c r="R162" s="29" t="s">
        <v>35</v>
      </c>
      <c r="S162" s="30">
        <v>920</v>
      </c>
      <c r="T162" s="32">
        <v>711</v>
      </c>
      <c r="U162" s="29"/>
      <c r="V162" s="29" t="s">
        <v>35</v>
      </c>
      <c r="W162" s="30">
        <v>735</v>
      </c>
      <c r="X162" s="32">
        <v>647</v>
      </c>
      <c r="Y162" s="29"/>
      <c r="Z162" s="29" t="s">
        <v>35</v>
      </c>
      <c r="AA162" s="30">
        <v>291</v>
      </c>
      <c r="AB162" s="32">
        <v>203</v>
      </c>
      <c r="AC162" s="29"/>
      <c r="AD162" s="29" t="s">
        <v>35</v>
      </c>
      <c r="AE162" s="30">
        <v>213</v>
      </c>
      <c r="AF162" s="32">
        <v>172</v>
      </c>
      <c r="AG162" s="29"/>
      <c r="AH162" s="29" t="s">
        <v>35</v>
      </c>
      <c r="AI162" s="30">
        <v>659</v>
      </c>
      <c r="AJ162" s="32">
        <v>535</v>
      </c>
      <c r="AK162" s="29"/>
      <c r="AL162" s="29" t="s">
        <v>35</v>
      </c>
      <c r="AM162" s="30">
        <v>541</v>
      </c>
      <c r="AN162" s="33">
        <v>479</v>
      </c>
    </row>
    <row r="163" spans="1:40" outlineLevel="1" x14ac:dyDescent="0.25">
      <c r="A163" s="28"/>
      <c r="B163" s="29" t="s">
        <v>37</v>
      </c>
      <c r="C163" s="30">
        <v>152</v>
      </c>
      <c r="D163" s="32">
        <v>150</v>
      </c>
      <c r="E163" s="29"/>
      <c r="F163" s="29" t="s">
        <v>37</v>
      </c>
      <c r="G163" s="30">
        <v>104</v>
      </c>
      <c r="H163" s="32">
        <v>55</v>
      </c>
      <c r="I163" s="29"/>
      <c r="J163" s="29" t="s">
        <v>37</v>
      </c>
      <c r="K163" s="30">
        <v>106</v>
      </c>
      <c r="L163" s="32">
        <v>89</v>
      </c>
      <c r="M163" s="29"/>
      <c r="N163" s="29" t="s">
        <v>37</v>
      </c>
      <c r="O163" s="30">
        <v>68</v>
      </c>
      <c r="P163" s="32">
        <v>68</v>
      </c>
      <c r="Q163" s="29"/>
      <c r="R163" s="29" t="s">
        <v>37</v>
      </c>
      <c r="S163" s="30">
        <v>1050</v>
      </c>
      <c r="T163" s="32">
        <v>886</v>
      </c>
      <c r="U163" s="29"/>
      <c r="V163" s="29" t="s">
        <v>37</v>
      </c>
      <c r="W163" s="30">
        <v>809</v>
      </c>
      <c r="X163" s="32">
        <v>694</v>
      </c>
      <c r="Y163" s="29"/>
      <c r="Z163" s="29" t="s">
        <v>37</v>
      </c>
      <c r="AA163" s="30">
        <v>309</v>
      </c>
      <c r="AB163" s="32">
        <v>285</v>
      </c>
      <c r="AC163" s="29"/>
      <c r="AD163" s="29" t="s">
        <v>37</v>
      </c>
      <c r="AE163" s="30">
        <v>227</v>
      </c>
      <c r="AF163" s="32">
        <v>211</v>
      </c>
      <c r="AG163" s="29"/>
      <c r="AH163" s="29" t="s">
        <v>37</v>
      </c>
      <c r="AI163" s="30">
        <v>738</v>
      </c>
      <c r="AJ163" s="32">
        <v>638</v>
      </c>
      <c r="AK163" s="29"/>
      <c r="AL163" s="29" t="s">
        <v>37</v>
      </c>
      <c r="AM163" s="30">
        <v>624</v>
      </c>
      <c r="AN163" s="33">
        <v>531</v>
      </c>
    </row>
    <row r="164" spans="1:40" outlineLevel="1" x14ac:dyDescent="0.25">
      <c r="A164" s="28"/>
      <c r="B164" s="29" t="s">
        <v>39</v>
      </c>
      <c r="C164" s="30">
        <v>165</v>
      </c>
      <c r="D164" s="32">
        <v>145</v>
      </c>
      <c r="E164" s="29"/>
      <c r="F164" s="29" t="s">
        <v>39</v>
      </c>
      <c r="G164" s="30">
        <v>83</v>
      </c>
      <c r="H164" s="32">
        <v>104</v>
      </c>
      <c r="I164" s="29"/>
      <c r="J164" s="29" t="s">
        <v>39</v>
      </c>
      <c r="K164" s="30">
        <v>112</v>
      </c>
      <c r="L164" s="32">
        <v>107</v>
      </c>
      <c r="M164" s="29"/>
      <c r="N164" s="29" t="s">
        <v>39</v>
      </c>
      <c r="O164" s="30">
        <v>65</v>
      </c>
      <c r="P164" s="32">
        <v>62</v>
      </c>
      <c r="Q164" s="29"/>
      <c r="R164" s="29" t="s">
        <v>39</v>
      </c>
      <c r="S164" s="30">
        <v>822</v>
      </c>
      <c r="T164" s="32">
        <v>1011</v>
      </c>
      <c r="U164" s="29"/>
      <c r="V164" s="29" t="s">
        <v>39</v>
      </c>
      <c r="W164" s="30">
        <v>649</v>
      </c>
      <c r="X164" s="32">
        <v>777</v>
      </c>
      <c r="Y164" s="29"/>
      <c r="Z164" s="29" t="s">
        <v>39</v>
      </c>
      <c r="AA164" s="30">
        <v>233</v>
      </c>
      <c r="AB164" s="32">
        <v>295</v>
      </c>
      <c r="AC164" s="29"/>
      <c r="AD164" s="29" t="s">
        <v>39</v>
      </c>
      <c r="AE164" s="30">
        <v>154</v>
      </c>
      <c r="AF164" s="32">
        <v>224</v>
      </c>
      <c r="AG164" s="29"/>
      <c r="AH164" s="29" t="s">
        <v>39</v>
      </c>
      <c r="AI164" s="30">
        <v>644</v>
      </c>
      <c r="AJ164" s="32">
        <v>697</v>
      </c>
      <c r="AK164" s="29"/>
      <c r="AL164" s="29" t="s">
        <v>39</v>
      </c>
      <c r="AM164" s="30">
        <v>484</v>
      </c>
      <c r="AN164" s="33">
        <v>592</v>
      </c>
    </row>
    <row r="165" spans="1:40" outlineLevel="1" x14ac:dyDescent="0.25">
      <c r="A165" s="28"/>
      <c r="B165" s="29" t="s">
        <v>41</v>
      </c>
      <c r="C165" s="30">
        <v>106</v>
      </c>
      <c r="D165" s="32">
        <v>155</v>
      </c>
      <c r="E165" s="29"/>
      <c r="F165" s="29" t="s">
        <v>41</v>
      </c>
      <c r="G165" s="30">
        <v>70</v>
      </c>
      <c r="H165" s="32">
        <v>77</v>
      </c>
      <c r="I165" s="29"/>
      <c r="J165" s="29" t="s">
        <v>41</v>
      </c>
      <c r="K165" s="30">
        <v>99</v>
      </c>
      <c r="L165" s="32">
        <v>109</v>
      </c>
      <c r="M165" s="29"/>
      <c r="N165" s="29" t="s">
        <v>41</v>
      </c>
      <c r="O165" s="30">
        <v>51</v>
      </c>
      <c r="P165" s="32">
        <v>60</v>
      </c>
      <c r="Q165" s="29"/>
      <c r="R165" s="29" t="s">
        <v>41</v>
      </c>
      <c r="S165" s="30">
        <v>657</v>
      </c>
      <c r="T165" s="32">
        <v>755</v>
      </c>
      <c r="U165" s="29"/>
      <c r="V165" s="29" t="s">
        <v>41</v>
      </c>
      <c r="W165" s="30">
        <v>453</v>
      </c>
      <c r="X165" s="32">
        <v>599</v>
      </c>
      <c r="Y165" s="29"/>
      <c r="Z165" s="29" t="s">
        <v>41</v>
      </c>
      <c r="AA165" s="30">
        <v>180</v>
      </c>
      <c r="AB165" s="32">
        <v>213</v>
      </c>
      <c r="AC165" s="29"/>
      <c r="AD165" s="29" t="s">
        <v>41</v>
      </c>
      <c r="AE165" s="30">
        <v>114</v>
      </c>
      <c r="AF165" s="32">
        <v>144</v>
      </c>
      <c r="AG165" s="29"/>
      <c r="AH165" s="29" t="s">
        <v>41</v>
      </c>
      <c r="AI165" s="30">
        <v>510</v>
      </c>
      <c r="AJ165" s="32">
        <v>587</v>
      </c>
      <c r="AK165" s="29"/>
      <c r="AL165" s="29" t="s">
        <v>41</v>
      </c>
      <c r="AM165" s="30">
        <v>368</v>
      </c>
      <c r="AN165" s="33">
        <v>446</v>
      </c>
    </row>
    <row r="166" spans="1:40" outlineLevel="1" x14ac:dyDescent="0.25">
      <c r="A166" s="28"/>
      <c r="B166" s="29" t="s">
        <v>43</v>
      </c>
      <c r="C166" s="30">
        <v>135</v>
      </c>
      <c r="D166" s="32">
        <v>93</v>
      </c>
      <c r="E166" s="29"/>
      <c r="F166" s="29" t="s">
        <v>43</v>
      </c>
      <c r="G166" s="30">
        <v>65</v>
      </c>
      <c r="H166" s="32">
        <v>64</v>
      </c>
      <c r="I166" s="29"/>
      <c r="J166" s="29" t="s">
        <v>43</v>
      </c>
      <c r="K166" s="30">
        <v>106</v>
      </c>
      <c r="L166" s="32">
        <v>89</v>
      </c>
      <c r="M166" s="29"/>
      <c r="N166" s="29" t="s">
        <v>43</v>
      </c>
      <c r="O166" s="30">
        <v>67</v>
      </c>
      <c r="P166" s="32">
        <v>49</v>
      </c>
      <c r="Q166" s="29"/>
      <c r="R166" s="29" t="s">
        <v>43</v>
      </c>
      <c r="S166" s="30">
        <v>563</v>
      </c>
      <c r="T166" s="32">
        <v>568</v>
      </c>
      <c r="U166" s="29"/>
      <c r="V166" s="29" t="s">
        <v>43</v>
      </c>
      <c r="W166" s="30">
        <v>312</v>
      </c>
      <c r="X166" s="32">
        <v>413</v>
      </c>
      <c r="Y166" s="29"/>
      <c r="Z166" s="29" t="s">
        <v>43</v>
      </c>
      <c r="AA166" s="30">
        <v>127</v>
      </c>
      <c r="AB166" s="32">
        <v>168</v>
      </c>
      <c r="AC166" s="29"/>
      <c r="AD166" s="29" t="s">
        <v>43</v>
      </c>
      <c r="AE166" s="30">
        <v>102</v>
      </c>
      <c r="AF166" s="32">
        <v>102</v>
      </c>
      <c r="AG166" s="29"/>
      <c r="AH166" s="29" t="s">
        <v>43</v>
      </c>
      <c r="AI166" s="30">
        <v>385</v>
      </c>
      <c r="AJ166" s="32">
        <v>446</v>
      </c>
      <c r="AK166" s="29"/>
      <c r="AL166" s="29" t="s">
        <v>43</v>
      </c>
      <c r="AM166" s="30">
        <v>333</v>
      </c>
      <c r="AN166" s="33">
        <v>319</v>
      </c>
    </row>
    <row r="167" spans="1:40" outlineLevel="1" x14ac:dyDescent="0.25">
      <c r="A167" s="28"/>
      <c r="B167" s="29" t="s">
        <v>45</v>
      </c>
      <c r="C167" s="30">
        <v>115</v>
      </c>
      <c r="D167" s="32">
        <v>102</v>
      </c>
      <c r="E167" s="29"/>
      <c r="F167" s="29" t="s">
        <v>45</v>
      </c>
      <c r="G167" s="30">
        <v>68</v>
      </c>
      <c r="H167" s="32">
        <v>44</v>
      </c>
      <c r="I167" s="29"/>
      <c r="J167" s="29" t="s">
        <v>45</v>
      </c>
      <c r="K167" s="30">
        <v>120</v>
      </c>
      <c r="L167" s="32">
        <v>87</v>
      </c>
      <c r="M167" s="29"/>
      <c r="N167" s="29" t="s">
        <v>45</v>
      </c>
      <c r="O167" s="30">
        <v>67</v>
      </c>
      <c r="P167" s="32">
        <v>54</v>
      </c>
      <c r="Q167" s="29"/>
      <c r="R167" s="29" t="s">
        <v>45</v>
      </c>
      <c r="S167" s="30">
        <v>493</v>
      </c>
      <c r="T167" s="32">
        <v>424</v>
      </c>
      <c r="U167" s="29"/>
      <c r="V167" s="29" t="s">
        <v>45</v>
      </c>
      <c r="W167" s="30">
        <v>194</v>
      </c>
      <c r="X167" s="32">
        <v>241</v>
      </c>
      <c r="Y167" s="29"/>
      <c r="Z167" s="29" t="s">
        <v>45</v>
      </c>
      <c r="AA167" s="30">
        <v>102</v>
      </c>
      <c r="AB167" s="32">
        <v>105</v>
      </c>
      <c r="AC167" s="29"/>
      <c r="AD167" s="29" t="s">
        <v>45</v>
      </c>
      <c r="AE167" s="30">
        <v>85</v>
      </c>
      <c r="AF167" s="32">
        <v>76</v>
      </c>
      <c r="AG167" s="29"/>
      <c r="AH167" s="29" t="s">
        <v>45</v>
      </c>
      <c r="AI167" s="30">
        <v>274</v>
      </c>
      <c r="AJ167" s="32">
        <v>311</v>
      </c>
      <c r="AK167" s="29"/>
      <c r="AL167" s="29" t="s">
        <v>45</v>
      </c>
      <c r="AM167" s="30">
        <v>269</v>
      </c>
      <c r="AN167" s="33">
        <v>252</v>
      </c>
    </row>
    <row r="168" spans="1:40" outlineLevel="1" x14ac:dyDescent="0.25">
      <c r="A168" s="28"/>
      <c r="B168" s="29" t="s">
        <v>47</v>
      </c>
      <c r="C168" s="30">
        <v>68</v>
      </c>
      <c r="D168" s="32">
        <v>77</v>
      </c>
      <c r="E168" s="29"/>
      <c r="F168" s="29" t="s">
        <v>47</v>
      </c>
      <c r="G168" s="30">
        <v>44</v>
      </c>
      <c r="H168" s="32">
        <v>52</v>
      </c>
      <c r="I168" s="29"/>
      <c r="J168" s="29" t="s">
        <v>47</v>
      </c>
      <c r="K168" s="30">
        <v>70</v>
      </c>
      <c r="L168" s="32">
        <v>89</v>
      </c>
      <c r="M168" s="29"/>
      <c r="N168" s="29" t="s">
        <v>47</v>
      </c>
      <c r="O168" s="30">
        <v>45</v>
      </c>
      <c r="P168" s="32">
        <v>46</v>
      </c>
      <c r="Q168" s="29"/>
      <c r="R168" s="29" t="s">
        <v>47</v>
      </c>
      <c r="S168" s="30">
        <v>273</v>
      </c>
      <c r="T168" s="32">
        <v>315</v>
      </c>
      <c r="U168" s="29"/>
      <c r="V168" s="29" t="s">
        <v>47</v>
      </c>
      <c r="W168" s="30">
        <v>140</v>
      </c>
      <c r="X168" s="32">
        <v>119</v>
      </c>
      <c r="Y168" s="29"/>
      <c r="Z168" s="29" t="s">
        <v>47</v>
      </c>
      <c r="AA168" s="30">
        <v>64</v>
      </c>
      <c r="AB168" s="32">
        <v>73</v>
      </c>
      <c r="AC168" s="29"/>
      <c r="AD168" s="29" t="s">
        <v>47</v>
      </c>
      <c r="AE168" s="30">
        <v>56</v>
      </c>
      <c r="AF168" s="32">
        <v>53</v>
      </c>
      <c r="AG168" s="29"/>
      <c r="AH168" s="29" t="s">
        <v>47</v>
      </c>
      <c r="AI168" s="30">
        <v>165</v>
      </c>
      <c r="AJ168" s="32">
        <v>169</v>
      </c>
      <c r="AK168" s="29"/>
      <c r="AL168" s="29" t="s">
        <v>47</v>
      </c>
      <c r="AM168" s="30">
        <v>157</v>
      </c>
      <c r="AN168" s="33">
        <v>175</v>
      </c>
    </row>
    <row r="169" spans="1:40" outlineLevel="1" x14ac:dyDescent="0.25">
      <c r="A169" s="28"/>
      <c r="B169" s="29" t="s">
        <v>49</v>
      </c>
      <c r="C169" s="30">
        <v>27</v>
      </c>
      <c r="D169" s="32">
        <v>36</v>
      </c>
      <c r="E169" s="29"/>
      <c r="F169" s="29" t="s">
        <v>49</v>
      </c>
      <c r="G169" s="30">
        <v>19</v>
      </c>
      <c r="H169" s="32">
        <v>23</v>
      </c>
      <c r="I169" s="29"/>
      <c r="J169" s="29" t="s">
        <v>49</v>
      </c>
      <c r="K169" s="30">
        <v>32</v>
      </c>
      <c r="L169" s="32">
        <v>29</v>
      </c>
      <c r="M169" s="29"/>
      <c r="N169" s="29" t="s">
        <v>49</v>
      </c>
      <c r="O169" s="30">
        <v>22</v>
      </c>
      <c r="P169" s="32">
        <v>20</v>
      </c>
      <c r="Q169" s="29"/>
      <c r="R169" s="29" t="s">
        <v>49</v>
      </c>
      <c r="S169" s="30">
        <v>88</v>
      </c>
      <c r="T169" s="32">
        <v>120</v>
      </c>
      <c r="U169" s="29"/>
      <c r="V169" s="29" t="s">
        <v>49</v>
      </c>
      <c r="W169" s="30">
        <v>45</v>
      </c>
      <c r="X169" s="32">
        <v>64</v>
      </c>
      <c r="Y169" s="29"/>
      <c r="Z169" s="29" t="s">
        <v>49</v>
      </c>
      <c r="AA169" s="30">
        <v>17</v>
      </c>
      <c r="AB169" s="32">
        <v>38</v>
      </c>
      <c r="AC169" s="29"/>
      <c r="AD169" s="29" t="s">
        <v>49</v>
      </c>
      <c r="AE169" s="30">
        <v>16</v>
      </c>
      <c r="AF169" s="32">
        <v>32</v>
      </c>
      <c r="AG169" s="29"/>
      <c r="AH169" s="29" t="s">
        <v>49</v>
      </c>
      <c r="AI169" s="30">
        <v>35</v>
      </c>
      <c r="AJ169" s="32">
        <v>67</v>
      </c>
      <c r="AK169" s="29"/>
      <c r="AL169" s="29" t="s">
        <v>49</v>
      </c>
      <c r="AM169" s="30">
        <v>52</v>
      </c>
      <c r="AN169" s="33">
        <v>68</v>
      </c>
    </row>
    <row r="170" spans="1:40" outlineLevel="1" x14ac:dyDescent="0.25">
      <c r="A170" s="28"/>
      <c r="B170" s="29" t="s">
        <v>51</v>
      </c>
      <c r="C170" s="30">
        <v>10</v>
      </c>
      <c r="D170" s="32">
        <v>6</v>
      </c>
      <c r="E170" s="29"/>
      <c r="F170" s="29" t="s">
        <v>51</v>
      </c>
      <c r="G170" s="30">
        <v>5</v>
      </c>
      <c r="H170" s="32">
        <v>4</v>
      </c>
      <c r="I170" s="29"/>
      <c r="J170" s="29" t="s">
        <v>51</v>
      </c>
      <c r="K170" s="30">
        <v>5</v>
      </c>
      <c r="L170" s="32">
        <v>10</v>
      </c>
      <c r="M170" s="29"/>
      <c r="N170" s="29" t="s">
        <v>51</v>
      </c>
      <c r="O170" s="30">
        <v>3</v>
      </c>
      <c r="P170" s="32">
        <v>11</v>
      </c>
      <c r="Q170" s="29"/>
      <c r="R170" s="29" t="s">
        <v>51</v>
      </c>
      <c r="S170" s="30">
        <v>22</v>
      </c>
      <c r="T170" s="32">
        <v>21</v>
      </c>
      <c r="U170" s="29"/>
      <c r="V170" s="29" t="s">
        <v>51</v>
      </c>
      <c r="W170" s="30">
        <v>5</v>
      </c>
      <c r="X170" s="32">
        <v>14</v>
      </c>
      <c r="Y170" s="29"/>
      <c r="Z170" s="29" t="s">
        <v>51</v>
      </c>
      <c r="AA170" s="30">
        <v>6</v>
      </c>
      <c r="AB170" s="32">
        <v>3</v>
      </c>
      <c r="AC170" s="29"/>
      <c r="AD170" s="29" t="s">
        <v>51</v>
      </c>
      <c r="AE170" s="30">
        <v>3</v>
      </c>
      <c r="AF170" s="32">
        <v>4</v>
      </c>
      <c r="AG170" s="29"/>
      <c r="AH170" s="29" t="s">
        <v>51</v>
      </c>
      <c r="AI170" s="30">
        <v>13</v>
      </c>
      <c r="AJ170" s="32">
        <v>10</v>
      </c>
      <c r="AK170" s="29"/>
      <c r="AL170" s="29" t="s">
        <v>51</v>
      </c>
      <c r="AM170" s="30">
        <v>7</v>
      </c>
      <c r="AN170" s="33">
        <v>12</v>
      </c>
    </row>
    <row r="171" spans="1:40" outlineLevel="1" x14ac:dyDescent="0.25">
      <c r="A171" s="28"/>
      <c r="B171" s="29" t="s">
        <v>53</v>
      </c>
      <c r="C171" s="30">
        <v>0</v>
      </c>
      <c r="D171" s="32">
        <v>3</v>
      </c>
      <c r="E171" s="29"/>
      <c r="F171" s="29" t="s">
        <v>53</v>
      </c>
      <c r="G171" s="30">
        <v>0</v>
      </c>
      <c r="H171" s="32">
        <v>0</v>
      </c>
      <c r="I171" s="29"/>
      <c r="J171" s="29" t="s">
        <v>53</v>
      </c>
      <c r="K171" s="30">
        <v>0</v>
      </c>
      <c r="L171" s="32">
        <v>0</v>
      </c>
      <c r="M171" s="29"/>
      <c r="N171" s="29" t="s">
        <v>53</v>
      </c>
      <c r="O171" s="30">
        <v>0</v>
      </c>
      <c r="P171" s="32">
        <v>0</v>
      </c>
      <c r="Q171" s="29"/>
      <c r="R171" s="29" t="s">
        <v>53</v>
      </c>
      <c r="S171" s="30">
        <v>1</v>
      </c>
      <c r="T171" s="32">
        <v>2</v>
      </c>
      <c r="U171" s="29"/>
      <c r="V171" s="29" t="s">
        <v>53</v>
      </c>
      <c r="W171" s="30">
        <v>1</v>
      </c>
      <c r="X171" s="32">
        <v>1</v>
      </c>
      <c r="Y171" s="29"/>
      <c r="Z171" s="29" t="s">
        <v>53</v>
      </c>
      <c r="AA171" s="30">
        <v>0</v>
      </c>
      <c r="AB171" s="32">
        <v>2</v>
      </c>
      <c r="AC171" s="29"/>
      <c r="AD171" s="29" t="s">
        <v>53</v>
      </c>
      <c r="AE171" s="30">
        <v>0</v>
      </c>
      <c r="AF171" s="32">
        <v>0</v>
      </c>
      <c r="AG171" s="29"/>
      <c r="AH171" s="29" t="s">
        <v>53</v>
      </c>
      <c r="AI171" s="30">
        <v>2</v>
      </c>
      <c r="AJ171" s="32">
        <v>1</v>
      </c>
      <c r="AK171" s="29"/>
      <c r="AL171" s="29" t="s">
        <v>53</v>
      </c>
      <c r="AM171" s="30">
        <v>0</v>
      </c>
      <c r="AN171" s="33">
        <v>2</v>
      </c>
    </row>
    <row r="172" spans="1:40" outlineLevel="1" x14ac:dyDescent="0.25">
      <c r="A172" s="28"/>
      <c r="B172" s="30"/>
      <c r="C172" s="30" t="s">
        <v>55</v>
      </c>
      <c r="D172" s="30"/>
      <c r="E172" s="30"/>
      <c r="F172" s="30"/>
      <c r="G172" s="30" t="s">
        <v>55</v>
      </c>
      <c r="H172" s="30"/>
      <c r="I172" s="30"/>
      <c r="J172" s="30"/>
      <c r="K172" s="30" t="s">
        <v>55</v>
      </c>
      <c r="L172" s="30"/>
      <c r="M172" s="30"/>
      <c r="N172" s="30"/>
      <c r="O172" s="30" t="s">
        <v>55</v>
      </c>
      <c r="P172" s="30"/>
      <c r="Q172" s="30"/>
      <c r="R172" s="30"/>
      <c r="S172" s="30" t="s">
        <v>55</v>
      </c>
      <c r="T172" s="30"/>
      <c r="U172" s="30"/>
      <c r="V172" s="30"/>
      <c r="W172" s="30" t="s">
        <v>55</v>
      </c>
      <c r="X172" s="30"/>
      <c r="Y172" s="30"/>
      <c r="Z172" s="30"/>
      <c r="AA172" s="30" t="s">
        <v>55</v>
      </c>
      <c r="AB172" s="30"/>
      <c r="AC172" s="30"/>
      <c r="AD172" s="30"/>
      <c r="AE172" s="30" t="s">
        <v>55</v>
      </c>
      <c r="AF172" s="30"/>
      <c r="AG172" s="30"/>
      <c r="AH172" s="30"/>
      <c r="AI172" s="30" t="s">
        <v>55</v>
      </c>
      <c r="AJ172" s="30"/>
      <c r="AK172" s="30"/>
      <c r="AL172" s="30"/>
      <c r="AM172" s="30" t="s">
        <v>55</v>
      </c>
      <c r="AN172" s="31"/>
    </row>
    <row r="173" spans="1:40" outlineLevel="1" x14ac:dyDescent="0.25">
      <c r="A173" s="28"/>
      <c r="B173" s="29" t="s">
        <v>18</v>
      </c>
      <c r="C173" s="30">
        <v>1913</v>
      </c>
      <c r="D173" s="32">
        <v>1669</v>
      </c>
      <c r="E173" s="30"/>
      <c r="F173" s="29" t="s">
        <v>18</v>
      </c>
      <c r="G173" s="30">
        <v>940</v>
      </c>
      <c r="H173" s="32">
        <v>809</v>
      </c>
      <c r="I173" s="30"/>
      <c r="J173" s="29" t="s">
        <v>18</v>
      </c>
      <c r="K173" s="30">
        <v>1206</v>
      </c>
      <c r="L173" s="32">
        <v>1028</v>
      </c>
      <c r="M173" s="30"/>
      <c r="N173" s="29" t="s">
        <v>18</v>
      </c>
      <c r="O173" s="30">
        <v>716</v>
      </c>
      <c r="P173" s="32">
        <v>636</v>
      </c>
      <c r="Q173" s="30"/>
      <c r="R173" s="29" t="s">
        <v>18</v>
      </c>
      <c r="S173" s="30">
        <v>11395</v>
      </c>
      <c r="T173" s="32">
        <v>10455</v>
      </c>
      <c r="U173" s="30"/>
      <c r="V173" s="29" t="s">
        <v>18</v>
      </c>
      <c r="W173" s="30">
        <v>9941</v>
      </c>
      <c r="X173" s="32">
        <v>10024</v>
      </c>
      <c r="Y173" s="30"/>
      <c r="Z173" s="29" t="s">
        <v>18</v>
      </c>
      <c r="AA173" s="30">
        <v>3421</v>
      </c>
      <c r="AB173" s="32">
        <v>3228</v>
      </c>
      <c r="AC173" s="30"/>
      <c r="AD173" s="29" t="s">
        <v>18</v>
      </c>
      <c r="AE173" s="30">
        <v>2659</v>
      </c>
      <c r="AF173" s="32">
        <v>2581</v>
      </c>
      <c r="AG173" s="30"/>
      <c r="AH173" s="29" t="s">
        <v>18</v>
      </c>
      <c r="AI173" s="30">
        <v>8876</v>
      </c>
      <c r="AJ173" s="32">
        <v>8659</v>
      </c>
      <c r="AK173" s="30"/>
      <c r="AL173" s="29" t="s">
        <v>18</v>
      </c>
      <c r="AM173" s="30">
        <v>7523</v>
      </c>
      <c r="AN173" s="33">
        <v>7046</v>
      </c>
    </row>
    <row r="174" spans="1:40" outlineLevel="1" x14ac:dyDescent="0.25">
      <c r="A174" s="28"/>
      <c r="B174" s="29" t="s">
        <v>20</v>
      </c>
      <c r="C174" s="30">
        <v>51</v>
      </c>
      <c r="D174" s="32">
        <v>34</v>
      </c>
      <c r="E174" s="30"/>
      <c r="F174" s="29" t="s">
        <v>20</v>
      </c>
      <c r="G174" s="30">
        <v>8</v>
      </c>
      <c r="H174" s="32">
        <v>17</v>
      </c>
      <c r="I174" s="30"/>
      <c r="J174" s="29" t="s">
        <v>20</v>
      </c>
      <c r="K174" s="30">
        <v>12</v>
      </c>
      <c r="L174" s="32">
        <v>9</v>
      </c>
      <c r="M174" s="30"/>
      <c r="N174" s="29" t="s">
        <v>20</v>
      </c>
      <c r="O174" s="30">
        <v>11</v>
      </c>
      <c r="P174" s="32">
        <v>12</v>
      </c>
      <c r="Q174" s="30"/>
      <c r="R174" s="29" t="s">
        <v>20</v>
      </c>
      <c r="S174" s="30">
        <v>315</v>
      </c>
      <c r="T174" s="32">
        <v>302</v>
      </c>
      <c r="U174" s="30"/>
      <c r="V174" s="29" t="s">
        <v>20</v>
      </c>
      <c r="W174" s="30">
        <v>462</v>
      </c>
      <c r="X174" s="32">
        <v>417</v>
      </c>
      <c r="Y174" s="30"/>
      <c r="Z174" s="29" t="s">
        <v>20</v>
      </c>
      <c r="AA174" s="30">
        <v>119</v>
      </c>
      <c r="AB174" s="32">
        <v>110</v>
      </c>
      <c r="AC174" s="30"/>
      <c r="AD174" s="29" t="s">
        <v>20</v>
      </c>
      <c r="AE174" s="30">
        <v>107</v>
      </c>
      <c r="AF174" s="32">
        <v>97</v>
      </c>
      <c r="AG174" s="30"/>
      <c r="AH174" s="29" t="s">
        <v>20</v>
      </c>
      <c r="AI174" s="30">
        <v>352</v>
      </c>
      <c r="AJ174" s="32">
        <v>345</v>
      </c>
      <c r="AK174" s="30"/>
      <c r="AL174" s="29" t="s">
        <v>20</v>
      </c>
      <c r="AM174" s="30">
        <v>311</v>
      </c>
      <c r="AN174" s="33">
        <v>226</v>
      </c>
    </row>
    <row r="175" spans="1:40" outlineLevel="1" x14ac:dyDescent="0.25">
      <c r="A175" s="28"/>
      <c r="B175" s="29" t="s">
        <v>22</v>
      </c>
      <c r="C175" s="30">
        <v>60</v>
      </c>
      <c r="D175" s="32">
        <v>51</v>
      </c>
      <c r="E175" s="30"/>
      <c r="F175" s="29" t="s">
        <v>22</v>
      </c>
      <c r="G175" s="30">
        <v>17</v>
      </c>
      <c r="H175" s="32">
        <v>8</v>
      </c>
      <c r="I175" s="30"/>
      <c r="J175" s="29" t="s">
        <v>22</v>
      </c>
      <c r="K175" s="30">
        <v>13</v>
      </c>
      <c r="L175" s="32">
        <v>14</v>
      </c>
      <c r="M175" s="30"/>
      <c r="N175" s="29" t="s">
        <v>22</v>
      </c>
      <c r="O175" s="30">
        <v>13</v>
      </c>
      <c r="P175" s="32">
        <v>11</v>
      </c>
      <c r="Q175" s="30"/>
      <c r="R175" s="29" t="s">
        <v>22</v>
      </c>
      <c r="S175" s="30">
        <v>393</v>
      </c>
      <c r="T175" s="32">
        <v>325</v>
      </c>
      <c r="U175" s="30"/>
      <c r="V175" s="29" t="s">
        <v>22</v>
      </c>
      <c r="W175" s="30">
        <v>462</v>
      </c>
      <c r="X175" s="32">
        <v>488</v>
      </c>
      <c r="Y175" s="30"/>
      <c r="Z175" s="29" t="s">
        <v>22</v>
      </c>
      <c r="AA175" s="30">
        <v>167</v>
      </c>
      <c r="AB175" s="32">
        <v>131</v>
      </c>
      <c r="AC175" s="30"/>
      <c r="AD175" s="29" t="s">
        <v>22</v>
      </c>
      <c r="AE175" s="30">
        <v>120</v>
      </c>
      <c r="AF175" s="32">
        <v>123</v>
      </c>
      <c r="AG175" s="30"/>
      <c r="AH175" s="29" t="s">
        <v>22</v>
      </c>
      <c r="AI175" s="30">
        <v>398</v>
      </c>
      <c r="AJ175" s="32">
        <v>344</v>
      </c>
      <c r="AK175" s="30"/>
      <c r="AL175" s="29" t="s">
        <v>22</v>
      </c>
      <c r="AM175" s="30">
        <v>335</v>
      </c>
      <c r="AN175" s="33">
        <v>301</v>
      </c>
    </row>
    <row r="176" spans="1:40" outlineLevel="1" x14ac:dyDescent="0.25">
      <c r="A176" s="28"/>
      <c r="B176" s="29" t="s">
        <v>23</v>
      </c>
      <c r="C176" s="30">
        <v>65</v>
      </c>
      <c r="D176" s="32">
        <v>58</v>
      </c>
      <c r="E176" s="30"/>
      <c r="F176" s="29" t="s">
        <v>23</v>
      </c>
      <c r="G176" s="30">
        <v>28</v>
      </c>
      <c r="H176" s="32">
        <v>19</v>
      </c>
      <c r="I176" s="30"/>
      <c r="J176" s="29" t="s">
        <v>23</v>
      </c>
      <c r="K176" s="30">
        <v>25</v>
      </c>
      <c r="L176" s="32">
        <v>11</v>
      </c>
      <c r="M176" s="30"/>
      <c r="N176" s="29" t="s">
        <v>23</v>
      </c>
      <c r="O176" s="30">
        <v>15</v>
      </c>
      <c r="P176" s="32">
        <v>10</v>
      </c>
      <c r="Q176" s="30"/>
      <c r="R176" s="29" t="s">
        <v>23</v>
      </c>
      <c r="S176" s="30">
        <v>422</v>
      </c>
      <c r="T176" s="32">
        <v>392</v>
      </c>
      <c r="U176" s="30"/>
      <c r="V176" s="29" t="s">
        <v>23</v>
      </c>
      <c r="W176" s="30">
        <v>504</v>
      </c>
      <c r="X176" s="32">
        <v>455</v>
      </c>
      <c r="Y176" s="30"/>
      <c r="Z176" s="29" t="s">
        <v>23</v>
      </c>
      <c r="AA176" s="30">
        <v>168</v>
      </c>
      <c r="AB176" s="32">
        <v>162</v>
      </c>
      <c r="AC176" s="30"/>
      <c r="AD176" s="29" t="s">
        <v>23</v>
      </c>
      <c r="AE176" s="30">
        <v>124</v>
      </c>
      <c r="AF176" s="32">
        <v>120</v>
      </c>
      <c r="AG176" s="30"/>
      <c r="AH176" s="29" t="s">
        <v>23</v>
      </c>
      <c r="AI176" s="30">
        <v>387</v>
      </c>
      <c r="AJ176" s="32">
        <v>390</v>
      </c>
      <c r="AK176" s="30"/>
      <c r="AL176" s="29" t="s">
        <v>23</v>
      </c>
      <c r="AM176" s="30">
        <v>346</v>
      </c>
      <c r="AN176" s="33">
        <v>334</v>
      </c>
    </row>
    <row r="177" spans="1:40" outlineLevel="1" x14ac:dyDescent="0.25">
      <c r="A177" s="28"/>
      <c r="B177" s="29" t="s">
        <v>24</v>
      </c>
      <c r="C177" s="30">
        <v>72</v>
      </c>
      <c r="D177" s="32">
        <v>59</v>
      </c>
      <c r="E177" s="30"/>
      <c r="F177" s="29" t="s">
        <v>24</v>
      </c>
      <c r="G177" s="30">
        <v>24</v>
      </c>
      <c r="H177" s="32">
        <v>27</v>
      </c>
      <c r="I177" s="30"/>
      <c r="J177" s="29" t="s">
        <v>24</v>
      </c>
      <c r="K177" s="30">
        <v>30</v>
      </c>
      <c r="L177" s="32">
        <v>33</v>
      </c>
      <c r="M177" s="30"/>
      <c r="N177" s="29" t="s">
        <v>24</v>
      </c>
      <c r="O177" s="30">
        <v>11</v>
      </c>
      <c r="P177" s="32">
        <v>14</v>
      </c>
      <c r="Q177" s="30"/>
      <c r="R177" s="29" t="s">
        <v>24</v>
      </c>
      <c r="S177" s="30">
        <v>473</v>
      </c>
      <c r="T177" s="32">
        <v>404</v>
      </c>
      <c r="U177" s="30"/>
      <c r="V177" s="29" t="s">
        <v>24</v>
      </c>
      <c r="W177" s="30">
        <v>535</v>
      </c>
      <c r="X177" s="32">
        <v>504</v>
      </c>
      <c r="Y177" s="30"/>
      <c r="Z177" s="29" t="s">
        <v>24</v>
      </c>
      <c r="AA177" s="30">
        <v>158</v>
      </c>
      <c r="AB177" s="32">
        <v>159</v>
      </c>
      <c r="AC177" s="30"/>
      <c r="AD177" s="29" t="s">
        <v>24</v>
      </c>
      <c r="AE177" s="30">
        <v>141</v>
      </c>
      <c r="AF177" s="32">
        <v>114</v>
      </c>
      <c r="AG177" s="30"/>
      <c r="AH177" s="29" t="s">
        <v>24</v>
      </c>
      <c r="AI177" s="30">
        <v>389</v>
      </c>
      <c r="AJ177" s="32">
        <v>388</v>
      </c>
      <c r="AK177" s="30"/>
      <c r="AL177" s="29" t="s">
        <v>24</v>
      </c>
      <c r="AM177" s="30">
        <v>380</v>
      </c>
      <c r="AN177" s="33">
        <v>332</v>
      </c>
    </row>
    <row r="178" spans="1:40" outlineLevel="1" x14ac:dyDescent="0.25">
      <c r="A178" s="28"/>
      <c r="B178" s="29" t="s">
        <v>25</v>
      </c>
      <c r="C178" s="30">
        <v>64</v>
      </c>
      <c r="D178" s="32">
        <v>40</v>
      </c>
      <c r="E178" s="30"/>
      <c r="F178" s="29" t="s">
        <v>25</v>
      </c>
      <c r="G178" s="30">
        <v>19</v>
      </c>
      <c r="H178" s="32">
        <v>17</v>
      </c>
      <c r="I178" s="30"/>
      <c r="J178" s="29" t="s">
        <v>25</v>
      </c>
      <c r="K178" s="30">
        <v>23</v>
      </c>
      <c r="L178" s="32">
        <v>16</v>
      </c>
      <c r="M178" s="30"/>
      <c r="N178" s="29" t="s">
        <v>25</v>
      </c>
      <c r="O178" s="30">
        <v>9</v>
      </c>
      <c r="P178" s="32">
        <v>9</v>
      </c>
      <c r="Q178" s="30"/>
      <c r="R178" s="29" t="s">
        <v>25</v>
      </c>
      <c r="S178" s="30">
        <v>416</v>
      </c>
      <c r="T178" s="32">
        <v>328</v>
      </c>
      <c r="U178" s="30"/>
      <c r="V178" s="29" t="s">
        <v>25</v>
      </c>
      <c r="W178" s="30">
        <v>442</v>
      </c>
      <c r="X178" s="32">
        <v>498</v>
      </c>
      <c r="Y178" s="30"/>
      <c r="Z178" s="29" t="s">
        <v>25</v>
      </c>
      <c r="AA178" s="30">
        <v>163</v>
      </c>
      <c r="AB178" s="32">
        <v>121</v>
      </c>
      <c r="AC178" s="30"/>
      <c r="AD178" s="29" t="s">
        <v>25</v>
      </c>
      <c r="AE178" s="30">
        <v>121</v>
      </c>
      <c r="AF178" s="32">
        <v>97</v>
      </c>
      <c r="AG178" s="30"/>
      <c r="AH178" s="29" t="s">
        <v>25</v>
      </c>
      <c r="AI178" s="30">
        <v>354</v>
      </c>
      <c r="AJ178" s="32">
        <v>332</v>
      </c>
      <c r="AK178" s="30"/>
      <c r="AL178" s="29" t="s">
        <v>25</v>
      </c>
      <c r="AM178" s="30">
        <v>293</v>
      </c>
      <c r="AN178" s="33">
        <v>294</v>
      </c>
    </row>
    <row r="179" spans="1:40" outlineLevel="1" x14ac:dyDescent="0.25">
      <c r="A179" s="28"/>
      <c r="B179" s="29" t="s">
        <v>26</v>
      </c>
      <c r="C179" s="30">
        <v>62</v>
      </c>
      <c r="D179" s="32">
        <v>40</v>
      </c>
      <c r="E179" s="30"/>
      <c r="F179" s="29" t="s">
        <v>26</v>
      </c>
      <c r="G179" s="30">
        <v>22</v>
      </c>
      <c r="H179" s="32">
        <v>20</v>
      </c>
      <c r="I179" s="30"/>
      <c r="J179" s="29" t="s">
        <v>26</v>
      </c>
      <c r="K179" s="30">
        <v>20</v>
      </c>
      <c r="L179" s="32">
        <v>16</v>
      </c>
      <c r="M179" s="30"/>
      <c r="N179" s="29" t="s">
        <v>26</v>
      </c>
      <c r="O179" s="30">
        <v>14</v>
      </c>
      <c r="P179" s="32">
        <v>15</v>
      </c>
      <c r="Q179" s="30"/>
      <c r="R179" s="29" t="s">
        <v>26</v>
      </c>
      <c r="S179" s="30">
        <v>437</v>
      </c>
      <c r="T179" s="32">
        <v>324</v>
      </c>
      <c r="U179" s="30"/>
      <c r="V179" s="29" t="s">
        <v>26</v>
      </c>
      <c r="W179" s="30">
        <v>573</v>
      </c>
      <c r="X179" s="32">
        <v>470</v>
      </c>
      <c r="Y179" s="30"/>
      <c r="Z179" s="29" t="s">
        <v>26</v>
      </c>
      <c r="AA179" s="30">
        <v>172</v>
      </c>
      <c r="AB179" s="32">
        <v>115</v>
      </c>
      <c r="AC179" s="30"/>
      <c r="AD179" s="29" t="s">
        <v>26</v>
      </c>
      <c r="AE179" s="30">
        <v>119</v>
      </c>
      <c r="AF179" s="32">
        <v>95</v>
      </c>
      <c r="AG179" s="30"/>
      <c r="AH179" s="29" t="s">
        <v>26</v>
      </c>
      <c r="AI179" s="30">
        <v>455</v>
      </c>
      <c r="AJ179" s="32">
        <v>342</v>
      </c>
      <c r="AK179" s="30"/>
      <c r="AL179" s="29" t="s">
        <v>26</v>
      </c>
      <c r="AM179" s="30">
        <v>348</v>
      </c>
      <c r="AN179" s="33">
        <v>245</v>
      </c>
    </row>
    <row r="180" spans="1:40" outlineLevel="1" x14ac:dyDescent="0.25">
      <c r="A180" s="28"/>
      <c r="B180" s="29" t="s">
        <v>27</v>
      </c>
      <c r="C180" s="30">
        <v>74</v>
      </c>
      <c r="D180" s="32">
        <v>51</v>
      </c>
      <c r="E180" s="30"/>
      <c r="F180" s="29" t="s">
        <v>27</v>
      </c>
      <c r="G180" s="30">
        <v>28</v>
      </c>
      <c r="H180" s="32">
        <v>17</v>
      </c>
      <c r="I180" s="30"/>
      <c r="J180" s="29" t="s">
        <v>27</v>
      </c>
      <c r="K180" s="30">
        <v>18</v>
      </c>
      <c r="L180" s="32">
        <v>22</v>
      </c>
      <c r="M180" s="30"/>
      <c r="N180" s="29" t="s">
        <v>27</v>
      </c>
      <c r="O180" s="30">
        <v>21</v>
      </c>
      <c r="P180" s="32">
        <v>23</v>
      </c>
      <c r="Q180" s="30"/>
      <c r="R180" s="29" t="s">
        <v>27</v>
      </c>
      <c r="S180" s="30">
        <v>495</v>
      </c>
      <c r="T180" s="32">
        <v>396</v>
      </c>
      <c r="U180" s="30"/>
      <c r="V180" s="29" t="s">
        <v>27</v>
      </c>
      <c r="W180" s="30">
        <v>616</v>
      </c>
      <c r="X180" s="32">
        <v>660</v>
      </c>
      <c r="Y180" s="30"/>
      <c r="Z180" s="29" t="s">
        <v>27</v>
      </c>
      <c r="AA180" s="30">
        <v>199</v>
      </c>
      <c r="AB180" s="32">
        <v>161</v>
      </c>
      <c r="AC180" s="30"/>
      <c r="AD180" s="29" t="s">
        <v>27</v>
      </c>
      <c r="AE180" s="30">
        <v>135</v>
      </c>
      <c r="AF180" s="32">
        <v>123</v>
      </c>
      <c r="AG180" s="30"/>
      <c r="AH180" s="29" t="s">
        <v>27</v>
      </c>
      <c r="AI180" s="30">
        <v>454</v>
      </c>
      <c r="AJ180" s="32">
        <v>460</v>
      </c>
      <c r="AK180" s="30"/>
      <c r="AL180" s="29" t="s">
        <v>27</v>
      </c>
      <c r="AM180" s="30">
        <v>392</v>
      </c>
      <c r="AN180" s="33">
        <v>335</v>
      </c>
    </row>
    <row r="181" spans="1:40" outlineLevel="1" x14ac:dyDescent="0.25">
      <c r="A181" s="28"/>
      <c r="B181" s="29" t="s">
        <v>28</v>
      </c>
      <c r="C181" s="30">
        <v>78</v>
      </c>
      <c r="D181" s="32">
        <v>71</v>
      </c>
      <c r="E181" s="30"/>
      <c r="F181" s="29" t="s">
        <v>28</v>
      </c>
      <c r="G181" s="30">
        <v>24</v>
      </c>
      <c r="H181" s="32">
        <v>36</v>
      </c>
      <c r="I181" s="30"/>
      <c r="J181" s="29" t="s">
        <v>28</v>
      </c>
      <c r="K181" s="30">
        <v>21</v>
      </c>
      <c r="L181" s="32">
        <v>21</v>
      </c>
      <c r="M181" s="30"/>
      <c r="N181" s="29" t="s">
        <v>28</v>
      </c>
      <c r="O181" s="30">
        <v>17</v>
      </c>
      <c r="P181" s="32">
        <v>18</v>
      </c>
      <c r="Q181" s="30"/>
      <c r="R181" s="29" t="s">
        <v>28</v>
      </c>
      <c r="S181" s="30">
        <v>523</v>
      </c>
      <c r="T181" s="32">
        <v>491</v>
      </c>
      <c r="U181" s="30"/>
      <c r="V181" s="29" t="s">
        <v>28</v>
      </c>
      <c r="W181" s="30">
        <v>673</v>
      </c>
      <c r="X181" s="32">
        <v>630</v>
      </c>
      <c r="Y181" s="30"/>
      <c r="Z181" s="29" t="s">
        <v>28</v>
      </c>
      <c r="AA181" s="30">
        <v>198</v>
      </c>
      <c r="AB181" s="32">
        <v>189</v>
      </c>
      <c r="AC181" s="30"/>
      <c r="AD181" s="29" t="s">
        <v>28</v>
      </c>
      <c r="AE181" s="30">
        <v>163</v>
      </c>
      <c r="AF181" s="32">
        <v>156</v>
      </c>
      <c r="AG181" s="30"/>
      <c r="AH181" s="29" t="s">
        <v>28</v>
      </c>
      <c r="AI181" s="30">
        <v>536</v>
      </c>
      <c r="AJ181" s="32">
        <v>458</v>
      </c>
      <c r="AK181" s="30"/>
      <c r="AL181" s="29" t="s">
        <v>28</v>
      </c>
      <c r="AM181" s="30">
        <v>388</v>
      </c>
      <c r="AN181" s="33">
        <v>362</v>
      </c>
    </row>
    <row r="182" spans="1:40" outlineLevel="1" x14ac:dyDescent="0.25">
      <c r="A182" s="28"/>
      <c r="B182" s="29" t="s">
        <v>29</v>
      </c>
      <c r="C182" s="30">
        <v>77</v>
      </c>
      <c r="D182" s="32">
        <v>72</v>
      </c>
      <c r="E182" s="30"/>
      <c r="F182" s="29" t="s">
        <v>29</v>
      </c>
      <c r="G182" s="30">
        <v>26</v>
      </c>
      <c r="H182" s="32">
        <v>23</v>
      </c>
      <c r="I182" s="30"/>
      <c r="J182" s="29" t="s">
        <v>29</v>
      </c>
      <c r="K182" s="30">
        <v>32</v>
      </c>
      <c r="L182" s="32">
        <v>16</v>
      </c>
      <c r="M182" s="30"/>
      <c r="N182" s="29" t="s">
        <v>29</v>
      </c>
      <c r="O182" s="30">
        <v>23</v>
      </c>
      <c r="P182" s="32">
        <v>16</v>
      </c>
      <c r="Q182" s="30"/>
      <c r="R182" s="29" t="s">
        <v>29</v>
      </c>
      <c r="S182" s="30">
        <v>453</v>
      </c>
      <c r="T182" s="32">
        <v>505</v>
      </c>
      <c r="U182" s="30"/>
      <c r="V182" s="29" t="s">
        <v>29</v>
      </c>
      <c r="W182" s="30">
        <v>640</v>
      </c>
      <c r="X182" s="32">
        <v>669</v>
      </c>
      <c r="Y182" s="30"/>
      <c r="Z182" s="29" t="s">
        <v>29</v>
      </c>
      <c r="AA182" s="30">
        <v>165</v>
      </c>
      <c r="AB182" s="32">
        <v>198</v>
      </c>
      <c r="AC182" s="30"/>
      <c r="AD182" s="29" t="s">
        <v>29</v>
      </c>
      <c r="AE182" s="30">
        <v>151</v>
      </c>
      <c r="AF182" s="32">
        <v>161</v>
      </c>
      <c r="AG182" s="30"/>
      <c r="AH182" s="29" t="s">
        <v>29</v>
      </c>
      <c r="AI182" s="30">
        <v>576</v>
      </c>
      <c r="AJ182" s="32">
        <v>544</v>
      </c>
      <c r="AK182" s="30"/>
      <c r="AL182" s="29" t="s">
        <v>29</v>
      </c>
      <c r="AM182" s="30">
        <v>437</v>
      </c>
      <c r="AN182" s="33">
        <v>380</v>
      </c>
    </row>
    <row r="183" spans="1:40" outlineLevel="1" x14ac:dyDescent="0.25">
      <c r="A183" s="28"/>
      <c r="B183" s="29" t="s">
        <v>31</v>
      </c>
      <c r="C183" s="30">
        <v>70</v>
      </c>
      <c r="D183" s="32">
        <v>74</v>
      </c>
      <c r="E183" s="30"/>
      <c r="F183" s="29" t="s">
        <v>31</v>
      </c>
      <c r="G183" s="30">
        <v>30</v>
      </c>
      <c r="H183" s="32">
        <v>27</v>
      </c>
      <c r="I183" s="30"/>
      <c r="J183" s="29" t="s">
        <v>31</v>
      </c>
      <c r="K183" s="30">
        <v>40</v>
      </c>
      <c r="L183" s="32">
        <v>26</v>
      </c>
      <c r="M183" s="30"/>
      <c r="N183" s="29" t="s">
        <v>31</v>
      </c>
      <c r="O183" s="30">
        <v>15</v>
      </c>
      <c r="P183" s="32">
        <v>23</v>
      </c>
      <c r="Q183" s="30"/>
      <c r="R183" s="29" t="s">
        <v>31</v>
      </c>
      <c r="S183" s="30">
        <v>567</v>
      </c>
      <c r="T183" s="32">
        <v>446</v>
      </c>
      <c r="U183" s="30"/>
      <c r="V183" s="29" t="s">
        <v>31</v>
      </c>
      <c r="W183" s="30">
        <v>574</v>
      </c>
      <c r="X183" s="32">
        <v>636</v>
      </c>
      <c r="Y183" s="30"/>
      <c r="Z183" s="29" t="s">
        <v>31</v>
      </c>
      <c r="AA183" s="30">
        <v>160</v>
      </c>
      <c r="AB183" s="32">
        <v>160</v>
      </c>
      <c r="AC183" s="30"/>
      <c r="AD183" s="29" t="s">
        <v>31</v>
      </c>
      <c r="AE183" s="30">
        <v>154</v>
      </c>
      <c r="AF183" s="32">
        <v>147</v>
      </c>
      <c r="AG183" s="30"/>
      <c r="AH183" s="29" t="s">
        <v>31</v>
      </c>
      <c r="AI183" s="30">
        <v>475</v>
      </c>
      <c r="AJ183" s="32">
        <v>573</v>
      </c>
      <c r="AK183" s="30"/>
      <c r="AL183" s="29" t="s">
        <v>31</v>
      </c>
      <c r="AM183" s="30">
        <v>371</v>
      </c>
      <c r="AN183" s="33">
        <v>427</v>
      </c>
    </row>
    <row r="184" spans="1:40" outlineLevel="1" x14ac:dyDescent="0.25">
      <c r="A184" s="28"/>
      <c r="B184" s="29" t="s">
        <v>33</v>
      </c>
      <c r="C184" s="30">
        <v>102</v>
      </c>
      <c r="D184" s="32">
        <v>68</v>
      </c>
      <c r="E184" s="30"/>
      <c r="F184" s="29" t="s">
        <v>33</v>
      </c>
      <c r="G184" s="30">
        <v>40</v>
      </c>
      <c r="H184" s="32">
        <v>28</v>
      </c>
      <c r="I184" s="30"/>
      <c r="J184" s="29" t="s">
        <v>33</v>
      </c>
      <c r="K184" s="30">
        <v>51</v>
      </c>
      <c r="L184" s="32">
        <v>40</v>
      </c>
      <c r="M184" s="30"/>
      <c r="N184" s="29" t="s">
        <v>33</v>
      </c>
      <c r="O184" s="30">
        <v>27</v>
      </c>
      <c r="P184" s="32">
        <v>17</v>
      </c>
      <c r="Q184" s="30"/>
      <c r="R184" s="29" t="s">
        <v>33</v>
      </c>
      <c r="S184" s="30">
        <v>694</v>
      </c>
      <c r="T184" s="32">
        <v>555</v>
      </c>
      <c r="U184" s="30"/>
      <c r="V184" s="29" t="s">
        <v>33</v>
      </c>
      <c r="W184" s="30">
        <v>599</v>
      </c>
      <c r="X184" s="32">
        <v>564</v>
      </c>
      <c r="Y184" s="30"/>
      <c r="Z184" s="29" t="s">
        <v>33</v>
      </c>
      <c r="AA184" s="30">
        <v>248</v>
      </c>
      <c r="AB184" s="32">
        <v>157</v>
      </c>
      <c r="AC184" s="30"/>
      <c r="AD184" s="29" t="s">
        <v>33</v>
      </c>
      <c r="AE184" s="30">
        <v>168</v>
      </c>
      <c r="AF184" s="32">
        <v>149</v>
      </c>
      <c r="AG184" s="30"/>
      <c r="AH184" s="29" t="s">
        <v>33</v>
      </c>
      <c r="AI184" s="30">
        <v>513</v>
      </c>
      <c r="AJ184" s="32">
        <v>468</v>
      </c>
      <c r="AK184" s="30"/>
      <c r="AL184" s="29" t="s">
        <v>33</v>
      </c>
      <c r="AM184" s="30">
        <v>479</v>
      </c>
      <c r="AN184" s="33">
        <v>372</v>
      </c>
    </row>
    <row r="185" spans="1:40" outlineLevel="1" x14ac:dyDescent="0.25">
      <c r="A185" s="28"/>
      <c r="B185" s="29" t="s">
        <v>35</v>
      </c>
      <c r="C185" s="30">
        <v>116</v>
      </c>
      <c r="D185" s="32">
        <v>101</v>
      </c>
      <c r="E185" s="30"/>
      <c r="F185" s="29" t="s">
        <v>35</v>
      </c>
      <c r="G185" s="30">
        <v>54</v>
      </c>
      <c r="H185" s="32">
        <v>39</v>
      </c>
      <c r="I185" s="30"/>
      <c r="J185" s="29" t="s">
        <v>35</v>
      </c>
      <c r="K185" s="30">
        <v>63</v>
      </c>
      <c r="L185" s="32">
        <v>51</v>
      </c>
      <c r="M185" s="30"/>
      <c r="N185" s="29" t="s">
        <v>35</v>
      </c>
      <c r="O185" s="30">
        <v>46</v>
      </c>
      <c r="P185" s="32">
        <v>27</v>
      </c>
      <c r="Q185" s="30"/>
      <c r="R185" s="29" t="s">
        <v>35</v>
      </c>
      <c r="S185" s="30">
        <v>889</v>
      </c>
      <c r="T185" s="32">
        <v>687</v>
      </c>
      <c r="U185" s="30"/>
      <c r="V185" s="29" t="s">
        <v>35</v>
      </c>
      <c r="W185" s="30">
        <v>754</v>
      </c>
      <c r="X185" s="32">
        <v>599</v>
      </c>
      <c r="Y185" s="30"/>
      <c r="Z185" s="29" t="s">
        <v>35</v>
      </c>
      <c r="AA185" s="30">
        <v>256</v>
      </c>
      <c r="AB185" s="32">
        <v>248</v>
      </c>
      <c r="AC185" s="30"/>
      <c r="AD185" s="29" t="s">
        <v>35</v>
      </c>
      <c r="AE185" s="30">
        <v>196</v>
      </c>
      <c r="AF185" s="32">
        <v>171</v>
      </c>
      <c r="AG185" s="30"/>
      <c r="AH185" s="29" t="s">
        <v>35</v>
      </c>
      <c r="AI185" s="30">
        <v>634</v>
      </c>
      <c r="AJ185" s="32">
        <v>502</v>
      </c>
      <c r="AK185" s="30"/>
      <c r="AL185" s="29" t="s">
        <v>35</v>
      </c>
      <c r="AM185" s="30">
        <v>560</v>
      </c>
      <c r="AN185" s="33">
        <v>473</v>
      </c>
    </row>
    <row r="186" spans="1:40" outlineLevel="1" x14ac:dyDescent="0.25">
      <c r="A186" s="28"/>
      <c r="B186" s="29" t="s">
        <v>37</v>
      </c>
      <c r="C186" s="30">
        <v>152</v>
      </c>
      <c r="D186" s="32">
        <v>116</v>
      </c>
      <c r="E186" s="30"/>
      <c r="F186" s="29" t="s">
        <v>37</v>
      </c>
      <c r="G186" s="30">
        <v>72</v>
      </c>
      <c r="H186" s="32">
        <v>53</v>
      </c>
      <c r="I186" s="30"/>
      <c r="J186" s="29" t="s">
        <v>37</v>
      </c>
      <c r="K186" s="30">
        <v>95</v>
      </c>
      <c r="L186" s="32">
        <v>64</v>
      </c>
      <c r="M186" s="30"/>
      <c r="N186" s="29" t="s">
        <v>37</v>
      </c>
      <c r="O186" s="30">
        <v>55</v>
      </c>
      <c r="P186" s="32">
        <v>46</v>
      </c>
      <c r="Q186" s="30"/>
      <c r="R186" s="29" t="s">
        <v>37</v>
      </c>
      <c r="S186" s="30">
        <v>970</v>
      </c>
      <c r="T186" s="32">
        <v>890</v>
      </c>
      <c r="U186" s="30"/>
      <c r="V186" s="29" t="s">
        <v>37</v>
      </c>
      <c r="W186" s="30">
        <v>759</v>
      </c>
      <c r="X186" s="32">
        <v>759</v>
      </c>
      <c r="Y186" s="30"/>
      <c r="Z186" s="29" t="s">
        <v>37</v>
      </c>
      <c r="AA186" s="30">
        <v>276</v>
      </c>
      <c r="AB186" s="32">
        <v>249</v>
      </c>
      <c r="AC186" s="30"/>
      <c r="AD186" s="29" t="s">
        <v>37</v>
      </c>
      <c r="AE186" s="30">
        <v>198</v>
      </c>
      <c r="AF186" s="32">
        <v>191</v>
      </c>
      <c r="AG186" s="30"/>
      <c r="AH186" s="29" t="s">
        <v>37</v>
      </c>
      <c r="AI186" s="30">
        <v>721</v>
      </c>
      <c r="AJ186" s="32">
        <v>630</v>
      </c>
      <c r="AK186" s="30"/>
      <c r="AL186" s="29" t="s">
        <v>37</v>
      </c>
      <c r="AM186" s="30">
        <v>561</v>
      </c>
      <c r="AN186" s="33">
        <v>539</v>
      </c>
    </row>
    <row r="187" spans="1:40" outlineLevel="1" x14ac:dyDescent="0.25">
      <c r="A187" s="28"/>
      <c r="B187" s="29" t="s">
        <v>39</v>
      </c>
      <c r="C187" s="30">
        <v>135</v>
      </c>
      <c r="D187" s="32">
        <v>151</v>
      </c>
      <c r="E187" s="30"/>
      <c r="F187" s="29" t="s">
        <v>39</v>
      </c>
      <c r="G187" s="30">
        <v>86</v>
      </c>
      <c r="H187" s="32">
        <v>73</v>
      </c>
      <c r="I187" s="30"/>
      <c r="J187" s="29" t="s">
        <v>39</v>
      </c>
      <c r="K187" s="30">
        <v>84</v>
      </c>
      <c r="L187" s="32">
        <v>97</v>
      </c>
      <c r="M187" s="30"/>
      <c r="N187" s="29" t="s">
        <v>39</v>
      </c>
      <c r="O187" s="30">
        <v>55</v>
      </c>
      <c r="P187" s="32">
        <v>53</v>
      </c>
      <c r="Q187" s="30"/>
      <c r="R187" s="29" t="s">
        <v>39</v>
      </c>
      <c r="S187" s="30">
        <v>768</v>
      </c>
      <c r="T187" s="32">
        <v>958</v>
      </c>
      <c r="U187" s="30"/>
      <c r="V187" s="29" t="s">
        <v>39</v>
      </c>
      <c r="W187" s="30">
        <v>613</v>
      </c>
      <c r="X187" s="32">
        <v>746</v>
      </c>
      <c r="Y187" s="30"/>
      <c r="Z187" s="29" t="s">
        <v>39</v>
      </c>
      <c r="AA187" s="30">
        <v>217</v>
      </c>
      <c r="AB187" s="32">
        <v>269</v>
      </c>
      <c r="AC187" s="30"/>
      <c r="AD187" s="29" t="s">
        <v>39</v>
      </c>
      <c r="AE187" s="30">
        <v>151</v>
      </c>
      <c r="AF187" s="32">
        <v>199</v>
      </c>
      <c r="AG187" s="30"/>
      <c r="AH187" s="29" t="s">
        <v>39</v>
      </c>
      <c r="AI187" s="30">
        <v>639</v>
      </c>
      <c r="AJ187" s="32">
        <v>711</v>
      </c>
      <c r="AK187" s="30"/>
      <c r="AL187" s="29" t="s">
        <v>39</v>
      </c>
      <c r="AM187" s="30">
        <v>460</v>
      </c>
      <c r="AN187" s="33">
        <v>547</v>
      </c>
    </row>
    <row r="188" spans="1:40" outlineLevel="1" x14ac:dyDescent="0.25">
      <c r="A188" s="28"/>
      <c r="B188" s="29" t="s">
        <v>41</v>
      </c>
      <c r="C188" s="30">
        <v>136</v>
      </c>
      <c r="D188" s="32">
        <v>125</v>
      </c>
      <c r="E188" s="30"/>
      <c r="F188" s="29" t="s">
        <v>41</v>
      </c>
      <c r="G188" s="30">
        <v>73</v>
      </c>
      <c r="H188" s="32">
        <v>85</v>
      </c>
      <c r="I188" s="30"/>
      <c r="J188" s="29" t="s">
        <v>41</v>
      </c>
      <c r="K188" s="30">
        <v>135</v>
      </c>
      <c r="L188" s="32">
        <v>84</v>
      </c>
      <c r="M188" s="30"/>
      <c r="N188" s="29" t="s">
        <v>41</v>
      </c>
      <c r="O188" s="30">
        <v>60</v>
      </c>
      <c r="P188" s="32">
        <v>54</v>
      </c>
      <c r="Q188" s="30"/>
      <c r="R188" s="29" t="s">
        <v>41</v>
      </c>
      <c r="S188" s="30">
        <v>696</v>
      </c>
      <c r="T188" s="32">
        <v>740</v>
      </c>
      <c r="U188" s="30"/>
      <c r="V188" s="29" t="s">
        <v>41</v>
      </c>
      <c r="W188" s="30">
        <v>442</v>
      </c>
      <c r="X188" s="32">
        <v>583</v>
      </c>
      <c r="Y188" s="30"/>
      <c r="Z188" s="29" t="s">
        <v>41</v>
      </c>
      <c r="AA188" s="30">
        <v>169</v>
      </c>
      <c r="AB188" s="32">
        <v>209</v>
      </c>
      <c r="AC188" s="30"/>
      <c r="AD188" s="29" t="s">
        <v>41</v>
      </c>
      <c r="AE188" s="30">
        <v>120</v>
      </c>
      <c r="AF188" s="32">
        <v>150</v>
      </c>
      <c r="AG188" s="30"/>
      <c r="AH188" s="29" t="s">
        <v>41</v>
      </c>
      <c r="AI188" s="30">
        <v>537</v>
      </c>
      <c r="AJ188" s="32">
        <v>621</v>
      </c>
      <c r="AK188" s="30"/>
      <c r="AL188" s="29" t="s">
        <v>41</v>
      </c>
      <c r="AM188" s="30">
        <v>427</v>
      </c>
      <c r="AN188" s="33">
        <v>438</v>
      </c>
    </row>
    <row r="189" spans="1:40" outlineLevel="1" x14ac:dyDescent="0.25">
      <c r="A189" s="28"/>
      <c r="B189" s="29" t="s">
        <v>43</v>
      </c>
      <c r="C189" s="30">
        <v>172</v>
      </c>
      <c r="D189" s="32">
        <v>129</v>
      </c>
      <c r="E189" s="30"/>
      <c r="F189" s="29" t="s">
        <v>43</v>
      </c>
      <c r="G189" s="30">
        <v>97</v>
      </c>
      <c r="H189" s="32">
        <v>65</v>
      </c>
      <c r="I189" s="30"/>
      <c r="J189" s="29" t="s">
        <v>43</v>
      </c>
      <c r="K189" s="30">
        <v>130</v>
      </c>
      <c r="L189" s="32">
        <v>122</v>
      </c>
      <c r="M189" s="30"/>
      <c r="N189" s="29" t="s">
        <v>43</v>
      </c>
      <c r="O189" s="30">
        <v>82</v>
      </c>
      <c r="P189" s="32">
        <v>53</v>
      </c>
      <c r="Q189" s="30"/>
      <c r="R189" s="29" t="s">
        <v>43</v>
      </c>
      <c r="S189" s="30">
        <v>819</v>
      </c>
      <c r="T189" s="32">
        <v>650</v>
      </c>
      <c r="U189" s="30"/>
      <c r="V189" s="29" t="s">
        <v>43</v>
      </c>
      <c r="W189" s="30">
        <v>411</v>
      </c>
      <c r="X189" s="32">
        <v>404</v>
      </c>
      <c r="Y189" s="30"/>
      <c r="Z189" s="29" t="s">
        <v>43</v>
      </c>
      <c r="AA189" s="30">
        <v>171</v>
      </c>
      <c r="AB189" s="32">
        <v>165</v>
      </c>
      <c r="AC189" s="30"/>
      <c r="AD189" s="29" t="s">
        <v>43</v>
      </c>
      <c r="AE189" s="30">
        <v>129</v>
      </c>
      <c r="AF189" s="32">
        <v>115</v>
      </c>
      <c r="AG189" s="30"/>
      <c r="AH189" s="29" t="s">
        <v>43</v>
      </c>
      <c r="AI189" s="30">
        <v>479</v>
      </c>
      <c r="AJ189" s="32">
        <v>499</v>
      </c>
      <c r="AK189" s="30"/>
      <c r="AL189" s="29" t="s">
        <v>43</v>
      </c>
      <c r="AM189" s="30">
        <v>439</v>
      </c>
      <c r="AN189" s="33">
        <v>396</v>
      </c>
    </row>
    <row r="190" spans="1:40" outlineLevel="1" x14ac:dyDescent="0.25">
      <c r="A190" s="28"/>
      <c r="B190" s="29" t="s">
        <v>45</v>
      </c>
      <c r="C190" s="30">
        <v>170</v>
      </c>
      <c r="D190" s="32">
        <v>147</v>
      </c>
      <c r="E190" s="30"/>
      <c r="F190" s="29" t="s">
        <v>45</v>
      </c>
      <c r="G190" s="30">
        <v>108</v>
      </c>
      <c r="H190" s="32">
        <v>89</v>
      </c>
      <c r="I190" s="30"/>
      <c r="J190" s="29" t="s">
        <v>45</v>
      </c>
      <c r="K190" s="30">
        <v>146</v>
      </c>
      <c r="L190" s="32">
        <v>114</v>
      </c>
      <c r="M190" s="30"/>
      <c r="N190" s="29" t="s">
        <v>45</v>
      </c>
      <c r="O190" s="30">
        <v>91</v>
      </c>
      <c r="P190" s="32">
        <v>78</v>
      </c>
      <c r="Q190" s="30"/>
      <c r="R190" s="29" t="s">
        <v>45</v>
      </c>
      <c r="S190" s="30">
        <v>899</v>
      </c>
      <c r="T190" s="32">
        <v>728</v>
      </c>
      <c r="U190" s="30"/>
      <c r="V190" s="29" t="s">
        <v>45</v>
      </c>
      <c r="W190" s="30">
        <v>421</v>
      </c>
      <c r="X190" s="32">
        <v>373</v>
      </c>
      <c r="Y190" s="30"/>
      <c r="Z190" s="29" t="s">
        <v>45</v>
      </c>
      <c r="AA190" s="30">
        <v>197</v>
      </c>
      <c r="AB190" s="32">
        <v>158</v>
      </c>
      <c r="AC190" s="30"/>
      <c r="AD190" s="29" t="s">
        <v>45</v>
      </c>
      <c r="AE190" s="30">
        <v>157</v>
      </c>
      <c r="AF190" s="32">
        <v>124</v>
      </c>
      <c r="AG190" s="30"/>
      <c r="AH190" s="29" t="s">
        <v>45</v>
      </c>
      <c r="AI190" s="30">
        <v>499</v>
      </c>
      <c r="AJ190" s="32">
        <v>424</v>
      </c>
      <c r="AK190" s="30"/>
      <c r="AL190" s="29" t="s">
        <v>45</v>
      </c>
      <c r="AM190" s="30">
        <v>450</v>
      </c>
      <c r="AN190" s="33">
        <v>396</v>
      </c>
    </row>
    <row r="191" spans="1:40" outlineLevel="1" x14ac:dyDescent="0.25">
      <c r="A191" s="28"/>
      <c r="B191" s="29" t="s">
        <v>47</v>
      </c>
      <c r="C191" s="30">
        <v>139</v>
      </c>
      <c r="D191" s="32">
        <v>143</v>
      </c>
      <c r="E191" s="30"/>
      <c r="F191" s="29" t="s">
        <v>47</v>
      </c>
      <c r="G191" s="30">
        <v>103</v>
      </c>
      <c r="H191" s="32">
        <v>78</v>
      </c>
      <c r="I191" s="30"/>
      <c r="J191" s="29" t="s">
        <v>47</v>
      </c>
      <c r="K191" s="30">
        <v>145</v>
      </c>
      <c r="L191" s="32">
        <v>125</v>
      </c>
      <c r="M191" s="30"/>
      <c r="N191" s="29" t="s">
        <v>47</v>
      </c>
      <c r="O191" s="30">
        <v>95</v>
      </c>
      <c r="P191" s="32">
        <v>70</v>
      </c>
      <c r="Q191" s="30"/>
      <c r="R191" s="29" t="s">
        <v>47</v>
      </c>
      <c r="S191" s="30">
        <v>712</v>
      </c>
      <c r="T191" s="32">
        <v>712</v>
      </c>
      <c r="U191" s="30"/>
      <c r="V191" s="29" t="s">
        <v>47</v>
      </c>
      <c r="W191" s="30">
        <v>275</v>
      </c>
      <c r="X191" s="32">
        <v>353</v>
      </c>
      <c r="Y191" s="30"/>
      <c r="Z191" s="29" t="s">
        <v>47</v>
      </c>
      <c r="AA191" s="30">
        <v>139</v>
      </c>
      <c r="AB191" s="32">
        <v>156</v>
      </c>
      <c r="AC191" s="30"/>
      <c r="AD191" s="29" t="s">
        <v>47</v>
      </c>
      <c r="AE191" s="30">
        <v>125</v>
      </c>
      <c r="AF191" s="32">
        <v>132</v>
      </c>
      <c r="AG191" s="30"/>
      <c r="AH191" s="29" t="s">
        <v>47</v>
      </c>
      <c r="AI191" s="30">
        <v>307</v>
      </c>
      <c r="AJ191" s="32">
        <v>385</v>
      </c>
      <c r="AK191" s="30"/>
      <c r="AL191" s="29" t="s">
        <v>47</v>
      </c>
      <c r="AM191" s="30">
        <v>355</v>
      </c>
      <c r="AN191" s="33">
        <v>359</v>
      </c>
    </row>
    <row r="192" spans="1:40" outlineLevel="1" x14ac:dyDescent="0.25">
      <c r="A192" s="28"/>
      <c r="B192" s="29" t="s">
        <v>49</v>
      </c>
      <c r="C192" s="30">
        <v>84</v>
      </c>
      <c r="D192" s="32">
        <v>85</v>
      </c>
      <c r="E192" s="30"/>
      <c r="F192" s="29" t="s">
        <v>49</v>
      </c>
      <c r="G192" s="30">
        <v>49</v>
      </c>
      <c r="H192" s="32">
        <v>67</v>
      </c>
      <c r="I192" s="30"/>
      <c r="J192" s="29" t="s">
        <v>49</v>
      </c>
      <c r="K192" s="30">
        <v>87</v>
      </c>
      <c r="L192" s="32">
        <v>94</v>
      </c>
      <c r="M192" s="30"/>
      <c r="N192" s="29" t="s">
        <v>49</v>
      </c>
      <c r="O192" s="30">
        <v>42</v>
      </c>
      <c r="P192" s="32">
        <v>63</v>
      </c>
      <c r="Q192" s="30"/>
      <c r="R192" s="29" t="s">
        <v>49</v>
      </c>
      <c r="S192" s="30">
        <v>316</v>
      </c>
      <c r="T192" s="32">
        <v>441</v>
      </c>
      <c r="U192" s="30"/>
      <c r="V192" s="29" t="s">
        <v>49</v>
      </c>
      <c r="W192" s="30">
        <v>128</v>
      </c>
      <c r="X192" s="32">
        <v>164</v>
      </c>
      <c r="Y192" s="30"/>
      <c r="Z192" s="29" t="s">
        <v>49</v>
      </c>
      <c r="AA192" s="30">
        <v>54</v>
      </c>
      <c r="AB192" s="32">
        <v>89</v>
      </c>
      <c r="AC192" s="30"/>
      <c r="AD192" s="29" t="s">
        <v>49</v>
      </c>
      <c r="AE192" s="30">
        <v>51</v>
      </c>
      <c r="AF192" s="32">
        <v>82</v>
      </c>
      <c r="AG192" s="30"/>
      <c r="AH192" s="29" t="s">
        <v>49</v>
      </c>
      <c r="AI192" s="30">
        <v>141</v>
      </c>
      <c r="AJ192" s="32">
        <v>187</v>
      </c>
      <c r="AK192" s="30"/>
      <c r="AL192" s="29" t="s">
        <v>49</v>
      </c>
      <c r="AM192" s="30">
        <v>149</v>
      </c>
      <c r="AN192" s="33">
        <v>225</v>
      </c>
    </row>
    <row r="193" spans="1:40" outlineLevel="1" x14ac:dyDescent="0.25">
      <c r="A193" s="28"/>
      <c r="B193" s="29" t="s">
        <v>51</v>
      </c>
      <c r="C193" s="30">
        <v>24</v>
      </c>
      <c r="D193" s="32">
        <v>42</v>
      </c>
      <c r="E193" s="30"/>
      <c r="F193" s="29" t="s">
        <v>51</v>
      </c>
      <c r="G193" s="30">
        <v>24</v>
      </c>
      <c r="H193" s="32">
        <v>11</v>
      </c>
      <c r="I193" s="30"/>
      <c r="J193" s="29" t="s">
        <v>51</v>
      </c>
      <c r="K193" s="30">
        <v>24</v>
      </c>
      <c r="L193" s="32">
        <v>41</v>
      </c>
      <c r="M193" s="30"/>
      <c r="N193" s="29" t="s">
        <v>51</v>
      </c>
      <c r="O193" s="30">
        <v>10</v>
      </c>
      <c r="P193" s="32">
        <v>19</v>
      </c>
      <c r="Q193" s="30"/>
      <c r="R193" s="29" t="s">
        <v>51</v>
      </c>
      <c r="S193" s="30">
        <v>101</v>
      </c>
      <c r="T193" s="32">
        <v>131</v>
      </c>
      <c r="U193" s="30"/>
      <c r="V193" s="29" t="s">
        <v>51</v>
      </c>
      <c r="W193" s="30">
        <v>53</v>
      </c>
      <c r="X193" s="32">
        <v>43</v>
      </c>
      <c r="Y193" s="30"/>
      <c r="Z193" s="29" t="s">
        <v>51</v>
      </c>
      <c r="AA193" s="30">
        <v>23</v>
      </c>
      <c r="AB193" s="32">
        <v>19</v>
      </c>
      <c r="AC193" s="30"/>
      <c r="AD193" s="29" t="s">
        <v>51</v>
      </c>
      <c r="AE193" s="30">
        <v>13</v>
      </c>
      <c r="AF193" s="32">
        <v>25</v>
      </c>
      <c r="AG193" s="30"/>
      <c r="AH193" s="29" t="s">
        <v>51</v>
      </c>
      <c r="AI193" s="30">
        <v>24</v>
      </c>
      <c r="AJ193" s="32">
        <v>51</v>
      </c>
      <c r="AK193" s="30"/>
      <c r="AL193" s="29" t="s">
        <v>51</v>
      </c>
      <c r="AM193" s="30">
        <v>35</v>
      </c>
      <c r="AN193" s="33">
        <v>55</v>
      </c>
    </row>
    <row r="194" spans="1:40" ht="19.5" outlineLevel="1" thickBot="1" x14ac:dyDescent="0.3">
      <c r="A194" s="34"/>
      <c r="B194" s="35" t="s">
        <v>53</v>
      </c>
      <c r="C194" s="36">
        <v>2</v>
      </c>
      <c r="D194" s="37">
        <v>5</v>
      </c>
      <c r="E194" s="36"/>
      <c r="F194" s="35" t="s">
        <v>53</v>
      </c>
      <c r="G194" s="36">
        <v>2</v>
      </c>
      <c r="H194" s="37">
        <v>4</v>
      </c>
      <c r="I194" s="36"/>
      <c r="J194" s="35" t="s">
        <v>53</v>
      </c>
      <c r="K194" s="36">
        <v>9</v>
      </c>
      <c r="L194" s="37">
        <v>4</v>
      </c>
      <c r="M194" s="36"/>
      <c r="N194" s="35" t="s">
        <v>53</v>
      </c>
      <c r="O194" s="36">
        <v>1</v>
      </c>
      <c r="P194" s="37">
        <v>0</v>
      </c>
      <c r="Q194" s="36"/>
      <c r="R194" s="35" t="s">
        <v>53</v>
      </c>
      <c r="S194" s="36">
        <v>9</v>
      </c>
      <c r="T194" s="37">
        <v>18</v>
      </c>
      <c r="U194" s="36"/>
      <c r="V194" s="35" t="s">
        <v>53</v>
      </c>
      <c r="W194" s="36">
        <v>5</v>
      </c>
      <c r="X194" s="37">
        <v>9</v>
      </c>
      <c r="Y194" s="36"/>
      <c r="Z194" s="35" t="s">
        <v>53</v>
      </c>
      <c r="AA194" s="36">
        <v>2</v>
      </c>
      <c r="AB194" s="37">
        <v>3</v>
      </c>
      <c r="AC194" s="36"/>
      <c r="AD194" s="35" t="s">
        <v>53</v>
      </c>
      <c r="AE194" s="36">
        <v>7</v>
      </c>
      <c r="AF194" s="37">
        <v>3</v>
      </c>
      <c r="AG194" s="36"/>
      <c r="AH194" s="35" t="s">
        <v>53</v>
      </c>
      <c r="AI194" s="36">
        <v>6</v>
      </c>
      <c r="AJ194" s="37">
        <v>5</v>
      </c>
      <c r="AK194" s="36"/>
      <c r="AL194" s="35" t="s">
        <v>53</v>
      </c>
      <c r="AM194" s="36">
        <v>7</v>
      </c>
      <c r="AN194" s="38">
        <v>10</v>
      </c>
    </row>
    <row r="195" spans="1:40" outlineLevel="1" x14ac:dyDescent="0.25">
      <c r="A195" s="44"/>
      <c r="B195" s="44" t="s">
        <v>79</v>
      </c>
      <c r="C195" s="45">
        <f>SUM(C164:C171,C187:C194)</f>
        <v>1488</v>
      </c>
      <c r="D195" s="45">
        <f>SUM(D164:D171,D187:D194)</f>
        <v>1444</v>
      </c>
      <c r="E195" s="45"/>
      <c r="F195" s="44" t="s">
        <v>79</v>
      </c>
      <c r="G195" s="45">
        <f>SUM(G164:G171,G187:G194)</f>
        <v>896</v>
      </c>
      <c r="H195" s="45">
        <f>SUM(H164:H171,H187:H194)</f>
        <v>840</v>
      </c>
      <c r="I195" s="45"/>
      <c r="J195" s="44" t="s">
        <v>79</v>
      </c>
      <c r="K195" s="45">
        <f>SUM(K164:K171,K187:K194)</f>
        <v>1304</v>
      </c>
      <c r="L195" s="45">
        <f>SUM(L164:L171,L187:L194)</f>
        <v>1201</v>
      </c>
      <c r="M195" s="45"/>
      <c r="N195" s="44" t="s">
        <v>79</v>
      </c>
      <c r="O195" s="45">
        <f>SUM(O164:O171,O187:O194)</f>
        <v>756</v>
      </c>
      <c r="P195" s="45">
        <f>SUM(P164:P171,P187:P194)</f>
        <v>692</v>
      </c>
      <c r="Q195" s="45"/>
      <c r="R195" s="44" t="s">
        <v>79</v>
      </c>
      <c r="S195" s="45">
        <f>SUM(S164:S171,S187:S194)</f>
        <v>7239</v>
      </c>
      <c r="T195" s="45">
        <f>SUM(T164:T171,T187:T194)</f>
        <v>7594</v>
      </c>
      <c r="U195" s="45"/>
      <c r="V195" s="44" t="s">
        <v>79</v>
      </c>
      <c r="W195" s="45">
        <f>SUM(W164:W171,W187:W194)</f>
        <v>4147</v>
      </c>
      <c r="X195" s="45">
        <f>SUM(X164:X171,X187:X194)</f>
        <v>4903</v>
      </c>
      <c r="Y195" s="45"/>
      <c r="Z195" s="44" t="s">
        <v>79</v>
      </c>
      <c r="AA195" s="45">
        <f>SUM(AA164:AA171,AA187:AA194)</f>
        <v>1701</v>
      </c>
      <c r="AB195" s="45">
        <f>SUM(AB164:AB171,AB187:AB194)</f>
        <v>1965</v>
      </c>
      <c r="AC195" s="45"/>
      <c r="AD195" s="44" t="s">
        <v>79</v>
      </c>
      <c r="AE195" s="45">
        <f>SUM(AE164:AE171,AE187:AE194)</f>
        <v>1283</v>
      </c>
      <c r="AF195" s="45">
        <f>SUM(AF164:AF171,AF187:AF194)</f>
        <v>1465</v>
      </c>
      <c r="AG195" s="45"/>
      <c r="AH195" s="44" t="s">
        <v>79</v>
      </c>
      <c r="AI195" s="45">
        <f>SUM(AI164:AI171,AI187:AI194)</f>
        <v>4660</v>
      </c>
      <c r="AJ195" s="45">
        <f>SUM(AJ164:AJ171,AJ187:AJ194)</f>
        <v>5171</v>
      </c>
      <c r="AK195" s="45"/>
      <c r="AL195" s="44" t="s">
        <v>79</v>
      </c>
      <c r="AM195" s="45">
        <f>SUM(AM164:AM171,AM187:AM194)</f>
        <v>3992</v>
      </c>
      <c r="AN195" s="45">
        <f>SUM(AN164:AN171,AN187:AN194)</f>
        <v>4292</v>
      </c>
    </row>
    <row r="196" spans="1:40" ht="19.5" thickBot="1" x14ac:dyDescent="0.3">
      <c r="A196" s="39"/>
      <c r="B196" s="39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</row>
    <row r="197" spans="1:40" outlineLevel="1" x14ac:dyDescent="0.25">
      <c r="A197" s="24" t="s">
        <v>120</v>
      </c>
      <c r="B197" s="25"/>
      <c r="C197" s="26" t="s">
        <v>1</v>
      </c>
      <c r="D197" s="26" t="s">
        <v>2</v>
      </c>
      <c r="E197" s="25" t="s">
        <v>121</v>
      </c>
      <c r="F197" s="25"/>
      <c r="G197" s="26" t="s">
        <v>1</v>
      </c>
      <c r="H197" s="26" t="s">
        <v>2</v>
      </c>
      <c r="I197" s="25" t="s">
        <v>122</v>
      </c>
      <c r="J197" s="25"/>
      <c r="K197" s="26" t="s">
        <v>1</v>
      </c>
      <c r="L197" s="26" t="s">
        <v>2</v>
      </c>
      <c r="M197" s="25" t="s">
        <v>123</v>
      </c>
      <c r="N197" s="25"/>
      <c r="O197" s="26" t="s">
        <v>1</v>
      </c>
      <c r="P197" s="26" t="s">
        <v>2</v>
      </c>
      <c r="Q197" s="25" t="s">
        <v>124</v>
      </c>
      <c r="R197" s="25"/>
      <c r="S197" s="26" t="s">
        <v>1</v>
      </c>
      <c r="T197" s="26" t="s">
        <v>2</v>
      </c>
      <c r="U197" s="25" t="s">
        <v>125</v>
      </c>
      <c r="V197" s="25"/>
      <c r="W197" s="26" t="s">
        <v>1</v>
      </c>
      <c r="X197" s="26" t="s">
        <v>2</v>
      </c>
      <c r="Y197" s="25" t="s">
        <v>126</v>
      </c>
      <c r="Z197" s="25"/>
      <c r="AA197" s="26" t="s">
        <v>1</v>
      </c>
      <c r="AB197" s="26" t="s">
        <v>2</v>
      </c>
      <c r="AC197" s="25" t="s">
        <v>127</v>
      </c>
      <c r="AD197" s="25"/>
      <c r="AE197" s="26" t="s">
        <v>1</v>
      </c>
      <c r="AF197" s="26" t="s">
        <v>2</v>
      </c>
      <c r="AG197" s="25" t="s">
        <v>128</v>
      </c>
      <c r="AH197" s="25"/>
      <c r="AI197" s="26" t="s">
        <v>1</v>
      </c>
      <c r="AJ197" s="26" t="s">
        <v>2</v>
      </c>
      <c r="AK197" s="25" t="s">
        <v>129</v>
      </c>
      <c r="AL197" s="25"/>
      <c r="AM197" s="26" t="s">
        <v>1</v>
      </c>
      <c r="AN197" s="27" t="s">
        <v>2</v>
      </c>
    </row>
    <row r="198" spans="1:40" outlineLevel="1" x14ac:dyDescent="0.25">
      <c r="A198" s="28">
        <v>1401</v>
      </c>
      <c r="B198" s="29"/>
      <c r="C198" s="30" t="s">
        <v>13</v>
      </c>
      <c r="D198" s="30"/>
      <c r="E198" s="29">
        <v>1404</v>
      </c>
      <c r="F198" s="29"/>
      <c r="G198" s="30" t="s">
        <v>13</v>
      </c>
      <c r="H198" s="30"/>
      <c r="I198" s="29">
        <v>1407</v>
      </c>
      <c r="J198" s="29"/>
      <c r="K198" s="30" t="s">
        <v>13</v>
      </c>
      <c r="L198" s="30"/>
      <c r="M198" s="29">
        <v>1413</v>
      </c>
      <c r="N198" s="29"/>
      <c r="O198" s="30" t="s">
        <v>13</v>
      </c>
      <c r="P198" s="30"/>
      <c r="Q198" s="29">
        <v>1416</v>
      </c>
      <c r="R198" s="29"/>
      <c r="S198" s="30" t="s">
        <v>13</v>
      </c>
      <c r="T198" s="30"/>
      <c r="U198" s="29">
        <v>1419</v>
      </c>
      <c r="V198" s="29"/>
      <c r="W198" s="30" t="s">
        <v>13</v>
      </c>
      <c r="X198" s="30"/>
      <c r="Y198" s="29">
        <v>1422</v>
      </c>
      <c r="Z198" s="29"/>
      <c r="AA198" s="30" t="s">
        <v>13</v>
      </c>
      <c r="AB198" s="30"/>
      <c r="AC198" s="29">
        <v>1425</v>
      </c>
      <c r="AD198" s="29"/>
      <c r="AE198" s="30" t="s">
        <v>13</v>
      </c>
      <c r="AF198" s="30"/>
      <c r="AG198" s="29">
        <v>1431</v>
      </c>
      <c r="AH198" s="29"/>
      <c r="AI198" s="30" t="s">
        <v>13</v>
      </c>
      <c r="AJ198" s="30"/>
      <c r="AK198" s="29">
        <v>1434</v>
      </c>
      <c r="AL198" s="29"/>
      <c r="AM198" s="30" t="s">
        <v>13</v>
      </c>
      <c r="AN198" s="31"/>
    </row>
    <row r="199" spans="1:40" outlineLevel="1" x14ac:dyDescent="0.25">
      <c r="A199" s="28"/>
      <c r="B199" s="29" t="s">
        <v>18</v>
      </c>
      <c r="C199" s="30">
        <v>3067</v>
      </c>
      <c r="D199" s="32">
        <v>2805</v>
      </c>
      <c r="E199" s="29"/>
      <c r="F199" s="29" t="s">
        <v>18</v>
      </c>
      <c r="G199" s="30">
        <v>4681</v>
      </c>
      <c r="H199" s="32">
        <v>4266</v>
      </c>
      <c r="I199" s="29"/>
      <c r="J199" s="29" t="s">
        <v>18</v>
      </c>
      <c r="K199" s="30">
        <v>1942</v>
      </c>
      <c r="L199" s="32">
        <v>1666</v>
      </c>
      <c r="M199" s="29"/>
      <c r="N199" s="29" t="s">
        <v>18</v>
      </c>
      <c r="O199" s="30">
        <v>8094</v>
      </c>
      <c r="P199" s="32">
        <v>7412</v>
      </c>
      <c r="Q199" s="29"/>
      <c r="R199" s="29" t="s">
        <v>18</v>
      </c>
      <c r="S199" s="30">
        <v>3478</v>
      </c>
      <c r="T199" s="32">
        <v>3331</v>
      </c>
      <c r="U199" s="29"/>
      <c r="V199" s="29" t="s">
        <v>18</v>
      </c>
      <c r="W199" s="30">
        <v>3330</v>
      </c>
      <c r="X199" s="32">
        <v>3037</v>
      </c>
      <c r="Y199" s="29"/>
      <c r="Z199" s="29" t="s">
        <v>18</v>
      </c>
      <c r="AA199" s="30">
        <v>3442</v>
      </c>
      <c r="AB199" s="32">
        <v>3199</v>
      </c>
      <c r="AC199" s="29"/>
      <c r="AD199" s="29" t="s">
        <v>18</v>
      </c>
      <c r="AE199" s="30">
        <v>2888</v>
      </c>
      <c r="AF199" s="32">
        <v>2551</v>
      </c>
      <c r="AG199" s="29"/>
      <c r="AH199" s="29" t="s">
        <v>18</v>
      </c>
      <c r="AI199" s="30">
        <v>8844</v>
      </c>
      <c r="AJ199" s="32">
        <v>8437</v>
      </c>
      <c r="AK199" s="29"/>
      <c r="AL199" s="29" t="s">
        <v>18</v>
      </c>
      <c r="AM199" s="30">
        <v>5326</v>
      </c>
      <c r="AN199" s="33">
        <v>4942</v>
      </c>
    </row>
    <row r="200" spans="1:40" outlineLevel="1" x14ac:dyDescent="0.25">
      <c r="A200" s="28"/>
      <c r="B200" s="29" t="s">
        <v>20</v>
      </c>
      <c r="C200" s="30">
        <v>117</v>
      </c>
      <c r="D200" s="32">
        <v>91</v>
      </c>
      <c r="E200" s="29"/>
      <c r="F200" s="29" t="s">
        <v>20</v>
      </c>
      <c r="G200" s="30">
        <v>164</v>
      </c>
      <c r="H200" s="32">
        <v>119</v>
      </c>
      <c r="I200" s="29"/>
      <c r="J200" s="29" t="s">
        <v>20</v>
      </c>
      <c r="K200" s="30">
        <v>66</v>
      </c>
      <c r="L200" s="32">
        <v>45</v>
      </c>
      <c r="M200" s="29"/>
      <c r="N200" s="29" t="s">
        <v>20</v>
      </c>
      <c r="O200" s="30">
        <v>271</v>
      </c>
      <c r="P200" s="32">
        <v>198</v>
      </c>
      <c r="Q200" s="29"/>
      <c r="R200" s="29" t="s">
        <v>20</v>
      </c>
      <c r="S200" s="30">
        <v>115</v>
      </c>
      <c r="T200" s="32">
        <v>129</v>
      </c>
      <c r="U200" s="29"/>
      <c r="V200" s="29" t="s">
        <v>20</v>
      </c>
      <c r="W200" s="30">
        <v>142</v>
      </c>
      <c r="X200" s="32">
        <v>69</v>
      </c>
      <c r="Y200" s="29"/>
      <c r="Z200" s="29" t="s">
        <v>20</v>
      </c>
      <c r="AA200" s="30">
        <v>140</v>
      </c>
      <c r="AB200" s="32">
        <v>75</v>
      </c>
      <c r="AC200" s="29"/>
      <c r="AD200" s="29" t="s">
        <v>20</v>
      </c>
      <c r="AE200" s="30">
        <v>100</v>
      </c>
      <c r="AF200" s="32">
        <v>49</v>
      </c>
      <c r="AG200" s="29"/>
      <c r="AH200" s="29" t="s">
        <v>20</v>
      </c>
      <c r="AI200" s="30">
        <v>308</v>
      </c>
      <c r="AJ200" s="32">
        <v>288</v>
      </c>
      <c r="AK200" s="29"/>
      <c r="AL200" s="29" t="s">
        <v>20</v>
      </c>
      <c r="AM200" s="30">
        <v>175</v>
      </c>
      <c r="AN200" s="33">
        <v>141</v>
      </c>
    </row>
    <row r="201" spans="1:40" outlineLevel="1" x14ac:dyDescent="0.25">
      <c r="A201" s="28"/>
      <c r="B201" s="29" t="s">
        <v>22</v>
      </c>
      <c r="C201" s="30">
        <v>104</v>
      </c>
      <c r="D201" s="32">
        <v>118</v>
      </c>
      <c r="E201" s="29"/>
      <c r="F201" s="29" t="s">
        <v>22</v>
      </c>
      <c r="G201" s="30">
        <v>174</v>
      </c>
      <c r="H201" s="32">
        <v>167</v>
      </c>
      <c r="I201" s="29"/>
      <c r="J201" s="29" t="s">
        <v>22</v>
      </c>
      <c r="K201" s="30">
        <v>76</v>
      </c>
      <c r="L201" s="32">
        <v>51</v>
      </c>
      <c r="M201" s="29"/>
      <c r="N201" s="29" t="s">
        <v>22</v>
      </c>
      <c r="O201" s="30">
        <v>301</v>
      </c>
      <c r="P201" s="32">
        <v>272</v>
      </c>
      <c r="Q201" s="29"/>
      <c r="R201" s="29" t="s">
        <v>22</v>
      </c>
      <c r="S201" s="30">
        <v>161</v>
      </c>
      <c r="T201" s="32">
        <v>135</v>
      </c>
      <c r="U201" s="29"/>
      <c r="V201" s="29" t="s">
        <v>22</v>
      </c>
      <c r="W201" s="30">
        <v>124</v>
      </c>
      <c r="X201" s="32">
        <v>129</v>
      </c>
      <c r="Y201" s="29"/>
      <c r="Z201" s="29" t="s">
        <v>22</v>
      </c>
      <c r="AA201" s="30">
        <v>157</v>
      </c>
      <c r="AB201" s="32">
        <v>148</v>
      </c>
      <c r="AC201" s="29"/>
      <c r="AD201" s="29" t="s">
        <v>22</v>
      </c>
      <c r="AE201" s="30">
        <v>111</v>
      </c>
      <c r="AF201" s="32">
        <v>96</v>
      </c>
      <c r="AG201" s="29"/>
      <c r="AH201" s="29" t="s">
        <v>22</v>
      </c>
      <c r="AI201" s="30">
        <v>333</v>
      </c>
      <c r="AJ201" s="32">
        <v>334</v>
      </c>
      <c r="AK201" s="29"/>
      <c r="AL201" s="29" t="s">
        <v>22</v>
      </c>
      <c r="AM201" s="30">
        <v>216</v>
      </c>
      <c r="AN201" s="33">
        <v>182</v>
      </c>
    </row>
    <row r="202" spans="1:40" outlineLevel="1" x14ac:dyDescent="0.25">
      <c r="A202" s="28"/>
      <c r="B202" s="29" t="s">
        <v>23</v>
      </c>
      <c r="C202" s="30">
        <v>124</v>
      </c>
      <c r="D202" s="32">
        <v>107</v>
      </c>
      <c r="E202" s="29"/>
      <c r="F202" s="29" t="s">
        <v>23</v>
      </c>
      <c r="G202" s="30">
        <v>222</v>
      </c>
      <c r="H202" s="32">
        <v>174</v>
      </c>
      <c r="I202" s="29"/>
      <c r="J202" s="29" t="s">
        <v>23</v>
      </c>
      <c r="K202" s="30">
        <v>85</v>
      </c>
      <c r="L202" s="32">
        <v>70</v>
      </c>
      <c r="M202" s="29"/>
      <c r="N202" s="29" t="s">
        <v>23</v>
      </c>
      <c r="O202" s="30">
        <v>360</v>
      </c>
      <c r="P202" s="32">
        <v>299</v>
      </c>
      <c r="Q202" s="29"/>
      <c r="R202" s="29" t="s">
        <v>23</v>
      </c>
      <c r="S202" s="30">
        <v>169</v>
      </c>
      <c r="T202" s="32">
        <v>164</v>
      </c>
      <c r="U202" s="29"/>
      <c r="V202" s="29" t="s">
        <v>23</v>
      </c>
      <c r="W202" s="30">
        <v>150</v>
      </c>
      <c r="X202" s="32">
        <v>119</v>
      </c>
      <c r="Y202" s="29"/>
      <c r="Z202" s="29" t="s">
        <v>23</v>
      </c>
      <c r="AA202" s="30">
        <v>201</v>
      </c>
      <c r="AB202" s="32">
        <v>153</v>
      </c>
      <c r="AC202" s="29"/>
      <c r="AD202" s="29" t="s">
        <v>23</v>
      </c>
      <c r="AE202" s="30">
        <v>118</v>
      </c>
      <c r="AF202" s="32">
        <v>108</v>
      </c>
      <c r="AG202" s="29"/>
      <c r="AH202" s="29" t="s">
        <v>23</v>
      </c>
      <c r="AI202" s="30">
        <v>418</v>
      </c>
      <c r="AJ202" s="32">
        <v>347</v>
      </c>
      <c r="AK202" s="29"/>
      <c r="AL202" s="29" t="s">
        <v>23</v>
      </c>
      <c r="AM202" s="30">
        <v>239</v>
      </c>
      <c r="AN202" s="33">
        <v>204</v>
      </c>
    </row>
    <row r="203" spans="1:40" outlineLevel="1" x14ac:dyDescent="0.25">
      <c r="A203" s="28"/>
      <c r="B203" s="29" t="s">
        <v>24</v>
      </c>
      <c r="C203" s="30">
        <v>147</v>
      </c>
      <c r="D203" s="32">
        <v>123</v>
      </c>
      <c r="E203" s="29"/>
      <c r="F203" s="29" t="s">
        <v>24</v>
      </c>
      <c r="G203" s="30">
        <v>241</v>
      </c>
      <c r="H203" s="32">
        <v>205</v>
      </c>
      <c r="I203" s="29"/>
      <c r="J203" s="29" t="s">
        <v>24</v>
      </c>
      <c r="K203" s="30">
        <v>95</v>
      </c>
      <c r="L203" s="32">
        <v>68</v>
      </c>
      <c r="M203" s="29"/>
      <c r="N203" s="29" t="s">
        <v>24</v>
      </c>
      <c r="O203" s="30">
        <v>369</v>
      </c>
      <c r="P203" s="32">
        <v>343</v>
      </c>
      <c r="Q203" s="29"/>
      <c r="R203" s="29" t="s">
        <v>24</v>
      </c>
      <c r="S203" s="30">
        <v>198</v>
      </c>
      <c r="T203" s="32">
        <v>156</v>
      </c>
      <c r="U203" s="29"/>
      <c r="V203" s="29" t="s">
        <v>24</v>
      </c>
      <c r="W203" s="30">
        <v>169</v>
      </c>
      <c r="X203" s="32">
        <v>142</v>
      </c>
      <c r="Y203" s="29"/>
      <c r="Z203" s="29" t="s">
        <v>24</v>
      </c>
      <c r="AA203" s="30">
        <v>175</v>
      </c>
      <c r="AB203" s="32">
        <v>202</v>
      </c>
      <c r="AC203" s="29"/>
      <c r="AD203" s="29" t="s">
        <v>24</v>
      </c>
      <c r="AE203" s="30">
        <v>158</v>
      </c>
      <c r="AF203" s="32">
        <v>113</v>
      </c>
      <c r="AG203" s="29"/>
      <c r="AH203" s="29" t="s">
        <v>24</v>
      </c>
      <c r="AI203" s="30">
        <v>458</v>
      </c>
      <c r="AJ203" s="32">
        <v>412</v>
      </c>
      <c r="AK203" s="29"/>
      <c r="AL203" s="29" t="s">
        <v>24</v>
      </c>
      <c r="AM203" s="30">
        <v>272</v>
      </c>
      <c r="AN203" s="33">
        <v>247</v>
      </c>
    </row>
    <row r="204" spans="1:40" outlineLevel="1" x14ac:dyDescent="0.25">
      <c r="A204" s="28"/>
      <c r="B204" s="29" t="s">
        <v>25</v>
      </c>
      <c r="C204" s="30">
        <v>145</v>
      </c>
      <c r="D204" s="32">
        <v>101</v>
      </c>
      <c r="E204" s="29"/>
      <c r="F204" s="29" t="s">
        <v>25</v>
      </c>
      <c r="G204" s="30">
        <v>189</v>
      </c>
      <c r="H204" s="32">
        <v>184</v>
      </c>
      <c r="I204" s="29"/>
      <c r="J204" s="29" t="s">
        <v>25</v>
      </c>
      <c r="K204" s="30">
        <v>98</v>
      </c>
      <c r="L204" s="32">
        <v>71</v>
      </c>
      <c r="M204" s="29"/>
      <c r="N204" s="29" t="s">
        <v>25</v>
      </c>
      <c r="O204" s="30">
        <v>381</v>
      </c>
      <c r="P204" s="32">
        <v>277</v>
      </c>
      <c r="Q204" s="29"/>
      <c r="R204" s="29" t="s">
        <v>25</v>
      </c>
      <c r="S204" s="30">
        <v>176</v>
      </c>
      <c r="T204" s="32">
        <v>178</v>
      </c>
      <c r="U204" s="29"/>
      <c r="V204" s="29" t="s">
        <v>25</v>
      </c>
      <c r="W204" s="30">
        <v>180</v>
      </c>
      <c r="X204" s="32">
        <v>154</v>
      </c>
      <c r="Y204" s="29"/>
      <c r="Z204" s="29" t="s">
        <v>25</v>
      </c>
      <c r="AA204" s="30">
        <v>161</v>
      </c>
      <c r="AB204" s="32">
        <v>140</v>
      </c>
      <c r="AC204" s="29"/>
      <c r="AD204" s="29" t="s">
        <v>25</v>
      </c>
      <c r="AE204" s="30">
        <v>120</v>
      </c>
      <c r="AF204" s="32">
        <v>110</v>
      </c>
      <c r="AG204" s="29"/>
      <c r="AH204" s="29" t="s">
        <v>25</v>
      </c>
      <c r="AI204" s="30">
        <v>431</v>
      </c>
      <c r="AJ204" s="32">
        <v>356</v>
      </c>
      <c r="AK204" s="29"/>
      <c r="AL204" s="29" t="s">
        <v>25</v>
      </c>
      <c r="AM204" s="30">
        <v>268</v>
      </c>
      <c r="AN204" s="33">
        <v>231</v>
      </c>
    </row>
    <row r="205" spans="1:40" outlineLevel="1" x14ac:dyDescent="0.25">
      <c r="A205" s="28"/>
      <c r="B205" s="29" t="s">
        <v>26</v>
      </c>
      <c r="C205" s="30">
        <v>121</v>
      </c>
      <c r="D205" s="32">
        <v>119</v>
      </c>
      <c r="E205" s="29"/>
      <c r="F205" s="29" t="s">
        <v>26</v>
      </c>
      <c r="G205" s="30">
        <v>212</v>
      </c>
      <c r="H205" s="32">
        <v>145</v>
      </c>
      <c r="I205" s="29"/>
      <c r="J205" s="29" t="s">
        <v>26</v>
      </c>
      <c r="K205" s="30">
        <v>107</v>
      </c>
      <c r="L205" s="32">
        <v>71</v>
      </c>
      <c r="M205" s="29"/>
      <c r="N205" s="29" t="s">
        <v>26</v>
      </c>
      <c r="O205" s="30">
        <v>382</v>
      </c>
      <c r="P205" s="32">
        <v>314</v>
      </c>
      <c r="Q205" s="29"/>
      <c r="R205" s="29" t="s">
        <v>26</v>
      </c>
      <c r="S205" s="30">
        <v>178</v>
      </c>
      <c r="T205" s="32">
        <v>160</v>
      </c>
      <c r="U205" s="29"/>
      <c r="V205" s="29" t="s">
        <v>26</v>
      </c>
      <c r="W205" s="30">
        <v>174</v>
      </c>
      <c r="X205" s="32">
        <v>138</v>
      </c>
      <c r="Y205" s="29"/>
      <c r="Z205" s="29" t="s">
        <v>26</v>
      </c>
      <c r="AA205" s="30">
        <v>180</v>
      </c>
      <c r="AB205" s="32">
        <v>134</v>
      </c>
      <c r="AC205" s="29"/>
      <c r="AD205" s="29" t="s">
        <v>26</v>
      </c>
      <c r="AE205" s="30">
        <v>145</v>
      </c>
      <c r="AF205" s="32">
        <v>84</v>
      </c>
      <c r="AG205" s="29"/>
      <c r="AH205" s="29" t="s">
        <v>26</v>
      </c>
      <c r="AI205" s="30">
        <v>422</v>
      </c>
      <c r="AJ205" s="32">
        <v>325</v>
      </c>
      <c r="AK205" s="29"/>
      <c r="AL205" s="29" t="s">
        <v>26</v>
      </c>
      <c r="AM205" s="30">
        <v>263</v>
      </c>
      <c r="AN205" s="33">
        <v>218</v>
      </c>
    </row>
    <row r="206" spans="1:40" outlineLevel="1" x14ac:dyDescent="0.25">
      <c r="A206" s="28"/>
      <c r="B206" s="29" t="s">
        <v>27</v>
      </c>
      <c r="C206" s="30">
        <v>178</v>
      </c>
      <c r="D206" s="32">
        <v>115</v>
      </c>
      <c r="E206" s="29"/>
      <c r="F206" s="29" t="s">
        <v>27</v>
      </c>
      <c r="G206" s="30">
        <v>230</v>
      </c>
      <c r="H206" s="32">
        <v>209</v>
      </c>
      <c r="I206" s="29"/>
      <c r="J206" s="29" t="s">
        <v>27</v>
      </c>
      <c r="K206" s="30">
        <v>96</v>
      </c>
      <c r="L206" s="32">
        <v>82</v>
      </c>
      <c r="M206" s="29"/>
      <c r="N206" s="29" t="s">
        <v>27</v>
      </c>
      <c r="O206" s="30">
        <v>401</v>
      </c>
      <c r="P206" s="32">
        <v>351</v>
      </c>
      <c r="Q206" s="29"/>
      <c r="R206" s="29" t="s">
        <v>27</v>
      </c>
      <c r="S206" s="30">
        <v>199</v>
      </c>
      <c r="T206" s="32">
        <v>172</v>
      </c>
      <c r="U206" s="29"/>
      <c r="V206" s="29" t="s">
        <v>27</v>
      </c>
      <c r="W206" s="30">
        <v>210</v>
      </c>
      <c r="X206" s="32">
        <v>147</v>
      </c>
      <c r="Y206" s="29"/>
      <c r="Z206" s="29" t="s">
        <v>27</v>
      </c>
      <c r="AA206" s="30">
        <v>206</v>
      </c>
      <c r="AB206" s="32">
        <v>153</v>
      </c>
      <c r="AC206" s="29"/>
      <c r="AD206" s="29" t="s">
        <v>27</v>
      </c>
      <c r="AE206" s="30">
        <v>121</v>
      </c>
      <c r="AF206" s="32">
        <v>120</v>
      </c>
      <c r="AG206" s="29"/>
      <c r="AH206" s="29" t="s">
        <v>27</v>
      </c>
      <c r="AI206" s="30">
        <v>483</v>
      </c>
      <c r="AJ206" s="32">
        <v>404</v>
      </c>
      <c r="AK206" s="29"/>
      <c r="AL206" s="29" t="s">
        <v>27</v>
      </c>
      <c r="AM206" s="30">
        <v>293</v>
      </c>
      <c r="AN206" s="33">
        <v>249</v>
      </c>
    </row>
    <row r="207" spans="1:40" outlineLevel="1" x14ac:dyDescent="0.25">
      <c r="A207" s="28"/>
      <c r="B207" s="29" t="s">
        <v>28</v>
      </c>
      <c r="C207" s="30">
        <v>155</v>
      </c>
      <c r="D207" s="32">
        <v>170</v>
      </c>
      <c r="E207" s="29"/>
      <c r="F207" s="29" t="s">
        <v>28</v>
      </c>
      <c r="G207" s="30">
        <v>258</v>
      </c>
      <c r="H207" s="32">
        <v>216</v>
      </c>
      <c r="I207" s="29"/>
      <c r="J207" s="29" t="s">
        <v>28</v>
      </c>
      <c r="K207" s="30">
        <v>94</v>
      </c>
      <c r="L207" s="32">
        <v>80</v>
      </c>
      <c r="M207" s="29"/>
      <c r="N207" s="29" t="s">
        <v>28</v>
      </c>
      <c r="O207" s="30">
        <v>477</v>
      </c>
      <c r="P207" s="32">
        <v>363</v>
      </c>
      <c r="Q207" s="29"/>
      <c r="R207" s="29" t="s">
        <v>28</v>
      </c>
      <c r="S207" s="30">
        <v>233</v>
      </c>
      <c r="T207" s="32">
        <v>201</v>
      </c>
      <c r="U207" s="29"/>
      <c r="V207" s="29" t="s">
        <v>28</v>
      </c>
      <c r="W207" s="30">
        <v>193</v>
      </c>
      <c r="X207" s="32">
        <v>191</v>
      </c>
      <c r="Y207" s="29"/>
      <c r="Z207" s="29" t="s">
        <v>28</v>
      </c>
      <c r="AA207" s="30">
        <v>185</v>
      </c>
      <c r="AB207" s="32">
        <v>208</v>
      </c>
      <c r="AC207" s="29"/>
      <c r="AD207" s="29" t="s">
        <v>28</v>
      </c>
      <c r="AE207" s="30">
        <v>162</v>
      </c>
      <c r="AF207" s="32">
        <v>110</v>
      </c>
      <c r="AG207" s="29"/>
      <c r="AH207" s="29" t="s">
        <v>28</v>
      </c>
      <c r="AI207" s="30">
        <v>540</v>
      </c>
      <c r="AJ207" s="32">
        <v>518</v>
      </c>
      <c r="AK207" s="29"/>
      <c r="AL207" s="29" t="s">
        <v>28</v>
      </c>
      <c r="AM207" s="30">
        <v>305</v>
      </c>
      <c r="AN207" s="33">
        <v>278</v>
      </c>
    </row>
    <row r="208" spans="1:40" outlineLevel="1" x14ac:dyDescent="0.25">
      <c r="A208" s="28"/>
      <c r="B208" s="29" t="s">
        <v>29</v>
      </c>
      <c r="C208" s="30">
        <v>142</v>
      </c>
      <c r="D208" s="32">
        <v>147</v>
      </c>
      <c r="E208" s="29"/>
      <c r="F208" s="29" t="s">
        <v>29</v>
      </c>
      <c r="G208" s="30">
        <v>246</v>
      </c>
      <c r="H208" s="32">
        <v>237</v>
      </c>
      <c r="I208" s="29"/>
      <c r="J208" s="29" t="s">
        <v>29</v>
      </c>
      <c r="K208" s="30">
        <v>86</v>
      </c>
      <c r="L208" s="32">
        <v>90</v>
      </c>
      <c r="M208" s="29"/>
      <c r="N208" s="29" t="s">
        <v>29</v>
      </c>
      <c r="O208" s="30">
        <v>474</v>
      </c>
      <c r="P208" s="32">
        <v>457</v>
      </c>
      <c r="Q208" s="29"/>
      <c r="R208" s="29" t="s">
        <v>29</v>
      </c>
      <c r="S208" s="30">
        <v>226</v>
      </c>
      <c r="T208" s="32">
        <v>235</v>
      </c>
      <c r="U208" s="29"/>
      <c r="V208" s="29" t="s">
        <v>29</v>
      </c>
      <c r="W208" s="30">
        <v>177</v>
      </c>
      <c r="X208" s="32">
        <v>187</v>
      </c>
      <c r="Y208" s="29"/>
      <c r="Z208" s="29" t="s">
        <v>29</v>
      </c>
      <c r="AA208" s="30">
        <v>207</v>
      </c>
      <c r="AB208" s="32">
        <v>181</v>
      </c>
      <c r="AC208" s="29"/>
      <c r="AD208" s="29" t="s">
        <v>29</v>
      </c>
      <c r="AE208" s="30">
        <v>147</v>
      </c>
      <c r="AF208" s="32">
        <v>156</v>
      </c>
      <c r="AG208" s="29"/>
      <c r="AH208" s="29" t="s">
        <v>29</v>
      </c>
      <c r="AI208" s="30">
        <v>514</v>
      </c>
      <c r="AJ208" s="32">
        <v>527</v>
      </c>
      <c r="AK208" s="29"/>
      <c r="AL208" s="29" t="s">
        <v>29</v>
      </c>
      <c r="AM208" s="30">
        <v>247</v>
      </c>
      <c r="AN208" s="33">
        <v>313</v>
      </c>
    </row>
    <row r="209" spans="1:40" outlineLevel="1" x14ac:dyDescent="0.25">
      <c r="A209" s="28"/>
      <c r="B209" s="29" t="s">
        <v>31</v>
      </c>
      <c r="C209" s="30">
        <v>137</v>
      </c>
      <c r="D209" s="32">
        <v>137</v>
      </c>
      <c r="E209" s="29"/>
      <c r="F209" s="29" t="s">
        <v>31</v>
      </c>
      <c r="G209" s="30">
        <v>268</v>
      </c>
      <c r="H209" s="32">
        <v>241</v>
      </c>
      <c r="I209" s="29"/>
      <c r="J209" s="29" t="s">
        <v>31</v>
      </c>
      <c r="K209" s="30">
        <v>96</v>
      </c>
      <c r="L209" s="32">
        <v>81</v>
      </c>
      <c r="M209" s="29"/>
      <c r="N209" s="29" t="s">
        <v>31</v>
      </c>
      <c r="O209" s="30">
        <v>448</v>
      </c>
      <c r="P209" s="32">
        <v>458</v>
      </c>
      <c r="Q209" s="29"/>
      <c r="R209" s="29" t="s">
        <v>31</v>
      </c>
      <c r="S209" s="30">
        <v>175</v>
      </c>
      <c r="T209" s="32">
        <v>223</v>
      </c>
      <c r="U209" s="29"/>
      <c r="V209" s="29" t="s">
        <v>31</v>
      </c>
      <c r="W209" s="30">
        <v>187</v>
      </c>
      <c r="X209" s="32">
        <v>179</v>
      </c>
      <c r="Y209" s="29"/>
      <c r="Z209" s="29" t="s">
        <v>31</v>
      </c>
      <c r="AA209" s="30">
        <v>185</v>
      </c>
      <c r="AB209" s="32">
        <v>193</v>
      </c>
      <c r="AC209" s="29"/>
      <c r="AD209" s="29" t="s">
        <v>31</v>
      </c>
      <c r="AE209" s="30">
        <v>143</v>
      </c>
      <c r="AF209" s="32">
        <v>144</v>
      </c>
      <c r="AG209" s="29"/>
      <c r="AH209" s="29" t="s">
        <v>31</v>
      </c>
      <c r="AI209" s="30">
        <v>526</v>
      </c>
      <c r="AJ209" s="32">
        <v>514</v>
      </c>
      <c r="AK209" s="29"/>
      <c r="AL209" s="29" t="s">
        <v>31</v>
      </c>
      <c r="AM209" s="30">
        <v>316</v>
      </c>
      <c r="AN209" s="33">
        <v>247</v>
      </c>
    </row>
    <row r="210" spans="1:40" outlineLevel="1" x14ac:dyDescent="0.25">
      <c r="A210" s="28"/>
      <c r="B210" s="29" t="s">
        <v>33</v>
      </c>
      <c r="C210" s="30">
        <v>229</v>
      </c>
      <c r="D210" s="32">
        <v>138</v>
      </c>
      <c r="E210" s="29"/>
      <c r="F210" s="29" t="s">
        <v>33</v>
      </c>
      <c r="G210" s="30">
        <v>319</v>
      </c>
      <c r="H210" s="32">
        <v>263</v>
      </c>
      <c r="I210" s="29"/>
      <c r="J210" s="29" t="s">
        <v>33</v>
      </c>
      <c r="K210" s="30">
        <v>125</v>
      </c>
      <c r="L210" s="32">
        <v>86</v>
      </c>
      <c r="M210" s="29"/>
      <c r="N210" s="29" t="s">
        <v>33</v>
      </c>
      <c r="O210" s="30">
        <v>543</v>
      </c>
      <c r="P210" s="32">
        <v>451</v>
      </c>
      <c r="Q210" s="29"/>
      <c r="R210" s="29" t="s">
        <v>33</v>
      </c>
      <c r="S210" s="30">
        <v>245</v>
      </c>
      <c r="T210" s="32">
        <v>171</v>
      </c>
      <c r="U210" s="29"/>
      <c r="V210" s="29" t="s">
        <v>33</v>
      </c>
      <c r="W210" s="30">
        <v>272</v>
      </c>
      <c r="X210" s="32">
        <v>185</v>
      </c>
      <c r="Y210" s="29"/>
      <c r="Z210" s="29" t="s">
        <v>33</v>
      </c>
      <c r="AA210" s="30">
        <v>231</v>
      </c>
      <c r="AB210" s="32">
        <v>182</v>
      </c>
      <c r="AC210" s="29"/>
      <c r="AD210" s="29" t="s">
        <v>33</v>
      </c>
      <c r="AE210" s="30">
        <v>228</v>
      </c>
      <c r="AF210" s="32">
        <v>140</v>
      </c>
      <c r="AG210" s="29"/>
      <c r="AH210" s="29" t="s">
        <v>33</v>
      </c>
      <c r="AI210" s="30">
        <v>617</v>
      </c>
      <c r="AJ210" s="32">
        <v>532</v>
      </c>
      <c r="AK210" s="29"/>
      <c r="AL210" s="29" t="s">
        <v>33</v>
      </c>
      <c r="AM210" s="30">
        <v>411</v>
      </c>
      <c r="AN210" s="33">
        <v>302</v>
      </c>
    </row>
    <row r="211" spans="1:40" outlineLevel="1" x14ac:dyDescent="0.25">
      <c r="A211" s="28"/>
      <c r="B211" s="29" t="s">
        <v>35</v>
      </c>
      <c r="C211" s="30">
        <v>266</v>
      </c>
      <c r="D211" s="32">
        <v>229</v>
      </c>
      <c r="E211" s="29"/>
      <c r="F211" s="29" t="s">
        <v>35</v>
      </c>
      <c r="G211" s="30">
        <v>385</v>
      </c>
      <c r="H211" s="32">
        <v>308</v>
      </c>
      <c r="I211" s="29"/>
      <c r="J211" s="29" t="s">
        <v>35</v>
      </c>
      <c r="K211" s="30">
        <v>176</v>
      </c>
      <c r="L211" s="32">
        <v>123</v>
      </c>
      <c r="M211" s="29"/>
      <c r="N211" s="29" t="s">
        <v>35</v>
      </c>
      <c r="O211" s="30">
        <v>693</v>
      </c>
      <c r="P211" s="32">
        <v>542</v>
      </c>
      <c r="Q211" s="29"/>
      <c r="R211" s="29" t="s">
        <v>35</v>
      </c>
      <c r="S211" s="30">
        <v>265</v>
      </c>
      <c r="T211" s="32">
        <v>238</v>
      </c>
      <c r="U211" s="29"/>
      <c r="V211" s="29" t="s">
        <v>35</v>
      </c>
      <c r="W211" s="30">
        <v>305</v>
      </c>
      <c r="X211" s="32">
        <v>264</v>
      </c>
      <c r="Y211" s="29"/>
      <c r="Z211" s="29" t="s">
        <v>35</v>
      </c>
      <c r="AA211" s="30">
        <v>264</v>
      </c>
      <c r="AB211" s="32">
        <v>227</v>
      </c>
      <c r="AC211" s="29"/>
      <c r="AD211" s="29" t="s">
        <v>35</v>
      </c>
      <c r="AE211" s="30">
        <v>281</v>
      </c>
      <c r="AF211" s="32">
        <v>216</v>
      </c>
      <c r="AG211" s="29"/>
      <c r="AH211" s="29" t="s">
        <v>35</v>
      </c>
      <c r="AI211" s="30">
        <v>730</v>
      </c>
      <c r="AJ211" s="32">
        <v>610</v>
      </c>
      <c r="AK211" s="29"/>
      <c r="AL211" s="29" t="s">
        <v>35</v>
      </c>
      <c r="AM211" s="30">
        <v>465</v>
      </c>
      <c r="AN211" s="33">
        <v>392</v>
      </c>
    </row>
    <row r="212" spans="1:40" outlineLevel="1" x14ac:dyDescent="0.25">
      <c r="A212" s="28"/>
      <c r="B212" s="29" t="s">
        <v>37</v>
      </c>
      <c r="C212" s="30">
        <v>297</v>
      </c>
      <c r="D212" s="32">
        <v>263</v>
      </c>
      <c r="E212" s="29"/>
      <c r="F212" s="29" t="s">
        <v>37</v>
      </c>
      <c r="G212" s="30">
        <v>464</v>
      </c>
      <c r="H212" s="32">
        <v>385</v>
      </c>
      <c r="I212" s="29"/>
      <c r="J212" s="29" t="s">
        <v>37</v>
      </c>
      <c r="K212" s="30">
        <v>204</v>
      </c>
      <c r="L212" s="32">
        <v>163</v>
      </c>
      <c r="M212" s="29"/>
      <c r="N212" s="29" t="s">
        <v>37</v>
      </c>
      <c r="O212" s="30">
        <v>791</v>
      </c>
      <c r="P212" s="32">
        <v>653</v>
      </c>
      <c r="Q212" s="29"/>
      <c r="R212" s="29" t="s">
        <v>37</v>
      </c>
      <c r="S212" s="30">
        <v>328</v>
      </c>
      <c r="T212" s="32">
        <v>258</v>
      </c>
      <c r="U212" s="29"/>
      <c r="V212" s="29" t="s">
        <v>37</v>
      </c>
      <c r="W212" s="30">
        <v>319</v>
      </c>
      <c r="X212" s="32">
        <v>294</v>
      </c>
      <c r="Y212" s="29"/>
      <c r="Z212" s="29" t="s">
        <v>37</v>
      </c>
      <c r="AA212" s="30">
        <v>312</v>
      </c>
      <c r="AB212" s="32">
        <v>255</v>
      </c>
      <c r="AC212" s="29"/>
      <c r="AD212" s="29" t="s">
        <v>37</v>
      </c>
      <c r="AE212" s="30">
        <v>282</v>
      </c>
      <c r="AF212" s="32">
        <v>269</v>
      </c>
      <c r="AG212" s="29"/>
      <c r="AH212" s="29" t="s">
        <v>37</v>
      </c>
      <c r="AI212" s="30">
        <v>837</v>
      </c>
      <c r="AJ212" s="32">
        <v>717</v>
      </c>
      <c r="AK212" s="29"/>
      <c r="AL212" s="29" t="s">
        <v>37</v>
      </c>
      <c r="AM212" s="30">
        <v>476</v>
      </c>
      <c r="AN212" s="33">
        <v>459</v>
      </c>
    </row>
    <row r="213" spans="1:40" outlineLevel="1" x14ac:dyDescent="0.25">
      <c r="A213" s="28"/>
      <c r="B213" s="29" t="s">
        <v>39</v>
      </c>
      <c r="C213" s="30">
        <v>237</v>
      </c>
      <c r="D213" s="32">
        <v>289</v>
      </c>
      <c r="E213" s="29"/>
      <c r="F213" s="29" t="s">
        <v>39</v>
      </c>
      <c r="G213" s="30">
        <v>328</v>
      </c>
      <c r="H213" s="32">
        <v>439</v>
      </c>
      <c r="I213" s="29"/>
      <c r="J213" s="29" t="s">
        <v>39</v>
      </c>
      <c r="K213" s="30">
        <v>125</v>
      </c>
      <c r="L213" s="32">
        <v>190</v>
      </c>
      <c r="M213" s="29"/>
      <c r="N213" s="29" t="s">
        <v>39</v>
      </c>
      <c r="O213" s="30">
        <v>657</v>
      </c>
      <c r="P213" s="32">
        <v>747</v>
      </c>
      <c r="Q213" s="29"/>
      <c r="R213" s="29" t="s">
        <v>39</v>
      </c>
      <c r="S213" s="30">
        <v>241</v>
      </c>
      <c r="T213" s="32">
        <v>316</v>
      </c>
      <c r="U213" s="29"/>
      <c r="V213" s="29" t="s">
        <v>39</v>
      </c>
      <c r="W213" s="30">
        <v>222</v>
      </c>
      <c r="X213" s="32">
        <v>301</v>
      </c>
      <c r="Y213" s="29"/>
      <c r="Z213" s="29" t="s">
        <v>39</v>
      </c>
      <c r="AA213" s="30">
        <v>251</v>
      </c>
      <c r="AB213" s="32">
        <v>287</v>
      </c>
      <c r="AC213" s="29"/>
      <c r="AD213" s="29" t="s">
        <v>39</v>
      </c>
      <c r="AE213" s="30">
        <v>177</v>
      </c>
      <c r="AF213" s="32">
        <v>270</v>
      </c>
      <c r="AG213" s="29"/>
      <c r="AH213" s="29" t="s">
        <v>39</v>
      </c>
      <c r="AI213" s="30">
        <v>701</v>
      </c>
      <c r="AJ213" s="32">
        <v>792</v>
      </c>
      <c r="AK213" s="29"/>
      <c r="AL213" s="29" t="s">
        <v>39</v>
      </c>
      <c r="AM213" s="30">
        <v>379</v>
      </c>
      <c r="AN213" s="33">
        <v>445</v>
      </c>
    </row>
    <row r="214" spans="1:40" outlineLevel="1" x14ac:dyDescent="0.25">
      <c r="A214" s="28"/>
      <c r="B214" s="29" t="s">
        <v>41</v>
      </c>
      <c r="C214" s="30">
        <v>189</v>
      </c>
      <c r="D214" s="32">
        <v>213</v>
      </c>
      <c r="E214" s="29"/>
      <c r="F214" s="29" t="s">
        <v>41</v>
      </c>
      <c r="G214" s="30">
        <v>254</v>
      </c>
      <c r="H214" s="32">
        <v>301</v>
      </c>
      <c r="I214" s="29"/>
      <c r="J214" s="29" t="s">
        <v>41</v>
      </c>
      <c r="K214" s="30">
        <v>104</v>
      </c>
      <c r="L214" s="32">
        <v>112</v>
      </c>
      <c r="M214" s="29"/>
      <c r="N214" s="29" t="s">
        <v>41</v>
      </c>
      <c r="O214" s="30">
        <v>497</v>
      </c>
      <c r="P214" s="32">
        <v>602</v>
      </c>
      <c r="Q214" s="29"/>
      <c r="R214" s="29" t="s">
        <v>41</v>
      </c>
      <c r="S214" s="30">
        <v>171</v>
      </c>
      <c r="T214" s="32">
        <v>218</v>
      </c>
      <c r="U214" s="29"/>
      <c r="V214" s="29" t="s">
        <v>41</v>
      </c>
      <c r="W214" s="30">
        <v>165</v>
      </c>
      <c r="X214" s="32">
        <v>207</v>
      </c>
      <c r="Y214" s="29"/>
      <c r="Z214" s="29" t="s">
        <v>41</v>
      </c>
      <c r="AA214" s="30">
        <v>199</v>
      </c>
      <c r="AB214" s="32">
        <v>220</v>
      </c>
      <c r="AC214" s="29"/>
      <c r="AD214" s="29" t="s">
        <v>41</v>
      </c>
      <c r="AE214" s="30">
        <v>141</v>
      </c>
      <c r="AF214" s="32">
        <v>165</v>
      </c>
      <c r="AG214" s="29"/>
      <c r="AH214" s="29" t="s">
        <v>41</v>
      </c>
      <c r="AI214" s="30">
        <v>496</v>
      </c>
      <c r="AJ214" s="32">
        <v>656</v>
      </c>
      <c r="AK214" s="29"/>
      <c r="AL214" s="29" t="s">
        <v>41</v>
      </c>
      <c r="AM214" s="30">
        <v>303</v>
      </c>
      <c r="AN214" s="33">
        <v>340</v>
      </c>
    </row>
    <row r="215" spans="1:40" outlineLevel="1" x14ac:dyDescent="0.25">
      <c r="A215" s="28"/>
      <c r="B215" s="29" t="s">
        <v>43</v>
      </c>
      <c r="C215" s="30">
        <v>175</v>
      </c>
      <c r="D215" s="32">
        <v>154</v>
      </c>
      <c r="E215" s="29"/>
      <c r="F215" s="29" t="s">
        <v>43</v>
      </c>
      <c r="G215" s="30">
        <v>270</v>
      </c>
      <c r="H215" s="32">
        <v>216</v>
      </c>
      <c r="I215" s="29"/>
      <c r="J215" s="29" t="s">
        <v>43</v>
      </c>
      <c r="K215" s="30">
        <v>119</v>
      </c>
      <c r="L215" s="32">
        <v>86</v>
      </c>
      <c r="M215" s="29"/>
      <c r="N215" s="29" t="s">
        <v>43</v>
      </c>
      <c r="O215" s="30">
        <v>425</v>
      </c>
      <c r="P215" s="32">
        <v>441</v>
      </c>
      <c r="Q215" s="29"/>
      <c r="R215" s="29" t="s">
        <v>43</v>
      </c>
      <c r="S215" s="30">
        <v>153</v>
      </c>
      <c r="T215" s="32">
        <v>150</v>
      </c>
      <c r="U215" s="29"/>
      <c r="V215" s="29" t="s">
        <v>43</v>
      </c>
      <c r="W215" s="30">
        <v>142</v>
      </c>
      <c r="X215" s="32">
        <v>136</v>
      </c>
      <c r="Y215" s="29"/>
      <c r="Z215" s="29" t="s">
        <v>43</v>
      </c>
      <c r="AA215" s="30">
        <v>174</v>
      </c>
      <c r="AB215" s="32">
        <v>175</v>
      </c>
      <c r="AC215" s="29"/>
      <c r="AD215" s="29" t="s">
        <v>43</v>
      </c>
      <c r="AE215" s="30">
        <v>159</v>
      </c>
      <c r="AF215" s="32">
        <v>117</v>
      </c>
      <c r="AG215" s="29"/>
      <c r="AH215" s="29" t="s">
        <v>43</v>
      </c>
      <c r="AI215" s="30">
        <v>384</v>
      </c>
      <c r="AJ215" s="32">
        <v>433</v>
      </c>
      <c r="AK215" s="29"/>
      <c r="AL215" s="29" t="s">
        <v>43</v>
      </c>
      <c r="AM215" s="30">
        <v>271</v>
      </c>
      <c r="AN215" s="33">
        <v>267</v>
      </c>
    </row>
    <row r="216" spans="1:40" outlineLevel="1" x14ac:dyDescent="0.25">
      <c r="A216" s="28"/>
      <c r="B216" s="29" t="s">
        <v>45</v>
      </c>
      <c r="C216" s="30">
        <v>161</v>
      </c>
      <c r="D216" s="32">
        <v>128</v>
      </c>
      <c r="E216" s="29"/>
      <c r="F216" s="29" t="s">
        <v>45</v>
      </c>
      <c r="G216" s="30">
        <v>253</v>
      </c>
      <c r="H216" s="32">
        <v>210</v>
      </c>
      <c r="I216" s="29"/>
      <c r="J216" s="29" t="s">
        <v>45</v>
      </c>
      <c r="K216" s="30">
        <v>91</v>
      </c>
      <c r="L216" s="32">
        <v>97</v>
      </c>
      <c r="M216" s="29"/>
      <c r="N216" s="29" t="s">
        <v>45</v>
      </c>
      <c r="O216" s="30">
        <v>360</v>
      </c>
      <c r="P216" s="32">
        <v>325</v>
      </c>
      <c r="Q216" s="29"/>
      <c r="R216" s="29" t="s">
        <v>45</v>
      </c>
      <c r="S216" s="30">
        <v>122</v>
      </c>
      <c r="T216" s="32">
        <v>112</v>
      </c>
      <c r="U216" s="29"/>
      <c r="V216" s="29" t="s">
        <v>45</v>
      </c>
      <c r="W216" s="30">
        <v>120</v>
      </c>
      <c r="X216" s="32">
        <v>102</v>
      </c>
      <c r="Y216" s="29"/>
      <c r="Z216" s="29" t="s">
        <v>45</v>
      </c>
      <c r="AA216" s="30">
        <v>108</v>
      </c>
      <c r="AB216" s="32">
        <v>150</v>
      </c>
      <c r="AC216" s="29"/>
      <c r="AD216" s="29" t="s">
        <v>45</v>
      </c>
      <c r="AE216" s="30">
        <v>158</v>
      </c>
      <c r="AF216" s="32">
        <v>121</v>
      </c>
      <c r="AG216" s="29"/>
      <c r="AH216" s="29" t="s">
        <v>45</v>
      </c>
      <c r="AI216" s="30">
        <v>359</v>
      </c>
      <c r="AJ216" s="32">
        <v>311</v>
      </c>
      <c r="AK216" s="29"/>
      <c r="AL216" s="29" t="s">
        <v>45</v>
      </c>
      <c r="AM216" s="30">
        <v>235</v>
      </c>
      <c r="AN216" s="33">
        <v>210</v>
      </c>
    </row>
    <row r="217" spans="1:40" outlineLevel="1" x14ac:dyDescent="0.25">
      <c r="A217" s="28"/>
      <c r="B217" s="29" t="s">
        <v>47</v>
      </c>
      <c r="C217" s="30">
        <v>97</v>
      </c>
      <c r="D217" s="32">
        <v>96</v>
      </c>
      <c r="E217" s="29"/>
      <c r="F217" s="29" t="s">
        <v>47</v>
      </c>
      <c r="G217" s="30">
        <v>149</v>
      </c>
      <c r="H217" s="32">
        <v>163</v>
      </c>
      <c r="I217" s="29"/>
      <c r="J217" s="29" t="s">
        <v>47</v>
      </c>
      <c r="K217" s="30">
        <v>71</v>
      </c>
      <c r="L217" s="32">
        <v>62</v>
      </c>
      <c r="M217" s="29"/>
      <c r="N217" s="29" t="s">
        <v>47</v>
      </c>
      <c r="O217" s="30">
        <v>185</v>
      </c>
      <c r="P217" s="32">
        <v>227</v>
      </c>
      <c r="Q217" s="29"/>
      <c r="R217" s="29" t="s">
        <v>47</v>
      </c>
      <c r="S217" s="30">
        <v>74</v>
      </c>
      <c r="T217" s="32">
        <v>76</v>
      </c>
      <c r="U217" s="29"/>
      <c r="V217" s="29" t="s">
        <v>47</v>
      </c>
      <c r="W217" s="30">
        <v>47</v>
      </c>
      <c r="X217" s="32">
        <v>61</v>
      </c>
      <c r="Y217" s="29"/>
      <c r="Z217" s="29" t="s">
        <v>47</v>
      </c>
      <c r="AA217" s="30">
        <v>73</v>
      </c>
      <c r="AB217" s="32">
        <v>73</v>
      </c>
      <c r="AC217" s="29"/>
      <c r="AD217" s="29" t="s">
        <v>47</v>
      </c>
      <c r="AE217" s="30">
        <v>104</v>
      </c>
      <c r="AF217" s="32">
        <v>109</v>
      </c>
      <c r="AG217" s="29"/>
      <c r="AH217" s="29" t="s">
        <v>47</v>
      </c>
      <c r="AI217" s="30">
        <v>200</v>
      </c>
      <c r="AJ217" s="32">
        <v>235</v>
      </c>
      <c r="AK217" s="29"/>
      <c r="AL217" s="29" t="s">
        <v>47</v>
      </c>
      <c r="AM217" s="30">
        <v>145</v>
      </c>
      <c r="AN217" s="33">
        <v>146</v>
      </c>
    </row>
    <row r="218" spans="1:40" outlineLevel="1" x14ac:dyDescent="0.25">
      <c r="A218" s="28"/>
      <c r="B218" s="29" t="s">
        <v>49</v>
      </c>
      <c r="C218" s="30">
        <v>30</v>
      </c>
      <c r="D218" s="32">
        <v>44</v>
      </c>
      <c r="E218" s="29"/>
      <c r="F218" s="29" t="s">
        <v>49</v>
      </c>
      <c r="G218" s="30">
        <v>46</v>
      </c>
      <c r="H218" s="32">
        <v>70</v>
      </c>
      <c r="I218" s="29"/>
      <c r="J218" s="29" t="s">
        <v>49</v>
      </c>
      <c r="K218" s="30">
        <v>23</v>
      </c>
      <c r="L218" s="32">
        <v>35</v>
      </c>
      <c r="M218" s="29"/>
      <c r="N218" s="29" t="s">
        <v>49</v>
      </c>
      <c r="O218" s="30">
        <v>58</v>
      </c>
      <c r="P218" s="32">
        <v>81</v>
      </c>
      <c r="Q218" s="29"/>
      <c r="R218" s="29" t="s">
        <v>49</v>
      </c>
      <c r="S218" s="30">
        <v>29</v>
      </c>
      <c r="T218" s="32">
        <v>33</v>
      </c>
      <c r="U218" s="29"/>
      <c r="V218" s="29" t="s">
        <v>49</v>
      </c>
      <c r="W218" s="30">
        <v>27</v>
      </c>
      <c r="X218" s="32">
        <v>23</v>
      </c>
      <c r="Y218" s="29"/>
      <c r="Z218" s="29" t="s">
        <v>49</v>
      </c>
      <c r="AA218" s="30">
        <v>17</v>
      </c>
      <c r="AB218" s="32">
        <v>34</v>
      </c>
      <c r="AC218" s="29"/>
      <c r="AD218" s="29" t="s">
        <v>49</v>
      </c>
      <c r="AE218" s="30">
        <v>18</v>
      </c>
      <c r="AF218" s="32">
        <v>44</v>
      </c>
      <c r="AG218" s="29"/>
      <c r="AH218" s="29" t="s">
        <v>49</v>
      </c>
      <c r="AI218" s="30">
        <v>72</v>
      </c>
      <c r="AJ218" s="32">
        <v>97</v>
      </c>
      <c r="AK218" s="29"/>
      <c r="AL218" s="29" t="s">
        <v>49</v>
      </c>
      <c r="AM218" s="30">
        <v>43</v>
      </c>
      <c r="AN218" s="33">
        <v>57</v>
      </c>
    </row>
    <row r="219" spans="1:40" outlineLevel="1" x14ac:dyDescent="0.25">
      <c r="A219" s="28"/>
      <c r="B219" s="29" t="s">
        <v>51</v>
      </c>
      <c r="C219" s="30">
        <v>12</v>
      </c>
      <c r="D219" s="32">
        <v>9</v>
      </c>
      <c r="E219" s="29"/>
      <c r="F219" s="29" t="s">
        <v>51</v>
      </c>
      <c r="G219" s="30">
        <v>8</v>
      </c>
      <c r="H219" s="32">
        <v>12</v>
      </c>
      <c r="I219" s="29"/>
      <c r="J219" s="29" t="s">
        <v>51</v>
      </c>
      <c r="K219" s="30">
        <v>4</v>
      </c>
      <c r="L219" s="32">
        <v>2</v>
      </c>
      <c r="M219" s="29"/>
      <c r="N219" s="29" t="s">
        <v>51</v>
      </c>
      <c r="O219" s="30">
        <v>12</v>
      </c>
      <c r="P219" s="32">
        <v>11</v>
      </c>
      <c r="Q219" s="29"/>
      <c r="R219" s="29" t="s">
        <v>51</v>
      </c>
      <c r="S219" s="30">
        <v>4</v>
      </c>
      <c r="T219" s="32">
        <v>6</v>
      </c>
      <c r="U219" s="29"/>
      <c r="V219" s="29" t="s">
        <v>51</v>
      </c>
      <c r="W219" s="30">
        <v>5</v>
      </c>
      <c r="X219" s="32">
        <v>9</v>
      </c>
      <c r="Y219" s="29"/>
      <c r="Z219" s="29" t="s">
        <v>51</v>
      </c>
      <c r="AA219" s="30">
        <v>3</v>
      </c>
      <c r="AB219" s="32">
        <v>3</v>
      </c>
      <c r="AC219" s="29"/>
      <c r="AD219" s="29" t="s">
        <v>51</v>
      </c>
      <c r="AE219" s="30">
        <v>6</v>
      </c>
      <c r="AF219" s="32">
        <v>3</v>
      </c>
      <c r="AG219" s="29"/>
      <c r="AH219" s="29" t="s">
        <v>51</v>
      </c>
      <c r="AI219" s="30">
        <v>15</v>
      </c>
      <c r="AJ219" s="32">
        <v>28</v>
      </c>
      <c r="AK219" s="29"/>
      <c r="AL219" s="29" t="s">
        <v>51</v>
      </c>
      <c r="AM219" s="30">
        <v>3</v>
      </c>
      <c r="AN219" s="33">
        <v>13</v>
      </c>
    </row>
    <row r="220" spans="1:40" outlineLevel="1" x14ac:dyDescent="0.25">
      <c r="A220" s="28"/>
      <c r="B220" s="29" t="s">
        <v>53</v>
      </c>
      <c r="C220" s="30">
        <v>1</v>
      </c>
      <c r="D220" s="32">
        <v>1</v>
      </c>
      <c r="E220" s="29"/>
      <c r="F220" s="29" t="s">
        <v>53</v>
      </c>
      <c r="G220" s="30">
        <v>1</v>
      </c>
      <c r="H220" s="32">
        <v>2</v>
      </c>
      <c r="I220" s="29"/>
      <c r="J220" s="29" t="s">
        <v>53</v>
      </c>
      <c r="K220" s="30">
        <v>0</v>
      </c>
      <c r="L220" s="32">
        <v>1</v>
      </c>
      <c r="M220" s="29"/>
      <c r="N220" s="29" t="s">
        <v>53</v>
      </c>
      <c r="O220" s="30">
        <v>0</v>
      </c>
      <c r="P220" s="32">
        <v>0</v>
      </c>
      <c r="Q220" s="29"/>
      <c r="R220" s="29" t="s">
        <v>53</v>
      </c>
      <c r="S220" s="30">
        <v>0</v>
      </c>
      <c r="T220" s="32">
        <v>0</v>
      </c>
      <c r="U220" s="29"/>
      <c r="V220" s="29" t="s">
        <v>53</v>
      </c>
      <c r="W220" s="30">
        <v>0</v>
      </c>
      <c r="X220" s="32">
        <v>0</v>
      </c>
      <c r="Y220" s="29"/>
      <c r="Z220" s="29" t="s">
        <v>53</v>
      </c>
      <c r="AA220" s="30">
        <v>2</v>
      </c>
      <c r="AB220" s="32">
        <v>1</v>
      </c>
      <c r="AC220" s="29"/>
      <c r="AD220" s="29" t="s">
        <v>53</v>
      </c>
      <c r="AE220" s="30">
        <v>1</v>
      </c>
      <c r="AF220" s="32">
        <v>1</v>
      </c>
      <c r="AG220" s="29"/>
      <c r="AH220" s="29" t="s">
        <v>53</v>
      </c>
      <c r="AI220" s="30">
        <v>0</v>
      </c>
      <c r="AJ220" s="32">
        <v>1</v>
      </c>
      <c r="AK220" s="29"/>
      <c r="AL220" s="29" t="s">
        <v>53</v>
      </c>
      <c r="AM220" s="30">
        <v>1</v>
      </c>
      <c r="AN220" s="33">
        <v>1</v>
      </c>
    </row>
    <row r="221" spans="1:40" outlineLevel="1" x14ac:dyDescent="0.25">
      <c r="A221" s="42"/>
      <c r="B221" s="30"/>
      <c r="C221" s="30" t="s">
        <v>55</v>
      </c>
      <c r="D221" s="30"/>
      <c r="E221" s="30"/>
      <c r="F221" s="30"/>
      <c r="G221" s="30" t="s">
        <v>55</v>
      </c>
      <c r="H221" s="30"/>
      <c r="I221" s="30"/>
      <c r="J221" s="30"/>
      <c r="K221" s="30" t="s">
        <v>55</v>
      </c>
      <c r="L221" s="30"/>
      <c r="M221" s="30"/>
      <c r="N221" s="30"/>
      <c r="O221" s="30" t="s">
        <v>55</v>
      </c>
      <c r="P221" s="30"/>
      <c r="Q221" s="30"/>
      <c r="R221" s="30"/>
      <c r="S221" s="30" t="s">
        <v>55</v>
      </c>
      <c r="T221" s="30"/>
      <c r="U221" s="30"/>
      <c r="V221" s="30"/>
      <c r="W221" s="30" t="s">
        <v>55</v>
      </c>
      <c r="X221" s="30"/>
      <c r="Y221" s="30"/>
      <c r="Z221" s="30"/>
      <c r="AA221" s="30" t="s">
        <v>55</v>
      </c>
      <c r="AB221" s="30"/>
      <c r="AC221" s="30"/>
      <c r="AD221" s="30"/>
      <c r="AE221" s="30" t="s">
        <v>55</v>
      </c>
      <c r="AF221" s="30"/>
      <c r="AG221" s="30"/>
      <c r="AH221" s="30"/>
      <c r="AI221" s="30" t="s">
        <v>55</v>
      </c>
      <c r="AJ221" s="30"/>
      <c r="AK221" s="29"/>
      <c r="AL221" s="29"/>
      <c r="AM221" s="30" t="s">
        <v>55</v>
      </c>
      <c r="AN221" s="31"/>
    </row>
    <row r="222" spans="1:40" outlineLevel="1" x14ac:dyDescent="0.25">
      <c r="A222" s="42"/>
      <c r="B222" s="29" t="s">
        <v>18</v>
      </c>
      <c r="C222" s="30">
        <v>3166</v>
      </c>
      <c r="D222" s="32">
        <v>2914</v>
      </c>
      <c r="E222" s="30"/>
      <c r="F222" s="29" t="s">
        <v>18</v>
      </c>
      <c r="G222" s="30">
        <v>4805</v>
      </c>
      <c r="H222" s="32">
        <v>4345</v>
      </c>
      <c r="I222" s="30"/>
      <c r="J222" s="29" t="s">
        <v>18</v>
      </c>
      <c r="K222" s="30">
        <v>1917</v>
      </c>
      <c r="L222" s="32">
        <v>1634</v>
      </c>
      <c r="M222" s="30"/>
      <c r="N222" s="29" t="s">
        <v>18</v>
      </c>
      <c r="O222" s="30">
        <v>8484</v>
      </c>
      <c r="P222" s="32">
        <v>7651</v>
      </c>
      <c r="Q222" s="30"/>
      <c r="R222" s="29" t="s">
        <v>18</v>
      </c>
      <c r="S222" s="30">
        <v>3514</v>
      </c>
      <c r="T222" s="32">
        <v>3321</v>
      </c>
      <c r="U222" s="30"/>
      <c r="V222" s="29" t="s">
        <v>18</v>
      </c>
      <c r="W222" s="30">
        <v>3326</v>
      </c>
      <c r="X222" s="32">
        <v>2999</v>
      </c>
      <c r="Y222" s="30"/>
      <c r="Z222" s="29" t="s">
        <v>18</v>
      </c>
      <c r="AA222" s="30">
        <v>3414</v>
      </c>
      <c r="AB222" s="32">
        <v>3142</v>
      </c>
      <c r="AC222" s="30"/>
      <c r="AD222" s="29" t="s">
        <v>18</v>
      </c>
      <c r="AE222" s="30">
        <v>3007</v>
      </c>
      <c r="AF222" s="32">
        <v>2623</v>
      </c>
      <c r="AG222" s="30"/>
      <c r="AH222" s="29" t="s">
        <v>18</v>
      </c>
      <c r="AI222" s="30">
        <v>9173</v>
      </c>
      <c r="AJ222" s="32">
        <v>8571</v>
      </c>
      <c r="AK222" s="29"/>
      <c r="AL222" s="29" t="s">
        <v>18</v>
      </c>
      <c r="AM222" s="30">
        <v>5597</v>
      </c>
      <c r="AN222" s="33">
        <v>5058</v>
      </c>
    </row>
    <row r="223" spans="1:40" outlineLevel="1" x14ac:dyDescent="0.25">
      <c r="A223" s="42"/>
      <c r="B223" s="29" t="s">
        <v>20</v>
      </c>
      <c r="C223" s="30">
        <v>119</v>
      </c>
      <c r="D223" s="32">
        <v>101</v>
      </c>
      <c r="E223" s="30"/>
      <c r="F223" s="29" t="s">
        <v>20</v>
      </c>
      <c r="G223" s="30">
        <v>133</v>
      </c>
      <c r="H223" s="32">
        <v>132</v>
      </c>
      <c r="I223" s="30"/>
      <c r="J223" s="29" t="s">
        <v>20</v>
      </c>
      <c r="K223" s="30">
        <v>74</v>
      </c>
      <c r="L223" s="32">
        <v>41</v>
      </c>
      <c r="M223" s="30"/>
      <c r="N223" s="29" t="s">
        <v>20</v>
      </c>
      <c r="O223" s="30">
        <v>248</v>
      </c>
      <c r="P223" s="32">
        <v>183</v>
      </c>
      <c r="Q223" s="30"/>
      <c r="R223" s="29" t="s">
        <v>20</v>
      </c>
      <c r="S223" s="30">
        <v>116</v>
      </c>
      <c r="T223" s="32">
        <v>106</v>
      </c>
      <c r="U223" s="30"/>
      <c r="V223" s="29" t="s">
        <v>20</v>
      </c>
      <c r="W223" s="30">
        <v>116</v>
      </c>
      <c r="X223" s="32">
        <v>71</v>
      </c>
      <c r="Y223" s="30"/>
      <c r="Z223" s="29" t="s">
        <v>20</v>
      </c>
      <c r="AA223" s="30">
        <v>113</v>
      </c>
      <c r="AB223" s="32">
        <v>88</v>
      </c>
      <c r="AC223" s="30"/>
      <c r="AD223" s="29" t="s">
        <v>20</v>
      </c>
      <c r="AE223" s="30">
        <v>102</v>
      </c>
      <c r="AF223" s="32">
        <v>49</v>
      </c>
      <c r="AG223" s="30"/>
      <c r="AH223" s="29" t="s">
        <v>20</v>
      </c>
      <c r="AI223" s="30">
        <v>271</v>
      </c>
      <c r="AJ223" s="32">
        <v>260</v>
      </c>
      <c r="AK223" s="29"/>
      <c r="AL223" s="29" t="s">
        <v>20</v>
      </c>
      <c r="AM223" s="30">
        <v>174</v>
      </c>
      <c r="AN223" s="33">
        <v>136</v>
      </c>
    </row>
    <row r="224" spans="1:40" outlineLevel="1" x14ac:dyDescent="0.25">
      <c r="A224" s="42"/>
      <c r="B224" s="29" t="s">
        <v>22</v>
      </c>
      <c r="C224" s="30">
        <v>114</v>
      </c>
      <c r="D224" s="32">
        <v>111</v>
      </c>
      <c r="E224" s="30"/>
      <c r="F224" s="29" t="s">
        <v>22</v>
      </c>
      <c r="G224" s="30">
        <v>173</v>
      </c>
      <c r="H224" s="32">
        <v>134</v>
      </c>
      <c r="I224" s="30"/>
      <c r="J224" s="29" t="s">
        <v>22</v>
      </c>
      <c r="K224" s="30">
        <v>69</v>
      </c>
      <c r="L224" s="32">
        <v>57</v>
      </c>
      <c r="M224" s="30"/>
      <c r="N224" s="29" t="s">
        <v>22</v>
      </c>
      <c r="O224" s="30">
        <v>289</v>
      </c>
      <c r="P224" s="32">
        <v>251</v>
      </c>
      <c r="Q224" s="30"/>
      <c r="R224" s="29" t="s">
        <v>22</v>
      </c>
      <c r="S224" s="30">
        <v>161</v>
      </c>
      <c r="T224" s="32">
        <v>124</v>
      </c>
      <c r="U224" s="30"/>
      <c r="V224" s="29" t="s">
        <v>22</v>
      </c>
      <c r="W224" s="30">
        <v>135</v>
      </c>
      <c r="X224" s="32">
        <v>107</v>
      </c>
      <c r="Y224" s="30"/>
      <c r="Z224" s="29" t="s">
        <v>22</v>
      </c>
      <c r="AA224" s="30">
        <v>135</v>
      </c>
      <c r="AB224" s="32">
        <v>118</v>
      </c>
      <c r="AC224" s="30"/>
      <c r="AD224" s="29" t="s">
        <v>22</v>
      </c>
      <c r="AE224" s="30">
        <v>117</v>
      </c>
      <c r="AF224" s="32">
        <v>100</v>
      </c>
      <c r="AG224" s="30"/>
      <c r="AH224" s="29" t="s">
        <v>22</v>
      </c>
      <c r="AI224" s="30">
        <v>321</v>
      </c>
      <c r="AJ224" s="32">
        <v>295</v>
      </c>
      <c r="AK224" s="29"/>
      <c r="AL224" s="29" t="s">
        <v>22</v>
      </c>
      <c r="AM224" s="30">
        <v>206</v>
      </c>
      <c r="AN224" s="33">
        <v>177</v>
      </c>
    </row>
    <row r="225" spans="1:40" outlineLevel="1" x14ac:dyDescent="0.25">
      <c r="A225" s="42"/>
      <c r="B225" s="29" t="s">
        <v>23</v>
      </c>
      <c r="C225" s="30">
        <v>113</v>
      </c>
      <c r="D225" s="32">
        <v>111</v>
      </c>
      <c r="E225" s="30"/>
      <c r="F225" s="29" t="s">
        <v>23</v>
      </c>
      <c r="G225" s="30">
        <v>165</v>
      </c>
      <c r="H225" s="32">
        <v>169</v>
      </c>
      <c r="I225" s="30"/>
      <c r="J225" s="29" t="s">
        <v>23</v>
      </c>
      <c r="K225" s="30">
        <v>87</v>
      </c>
      <c r="L225" s="32">
        <v>66</v>
      </c>
      <c r="M225" s="30"/>
      <c r="N225" s="29" t="s">
        <v>23</v>
      </c>
      <c r="O225" s="30">
        <v>358</v>
      </c>
      <c r="P225" s="32">
        <v>293</v>
      </c>
      <c r="Q225" s="30"/>
      <c r="R225" s="29" t="s">
        <v>23</v>
      </c>
      <c r="S225" s="30">
        <v>175</v>
      </c>
      <c r="T225" s="32">
        <v>163</v>
      </c>
      <c r="U225" s="30"/>
      <c r="V225" s="29" t="s">
        <v>23</v>
      </c>
      <c r="W225" s="30">
        <v>133</v>
      </c>
      <c r="X225" s="32">
        <v>122</v>
      </c>
      <c r="Y225" s="30"/>
      <c r="Z225" s="29" t="s">
        <v>23</v>
      </c>
      <c r="AA225" s="30">
        <v>170</v>
      </c>
      <c r="AB225" s="32">
        <v>129</v>
      </c>
      <c r="AC225" s="30"/>
      <c r="AD225" s="29" t="s">
        <v>23</v>
      </c>
      <c r="AE225" s="30">
        <v>113</v>
      </c>
      <c r="AF225" s="32">
        <v>115</v>
      </c>
      <c r="AG225" s="30"/>
      <c r="AH225" s="29" t="s">
        <v>23</v>
      </c>
      <c r="AI225" s="30">
        <v>353</v>
      </c>
      <c r="AJ225" s="32">
        <v>319</v>
      </c>
      <c r="AK225" s="29"/>
      <c r="AL225" s="29" t="s">
        <v>23</v>
      </c>
      <c r="AM225" s="30">
        <v>239</v>
      </c>
      <c r="AN225" s="33">
        <v>203</v>
      </c>
    </row>
    <row r="226" spans="1:40" outlineLevel="1" x14ac:dyDescent="0.25">
      <c r="A226" s="42"/>
      <c r="B226" s="29" t="s">
        <v>24</v>
      </c>
      <c r="C226" s="30">
        <v>150</v>
      </c>
      <c r="D226" s="32">
        <v>112</v>
      </c>
      <c r="E226" s="30"/>
      <c r="F226" s="29" t="s">
        <v>24</v>
      </c>
      <c r="G226" s="30">
        <v>266</v>
      </c>
      <c r="H226" s="32">
        <v>156</v>
      </c>
      <c r="I226" s="30"/>
      <c r="J226" s="29" t="s">
        <v>24</v>
      </c>
      <c r="K226" s="30">
        <v>76</v>
      </c>
      <c r="L226" s="32">
        <v>72</v>
      </c>
      <c r="M226" s="30"/>
      <c r="N226" s="29" t="s">
        <v>24</v>
      </c>
      <c r="O226" s="30">
        <v>399</v>
      </c>
      <c r="P226" s="32">
        <v>342</v>
      </c>
      <c r="Q226" s="30"/>
      <c r="R226" s="29" t="s">
        <v>24</v>
      </c>
      <c r="S226" s="30">
        <v>166</v>
      </c>
      <c r="T226" s="32">
        <v>165</v>
      </c>
      <c r="U226" s="30"/>
      <c r="V226" s="29" t="s">
        <v>24</v>
      </c>
      <c r="W226" s="30">
        <v>146</v>
      </c>
      <c r="X226" s="32">
        <v>129</v>
      </c>
      <c r="Y226" s="30"/>
      <c r="Z226" s="29" t="s">
        <v>24</v>
      </c>
      <c r="AA226" s="30">
        <v>174</v>
      </c>
      <c r="AB226" s="32">
        <v>165</v>
      </c>
      <c r="AC226" s="30"/>
      <c r="AD226" s="29" t="s">
        <v>24</v>
      </c>
      <c r="AE226" s="30">
        <v>138</v>
      </c>
      <c r="AF226" s="32">
        <v>106</v>
      </c>
      <c r="AG226" s="30"/>
      <c r="AH226" s="29" t="s">
        <v>24</v>
      </c>
      <c r="AI226" s="30">
        <v>444</v>
      </c>
      <c r="AJ226" s="32">
        <v>355</v>
      </c>
      <c r="AK226" s="29"/>
      <c r="AL226" s="29" t="s">
        <v>24</v>
      </c>
      <c r="AM226" s="30">
        <v>255</v>
      </c>
      <c r="AN226" s="33">
        <v>225</v>
      </c>
    </row>
    <row r="227" spans="1:40" outlineLevel="1" x14ac:dyDescent="0.25">
      <c r="A227" s="42"/>
      <c r="B227" s="29" t="s">
        <v>25</v>
      </c>
      <c r="C227" s="30">
        <v>108</v>
      </c>
      <c r="D227" s="32">
        <v>99</v>
      </c>
      <c r="E227" s="30"/>
      <c r="F227" s="29" t="s">
        <v>25</v>
      </c>
      <c r="G227" s="30">
        <v>177</v>
      </c>
      <c r="H227" s="32">
        <v>182</v>
      </c>
      <c r="I227" s="30"/>
      <c r="J227" s="29" t="s">
        <v>25</v>
      </c>
      <c r="K227" s="30">
        <v>82</v>
      </c>
      <c r="L227" s="32">
        <v>51</v>
      </c>
      <c r="M227" s="30"/>
      <c r="N227" s="29" t="s">
        <v>25</v>
      </c>
      <c r="O227" s="30">
        <v>358</v>
      </c>
      <c r="P227" s="32">
        <v>268</v>
      </c>
      <c r="Q227" s="30"/>
      <c r="R227" s="29" t="s">
        <v>25</v>
      </c>
      <c r="S227" s="30">
        <v>159</v>
      </c>
      <c r="T227" s="32">
        <v>125</v>
      </c>
      <c r="U227" s="30"/>
      <c r="V227" s="29" t="s">
        <v>25</v>
      </c>
      <c r="W227" s="30">
        <v>147</v>
      </c>
      <c r="X227" s="32">
        <v>105</v>
      </c>
      <c r="Y227" s="30"/>
      <c r="Z227" s="29" t="s">
        <v>25</v>
      </c>
      <c r="AA227" s="30">
        <v>140</v>
      </c>
      <c r="AB227" s="32">
        <v>116</v>
      </c>
      <c r="AC227" s="30"/>
      <c r="AD227" s="29" t="s">
        <v>25</v>
      </c>
      <c r="AE227" s="30">
        <v>112</v>
      </c>
      <c r="AF227" s="32">
        <v>88</v>
      </c>
      <c r="AG227" s="30"/>
      <c r="AH227" s="29" t="s">
        <v>25</v>
      </c>
      <c r="AI227" s="30">
        <v>415</v>
      </c>
      <c r="AJ227" s="32">
        <v>328</v>
      </c>
      <c r="AK227" s="29"/>
      <c r="AL227" s="29" t="s">
        <v>25</v>
      </c>
      <c r="AM227" s="30">
        <v>229</v>
      </c>
      <c r="AN227" s="33">
        <v>173</v>
      </c>
    </row>
    <row r="228" spans="1:40" outlineLevel="1" x14ac:dyDescent="0.25">
      <c r="A228" s="42"/>
      <c r="B228" s="29" t="s">
        <v>26</v>
      </c>
      <c r="C228" s="30">
        <v>101</v>
      </c>
      <c r="D228" s="32">
        <v>80</v>
      </c>
      <c r="E228" s="30"/>
      <c r="F228" s="29" t="s">
        <v>26</v>
      </c>
      <c r="G228" s="30">
        <v>183</v>
      </c>
      <c r="H228" s="32">
        <v>136</v>
      </c>
      <c r="I228" s="30"/>
      <c r="J228" s="29" t="s">
        <v>26</v>
      </c>
      <c r="K228" s="30">
        <v>75</v>
      </c>
      <c r="L228" s="32">
        <v>52</v>
      </c>
      <c r="M228" s="30"/>
      <c r="N228" s="29" t="s">
        <v>26</v>
      </c>
      <c r="O228" s="30">
        <v>358</v>
      </c>
      <c r="P228" s="32">
        <v>288</v>
      </c>
      <c r="Q228" s="30"/>
      <c r="R228" s="29" t="s">
        <v>26</v>
      </c>
      <c r="S228" s="30">
        <v>158</v>
      </c>
      <c r="T228" s="32">
        <v>127</v>
      </c>
      <c r="U228" s="30"/>
      <c r="V228" s="29" t="s">
        <v>26</v>
      </c>
      <c r="W228" s="30">
        <v>152</v>
      </c>
      <c r="X228" s="32">
        <v>95</v>
      </c>
      <c r="Y228" s="30"/>
      <c r="Z228" s="29" t="s">
        <v>26</v>
      </c>
      <c r="AA228" s="30">
        <v>129</v>
      </c>
      <c r="AB228" s="32">
        <v>94</v>
      </c>
      <c r="AC228" s="30"/>
      <c r="AD228" s="29" t="s">
        <v>26</v>
      </c>
      <c r="AE228" s="30">
        <v>83</v>
      </c>
      <c r="AF228" s="32">
        <v>74</v>
      </c>
      <c r="AG228" s="30"/>
      <c r="AH228" s="29" t="s">
        <v>26</v>
      </c>
      <c r="AI228" s="30">
        <v>418</v>
      </c>
      <c r="AJ228" s="32">
        <v>306</v>
      </c>
      <c r="AK228" s="29"/>
      <c r="AL228" s="29" t="s">
        <v>26</v>
      </c>
      <c r="AM228" s="30">
        <v>254</v>
      </c>
      <c r="AN228" s="33">
        <v>140</v>
      </c>
    </row>
    <row r="229" spans="1:40" outlineLevel="1" x14ac:dyDescent="0.25">
      <c r="A229" s="42"/>
      <c r="B229" s="29" t="s">
        <v>27</v>
      </c>
      <c r="C229" s="30">
        <v>154</v>
      </c>
      <c r="D229" s="32">
        <v>97</v>
      </c>
      <c r="E229" s="30"/>
      <c r="F229" s="29" t="s">
        <v>27</v>
      </c>
      <c r="G229" s="30">
        <v>213</v>
      </c>
      <c r="H229" s="32">
        <v>163</v>
      </c>
      <c r="I229" s="30"/>
      <c r="J229" s="29" t="s">
        <v>27</v>
      </c>
      <c r="K229" s="30">
        <v>91</v>
      </c>
      <c r="L229" s="32">
        <v>61</v>
      </c>
      <c r="M229" s="30"/>
      <c r="N229" s="29" t="s">
        <v>27</v>
      </c>
      <c r="O229" s="30">
        <v>333</v>
      </c>
      <c r="P229" s="32">
        <v>317</v>
      </c>
      <c r="Q229" s="30"/>
      <c r="R229" s="29" t="s">
        <v>27</v>
      </c>
      <c r="S229" s="30">
        <v>190</v>
      </c>
      <c r="T229" s="32">
        <v>179</v>
      </c>
      <c r="U229" s="30"/>
      <c r="V229" s="29" t="s">
        <v>27</v>
      </c>
      <c r="W229" s="30">
        <v>150</v>
      </c>
      <c r="X229" s="32">
        <v>135</v>
      </c>
      <c r="Y229" s="30"/>
      <c r="Z229" s="29" t="s">
        <v>27</v>
      </c>
      <c r="AA229" s="30">
        <v>161</v>
      </c>
      <c r="AB229" s="32">
        <v>114</v>
      </c>
      <c r="AC229" s="30"/>
      <c r="AD229" s="29" t="s">
        <v>27</v>
      </c>
      <c r="AE229" s="30">
        <v>124</v>
      </c>
      <c r="AF229" s="32">
        <v>69</v>
      </c>
      <c r="AG229" s="30"/>
      <c r="AH229" s="29" t="s">
        <v>27</v>
      </c>
      <c r="AI229" s="30">
        <v>442</v>
      </c>
      <c r="AJ229" s="32">
        <v>415</v>
      </c>
      <c r="AK229" s="29"/>
      <c r="AL229" s="29" t="s">
        <v>27</v>
      </c>
      <c r="AM229" s="30">
        <v>224</v>
      </c>
      <c r="AN229" s="33">
        <v>217</v>
      </c>
    </row>
    <row r="230" spans="1:40" outlineLevel="1" x14ac:dyDescent="0.25">
      <c r="A230" s="42"/>
      <c r="B230" s="29" t="s">
        <v>28</v>
      </c>
      <c r="C230" s="30">
        <v>134</v>
      </c>
      <c r="D230" s="32">
        <v>141</v>
      </c>
      <c r="E230" s="30"/>
      <c r="F230" s="29" t="s">
        <v>28</v>
      </c>
      <c r="G230" s="30">
        <v>215</v>
      </c>
      <c r="H230" s="32">
        <v>214</v>
      </c>
      <c r="I230" s="30"/>
      <c r="J230" s="29" t="s">
        <v>28</v>
      </c>
      <c r="K230" s="30">
        <v>67</v>
      </c>
      <c r="L230" s="32">
        <v>69</v>
      </c>
      <c r="M230" s="30"/>
      <c r="N230" s="29" t="s">
        <v>28</v>
      </c>
      <c r="O230" s="30">
        <v>425</v>
      </c>
      <c r="P230" s="32">
        <v>333</v>
      </c>
      <c r="Q230" s="30"/>
      <c r="R230" s="29" t="s">
        <v>28</v>
      </c>
      <c r="S230" s="30">
        <v>192</v>
      </c>
      <c r="T230" s="32">
        <v>187</v>
      </c>
      <c r="U230" s="30"/>
      <c r="V230" s="29" t="s">
        <v>28</v>
      </c>
      <c r="W230" s="30">
        <v>169</v>
      </c>
      <c r="X230" s="32">
        <v>148</v>
      </c>
      <c r="Y230" s="30"/>
      <c r="Z230" s="29" t="s">
        <v>28</v>
      </c>
      <c r="AA230" s="30">
        <v>179</v>
      </c>
      <c r="AB230" s="32">
        <v>162</v>
      </c>
      <c r="AC230" s="30"/>
      <c r="AD230" s="29" t="s">
        <v>28</v>
      </c>
      <c r="AE230" s="30">
        <v>120</v>
      </c>
      <c r="AF230" s="32">
        <v>107</v>
      </c>
      <c r="AG230" s="30"/>
      <c r="AH230" s="29" t="s">
        <v>28</v>
      </c>
      <c r="AI230" s="30">
        <v>461</v>
      </c>
      <c r="AJ230" s="32">
        <v>449</v>
      </c>
      <c r="AK230" s="29"/>
      <c r="AL230" s="29" t="s">
        <v>28</v>
      </c>
      <c r="AM230" s="30">
        <v>303</v>
      </c>
      <c r="AN230" s="33">
        <v>208</v>
      </c>
    </row>
    <row r="231" spans="1:40" outlineLevel="1" x14ac:dyDescent="0.25">
      <c r="A231" s="42"/>
      <c r="B231" s="29" t="s">
        <v>29</v>
      </c>
      <c r="C231" s="30">
        <v>116</v>
      </c>
      <c r="D231" s="32">
        <v>133</v>
      </c>
      <c r="E231" s="30"/>
      <c r="F231" s="29" t="s">
        <v>29</v>
      </c>
      <c r="G231" s="30">
        <v>247</v>
      </c>
      <c r="H231" s="32">
        <v>196</v>
      </c>
      <c r="I231" s="30"/>
      <c r="J231" s="29" t="s">
        <v>29</v>
      </c>
      <c r="K231" s="30">
        <v>68</v>
      </c>
      <c r="L231" s="32">
        <v>62</v>
      </c>
      <c r="M231" s="30"/>
      <c r="N231" s="29" t="s">
        <v>29</v>
      </c>
      <c r="O231" s="30">
        <v>409</v>
      </c>
      <c r="P231" s="32">
        <v>423</v>
      </c>
      <c r="Q231" s="30"/>
      <c r="R231" s="29" t="s">
        <v>29</v>
      </c>
      <c r="S231" s="30">
        <v>179</v>
      </c>
      <c r="T231" s="32">
        <v>198</v>
      </c>
      <c r="U231" s="30"/>
      <c r="V231" s="29" t="s">
        <v>29</v>
      </c>
      <c r="W231" s="30">
        <v>156</v>
      </c>
      <c r="X231" s="32">
        <v>168</v>
      </c>
      <c r="Y231" s="30"/>
      <c r="Z231" s="29" t="s">
        <v>29</v>
      </c>
      <c r="AA231" s="30">
        <v>182</v>
      </c>
      <c r="AB231" s="32">
        <v>172</v>
      </c>
      <c r="AC231" s="30"/>
      <c r="AD231" s="29" t="s">
        <v>29</v>
      </c>
      <c r="AE231" s="30">
        <v>129</v>
      </c>
      <c r="AF231" s="32">
        <v>106</v>
      </c>
      <c r="AG231" s="30"/>
      <c r="AH231" s="29" t="s">
        <v>29</v>
      </c>
      <c r="AI231" s="30">
        <v>510</v>
      </c>
      <c r="AJ231" s="32">
        <v>454</v>
      </c>
      <c r="AK231" s="29"/>
      <c r="AL231" s="29" t="s">
        <v>29</v>
      </c>
      <c r="AM231" s="30">
        <v>274</v>
      </c>
      <c r="AN231" s="33">
        <v>291</v>
      </c>
    </row>
    <row r="232" spans="1:40" outlineLevel="1" x14ac:dyDescent="0.25">
      <c r="A232" s="42"/>
      <c r="B232" s="29" t="s">
        <v>31</v>
      </c>
      <c r="C232" s="30">
        <v>155</v>
      </c>
      <c r="D232" s="32">
        <v>118</v>
      </c>
      <c r="E232" s="30"/>
      <c r="F232" s="29" t="s">
        <v>31</v>
      </c>
      <c r="G232" s="30">
        <v>254</v>
      </c>
      <c r="H232" s="32">
        <v>238</v>
      </c>
      <c r="I232" s="30"/>
      <c r="J232" s="29" t="s">
        <v>31</v>
      </c>
      <c r="K232" s="30">
        <v>82</v>
      </c>
      <c r="L232" s="32">
        <v>63</v>
      </c>
      <c r="M232" s="30"/>
      <c r="N232" s="29" t="s">
        <v>31</v>
      </c>
      <c r="O232" s="30">
        <v>416</v>
      </c>
      <c r="P232" s="32">
        <v>417</v>
      </c>
      <c r="Q232" s="30"/>
      <c r="R232" s="29" t="s">
        <v>31</v>
      </c>
      <c r="S232" s="30">
        <v>197</v>
      </c>
      <c r="T232" s="32">
        <v>183</v>
      </c>
      <c r="U232" s="30"/>
      <c r="V232" s="29" t="s">
        <v>31</v>
      </c>
      <c r="W232" s="30">
        <v>180</v>
      </c>
      <c r="X232" s="32">
        <v>148</v>
      </c>
      <c r="Y232" s="30"/>
      <c r="Z232" s="29" t="s">
        <v>31</v>
      </c>
      <c r="AA232" s="30">
        <v>184</v>
      </c>
      <c r="AB232" s="32">
        <v>170</v>
      </c>
      <c r="AC232" s="30"/>
      <c r="AD232" s="29" t="s">
        <v>31</v>
      </c>
      <c r="AE232" s="30">
        <v>156</v>
      </c>
      <c r="AF232" s="32">
        <v>130</v>
      </c>
      <c r="AG232" s="30"/>
      <c r="AH232" s="29" t="s">
        <v>31</v>
      </c>
      <c r="AI232" s="30">
        <v>530</v>
      </c>
      <c r="AJ232" s="32">
        <v>500</v>
      </c>
      <c r="AK232" s="29"/>
      <c r="AL232" s="29" t="s">
        <v>31</v>
      </c>
      <c r="AM232" s="30">
        <v>305</v>
      </c>
      <c r="AN232" s="33">
        <v>272</v>
      </c>
    </row>
    <row r="233" spans="1:40" outlineLevel="1" x14ac:dyDescent="0.25">
      <c r="A233" s="42"/>
      <c r="B233" s="29" t="s">
        <v>33</v>
      </c>
      <c r="C233" s="30">
        <v>196</v>
      </c>
      <c r="D233" s="32">
        <v>149</v>
      </c>
      <c r="E233" s="30"/>
      <c r="F233" s="29" t="s">
        <v>33</v>
      </c>
      <c r="G233" s="30">
        <v>287</v>
      </c>
      <c r="H233" s="32">
        <v>250</v>
      </c>
      <c r="I233" s="30"/>
      <c r="J233" s="29" t="s">
        <v>33</v>
      </c>
      <c r="K233" s="30">
        <v>127</v>
      </c>
      <c r="L233" s="32">
        <v>78</v>
      </c>
      <c r="M233" s="30"/>
      <c r="N233" s="29" t="s">
        <v>33</v>
      </c>
      <c r="O233" s="30">
        <v>501</v>
      </c>
      <c r="P233" s="32">
        <v>413</v>
      </c>
      <c r="Q233" s="30"/>
      <c r="R233" s="29" t="s">
        <v>33</v>
      </c>
      <c r="S233" s="30">
        <v>208</v>
      </c>
      <c r="T233" s="32">
        <v>191</v>
      </c>
      <c r="U233" s="30"/>
      <c r="V233" s="29" t="s">
        <v>33</v>
      </c>
      <c r="W233" s="30">
        <v>231</v>
      </c>
      <c r="X233" s="32">
        <v>181</v>
      </c>
      <c r="Y233" s="30"/>
      <c r="Z233" s="29" t="s">
        <v>33</v>
      </c>
      <c r="AA233" s="30">
        <v>209</v>
      </c>
      <c r="AB233" s="32">
        <v>179</v>
      </c>
      <c r="AC233" s="30"/>
      <c r="AD233" s="29" t="s">
        <v>33</v>
      </c>
      <c r="AE233" s="30">
        <v>176</v>
      </c>
      <c r="AF233" s="32">
        <v>148</v>
      </c>
      <c r="AG233" s="30"/>
      <c r="AH233" s="29" t="s">
        <v>33</v>
      </c>
      <c r="AI233" s="30">
        <v>595</v>
      </c>
      <c r="AJ233" s="32">
        <v>526</v>
      </c>
      <c r="AK233" s="29"/>
      <c r="AL233" s="29" t="s">
        <v>33</v>
      </c>
      <c r="AM233" s="30">
        <v>364</v>
      </c>
      <c r="AN233" s="33">
        <v>307</v>
      </c>
    </row>
    <row r="234" spans="1:40" outlineLevel="1" x14ac:dyDescent="0.25">
      <c r="A234" s="42"/>
      <c r="B234" s="29" t="s">
        <v>35</v>
      </c>
      <c r="C234" s="30">
        <v>230</v>
      </c>
      <c r="D234" s="32">
        <v>197</v>
      </c>
      <c r="E234" s="30"/>
      <c r="F234" s="29" t="s">
        <v>35</v>
      </c>
      <c r="G234" s="30">
        <v>376</v>
      </c>
      <c r="H234" s="32">
        <v>278</v>
      </c>
      <c r="I234" s="30"/>
      <c r="J234" s="29" t="s">
        <v>35</v>
      </c>
      <c r="K234" s="30">
        <v>160</v>
      </c>
      <c r="L234" s="32">
        <v>125</v>
      </c>
      <c r="M234" s="30"/>
      <c r="N234" s="29" t="s">
        <v>35</v>
      </c>
      <c r="O234" s="30">
        <v>648</v>
      </c>
      <c r="P234" s="32">
        <v>495</v>
      </c>
      <c r="Q234" s="30"/>
      <c r="R234" s="29" t="s">
        <v>35</v>
      </c>
      <c r="S234" s="30">
        <v>250</v>
      </c>
      <c r="T234" s="32">
        <v>204</v>
      </c>
      <c r="U234" s="30"/>
      <c r="V234" s="29" t="s">
        <v>35</v>
      </c>
      <c r="W234" s="30">
        <v>288</v>
      </c>
      <c r="X234" s="32">
        <v>223</v>
      </c>
      <c r="Y234" s="30"/>
      <c r="Z234" s="29" t="s">
        <v>35</v>
      </c>
      <c r="AA234" s="30">
        <v>264</v>
      </c>
      <c r="AB234" s="32">
        <v>204</v>
      </c>
      <c r="AC234" s="30"/>
      <c r="AD234" s="29" t="s">
        <v>35</v>
      </c>
      <c r="AE234" s="30">
        <v>218</v>
      </c>
      <c r="AF234" s="32">
        <v>172</v>
      </c>
      <c r="AG234" s="30"/>
      <c r="AH234" s="29" t="s">
        <v>35</v>
      </c>
      <c r="AI234" s="30">
        <v>722</v>
      </c>
      <c r="AJ234" s="32">
        <v>581</v>
      </c>
      <c r="AK234" s="29"/>
      <c r="AL234" s="29" t="s">
        <v>35</v>
      </c>
      <c r="AM234" s="30">
        <v>437</v>
      </c>
      <c r="AN234" s="33">
        <v>361</v>
      </c>
    </row>
    <row r="235" spans="1:40" outlineLevel="1" x14ac:dyDescent="0.25">
      <c r="A235" s="42"/>
      <c r="B235" s="29" t="s">
        <v>37</v>
      </c>
      <c r="C235" s="30">
        <v>271</v>
      </c>
      <c r="D235" s="32">
        <v>230</v>
      </c>
      <c r="E235" s="30"/>
      <c r="F235" s="29" t="s">
        <v>37</v>
      </c>
      <c r="G235" s="30">
        <v>395</v>
      </c>
      <c r="H235" s="32">
        <v>371</v>
      </c>
      <c r="I235" s="30"/>
      <c r="J235" s="29" t="s">
        <v>37</v>
      </c>
      <c r="K235" s="30">
        <v>157</v>
      </c>
      <c r="L235" s="32">
        <v>155</v>
      </c>
      <c r="M235" s="30"/>
      <c r="N235" s="29" t="s">
        <v>37</v>
      </c>
      <c r="O235" s="30">
        <v>702</v>
      </c>
      <c r="P235" s="32">
        <v>630</v>
      </c>
      <c r="Q235" s="30"/>
      <c r="R235" s="29" t="s">
        <v>37</v>
      </c>
      <c r="S235" s="30">
        <v>317</v>
      </c>
      <c r="T235" s="32">
        <v>243</v>
      </c>
      <c r="U235" s="30"/>
      <c r="V235" s="29" t="s">
        <v>37</v>
      </c>
      <c r="W235" s="30">
        <v>298</v>
      </c>
      <c r="X235" s="32">
        <v>281</v>
      </c>
      <c r="Y235" s="30"/>
      <c r="Z235" s="29" t="s">
        <v>37</v>
      </c>
      <c r="AA235" s="30">
        <v>260</v>
      </c>
      <c r="AB235" s="32">
        <v>250</v>
      </c>
      <c r="AC235" s="30"/>
      <c r="AD235" s="29" t="s">
        <v>37</v>
      </c>
      <c r="AE235" s="30">
        <v>242</v>
      </c>
      <c r="AF235" s="32">
        <v>213</v>
      </c>
      <c r="AG235" s="30"/>
      <c r="AH235" s="29" t="s">
        <v>37</v>
      </c>
      <c r="AI235" s="30">
        <v>729</v>
      </c>
      <c r="AJ235" s="32">
        <v>711</v>
      </c>
      <c r="AK235" s="29"/>
      <c r="AL235" s="29" t="s">
        <v>37</v>
      </c>
      <c r="AM235" s="30">
        <v>428</v>
      </c>
      <c r="AN235" s="33">
        <v>436</v>
      </c>
    </row>
    <row r="236" spans="1:40" outlineLevel="1" x14ac:dyDescent="0.25">
      <c r="A236" s="42"/>
      <c r="B236" s="29" t="s">
        <v>39</v>
      </c>
      <c r="C236" s="30">
        <v>205</v>
      </c>
      <c r="D236" s="32">
        <v>267</v>
      </c>
      <c r="E236" s="30"/>
      <c r="F236" s="29" t="s">
        <v>39</v>
      </c>
      <c r="G236" s="30">
        <v>267</v>
      </c>
      <c r="H236" s="32">
        <v>386</v>
      </c>
      <c r="I236" s="30"/>
      <c r="J236" s="29" t="s">
        <v>39</v>
      </c>
      <c r="K236" s="30">
        <v>110</v>
      </c>
      <c r="L236" s="32">
        <v>152</v>
      </c>
      <c r="M236" s="30"/>
      <c r="N236" s="29" t="s">
        <v>39</v>
      </c>
      <c r="O236" s="30">
        <v>574</v>
      </c>
      <c r="P236" s="32">
        <v>686</v>
      </c>
      <c r="Q236" s="30"/>
      <c r="R236" s="29" t="s">
        <v>39</v>
      </c>
      <c r="S236" s="30">
        <v>197</v>
      </c>
      <c r="T236" s="32">
        <v>317</v>
      </c>
      <c r="U236" s="30"/>
      <c r="V236" s="29" t="s">
        <v>39</v>
      </c>
      <c r="W236" s="30">
        <v>167</v>
      </c>
      <c r="X236" s="32">
        <v>291</v>
      </c>
      <c r="Y236" s="30"/>
      <c r="Z236" s="29" t="s">
        <v>39</v>
      </c>
      <c r="AA236" s="30">
        <v>220</v>
      </c>
      <c r="AB236" s="32">
        <v>255</v>
      </c>
      <c r="AC236" s="30"/>
      <c r="AD236" s="29" t="s">
        <v>39</v>
      </c>
      <c r="AE236" s="30">
        <v>183</v>
      </c>
      <c r="AF236" s="32">
        <v>239</v>
      </c>
      <c r="AG236" s="30"/>
      <c r="AH236" s="29" t="s">
        <v>39</v>
      </c>
      <c r="AI236" s="30">
        <v>644</v>
      </c>
      <c r="AJ236" s="32">
        <v>713</v>
      </c>
      <c r="AK236" s="29"/>
      <c r="AL236" s="29" t="s">
        <v>39</v>
      </c>
      <c r="AM236" s="30">
        <v>319</v>
      </c>
      <c r="AN236" s="33">
        <v>419</v>
      </c>
    </row>
    <row r="237" spans="1:40" outlineLevel="1" x14ac:dyDescent="0.25">
      <c r="A237" s="42"/>
      <c r="B237" s="29" t="s">
        <v>41</v>
      </c>
      <c r="C237" s="30">
        <v>207</v>
      </c>
      <c r="D237" s="32">
        <v>197</v>
      </c>
      <c r="E237" s="30"/>
      <c r="F237" s="29" t="s">
        <v>41</v>
      </c>
      <c r="G237" s="30">
        <v>294</v>
      </c>
      <c r="H237" s="32">
        <v>271</v>
      </c>
      <c r="I237" s="30"/>
      <c r="J237" s="29" t="s">
        <v>41</v>
      </c>
      <c r="K237" s="30">
        <v>106</v>
      </c>
      <c r="L237" s="32">
        <v>105</v>
      </c>
      <c r="M237" s="30"/>
      <c r="N237" s="29" t="s">
        <v>41</v>
      </c>
      <c r="O237" s="30">
        <v>556</v>
      </c>
      <c r="P237" s="32">
        <v>558</v>
      </c>
      <c r="Q237" s="30"/>
      <c r="R237" s="29" t="s">
        <v>41</v>
      </c>
      <c r="S237" s="30">
        <v>166</v>
      </c>
      <c r="T237" s="32">
        <v>191</v>
      </c>
      <c r="U237" s="30"/>
      <c r="V237" s="29" t="s">
        <v>41</v>
      </c>
      <c r="W237" s="30">
        <v>193</v>
      </c>
      <c r="X237" s="32">
        <v>163</v>
      </c>
      <c r="Y237" s="30"/>
      <c r="Z237" s="29" t="s">
        <v>41</v>
      </c>
      <c r="AA237" s="30">
        <v>196</v>
      </c>
      <c r="AB237" s="32">
        <v>212</v>
      </c>
      <c r="AC237" s="30"/>
      <c r="AD237" s="29" t="s">
        <v>41</v>
      </c>
      <c r="AE237" s="30">
        <v>153</v>
      </c>
      <c r="AF237" s="32">
        <v>177</v>
      </c>
      <c r="AG237" s="30"/>
      <c r="AH237" s="29" t="s">
        <v>41</v>
      </c>
      <c r="AI237" s="30">
        <v>576</v>
      </c>
      <c r="AJ237" s="32">
        <v>629</v>
      </c>
      <c r="AK237" s="29"/>
      <c r="AL237" s="29" t="s">
        <v>41</v>
      </c>
      <c r="AM237" s="30">
        <v>315</v>
      </c>
      <c r="AN237" s="33">
        <v>312</v>
      </c>
    </row>
    <row r="238" spans="1:40" outlineLevel="1" x14ac:dyDescent="0.25">
      <c r="A238" s="42"/>
      <c r="B238" s="29" t="s">
        <v>43</v>
      </c>
      <c r="C238" s="30">
        <v>212</v>
      </c>
      <c r="D238" s="32">
        <v>185</v>
      </c>
      <c r="E238" s="30"/>
      <c r="F238" s="29" t="s">
        <v>43</v>
      </c>
      <c r="G238" s="30">
        <v>350</v>
      </c>
      <c r="H238" s="32">
        <v>276</v>
      </c>
      <c r="I238" s="30"/>
      <c r="J238" s="29" t="s">
        <v>43</v>
      </c>
      <c r="K238" s="30">
        <v>127</v>
      </c>
      <c r="L238" s="32">
        <v>98</v>
      </c>
      <c r="M238" s="30"/>
      <c r="N238" s="29" t="s">
        <v>43</v>
      </c>
      <c r="O238" s="30">
        <v>549</v>
      </c>
      <c r="P238" s="32">
        <v>505</v>
      </c>
      <c r="Q238" s="30"/>
      <c r="R238" s="29" t="s">
        <v>43</v>
      </c>
      <c r="S238" s="30">
        <v>190</v>
      </c>
      <c r="T238" s="32">
        <v>157</v>
      </c>
      <c r="U238" s="30"/>
      <c r="V238" s="29" t="s">
        <v>43</v>
      </c>
      <c r="W238" s="30">
        <v>215</v>
      </c>
      <c r="X238" s="32">
        <v>176</v>
      </c>
      <c r="Y238" s="30"/>
      <c r="Z238" s="29" t="s">
        <v>43</v>
      </c>
      <c r="AA238" s="30">
        <v>218</v>
      </c>
      <c r="AB238" s="32">
        <v>180</v>
      </c>
      <c r="AC238" s="30"/>
      <c r="AD238" s="29" t="s">
        <v>43</v>
      </c>
      <c r="AE238" s="30">
        <v>218</v>
      </c>
      <c r="AF238" s="32">
        <v>143</v>
      </c>
      <c r="AG238" s="30"/>
      <c r="AH238" s="29" t="s">
        <v>43</v>
      </c>
      <c r="AI238" s="30">
        <v>540</v>
      </c>
      <c r="AJ238" s="32">
        <v>533</v>
      </c>
      <c r="AK238" s="29"/>
      <c r="AL238" s="29" t="s">
        <v>43</v>
      </c>
      <c r="AM238" s="30">
        <v>390</v>
      </c>
      <c r="AN238" s="33">
        <v>293</v>
      </c>
    </row>
    <row r="239" spans="1:40" outlineLevel="1" x14ac:dyDescent="0.25">
      <c r="A239" s="42"/>
      <c r="B239" s="29" t="s">
        <v>45</v>
      </c>
      <c r="C239" s="30">
        <v>237</v>
      </c>
      <c r="D239" s="32">
        <v>189</v>
      </c>
      <c r="E239" s="30"/>
      <c r="F239" s="29" t="s">
        <v>45</v>
      </c>
      <c r="G239" s="30">
        <v>371</v>
      </c>
      <c r="H239" s="32">
        <v>312</v>
      </c>
      <c r="I239" s="30"/>
      <c r="J239" s="29" t="s">
        <v>45</v>
      </c>
      <c r="K239" s="30">
        <v>149</v>
      </c>
      <c r="L239" s="32">
        <v>108</v>
      </c>
      <c r="M239" s="30"/>
      <c r="N239" s="29" t="s">
        <v>45</v>
      </c>
      <c r="O239" s="30">
        <v>583</v>
      </c>
      <c r="P239" s="32">
        <v>483</v>
      </c>
      <c r="Q239" s="30"/>
      <c r="R239" s="29" t="s">
        <v>45</v>
      </c>
      <c r="S239" s="30">
        <v>193</v>
      </c>
      <c r="T239" s="32">
        <v>169</v>
      </c>
      <c r="U239" s="30"/>
      <c r="V239" s="29" t="s">
        <v>45</v>
      </c>
      <c r="W239" s="30">
        <v>215</v>
      </c>
      <c r="X239" s="32">
        <v>184</v>
      </c>
      <c r="Y239" s="30"/>
      <c r="Z239" s="29" t="s">
        <v>45</v>
      </c>
      <c r="AA239" s="30">
        <v>198</v>
      </c>
      <c r="AB239" s="32">
        <v>200</v>
      </c>
      <c r="AC239" s="30"/>
      <c r="AD239" s="29" t="s">
        <v>45</v>
      </c>
      <c r="AE239" s="30">
        <v>247</v>
      </c>
      <c r="AF239" s="32">
        <v>188</v>
      </c>
      <c r="AG239" s="30"/>
      <c r="AH239" s="29" t="s">
        <v>45</v>
      </c>
      <c r="AI239" s="30">
        <v>555</v>
      </c>
      <c r="AJ239" s="32">
        <v>488</v>
      </c>
      <c r="AK239" s="29"/>
      <c r="AL239" s="29" t="s">
        <v>45</v>
      </c>
      <c r="AM239" s="30">
        <v>391</v>
      </c>
      <c r="AN239" s="33">
        <v>349</v>
      </c>
    </row>
    <row r="240" spans="1:40" outlineLevel="1" x14ac:dyDescent="0.25">
      <c r="A240" s="42"/>
      <c r="B240" s="29" t="s">
        <v>47</v>
      </c>
      <c r="C240" s="30">
        <v>209</v>
      </c>
      <c r="D240" s="32">
        <v>195</v>
      </c>
      <c r="E240" s="30"/>
      <c r="F240" s="29" t="s">
        <v>47</v>
      </c>
      <c r="G240" s="30">
        <v>292</v>
      </c>
      <c r="H240" s="32">
        <v>272</v>
      </c>
      <c r="I240" s="30"/>
      <c r="J240" s="29" t="s">
        <v>47</v>
      </c>
      <c r="K240" s="30">
        <v>135</v>
      </c>
      <c r="L240" s="32">
        <v>110</v>
      </c>
      <c r="M240" s="30"/>
      <c r="N240" s="29" t="s">
        <v>47</v>
      </c>
      <c r="O240" s="30">
        <v>434</v>
      </c>
      <c r="P240" s="32">
        <v>435</v>
      </c>
      <c r="Q240" s="30"/>
      <c r="R240" s="29" t="s">
        <v>47</v>
      </c>
      <c r="S240" s="30">
        <v>166</v>
      </c>
      <c r="T240" s="32">
        <v>144</v>
      </c>
      <c r="U240" s="30"/>
      <c r="V240" s="29" t="s">
        <v>47</v>
      </c>
      <c r="W240" s="30">
        <v>156</v>
      </c>
      <c r="X240" s="32">
        <v>164</v>
      </c>
      <c r="Y240" s="30"/>
      <c r="Z240" s="29" t="s">
        <v>47</v>
      </c>
      <c r="AA240" s="30">
        <v>169</v>
      </c>
      <c r="AB240" s="32">
        <v>155</v>
      </c>
      <c r="AC240" s="30"/>
      <c r="AD240" s="29" t="s">
        <v>47</v>
      </c>
      <c r="AE240" s="30">
        <v>205</v>
      </c>
      <c r="AF240" s="32">
        <v>202</v>
      </c>
      <c r="AG240" s="30"/>
      <c r="AH240" s="29" t="s">
        <v>47</v>
      </c>
      <c r="AI240" s="30">
        <v>388</v>
      </c>
      <c r="AJ240" s="32">
        <v>414</v>
      </c>
      <c r="AK240" s="29"/>
      <c r="AL240" s="29" t="s">
        <v>47</v>
      </c>
      <c r="AM240" s="30">
        <v>293</v>
      </c>
      <c r="AN240" s="33">
        <v>287</v>
      </c>
    </row>
    <row r="241" spans="1:40" outlineLevel="1" x14ac:dyDescent="0.25">
      <c r="A241" s="42"/>
      <c r="B241" s="29" t="s">
        <v>49</v>
      </c>
      <c r="C241" s="30">
        <v>103</v>
      </c>
      <c r="D241" s="32">
        <v>143</v>
      </c>
      <c r="E241" s="30"/>
      <c r="F241" s="29" t="s">
        <v>49</v>
      </c>
      <c r="G241" s="30">
        <v>107</v>
      </c>
      <c r="H241" s="32">
        <v>171</v>
      </c>
      <c r="I241" s="30"/>
      <c r="J241" s="29" t="s">
        <v>49</v>
      </c>
      <c r="K241" s="30">
        <v>56</v>
      </c>
      <c r="L241" s="32">
        <v>69</v>
      </c>
      <c r="M241" s="30"/>
      <c r="N241" s="29" t="s">
        <v>49</v>
      </c>
      <c r="O241" s="30">
        <v>214</v>
      </c>
      <c r="P241" s="32">
        <v>252</v>
      </c>
      <c r="Q241" s="30"/>
      <c r="R241" s="29" t="s">
        <v>49</v>
      </c>
      <c r="S241" s="30">
        <v>77</v>
      </c>
      <c r="T241" s="32">
        <v>108</v>
      </c>
      <c r="U241" s="30"/>
      <c r="V241" s="29" t="s">
        <v>49</v>
      </c>
      <c r="W241" s="30">
        <v>53</v>
      </c>
      <c r="X241" s="32">
        <v>86</v>
      </c>
      <c r="Y241" s="30"/>
      <c r="Z241" s="29" t="s">
        <v>49</v>
      </c>
      <c r="AA241" s="30">
        <v>72</v>
      </c>
      <c r="AB241" s="32">
        <v>105</v>
      </c>
      <c r="AC241" s="30"/>
      <c r="AD241" s="29" t="s">
        <v>49</v>
      </c>
      <c r="AE241" s="30">
        <v>86</v>
      </c>
      <c r="AF241" s="32">
        <v>106</v>
      </c>
      <c r="AG241" s="30"/>
      <c r="AH241" s="29" t="s">
        <v>49</v>
      </c>
      <c r="AI241" s="30">
        <v>206</v>
      </c>
      <c r="AJ241" s="32">
        <v>215</v>
      </c>
      <c r="AK241" s="29"/>
      <c r="AL241" s="29" t="s">
        <v>49</v>
      </c>
      <c r="AM241" s="30">
        <v>136</v>
      </c>
      <c r="AN241" s="33">
        <v>188</v>
      </c>
    </row>
    <row r="242" spans="1:40" outlineLevel="1" x14ac:dyDescent="0.25">
      <c r="A242" s="42"/>
      <c r="B242" s="29" t="s">
        <v>51</v>
      </c>
      <c r="C242" s="30">
        <v>18</v>
      </c>
      <c r="D242" s="32">
        <v>40</v>
      </c>
      <c r="E242" s="30"/>
      <c r="F242" s="29" t="s">
        <v>51</v>
      </c>
      <c r="G242" s="30">
        <v>34</v>
      </c>
      <c r="H242" s="32">
        <v>34</v>
      </c>
      <c r="I242" s="30"/>
      <c r="J242" s="29" t="s">
        <v>51</v>
      </c>
      <c r="K242" s="30">
        <v>5</v>
      </c>
      <c r="L242" s="32">
        <v>19</v>
      </c>
      <c r="M242" s="30"/>
      <c r="N242" s="29" t="s">
        <v>51</v>
      </c>
      <c r="O242" s="30">
        <v>43</v>
      </c>
      <c r="P242" s="32">
        <v>69</v>
      </c>
      <c r="Q242" s="30"/>
      <c r="R242" s="29" t="s">
        <v>51</v>
      </c>
      <c r="S242" s="30">
        <v>23</v>
      </c>
      <c r="T242" s="32">
        <v>35</v>
      </c>
      <c r="U242" s="30"/>
      <c r="V242" s="29" t="s">
        <v>51</v>
      </c>
      <c r="W242" s="30">
        <v>22</v>
      </c>
      <c r="X242" s="32">
        <v>18</v>
      </c>
      <c r="Y242" s="30"/>
      <c r="Z242" s="29" t="s">
        <v>51</v>
      </c>
      <c r="AA242" s="30">
        <v>19</v>
      </c>
      <c r="AB242" s="32">
        <v>32</v>
      </c>
      <c r="AC242" s="30"/>
      <c r="AD242" s="29" t="s">
        <v>51</v>
      </c>
      <c r="AE242" s="30">
        <v>27</v>
      </c>
      <c r="AF242" s="32">
        <v>27</v>
      </c>
      <c r="AG242" s="30"/>
      <c r="AH242" s="29" t="s">
        <v>51</v>
      </c>
      <c r="AI242" s="30">
        <v>45</v>
      </c>
      <c r="AJ242" s="32">
        <v>70</v>
      </c>
      <c r="AK242" s="29"/>
      <c r="AL242" s="29" t="s">
        <v>51</v>
      </c>
      <c r="AM242" s="30">
        <v>49</v>
      </c>
      <c r="AN242" s="33">
        <v>54</v>
      </c>
    </row>
    <row r="243" spans="1:40" ht="19.5" outlineLevel="1" thickBot="1" x14ac:dyDescent="0.3">
      <c r="A243" s="43"/>
      <c r="B243" s="35" t="s">
        <v>53</v>
      </c>
      <c r="C243" s="36">
        <v>0</v>
      </c>
      <c r="D243" s="37">
        <v>1</v>
      </c>
      <c r="E243" s="36"/>
      <c r="F243" s="35" t="s">
        <v>53</v>
      </c>
      <c r="G243" s="36">
        <v>6</v>
      </c>
      <c r="H243" s="37">
        <v>4</v>
      </c>
      <c r="I243" s="36"/>
      <c r="J243" s="35" t="s">
        <v>53</v>
      </c>
      <c r="K243" s="36">
        <v>0</v>
      </c>
      <c r="L243" s="37">
        <v>0</v>
      </c>
      <c r="M243" s="36"/>
      <c r="N243" s="35" t="s">
        <v>53</v>
      </c>
      <c r="O243" s="36">
        <v>8</v>
      </c>
      <c r="P243" s="37">
        <v>10</v>
      </c>
      <c r="Q243" s="36"/>
      <c r="R243" s="35" t="s">
        <v>53</v>
      </c>
      <c r="S243" s="36">
        <v>2</v>
      </c>
      <c r="T243" s="37">
        <v>5</v>
      </c>
      <c r="U243" s="36"/>
      <c r="V243" s="35" t="s">
        <v>53</v>
      </c>
      <c r="W243" s="36">
        <v>4</v>
      </c>
      <c r="X243" s="37">
        <v>4</v>
      </c>
      <c r="Y243" s="36"/>
      <c r="Z243" s="35" t="s">
        <v>53</v>
      </c>
      <c r="AA243" s="36">
        <v>1</v>
      </c>
      <c r="AB243" s="37">
        <v>5</v>
      </c>
      <c r="AC243" s="36"/>
      <c r="AD243" s="35" t="s">
        <v>53</v>
      </c>
      <c r="AE243" s="36">
        <v>2</v>
      </c>
      <c r="AF243" s="37">
        <v>6</v>
      </c>
      <c r="AG243" s="36"/>
      <c r="AH243" s="35" t="s">
        <v>53</v>
      </c>
      <c r="AI243" s="36">
        <v>8</v>
      </c>
      <c r="AJ243" s="37">
        <v>10</v>
      </c>
      <c r="AK243" s="35"/>
      <c r="AL243" s="35" t="s">
        <v>53</v>
      </c>
      <c r="AM243" s="36">
        <v>12</v>
      </c>
      <c r="AN243" s="38">
        <v>10</v>
      </c>
    </row>
    <row r="244" spans="1:40" outlineLevel="1" x14ac:dyDescent="0.25">
      <c r="A244" s="44"/>
      <c r="B244" s="44" t="s">
        <v>79</v>
      </c>
      <c r="C244" s="45">
        <f>SUM(C213:C220,C236:C243)</f>
        <v>2093</v>
      </c>
      <c r="D244" s="45">
        <f>SUM(D213:D220,D236:D243)</f>
        <v>2151</v>
      </c>
      <c r="E244" s="45"/>
      <c r="F244" s="44" t="s">
        <v>79</v>
      </c>
      <c r="G244" s="45">
        <f>SUM(G213:G220,G236:G243)</f>
        <v>3030</v>
      </c>
      <c r="H244" s="45">
        <f>SUM(H213:H220,H236:H243)</f>
        <v>3139</v>
      </c>
      <c r="I244" s="45"/>
      <c r="J244" s="44" t="s">
        <v>79</v>
      </c>
      <c r="K244" s="45">
        <f>SUM(K213:K220,K236:K243)</f>
        <v>1225</v>
      </c>
      <c r="L244" s="45">
        <f>SUM(L213:L220,L236:L243)</f>
        <v>1246</v>
      </c>
      <c r="M244" s="45"/>
      <c r="N244" s="44" t="s">
        <v>79</v>
      </c>
      <c r="O244" s="45">
        <f>SUM(O213:O220,O236:O243)</f>
        <v>5155</v>
      </c>
      <c r="P244" s="45">
        <f>SUM(P213:P220,P236:P243)</f>
        <v>5432</v>
      </c>
      <c r="Q244" s="45"/>
      <c r="R244" s="44" t="s">
        <v>79</v>
      </c>
      <c r="S244" s="45">
        <f>SUM(S213:S220,S236:S243)</f>
        <v>1808</v>
      </c>
      <c r="T244" s="45">
        <f>SUM(T213:T220,T236:T243)</f>
        <v>2037</v>
      </c>
      <c r="U244" s="45"/>
      <c r="V244" s="44" t="s">
        <v>79</v>
      </c>
      <c r="W244" s="45">
        <f>SUM(W213:W220,W236:W243)</f>
        <v>1753</v>
      </c>
      <c r="X244" s="45">
        <f>SUM(X213:X220,X236:X243)</f>
        <v>1925</v>
      </c>
      <c r="Y244" s="45"/>
      <c r="Z244" s="44" t="s">
        <v>79</v>
      </c>
      <c r="AA244" s="45">
        <f>SUM(AA213:AA220,AA236:AA243)</f>
        <v>1920</v>
      </c>
      <c r="AB244" s="45">
        <f>SUM(AB213:AB220,AB236:AB243)</f>
        <v>2087</v>
      </c>
      <c r="AC244" s="45"/>
      <c r="AD244" s="44" t="s">
        <v>79</v>
      </c>
      <c r="AE244" s="45">
        <f>SUM(AE213:AE220,AE236:AE243)</f>
        <v>1885</v>
      </c>
      <c r="AF244" s="45">
        <f>SUM(AF213:AF220,AF236:AF243)</f>
        <v>1918</v>
      </c>
      <c r="AG244" s="45"/>
      <c r="AH244" s="44" t="s">
        <v>79</v>
      </c>
      <c r="AI244" s="45">
        <f>SUM(AI213:AI220,AI236:AI243)</f>
        <v>5189</v>
      </c>
      <c r="AJ244" s="45">
        <f>SUM(AJ213:AJ220,AJ236:AJ243)</f>
        <v>5625</v>
      </c>
      <c r="AK244" s="45"/>
      <c r="AL244" s="44" t="s">
        <v>79</v>
      </c>
      <c r="AM244" s="45">
        <f>SUM(AM213:AM220,AM236:AM243)</f>
        <v>3285</v>
      </c>
      <c r="AN244" s="45">
        <f>SUM(AN213:AN220,AN236:AN243)</f>
        <v>3391</v>
      </c>
    </row>
    <row r="245" spans="1:40" ht="19.5" thickBot="1" x14ac:dyDescent="0.3">
      <c r="A245" s="44"/>
      <c r="B245" s="44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</row>
    <row r="246" spans="1:40" outlineLevel="1" x14ac:dyDescent="0.25">
      <c r="A246" s="24" t="s">
        <v>130</v>
      </c>
      <c r="B246" s="25"/>
      <c r="C246" s="26" t="s">
        <v>1</v>
      </c>
      <c r="D246" s="26" t="s">
        <v>2</v>
      </c>
      <c r="E246" s="25" t="s">
        <v>131</v>
      </c>
      <c r="F246" s="25"/>
      <c r="G246" s="26" t="s">
        <v>1</v>
      </c>
      <c r="H246" s="26" t="s">
        <v>2</v>
      </c>
      <c r="I246" s="25" t="s">
        <v>132</v>
      </c>
      <c r="J246" s="25"/>
      <c r="K246" s="26" t="s">
        <v>1</v>
      </c>
      <c r="L246" s="26" t="s">
        <v>2</v>
      </c>
      <c r="M246" s="25" t="s">
        <v>133</v>
      </c>
      <c r="N246" s="25"/>
      <c r="O246" s="26" t="s">
        <v>1</v>
      </c>
      <c r="P246" s="26" t="s">
        <v>2</v>
      </c>
      <c r="Q246" s="25" t="s">
        <v>134</v>
      </c>
      <c r="R246" s="25"/>
      <c r="S246" s="26" t="s">
        <v>1</v>
      </c>
      <c r="T246" s="26" t="s">
        <v>2</v>
      </c>
      <c r="U246" s="25" t="s">
        <v>135</v>
      </c>
      <c r="V246" s="25"/>
      <c r="W246" s="26" t="s">
        <v>1</v>
      </c>
      <c r="X246" s="26" t="s">
        <v>2</v>
      </c>
      <c r="Y246" s="25" t="s">
        <v>136</v>
      </c>
      <c r="Z246" s="25"/>
      <c r="AA246" s="26" t="s">
        <v>1</v>
      </c>
      <c r="AB246" s="26" t="s">
        <v>2</v>
      </c>
      <c r="AC246" s="25" t="s">
        <v>137</v>
      </c>
      <c r="AD246" s="25"/>
      <c r="AE246" s="26" t="s">
        <v>1</v>
      </c>
      <c r="AF246" s="26" t="s">
        <v>2</v>
      </c>
      <c r="AG246" s="25" t="s">
        <v>138</v>
      </c>
      <c r="AH246" s="25"/>
      <c r="AI246" s="26" t="s">
        <v>1</v>
      </c>
      <c r="AJ246" s="26" t="s">
        <v>2</v>
      </c>
      <c r="AK246" s="25" t="s">
        <v>139</v>
      </c>
      <c r="AL246" s="25"/>
      <c r="AM246" s="26" t="s">
        <v>1</v>
      </c>
      <c r="AN246" s="27" t="s">
        <v>2</v>
      </c>
    </row>
    <row r="247" spans="1:40" outlineLevel="1" x14ac:dyDescent="0.25">
      <c r="A247" s="28">
        <v>1440</v>
      </c>
      <c r="B247" s="29"/>
      <c r="C247" s="30" t="s">
        <v>13</v>
      </c>
      <c r="D247" s="30"/>
      <c r="E247" s="29">
        <v>1443</v>
      </c>
      <c r="F247" s="29"/>
      <c r="G247" s="30" t="s">
        <v>13</v>
      </c>
      <c r="H247" s="30"/>
      <c r="I247" s="29">
        <v>1446</v>
      </c>
      <c r="J247" s="29"/>
      <c r="K247" s="30" t="s">
        <v>13</v>
      </c>
      <c r="L247" s="30"/>
      <c r="M247" s="29">
        <v>1449</v>
      </c>
      <c r="N247" s="29"/>
      <c r="O247" s="30" t="s">
        <v>13</v>
      </c>
      <c r="P247" s="30"/>
      <c r="Q247" s="29">
        <v>1452</v>
      </c>
      <c r="R247" s="29"/>
      <c r="S247" s="30" t="s">
        <v>13</v>
      </c>
      <c r="T247" s="30"/>
      <c r="U247" s="29">
        <v>1455</v>
      </c>
      <c r="V247" s="29"/>
      <c r="W247" s="30" t="s">
        <v>13</v>
      </c>
      <c r="X247" s="30"/>
      <c r="Y247" s="29">
        <v>1458</v>
      </c>
      <c r="Z247" s="29"/>
      <c r="AA247" s="30" t="s">
        <v>13</v>
      </c>
      <c r="AB247" s="30"/>
      <c r="AC247" s="29">
        <v>1461</v>
      </c>
      <c r="AD247" s="29"/>
      <c r="AE247" s="30" t="s">
        <v>13</v>
      </c>
      <c r="AF247" s="30"/>
      <c r="AG247" s="29">
        <v>1467</v>
      </c>
      <c r="AH247" s="29"/>
      <c r="AI247" s="30" t="s">
        <v>13</v>
      </c>
      <c r="AJ247" s="30"/>
      <c r="AK247" s="29">
        <v>1470</v>
      </c>
      <c r="AL247" s="29"/>
      <c r="AM247" s="30" t="s">
        <v>13</v>
      </c>
      <c r="AN247" s="31"/>
    </row>
    <row r="248" spans="1:40" outlineLevel="1" x14ac:dyDescent="0.25">
      <c r="A248" s="28"/>
      <c r="B248" s="29" t="s">
        <v>18</v>
      </c>
      <c r="C248" s="30">
        <v>2586</v>
      </c>
      <c r="D248" s="32">
        <v>2517</v>
      </c>
      <c r="E248" s="29"/>
      <c r="F248" s="29" t="s">
        <v>18</v>
      </c>
      <c r="G248" s="30">
        <v>3615</v>
      </c>
      <c r="H248" s="32">
        <v>3486</v>
      </c>
      <c r="I248" s="29"/>
      <c r="J248" s="29" t="s">
        <v>18</v>
      </c>
      <c r="K248" s="30">
        <v>7053</v>
      </c>
      <c r="L248" s="32">
        <v>6504</v>
      </c>
      <c r="M248" s="29"/>
      <c r="N248" s="29" t="s">
        <v>18</v>
      </c>
      <c r="O248" s="30">
        <v>1385</v>
      </c>
      <c r="P248" s="32">
        <v>1314</v>
      </c>
      <c r="Q248" s="29"/>
      <c r="R248" s="29" t="s">
        <v>18</v>
      </c>
      <c r="S248" s="30">
        <v>5298</v>
      </c>
      <c r="T248" s="32">
        <v>5068</v>
      </c>
      <c r="U248" s="29"/>
      <c r="V248" s="29" t="s">
        <v>18</v>
      </c>
      <c r="W248" s="30">
        <v>3086</v>
      </c>
      <c r="X248" s="32">
        <v>2844</v>
      </c>
      <c r="Y248" s="29"/>
      <c r="Z248" s="29" t="s">
        <v>18</v>
      </c>
      <c r="AA248" s="30">
        <v>9300</v>
      </c>
      <c r="AB248" s="32">
        <v>8426</v>
      </c>
      <c r="AC248" s="29"/>
      <c r="AD248" s="29" t="s">
        <v>18</v>
      </c>
      <c r="AE248" s="30">
        <v>772</v>
      </c>
      <c r="AF248" s="32">
        <v>726</v>
      </c>
      <c r="AG248" s="29"/>
      <c r="AH248" s="29" t="s">
        <v>18</v>
      </c>
      <c r="AI248" s="30">
        <v>3962</v>
      </c>
      <c r="AJ248" s="32">
        <v>3995</v>
      </c>
      <c r="AK248" s="29"/>
      <c r="AL248" s="29" t="s">
        <v>18</v>
      </c>
      <c r="AM248" s="30">
        <v>3134</v>
      </c>
      <c r="AN248" s="33">
        <v>2729</v>
      </c>
    </row>
    <row r="249" spans="1:40" outlineLevel="1" x14ac:dyDescent="0.25">
      <c r="A249" s="28"/>
      <c r="B249" s="29" t="s">
        <v>20</v>
      </c>
      <c r="C249" s="30">
        <v>83</v>
      </c>
      <c r="D249" s="32">
        <v>62</v>
      </c>
      <c r="E249" s="29"/>
      <c r="F249" s="29" t="s">
        <v>20</v>
      </c>
      <c r="G249" s="30">
        <v>114</v>
      </c>
      <c r="H249" s="32">
        <v>115</v>
      </c>
      <c r="I249" s="29"/>
      <c r="J249" s="29" t="s">
        <v>20</v>
      </c>
      <c r="K249" s="30">
        <v>270</v>
      </c>
      <c r="L249" s="32">
        <v>171</v>
      </c>
      <c r="M249" s="29"/>
      <c r="N249" s="29" t="s">
        <v>20</v>
      </c>
      <c r="O249" s="30">
        <v>28</v>
      </c>
      <c r="P249" s="32">
        <v>26</v>
      </c>
      <c r="Q249" s="29"/>
      <c r="R249" s="29" t="s">
        <v>20</v>
      </c>
      <c r="S249" s="30">
        <v>268</v>
      </c>
      <c r="T249" s="32">
        <v>238</v>
      </c>
      <c r="U249" s="29"/>
      <c r="V249" s="29" t="s">
        <v>20</v>
      </c>
      <c r="W249" s="30">
        <v>106</v>
      </c>
      <c r="X249" s="32">
        <v>77</v>
      </c>
      <c r="Y249" s="29"/>
      <c r="Z249" s="29" t="s">
        <v>20</v>
      </c>
      <c r="AA249" s="30">
        <v>342</v>
      </c>
      <c r="AB249" s="32">
        <v>246</v>
      </c>
      <c r="AC249" s="29"/>
      <c r="AD249" s="29" t="s">
        <v>20</v>
      </c>
      <c r="AE249" s="30">
        <v>19</v>
      </c>
      <c r="AF249" s="32">
        <v>20</v>
      </c>
      <c r="AG249" s="29"/>
      <c r="AH249" s="29" t="s">
        <v>20</v>
      </c>
      <c r="AI249" s="30">
        <v>139</v>
      </c>
      <c r="AJ249" s="32">
        <v>172</v>
      </c>
      <c r="AK249" s="29"/>
      <c r="AL249" s="29" t="s">
        <v>20</v>
      </c>
      <c r="AM249" s="30">
        <v>114</v>
      </c>
      <c r="AN249" s="33">
        <v>85</v>
      </c>
    </row>
    <row r="250" spans="1:40" outlineLevel="1" x14ac:dyDescent="0.25">
      <c r="A250" s="28"/>
      <c r="B250" s="29" t="s">
        <v>22</v>
      </c>
      <c r="C250" s="30">
        <v>82</v>
      </c>
      <c r="D250" s="32">
        <v>82</v>
      </c>
      <c r="E250" s="29"/>
      <c r="F250" s="29" t="s">
        <v>22</v>
      </c>
      <c r="G250" s="30">
        <v>134</v>
      </c>
      <c r="H250" s="32">
        <v>96</v>
      </c>
      <c r="I250" s="29"/>
      <c r="J250" s="29" t="s">
        <v>22</v>
      </c>
      <c r="K250" s="30">
        <v>283</v>
      </c>
      <c r="L250" s="32">
        <v>230</v>
      </c>
      <c r="M250" s="29"/>
      <c r="N250" s="29" t="s">
        <v>22</v>
      </c>
      <c r="O250" s="30">
        <v>36</v>
      </c>
      <c r="P250" s="32">
        <v>26</v>
      </c>
      <c r="Q250" s="29"/>
      <c r="R250" s="29" t="s">
        <v>22</v>
      </c>
      <c r="S250" s="30">
        <v>298</v>
      </c>
      <c r="T250" s="32">
        <v>253</v>
      </c>
      <c r="U250" s="29"/>
      <c r="V250" s="29" t="s">
        <v>22</v>
      </c>
      <c r="W250" s="30">
        <v>156</v>
      </c>
      <c r="X250" s="32">
        <v>95</v>
      </c>
      <c r="Y250" s="29"/>
      <c r="Z250" s="29" t="s">
        <v>22</v>
      </c>
      <c r="AA250" s="30">
        <v>355</v>
      </c>
      <c r="AB250" s="32">
        <v>293</v>
      </c>
      <c r="AC250" s="29"/>
      <c r="AD250" s="29" t="s">
        <v>22</v>
      </c>
      <c r="AE250" s="30">
        <v>26</v>
      </c>
      <c r="AF250" s="32">
        <v>18</v>
      </c>
      <c r="AG250" s="29"/>
      <c r="AH250" s="29" t="s">
        <v>22</v>
      </c>
      <c r="AI250" s="30">
        <v>177</v>
      </c>
      <c r="AJ250" s="32">
        <v>168</v>
      </c>
      <c r="AK250" s="29"/>
      <c r="AL250" s="29" t="s">
        <v>22</v>
      </c>
      <c r="AM250" s="30">
        <v>118</v>
      </c>
      <c r="AN250" s="33">
        <v>81</v>
      </c>
    </row>
    <row r="251" spans="1:40" outlineLevel="1" x14ac:dyDescent="0.25">
      <c r="A251" s="28"/>
      <c r="B251" s="29" t="s">
        <v>23</v>
      </c>
      <c r="C251" s="30">
        <v>123</v>
      </c>
      <c r="D251" s="32">
        <v>89</v>
      </c>
      <c r="E251" s="29"/>
      <c r="F251" s="29" t="s">
        <v>23</v>
      </c>
      <c r="G251" s="30">
        <v>180</v>
      </c>
      <c r="H251" s="32">
        <v>109</v>
      </c>
      <c r="I251" s="29"/>
      <c r="J251" s="29" t="s">
        <v>23</v>
      </c>
      <c r="K251" s="30">
        <v>333</v>
      </c>
      <c r="L251" s="32">
        <v>244</v>
      </c>
      <c r="M251" s="29"/>
      <c r="N251" s="29" t="s">
        <v>23</v>
      </c>
      <c r="O251" s="30">
        <v>52</v>
      </c>
      <c r="P251" s="32">
        <v>34</v>
      </c>
      <c r="Q251" s="29"/>
      <c r="R251" s="29" t="s">
        <v>23</v>
      </c>
      <c r="S251" s="30">
        <v>293</v>
      </c>
      <c r="T251" s="32">
        <v>281</v>
      </c>
      <c r="U251" s="29"/>
      <c r="V251" s="29" t="s">
        <v>23</v>
      </c>
      <c r="W251" s="30">
        <v>143</v>
      </c>
      <c r="X251" s="32">
        <v>143</v>
      </c>
      <c r="Y251" s="29"/>
      <c r="Z251" s="29" t="s">
        <v>23</v>
      </c>
      <c r="AA251" s="30">
        <v>416</v>
      </c>
      <c r="AB251" s="32">
        <v>311</v>
      </c>
      <c r="AC251" s="29"/>
      <c r="AD251" s="29" t="s">
        <v>23</v>
      </c>
      <c r="AE251" s="30">
        <v>37</v>
      </c>
      <c r="AF251" s="32">
        <v>23</v>
      </c>
      <c r="AG251" s="29"/>
      <c r="AH251" s="29" t="s">
        <v>23</v>
      </c>
      <c r="AI251" s="30">
        <v>218</v>
      </c>
      <c r="AJ251" s="32">
        <v>195</v>
      </c>
      <c r="AK251" s="29"/>
      <c r="AL251" s="29" t="s">
        <v>23</v>
      </c>
      <c r="AM251" s="30">
        <v>139</v>
      </c>
      <c r="AN251" s="33">
        <v>83</v>
      </c>
    </row>
    <row r="252" spans="1:40" outlineLevel="1" x14ac:dyDescent="0.25">
      <c r="A252" s="28"/>
      <c r="B252" s="29" t="s">
        <v>24</v>
      </c>
      <c r="C252" s="30">
        <v>140</v>
      </c>
      <c r="D252" s="32">
        <v>132</v>
      </c>
      <c r="E252" s="29"/>
      <c r="F252" s="29" t="s">
        <v>24</v>
      </c>
      <c r="G252" s="30">
        <v>193</v>
      </c>
      <c r="H252" s="32">
        <v>146</v>
      </c>
      <c r="I252" s="29"/>
      <c r="J252" s="29" t="s">
        <v>24</v>
      </c>
      <c r="K252" s="30">
        <v>429</v>
      </c>
      <c r="L252" s="32">
        <v>280</v>
      </c>
      <c r="M252" s="29"/>
      <c r="N252" s="29" t="s">
        <v>24</v>
      </c>
      <c r="O252" s="30">
        <v>46</v>
      </c>
      <c r="P252" s="32">
        <v>52</v>
      </c>
      <c r="Q252" s="29"/>
      <c r="R252" s="29" t="s">
        <v>24</v>
      </c>
      <c r="S252" s="30">
        <v>269</v>
      </c>
      <c r="T252" s="32">
        <v>281</v>
      </c>
      <c r="U252" s="29"/>
      <c r="V252" s="29" t="s">
        <v>24</v>
      </c>
      <c r="W252" s="30">
        <v>150</v>
      </c>
      <c r="X252" s="32">
        <v>144</v>
      </c>
      <c r="Y252" s="29"/>
      <c r="Z252" s="29" t="s">
        <v>24</v>
      </c>
      <c r="AA252" s="30">
        <v>464</v>
      </c>
      <c r="AB252" s="32">
        <v>370</v>
      </c>
      <c r="AC252" s="29"/>
      <c r="AD252" s="29" t="s">
        <v>24</v>
      </c>
      <c r="AE252" s="30">
        <v>36</v>
      </c>
      <c r="AF252" s="32">
        <v>31</v>
      </c>
      <c r="AG252" s="29"/>
      <c r="AH252" s="29" t="s">
        <v>24</v>
      </c>
      <c r="AI252" s="30">
        <v>214</v>
      </c>
      <c r="AJ252" s="32">
        <v>215</v>
      </c>
      <c r="AK252" s="29"/>
      <c r="AL252" s="29" t="s">
        <v>24</v>
      </c>
      <c r="AM252" s="30">
        <v>141</v>
      </c>
      <c r="AN252" s="33">
        <v>117</v>
      </c>
    </row>
    <row r="253" spans="1:40" outlineLevel="1" x14ac:dyDescent="0.25">
      <c r="A253" s="28"/>
      <c r="B253" s="29" t="s">
        <v>25</v>
      </c>
      <c r="C253" s="30">
        <v>163</v>
      </c>
      <c r="D253" s="32">
        <v>122</v>
      </c>
      <c r="E253" s="29"/>
      <c r="F253" s="29" t="s">
        <v>25</v>
      </c>
      <c r="G253" s="30">
        <v>219</v>
      </c>
      <c r="H253" s="32">
        <v>170</v>
      </c>
      <c r="I253" s="29"/>
      <c r="J253" s="29" t="s">
        <v>25</v>
      </c>
      <c r="K253" s="30">
        <v>345</v>
      </c>
      <c r="L253" s="32">
        <v>368</v>
      </c>
      <c r="M253" s="29"/>
      <c r="N253" s="29" t="s">
        <v>25</v>
      </c>
      <c r="O253" s="30">
        <v>66</v>
      </c>
      <c r="P253" s="32">
        <v>71</v>
      </c>
      <c r="Q253" s="29"/>
      <c r="R253" s="29" t="s">
        <v>25</v>
      </c>
      <c r="S253" s="30">
        <v>272</v>
      </c>
      <c r="T253" s="32">
        <v>242</v>
      </c>
      <c r="U253" s="29"/>
      <c r="V253" s="29" t="s">
        <v>25</v>
      </c>
      <c r="W253" s="30">
        <v>138</v>
      </c>
      <c r="X253" s="32">
        <v>130</v>
      </c>
      <c r="Y253" s="29"/>
      <c r="Z253" s="29" t="s">
        <v>25</v>
      </c>
      <c r="AA253" s="30">
        <v>459</v>
      </c>
      <c r="AB253" s="32">
        <v>361</v>
      </c>
      <c r="AC253" s="29"/>
      <c r="AD253" s="29" t="s">
        <v>25</v>
      </c>
      <c r="AE253" s="30">
        <v>38</v>
      </c>
      <c r="AF253" s="32">
        <v>36</v>
      </c>
      <c r="AG253" s="29"/>
      <c r="AH253" s="29" t="s">
        <v>25</v>
      </c>
      <c r="AI253" s="30">
        <v>192</v>
      </c>
      <c r="AJ253" s="32">
        <v>193</v>
      </c>
      <c r="AK253" s="29"/>
      <c r="AL253" s="29" t="s">
        <v>25</v>
      </c>
      <c r="AM253" s="30">
        <v>144</v>
      </c>
      <c r="AN253" s="33">
        <v>109</v>
      </c>
    </row>
    <row r="254" spans="1:40" outlineLevel="1" x14ac:dyDescent="0.25">
      <c r="A254" s="28"/>
      <c r="B254" s="29" t="s">
        <v>26</v>
      </c>
      <c r="C254" s="30">
        <v>155</v>
      </c>
      <c r="D254" s="32">
        <v>162</v>
      </c>
      <c r="E254" s="29"/>
      <c r="F254" s="29" t="s">
        <v>26</v>
      </c>
      <c r="G254" s="30">
        <v>157</v>
      </c>
      <c r="H254" s="32">
        <v>191</v>
      </c>
      <c r="I254" s="29"/>
      <c r="J254" s="29" t="s">
        <v>26</v>
      </c>
      <c r="K254" s="30">
        <v>415</v>
      </c>
      <c r="L254" s="32">
        <v>327</v>
      </c>
      <c r="M254" s="29"/>
      <c r="N254" s="29" t="s">
        <v>26</v>
      </c>
      <c r="O254" s="30">
        <v>81</v>
      </c>
      <c r="P254" s="32">
        <v>65</v>
      </c>
      <c r="Q254" s="29"/>
      <c r="R254" s="29" t="s">
        <v>26</v>
      </c>
      <c r="S254" s="30">
        <v>307</v>
      </c>
      <c r="T254" s="32">
        <v>242</v>
      </c>
      <c r="U254" s="29"/>
      <c r="V254" s="29" t="s">
        <v>26</v>
      </c>
      <c r="W254" s="30">
        <v>158</v>
      </c>
      <c r="X254" s="32">
        <v>121</v>
      </c>
      <c r="Y254" s="29"/>
      <c r="Z254" s="29" t="s">
        <v>26</v>
      </c>
      <c r="AA254" s="30">
        <v>432</v>
      </c>
      <c r="AB254" s="32">
        <v>379</v>
      </c>
      <c r="AC254" s="29"/>
      <c r="AD254" s="29" t="s">
        <v>26</v>
      </c>
      <c r="AE254" s="30">
        <v>48</v>
      </c>
      <c r="AF254" s="32">
        <v>29</v>
      </c>
      <c r="AG254" s="29"/>
      <c r="AH254" s="29" t="s">
        <v>26</v>
      </c>
      <c r="AI254" s="30">
        <v>183</v>
      </c>
      <c r="AJ254" s="32">
        <v>187</v>
      </c>
      <c r="AK254" s="29"/>
      <c r="AL254" s="29" t="s">
        <v>26</v>
      </c>
      <c r="AM254" s="30">
        <v>170</v>
      </c>
      <c r="AN254" s="33">
        <v>107</v>
      </c>
    </row>
    <row r="255" spans="1:40" outlineLevel="1" x14ac:dyDescent="0.25">
      <c r="A255" s="28"/>
      <c r="B255" s="29" t="s">
        <v>27</v>
      </c>
      <c r="C255" s="30">
        <v>132</v>
      </c>
      <c r="D255" s="32">
        <v>150</v>
      </c>
      <c r="E255" s="29"/>
      <c r="F255" s="29" t="s">
        <v>27</v>
      </c>
      <c r="G255" s="30">
        <v>174</v>
      </c>
      <c r="H255" s="32">
        <v>169</v>
      </c>
      <c r="I255" s="29"/>
      <c r="J255" s="29" t="s">
        <v>27</v>
      </c>
      <c r="K255" s="30">
        <v>396</v>
      </c>
      <c r="L255" s="32">
        <v>359</v>
      </c>
      <c r="M255" s="29"/>
      <c r="N255" s="29" t="s">
        <v>27</v>
      </c>
      <c r="O255" s="30">
        <v>65</v>
      </c>
      <c r="P255" s="32">
        <v>69</v>
      </c>
      <c r="Q255" s="29"/>
      <c r="R255" s="29" t="s">
        <v>27</v>
      </c>
      <c r="S255" s="30">
        <v>375</v>
      </c>
      <c r="T255" s="32">
        <v>288</v>
      </c>
      <c r="U255" s="29"/>
      <c r="V255" s="29" t="s">
        <v>27</v>
      </c>
      <c r="W255" s="30">
        <v>194</v>
      </c>
      <c r="X255" s="32">
        <v>141</v>
      </c>
      <c r="Y255" s="29"/>
      <c r="Z255" s="29" t="s">
        <v>27</v>
      </c>
      <c r="AA255" s="30">
        <v>549</v>
      </c>
      <c r="AB255" s="32">
        <v>388</v>
      </c>
      <c r="AC255" s="29"/>
      <c r="AD255" s="29" t="s">
        <v>27</v>
      </c>
      <c r="AE255" s="30">
        <v>49</v>
      </c>
      <c r="AF255" s="32">
        <v>46</v>
      </c>
      <c r="AG255" s="29"/>
      <c r="AH255" s="29" t="s">
        <v>27</v>
      </c>
      <c r="AI255" s="30">
        <v>215</v>
      </c>
      <c r="AJ255" s="32">
        <v>222</v>
      </c>
      <c r="AK255" s="29"/>
      <c r="AL255" s="29" t="s">
        <v>27</v>
      </c>
      <c r="AM255" s="30">
        <v>190</v>
      </c>
      <c r="AN255" s="33">
        <v>140</v>
      </c>
    </row>
    <row r="256" spans="1:40" outlineLevel="1" x14ac:dyDescent="0.25">
      <c r="A256" s="28"/>
      <c r="B256" s="29" t="s">
        <v>28</v>
      </c>
      <c r="C256" s="30">
        <v>164</v>
      </c>
      <c r="D256" s="32">
        <v>138</v>
      </c>
      <c r="E256" s="29"/>
      <c r="F256" s="29" t="s">
        <v>28</v>
      </c>
      <c r="G256" s="30">
        <v>204</v>
      </c>
      <c r="H256" s="32">
        <v>183</v>
      </c>
      <c r="I256" s="29"/>
      <c r="J256" s="29" t="s">
        <v>28</v>
      </c>
      <c r="K256" s="30">
        <v>487</v>
      </c>
      <c r="L256" s="32">
        <v>356</v>
      </c>
      <c r="M256" s="29"/>
      <c r="N256" s="29" t="s">
        <v>28</v>
      </c>
      <c r="O256" s="30">
        <v>64</v>
      </c>
      <c r="P256" s="32">
        <v>51</v>
      </c>
      <c r="Q256" s="29"/>
      <c r="R256" s="29" t="s">
        <v>28</v>
      </c>
      <c r="S256" s="30">
        <v>368</v>
      </c>
      <c r="T256" s="32">
        <v>347</v>
      </c>
      <c r="U256" s="29"/>
      <c r="V256" s="29" t="s">
        <v>28</v>
      </c>
      <c r="W256" s="30">
        <v>199</v>
      </c>
      <c r="X256" s="32">
        <v>175</v>
      </c>
      <c r="Y256" s="29"/>
      <c r="Z256" s="29" t="s">
        <v>28</v>
      </c>
      <c r="AA256" s="30">
        <v>534</v>
      </c>
      <c r="AB256" s="32">
        <v>487</v>
      </c>
      <c r="AC256" s="29"/>
      <c r="AD256" s="29" t="s">
        <v>28</v>
      </c>
      <c r="AE256" s="30">
        <v>39</v>
      </c>
      <c r="AF256" s="32">
        <v>48</v>
      </c>
      <c r="AG256" s="29"/>
      <c r="AH256" s="29" t="s">
        <v>28</v>
      </c>
      <c r="AI256" s="30">
        <v>227</v>
      </c>
      <c r="AJ256" s="32">
        <v>237</v>
      </c>
      <c r="AK256" s="29"/>
      <c r="AL256" s="29" t="s">
        <v>28</v>
      </c>
      <c r="AM256" s="30">
        <v>171</v>
      </c>
      <c r="AN256" s="33">
        <v>156</v>
      </c>
    </row>
    <row r="257" spans="1:40" outlineLevel="1" x14ac:dyDescent="0.25">
      <c r="A257" s="28"/>
      <c r="B257" s="29" t="s">
        <v>29</v>
      </c>
      <c r="C257" s="30">
        <v>174</v>
      </c>
      <c r="D257" s="32">
        <v>157</v>
      </c>
      <c r="E257" s="29"/>
      <c r="F257" s="29" t="s">
        <v>29</v>
      </c>
      <c r="G257" s="30">
        <v>212</v>
      </c>
      <c r="H257" s="32">
        <v>195</v>
      </c>
      <c r="I257" s="29"/>
      <c r="J257" s="29" t="s">
        <v>29</v>
      </c>
      <c r="K257" s="30">
        <v>493</v>
      </c>
      <c r="L257" s="32">
        <v>465</v>
      </c>
      <c r="M257" s="29"/>
      <c r="N257" s="29" t="s">
        <v>29</v>
      </c>
      <c r="O257" s="30">
        <v>67</v>
      </c>
      <c r="P257" s="32">
        <v>57</v>
      </c>
      <c r="Q257" s="29"/>
      <c r="R257" s="29" t="s">
        <v>29</v>
      </c>
      <c r="S257" s="30">
        <v>358</v>
      </c>
      <c r="T257" s="32">
        <v>345</v>
      </c>
      <c r="U257" s="29"/>
      <c r="V257" s="29" t="s">
        <v>29</v>
      </c>
      <c r="W257" s="30">
        <v>164</v>
      </c>
      <c r="X257" s="32">
        <v>187</v>
      </c>
      <c r="Y257" s="29"/>
      <c r="Z257" s="29" t="s">
        <v>29</v>
      </c>
      <c r="AA257" s="30">
        <v>530</v>
      </c>
      <c r="AB257" s="32">
        <v>496</v>
      </c>
      <c r="AC257" s="29"/>
      <c r="AD257" s="29" t="s">
        <v>29</v>
      </c>
      <c r="AE257" s="30">
        <v>33</v>
      </c>
      <c r="AF257" s="32">
        <v>41</v>
      </c>
      <c r="AG257" s="29"/>
      <c r="AH257" s="29" t="s">
        <v>29</v>
      </c>
      <c r="AI257" s="30">
        <v>283</v>
      </c>
      <c r="AJ257" s="32">
        <v>263</v>
      </c>
      <c r="AK257" s="29"/>
      <c r="AL257" s="29" t="s">
        <v>29</v>
      </c>
      <c r="AM257" s="30">
        <v>171</v>
      </c>
      <c r="AN257" s="33">
        <v>154</v>
      </c>
    </row>
    <row r="258" spans="1:40" outlineLevel="1" x14ac:dyDescent="0.25">
      <c r="A258" s="28"/>
      <c r="B258" s="29" t="s">
        <v>31</v>
      </c>
      <c r="C258" s="30">
        <v>152</v>
      </c>
      <c r="D258" s="32">
        <v>171</v>
      </c>
      <c r="E258" s="29"/>
      <c r="F258" s="29" t="s">
        <v>31</v>
      </c>
      <c r="G258" s="30">
        <v>201</v>
      </c>
      <c r="H258" s="32">
        <v>229</v>
      </c>
      <c r="I258" s="29"/>
      <c r="J258" s="29" t="s">
        <v>31</v>
      </c>
      <c r="K258" s="30">
        <v>418</v>
      </c>
      <c r="L258" s="32">
        <v>490</v>
      </c>
      <c r="M258" s="29"/>
      <c r="N258" s="29" t="s">
        <v>31</v>
      </c>
      <c r="O258" s="30">
        <v>64</v>
      </c>
      <c r="P258" s="32">
        <v>65</v>
      </c>
      <c r="Q258" s="29"/>
      <c r="R258" s="29" t="s">
        <v>31</v>
      </c>
      <c r="S258" s="30">
        <v>288</v>
      </c>
      <c r="T258" s="32">
        <v>343</v>
      </c>
      <c r="U258" s="29"/>
      <c r="V258" s="29" t="s">
        <v>31</v>
      </c>
      <c r="W258" s="30">
        <v>160</v>
      </c>
      <c r="X258" s="32">
        <v>156</v>
      </c>
      <c r="Y258" s="29"/>
      <c r="Z258" s="29" t="s">
        <v>31</v>
      </c>
      <c r="AA258" s="30">
        <v>504</v>
      </c>
      <c r="AB258" s="32">
        <v>517</v>
      </c>
      <c r="AC258" s="29"/>
      <c r="AD258" s="29" t="s">
        <v>31</v>
      </c>
      <c r="AE258" s="30">
        <v>29</v>
      </c>
      <c r="AF258" s="32">
        <v>37</v>
      </c>
      <c r="AG258" s="29"/>
      <c r="AH258" s="29" t="s">
        <v>31</v>
      </c>
      <c r="AI258" s="30">
        <v>194</v>
      </c>
      <c r="AJ258" s="32">
        <v>285</v>
      </c>
      <c r="AK258" s="29"/>
      <c r="AL258" s="29" t="s">
        <v>31</v>
      </c>
      <c r="AM258" s="30">
        <v>133</v>
      </c>
      <c r="AN258" s="33">
        <v>164</v>
      </c>
    </row>
    <row r="259" spans="1:40" outlineLevel="1" x14ac:dyDescent="0.25">
      <c r="A259" s="28"/>
      <c r="B259" s="29" t="s">
        <v>33</v>
      </c>
      <c r="C259" s="30">
        <v>169</v>
      </c>
      <c r="D259" s="32">
        <v>175</v>
      </c>
      <c r="E259" s="29"/>
      <c r="F259" s="29" t="s">
        <v>33</v>
      </c>
      <c r="G259" s="30">
        <v>257</v>
      </c>
      <c r="H259" s="32">
        <v>224</v>
      </c>
      <c r="I259" s="29"/>
      <c r="J259" s="29" t="s">
        <v>33</v>
      </c>
      <c r="K259" s="30">
        <v>512</v>
      </c>
      <c r="L259" s="32">
        <v>420</v>
      </c>
      <c r="M259" s="29"/>
      <c r="N259" s="29" t="s">
        <v>33</v>
      </c>
      <c r="O259" s="30">
        <v>104</v>
      </c>
      <c r="P259" s="32">
        <v>70</v>
      </c>
      <c r="Q259" s="29"/>
      <c r="R259" s="29" t="s">
        <v>33</v>
      </c>
      <c r="S259" s="30">
        <v>344</v>
      </c>
      <c r="T259" s="32">
        <v>278</v>
      </c>
      <c r="U259" s="29"/>
      <c r="V259" s="29" t="s">
        <v>33</v>
      </c>
      <c r="W259" s="30">
        <v>198</v>
      </c>
      <c r="X259" s="32">
        <v>159</v>
      </c>
      <c r="Y259" s="29"/>
      <c r="Z259" s="29" t="s">
        <v>33</v>
      </c>
      <c r="AA259" s="30">
        <v>635</v>
      </c>
      <c r="AB259" s="32">
        <v>500</v>
      </c>
      <c r="AC259" s="29"/>
      <c r="AD259" s="29" t="s">
        <v>33</v>
      </c>
      <c r="AE259" s="30">
        <v>44</v>
      </c>
      <c r="AF259" s="32">
        <v>28</v>
      </c>
      <c r="AG259" s="29"/>
      <c r="AH259" s="29" t="s">
        <v>33</v>
      </c>
      <c r="AI259" s="30">
        <v>200</v>
      </c>
      <c r="AJ259" s="32">
        <v>203</v>
      </c>
      <c r="AK259" s="29"/>
      <c r="AL259" s="29" t="s">
        <v>33</v>
      </c>
      <c r="AM259" s="30">
        <v>212</v>
      </c>
      <c r="AN259" s="33">
        <v>120</v>
      </c>
    </row>
    <row r="260" spans="1:40" outlineLevel="1" x14ac:dyDescent="0.25">
      <c r="A260" s="28"/>
      <c r="B260" s="29" t="s">
        <v>35</v>
      </c>
      <c r="C260" s="30">
        <v>240</v>
      </c>
      <c r="D260" s="32">
        <v>171</v>
      </c>
      <c r="E260" s="29"/>
      <c r="F260" s="29" t="s">
        <v>35</v>
      </c>
      <c r="G260" s="30">
        <v>312</v>
      </c>
      <c r="H260" s="32">
        <v>280</v>
      </c>
      <c r="I260" s="29"/>
      <c r="J260" s="29" t="s">
        <v>35</v>
      </c>
      <c r="K260" s="30">
        <v>534</v>
      </c>
      <c r="L260" s="32">
        <v>515</v>
      </c>
      <c r="M260" s="29"/>
      <c r="N260" s="29" t="s">
        <v>35</v>
      </c>
      <c r="O260" s="30">
        <v>138</v>
      </c>
      <c r="P260" s="32">
        <v>100</v>
      </c>
      <c r="Q260" s="29"/>
      <c r="R260" s="29" t="s">
        <v>35</v>
      </c>
      <c r="S260" s="30">
        <v>391</v>
      </c>
      <c r="T260" s="32">
        <v>333</v>
      </c>
      <c r="U260" s="29"/>
      <c r="V260" s="29" t="s">
        <v>35</v>
      </c>
      <c r="W260" s="30">
        <v>241</v>
      </c>
      <c r="X260" s="32">
        <v>188</v>
      </c>
      <c r="Y260" s="29"/>
      <c r="Z260" s="29" t="s">
        <v>35</v>
      </c>
      <c r="AA260" s="30">
        <v>788</v>
      </c>
      <c r="AB260" s="32">
        <v>604</v>
      </c>
      <c r="AC260" s="29"/>
      <c r="AD260" s="29" t="s">
        <v>35</v>
      </c>
      <c r="AE260" s="30">
        <v>62</v>
      </c>
      <c r="AF260" s="32">
        <v>45</v>
      </c>
      <c r="AG260" s="29"/>
      <c r="AH260" s="29" t="s">
        <v>35</v>
      </c>
      <c r="AI260" s="30">
        <v>310</v>
      </c>
      <c r="AJ260" s="32">
        <v>202</v>
      </c>
      <c r="AK260" s="29"/>
      <c r="AL260" s="29" t="s">
        <v>35</v>
      </c>
      <c r="AM260" s="30">
        <v>280</v>
      </c>
      <c r="AN260" s="33">
        <v>206</v>
      </c>
    </row>
    <row r="261" spans="1:40" outlineLevel="1" x14ac:dyDescent="0.25">
      <c r="A261" s="28"/>
      <c r="B261" s="29" t="s">
        <v>37</v>
      </c>
      <c r="C261" s="30">
        <v>226</v>
      </c>
      <c r="D261" s="32">
        <v>239</v>
      </c>
      <c r="E261" s="29"/>
      <c r="F261" s="29" t="s">
        <v>37</v>
      </c>
      <c r="G261" s="30">
        <v>345</v>
      </c>
      <c r="H261" s="32">
        <v>329</v>
      </c>
      <c r="I261" s="29"/>
      <c r="J261" s="29" t="s">
        <v>37</v>
      </c>
      <c r="K261" s="30">
        <v>603</v>
      </c>
      <c r="L261" s="32">
        <v>515</v>
      </c>
      <c r="M261" s="29"/>
      <c r="N261" s="29" t="s">
        <v>37</v>
      </c>
      <c r="O261" s="30">
        <v>135</v>
      </c>
      <c r="P261" s="32">
        <v>136</v>
      </c>
      <c r="Q261" s="29"/>
      <c r="R261" s="29" t="s">
        <v>37</v>
      </c>
      <c r="S261" s="30">
        <v>433</v>
      </c>
      <c r="T261" s="32">
        <v>372</v>
      </c>
      <c r="U261" s="29"/>
      <c r="V261" s="29" t="s">
        <v>37</v>
      </c>
      <c r="W261" s="30">
        <v>298</v>
      </c>
      <c r="X261" s="32">
        <v>226</v>
      </c>
      <c r="Y261" s="29"/>
      <c r="Z261" s="29" t="s">
        <v>37</v>
      </c>
      <c r="AA261" s="30">
        <v>895</v>
      </c>
      <c r="AB261" s="32">
        <v>756</v>
      </c>
      <c r="AC261" s="29"/>
      <c r="AD261" s="29" t="s">
        <v>37</v>
      </c>
      <c r="AE261" s="30">
        <v>74</v>
      </c>
      <c r="AF261" s="32">
        <v>64</v>
      </c>
      <c r="AG261" s="29"/>
      <c r="AH261" s="29" t="s">
        <v>37</v>
      </c>
      <c r="AI261" s="30">
        <v>349</v>
      </c>
      <c r="AJ261" s="32">
        <v>311</v>
      </c>
      <c r="AK261" s="29"/>
      <c r="AL261" s="29" t="s">
        <v>37</v>
      </c>
      <c r="AM261" s="30">
        <v>328</v>
      </c>
      <c r="AN261" s="33">
        <v>276</v>
      </c>
    </row>
    <row r="262" spans="1:40" outlineLevel="1" x14ac:dyDescent="0.25">
      <c r="A262" s="28"/>
      <c r="B262" s="29" t="s">
        <v>39</v>
      </c>
      <c r="C262" s="30">
        <v>195</v>
      </c>
      <c r="D262" s="32">
        <v>223</v>
      </c>
      <c r="E262" s="29"/>
      <c r="F262" s="29" t="s">
        <v>39</v>
      </c>
      <c r="G262" s="30">
        <v>284</v>
      </c>
      <c r="H262" s="32">
        <v>320</v>
      </c>
      <c r="I262" s="29"/>
      <c r="J262" s="29" t="s">
        <v>39</v>
      </c>
      <c r="K262" s="30">
        <v>492</v>
      </c>
      <c r="L262" s="32">
        <v>567</v>
      </c>
      <c r="M262" s="29"/>
      <c r="N262" s="29" t="s">
        <v>39</v>
      </c>
      <c r="O262" s="30">
        <v>124</v>
      </c>
      <c r="P262" s="32">
        <v>133</v>
      </c>
      <c r="Q262" s="29"/>
      <c r="R262" s="29" t="s">
        <v>39</v>
      </c>
      <c r="S262" s="30">
        <v>355</v>
      </c>
      <c r="T262" s="32">
        <v>404</v>
      </c>
      <c r="U262" s="29"/>
      <c r="V262" s="29" t="s">
        <v>39</v>
      </c>
      <c r="W262" s="30">
        <v>232</v>
      </c>
      <c r="X262" s="32">
        <v>282</v>
      </c>
      <c r="Y262" s="29"/>
      <c r="Z262" s="29" t="s">
        <v>39</v>
      </c>
      <c r="AA262" s="30">
        <v>746</v>
      </c>
      <c r="AB262" s="32">
        <v>840</v>
      </c>
      <c r="AC262" s="29"/>
      <c r="AD262" s="29" t="s">
        <v>39</v>
      </c>
      <c r="AE262" s="30">
        <v>64</v>
      </c>
      <c r="AF262" s="32">
        <v>71</v>
      </c>
      <c r="AG262" s="29"/>
      <c r="AH262" s="29" t="s">
        <v>39</v>
      </c>
      <c r="AI262" s="30">
        <v>305</v>
      </c>
      <c r="AJ262" s="32">
        <v>330</v>
      </c>
      <c r="AK262" s="29"/>
      <c r="AL262" s="29" t="s">
        <v>39</v>
      </c>
      <c r="AM262" s="30">
        <v>237</v>
      </c>
      <c r="AN262" s="33">
        <v>321</v>
      </c>
    </row>
    <row r="263" spans="1:40" outlineLevel="1" x14ac:dyDescent="0.25">
      <c r="A263" s="28"/>
      <c r="B263" s="29" t="s">
        <v>41</v>
      </c>
      <c r="C263" s="30">
        <v>147</v>
      </c>
      <c r="D263" s="32">
        <v>182</v>
      </c>
      <c r="E263" s="29"/>
      <c r="F263" s="29" t="s">
        <v>41</v>
      </c>
      <c r="G263" s="30">
        <v>205</v>
      </c>
      <c r="H263" s="32">
        <v>257</v>
      </c>
      <c r="I263" s="29"/>
      <c r="J263" s="29" t="s">
        <v>41</v>
      </c>
      <c r="K263" s="30">
        <v>379</v>
      </c>
      <c r="L263" s="32">
        <v>453</v>
      </c>
      <c r="M263" s="29"/>
      <c r="N263" s="29" t="s">
        <v>41</v>
      </c>
      <c r="O263" s="30">
        <v>72</v>
      </c>
      <c r="P263" s="32">
        <v>118</v>
      </c>
      <c r="Q263" s="29"/>
      <c r="R263" s="29" t="s">
        <v>41</v>
      </c>
      <c r="S263" s="30">
        <v>242</v>
      </c>
      <c r="T263" s="32">
        <v>324</v>
      </c>
      <c r="U263" s="29"/>
      <c r="V263" s="29" t="s">
        <v>41</v>
      </c>
      <c r="W263" s="30">
        <v>186</v>
      </c>
      <c r="X263" s="32">
        <v>218</v>
      </c>
      <c r="Y263" s="29"/>
      <c r="Z263" s="29" t="s">
        <v>41</v>
      </c>
      <c r="AA263" s="30">
        <v>574</v>
      </c>
      <c r="AB263" s="32">
        <v>690</v>
      </c>
      <c r="AC263" s="29"/>
      <c r="AD263" s="29" t="s">
        <v>41</v>
      </c>
      <c r="AE263" s="30">
        <v>48</v>
      </c>
      <c r="AF263" s="32">
        <v>65</v>
      </c>
      <c r="AG263" s="29"/>
      <c r="AH263" s="29" t="s">
        <v>41</v>
      </c>
      <c r="AI263" s="30">
        <v>248</v>
      </c>
      <c r="AJ263" s="32">
        <v>292</v>
      </c>
      <c r="AK263" s="29"/>
      <c r="AL263" s="29" t="s">
        <v>41</v>
      </c>
      <c r="AM263" s="30">
        <v>157</v>
      </c>
      <c r="AN263" s="33">
        <v>223</v>
      </c>
    </row>
    <row r="264" spans="1:40" outlineLevel="1" x14ac:dyDescent="0.25">
      <c r="A264" s="28"/>
      <c r="B264" s="29" t="s">
        <v>43</v>
      </c>
      <c r="C264" s="30">
        <v>101</v>
      </c>
      <c r="D264" s="32">
        <v>120</v>
      </c>
      <c r="E264" s="29"/>
      <c r="F264" s="29" t="s">
        <v>43</v>
      </c>
      <c r="G264" s="30">
        <v>187</v>
      </c>
      <c r="H264" s="32">
        <v>173</v>
      </c>
      <c r="I264" s="29"/>
      <c r="J264" s="29" t="s">
        <v>43</v>
      </c>
      <c r="K264" s="30">
        <v>256</v>
      </c>
      <c r="L264" s="32">
        <v>329</v>
      </c>
      <c r="M264" s="29"/>
      <c r="N264" s="29" t="s">
        <v>43</v>
      </c>
      <c r="O264" s="30">
        <v>83</v>
      </c>
      <c r="P264" s="32">
        <v>66</v>
      </c>
      <c r="Q264" s="29"/>
      <c r="R264" s="29" t="s">
        <v>43</v>
      </c>
      <c r="S264" s="30">
        <v>179</v>
      </c>
      <c r="T264" s="32">
        <v>219</v>
      </c>
      <c r="U264" s="29"/>
      <c r="V264" s="29" t="s">
        <v>43</v>
      </c>
      <c r="W264" s="30">
        <v>140</v>
      </c>
      <c r="X264" s="32">
        <v>171</v>
      </c>
      <c r="Y264" s="29"/>
      <c r="Z264" s="29" t="s">
        <v>43</v>
      </c>
      <c r="AA264" s="30">
        <v>441</v>
      </c>
      <c r="AB264" s="32">
        <v>495</v>
      </c>
      <c r="AC264" s="29"/>
      <c r="AD264" s="29" t="s">
        <v>43</v>
      </c>
      <c r="AE264" s="30">
        <v>49</v>
      </c>
      <c r="AF264" s="32">
        <v>41</v>
      </c>
      <c r="AG264" s="29"/>
      <c r="AH264" s="29" t="s">
        <v>43</v>
      </c>
      <c r="AI264" s="30">
        <v>188</v>
      </c>
      <c r="AJ264" s="32">
        <v>222</v>
      </c>
      <c r="AK264" s="29"/>
      <c r="AL264" s="29" t="s">
        <v>43</v>
      </c>
      <c r="AM264" s="30">
        <v>161</v>
      </c>
      <c r="AN264" s="33">
        <v>137</v>
      </c>
    </row>
    <row r="265" spans="1:40" outlineLevel="1" x14ac:dyDescent="0.25">
      <c r="A265" s="28"/>
      <c r="B265" s="29" t="s">
        <v>45</v>
      </c>
      <c r="C265" s="30">
        <v>82</v>
      </c>
      <c r="D265" s="32">
        <v>78</v>
      </c>
      <c r="E265" s="29"/>
      <c r="F265" s="29" t="s">
        <v>45</v>
      </c>
      <c r="G265" s="30">
        <v>130</v>
      </c>
      <c r="H265" s="32">
        <v>142</v>
      </c>
      <c r="I265" s="29"/>
      <c r="J265" s="29" t="s">
        <v>45</v>
      </c>
      <c r="K265" s="30">
        <v>234</v>
      </c>
      <c r="L265" s="32">
        <v>205</v>
      </c>
      <c r="M265" s="29"/>
      <c r="N265" s="29" t="s">
        <v>45</v>
      </c>
      <c r="O265" s="30">
        <v>84</v>
      </c>
      <c r="P265" s="32">
        <v>70</v>
      </c>
      <c r="Q265" s="29"/>
      <c r="R265" s="29" t="s">
        <v>45</v>
      </c>
      <c r="S265" s="30">
        <v>135</v>
      </c>
      <c r="T265" s="32">
        <v>140</v>
      </c>
      <c r="U265" s="29"/>
      <c r="V265" s="29" t="s">
        <v>45</v>
      </c>
      <c r="W265" s="30">
        <v>115</v>
      </c>
      <c r="X265" s="32">
        <v>110</v>
      </c>
      <c r="Y265" s="29"/>
      <c r="Z265" s="29" t="s">
        <v>45</v>
      </c>
      <c r="AA265" s="30">
        <v>350</v>
      </c>
      <c r="AB265" s="32">
        <v>342</v>
      </c>
      <c r="AC265" s="29"/>
      <c r="AD265" s="29" t="s">
        <v>45</v>
      </c>
      <c r="AE265" s="30">
        <v>39</v>
      </c>
      <c r="AF265" s="32">
        <v>37</v>
      </c>
      <c r="AG265" s="29"/>
      <c r="AH265" s="29" t="s">
        <v>45</v>
      </c>
      <c r="AI265" s="30">
        <v>154</v>
      </c>
      <c r="AJ265" s="32">
        <v>145</v>
      </c>
      <c r="AK265" s="29"/>
      <c r="AL265" s="29" t="s">
        <v>45</v>
      </c>
      <c r="AM265" s="30">
        <v>153</v>
      </c>
      <c r="AN265" s="33">
        <v>120</v>
      </c>
    </row>
    <row r="266" spans="1:40" outlineLevel="1" x14ac:dyDescent="0.25">
      <c r="A266" s="28"/>
      <c r="B266" s="29" t="s">
        <v>47</v>
      </c>
      <c r="C266" s="30">
        <v>32</v>
      </c>
      <c r="D266" s="32">
        <v>51</v>
      </c>
      <c r="E266" s="29"/>
      <c r="F266" s="29" t="s">
        <v>47</v>
      </c>
      <c r="G266" s="30">
        <v>78</v>
      </c>
      <c r="H266" s="32">
        <v>81</v>
      </c>
      <c r="I266" s="29"/>
      <c r="J266" s="29" t="s">
        <v>47</v>
      </c>
      <c r="K266" s="30">
        <v>119</v>
      </c>
      <c r="L266" s="32">
        <v>148</v>
      </c>
      <c r="M266" s="29"/>
      <c r="N266" s="29" t="s">
        <v>47</v>
      </c>
      <c r="O266" s="30">
        <v>54</v>
      </c>
      <c r="P266" s="32">
        <v>57</v>
      </c>
      <c r="Q266" s="29"/>
      <c r="R266" s="29" t="s">
        <v>47</v>
      </c>
      <c r="S266" s="30">
        <v>82</v>
      </c>
      <c r="T266" s="32">
        <v>87</v>
      </c>
      <c r="U266" s="29"/>
      <c r="V266" s="29" t="s">
        <v>47</v>
      </c>
      <c r="W266" s="30">
        <v>74</v>
      </c>
      <c r="X266" s="32">
        <v>81</v>
      </c>
      <c r="Y266" s="29"/>
      <c r="Z266" s="29" t="s">
        <v>47</v>
      </c>
      <c r="AA266" s="30">
        <v>206</v>
      </c>
      <c r="AB266" s="32">
        <v>232</v>
      </c>
      <c r="AC266" s="29"/>
      <c r="AD266" s="29" t="s">
        <v>47</v>
      </c>
      <c r="AE266" s="30">
        <v>24</v>
      </c>
      <c r="AF266" s="32">
        <v>28</v>
      </c>
      <c r="AG266" s="29"/>
      <c r="AH266" s="29" t="s">
        <v>47</v>
      </c>
      <c r="AI266" s="30">
        <v>109</v>
      </c>
      <c r="AJ266" s="32">
        <v>95</v>
      </c>
      <c r="AK266" s="29"/>
      <c r="AL266" s="29" t="s">
        <v>47</v>
      </c>
      <c r="AM266" s="30">
        <v>81</v>
      </c>
      <c r="AN266" s="33">
        <v>87</v>
      </c>
    </row>
    <row r="267" spans="1:40" outlineLevel="1" x14ac:dyDescent="0.25">
      <c r="A267" s="28"/>
      <c r="B267" s="29" t="s">
        <v>49</v>
      </c>
      <c r="C267" s="30">
        <v>11</v>
      </c>
      <c r="D267" s="32">
        <v>11</v>
      </c>
      <c r="E267" s="29"/>
      <c r="F267" s="29" t="s">
        <v>49</v>
      </c>
      <c r="G267" s="30">
        <v>22</v>
      </c>
      <c r="H267" s="32">
        <v>44</v>
      </c>
      <c r="I267" s="29"/>
      <c r="J267" s="29" t="s">
        <v>49</v>
      </c>
      <c r="K267" s="30">
        <v>40</v>
      </c>
      <c r="L267" s="32">
        <v>52</v>
      </c>
      <c r="M267" s="29"/>
      <c r="N267" s="29" t="s">
        <v>49</v>
      </c>
      <c r="O267" s="30">
        <v>14</v>
      </c>
      <c r="P267" s="32">
        <v>31</v>
      </c>
      <c r="Q267" s="29"/>
      <c r="R267" s="29" t="s">
        <v>49</v>
      </c>
      <c r="S267" s="30">
        <v>25</v>
      </c>
      <c r="T267" s="32">
        <v>35</v>
      </c>
      <c r="U267" s="29"/>
      <c r="V267" s="29" t="s">
        <v>49</v>
      </c>
      <c r="W267" s="30">
        <v>24</v>
      </c>
      <c r="X267" s="32">
        <v>24</v>
      </c>
      <c r="Y267" s="29"/>
      <c r="Z267" s="29" t="s">
        <v>49</v>
      </c>
      <c r="AA267" s="30">
        <v>62</v>
      </c>
      <c r="AB267" s="32">
        <v>95</v>
      </c>
      <c r="AC267" s="29"/>
      <c r="AD267" s="29" t="s">
        <v>49</v>
      </c>
      <c r="AE267" s="30">
        <v>11</v>
      </c>
      <c r="AF267" s="32">
        <v>13</v>
      </c>
      <c r="AG267" s="29"/>
      <c r="AH267" s="29" t="s">
        <v>49</v>
      </c>
      <c r="AI267" s="30">
        <v>31</v>
      </c>
      <c r="AJ267" s="32">
        <v>49</v>
      </c>
      <c r="AK267" s="29"/>
      <c r="AL267" s="29" t="s">
        <v>49</v>
      </c>
      <c r="AM267" s="30">
        <v>26</v>
      </c>
      <c r="AN267" s="33">
        <v>32</v>
      </c>
    </row>
    <row r="268" spans="1:40" outlineLevel="1" x14ac:dyDescent="0.25">
      <c r="A268" s="28"/>
      <c r="B268" s="29" t="s">
        <v>51</v>
      </c>
      <c r="C268" s="30">
        <v>2</v>
      </c>
      <c r="D268" s="32">
        <v>2</v>
      </c>
      <c r="E268" s="29"/>
      <c r="F268" s="29" t="s">
        <v>51</v>
      </c>
      <c r="G268" s="30">
        <v>2</v>
      </c>
      <c r="H268" s="32">
        <v>7</v>
      </c>
      <c r="I268" s="29"/>
      <c r="J268" s="29" t="s">
        <v>51</v>
      </c>
      <c r="K268" s="30">
        <v>6</v>
      </c>
      <c r="L268" s="32">
        <v>10</v>
      </c>
      <c r="M268" s="29"/>
      <c r="N268" s="29" t="s">
        <v>51</v>
      </c>
      <c r="O268" s="30">
        <v>6</v>
      </c>
      <c r="P268" s="32">
        <v>7</v>
      </c>
      <c r="Q268" s="29"/>
      <c r="R268" s="29" t="s">
        <v>51</v>
      </c>
      <c r="S268" s="30">
        <v>2</v>
      </c>
      <c r="T268" s="32">
        <v>6</v>
      </c>
      <c r="U268" s="29"/>
      <c r="V268" s="29" t="s">
        <v>51</v>
      </c>
      <c r="W268" s="30">
        <v>6</v>
      </c>
      <c r="X268" s="32">
        <v>8</v>
      </c>
      <c r="Y268" s="29"/>
      <c r="Z268" s="29" t="s">
        <v>51</v>
      </c>
      <c r="AA268" s="30">
        <v>12</v>
      </c>
      <c r="AB268" s="32">
        <v>16</v>
      </c>
      <c r="AC268" s="29"/>
      <c r="AD268" s="29" t="s">
        <v>51</v>
      </c>
      <c r="AE268" s="30">
        <v>2</v>
      </c>
      <c r="AF268" s="32">
        <v>4</v>
      </c>
      <c r="AG268" s="29"/>
      <c r="AH268" s="29" t="s">
        <v>51</v>
      </c>
      <c r="AI268" s="30">
        <v>6</v>
      </c>
      <c r="AJ268" s="32">
        <v>9</v>
      </c>
      <c r="AK268" s="29"/>
      <c r="AL268" s="29" t="s">
        <v>51</v>
      </c>
      <c r="AM268" s="30">
        <v>5</v>
      </c>
      <c r="AN268" s="33">
        <v>8</v>
      </c>
    </row>
    <row r="269" spans="1:40" outlineLevel="1" x14ac:dyDescent="0.25">
      <c r="A269" s="28"/>
      <c r="B269" s="29" t="s">
        <v>53</v>
      </c>
      <c r="C269" s="30">
        <v>0</v>
      </c>
      <c r="D269" s="32">
        <v>0</v>
      </c>
      <c r="E269" s="29"/>
      <c r="F269" s="29" t="s">
        <v>53</v>
      </c>
      <c r="G269" s="30">
        <v>0</v>
      </c>
      <c r="H269" s="32">
        <v>0</v>
      </c>
      <c r="I269" s="29"/>
      <c r="J269" s="29" t="s">
        <v>53</v>
      </c>
      <c r="K269" s="30">
        <v>0</v>
      </c>
      <c r="L269" s="32">
        <v>0</v>
      </c>
      <c r="M269" s="29"/>
      <c r="N269" s="29" t="s">
        <v>53</v>
      </c>
      <c r="O269" s="30">
        <v>0</v>
      </c>
      <c r="P269" s="32">
        <v>2</v>
      </c>
      <c r="Q269" s="29"/>
      <c r="R269" s="29" t="s">
        <v>53</v>
      </c>
      <c r="S269" s="30">
        <v>2</v>
      </c>
      <c r="T269" s="32">
        <v>0</v>
      </c>
      <c r="U269" s="29"/>
      <c r="V269" s="29" t="s">
        <v>53</v>
      </c>
      <c r="W269" s="30">
        <v>0</v>
      </c>
      <c r="X269" s="32">
        <v>3</v>
      </c>
      <c r="Y269" s="29"/>
      <c r="Z269" s="29" t="s">
        <v>53</v>
      </c>
      <c r="AA269" s="30">
        <v>1</v>
      </c>
      <c r="AB269" s="32">
        <v>2</v>
      </c>
      <c r="AC269" s="29"/>
      <c r="AD269" s="29" t="s">
        <v>53</v>
      </c>
      <c r="AE269" s="30">
        <v>1</v>
      </c>
      <c r="AF269" s="32">
        <v>1</v>
      </c>
      <c r="AG269" s="29"/>
      <c r="AH269" s="29" t="s">
        <v>53</v>
      </c>
      <c r="AI269" s="30">
        <v>1</v>
      </c>
      <c r="AJ269" s="32">
        <v>0</v>
      </c>
      <c r="AK269" s="29"/>
      <c r="AL269" s="29" t="s">
        <v>53</v>
      </c>
      <c r="AM269" s="30">
        <v>2</v>
      </c>
      <c r="AN269" s="33">
        <v>0</v>
      </c>
    </row>
    <row r="270" spans="1:40" outlineLevel="1" x14ac:dyDescent="0.25">
      <c r="A270" s="42"/>
      <c r="B270" s="30"/>
      <c r="C270" s="30" t="s">
        <v>55</v>
      </c>
      <c r="D270" s="30"/>
      <c r="E270" s="30"/>
      <c r="F270" s="30"/>
      <c r="G270" s="30" t="s">
        <v>55</v>
      </c>
      <c r="H270" s="30"/>
      <c r="I270" s="30"/>
      <c r="J270" s="30"/>
      <c r="K270" s="30" t="s">
        <v>55</v>
      </c>
      <c r="L270" s="30"/>
      <c r="M270" s="30"/>
      <c r="N270" s="30"/>
      <c r="O270" s="30" t="s">
        <v>55</v>
      </c>
      <c r="P270" s="30"/>
      <c r="Q270" s="30"/>
      <c r="R270" s="30"/>
      <c r="S270" s="30" t="s">
        <v>55</v>
      </c>
      <c r="T270" s="30"/>
      <c r="U270" s="30"/>
      <c r="V270" s="30"/>
      <c r="W270" s="30" t="s">
        <v>55</v>
      </c>
      <c r="X270" s="30"/>
      <c r="Y270" s="30"/>
      <c r="Z270" s="30"/>
      <c r="AA270" s="30" t="s">
        <v>55</v>
      </c>
      <c r="AB270" s="30"/>
      <c r="AC270" s="30"/>
      <c r="AD270" s="30"/>
      <c r="AE270" s="30" t="s">
        <v>55</v>
      </c>
      <c r="AF270" s="30"/>
      <c r="AG270" s="30"/>
      <c r="AH270" s="30"/>
      <c r="AI270" s="30" t="s">
        <v>55</v>
      </c>
      <c r="AJ270" s="30"/>
      <c r="AK270" s="29"/>
      <c r="AL270" s="29"/>
      <c r="AM270" s="30" t="s">
        <v>55</v>
      </c>
      <c r="AN270" s="31"/>
    </row>
    <row r="271" spans="1:40" outlineLevel="1" x14ac:dyDescent="0.25">
      <c r="A271" s="42"/>
      <c r="B271" s="29" t="s">
        <v>18</v>
      </c>
      <c r="C271" s="30">
        <v>2562</v>
      </c>
      <c r="D271" s="32">
        <v>2277</v>
      </c>
      <c r="E271" s="30"/>
      <c r="F271" s="29" t="s">
        <v>18</v>
      </c>
      <c r="G271" s="30">
        <v>3833</v>
      </c>
      <c r="H271" s="32">
        <v>3359</v>
      </c>
      <c r="I271" s="30"/>
      <c r="J271" s="29" t="s">
        <v>18</v>
      </c>
      <c r="K271" s="30">
        <v>7058</v>
      </c>
      <c r="L271" s="32">
        <v>6224</v>
      </c>
      <c r="M271" s="30"/>
      <c r="N271" s="29" t="s">
        <v>18</v>
      </c>
      <c r="O271" s="30">
        <v>1354</v>
      </c>
      <c r="P271" s="32">
        <v>1263</v>
      </c>
      <c r="Q271" s="30"/>
      <c r="R271" s="29" t="s">
        <v>18</v>
      </c>
      <c r="S271" s="30">
        <v>5551</v>
      </c>
      <c r="T271" s="32">
        <v>5245</v>
      </c>
      <c r="U271" s="30"/>
      <c r="V271" s="29" t="s">
        <v>18</v>
      </c>
      <c r="W271" s="30">
        <v>3268</v>
      </c>
      <c r="X271" s="32">
        <v>3067</v>
      </c>
      <c r="Y271" s="30"/>
      <c r="Z271" s="29" t="s">
        <v>18</v>
      </c>
      <c r="AA271" s="30">
        <v>9784</v>
      </c>
      <c r="AB271" s="32">
        <v>8740</v>
      </c>
      <c r="AC271" s="30"/>
      <c r="AD271" s="29" t="s">
        <v>18</v>
      </c>
      <c r="AE271" s="30">
        <v>717</v>
      </c>
      <c r="AF271" s="32">
        <v>682</v>
      </c>
      <c r="AG271" s="30"/>
      <c r="AH271" s="29" t="s">
        <v>18</v>
      </c>
      <c r="AI271" s="30">
        <v>4007</v>
      </c>
      <c r="AJ271" s="32">
        <v>3985</v>
      </c>
      <c r="AK271" s="29"/>
      <c r="AL271" s="29" t="s">
        <v>18</v>
      </c>
      <c r="AM271" s="30">
        <v>3183</v>
      </c>
      <c r="AN271" s="33">
        <v>2738</v>
      </c>
    </row>
    <row r="272" spans="1:40" outlineLevel="1" x14ac:dyDescent="0.25">
      <c r="A272" s="42"/>
      <c r="B272" s="29" t="s">
        <v>20</v>
      </c>
      <c r="C272" s="30">
        <v>81</v>
      </c>
      <c r="D272" s="32">
        <v>59</v>
      </c>
      <c r="E272" s="30"/>
      <c r="F272" s="29" t="s">
        <v>20</v>
      </c>
      <c r="G272" s="30">
        <v>138</v>
      </c>
      <c r="H272" s="32">
        <v>106</v>
      </c>
      <c r="I272" s="30"/>
      <c r="J272" s="29" t="s">
        <v>20</v>
      </c>
      <c r="K272" s="30">
        <v>283</v>
      </c>
      <c r="L272" s="32">
        <v>196</v>
      </c>
      <c r="M272" s="30"/>
      <c r="N272" s="29" t="s">
        <v>20</v>
      </c>
      <c r="O272" s="30">
        <v>31</v>
      </c>
      <c r="P272" s="32">
        <v>13</v>
      </c>
      <c r="Q272" s="30"/>
      <c r="R272" s="29" t="s">
        <v>20</v>
      </c>
      <c r="S272" s="30">
        <v>256</v>
      </c>
      <c r="T272" s="32">
        <v>191</v>
      </c>
      <c r="U272" s="30"/>
      <c r="V272" s="29" t="s">
        <v>20</v>
      </c>
      <c r="W272" s="30">
        <v>90</v>
      </c>
      <c r="X272" s="32">
        <v>106</v>
      </c>
      <c r="Y272" s="30"/>
      <c r="Z272" s="29" t="s">
        <v>20</v>
      </c>
      <c r="AA272" s="30">
        <v>306</v>
      </c>
      <c r="AB272" s="32">
        <v>219</v>
      </c>
      <c r="AC272" s="30"/>
      <c r="AD272" s="29" t="s">
        <v>20</v>
      </c>
      <c r="AE272" s="30">
        <v>25</v>
      </c>
      <c r="AF272" s="32">
        <v>29</v>
      </c>
      <c r="AG272" s="30"/>
      <c r="AH272" s="29" t="s">
        <v>20</v>
      </c>
      <c r="AI272" s="30">
        <v>137</v>
      </c>
      <c r="AJ272" s="32">
        <v>151</v>
      </c>
      <c r="AK272" s="29"/>
      <c r="AL272" s="29" t="s">
        <v>20</v>
      </c>
      <c r="AM272" s="30">
        <v>131</v>
      </c>
      <c r="AN272" s="33">
        <v>94</v>
      </c>
    </row>
    <row r="273" spans="1:40" outlineLevel="1" x14ac:dyDescent="0.25">
      <c r="A273" s="42"/>
      <c r="B273" s="29" t="s">
        <v>22</v>
      </c>
      <c r="C273" s="30">
        <v>91</v>
      </c>
      <c r="D273" s="32">
        <v>70</v>
      </c>
      <c r="E273" s="30"/>
      <c r="F273" s="29" t="s">
        <v>22</v>
      </c>
      <c r="G273" s="30">
        <v>128</v>
      </c>
      <c r="H273" s="32">
        <v>109</v>
      </c>
      <c r="I273" s="30"/>
      <c r="J273" s="29" t="s">
        <v>22</v>
      </c>
      <c r="K273" s="30">
        <v>260</v>
      </c>
      <c r="L273" s="32">
        <v>226</v>
      </c>
      <c r="M273" s="30"/>
      <c r="N273" s="29" t="s">
        <v>22</v>
      </c>
      <c r="O273" s="30">
        <v>29</v>
      </c>
      <c r="P273" s="32">
        <v>34</v>
      </c>
      <c r="Q273" s="30"/>
      <c r="R273" s="29" t="s">
        <v>22</v>
      </c>
      <c r="S273" s="30">
        <v>299</v>
      </c>
      <c r="T273" s="32">
        <v>225</v>
      </c>
      <c r="U273" s="30"/>
      <c r="V273" s="29" t="s">
        <v>22</v>
      </c>
      <c r="W273" s="30">
        <v>131</v>
      </c>
      <c r="X273" s="32">
        <v>82</v>
      </c>
      <c r="Y273" s="30"/>
      <c r="Z273" s="29" t="s">
        <v>22</v>
      </c>
      <c r="AA273" s="30">
        <v>355</v>
      </c>
      <c r="AB273" s="32">
        <v>249</v>
      </c>
      <c r="AC273" s="30"/>
      <c r="AD273" s="29" t="s">
        <v>22</v>
      </c>
      <c r="AE273" s="30">
        <v>19</v>
      </c>
      <c r="AF273" s="32">
        <v>21</v>
      </c>
      <c r="AG273" s="30"/>
      <c r="AH273" s="29" t="s">
        <v>22</v>
      </c>
      <c r="AI273" s="30">
        <v>152</v>
      </c>
      <c r="AJ273" s="32">
        <v>158</v>
      </c>
      <c r="AK273" s="29"/>
      <c r="AL273" s="29" t="s">
        <v>22</v>
      </c>
      <c r="AM273" s="30">
        <v>95</v>
      </c>
      <c r="AN273" s="33">
        <v>99</v>
      </c>
    </row>
    <row r="274" spans="1:40" outlineLevel="1" x14ac:dyDescent="0.25">
      <c r="A274" s="42"/>
      <c r="B274" s="29" t="s">
        <v>23</v>
      </c>
      <c r="C274" s="30">
        <v>103</v>
      </c>
      <c r="D274" s="32">
        <v>97</v>
      </c>
      <c r="E274" s="30"/>
      <c r="F274" s="29" t="s">
        <v>23</v>
      </c>
      <c r="G274" s="30">
        <v>163</v>
      </c>
      <c r="H274" s="32">
        <v>100</v>
      </c>
      <c r="I274" s="30"/>
      <c r="J274" s="29" t="s">
        <v>23</v>
      </c>
      <c r="K274" s="30">
        <v>324</v>
      </c>
      <c r="L274" s="32">
        <v>216</v>
      </c>
      <c r="M274" s="30"/>
      <c r="N274" s="29" t="s">
        <v>23</v>
      </c>
      <c r="O274" s="30">
        <v>36</v>
      </c>
      <c r="P274" s="32">
        <v>27</v>
      </c>
      <c r="Q274" s="30"/>
      <c r="R274" s="29" t="s">
        <v>23</v>
      </c>
      <c r="S274" s="30">
        <v>302</v>
      </c>
      <c r="T274" s="32">
        <v>273</v>
      </c>
      <c r="U274" s="30"/>
      <c r="V274" s="29" t="s">
        <v>23</v>
      </c>
      <c r="W274" s="30">
        <v>120</v>
      </c>
      <c r="X274" s="32">
        <v>127</v>
      </c>
      <c r="Y274" s="30"/>
      <c r="Z274" s="29" t="s">
        <v>23</v>
      </c>
      <c r="AA274" s="30">
        <v>402</v>
      </c>
      <c r="AB274" s="32">
        <v>304</v>
      </c>
      <c r="AC274" s="30"/>
      <c r="AD274" s="29" t="s">
        <v>23</v>
      </c>
      <c r="AE274" s="30">
        <v>25</v>
      </c>
      <c r="AF274" s="32">
        <v>22</v>
      </c>
      <c r="AG274" s="30"/>
      <c r="AH274" s="29" t="s">
        <v>23</v>
      </c>
      <c r="AI274" s="30">
        <v>181</v>
      </c>
      <c r="AJ274" s="32">
        <v>155</v>
      </c>
      <c r="AK274" s="29"/>
      <c r="AL274" s="29" t="s">
        <v>23</v>
      </c>
      <c r="AM274" s="30">
        <v>152</v>
      </c>
      <c r="AN274" s="33">
        <v>70</v>
      </c>
    </row>
    <row r="275" spans="1:40" outlineLevel="1" x14ac:dyDescent="0.25">
      <c r="A275" s="42"/>
      <c r="B275" s="29" t="s">
        <v>24</v>
      </c>
      <c r="C275" s="30">
        <v>151</v>
      </c>
      <c r="D275" s="32">
        <v>99</v>
      </c>
      <c r="E275" s="30"/>
      <c r="F275" s="29" t="s">
        <v>24</v>
      </c>
      <c r="G275" s="30">
        <v>185</v>
      </c>
      <c r="H275" s="32">
        <v>146</v>
      </c>
      <c r="I275" s="30"/>
      <c r="J275" s="29" t="s">
        <v>24</v>
      </c>
      <c r="K275" s="30">
        <v>369</v>
      </c>
      <c r="L275" s="32">
        <v>274</v>
      </c>
      <c r="M275" s="30"/>
      <c r="N275" s="29" t="s">
        <v>24</v>
      </c>
      <c r="O275" s="30">
        <v>34</v>
      </c>
      <c r="P275" s="32">
        <v>34</v>
      </c>
      <c r="Q275" s="30"/>
      <c r="R275" s="29" t="s">
        <v>24</v>
      </c>
      <c r="S275" s="30">
        <v>304</v>
      </c>
      <c r="T275" s="32">
        <v>284</v>
      </c>
      <c r="U275" s="30"/>
      <c r="V275" s="29" t="s">
        <v>24</v>
      </c>
      <c r="W275" s="30">
        <v>159</v>
      </c>
      <c r="X275" s="32">
        <v>113</v>
      </c>
      <c r="Y275" s="30"/>
      <c r="Z275" s="29" t="s">
        <v>24</v>
      </c>
      <c r="AA275" s="30">
        <v>454</v>
      </c>
      <c r="AB275" s="32">
        <v>359</v>
      </c>
      <c r="AC275" s="30"/>
      <c r="AD275" s="29" t="s">
        <v>24</v>
      </c>
      <c r="AE275" s="30">
        <v>25</v>
      </c>
      <c r="AF275" s="32">
        <v>22</v>
      </c>
      <c r="AG275" s="30"/>
      <c r="AH275" s="29" t="s">
        <v>24</v>
      </c>
      <c r="AI275" s="30">
        <v>177</v>
      </c>
      <c r="AJ275" s="32">
        <v>185</v>
      </c>
      <c r="AK275" s="29"/>
      <c r="AL275" s="29" t="s">
        <v>24</v>
      </c>
      <c r="AM275" s="30">
        <v>152</v>
      </c>
      <c r="AN275" s="33">
        <v>126</v>
      </c>
    </row>
    <row r="276" spans="1:40" outlineLevel="1" x14ac:dyDescent="0.25">
      <c r="A276" s="42"/>
      <c r="B276" s="29" t="s">
        <v>25</v>
      </c>
      <c r="C276" s="30">
        <v>124</v>
      </c>
      <c r="D276" s="32">
        <v>111</v>
      </c>
      <c r="E276" s="30"/>
      <c r="F276" s="29" t="s">
        <v>25</v>
      </c>
      <c r="G276" s="30">
        <v>187</v>
      </c>
      <c r="H276" s="32">
        <v>140</v>
      </c>
      <c r="I276" s="30"/>
      <c r="J276" s="29" t="s">
        <v>25</v>
      </c>
      <c r="K276" s="30">
        <v>366</v>
      </c>
      <c r="L276" s="32">
        <v>279</v>
      </c>
      <c r="M276" s="30"/>
      <c r="N276" s="29" t="s">
        <v>25</v>
      </c>
      <c r="O276" s="30">
        <v>56</v>
      </c>
      <c r="P276" s="32">
        <v>27</v>
      </c>
      <c r="Q276" s="30"/>
      <c r="R276" s="29" t="s">
        <v>25</v>
      </c>
      <c r="S276" s="30">
        <v>252</v>
      </c>
      <c r="T276" s="32">
        <v>260</v>
      </c>
      <c r="U276" s="30"/>
      <c r="V276" s="29" t="s">
        <v>25</v>
      </c>
      <c r="W276" s="30">
        <v>138</v>
      </c>
      <c r="X276" s="32">
        <v>135</v>
      </c>
      <c r="Y276" s="30"/>
      <c r="Z276" s="29" t="s">
        <v>25</v>
      </c>
      <c r="AA276" s="30">
        <v>465</v>
      </c>
      <c r="AB276" s="32">
        <v>381</v>
      </c>
      <c r="AC276" s="30"/>
      <c r="AD276" s="29" t="s">
        <v>25</v>
      </c>
      <c r="AE276" s="30">
        <v>34</v>
      </c>
      <c r="AF276" s="32">
        <v>25</v>
      </c>
      <c r="AG276" s="30"/>
      <c r="AH276" s="29" t="s">
        <v>25</v>
      </c>
      <c r="AI276" s="30">
        <v>144</v>
      </c>
      <c r="AJ276" s="32">
        <v>157</v>
      </c>
      <c r="AK276" s="29"/>
      <c r="AL276" s="29" t="s">
        <v>25</v>
      </c>
      <c r="AM276" s="30">
        <v>169</v>
      </c>
      <c r="AN276" s="33">
        <v>103</v>
      </c>
    </row>
    <row r="277" spans="1:40" outlineLevel="1" x14ac:dyDescent="0.25">
      <c r="A277" s="42"/>
      <c r="B277" s="29" t="s">
        <v>26</v>
      </c>
      <c r="C277" s="30">
        <v>111</v>
      </c>
      <c r="D277" s="32">
        <v>104</v>
      </c>
      <c r="E277" s="30"/>
      <c r="F277" s="29" t="s">
        <v>26</v>
      </c>
      <c r="G277" s="30">
        <v>186</v>
      </c>
      <c r="H277" s="32">
        <v>134</v>
      </c>
      <c r="I277" s="30"/>
      <c r="J277" s="29" t="s">
        <v>26</v>
      </c>
      <c r="K277" s="30">
        <v>309</v>
      </c>
      <c r="L277" s="32">
        <v>272</v>
      </c>
      <c r="M277" s="30"/>
      <c r="N277" s="29" t="s">
        <v>26</v>
      </c>
      <c r="O277" s="30">
        <v>51</v>
      </c>
      <c r="P277" s="32">
        <v>47</v>
      </c>
      <c r="Q277" s="30"/>
      <c r="R277" s="29" t="s">
        <v>26</v>
      </c>
      <c r="S277" s="30">
        <v>325</v>
      </c>
      <c r="T277" s="32">
        <v>232</v>
      </c>
      <c r="U277" s="30"/>
      <c r="V277" s="29" t="s">
        <v>26</v>
      </c>
      <c r="W277" s="30">
        <v>136</v>
      </c>
      <c r="X277" s="32">
        <v>128</v>
      </c>
      <c r="Y277" s="30"/>
      <c r="Z277" s="29" t="s">
        <v>26</v>
      </c>
      <c r="AA277" s="30">
        <v>418</v>
      </c>
      <c r="AB277" s="32">
        <v>354</v>
      </c>
      <c r="AC277" s="30"/>
      <c r="AD277" s="29" t="s">
        <v>26</v>
      </c>
      <c r="AE277" s="30">
        <v>35</v>
      </c>
      <c r="AF277" s="32">
        <v>26</v>
      </c>
      <c r="AG277" s="30"/>
      <c r="AH277" s="29" t="s">
        <v>26</v>
      </c>
      <c r="AI277" s="30">
        <v>154</v>
      </c>
      <c r="AJ277" s="32">
        <v>147</v>
      </c>
      <c r="AK277" s="29"/>
      <c r="AL277" s="29" t="s">
        <v>26</v>
      </c>
      <c r="AM277" s="30">
        <v>145</v>
      </c>
      <c r="AN277" s="33">
        <v>113</v>
      </c>
    </row>
    <row r="278" spans="1:40" outlineLevel="1" x14ac:dyDescent="0.25">
      <c r="A278" s="42"/>
      <c r="B278" s="29" t="s">
        <v>27</v>
      </c>
      <c r="C278" s="30">
        <v>103</v>
      </c>
      <c r="D278" s="32">
        <v>84</v>
      </c>
      <c r="E278" s="30"/>
      <c r="F278" s="29" t="s">
        <v>27</v>
      </c>
      <c r="G278" s="30">
        <v>170</v>
      </c>
      <c r="H278" s="32">
        <v>149</v>
      </c>
      <c r="I278" s="30"/>
      <c r="J278" s="29" t="s">
        <v>27</v>
      </c>
      <c r="K278" s="30">
        <v>338</v>
      </c>
      <c r="L278" s="32">
        <v>243</v>
      </c>
      <c r="M278" s="30"/>
      <c r="N278" s="29" t="s">
        <v>27</v>
      </c>
      <c r="O278" s="30">
        <v>45</v>
      </c>
      <c r="P278" s="32">
        <v>46</v>
      </c>
      <c r="Q278" s="30"/>
      <c r="R278" s="29" t="s">
        <v>27</v>
      </c>
      <c r="S278" s="30">
        <v>319</v>
      </c>
      <c r="T278" s="32">
        <v>299</v>
      </c>
      <c r="U278" s="30"/>
      <c r="V278" s="29" t="s">
        <v>27</v>
      </c>
      <c r="W278" s="30">
        <v>133</v>
      </c>
      <c r="X278" s="32">
        <v>123</v>
      </c>
      <c r="Y278" s="30"/>
      <c r="Z278" s="29" t="s">
        <v>27</v>
      </c>
      <c r="AA278" s="30">
        <v>459</v>
      </c>
      <c r="AB278" s="32">
        <v>371</v>
      </c>
      <c r="AC278" s="30"/>
      <c r="AD278" s="29" t="s">
        <v>27</v>
      </c>
      <c r="AE278" s="30">
        <v>28</v>
      </c>
      <c r="AF278" s="32">
        <v>32</v>
      </c>
      <c r="AG278" s="30"/>
      <c r="AH278" s="29" t="s">
        <v>27</v>
      </c>
      <c r="AI278" s="30">
        <v>198</v>
      </c>
      <c r="AJ278" s="32">
        <v>198</v>
      </c>
      <c r="AK278" s="29"/>
      <c r="AL278" s="29" t="s">
        <v>27</v>
      </c>
      <c r="AM278" s="30">
        <v>129</v>
      </c>
      <c r="AN278" s="33">
        <v>109</v>
      </c>
    </row>
    <row r="279" spans="1:40" outlineLevel="1" x14ac:dyDescent="0.25">
      <c r="A279" s="42"/>
      <c r="B279" s="29" t="s">
        <v>28</v>
      </c>
      <c r="C279" s="30">
        <v>130</v>
      </c>
      <c r="D279" s="32">
        <v>100</v>
      </c>
      <c r="E279" s="30"/>
      <c r="F279" s="29" t="s">
        <v>28</v>
      </c>
      <c r="G279" s="30">
        <v>182</v>
      </c>
      <c r="H279" s="32">
        <v>150</v>
      </c>
      <c r="I279" s="30"/>
      <c r="J279" s="29" t="s">
        <v>28</v>
      </c>
      <c r="K279" s="30">
        <v>403</v>
      </c>
      <c r="L279" s="32">
        <v>284</v>
      </c>
      <c r="M279" s="30"/>
      <c r="N279" s="29" t="s">
        <v>28</v>
      </c>
      <c r="O279" s="30">
        <v>46</v>
      </c>
      <c r="P279" s="32">
        <v>47</v>
      </c>
      <c r="Q279" s="30"/>
      <c r="R279" s="29" t="s">
        <v>28</v>
      </c>
      <c r="S279" s="30">
        <v>369</v>
      </c>
      <c r="T279" s="32">
        <v>308</v>
      </c>
      <c r="U279" s="30"/>
      <c r="V279" s="29" t="s">
        <v>28</v>
      </c>
      <c r="W279" s="30">
        <v>182</v>
      </c>
      <c r="X279" s="32">
        <v>129</v>
      </c>
      <c r="Y279" s="30"/>
      <c r="Z279" s="29" t="s">
        <v>28</v>
      </c>
      <c r="AA279" s="30">
        <v>448</v>
      </c>
      <c r="AB279" s="32">
        <v>396</v>
      </c>
      <c r="AC279" s="30"/>
      <c r="AD279" s="29" t="s">
        <v>28</v>
      </c>
      <c r="AE279" s="30">
        <v>28</v>
      </c>
      <c r="AF279" s="32">
        <v>30</v>
      </c>
      <c r="AG279" s="30"/>
      <c r="AH279" s="29" t="s">
        <v>28</v>
      </c>
      <c r="AI279" s="30">
        <v>225</v>
      </c>
      <c r="AJ279" s="32">
        <v>206</v>
      </c>
      <c r="AK279" s="29"/>
      <c r="AL279" s="29" t="s">
        <v>28</v>
      </c>
      <c r="AM279" s="30">
        <v>121</v>
      </c>
      <c r="AN279" s="33">
        <v>97</v>
      </c>
    </row>
    <row r="280" spans="1:40" outlineLevel="1" x14ac:dyDescent="0.25">
      <c r="A280" s="42"/>
      <c r="B280" s="29" t="s">
        <v>29</v>
      </c>
      <c r="C280" s="30">
        <v>125</v>
      </c>
      <c r="D280" s="32">
        <v>109</v>
      </c>
      <c r="E280" s="30"/>
      <c r="F280" s="29" t="s">
        <v>29</v>
      </c>
      <c r="G280" s="30">
        <v>198</v>
      </c>
      <c r="H280" s="32">
        <v>160</v>
      </c>
      <c r="I280" s="30"/>
      <c r="J280" s="29" t="s">
        <v>29</v>
      </c>
      <c r="K280" s="30">
        <v>447</v>
      </c>
      <c r="L280" s="32">
        <v>359</v>
      </c>
      <c r="M280" s="30"/>
      <c r="N280" s="29" t="s">
        <v>29</v>
      </c>
      <c r="O280" s="30">
        <v>51</v>
      </c>
      <c r="P280" s="32">
        <v>47</v>
      </c>
      <c r="Q280" s="30"/>
      <c r="R280" s="29" t="s">
        <v>29</v>
      </c>
      <c r="S280" s="30">
        <v>336</v>
      </c>
      <c r="T280" s="32">
        <v>353</v>
      </c>
      <c r="U280" s="30"/>
      <c r="V280" s="29" t="s">
        <v>29</v>
      </c>
      <c r="W280" s="30">
        <v>175</v>
      </c>
      <c r="X280" s="32">
        <v>178</v>
      </c>
      <c r="Y280" s="30"/>
      <c r="Z280" s="29" t="s">
        <v>29</v>
      </c>
      <c r="AA280" s="30">
        <v>493</v>
      </c>
      <c r="AB280" s="32">
        <v>414</v>
      </c>
      <c r="AC280" s="30"/>
      <c r="AD280" s="29" t="s">
        <v>29</v>
      </c>
      <c r="AE280" s="30">
        <v>30</v>
      </c>
      <c r="AF280" s="32">
        <v>32</v>
      </c>
      <c r="AG280" s="30"/>
      <c r="AH280" s="29" t="s">
        <v>29</v>
      </c>
      <c r="AI280" s="30">
        <v>255</v>
      </c>
      <c r="AJ280" s="32">
        <v>233</v>
      </c>
      <c r="AK280" s="29"/>
      <c r="AL280" s="29" t="s">
        <v>29</v>
      </c>
      <c r="AM280" s="30">
        <v>130</v>
      </c>
      <c r="AN280" s="33">
        <v>109</v>
      </c>
    </row>
    <row r="281" spans="1:40" outlineLevel="1" x14ac:dyDescent="0.25">
      <c r="A281" s="42"/>
      <c r="B281" s="29" t="s">
        <v>31</v>
      </c>
      <c r="C281" s="30">
        <v>140</v>
      </c>
      <c r="D281" s="32">
        <v>119</v>
      </c>
      <c r="E281" s="30"/>
      <c r="F281" s="29" t="s">
        <v>31</v>
      </c>
      <c r="G281" s="30">
        <v>194</v>
      </c>
      <c r="H281" s="32">
        <v>182</v>
      </c>
      <c r="I281" s="30"/>
      <c r="J281" s="29" t="s">
        <v>31</v>
      </c>
      <c r="K281" s="30">
        <v>437</v>
      </c>
      <c r="L281" s="32">
        <v>420</v>
      </c>
      <c r="M281" s="30"/>
      <c r="N281" s="29" t="s">
        <v>31</v>
      </c>
      <c r="O281" s="30">
        <v>59</v>
      </c>
      <c r="P281" s="32">
        <v>49</v>
      </c>
      <c r="Q281" s="30"/>
      <c r="R281" s="29" t="s">
        <v>31</v>
      </c>
      <c r="S281" s="30">
        <v>276</v>
      </c>
      <c r="T281" s="32">
        <v>322</v>
      </c>
      <c r="U281" s="30"/>
      <c r="V281" s="29" t="s">
        <v>31</v>
      </c>
      <c r="W281" s="30">
        <v>169</v>
      </c>
      <c r="X281" s="32">
        <v>171</v>
      </c>
      <c r="Y281" s="30"/>
      <c r="Z281" s="29" t="s">
        <v>31</v>
      </c>
      <c r="AA281" s="30">
        <v>534</v>
      </c>
      <c r="AB281" s="32">
        <v>455</v>
      </c>
      <c r="AC281" s="30"/>
      <c r="AD281" s="29" t="s">
        <v>31</v>
      </c>
      <c r="AE281" s="30">
        <v>26</v>
      </c>
      <c r="AF281" s="32">
        <v>30</v>
      </c>
      <c r="AG281" s="30"/>
      <c r="AH281" s="29" t="s">
        <v>31</v>
      </c>
      <c r="AI281" s="30">
        <v>183</v>
      </c>
      <c r="AJ281" s="32">
        <v>256</v>
      </c>
      <c r="AK281" s="29"/>
      <c r="AL281" s="29" t="s">
        <v>31</v>
      </c>
      <c r="AM281" s="30">
        <v>150</v>
      </c>
      <c r="AN281" s="33">
        <v>118</v>
      </c>
    </row>
    <row r="282" spans="1:40" outlineLevel="1" x14ac:dyDescent="0.25">
      <c r="A282" s="42"/>
      <c r="B282" s="29" t="s">
        <v>33</v>
      </c>
      <c r="C282" s="30">
        <v>178</v>
      </c>
      <c r="D282" s="32">
        <v>136</v>
      </c>
      <c r="E282" s="30"/>
      <c r="F282" s="29" t="s">
        <v>33</v>
      </c>
      <c r="G282" s="30">
        <v>264</v>
      </c>
      <c r="H282" s="32">
        <v>185</v>
      </c>
      <c r="I282" s="30"/>
      <c r="J282" s="29" t="s">
        <v>33</v>
      </c>
      <c r="K282" s="30">
        <v>448</v>
      </c>
      <c r="L282" s="32">
        <v>417</v>
      </c>
      <c r="M282" s="30"/>
      <c r="N282" s="29" t="s">
        <v>33</v>
      </c>
      <c r="O282" s="30">
        <v>83</v>
      </c>
      <c r="P282" s="32">
        <v>59</v>
      </c>
      <c r="Q282" s="30"/>
      <c r="R282" s="29" t="s">
        <v>33</v>
      </c>
      <c r="S282" s="30">
        <v>337</v>
      </c>
      <c r="T282" s="32">
        <v>266</v>
      </c>
      <c r="U282" s="30"/>
      <c r="V282" s="29" t="s">
        <v>33</v>
      </c>
      <c r="W282" s="30">
        <v>182</v>
      </c>
      <c r="X282" s="32">
        <v>165</v>
      </c>
      <c r="Y282" s="30"/>
      <c r="Z282" s="29" t="s">
        <v>33</v>
      </c>
      <c r="AA282" s="30">
        <v>614</v>
      </c>
      <c r="AB282" s="32">
        <v>514</v>
      </c>
      <c r="AC282" s="30"/>
      <c r="AD282" s="29" t="s">
        <v>33</v>
      </c>
      <c r="AE282" s="30">
        <v>40</v>
      </c>
      <c r="AF282" s="32">
        <v>26</v>
      </c>
      <c r="AG282" s="30"/>
      <c r="AH282" s="29" t="s">
        <v>33</v>
      </c>
      <c r="AI282" s="30">
        <v>226</v>
      </c>
      <c r="AJ282" s="32">
        <v>185</v>
      </c>
      <c r="AK282" s="29"/>
      <c r="AL282" s="29" t="s">
        <v>33</v>
      </c>
      <c r="AM282" s="30">
        <v>178</v>
      </c>
      <c r="AN282" s="33">
        <v>135</v>
      </c>
    </row>
    <row r="283" spans="1:40" outlineLevel="1" x14ac:dyDescent="0.25">
      <c r="A283" s="42"/>
      <c r="B283" s="29" t="s">
        <v>35</v>
      </c>
      <c r="C283" s="30">
        <v>185</v>
      </c>
      <c r="D283" s="32">
        <v>169</v>
      </c>
      <c r="E283" s="30"/>
      <c r="F283" s="29" t="s">
        <v>35</v>
      </c>
      <c r="G283" s="30">
        <v>272</v>
      </c>
      <c r="H283" s="32">
        <v>259</v>
      </c>
      <c r="I283" s="30"/>
      <c r="J283" s="29" t="s">
        <v>35</v>
      </c>
      <c r="K283" s="30">
        <v>483</v>
      </c>
      <c r="L283" s="32">
        <v>428</v>
      </c>
      <c r="M283" s="30"/>
      <c r="N283" s="29" t="s">
        <v>35</v>
      </c>
      <c r="O283" s="30">
        <v>89</v>
      </c>
      <c r="P283" s="32">
        <v>81</v>
      </c>
      <c r="Q283" s="30"/>
      <c r="R283" s="29" t="s">
        <v>35</v>
      </c>
      <c r="S283" s="30">
        <v>357</v>
      </c>
      <c r="T283" s="32">
        <v>329</v>
      </c>
      <c r="U283" s="30"/>
      <c r="V283" s="29" t="s">
        <v>35</v>
      </c>
      <c r="W283" s="30">
        <v>245</v>
      </c>
      <c r="X283" s="32">
        <v>178</v>
      </c>
      <c r="Y283" s="30"/>
      <c r="Z283" s="29" t="s">
        <v>35</v>
      </c>
      <c r="AA283" s="30">
        <v>782</v>
      </c>
      <c r="AB283" s="32">
        <v>594</v>
      </c>
      <c r="AC283" s="30"/>
      <c r="AD283" s="29" t="s">
        <v>35</v>
      </c>
      <c r="AE283" s="30">
        <v>62</v>
      </c>
      <c r="AF283" s="32">
        <v>40</v>
      </c>
      <c r="AG283" s="30"/>
      <c r="AH283" s="29" t="s">
        <v>35</v>
      </c>
      <c r="AI283" s="30">
        <v>312</v>
      </c>
      <c r="AJ283" s="32">
        <v>239</v>
      </c>
      <c r="AK283" s="29"/>
      <c r="AL283" s="29" t="s">
        <v>35</v>
      </c>
      <c r="AM283" s="30">
        <v>254</v>
      </c>
      <c r="AN283" s="33">
        <v>171</v>
      </c>
    </row>
    <row r="284" spans="1:40" outlineLevel="1" x14ac:dyDescent="0.25">
      <c r="A284" s="42"/>
      <c r="B284" s="29" t="s">
        <v>37</v>
      </c>
      <c r="C284" s="30">
        <v>244</v>
      </c>
      <c r="D284" s="32">
        <v>179</v>
      </c>
      <c r="E284" s="30"/>
      <c r="F284" s="29" t="s">
        <v>37</v>
      </c>
      <c r="G284" s="30">
        <v>302</v>
      </c>
      <c r="H284" s="32">
        <v>263</v>
      </c>
      <c r="I284" s="30"/>
      <c r="J284" s="29" t="s">
        <v>37</v>
      </c>
      <c r="K284" s="30">
        <v>558</v>
      </c>
      <c r="L284" s="32">
        <v>471</v>
      </c>
      <c r="M284" s="30"/>
      <c r="N284" s="29" t="s">
        <v>37</v>
      </c>
      <c r="O284" s="30">
        <v>145</v>
      </c>
      <c r="P284" s="32">
        <v>94</v>
      </c>
      <c r="Q284" s="30"/>
      <c r="R284" s="29" t="s">
        <v>37</v>
      </c>
      <c r="S284" s="30">
        <v>422</v>
      </c>
      <c r="T284" s="32">
        <v>354</v>
      </c>
      <c r="U284" s="30"/>
      <c r="V284" s="29" t="s">
        <v>37</v>
      </c>
      <c r="W284" s="30">
        <v>273</v>
      </c>
      <c r="X284" s="32">
        <v>239</v>
      </c>
      <c r="Y284" s="30"/>
      <c r="Z284" s="29" t="s">
        <v>37</v>
      </c>
      <c r="AA284" s="30">
        <v>797</v>
      </c>
      <c r="AB284" s="32">
        <v>751</v>
      </c>
      <c r="AC284" s="30"/>
      <c r="AD284" s="29" t="s">
        <v>37</v>
      </c>
      <c r="AE284" s="30">
        <v>62</v>
      </c>
      <c r="AF284" s="32">
        <v>62</v>
      </c>
      <c r="AG284" s="30"/>
      <c r="AH284" s="29" t="s">
        <v>37</v>
      </c>
      <c r="AI284" s="30">
        <v>314</v>
      </c>
      <c r="AJ284" s="32">
        <v>315</v>
      </c>
      <c r="AK284" s="29"/>
      <c r="AL284" s="29" t="s">
        <v>37</v>
      </c>
      <c r="AM284" s="30">
        <v>239</v>
      </c>
      <c r="AN284" s="33">
        <v>254</v>
      </c>
    </row>
    <row r="285" spans="1:40" outlineLevel="1" x14ac:dyDescent="0.25">
      <c r="A285" s="42"/>
      <c r="B285" s="29" t="s">
        <v>39</v>
      </c>
      <c r="C285" s="30">
        <v>187</v>
      </c>
      <c r="D285" s="32">
        <v>230</v>
      </c>
      <c r="E285" s="30"/>
      <c r="F285" s="29" t="s">
        <v>39</v>
      </c>
      <c r="G285" s="30">
        <v>272</v>
      </c>
      <c r="H285" s="32">
        <v>280</v>
      </c>
      <c r="I285" s="30"/>
      <c r="J285" s="29" t="s">
        <v>39</v>
      </c>
      <c r="K285" s="30">
        <v>483</v>
      </c>
      <c r="L285" s="32">
        <v>523</v>
      </c>
      <c r="M285" s="30"/>
      <c r="N285" s="29" t="s">
        <v>39</v>
      </c>
      <c r="O285" s="30">
        <v>84</v>
      </c>
      <c r="P285" s="32">
        <v>142</v>
      </c>
      <c r="Q285" s="30"/>
      <c r="R285" s="29" t="s">
        <v>39</v>
      </c>
      <c r="S285" s="30">
        <v>330</v>
      </c>
      <c r="T285" s="32">
        <v>407</v>
      </c>
      <c r="U285" s="30"/>
      <c r="V285" s="29" t="s">
        <v>39</v>
      </c>
      <c r="W285" s="30">
        <v>214</v>
      </c>
      <c r="X285" s="32">
        <v>266</v>
      </c>
      <c r="Y285" s="30"/>
      <c r="Z285" s="29" t="s">
        <v>39</v>
      </c>
      <c r="AA285" s="30">
        <v>671</v>
      </c>
      <c r="AB285" s="32">
        <v>764</v>
      </c>
      <c r="AC285" s="30"/>
      <c r="AD285" s="29" t="s">
        <v>39</v>
      </c>
      <c r="AE285" s="30">
        <v>44</v>
      </c>
      <c r="AF285" s="32">
        <v>63</v>
      </c>
      <c r="AG285" s="30"/>
      <c r="AH285" s="29" t="s">
        <v>39</v>
      </c>
      <c r="AI285" s="30">
        <v>307</v>
      </c>
      <c r="AJ285" s="32">
        <v>312</v>
      </c>
      <c r="AK285" s="29"/>
      <c r="AL285" s="29" t="s">
        <v>39</v>
      </c>
      <c r="AM285" s="30">
        <v>194</v>
      </c>
      <c r="AN285" s="33">
        <v>233</v>
      </c>
    </row>
    <row r="286" spans="1:40" outlineLevel="1" x14ac:dyDescent="0.25">
      <c r="A286" s="42"/>
      <c r="B286" s="29" t="s">
        <v>41</v>
      </c>
      <c r="C286" s="30">
        <v>139</v>
      </c>
      <c r="D286" s="32">
        <v>175</v>
      </c>
      <c r="E286" s="30"/>
      <c r="F286" s="29" t="s">
        <v>41</v>
      </c>
      <c r="G286" s="30">
        <v>228</v>
      </c>
      <c r="H286" s="32">
        <v>253</v>
      </c>
      <c r="I286" s="30"/>
      <c r="J286" s="29" t="s">
        <v>41</v>
      </c>
      <c r="K286" s="30">
        <v>407</v>
      </c>
      <c r="L286" s="32">
        <v>460</v>
      </c>
      <c r="M286" s="30"/>
      <c r="N286" s="29" t="s">
        <v>41</v>
      </c>
      <c r="O286" s="30">
        <v>98</v>
      </c>
      <c r="P286" s="32">
        <v>80</v>
      </c>
      <c r="Q286" s="30"/>
      <c r="R286" s="29" t="s">
        <v>41</v>
      </c>
      <c r="S286" s="30">
        <v>262</v>
      </c>
      <c r="T286" s="32">
        <v>323</v>
      </c>
      <c r="U286" s="30"/>
      <c r="V286" s="29" t="s">
        <v>41</v>
      </c>
      <c r="W286" s="30">
        <v>206</v>
      </c>
      <c r="X286" s="32">
        <v>206</v>
      </c>
      <c r="Y286" s="30"/>
      <c r="Z286" s="29" t="s">
        <v>41</v>
      </c>
      <c r="AA286" s="30">
        <v>611</v>
      </c>
      <c r="AB286" s="32">
        <v>631</v>
      </c>
      <c r="AC286" s="30"/>
      <c r="AD286" s="29" t="s">
        <v>41</v>
      </c>
      <c r="AE286" s="30">
        <v>37</v>
      </c>
      <c r="AF286" s="32">
        <v>40</v>
      </c>
      <c r="AG286" s="30"/>
      <c r="AH286" s="29" t="s">
        <v>41</v>
      </c>
      <c r="AI286" s="30">
        <v>214</v>
      </c>
      <c r="AJ286" s="32">
        <v>300</v>
      </c>
      <c r="AK286" s="29"/>
      <c r="AL286" s="29" t="s">
        <v>41</v>
      </c>
      <c r="AM286" s="30">
        <v>165</v>
      </c>
      <c r="AN286" s="33">
        <v>189</v>
      </c>
    </row>
    <row r="287" spans="1:40" outlineLevel="1" x14ac:dyDescent="0.25">
      <c r="A287" s="42"/>
      <c r="B287" s="29" t="s">
        <v>43</v>
      </c>
      <c r="C287" s="30">
        <v>134</v>
      </c>
      <c r="D287" s="32">
        <v>132</v>
      </c>
      <c r="E287" s="30"/>
      <c r="F287" s="29" t="s">
        <v>43</v>
      </c>
      <c r="G287" s="30">
        <v>225</v>
      </c>
      <c r="H287" s="32">
        <v>205</v>
      </c>
      <c r="I287" s="30"/>
      <c r="J287" s="29" t="s">
        <v>43</v>
      </c>
      <c r="K287" s="30">
        <v>356</v>
      </c>
      <c r="L287" s="32">
        <v>377</v>
      </c>
      <c r="M287" s="30"/>
      <c r="N287" s="29" t="s">
        <v>43</v>
      </c>
      <c r="O287" s="30">
        <v>100</v>
      </c>
      <c r="P287" s="32">
        <v>89</v>
      </c>
      <c r="Q287" s="30"/>
      <c r="R287" s="29" t="s">
        <v>43</v>
      </c>
      <c r="S287" s="30">
        <v>224</v>
      </c>
      <c r="T287" s="32">
        <v>241</v>
      </c>
      <c r="U287" s="30"/>
      <c r="V287" s="29" t="s">
        <v>43</v>
      </c>
      <c r="W287" s="30">
        <v>193</v>
      </c>
      <c r="X287" s="32">
        <v>197</v>
      </c>
      <c r="Y287" s="30"/>
      <c r="Z287" s="29" t="s">
        <v>43</v>
      </c>
      <c r="AA287" s="30">
        <v>591</v>
      </c>
      <c r="AB287" s="32">
        <v>565</v>
      </c>
      <c r="AC287" s="30"/>
      <c r="AD287" s="29" t="s">
        <v>43</v>
      </c>
      <c r="AE287" s="30">
        <v>57</v>
      </c>
      <c r="AF287" s="32">
        <v>37</v>
      </c>
      <c r="AG287" s="30"/>
      <c r="AH287" s="29" t="s">
        <v>43</v>
      </c>
      <c r="AI287" s="30">
        <v>213</v>
      </c>
      <c r="AJ287" s="32">
        <v>202</v>
      </c>
      <c r="AK287" s="29"/>
      <c r="AL287" s="29" t="s">
        <v>43</v>
      </c>
      <c r="AM287" s="30">
        <v>215</v>
      </c>
      <c r="AN287" s="33">
        <v>151</v>
      </c>
    </row>
    <row r="288" spans="1:40" outlineLevel="1" x14ac:dyDescent="0.25">
      <c r="A288" s="42"/>
      <c r="B288" s="29" t="s">
        <v>45</v>
      </c>
      <c r="C288" s="30">
        <v>139</v>
      </c>
      <c r="D288" s="32">
        <v>112</v>
      </c>
      <c r="E288" s="30"/>
      <c r="F288" s="29" t="s">
        <v>45</v>
      </c>
      <c r="G288" s="30">
        <v>237</v>
      </c>
      <c r="H288" s="32">
        <v>205</v>
      </c>
      <c r="I288" s="30"/>
      <c r="J288" s="29" t="s">
        <v>45</v>
      </c>
      <c r="K288" s="30">
        <v>354</v>
      </c>
      <c r="L288" s="32">
        <v>307</v>
      </c>
      <c r="M288" s="30"/>
      <c r="N288" s="29" t="s">
        <v>45</v>
      </c>
      <c r="O288" s="30">
        <v>133</v>
      </c>
      <c r="P288" s="32">
        <v>96</v>
      </c>
      <c r="Q288" s="30"/>
      <c r="R288" s="29" t="s">
        <v>45</v>
      </c>
      <c r="S288" s="30">
        <v>251</v>
      </c>
      <c r="T288" s="32">
        <v>198</v>
      </c>
      <c r="U288" s="30"/>
      <c r="V288" s="29" t="s">
        <v>45</v>
      </c>
      <c r="W288" s="30">
        <v>219</v>
      </c>
      <c r="X288" s="32">
        <v>166</v>
      </c>
      <c r="Y288" s="30"/>
      <c r="Z288" s="29" t="s">
        <v>45</v>
      </c>
      <c r="AA288" s="30">
        <v>581</v>
      </c>
      <c r="AB288" s="32">
        <v>527</v>
      </c>
      <c r="AC288" s="30"/>
      <c r="AD288" s="29" t="s">
        <v>45</v>
      </c>
      <c r="AE288" s="30">
        <v>55</v>
      </c>
      <c r="AF288" s="32">
        <v>53</v>
      </c>
      <c r="AG288" s="30"/>
      <c r="AH288" s="29" t="s">
        <v>45</v>
      </c>
      <c r="AI288" s="30">
        <v>243</v>
      </c>
      <c r="AJ288" s="32">
        <v>193</v>
      </c>
      <c r="AK288" s="29"/>
      <c r="AL288" s="29" t="s">
        <v>45</v>
      </c>
      <c r="AM288" s="30">
        <v>261</v>
      </c>
      <c r="AN288" s="33">
        <v>187</v>
      </c>
    </row>
    <row r="289" spans="1:40" outlineLevel="1" x14ac:dyDescent="0.25">
      <c r="A289" s="42"/>
      <c r="B289" s="29" t="s">
        <v>47</v>
      </c>
      <c r="C289" s="30">
        <v>117</v>
      </c>
      <c r="D289" s="32">
        <v>108</v>
      </c>
      <c r="E289" s="30"/>
      <c r="F289" s="29" t="s">
        <v>47</v>
      </c>
      <c r="G289" s="30">
        <v>180</v>
      </c>
      <c r="H289" s="32">
        <v>185</v>
      </c>
      <c r="I289" s="30"/>
      <c r="J289" s="29" t="s">
        <v>47</v>
      </c>
      <c r="K289" s="30">
        <v>253</v>
      </c>
      <c r="L289" s="32">
        <v>274</v>
      </c>
      <c r="M289" s="30"/>
      <c r="N289" s="29" t="s">
        <v>47</v>
      </c>
      <c r="O289" s="30">
        <v>93</v>
      </c>
      <c r="P289" s="32">
        <v>115</v>
      </c>
      <c r="Q289" s="30"/>
      <c r="R289" s="29" t="s">
        <v>47</v>
      </c>
      <c r="S289" s="30">
        <v>183</v>
      </c>
      <c r="T289" s="32">
        <v>192</v>
      </c>
      <c r="U289" s="30"/>
      <c r="V289" s="29" t="s">
        <v>47</v>
      </c>
      <c r="W289" s="30">
        <v>182</v>
      </c>
      <c r="X289" s="32">
        <v>182</v>
      </c>
      <c r="Y289" s="30"/>
      <c r="Z289" s="29" t="s">
        <v>47</v>
      </c>
      <c r="AA289" s="30">
        <v>503</v>
      </c>
      <c r="AB289" s="32">
        <v>460</v>
      </c>
      <c r="AC289" s="30"/>
      <c r="AD289" s="29" t="s">
        <v>47</v>
      </c>
      <c r="AE289" s="30">
        <v>52</v>
      </c>
      <c r="AF289" s="32">
        <v>48</v>
      </c>
      <c r="AG289" s="30"/>
      <c r="AH289" s="29" t="s">
        <v>47</v>
      </c>
      <c r="AI289" s="30">
        <v>215</v>
      </c>
      <c r="AJ289" s="32">
        <v>186</v>
      </c>
      <c r="AK289" s="29"/>
      <c r="AL289" s="29" t="s">
        <v>47</v>
      </c>
      <c r="AM289" s="30">
        <v>168</v>
      </c>
      <c r="AN289" s="33">
        <v>201</v>
      </c>
    </row>
    <row r="290" spans="1:40" outlineLevel="1" x14ac:dyDescent="0.25">
      <c r="A290" s="42"/>
      <c r="B290" s="29" t="s">
        <v>49</v>
      </c>
      <c r="C290" s="30">
        <v>51</v>
      </c>
      <c r="D290" s="32">
        <v>67</v>
      </c>
      <c r="E290" s="30"/>
      <c r="F290" s="29" t="s">
        <v>49</v>
      </c>
      <c r="G290" s="30">
        <v>70</v>
      </c>
      <c r="H290" s="32">
        <v>95</v>
      </c>
      <c r="I290" s="30"/>
      <c r="J290" s="29" t="s">
        <v>49</v>
      </c>
      <c r="K290" s="30">
        <v>103</v>
      </c>
      <c r="L290" s="32">
        <v>146</v>
      </c>
      <c r="M290" s="30"/>
      <c r="N290" s="29" t="s">
        <v>49</v>
      </c>
      <c r="O290" s="30">
        <v>44</v>
      </c>
      <c r="P290" s="32">
        <v>62</v>
      </c>
      <c r="Q290" s="30"/>
      <c r="R290" s="29" t="s">
        <v>49</v>
      </c>
      <c r="S290" s="30">
        <v>90</v>
      </c>
      <c r="T290" s="32">
        <v>117</v>
      </c>
      <c r="U290" s="30"/>
      <c r="V290" s="29" t="s">
        <v>49</v>
      </c>
      <c r="W290" s="30">
        <v>64</v>
      </c>
      <c r="X290" s="32">
        <v>114</v>
      </c>
      <c r="Y290" s="30"/>
      <c r="Z290" s="29" t="s">
        <v>49</v>
      </c>
      <c r="AA290" s="30">
        <v>194</v>
      </c>
      <c r="AB290" s="32">
        <v>309</v>
      </c>
      <c r="AC290" s="30"/>
      <c r="AD290" s="29" t="s">
        <v>49</v>
      </c>
      <c r="AE290" s="30">
        <v>21</v>
      </c>
      <c r="AF290" s="32">
        <v>29</v>
      </c>
      <c r="AG290" s="30"/>
      <c r="AH290" s="29" t="s">
        <v>49</v>
      </c>
      <c r="AI290" s="30">
        <v>97</v>
      </c>
      <c r="AJ290" s="32">
        <v>152</v>
      </c>
      <c r="AK290" s="29"/>
      <c r="AL290" s="29" t="s">
        <v>49</v>
      </c>
      <c r="AM290" s="30">
        <v>75</v>
      </c>
      <c r="AN290" s="33">
        <v>95</v>
      </c>
    </row>
    <row r="291" spans="1:40" outlineLevel="1" x14ac:dyDescent="0.25">
      <c r="A291" s="42"/>
      <c r="B291" s="29" t="s">
        <v>51</v>
      </c>
      <c r="C291" s="30">
        <v>14</v>
      </c>
      <c r="D291" s="32">
        <v>16</v>
      </c>
      <c r="E291" s="30"/>
      <c r="F291" s="29" t="s">
        <v>51</v>
      </c>
      <c r="G291" s="30">
        <v>29</v>
      </c>
      <c r="H291" s="32">
        <v>23</v>
      </c>
      <c r="I291" s="30"/>
      <c r="J291" s="29" t="s">
        <v>51</v>
      </c>
      <c r="K291" s="30">
        <v>27</v>
      </c>
      <c r="L291" s="32">
        <v>44</v>
      </c>
      <c r="M291" s="30"/>
      <c r="N291" s="29" t="s">
        <v>51</v>
      </c>
      <c r="O291" s="30">
        <v>13</v>
      </c>
      <c r="P291" s="32">
        <v>25</v>
      </c>
      <c r="Q291" s="30"/>
      <c r="R291" s="29" t="s">
        <v>51</v>
      </c>
      <c r="S291" s="30">
        <v>17</v>
      </c>
      <c r="T291" s="32">
        <v>35</v>
      </c>
      <c r="U291" s="30"/>
      <c r="V291" s="29" t="s">
        <v>51</v>
      </c>
      <c r="W291" s="30">
        <v>28</v>
      </c>
      <c r="X291" s="32">
        <v>29</v>
      </c>
      <c r="Y291" s="30"/>
      <c r="Z291" s="29" t="s">
        <v>51</v>
      </c>
      <c r="AA291" s="30">
        <v>54</v>
      </c>
      <c r="AB291" s="32">
        <v>73</v>
      </c>
      <c r="AC291" s="30"/>
      <c r="AD291" s="29" t="s">
        <v>51</v>
      </c>
      <c r="AE291" s="30">
        <v>6</v>
      </c>
      <c r="AF291" s="32">
        <v>8</v>
      </c>
      <c r="AG291" s="30"/>
      <c r="AH291" s="29" t="s">
        <v>51</v>
      </c>
      <c r="AI291" s="30">
        <v>31</v>
      </c>
      <c r="AJ291" s="32">
        <v>49</v>
      </c>
      <c r="AK291" s="29"/>
      <c r="AL291" s="29" t="s">
        <v>51</v>
      </c>
      <c r="AM291" s="30">
        <v>21</v>
      </c>
      <c r="AN291" s="33">
        <v>31</v>
      </c>
    </row>
    <row r="292" spans="1:40" ht="19.5" outlineLevel="1" thickBot="1" x14ac:dyDescent="0.3">
      <c r="A292" s="43"/>
      <c r="B292" s="35" t="s">
        <v>53</v>
      </c>
      <c r="C292" s="36">
        <v>2</v>
      </c>
      <c r="D292" s="37">
        <v>1</v>
      </c>
      <c r="E292" s="36"/>
      <c r="F292" s="35" t="s">
        <v>53</v>
      </c>
      <c r="G292" s="36">
        <v>2</v>
      </c>
      <c r="H292" s="37">
        <v>8</v>
      </c>
      <c r="I292" s="36"/>
      <c r="J292" s="35" t="s">
        <v>53</v>
      </c>
      <c r="K292" s="36">
        <v>4</v>
      </c>
      <c r="L292" s="37">
        <v>8</v>
      </c>
      <c r="M292" s="36"/>
      <c r="N292" s="35" t="s">
        <v>53</v>
      </c>
      <c r="O292" s="36">
        <v>3</v>
      </c>
      <c r="P292" s="37">
        <v>6</v>
      </c>
      <c r="Q292" s="36"/>
      <c r="R292" s="35" t="s">
        <v>53</v>
      </c>
      <c r="S292" s="36">
        <v>8</v>
      </c>
      <c r="T292" s="37">
        <v>4</v>
      </c>
      <c r="U292" s="36"/>
      <c r="V292" s="35" t="s">
        <v>53</v>
      </c>
      <c r="W292" s="36">
        <v>5</v>
      </c>
      <c r="X292" s="37">
        <v>11</v>
      </c>
      <c r="Y292" s="36"/>
      <c r="Z292" s="35" t="s">
        <v>53</v>
      </c>
      <c r="AA292" s="36">
        <v>11</v>
      </c>
      <c r="AB292" s="37">
        <v>12</v>
      </c>
      <c r="AC292" s="36"/>
      <c r="AD292" s="35" t="s">
        <v>53</v>
      </c>
      <c r="AE292" s="36">
        <v>0</v>
      </c>
      <c r="AF292" s="37">
        <v>0</v>
      </c>
      <c r="AG292" s="36"/>
      <c r="AH292" s="35" t="s">
        <v>53</v>
      </c>
      <c r="AI292" s="36">
        <v>9</v>
      </c>
      <c r="AJ292" s="37">
        <v>6</v>
      </c>
      <c r="AK292" s="35"/>
      <c r="AL292" s="35" t="s">
        <v>53</v>
      </c>
      <c r="AM292" s="36">
        <v>3</v>
      </c>
      <c r="AN292" s="38">
        <v>9</v>
      </c>
    </row>
    <row r="293" spans="1:40" outlineLevel="1" x14ac:dyDescent="0.25">
      <c r="A293" s="44"/>
      <c r="B293" s="44" t="s">
        <v>79</v>
      </c>
      <c r="C293" s="45">
        <f>SUM(C262:C269,C285:C292)</f>
        <v>1353</v>
      </c>
      <c r="D293" s="45">
        <f>SUM(D262:D269,D285:D292)</f>
        <v>1508</v>
      </c>
      <c r="E293" s="45"/>
      <c r="F293" s="44" t="s">
        <v>79</v>
      </c>
      <c r="G293" s="45">
        <f>SUM(G262:G269,G285:G292)</f>
        <v>2151</v>
      </c>
      <c r="H293" s="45">
        <f>SUM(H262:H269,H285:H292)</f>
        <v>2278</v>
      </c>
      <c r="I293" s="45"/>
      <c r="J293" s="44" t="s">
        <v>79</v>
      </c>
      <c r="K293" s="45">
        <f>SUM(K262:K269,K285:K292)</f>
        <v>3513</v>
      </c>
      <c r="L293" s="45">
        <f>SUM(L262:L269,L285:L292)</f>
        <v>3903</v>
      </c>
      <c r="M293" s="45"/>
      <c r="N293" s="44" t="s">
        <v>79</v>
      </c>
      <c r="O293" s="45">
        <f>SUM(O262:O269,O285:O292)</f>
        <v>1005</v>
      </c>
      <c r="P293" s="45">
        <f>SUM(P262:P269,P285:P292)</f>
        <v>1099</v>
      </c>
      <c r="Q293" s="45"/>
      <c r="R293" s="44" t="s">
        <v>79</v>
      </c>
      <c r="S293" s="45">
        <f>SUM(S262:S269,S285:S292)</f>
        <v>2387</v>
      </c>
      <c r="T293" s="45">
        <f>SUM(T262:T269,T285:T292)</f>
        <v>2732</v>
      </c>
      <c r="U293" s="45"/>
      <c r="V293" s="44" t="s">
        <v>79</v>
      </c>
      <c r="W293" s="45">
        <f>SUM(W262:W269,W285:W292)</f>
        <v>1888</v>
      </c>
      <c r="X293" s="45">
        <f>SUM(X262:X269,X285:X292)</f>
        <v>2068</v>
      </c>
      <c r="Y293" s="45"/>
      <c r="Z293" s="44" t="s">
        <v>79</v>
      </c>
      <c r="AA293" s="45">
        <f>SUM(AA262:AA269,AA285:AA292)</f>
        <v>5608</v>
      </c>
      <c r="AB293" s="45">
        <f>SUM(AB262:AB269,AB285:AB292)</f>
        <v>6053</v>
      </c>
      <c r="AC293" s="45"/>
      <c r="AD293" s="44" t="s">
        <v>79</v>
      </c>
      <c r="AE293" s="45">
        <f>SUM(AE262:AE269,AE285:AE292)</f>
        <v>510</v>
      </c>
      <c r="AF293" s="45">
        <f>SUM(AF262:AF269,AF285:AF292)</f>
        <v>538</v>
      </c>
      <c r="AG293" s="45"/>
      <c r="AH293" s="44" t="s">
        <v>79</v>
      </c>
      <c r="AI293" s="45">
        <f>SUM(AI262:AI269,AI285:AI292)</f>
        <v>2371</v>
      </c>
      <c r="AJ293" s="45">
        <f>SUM(AJ262:AJ269,AJ285:AJ292)</f>
        <v>2542</v>
      </c>
      <c r="AK293" s="45"/>
      <c r="AL293" s="44" t="s">
        <v>79</v>
      </c>
      <c r="AM293" s="45">
        <f>SUM(AM262:AM269,AM285:AM292)</f>
        <v>1924</v>
      </c>
      <c r="AN293" s="45">
        <f>SUM(AN262:AN269,AN285:AN292)</f>
        <v>2024</v>
      </c>
    </row>
  </sheetData>
  <mergeCells count="2">
    <mergeCell ref="AU1:AW1"/>
    <mergeCell ref="AP2:AQ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0">
    <tabColor theme="7"/>
    <pageSetUpPr fitToPage="1"/>
  </sheetPr>
  <dimension ref="A1:BG52"/>
  <sheetViews>
    <sheetView tabSelected="1" view="pageBreakPreview" zoomScale="85" zoomScaleNormal="70" zoomScaleSheetLayoutView="85" workbookViewId="0">
      <selection activeCell="R52" sqref="R52"/>
    </sheetView>
  </sheetViews>
  <sheetFormatPr defaultColWidth="8.125" defaultRowHeight="13.5" x14ac:dyDescent="0.15"/>
  <cols>
    <col min="1" max="1" width="2.375" style="3" customWidth="1"/>
    <col min="2" max="2" width="2.375" style="22" customWidth="1"/>
    <col min="3" max="3" width="9.125" style="22" customWidth="1"/>
    <col min="4" max="5" width="10" style="22" customWidth="1"/>
    <col min="6" max="7" width="10" style="22" hidden="1" customWidth="1"/>
    <col min="8" max="8" width="10" style="22" customWidth="1"/>
    <col min="9" max="13" width="10" style="22" hidden="1" customWidth="1"/>
    <col min="14" max="22" width="10" style="22" customWidth="1"/>
    <col min="23" max="34" width="10" style="3" hidden="1" customWidth="1"/>
    <col min="35" max="43" width="10" style="3" customWidth="1"/>
    <col min="44" max="48" width="10" style="3" hidden="1" customWidth="1"/>
    <col min="49" max="57" width="10" style="3" customWidth="1"/>
    <col min="58" max="16384" width="8.125" style="3"/>
  </cols>
  <sheetData>
    <row r="1" spans="1:57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39.950000000000003" customHeight="1" x14ac:dyDescent="0.15">
      <c r="A2" s="1"/>
      <c r="B2" s="233" t="s">
        <v>140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</row>
    <row r="3" spans="1:57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"/>
      <c r="X3" s="1"/>
      <c r="Y3" s="1"/>
      <c r="Z3" s="1"/>
      <c r="AA3" s="1"/>
      <c r="AB3" s="1"/>
      <c r="AC3" s="1"/>
      <c r="AD3" s="1"/>
      <c r="AE3" s="1"/>
      <c r="AF3" s="1"/>
      <c r="AG3" s="4"/>
      <c r="AH3" s="4"/>
      <c r="AI3" s="4"/>
      <c r="AJ3" s="4"/>
      <c r="AK3" s="4"/>
      <c r="AL3" s="4"/>
      <c r="AM3" s="1"/>
      <c r="AN3" s="1"/>
      <c r="AO3" s="1"/>
      <c r="AP3" s="4"/>
      <c r="AQ3" s="1"/>
      <c r="AR3" s="1"/>
      <c r="AS3" s="1"/>
      <c r="AT3" s="1"/>
      <c r="AU3" s="4"/>
      <c r="AV3" s="4"/>
      <c r="AW3" s="4"/>
      <c r="AX3" s="4"/>
      <c r="AY3" s="4"/>
      <c r="AZ3" s="4"/>
      <c r="BA3" s="1"/>
      <c r="BB3" s="1"/>
      <c r="BC3" s="4"/>
      <c r="BD3" s="1"/>
      <c r="BE3" s="1"/>
    </row>
    <row r="4" spans="1:57" ht="15.75" customHeight="1" thickBot="1" x14ac:dyDescent="0.2">
      <c r="A4" s="1"/>
      <c r="B4" s="5" t="s">
        <v>141</v>
      </c>
      <c r="C4" s="6"/>
      <c r="D4" s="7" t="s">
        <v>215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/>
      <c r="X4" s="1"/>
      <c r="Y4" s="1"/>
      <c r="Z4" s="1"/>
      <c r="AA4" s="1"/>
      <c r="AB4" s="1"/>
      <c r="AC4" s="1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1"/>
      <c r="AS4" s="1"/>
      <c r="AT4" s="1"/>
      <c r="AU4" s="58"/>
      <c r="AV4" s="4"/>
      <c r="AW4" s="58"/>
      <c r="AX4" s="58"/>
      <c r="AY4" s="4"/>
      <c r="AZ4" s="58"/>
      <c r="BA4" s="1"/>
      <c r="BB4" s="1"/>
      <c r="BC4" s="58"/>
      <c r="BD4" s="58"/>
      <c r="BE4" s="1"/>
    </row>
    <row r="5" spans="1:57" ht="18.75" customHeight="1" thickBot="1" x14ac:dyDescent="0.2">
      <c r="A5" s="1"/>
      <c r="B5" s="2"/>
      <c r="C5" s="2"/>
      <c r="D5" s="2"/>
      <c r="E5" s="2"/>
      <c r="F5" s="2"/>
      <c r="G5" s="2"/>
      <c r="H5" s="193"/>
      <c r="I5" s="256" t="s">
        <v>142</v>
      </c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8"/>
      <c r="W5" s="265" t="s">
        <v>143</v>
      </c>
      <c r="X5" s="266"/>
      <c r="Y5" s="266"/>
      <c r="Z5" s="266"/>
      <c r="AA5" s="266"/>
      <c r="AB5" s="266"/>
      <c r="AC5" s="274"/>
      <c r="AD5" s="229" t="s">
        <v>144</v>
      </c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30"/>
      <c r="AR5" s="225" t="s">
        <v>145</v>
      </c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7"/>
    </row>
    <row r="6" spans="1:57" ht="15.75" customHeight="1" x14ac:dyDescent="0.15">
      <c r="A6" s="1"/>
      <c r="B6" s="237"/>
      <c r="C6" s="238"/>
      <c r="D6" s="241" t="s">
        <v>146</v>
      </c>
      <c r="E6" s="241" t="s">
        <v>147</v>
      </c>
      <c r="F6" s="241" t="s">
        <v>148</v>
      </c>
      <c r="G6" s="243" t="s">
        <v>149</v>
      </c>
      <c r="H6" s="263" t="s">
        <v>150</v>
      </c>
      <c r="I6" s="252" t="s">
        <v>151</v>
      </c>
      <c r="J6" s="254" t="s">
        <v>152</v>
      </c>
      <c r="K6" s="254" t="s">
        <v>153</v>
      </c>
      <c r="L6" s="248" t="s">
        <v>154</v>
      </c>
      <c r="M6" s="248" t="s">
        <v>155</v>
      </c>
      <c r="N6" s="248" t="s">
        <v>156</v>
      </c>
      <c r="O6" s="231" t="s">
        <v>157</v>
      </c>
      <c r="P6" s="267" t="s">
        <v>158</v>
      </c>
      <c r="Q6" s="231" t="s">
        <v>159</v>
      </c>
      <c r="R6" s="254" t="s">
        <v>160</v>
      </c>
      <c r="S6" s="254" t="s">
        <v>161</v>
      </c>
      <c r="T6" s="270" t="s">
        <v>162</v>
      </c>
      <c r="U6" s="270" t="s">
        <v>163</v>
      </c>
      <c r="V6" s="261" t="s">
        <v>164</v>
      </c>
      <c r="W6" s="245" t="s">
        <v>155</v>
      </c>
      <c r="X6" s="247" t="s">
        <v>160</v>
      </c>
      <c r="Y6" s="247" t="s">
        <v>161</v>
      </c>
      <c r="Z6" s="247" t="s">
        <v>162</v>
      </c>
      <c r="AA6" s="259" t="s">
        <v>163</v>
      </c>
      <c r="AB6" s="259" t="s">
        <v>164</v>
      </c>
      <c r="AC6" s="273" t="s">
        <v>165</v>
      </c>
      <c r="AD6" s="232" t="s">
        <v>166</v>
      </c>
      <c r="AE6" s="228" t="s">
        <v>167</v>
      </c>
      <c r="AF6" s="228" t="s">
        <v>168</v>
      </c>
      <c r="AG6" s="228" t="s">
        <v>169</v>
      </c>
      <c r="AH6" s="228" t="s">
        <v>170</v>
      </c>
      <c r="AI6" s="228" t="s">
        <v>171</v>
      </c>
      <c r="AJ6" s="231" t="s">
        <v>172</v>
      </c>
      <c r="AK6" s="251" t="s">
        <v>173</v>
      </c>
      <c r="AL6" s="231" t="s">
        <v>174</v>
      </c>
      <c r="AM6" s="228" t="s">
        <v>175</v>
      </c>
      <c r="AN6" s="228" t="s">
        <v>176</v>
      </c>
      <c r="AO6" s="228" t="s">
        <v>177</v>
      </c>
      <c r="AP6" s="228" t="s">
        <v>178</v>
      </c>
      <c r="AQ6" s="250" t="s">
        <v>179</v>
      </c>
      <c r="AR6" s="280" t="s">
        <v>166</v>
      </c>
      <c r="AS6" s="279" t="s">
        <v>167</v>
      </c>
      <c r="AT6" s="279" t="s">
        <v>168</v>
      </c>
      <c r="AU6" s="279" t="s">
        <v>169</v>
      </c>
      <c r="AV6" s="279" t="s">
        <v>170</v>
      </c>
      <c r="AW6" s="279" t="s">
        <v>171</v>
      </c>
      <c r="AX6" s="281" t="s">
        <v>180</v>
      </c>
      <c r="AY6" s="282" t="s">
        <v>181</v>
      </c>
      <c r="AZ6" s="281" t="s">
        <v>182</v>
      </c>
      <c r="BA6" s="279" t="s">
        <v>175</v>
      </c>
      <c r="BB6" s="279" t="s">
        <v>176</v>
      </c>
      <c r="BC6" s="279" t="s">
        <v>177</v>
      </c>
      <c r="BD6" s="279" t="s">
        <v>178</v>
      </c>
      <c r="BE6" s="278" t="s">
        <v>179</v>
      </c>
    </row>
    <row r="7" spans="1:57" ht="30" customHeight="1" thickBot="1" x14ac:dyDescent="0.2">
      <c r="A7" s="1"/>
      <c r="B7" s="239"/>
      <c r="C7" s="240"/>
      <c r="D7" s="242"/>
      <c r="E7" s="242"/>
      <c r="F7" s="242"/>
      <c r="G7" s="244"/>
      <c r="H7" s="264"/>
      <c r="I7" s="253"/>
      <c r="J7" s="255"/>
      <c r="K7" s="255"/>
      <c r="L7" s="249"/>
      <c r="M7" s="249"/>
      <c r="N7" s="249"/>
      <c r="O7" s="269"/>
      <c r="P7" s="268"/>
      <c r="Q7" s="269"/>
      <c r="R7" s="255"/>
      <c r="S7" s="255"/>
      <c r="T7" s="271"/>
      <c r="U7" s="271"/>
      <c r="V7" s="262"/>
      <c r="W7" s="246"/>
      <c r="X7" s="242"/>
      <c r="Y7" s="242"/>
      <c r="Z7" s="242"/>
      <c r="AA7" s="260"/>
      <c r="AB7" s="260"/>
      <c r="AC7" s="244"/>
      <c r="AD7" s="277"/>
      <c r="AE7" s="275"/>
      <c r="AF7" s="275"/>
      <c r="AG7" s="275"/>
      <c r="AH7" s="275"/>
      <c r="AI7" s="275"/>
      <c r="AJ7" s="269"/>
      <c r="AK7" s="276"/>
      <c r="AL7" s="269"/>
      <c r="AM7" s="275"/>
      <c r="AN7" s="275"/>
      <c r="AO7" s="275"/>
      <c r="AP7" s="275"/>
      <c r="AQ7" s="272"/>
      <c r="AR7" s="280"/>
      <c r="AS7" s="279"/>
      <c r="AT7" s="279"/>
      <c r="AU7" s="279"/>
      <c r="AV7" s="279"/>
      <c r="AW7" s="279"/>
      <c r="AX7" s="281"/>
      <c r="AY7" s="282"/>
      <c r="AZ7" s="281"/>
      <c r="BA7" s="279"/>
      <c r="BB7" s="279"/>
      <c r="BC7" s="279"/>
      <c r="BD7" s="279"/>
      <c r="BE7" s="278"/>
    </row>
    <row r="8" spans="1:57" ht="15.75" customHeight="1" thickBot="1" x14ac:dyDescent="0.2">
      <c r="A8" s="1"/>
      <c r="B8" s="234" t="s">
        <v>183</v>
      </c>
      <c r="C8" s="80" t="s">
        <v>184</v>
      </c>
      <c r="D8" s="81">
        <f>SUM(D9:D27)</f>
        <v>5326</v>
      </c>
      <c r="E8" s="82">
        <f>SUM(E9:E27)</f>
        <v>4942</v>
      </c>
      <c r="F8" s="82">
        <f t="shared" ref="F8:V8" si="0">SUM(F9:F27)</f>
        <v>5326</v>
      </c>
      <c r="G8" s="83">
        <f t="shared" si="0"/>
        <v>1597.8117790752326</v>
      </c>
      <c r="H8" s="93">
        <f t="shared" si="0"/>
        <v>4881.8339797920662</v>
      </c>
      <c r="I8" s="84">
        <f t="shared" si="0"/>
        <v>4801.6126195148208</v>
      </c>
      <c r="J8" s="90">
        <f t="shared" si="0"/>
        <v>4721.3912592375755</v>
      </c>
      <c r="K8" s="90">
        <f t="shared" si="0"/>
        <v>4641.169898960331</v>
      </c>
      <c r="L8" s="90">
        <f t="shared" ref="L8" si="1">SUM(L9:L27)</f>
        <v>4560.9485386830856</v>
      </c>
      <c r="M8" s="90">
        <f t="shared" si="0"/>
        <v>4478.4468444453951</v>
      </c>
      <c r="N8" s="221">
        <f t="shared" ref="N8:P8" si="2">SUM(N9:N27)</f>
        <v>4395.1850388875573</v>
      </c>
      <c r="O8" s="90">
        <f t="shared" si="2"/>
        <v>4311.9232333297205</v>
      </c>
      <c r="P8" s="90">
        <f t="shared" si="2"/>
        <v>4228.6614277718818</v>
      </c>
      <c r="Q8" s="90">
        <f t="shared" ref="Q8" si="3">SUM(Q9:Q27)</f>
        <v>4145.399622214044</v>
      </c>
      <c r="R8" s="90">
        <f t="shared" si="0"/>
        <v>4060.4484142305205</v>
      </c>
      <c r="S8" s="90">
        <f t="shared" si="0"/>
        <v>3632.3017820772775</v>
      </c>
      <c r="T8" s="194">
        <f t="shared" ref="T8:U8" si="4">SUM(T9:T27)</f>
        <v>3202.9345552469749</v>
      </c>
      <c r="U8" s="194">
        <f t="shared" si="4"/>
        <v>2790.675382162347</v>
      </c>
      <c r="V8" s="194">
        <f t="shared" si="0"/>
        <v>2417.4568890173914</v>
      </c>
      <c r="W8" s="185">
        <f>SUM(W9:W27)</f>
        <v>4540.893198613775</v>
      </c>
      <c r="X8" s="88">
        <f>SUM(X9:X27)</f>
        <v>4124.5841708245835</v>
      </c>
      <c r="Y8" s="88">
        <f t="shared" ref="Y8:AF8" si="5">SUM(Y9:Y27)</f>
        <v>3697.0124601974958</v>
      </c>
      <c r="Z8" s="88">
        <f t="shared" si="5"/>
        <v>3265.6079393960304</v>
      </c>
      <c r="AA8" s="89">
        <f t="shared" si="5"/>
        <v>2847.7853784023291</v>
      </c>
      <c r="AB8" s="89">
        <f t="shared" ref="AB8:AC8" si="6">SUM(AB9:AB27)</f>
        <v>2467.0520701357818</v>
      </c>
      <c r="AC8" s="186">
        <f t="shared" si="6"/>
        <v>2136.4175293465164</v>
      </c>
      <c r="AD8" s="181">
        <f t="shared" si="5"/>
        <v>4800.3710397292543</v>
      </c>
      <c r="AE8" s="98">
        <f t="shared" si="5"/>
        <v>4720.1573024760237</v>
      </c>
      <c r="AF8" s="98">
        <f t="shared" si="5"/>
        <v>4639.9435652227958</v>
      </c>
      <c r="AG8" s="98">
        <f t="shared" ref="AG8:AM8" si="7">SUM(AG9:AG27)</f>
        <v>4559.7298279695651</v>
      </c>
      <c r="AH8" s="98">
        <f t="shared" si="7"/>
        <v>4477.2881806841369</v>
      </c>
      <c r="AI8" s="98">
        <f t="shared" si="7"/>
        <v>4394.103896721308</v>
      </c>
      <c r="AJ8" s="98">
        <f t="shared" si="7"/>
        <v>4310.919612758481</v>
      </c>
      <c r="AK8" s="98">
        <f t="shared" si="7"/>
        <v>4227.7353287956521</v>
      </c>
      <c r="AL8" s="98">
        <f t="shared" si="7"/>
        <v>4144.5510448328241</v>
      </c>
      <c r="AM8" s="98">
        <f t="shared" si="7"/>
        <v>4059.6619702831681</v>
      </c>
      <c r="AN8" s="98">
        <f t="shared" ref="AN8" si="8">SUM(AN9:AN27)</f>
        <v>3631.7457398876359</v>
      </c>
      <c r="AO8" s="98">
        <f t="shared" ref="AO8:AT8" si="9">SUM(AO9:AO27)</f>
        <v>3202.2569532993361</v>
      </c>
      <c r="AP8" s="98">
        <f>SUM(AP9:AP27)</f>
        <v>2789.6579728636279</v>
      </c>
      <c r="AQ8" s="99">
        <f t="shared" si="9"/>
        <v>2416.3138373046199</v>
      </c>
      <c r="AR8" s="213">
        <f t="shared" si="9"/>
        <v>4799.7766552460826</v>
      </c>
      <c r="AS8" s="98">
        <f t="shared" si="9"/>
        <v>4719.5370491951799</v>
      </c>
      <c r="AT8" s="98">
        <f t="shared" si="9"/>
        <v>4639.2974431442799</v>
      </c>
      <c r="AU8" s="98">
        <f t="shared" ref="AU8:BA8" si="10">SUM(AU9:AU27)</f>
        <v>4559.057837093379</v>
      </c>
      <c r="AV8" s="98">
        <f t="shared" si="10"/>
        <v>4476.5676928122502</v>
      </c>
      <c r="AW8" s="98">
        <f t="shared" si="10"/>
        <v>4393.3273691210461</v>
      </c>
      <c r="AX8" s="98">
        <f t="shared" si="10"/>
        <v>4310.0870454298429</v>
      </c>
      <c r="AY8" s="98">
        <f t="shared" si="10"/>
        <v>4226.8467217386406</v>
      </c>
      <c r="AZ8" s="98">
        <f t="shared" si="10"/>
        <v>4143.6063980474355</v>
      </c>
      <c r="BA8" s="98">
        <f t="shared" si="10"/>
        <v>4058.6995524562853</v>
      </c>
      <c r="BB8" s="98">
        <f t="shared" ref="BB8" si="11">SUM(BB9:BB27)</f>
        <v>3630.8157107448969</v>
      </c>
      <c r="BC8" s="98">
        <f>SUM(BC9:BC27)</f>
        <v>3201.6938799488717</v>
      </c>
      <c r="BD8" s="99">
        <f t="shared" ref="BD8" si="12">SUM(BD9:BD27)</f>
        <v>2789.4853029943611</v>
      </c>
      <c r="BE8" s="99">
        <f>SUM(BE9:BE27)</f>
        <v>2416.3047424629758</v>
      </c>
    </row>
    <row r="9" spans="1:57" ht="15.75" customHeight="1" thickTop="1" x14ac:dyDescent="0.15">
      <c r="A9" s="1"/>
      <c r="B9" s="235"/>
      <c r="C9" s="195" t="s">
        <v>185</v>
      </c>
      <c r="D9" s="8">
        <v>175</v>
      </c>
      <c r="E9" s="9">
        <v>141</v>
      </c>
      <c r="F9" s="10"/>
      <c r="G9" s="63"/>
      <c r="H9" s="94">
        <f>E9+(W9-E9)*(9/60)</f>
        <v>137.30311063427959</v>
      </c>
      <c r="I9" s="69">
        <f>E9+(W9-E9)*(21/60)</f>
        <v>132.37392481331904</v>
      </c>
      <c r="J9" s="70">
        <f>E9+(W9-E9)*(33/60)</f>
        <v>127.44473899235847</v>
      </c>
      <c r="K9" s="70">
        <f t="shared" ref="K9:K27" si="13">E9+(W9-E9)*(45/60)</f>
        <v>122.51555317139791</v>
      </c>
      <c r="L9" s="70">
        <f>E9+(W9-E9)*(57/60)</f>
        <v>117.58636735043736</v>
      </c>
      <c r="M9" s="219">
        <f t="shared" ref="M9:M27" si="14">W9+(X9-W9)*(9/60)</f>
        <v>112.48942380498616</v>
      </c>
      <c r="N9" s="69">
        <f>W9+(X9-W9)*(21/60)</f>
        <v>107.33656101803808</v>
      </c>
      <c r="O9" s="70">
        <f>W9+(X9-W9)*(33/60)</f>
        <v>102.18369823109001</v>
      </c>
      <c r="P9" s="70">
        <f>W9+(X9-W9)*(45/60)</f>
        <v>97.030835444141943</v>
      </c>
      <c r="Q9" s="70">
        <f>W9+(X9-W9)*(57/60)</f>
        <v>91.87797265719388</v>
      </c>
      <c r="R9" s="70">
        <f>X9+(Y9-X9)*(9/60)</f>
        <v>87.831495965878986</v>
      </c>
      <c r="S9" s="70">
        <f>Y9+(Z9-Y9)*(9/60)</f>
        <v>69.538793812077259</v>
      </c>
      <c r="T9" s="71">
        <f>Z9+(AA9-Z9)*(9/60)</f>
        <v>52.931897485832359</v>
      </c>
      <c r="U9" s="71">
        <f>AA9+(AB9-AA9)*(9/60)</f>
        <v>43.16466823903346</v>
      </c>
      <c r="V9" s="71">
        <f>AB9+(AC9-AB9)*(9/60)</f>
        <v>35.541231148562886</v>
      </c>
      <c r="W9" s="187">
        <f>IF(ISERROR(SUM(W32:W38)*$E50*($E51/(100+$E51))),0,(SUM(W32:W38)*$E50*($E51/(100+$E51))))</f>
        <v>116.35407089519721</v>
      </c>
      <c r="X9" s="12">
        <f>IF(ISERROR(SUM(X32:X38)*$E50*($E51/(100+$E51))),0,(SUM(X32:X38)*$E50*($E51/(100+$E51))))</f>
        <v>90.589756960456853</v>
      </c>
      <c r="Y9" s="12">
        <f t="shared" ref="Y9:AA9" si="15">IF(ISERROR(SUM(Y32:Y38)*$E50*($E51/(100+$E51))),0,(SUM(Y32:Y38)*$E50*($E51/(100+$E51))))</f>
        <v>72.201350329937725</v>
      </c>
      <c r="Z9" s="12">
        <f t="shared" si="15"/>
        <v>54.450973544201283</v>
      </c>
      <c r="AA9" s="60">
        <f t="shared" si="15"/>
        <v>44.323799821741773</v>
      </c>
      <c r="AB9" s="11">
        <f t="shared" ref="AB9:AC9" si="16">IF(ISERROR(SUM(AB32:AB38)*$E50*($E51/(100+$E51))),0,(SUM(AB32:AB38)*$E50*($E51/(100+$E51))))</f>
        <v>36.596255937019698</v>
      </c>
      <c r="AC9" s="11">
        <f t="shared" si="16"/>
        <v>29.562757347307631</v>
      </c>
      <c r="AD9" s="182">
        <f t="shared" ref="AD9:AD21" si="17">I9</f>
        <v>132.37392481331904</v>
      </c>
      <c r="AE9" s="182">
        <f t="shared" ref="AE9:AE21" si="18">J9</f>
        <v>127.44473899235847</v>
      </c>
      <c r="AF9" s="182">
        <f t="shared" ref="AF9:AF21" si="19">K9</f>
        <v>122.51555317139791</v>
      </c>
      <c r="AG9" s="182">
        <f t="shared" ref="AG9:AG21" si="20">L9</f>
        <v>117.58636735043736</v>
      </c>
      <c r="AH9" s="182">
        <f t="shared" ref="AH9:AH21" si="21">M9</f>
        <v>112.48942380498616</v>
      </c>
      <c r="AI9" s="182">
        <f t="shared" ref="AI9:AI21" si="22">N9</f>
        <v>107.33656101803808</v>
      </c>
      <c r="AJ9" s="182">
        <f t="shared" ref="AJ9:AJ21" si="23">O9</f>
        <v>102.18369823109001</v>
      </c>
      <c r="AK9" s="182">
        <f t="shared" ref="AK9:AK21" si="24">P9</f>
        <v>97.030835444141943</v>
      </c>
      <c r="AL9" s="182">
        <f t="shared" ref="AL9:AL21" si="25">Q9</f>
        <v>91.87797265719388</v>
      </c>
      <c r="AM9" s="182">
        <f t="shared" ref="AM9:AM21" si="26">R9</f>
        <v>87.831495965878986</v>
      </c>
      <c r="AN9" s="182">
        <f t="shared" ref="AN9:AN21" si="27">S9</f>
        <v>69.538793812077259</v>
      </c>
      <c r="AO9" s="182">
        <f t="shared" ref="AO9:AO21" si="28">T9</f>
        <v>52.931897485832359</v>
      </c>
      <c r="AP9" s="182">
        <f t="shared" ref="AP9:AP21" si="29">U9</f>
        <v>43.16466823903346</v>
      </c>
      <c r="AQ9" s="101">
        <f t="shared" ref="AQ9:AQ21" si="30">V9</f>
        <v>35.541231148562886</v>
      </c>
      <c r="AR9" s="214">
        <f t="shared" ref="AR9:AR21" si="31">I9</f>
        <v>132.37392481331904</v>
      </c>
      <c r="AS9" s="102">
        <f t="shared" ref="AS9:AS21" si="32">J9</f>
        <v>127.44473899235847</v>
      </c>
      <c r="AT9" s="102">
        <f t="shared" ref="AT9:AT21" si="33">K9</f>
        <v>122.51555317139791</v>
      </c>
      <c r="AU9" s="102">
        <f t="shared" ref="AU9:AU21" si="34">L9</f>
        <v>117.58636735043736</v>
      </c>
      <c r="AV9" s="102">
        <f t="shared" ref="AV9:AV21" si="35">M9</f>
        <v>112.48942380498616</v>
      </c>
      <c r="AW9" s="102">
        <f t="shared" ref="AW9:AW21" si="36">N9</f>
        <v>107.33656101803808</v>
      </c>
      <c r="AX9" s="102">
        <f t="shared" ref="AX9:AX21" si="37">O9</f>
        <v>102.18369823109001</v>
      </c>
      <c r="AY9" s="102">
        <f t="shared" ref="AY9:AY21" si="38">P9</f>
        <v>97.030835444141943</v>
      </c>
      <c r="AZ9" s="102">
        <f t="shared" ref="AZ9:AZ21" si="39">Q9</f>
        <v>91.87797265719388</v>
      </c>
      <c r="BA9" s="102">
        <f t="shared" ref="BA9:BA21" si="40">R9</f>
        <v>87.831495965878986</v>
      </c>
      <c r="BB9" s="102">
        <f t="shared" ref="BB9:BB21" si="41">S9</f>
        <v>69.538793812077259</v>
      </c>
      <c r="BC9" s="102">
        <f t="shared" ref="BC9:BC21" si="42">T9</f>
        <v>52.931897485832359</v>
      </c>
      <c r="BD9" s="102">
        <f t="shared" ref="BD9:BD21" si="43">U9</f>
        <v>43.16466823903346</v>
      </c>
      <c r="BE9" s="215">
        <f t="shared" ref="BE9:BE21" si="44">V9</f>
        <v>35.541231148562886</v>
      </c>
    </row>
    <row r="10" spans="1:57" ht="15.75" customHeight="1" x14ac:dyDescent="0.15">
      <c r="A10" s="1"/>
      <c r="B10" s="235"/>
      <c r="C10" s="196" t="s">
        <v>186</v>
      </c>
      <c r="D10" s="13">
        <v>216</v>
      </c>
      <c r="E10" s="14">
        <v>182</v>
      </c>
      <c r="F10" s="15">
        <f>IF(ISERROR(D9),0,(D9))</f>
        <v>175</v>
      </c>
      <c r="G10" s="64">
        <f>IF(ISERROR(E10/F10*100),0,(E10/F10*100))</f>
        <v>104</v>
      </c>
      <c r="H10" s="94">
        <f t="shared" ref="H10:H27" si="45">E10+(W10-E10)*(9/60)</f>
        <v>176.696</v>
      </c>
      <c r="I10" s="69">
        <f t="shared" ref="I10:I27" si="46">E10+(W10-E10)*(21/60)</f>
        <v>169.624</v>
      </c>
      <c r="J10" s="70">
        <f t="shared" ref="J10:J27" si="47">E10+(W10-E10)*(33/60)</f>
        <v>162.55199999999999</v>
      </c>
      <c r="K10" s="70">
        <f t="shared" si="13"/>
        <v>155.47999999999999</v>
      </c>
      <c r="L10" s="70">
        <f t="shared" ref="L10:L27" si="48">E10+(W10-E10)*(57/60)</f>
        <v>148.40799999999999</v>
      </c>
      <c r="M10" s="219">
        <f t="shared" si="14"/>
        <v>142.79523505965076</v>
      </c>
      <c r="N10" s="69">
        <f t="shared" ref="N10:N27" si="49">W10+(X10-W10)*(21/60)</f>
        <v>137.66888180585178</v>
      </c>
      <c r="O10" s="70">
        <f t="shared" ref="O10:O27" si="50">W10+(X10-W10)*(33/60)</f>
        <v>132.5425285520528</v>
      </c>
      <c r="P10" s="70">
        <f t="shared" ref="P10:P27" si="51">W10+(X10-W10)*(45/60)</f>
        <v>127.41617529825382</v>
      </c>
      <c r="Q10" s="70">
        <f t="shared" ref="Q10:Q27" si="52">W10+(X10-W10)*(57/60)</f>
        <v>122.28982204445484</v>
      </c>
      <c r="R10" s="70">
        <f t="shared" ref="R10:R27" si="53">X10+(Y10-X10)*(9/60)</f>
        <v>116.98900075718559</v>
      </c>
      <c r="S10" s="70">
        <f t="shared" ref="S10:S27" si="54">Y10+(Z10-Y10)*(9/60)</f>
        <v>91.344755804514136</v>
      </c>
      <c r="T10" s="71">
        <f t="shared" ref="T10:T27" si="55">Z10+(AA10-Z10)*(9/60)</f>
        <v>72.320345564560341</v>
      </c>
      <c r="U10" s="71">
        <f t="shared" ref="U10:U27" si="56">AA10+(AB10-AA10)*(9/60)</f>
        <v>55.049173385265647</v>
      </c>
      <c r="V10" s="71">
        <f t="shared" ref="V10:V27" si="57">AB10+(AC10-AB10)*(9/60)</f>
        <v>44.891254968594801</v>
      </c>
      <c r="W10" s="188">
        <f t="shared" ref="W10:W26" si="58">IF(ISERROR(E9*$G10/100),0,(E9*$G10/100))</f>
        <v>146.63999999999999</v>
      </c>
      <c r="X10" s="16">
        <f t="shared" ref="X10:AC26" si="59">IF(ISERROR(W9*$G10/100),0,(W9*$G10/100))</f>
        <v>121.00823373100509</v>
      </c>
      <c r="Y10" s="16">
        <f t="shared" si="59"/>
        <v>94.213347238875116</v>
      </c>
      <c r="Z10" s="16">
        <f t="shared" si="59"/>
        <v>75.089404343135229</v>
      </c>
      <c r="AA10" s="61">
        <f t="shared" si="59"/>
        <v>56.629012485969334</v>
      </c>
      <c r="AB10" s="61">
        <f t="shared" si="59"/>
        <v>46.096751814611444</v>
      </c>
      <c r="AC10" s="16">
        <f t="shared" si="59"/>
        <v>38.06010617450049</v>
      </c>
      <c r="AD10" s="182">
        <f t="shared" si="17"/>
        <v>169.624</v>
      </c>
      <c r="AE10" s="182">
        <f t="shared" si="18"/>
        <v>162.55199999999999</v>
      </c>
      <c r="AF10" s="182">
        <f t="shared" si="19"/>
        <v>155.47999999999999</v>
      </c>
      <c r="AG10" s="182">
        <f t="shared" si="20"/>
        <v>148.40799999999999</v>
      </c>
      <c r="AH10" s="182">
        <f t="shared" si="21"/>
        <v>142.79523505965076</v>
      </c>
      <c r="AI10" s="182">
        <f t="shared" si="22"/>
        <v>137.66888180585178</v>
      </c>
      <c r="AJ10" s="182">
        <f t="shared" si="23"/>
        <v>132.5425285520528</v>
      </c>
      <c r="AK10" s="182">
        <f t="shared" si="24"/>
        <v>127.41617529825382</v>
      </c>
      <c r="AL10" s="182">
        <f t="shared" si="25"/>
        <v>122.28982204445484</v>
      </c>
      <c r="AM10" s="182">
        <f t="shared" si="26"/>
        <v>116.98900075718559</v>
      </c>
      <c r="AN10" s="182">
        <f t="shared" si="27"/>
        <v>91.344755804514136</v>
      </c>
      <c r="AO10" s="182">
        <f t="shared" si="28"/>
        <v>72.320345564560341</v>
      </c>
      <c r="AP10" s="182">
        <f t="shared" si="29"/>
        <v>55.049173385265647</v>
      </c>
      <c r="AQ10" s="101">
        <f t="shared" si="30"/>
        <v>44.891254968594801</v>
      </c>
      <c r="AR10" s="214">
        <f t="shared" si="31"/>
        <v>169.624</v>
      </c>
      <c r="AS10" s="102">
        <f t="shared" si="32"/>
        <v>162.55199999999999</v>
      </c>
      <c r="AT10" s="102">
        <f t="shared" si="33"/>
        <v>155.47999999999999</v>
      </c>
      <c r="AU10" s="102">
        <f t="shared" si="34"/>
        <v>148.40799999999999</v>
      </c>
      <c r="AV10" s="102">
        <f t="shared" si="35"/>
        <v>142.79523505965076</v>
      </c>
      <c r="AW10" s="102">
        <f t="shared" si="36"/>
        <v>137.66888180585178</v>
      </c>
      <c r="AX10" s="102">
        <f t="shared" si="37"/>
        <v>132.5425285520528</v>
      </c>
      <c r="AY10" s="102">
        <f t="shared" si="38"/>
        <v>127.41617529825382</v>
      </c>
      <c r="AZ10" s="102">
        <f t="shared" si="39"/>
        <v>122.28982204445484</v>
      </c>
      <c r="BA10" s="102">
        <f t="shared" si="40"/>
        <v>116.98900075718559</v>
      </c>
      <c r="BB10" s="102">
        <f t="shared" si="41"/>
        <v>91.344755804514136</v>
      </c>
      <c r="BC10" s="102">
        <f t="shared" si="42"/>
        <v>72.320345564560341</v>
      </c>
      <c r="BD10" s="102">
        <f t="shared" si="43"/>
        <v>55.049173385265647</v>
      </c>
      <c r="BE10" s="215">
        <f t="shared" si="44"/>
        <v>44.891254968594801</v>
      </c>
    </row>
    <row r="11" spans="1:57" ht="15.75" customHeight="1" x14ac:dyDescent="0.15">
      <c r="A11" s="1"/>
      <c r="B11" s="235"/>
      <c r="C11" s="196" t="s">
        <v>187</v>
      </c>
      <c r="D11" s="13">
        <v>239</v>
      </c>
      <c r="E11" s="14">
        <v>204</v>
      </c>
      <c r="F11" s="15">
        <f t="shared" ref="F11:F26" si="60">IF(ISERROR(D10),0,(D10))</f>
        <v>216</v>
      </c>
      <c r="G11" s="64">
        <f t="shared" ref="G11:G27" si="61">IF(ISERROR(E11/F11*100),0,(E11/F11*100))</f>
        <v>94.444444444444443</v>
      </c>
      <c r="H11" s="94">
        <f t="shared" si="45"/>
        <v>199.18333333333334</v>
      </c>
      <c r="I11" s="69">
        <f t="shared" si="46"/>
        <v>192.76111111111109</v>
      </c>
      <c r="J11" s="70">
        <f t="shared" si="47"/>
        <v>186.33888888888887</v>
      </c>
      <c r="K11" s="70">
        <f t="shared" si="13"/>
        <v>179.91666666666663</v>
      </c>
      <c r="L11" s="70">
        <f t="shared" si="48"/>
        <v>173.49444444444441</v>
      </c>
      <c r="M11" s="219">
        <f t="shared" si="14"/>
        <v>166.87955555555553</v>
      </c>
      <c r="N11" s="69">
        <f t="shared" si="49"/>
        <v>160.20044444444443</v>
      </c>
      <c r="O11" s="70">
        <f t="shared" si="50"/>
        <v>153.5213333333333</v>
      </c>
      <c r="P11" s="70">
        <f t="shared" si="51"/>
        <v>146.8422222222222</v>
      </c>
      <c r="Q11" s="70">
        <f t="shared" si="52"/>
        <v>140.16311111111108</v>
      </c>
      <c r="R11" s="70">
        <f t="shared" si="53"/>
        <v>134.86216644522571</v>
      </c>
      <c r="S11" s="70">
        <f t="shared" si="54"/>
        <v>110.48961182623084</v>
      </c>
      <c r="T11" s="71">
        <f t="shared" si="55"/>
        <v>86.270047148707789</v>
      </c>
      <c r="U11" s="71">
        <f t="shared" si="56"/>
        <v>68.302548588751435</v>
      </c>
      <c r="V11" s="71">
        <f t="shared" si="57"/>
        <v>51.990885974973111</v>
      </c>
      <c r="W11" s="188">
        <f t="shared" si="58"/>
        <v>171.88888888888886</v>
      </c>
      <c r="X11" s="16">
        <f t="shared" si="59"/>
        <v>138.49333333333331</v>
      </c>
      <c r="Y11" s="16">
        <f t="shared" si="59"/>
        <v>114.28555407928259</v>
      </c>
      <c r="Z11" s="16">
        <f t="shared" si="59"/>
        <v>88.979272392270943</v>
      </c>
      <c r="AA11" s="61">
        <f t="shared" si="59"/>
        <v>70.917770768516604</v>
      </c>
      <c r="AB11" s="61">
        <f t="shared" si="59"/>
        <v>53.482956236748812</v>
      </c>
      <c r="AC11" s="189">
        <f t="shared" si="59"/>
        <v>43.535821158244147</v>
      </c>
      <c r="AD11" s="182">
        <f t="shared" si="17"/>
        <v>192.76111111111109</v>
      </c>
      <c r="AE11" s="182">
        <f t="shared" si="18"/>
        <v>186.33888888888887</v>
      </c>
      <c r="AF11" s="182">
        <f t="shared" si="19"/>
        <v>179.91666666666663</v>
      </c>
      <c r="AG11" s="182">
        <f t="shared" si="20"/>
        <v>173.49444444444441</v>
      </c>
      <c r="AH11" s="182">
        <f t="shared" si="21"/>
        <v>166.87955555555553</v>
      </c>
      <c r="AI11" s="182">
        <f t="shared" si="22"/>
        <v>160.20044444444443</v>
      </c>
      <c r="AJ11" s="182">
        <f t="shared" si="23"/>
        <v>153.5213333333333</v>
      </c>
      <c r="AK11" s="182">
        <f t="shared" si="24"/>
        <v>146.8422222222222</v>
      </c>
      <c r="AL11" s="182">
        <f t="shared" si="25"/>
        <v>140.16311111111108</v>
      </c>
      <c r="AM11" s="182">
        <f t="shared" si="26"/>
        <v>134.86216644522571</v>
      </c>
      <c r="AN11" s="182">
        <f t="shared" si="27"/>
        <v>110.48961182623084</v>
      </c>
      <c r="AO11" s="182">
        <f t="shared" si="28"/>
        <v>86.270047148707789</v>
      </c>
      <c r="AP11" s="182">
        <f t="shared" si="29"/>
        <v>68.302548588751435</v>
      </c>
      <c r="AQ11" s="101">
        <f t="shared" si="30"/>
        <v>51.990885974973111</v>
      </c>
      <c r="AR11" s="214">
        <f t="shared" si="31"/>
        <v>192.76111111111109</v>
      </c>
      <c r="AS11" s="102">
        <f t="shared" si="32"/>
        <v>186.33888888888887</v>
      </c>
      <c r="AT11" s="102">
        <f t="shared" si="33"/>
        <v>179.91666666666663</v>
      </c>
      <c r="AU11" s="102">
        <f t="shared" si="34"/>
        <v>173.49444444444441</v>
      </c>
      <c r="AV11" s="102">
        <f t="shared" si="35"/>
        <v>166.87955555555553</v>
      </c>
      <c r="AW11" s="102">
        <f t="shared" si="36"/>
        <v>160.20044444444443</v>
      </c>
      <c r="AX11" s="102">
        <f t="shared" si="37"/>
        <v>153.5213333333333</v>
      </c>
      <c r="AY11" s="102">
        <f t="shared" si="38"/>
        <v>146.8422222222222</v>
      </c>
      <c r="AZ11" s="102">
        <f t="shared" si="39"/>
        <v>140.16311111111108</v>
      </c>
      <c r="BA11" s="102">
        <f t="shared" si="40"/>
        <v>134.86216644522571</v>
      </c>
      <c r="BB11" s="102">
        <f t="shared" si="41"/>
        <v>110.48961182623084</v>
      </c>
      <c r="BC11" s="102">
        <f t="shared" si="42"/>
        <v>86.270047148707789</v>
      </c>
      <c r="BD11" s="102">
        <f t="shared" si="43"/>
        <v>68.302548588751435</v>
      </c>
      <c r="BE11" s="215">
        <f t="shared" si="44"/>
        <v>51.990885974973111</v>
      </c>
    </row>
    <row r="12" spans="1:57" ht="15.75" customHeight="1" x14ac:dyDescent="0.15">
      <c r="A12" s="1"/>
      <c r="B12" s="235"/>
      <c r="C12" s="196" t="s">
        <v>188</v>
      </c>
      <c r="D12" s="13">
        <v>272</v>
      </c>
      <c r="E12" s="14">
        <v>247</v>
      </c>
      <c r="F12" s="15">
        <f t="shared" si="60"/>
        <v>239</v>
      </c>
      <c r="G12" s="64">
        <f t="shared" si="61"/>
        <v>103.34728033472804</v>
      </c>
      <c r="H12" s="94">
        <f t="shared" si="45"/>
        <v>241.57426778242677</v>
      </c>
      <c r="I12" s="69">
        <f t="shared" si="46"/>
        <v>234.33995815899584</v>
      </c>
      <c r="J12" s="70">
        <f t="shared" si="47"/>
        <v>227.10564853556488</v>
      </c>
      <c r="K12" s="70">
        <f t="shared" si="13"/>
        <v>219.87133891213392</v>
      </c>
      <c r="L12" s="70">
        <f t="shared" si="48"/>
        <v>212.63702928870296</v>
      </c>
      <c r="M12" s="219">
        <f t="shared" si="14"/>
        <v>205.85055788005582</v>
      </c>
      <c r="N12" s="69">
        <f t="shared" si="49"/>
        <v>199.21336587633661</v>
      </c>
      <c r="O12" s="70">
        <f t="shared" si="50"/>
        <v>192.5761738726174</v>
      </c>
      <c r="P12" s="70">
        <f t="shared" si="51"/>
        <v>185.93898186889817</v>
      </c>
      <c r="Q12" s="70">
        <f t="shared" si="52"/>
        <v>179.30178986517896</v>
      </c>
      <c r="R12" s="70">
        <f t="shared" si="53"/>
        <v>172.46548210134819</v>
      </c>
      <c r="S12" s="70">
        <f t="shared" si="54"/>
        <v>139.37638122163494</v>
      </c>
      <c r="T12" s="71">
        <f t="shared" si="55"/>
        <v>114.18800887480762</v>
      </c>
      <c r="U12" s="71">
        <f t="shared" si="56"/>
        <v>89.157747471677098</v>
      </c>
      <c r="V12" s="71">
        <f t="shared" si="57"/>
        <v>70.588826365780776</v>
      </c>
      <c r="W12" s="188">
        <f t="shared" si="58"/>
        <v>210.82845188284523</v>
      </c>
      <c r="X12" s="16">
        <f t="shared" si="59"/>
        <v>177.64249186424917</v>
      </c>
      <c r="Y12" s="16">
        <f t="shared" si="59"/>
        <v>143.12909344490933</v>
      </c>
      <c r="Z12" s="16">
        <f t="shared" si="59"/>
        <v>118.11101195641341</v>
      </c>
      <c r="AA12" s="61">
        <f t="shared" si="59"/>
        <v>91.957658079041522</v>
      </c>
      <c r="AB12" s="61">
        <f t="shared" si="59"/>
        <v>73.291587363278666</v>
      </c>
      <c r="AC12" s="189">
        <f t="shared" si="59"/>
        <v>55.27318071329271</v>
      </c>
      <c r="AD12" s="182">
        <f t="shared" si="17"/>
        <v>234.33995815899584</v>
      </c>
      <c r="AE12" s="182">
        <f t="shared" si="18"/>
        <v>227.10564853556488</v>
      </c>
      <c r="AF12" s="182">
        <f t="shared" si="19"/>
        <v>219.87133891213392</v>
      </c>
      <c r="AG12" s="182">
        <f t="shared" si="20"/>
        <v>212.63702928870296</v>
      </c>
      <c r="AH12" s="182">
        <f t="shared" si="21"/>
        <v>205.85055788005582</v>
      </c>
      <c r="AI12" s="182">
        <f t="shared" si="22"/>
        <v>199.21336587633661</v>
      </c>
      <c r="AJ12" s="182">
        <f t="shared" si="23"/>
        <v>192.5761738726174</v>
      </c>
      <c r="AK12" s="182">
        <f t="shared" si="24"/>
        <v>185.93898186889817</v>
      </c>
      <c r="AL12" s="182">
        <f t="shared" si="25"/>
        <v>179.30178986517896</v>
      </c>
      <c r="AM12" s="182">
        <f t="shared" si="26"/>
        <v>172.46548210134819</v>
      </c>
      <c r="AN12" s="182">
        <f t="shared" si="27"/>
        <v>139.37638122163494</v>
      </c>
      <c r="AO12" s="182">
        <f t="shared" si="28"/>
        <v>114.18800887480762</v>
      </c>
      <c r="AP12" s="182">
        <f t="shared" si="29"/>
        <v>89.157747471677098</v>
      </c>
      <c r="AQ12" s="101">
        <f t="shared" si="30"/>
        <v>70.588826365780776</v>
      </c>
      <c r="AR12" s="214">
        <f t="shared" si="31"/>
        <v>234.33995815899584</v>
      </c>
      <c r="AS12" s="102">
        <f t="shared" si="32"/>
        <v>227.10564853556488</v>
      </c>
      <c r="AT12" s="102">
        <f t="shared" si="33"/>
        <v>219.87133891213392</v>
      </c>
      <c r="AU12" s="102">
        <f t="shared" si="34"/>
        <v>212.63702928870296</v>
      </c>
      <c r="AV12" s="102">
        <f t="shared" si="35"/>
        <v>205.85055788005582</v>
      </c>
      <c r="AW12" s="102">
        <f t="shared" si="36"/>
        <v>199.21336587633661</v>
      </c>
      <c r="AX12" s="102">
        <f t="shared" si="37"/>
        <v>192.5761738726174</v>
      </c>
      <c r="AY12" s="102">
        <f t="shared" si="38"/>
        <v>185.93898186889817</v>
      </c>
      <c r="AZ12" s="102">
        <f t="shared" si="39"/>
        <v>179.30178986517896</v>
      </c>
      <c r="BA12" s="102">
        <f t="shared" si="40"/>
        <v>172.46548210134819</v>
      </c>
      <c r="BB12" s="102">
        <f t="shared" si="41"/>
        <v>139.37638122163494</v>
      </c>
      <c r="BC12" s="102">
        <f t="shared" si="42"/>
        <v>114.18800887480762</v>
      </c>
      <c r="BD12" s="102">
        <f t="shared" si="43"/>
        <v>89.157747471677098</v>
      </c>
      <c r="BE12" s="215">
        <f t="shared" si="44"/>
        <v>70.588826365780776</v>
      </c>
    </row>
    <row r="13" spans="1:57" ht="15.75" customHeight="1" x14ac:dyDescent="0.15">
      <c r="A13" s="1"/>
      <c r="B13" s="235"/>
      <c r="C13" s="196" t="s">
        <v>189</v>
      </c>
      <c r="D13" s="13">
        <v>268</v>
      </c>
      <c r="E13" s="14">
        <v>231</v>
      </c>
      <c r="F13" s="15">
        <f t="shared" si="60"/>
        <v>272</v>
      </c>
      <c r="G13" s="64">
        <f t="shared" si="61"/>
        <v>84.92647058823529</v>
      </c>
      <c r="H13" s="94">
        <f t="shared" si="45"/>
        <v>227.81525735294116</v>
      </c>
      <c r="I13" s="69">
        <f t="shared" si="46"/>
        <v>223.56893382352942</v>
      </c>
      <c r="J13" s="70">
        <f t="shared" si="47"/>
        <v>219.32261029411762</v>
      </c>
      <c r="K13" s="70">
        <f t="shared" si="13"/>
        <v>215.07628676470586</v>
      </c>
      <c r="L13" s="70">
        <f t="shared" si="48"/>
        <v>210.82996323529409</v>
      </c>
      <c r="M13" s="219">
        <f t="shared" si="14"/>
        <v>205.16049947698744</v>
      </c>
      <c r="N13" s="69">
        <f t="shared" si="49"/>
        <v>199.01665564238249</v>
      </c>
      <c r="O13" s="70">
        <f t="shared" si="50"/>
        <v>192.87281180777751</v>
      </c>
      <c r="P13" s="70">
        <f t="shared" si="51"/>
        <v>186.72896797317256</v>
      </c>
      <c r="Q13" s="70">
        <f t="shared" si="52"/>
        <v>180.58512413856758</v>
      </c>
      <c r="R13" s="70">
        <f t="shared" si="53"/>
        <v>174.82161349372387</v>
      </c>
      <c r="S13" s="70">
        <f t="shared" si="54"/>
        <v>146.46884693165967</v>
      </c>
      <c r="T13" s="71">
        <f t="shared" si="55"/>
        <v>118.36744140513849</v>
      </c>
      <c r="U13" s="71">
        <f t="shared" si="56"/>
        <v>96.975845772355015</v>
      </c>
      <c r="V13" s="71">
        <f t="shared" si="57"/>
        <v>75.718528183666947</v>
      </c>
      <c r="W13" s="188">
        <f t="shared" si="58"/>
        <v>209.76838235294116</v>
      </c>
      <c r="X13" s="16">
        <f t="shared" si="59"/>
        <v>179.04916317991635</v>
      </c>
      <c r="Y13" s="16">
        <f t="shared" si="59"/>
        <v>150.86549860529985</v>
      </c>
      <c r="Z13" s="16">
        <f t="shared" si="59"/>
        <v>121.55448744769872</v>
      </c>
      <c r="AA13" s="61">
        <f t="shared" si="59"/>
        <v>100.30751383063051</v>
      </c>
      <c r="AB13" s="61">
        <f t="shared" si="59"/>
        <v>78.09639344212718</v>
      </c>
      <c r="AC13" s="189">
        <f t="shared" si="59"/>
        <v>62.243958385725627</v>
      </c>
      <c r="AD13" s="182">
        <f t="shared" si="17"/>
        <v>223.56893382352942</v>
      </c>
      <c r="AE13" s="182">
        <f t="shared" si="18"/>
        <v>219.32261029411762</v>
      </c>
      <c r="AF13" s="182">
        <f t="shared" si="19"/>
        <v>215.07628676470586</v>
      </c>
      <c r="AG13" s="182">
        <f t="shared" si="20"/>
        <v>210.82996323529409</v>
      </c>
      <c r="AH13" s="182">
        <f t="shared" si="21"/>
        <v>205.16049947698744</v>
      </c>
      <c r="AI13" s="182">
        <f t="shared" si="22"/>
        <v>199.01665564238249</v>
      </c>
      <c r="AJ13" s="182">
        <f t="shared" si="23"/>
        <v>192.87281180777751</v>
      </c>
      <c r="AK13" s="182">
        <f t="shared" si="24"/>
        <v>186.72896797317256</v>
      </c>
      <c r="AL13" s="182">
        <f t="shared" si="25"/>
        <v>180.58512413856758</v>
      </c>
      <c r="AM13" s="182">
        <f t="shared" si="26"/>
        <v>174.82161349372387</v>
      </c>
      <c r="AN13" s="182">
        <f t="shared" si="27"/>
        <v>146.46884693165967</v>
      </c>
      <c r="AO13" s="182">
        <f t="shared" si="28"/>
        <v>118.36744140513849</v>
      </c>
      <c r="AP13" s="182">
        <f t="shared" si="29"/>
        <v>96.975845772355015</v>
      </c>
      <c r="AQ13" s="101">
        <f t="shared" si="30"/>
        <v>75.718528183666947</v>
      </c>
      <c r="AR13" s="214">
        <f t="shared" si="31"/>
        <v>223.56893382352942</v>
      </c>
      <c r="AS13" s="102">
        <f t="shared" si="32"/>
        <v>219.32261029411762</v>
      </c>
      <c r="AT13" s="102">
        <f t="shared" si="33"/>
        <v>215.07628676470586</v>
      </c>
      <c r="AU13" s="102">
        <f t="shared" si="34"/>
        <v>210.82996323529409</v>
      </c>
      <c r="AV13" s="102">
        <f t="shared" si="35"/>
        <v>205.16049947698744</v>
      </c>
      <c r="AW13" s="102">
        <f t="shared" si="36"/>
        <v>199.01665564238249</v>
      </c>
      <c r="AX13" s="102">
        <f t="shared" si="37"/>
        <v>192.87281180777751</v>
      </c>
      <c r="AY13" s="102">
        <f t="shared" si="38"/>
        <v>186.72896797317256</v>
      </c>
      <c r="AZ13" s="102">
        <f t="shared" si="39"/>
        <v>180.58512413856758</v>
      </c>
      <c r="BA13" s="102">
        <f t="shared" si="40"/>
        <v>174.82161349372387</v>
      </c>
      <c r="BB13" s="102">
        <f t="shared" si="41"/>
        <v>146.46884693165967</v>
      </c>
      <c r="BC13" s="102">
        <f t="shared" si="42"/>
        <v>118.36744140513849</v>
      </c>
      <c r="BD13" s="102">
        <f t="shared" si="43"/>
        <v>96.975845772355015</v>
      </c>
      <c r="BE13" s="215">
        <f t="shared" si="44"/>
        <v>75.718528183666947</v>
      </c>
    </row>
    <row r="14" spans="1:57" ht="15.75" customHeight="1" x14ac:dyDescent="0.15">
      <c r="A14" s="1"/>
      <c r="B14" s="235"/>
      <c r="C14" s="196" t="s">
        <v>190</v>
      </c>
      <c r="D14" s="13">
        <v>263</v>
      </c>
      <c r="E14" s="14">
        <v>218</v>
      </c>
      <c r="F14" s="15">
        <f t="shared" si="60"/>
        <v>268</v>
      </c>
      <c r="G14" s="64">
        <f t="shared" si="61"/>
        <v>81.343283582089555</v>
      </c>
      <c r="H14" s="94">
        <f t="shared" si="45"/>
        <v>213.48544776119402</v>
      </c>
      <c r="I14" s="69">
        <f t="shared" si="46"/>
        <v>207.46604477611942</v>
      </c>
      <c r="J14" s="70">
        <f t="shared" si="47"/>
        <v>201.44664179104478</v>
      </c>
      <c r="K14" s="70">
        <f t="shared" si="13"/>
        <v>195.42723880597015</v>
      </c>
      <c r="L14" s="70">
        <f t="shared" si="48"/>
        <v>189.40783582089554</v>
      </c>
      <c r="M14" s="219">
        <f t="shared" si="14"/>
        <v>185.31241083187007</v>
      </c>
      <c r="N14" s="69">
        <f t="shared" si="49"/>
        <v>181.85831184152767</v>
      </c>
      <c r="O14" s="70">
        <f t="shared" si="50"/>
        <v>178.40421285118524</v>
      </c>
      <c r="P14" s="70">
        <f t="shared" si="51"/>
        <v>174.95011386084283</v>
      </c>
      <c r="Q14" s="70">
        <f t="shared" si="52"/>
        <v>171.49601487050043</v>
      </c>
      <c r="R14" s="70">
        <f t="shared" si="53"/>
        <v>166.88428688799723</v>
      </c>
      <c r="S14" s="70">
        <f t="shared" si="54"/>
        <v>142.20564082698436</v>
      </c>
      <c r="T14" s="71">
        <f t="shared" si="55"/>
        <v>119.14256951903661</v>
      </c>
      <c r="U14" s="71">
        <f t="shared" si="56"/>
        <v>96.283963531045487</v>
      </c>
      <c r="V14" s="71">
        <f t="shared" si="57"/>
        <v>78.883337232736537</v>
      </c>
      <c r="W14" s="188">
        <f t="shared" si="58"/>
        <v>187.90298507462688</v>
      </c>
      <c r="X14" s="16">
        <f t="shared" si="59"/>
        <v>170.63249012291482</v>
      </c>
      <c r="Y14" s="16">
        <f t="shared" si="59"/>
        <v>145.64446855679765</v>
      </c>
      <c r="Z14" s="16">
        <f t="shared" si="59"/>
        <v>122.71895035804242</v>
      </c>
      <c r="AA14" s="61">
        <f t="shared" si="59"/>
        <v>98.876411431337019</v>
      </c>
      <c r="AB14" s="61">
        <f t="shared" si="59"/>
        <v>81.593425429393477</v>
      </c>
      <c r="AC14" s="189">
        <f t="shared" si="59"/>
        <v>63.526170785013903</v>
      </c>
      <c r="AD14" s="182">
        <f t="shared" si="17"/>
        <v>207.46604477611942</v>
      </c>
      <c r="AE14" s="182">
        <f t="shared" si="18"/>
        <v>201.44664179104478</v>
      </c>
      <c r="AF14" s="182">
        <f t="shared" si="19"/>
        <v>195.42723880597015</v>
      </c>
      <c r="AG14" s="182">
        <f t="shared" si="20"/>
        <v>189.40783582089554</v>
      </c>
      <c r="AH14" s="182">
        <f t="shared" si="21"/>
        <v>185.31241083187007</v>
      </c>
      <c r="AI14" s="182">
        <f t="shared" si="22"/>
        <v>181.85831184152767</v>
      </c>
      <c r="AJ14" s="182">
        <f t="shared" si="23"/>
        <v>178.40421285118524</v>
      </c>
      <c r="AK14" s="182">
        <f t="shared" si="24"/>
        <v>174.95011386084283</v>
      </c>
      <c r="AL14" s="182">
        <f t="shared" si="25"/>
        <v>171.49601487050043</v>
      </c>
      <c r="AM14" s="182">
        <f t="shared" si="26"/>
        <v>166.88428688799723</v>
      </c>
      <c r="AN14" s="182">
        <f t="shared" si="27"/>
        <v>142.20564082698436</v>
      </c>
      <c r="AO14" s="182">
        <f t="shared" si="28"/>
        <v>119.14256951903661</v>
      </c>
      <c r="AP14" s="182">
        <f t="shared" si="29"/>
        <v>96.283963531045487</v>
      </c>
      <c r="AQ14" s="101">
        <f t="shared" si="30"/>
        <v>78.883337232736537</v>
      </c>
      <c r="AR14" s="214">
        <f t="shared" si="31"/>
        <v>207.46604477611942</v>
      </c>
      <c r="AS14" s="102">
        <f t="shared" si="32"/>
        <v>201.44664179104478</v>
      </c>
      <c r="AT14" s="102">
        <f t="shared" si="33"/>
        <v>195.42723880597015</v>
      </c>
      <c r="AU14" s="102">
        <f t="shared" si="34"/>
        <v>189.40783582089554</v>
      </c>
      <c r="AV14" s="102">
        <f t="shared" si="35"/>
        <v>185.31241083187007</v>
      </c>
      <c r="AW14" s="102">
        <f t="shared" si="36"/>
        <v>181.85831184152767</v>
      </c>
      <c r="AX14" s="102">
        <f t="shared" si="37"/>
        <v>178.40421285118524</v>
      </c>
      <c r="AY14" s="102">
        <f t="shared" si="38"/>
        <v>174.95011386084283</v>
      </c>
      <c r="AZ14" s="102">
        <f t="shared" si="39"/>
        <v>171.49601487050043</v>
      </c>
      <c r="BA14" s="102">
        <f t="shared" si="40"/>
        <v>166.88428688799723</v>
      </c>
      <c r="BB14" s="102">
        <f t="shared" si="41"/>
        <v>142.20564082698436</v>
      </c>
      <c r="BC14" s="102">
        <f t="shared" si="42"/>
        <v>119.14256951903661</v>
      </c>
      <c r="BD14" s="102">
        <f t="shared" si="43"/>
        <v>96.283963531045487</v>
      </c>
      <c r="BE14" s="215">
        <f t="shared" si="44"/>
        <v>78.883337232736537</v>
      </c>
    </row>
    <row r="15" spans="1:57" ht="15.75" customHeight="1" x14ac:dyDescent="0.15">
      <c r="A15" s="1"/>
      <c r="B15" s="235"/>
      <c r="C15" s="196" t="s">
        <v>191</v>
      </c>
      <c r="D15" s="13">
        <v>293</v>
      </c>
      <c r="E15" s="14">
        <v>249</v>
      </c>
      <c r="F15" s="15">
        <f t="shared" si="60"/>
        <v>263</v>
      </c>
      <c r="G15" s="64">
        <f t="shared" si="61"/>
        <v>94.676806083650192</v>
      </c>
      <c r="H15" s="94">
        <f t="shared" si="45"/>
        <v>242.6093155893536</v>
      </c>
      <c r="I15" s="69">
        <f t="shared" si="46"/>
        <v>234.0884030418251</v>
      </c>
      <c r="J15" s="70">
        <f t="shared" si="47"/>
        <v>225.56749049429658</v>
      </c>
      <c r="K15" s="70">
        <f t="shared" si="13"/>
        <v>217.04657794676805</v>
      </c>
      <c r="L15" s="70">
        <f t="shared" si="48"/>
        <v>208.52566539923953</v>
      </c>
      <c r="M15" s="219">
        <f t="shared" si="14"/>
        <v>202.121203393678</v>
      </c>
      <c r="N15" s="69">
        <f t="shared" si="49"/>
        <v>196.42222490210543</v>
      </c>
      <c r="O15" s="70">
        <f t="shared" si="50"/>
        <v>190.72324641053288</v>
      </c>
      <c r="P15" s="70">
        <f t="shared" si="51"/>
        <v>185.02426791896033</v>
      </c>
      <c r="Q15" s="70">
        <f t="shared" si="52"/>
        <v>179.32528942738779</v>
      </c>
      <c r="R15" s="70">
        <f t="shared" si="53"/>
        <v>175.4478718522268</v>
      </c>
      <c r="S15" s="70">
        <f t="shared" si="54"/>
        <v>158.00071268103162</v>
      </c>
      <c r="T15" s="71">
        <f t="shared" si="55"/>
        <v>134.63575880577608</v>
      </c>
      <c r="U15" s="71">
        <f t="shared" si="56"/>
        <v>112.80037950661641</v>
      </c>
      <c r="V15" s="71">
        <f t="shared" si="57"/>
        <v>91.158581441940399</v>
      </c>
      <c r="W15" s="188">
        <f t="shared" si="58"/>
        <v>206.3954372623574</v>
      </c>
      <c r="X15" s="16">
        <f t="shared" si="59"/>
        <v>177.90054480449464</v>
      </c>
      <c r="Y15" s="16">
        <f t="shared" si="59"/>
        <v>161.54939178937562</v>
      </c>
      <c r="Z15" s="16">
        <f t="shared" si="59"/>
        <v>137.89153106708218</v>
      </c>
      <c r="AA15" s="61">
        <f t="shared" si="59"/>
        <v>116.18638265837477</v>
      </c>
      <c r="AB15" s="61">
        <f t="shared" si="59"/>
        <v>93.613028313319077</v>
      </c>
      <c r="AC15" s="189">
        <f t="shared" si="59"/>
        <v>77.250049170794583</v>
      </c>
      <c r="AD15" s="182">
        <f t="shared" si="17"/>
        <v>234.0884030418251</v>
      </c>
      <c r="AE15" s="182">
        <f t="shared" si="18"/>
        <v>225.56749049429658</v>
      </c>
      <c r="AF15" s="182">
        <f t="shared" si="19"/>
        <v>217.04657794676805</v>
      </c>
      <c r="AG15" s="182">
        <f t="shared" si="20"/>
        <v>208.52566539923953</v>
      </c>
      <c r="AH15" s="182">
        <f t="shared" si="21"/>
        <v>202.121203393678</v>
      </c>
      <c r="AI15" s="182">
        <f t="shared" si="22"/>
        <v>196.42222490210543</v>
      </c>
      <c r="AJ15" s="182">
        <f t="shared" si="23"/>
        <v>190.72324641053288</v>
      </c>
      <c r="AK15" s="182">
        <f t="shared" si="24"/>
        <v>185.02426791896033</v>
      </c>
      <c r="AL15" s="182">
        <f t="shared" si="25"/>
        <v>179.32528942738779</v>
      </c>
      <c r="AM15" s="182">
        <f t="shared" si="26"/>
        <v>175.4478718522268</v>
      </c>
      <c r="AN15" s="182">
        <f t="shared" si="27"/>
        <v>158.00071268103162</v>
      </c>
      <c r="AO15" s="182">
        <f t="shared" si="28"/>
        <v>134.63575880577608</v>
      </c>
      <c r="AP15" s="182">
        <f t="shared" si="29"/>
        <v>112.80037950661641</v>
      </c>
      <c r="AQ15" s="101">
        <f t="shared" si="30"/>
        <v>91.158581441940399</v>
      </c>
      <c r="AR15" s="214">
        <f t="shared" si="31"/>
        <v>234.0884030418251</v>
      </c>
      <c r="AS15" s="102">
        <f t="shared" si="32"/>
        <v>225.56749049429658</v>
      </c>
      <c r="AT15" s="102">
        <f t="shared" si="33"/>
        <v>217.04657794676805</v>
      </c>
      <c r="AU15" s="102">
        <f t="shared" si="34"/>
        <v>208.52566539923953</v>
      </c>
      <c r="AV15" s="102">
        <f t="shared" si="35"/>
        <v>202.121203393678</v>
      </c>
      <c r="AW15" s="102">
        <f t="shared" si="36"/>
        <v>196.42222490210543</v>
      </c>
      <c r="AX15" s="102">
        <f t="shared" si="37"/>
        <v>190.72324641053288</v>
      </c>
      <c r="AY15" s="102">
        <f t="shared" si="38"/>
        <v>185.02426791896033</v>
      </c>
      <c r="AZ15" s="102">
        <f t="shared" si="39"/>
        <v>179.32528942738779</v>
      </c>
      <c r="BA15" s="102">
        <f t="shared" si="40"/>
        <v>175.4478718522268</v>
      </c>
      <c r="BB15" s="102">
        <f t="shared" si="41"/>
        <v>158.00071268103162</v>
      </c>
      <c r="BC15" s="102">
        <f t="shared" si="42"/>
        <v>134.63575880577608</v>
      </c>
      <c r="BD15" s="102">
        <f t="shared" si="43"/>
        <v>112.80037950661641</v>
      </c>
      <c r="BE15" s="215">
        <f t="shared" si="44"/>
        <v>91.158581441940399</v>
      </c>
    </row>
    <row r="16" spans="1:57" ht="15.75" customHeight="1" x14ac:dyDescent="0.15">
      <c r="A16" s="1"/>
      <c r="B16" s="235"/>
      <c r="C16" s="196" t="s">
        <v>192</v>
      </c>
      <c r="D16" s="13">
        <v>305</v>
      </c>
      <c r="E16" s="14">
        <v>278</v>
      </c>
      <c r="F16" s="15">
        <f t="shared" si="60"/>
        <v>293</v>
      </c>
      <c r="G16" s="64">
        <f t="shared" si="61"/>
        <v>94.88054607508532</v>
      </c>
      <c r="H16" s="94">
        <f t="shared" si="45"/>
        <v>271.73788395904438</v>
      </c>
      <c r="I16" s="69">
        <f t="shared" si="46"/>
        <v>263.38839590443683</v>
      </c>
      <c r="J16" s="70">
        <f t="shared" si="47"/>
        <v>255.03890784982934</v>
      </c>
      <c r="K16" s="70">
        <f t="shared" si="13"/>
        <v>246.68941979522185</v>
      </c>
      <c r="L16" s="70">
        <f t="shared" si="48"/>
        <v>238.33993174061433</v>
      </c>
      <c r="M16" s="219">
        <f t="shared" si="14"/>
        <v>230.18904346020582</v>
      </c>
      <c r="N16" s="69">
        <f t="shared" si="49"/>
        <v>222.1043551045303</v>
      </c>
      <c r="O16" s="70">
        <f t="shared" si="50"/>
        <v>214.01966674885477</v>
      </c>
      <c r="P16" s="70">
        <f t="shared" si="51"/>
        <v>205.93497839317925</v>
      </c>
      <c r="Q16" s="70">
        <f t="shared" si="52"/>
        <v>197.85029003750373</v>
      </c>
      <c r="R16" s="70">
        <f t="shared" si="53"/>
        <v>191.77370151345556</v>
      </c>
      <c r="S16" s="70">
        <f t="shared" si="54"/>
        <v>166.4658988905087</v>
      </c>
      <c r="T16" s="71">
        <f t="shared" si="55"/>
        <v>149.91193899428939</v>
      </c>
      <c r="U16" s="71">
        <f t="shared" si="56"/>
        <v>127.7431431672551</v>
      </c>
      <c r="V16" s="71">
        <f t="shared" si="57"/>
        <v>107.02561605064628</v>
      </c>
      <c r="W16" s="188">
        <f t="shared" si="58"/>
        <v>236.25255972696246</v>
      </c>
      <c r="X16" s="16">
        <f t="shared" si="59"/>
        <v>195.82911794858484</v>
      </c>
      <c r="Y16" s="16">
        <f t="shared" si="59"/>
        <v>168.79300838105635</v>
      </c>
      <c r="Z16" s="16">
        <f t="shared" si="59"/>
        <v>153.27894511073865</v>
      </c>
      <c r="AA16" s="61">
        <f t="shared" si="59"/>
        <v>130.8322376677435</v>
      </c>
      <c r="AB16" s="61">
        <f t="shared" si="59"/>
        <v>110.2382743311542</v>
      </c>
      <c r="AC16" s="189">
        <f t="shared" si="59"/>
        <v>88.820552461101386</v>
      </c>
      <c r="AD16" s="182">
        <f t="shared" si="17"/>
        <v>263.38839590443683</v>
      </c>
      <c r="AE16" s="182">
        <f t="shared" si="18"/>
        <v>255.03890784982934</v>
      </c>
      <c r="AF16" s="182">
        <f t="shared" si="19"/>
        <v>246.68941979522185</v>
      </c>
      <c r="AG16" s="182">
        <f t="shared" si="20"/>
        <v>238.33993174061433</v>
      </c>
      <c r="AH16" s="182">
        <f t="shared" si="21"/>
        <v>230.18904346020582</v>
      </c>
      <c r="AI16" s="182">
        <f t="shared" si="22"/>
        <v>222.1043551045303</v>
      </c>
      <c r="AJ16" s="182">
        <f t="shared" si="23"/>
        <v>214.01966674885477</v>
      </c>
      <c r="AK16" s="182">
        <f t="shared" si="24"/>
        <v>205.93497839317925</v>
      </c>
      <c r="AL16" s="182">
        <f t="shared" si="25"/>
        <v>197.85029003750373</v>
      </c>
      <c r="AM16" s="182">
        <f t="shared" si="26"/>
        <v>191.77370151345556</v>
      </c>
      <c r="AN16" s="182">
        <f t="shared" si="27"/>
        <v>166.4658988905087</v>
      </c>
      <c r="AO16" s="182">
        <f t="shared" si="28"/>
        <v>149.91193899428939</v>
      </c>
      <c r="AP16" s="182">
        <f t="shared" si="29"/>
        <v>127.7431431672551</v>
      </c>
      <c r="AQ16" s="101">
        <f t="shared" si="30"/>
        <v>107.02561605064628</v>
      </c>
      <c r="AR16" s="214">
        <f t="shared" si="31"/>
        <v>263.38839590443683</v>
      </c>
      <c r="AS16" s="102">
        <f t="shared" si="32"/>
        <v>255.03890784982934</v>
      </c>
      <c r="AT16" s="102">
        <f t="shared" si="33"/>
        <v>246.68941979522185</v>
      </c>
      <c r="AU16" s="102">
        <f t="shared" si="34"/>
        <v>238.33993174061433</v>
      </c>
      <c r="AV16" s="102">
        <f t="shared" si="35"/>
        <v>230.18904346020582</v>
      </c>
      <c r="AW16" s="102">
        <f t="shared" si="36"/>
        <v>222.1043551045303</v>
      </c>
      <c r="AX16" s="102">
        <f t="shared" si="37"/>
        <v>214.01966674885477</v>
      </c>
      <c r="AY16" s="102">
        <f t="shared" si="38"/>
        <v>205.93497839317925</v>
      </c>
      <c r="AZ16" s="102">
        <f t="shared" si="39"/>
        <v>197.85029003750373</v>
      </c>
      <c r="BA16" s="102">
        <f t="shared" si="40"/>
        <v>191.77370151345556</v>
      </c>
      <c r="BB16" s="102">
        <f t="shared" si="41"/>
        <v>166.4658988905087</v>
      </c>
      <c r="BC16" s="102">
        <f t="shared" si="42"/>
        <v>149.91193899428939</v>
      </c>
      <c r="BD16" s="102">
        <f t="shared" si="43"/>
        <v>127.7431431672551</v>
      </c>
      <c r="BE16" s="215">
        <f t="shared" si="44"/>
        <v>107.02561605064628</v>
      </c>
    </row>
    <row r="17" spans="1:57" ht="15.75" customHeight="1" x14ac:dyDescent="0.15">
      <c r="A17" s="1"/>
      <c r="B17" s="235"/>
      <c r="C17" s="196" t="s">
        <v>193</v>
      </c>
      <c r="D17" s="13">
        <v>247</v>
      </c>
      <c r="E17" s="14">
        <v>313</v>
      </c>
      <c r="F17" s="15">
        <f t="shared" si="60"/>
        <v>305</v>
      </c>
      <c r="G17" s="64">
        <f t="shared" si="61"/>
        <v>102.62295081967213</v>
      </c>
      <c r="H17" s="94">
        <f t="shared" si="45"/>
        <v>308.8437704918033</v>
      </c>
      <c r="I17" s="69">
        <f t="shared" si="46"/>
        <v>303.30213114754099</v>
      </c>
      <c r="J17" s="70">
        <f t="shared" si="47"/>
        <v>297.76049180327868</v>
      </c>
      <c r="K17" s="70">
        <f t="shared" si="13"/>
        <v>292.21885245901638</v>
      </c>
      <c r="L17" s="70">
        <f t="shared" si="48"/>
        <v>286.67721311475407</v>
      </c>
      <c r="M17" s="219">
        <f t="shared" si="14"/>
        <v>278.86543501370784</v>
      </c>
      <c r="N17" s="69">
        <f t="shared" si="49"/>
        <v>270.29694399373358</v>
      </c>
      <c r="O17" s="70">
        <f t="shared" si="50"/>
        <v>261.72845297375926</v>
      </c>
      <c r="P17" s="70">
        <f t="shared" si="51"/>
        <v>253.15996195378503</v>
      </c>
      <c r="Q17" s="70">
        <f t="shared" si="52"/>
        <v>244.59147093381074</v>
      </c>
      <c r="R17" s="70">
        <f t="shared" si="53"/>
        <v>236.22678886244071</v>
      </c>
      <c r="S17" s="70">
        <f t="shared" si="54"/>
        <v>196.80383138921832</v>
      </c>
      <c r="T17" s="71">
        <f t="shared" si="55"/>
        <v>170.83221754993187</v>
      </c>
      <c r="U17" s="71">
        <f t="shared" si="56"/>
        <v>153.84405542692647</v>
      </c>
      <c r="V17" s="71">
        <f t="shared" si="57"/>
        <v>131.09378298803557</v>
      </c>
      <c r="W17" s="188">
        <f t="shared" si="58"/>
        <v>285.29180327868852</v>
      </c>
      <c r="X17" s="16">
        <f t="shared" si="59"/>
        <v>242.44934817881719</v>
      </c>
      <c r="Y17" s="16">
        <f t="shared" si="59"/>
        <v>200.96561940297394</v>
      </c>
      <c r="Z17" s="16">
        <f t="shared" si="59"/>
        <v>173.22036597793652</v>
      </c>
      <c r="AA17" s="61">
        <f t="shared" si="59"/>
        <v>157.29937645790557</v>
      </c>
      <c r="AB17" s="61">
        <f t="shared" si="59"/>
        <v>134.26390291804498</v>
      </c>
      <c r="AC17" s="189">
        <f t="shared" si="59"/>
        <v>113.12977005131563</v>
      </c>
      <c r="AD17" s="182">
        <f t="shared" si="17"/>
        <v>303.30213114754099</v>
      </c>
      <c r="AE17" s="182">
        <f t="shared" si="18"/>
        <v>297.76049180327868</v>
      </c>
      <c r="AF17" s="182">
        <f t="shared" si="19"/>
        <v>292.21885245901638</v>
      </c>
      <c r="AG17" s="182">
        <f t="shared" si="20"/>
        <v>286.67721311475407</v>
      </c>
      <c r="AH17" s="182">
        <f t="shared" si="21"/>
        <v>278.86543501370784</v>
      </c>
      <c r="AI17" s="182">
        <f t="shared" si="22"/>
        <v>270.29694399373358</v>
      </c>
      <c r="AJ17" s="182">
        <f t="shared" si="23"/>
        <v>261.72845297375926</v>
      </c>
      <c r="AK17" s="182">
        <f t="shared" si="24"/>
        <v>253.15996195378503</v>
      </c>
      <c r="AL17" s="182">
        <f t="shared" si="25"/>
        <v>244.59147093381074</v>
      </c>
      <c r="AM17" s="182">
        <f t="shared" si="26"/>
        <v>236.22678886244071</v>
      </c>
      <c r="AN17" s="182">
        <f t="shared" si="27"/>
        <v>196.80383138921832</v>
      </c>
      <c r="AO17" s="182">
        <f t="shared" si="28"/>
        <v>170.83221754993187</v>
      </c>
      <c r="AP17" s="182">
        <f t="shared" si="29"/>
        <v>153.84405542692647</v>
      </c>
      <c r="AQ17" s="101">
        <f t="shared" si="30"/>
        <v>131.09378298803557</v>
      </c>
      <c r="AR17" s="214">
        <f t="shared" si="31"/>
        <v>303.30213114754099</v>
      </c>
      <c r="AS17" s="102">
        <f t="shared" si="32"/>
        <v>297.76049180327868</v>
      </c>
      <c r="AT17" s="102">
        <f t="shared" si="33"/>
        <v>292.21885245901638</v>
      </c>
      <c r="AU17" s="102">
        <f t="shared" si="34"/>
        <v>286.67721311475407</v>
      </c>
      <c r="AV17" s="102">
        <f t="shared" si="35"/>
        <v>278.86543501370784</v>
      </c>
      <c r="AW17" s="102">
        <f t="shared" si="36"/>
        <v>270.29694399373358</v>
      </c>
      <c r="AX17" s="102">
        <f t="shared" si="37"/>
        <v>261.72845297375926</v>
      </c>
      <c r="AY17" s="102">
        <f t="shared" si="38"/>
        <v>253.15996195378503</v>
      </c>
      <c r="AZ17" s="102">
        <f t="shared" si="39"/>
        <v>244.59147093381074</v>
      </c>
      <c r="BA17" s="102">
        <f t="shared" si="40"/>
        <v>236.22678886244071</v>
      </c>
      <c r="BB17" s="102">
        <f t="shared" si="41"/>
        <v>196.80383138921832</v>
      </c>
      <c r="BC17" s="102">
        <f t="shared" si="42"/>
        <v>170.83221754993187</v>
      </c>
      <c r="BD17" s="102">
        <f t="shared" si="43"/>
        <v>153.84405542692647</v>
      </c>
      <c r="BE17" s="215">
        <f t="shared" si="44"/>
        <v>131.09378298803557</v>
      </c>
    </row>
    <row r="18" spans="1:57" ht="15.75" customHeight="1" x14ac:dyDescent="0.15">
      <c r="A18" s="1"/>
      <c r="B18" s="235"/>
      <c r="C18" s="196" t="s">
        <v>194</v>
      </c>
      <c r="D18" s="13">
        <v>316</v>
      </c>
      <c r="E18" s="14">
        <v>247</v>
      </c>
      <c r="F18" s="15">
        <f t="shared" si="60"/>
        <v>247</v>
      </c>
      <c r="G18" s="64">
        <f t="shared" si="61"/>
        <v>100</v>
      </c>
      <c r="H18" s="94">
        <f t="shared" si="45"/>
        <v>256.89999999999998</v>
      </c>
      <c r="I18" s="69">
        <f t="shared" si="46"/>
        <v>270.10000000000002</v>
      </c>
      <c r="J18" s="70">
        <f t="shared" si="47"/>
        <v>283.3</v>
      </c>
      <c r="K18" s="70">
        <f t="shared" si="13"/>
        <v>296.5</v>
      </c>
      <c r="L18" s="70">
        <f t="shared" si="48"/>
        <v>309.7</v>
      </c>
      <c r="M18" s="219">
        <f t="shared" si="14"/>
        <v>308.8437704918033</v>
      </c>
      <c r="N18" s="69">
        <f t="shared" si="49"/>
        <v>303.30213114754099</v>
      </c>
      <c r="O18" s="70">
        <f t="shared" si="50"/>
        <v>297.76049180327868</v>
      </c>
      <c r="P18" s="70">
        <f t="shared" si="51"/>
        <v>292.21885245901638</v>
      </c>
      <c r="Q18" s="70">
        <f t="shared" si="52"/>
        <v>286.67721311475407</v>
      </c>
      <c r="R18" s="70">
        <f t="shared" si="53"/>
        <v>278.86543501370784</v>
      </c>
      <c r="S18" s="70">
        <f t="shared" si="54"/>
        <v>236.22678886244071</v>
      </c>
      <c r="T18" s="71">
        <f t="shared" si="55"/>
        <v>196.80383138921832</v>
      </c>
      <c r="U18" s="71">
        <f t="shared" si="56"/>
        <v>170.83221754993187</v>
      </c>
      <c r="V18" s="71">
        <f t="shared" si="57"/>
        <v>153.84405542692647</v>
      </c>
      <c r="W18" s="188">
        <f t="shared" si="58"/>
        <v>313</v>
      </c>
      <c r="X18" s="16">
        <f t="shared" si="59"/>
        <v>285.29180327868852</v>
      </c>
      <c r="Y18" s="16">
        <f t="shared" si="59"/>
        <v>242.44934817881719</v>
      </c>
      <c r="Z18" s="16">
        <f t="shared" si="59"/>
        <v>200.96561940297394</v>
      </c>
      <c r="AA18" s="61">
        <f t="shared" si="59"/>
        <v>173.22036597793652</v>
      </c>
      <c r="AB18" s="61">
        <f t="shared" si="59"/>
        <v>157.29937645790557</v>
      </c>
      <c r="AC18" s="189">
        <f t="shared" si="59"/>
        <v>134.26390291804498</v>
      </c>
      <c r="AD18" s="182">
        <f t="shared" si="17"/>
        <v>270.10000000000002</v>
      </c>
      <c r="AE18" s="182">
        <f t="shared" si="18"/>
        <v>283.3</v>
      </c>
      <c r="AF18" s="182">
        <f t="shared" si="19"/>
        <v>296.5</v>
      </c>
      <c r="AG18" s="182">
        <f t="shared" si="20"/>
        <v>309.7</v>
      </c>
      <c r="AH18" s="182">
        <f t="shared" si="21"/>
        <v>308.8437704918033</v>
      </c>
      <c r="AI18" s="182">
        <f t="shared" si="22"/>
        <v>303.30213114754099</v>
      </c>
      <c r="AJ18" s="182">
        <f t="shared" si="23"/>
        <v>297.76049180327868</v>
      </c>
      <c r="AK18" s="182">
        <f t="shared" si="24"/>
        <v>292.21885245901638</v>
      </c>
      <c r="AL18" s="182">
        <f t="shared" si="25"/>
        <v>286.67721311475407</v>
      </c>
      <c r="AM18" s="182">
        <f t="shared" si="26"/>
        <v>278.86543501370784</v>
      </c>
      <c r="AN18" s="182">
        <f t="shared" si="27"/>
        <v>236.22678886244071</v>
      </c>
      <c r="AO18" s="182">
        <f t="shared" si="28"/>
        <v>196.80383138921832</v>
      </c>
      <c r="AP18" s="182">
        <f t="shared" si="29"/>
        <v>170.83221754993187</v>
      </c>
      <c r="AQ18" s="101">
        <f t="shared" si="30"/>
        <v>153.84405542692647</v>
      </c>
      <c r="AR18" s="214">
        <f t="shared" si="31"/>
        <v>270.10000000000002</v>
      </c>
      <c r="AS18" s="102">
        <f t="shared" si="32"/>
        <v>283.3</v>
      </c>
      <c r="AT18" s="102">
        <f t="shared" si="33"/>
        <v>296.5</v>
      </c>
      <c r="AU18" s="102">
        <f t="shared" si="34"/>
        <v>309.7</v>
      </c>
      <c r="AV18" s="102">
        <f t="shared" si="35"/>
        <v>308.8437704918033</v>
      </c>
      <c r="AW18" s="102">
        <f t="shared" si="36"/>
        <v>303.30213114754099</v>
      </c>
      <c r="AX18" s="102">
        <f t="shared" si="37"/>
        <v>297.76049180327868</v>
      </c>
      <c r="AY18" s="102">
        <f t="shared" si="38"/>
        <v>292.21885245901638</v>
      </c>
      <c r="AZ18" s="102">
        <f t="shared" si="39"/>
        <v>286.67721311475407</v>
      </c>
      <c r="BA18" s="102">
        <f t="shared" si="40"/>
        <v>278.86543501370784</v>
      </c>
      <c r="BB18" s="102">
        <f t="shared" si="41"/>
        <v>236.22678886244071</v>
      </c>
      <c r="BC18" s="102">
        <f t="shared" si="42"/>
        <v>196.80383138921832</v>
      </c>
      <c r="BD18" s="102">
        <f t="shared" si="43"/>
        <v>170.83221754993187</v>
      </c>
      <c r="BE18" s="215">
        <f t="shared" si="44"/>
        <v>153.84405542692647</v>
      </c>
    </row>
    <row r="19" spans="1:57" ht="15.75" customHeight="1" x14ac:dyDescent="0.15">
      <c r="A19" s="1"/>
      <c r="B19" s="235"/>
      <c r="C19" s="196" t="s">
        <v>195</v>
      </c>
      <c r="D19" s="13">
        <v>411</v>
      </c>
      <c r="E19" s="14">
        <v>302</v>
      </c>
      <c r="F19" s="15">
        <f t="shared" si="60"/>
        <v>316</v>
      </c>
      <c r="G19" s="64">
        <f t="shared" si="61"/>
        <v>95.569620253164558</v>
      </c>
      <c r="H19" s="94">
        <f t="shared" si="45"/>
        <v>292.10854430379749</v>
      </c>
      <c r="I19" s="69">
        <f t="shared" si="46"/>
        <v>278.91993670886075</v>
      </c>
      <c r="J19" s="70">
        <f t="shared" si="47"/>
        <v>265.73132911392406</v>
      </c>
      <c r="K19" s="70">
        <f t="shared" si="13"/>
        <v>252.54272151898735</v>
      </c>
      <c r="L19" s="70">
        <f t="shared" si="48"/>
        <v>239.35411392405064</v>
      </c>
      <c r="M19" s="219">
        <f t="shared" si="14"/>
        <v>245.51835443037976</v>
      </c>
      <c r="N19" s="69">
        <f t="shared" si="49"/>
        <v>258.13354430379746</v>
      </c>
      <c r="O19" s="70">
        <f t="shared" si="50"/>
        <v>270.74873417721517</v>
      </c>
      <c r="P19" s="70">
        <f t="shared" si="51"/>
        <v>283.36392405063293</v>
      </c>
      <c r="Q19" s="70">
        <f t="shared" si="52"/>
        <v>295.97911392405064</v>
      </c>
      <c r="R19" s="70">
        <f t="shared" si="53"/>
        <v>295.16081863457146</v>
      </c>
      <c r="S19" s="70">
        <f t="shared" si="54"/>
        <v>266.510637259936</v>
      </c>
      <c r="T19" s="71">
        <f t="shared" si="55"/>
        <v>225.76104505207942</v>
      </c>
      <c r="U19" s="71">
        <f t="shared" si="56"/>
        <v>188.08467430235422</v>
      </c>
      <c r="V19" s="71">
        <f t="shared" si="57"/>
        <v>163.26370158252985</v>
      </c>
      <c r="W19" s="188">
        <f t="shared" si="58"/>
        <v>236.05696202531647</v>
      </c>
      <c r="X19" s="16">
        <f t="shared" si="59"/>
        <v>299.13291139240505</v>
      </c>
      <c r="Y19" s="16">
        <f t="shared" si="59"/>
        <v>272.65229300684791</v>
      </c>
      <c r="Z19" s="16">
        <f t="shared" si="59"/>
        <v>231.70792136076835</v>
      </c>
      <c r="AA19" s="61">
        <f t="shared" si="59"/>
        <v>192.06207930284216</v>
      </c>
      <c r="AB19" s="61">
        <f t="shared" si="59"/>
        <v>165.5460459662558</v>
      </c>
      <c r="AC19" s="189">
        <f t="shared" si="59"/>
        <v>150.33041674141609</v>
      </c>
      <c r="AD19" s="182">
        <f t="shared" si="17"/>
        <v>278.91993670886075</v>
      </c>
      <c r="AE19" s="182">
        <f t="shared" si="18"/>
        <v>265.73132911392406</v>
      </c>
      <c r="AF19" s="182">
        <f t="shared" si="19"/>
        <v>252.54272151898735</v>
      </c>
      <c r="AG19" s="182">
        <f t="shared" si="20"/>
        <v>239.35411392405064</v>
      </c>
      <c r="AH19" s="182">
        <f t="shared" si="21"/>
        <v>245.51835443037976</v>
      </c>
      <c r="AI19" s="182">
        <f t="shared" si="22"/>
        <v>258.13354430379746</v>
      </c>
      <c r="AJ19" s="182">
        <f t="shared" si="23"/>
        <v>270.74873417721517</v>
      </c>
      <c r="AK19" s="182">
        <f t="shared" si="24"/>
        <v>283.36392405063293</v>
      </c>
      <c r="AL19" s="182">
        <f t="shared" si="25"/>
        <v>295.97911392405064</v>
      </c>
      <c r="AM19" s="182">
        <f t="shared" si="26"/>
        <v>295.16081863457146</v>
      </c>
      <c r="AN19" s="182">
        <f t="shared" si="27"/>
        <v>266.510637259936</v>
      </c>
      <c r="AO19" s="182">
        <f t="shared" si="28"/>
        <v>225.76104505207942</v>
      </c>
      <c r="AP19" s="182">
        <f t="shared" si="29"/>
        <v>188.08467430235422</v>
      </c>
      <c r="AQ19" s="101">
        <f t="shared" si="30"/>
        <v>163.26370158252985</v>
      </c>
      <c r="AR19" s="214">
        <f t="shared" si="31"/>
        <v>278.91993670886075</v>
      </c>
      <c r="AS19" s="102">
        <f t="shared" si="32"/>
        <v>265.73132911392406</v>
      </c>
      <c r="AT19" s="102">
        <f t="shared" si="33"/>
        <v>252.54272151898735</v>
      </c>
      <c r="AU19" s="102">
        <f t="shared" si="34"/>
        <v>239.35411392405064</v>
      </c>
      <c r="AV19" s="102">
        <f t="shared" si="35"/>
        <v>245.51835443037976</v>
      </c>
      <c r="AW19" s="102">
        <f t="shared" si="36"/>
        <v>258.13354430379746</v>
      </c>
      <c r="AX19" s="102">
        <f t="shared" si="37"/>
        <v>270.74873417721517</v>
      </c>
      <c r="AY19" s="102">
        <f t="shared" si="38"/>
        <v>283.36392405063293</v>
      </c>
      <c r="AZ19" s="102">
        <f t="shared" si="39"/>
        <v>295.97911392405064</v>
      </c>
      <c r="BA19" s="102">
        <f t="shared" si="40"/>
        <v>295.16081863457146</v>
      </c>
      <c r="BB19" s="102">
        <f t="shared" si="41"/>
        <v>266.510637259936</v>
      </c>
      <c r="BC19" s="102">
        <f t="shared" si="42"/>
        <v>225.76104505207942</v>
      </c>
      <c r="BD19" s="102">
        <f t="shared" si="43"/>
        <v>188.08467430235422</v>
      </c>
      <c r="BE19" s="215">
        <f t="shared" si="44"/>
        <v>163.26370158252985</v>
      </c>
    </row>
    <row r="20" spans="1:57" ht="15.75" customHeight="1" x14ac:dyDescent="0.15">
      <c r="A20" s="1"/>
      <c r="B20" s="235"/>
      <c r="C20" s="196" t="s">
        <v>196</v>
      </c>
      <c r="D20" s="13">
        <v>465</v>
      </c>
      <c r="E20" s="14">
        <v>392</v>
      </c>
      <c r="F20" s="15">
        <f t="shared" si="60"/>
        <v>411</v>
      </c>
      <c r="G20" s="64">
        <f t="shared" si="61"/>
        <v>95.37712895377129</v>
      </c>
      <c r="H20" s="94">
        <f t="shared" si="45"/>
        <v>376.40583941605837</v>
      </c>
      <c r="I20" s="69">
        <f t="shared" si="46"/>
        <v>355.61362530413624</v>
      </c>
      <c r="J20" s="70">
        <f t="shared" si="47"/>
        <v>334.8214111922141</v>
      </c>
      <c r="K20" s="70">
        <f t="shared" si="13"/>
        <v>314.02919708029196</v>
      </c>
      <c r="L20" s="70">
        <f t="shared" si="48"/>
        <v>293.23698296836983</v>
      </c>
      <c r="M20" s="219">
        <f t="shared" si="14"/>
        <v>278.60474298561701</v>
      </c>
      <c r="N20" s="69">
        <f t="shared" si="49"/>
        <v>266.02582771258739</v>
      </c>
      <c r="O20" s="70">
        <f t="shared" si="50"/>
        <v>253.44691243955774</v>
      </c>
      <c r="P20" s="70">
        <f t="shared" si="51"/>
        <v>240.86799716652808</v>
      </c>
      <c r="Q20" s="70">
        <f t="shared" si="52"/>
        <v>228.28908189349843</v>
      </c>
      <c r="R20" s="70">
        <f t="shared" si="53"/>
        <v>234.16835751024055</v>
      </c>
      <c r="S20" s="70">
        <f t="shared" si="54"/>
        <v>281.51591461010224</v>
      </c>
      <c r="T20" s="71">
        <f t="shared" si="55"/>
        <v>254.19019417492677</v>
      </c>
      <c r="U20" s="71">
        <f t="shared" si="56"/>
        <v>215.32440306670352</v>
      </c>
      <c r="V20" s="71">
        <f t="shared" si="57"/>
        <v>179.3897623516371</v>
      </c>
      <c r="W20" s="188">
        <f t="shared" si="58"/>
        <v>288.03892944038927</v>
      </c>
      <c r="X20" s="16">
        <f t="shared" si="59"/>
        <v>225.14435307524101</v>
      </c>
      <c r="Y20" s="16">
        <f t="shared" si="59"/>
        <v>285.30438264190457</v>
      </c>
      <c r="Z20" s="16">
        <f t="shared" si="59"/>
        <v>260.04792909655566</v>
      </c>
      <c r="AA20" s="61">
        <f t="shared" si="59"/>
        <v>220.99636295236303</v>
      </c>
      <c r="AB20" s="61">
        <f t="shared" si="59"/>
        <v>183.18329704796625</v>
      </c>
      <c r="AC20" s="189">
        <f t="shared" si="59"/>
        <v>157.89306573910528</v>
      </c>
      <c r="AD20" s="182">
        <f t="shared" si="17"/>
        <v>355.61362530413624</v>
      </c>
      <c r="AE20" s="182">
        <f t="shared" si="18"/>
        <v>334.8214111922141</v>
      </c>
      <c r="AF20" s="182">
        <f t="shared" si="19"/>
        <v>314.02919708029196</v>
      </c>
      <c r="AG20" s="182">
        <f t="shared" si="20"/>
        <v>293.23698296836983</v>
      </c>
      <c r="AH20" s="182">
        <f t="shared" si="21"/>
        <v>278.60474298561701</v>
      </c>
      <c r="AI20" s="182">
        <f t="shared" si="22"/>
        <v>266.02582771258739</v>
      </c>
      <c r="AJ20" s="182">
        <f t="shared" si="23"/>
        <v>253.44691243955774</v>
      </c>
      <c r="AK20" s="182">
        <f t="shared" si="24"/>
        <v>240.86799716652808</v>
      </c>
      <c r="AL20" s="182">
        <f t="shared" si="25"/>
        <v>228.28908189349843</v>
      </c>
      <c r="AM20" s="182">
        <f t="shared" si="26"/>
        <v>234.16835751024055</v>
      </c>
      <c r="AN20" s="182">
        <f t="shared" si="27"/>
        <v>281.51591461010224</v>
      </c>
      <c r="AO20" s="182">
        <f t="shared" si="28"/>
        <v>254.19019417492677</v>
      </c>
      <c r="AP20" s="182">
        <f t="shared" si="29"/>
        <v>215.32440306670352</v>
      </c>
      <c r="AQ20" s="101">
        <f t="shared" si="30"/>
        <v>179.3897623516371</v>
      </c>
      <c r="AR20" s="214">
        <f t="shared" si="31"/>
        <v>355.61362530413624</v>
      </c>
      <c r="AS20" s="102">
        <f t="shared" si="32"/>
        <v>334.8214111922141</v>
      </c>
      <c r="AT20" s="102">
        <f t="shared" si="33"/>
        <v>314.02919708029196</v>
      </c>
      <c r="AU20" s="102">
        <f t="shared" si="34"/>
        <v>293.23698296836983</v>
      </c>
      <c r="AV20" s="102">
        <f t="shared" si="35"/>
        <v>278.60474298561701</v>
      </c>
      <c r="AW20" s="102">
        <f t="shared" si="36"/>
        <v>266.02582771258739</v>
      </c>
      <c r="AX20" s="102">
        <f t="shared" si="37"/>
        <v>253.44691243955774</v>
      </c>
      <c r="AY20" s="102">
        <f t="shared" si="38"/>
        <v>240.86799716652808</v>
      </c>
      <c r="AZ20" s="102">
        <f t="shared" si="39"/>
        <v>228.28908189349843</v>
      </c>
      <c r="BA20" s="102">
        <f t="shared" si="40"/>
        <v>234.16835751024055</v>
      </c>
      <c r="BB20" s="102">
        <f t="shared" si="41"/>
        <v>281.51591461010224</v>
      </c>
      <c r="BC20" s="102">
        <f t="shared" si="42"/>
        <v>254.19019417492677</v>
      </c>
      <c r="BD20" s="102">
        <f t="shared" si="43"/>
        <v>215.32440306670352</v>
      </c>
      <c r="BE20" s="215">
        <f t="shared" si="44"/>
        <v>179.3897623516371</v>
      </c>
    </row>
    <row r="21" spans="1:57" ht="15.75" customHeight="1" x14ac:dyDescent="0.15">
      <c r="A21" s="1"/>
      <c r="B21" s="235"/>
      <c r="C21" s="196" t="s">
        <v>197</v>
      </c>
      <c r="D21" s="13">
        <v>476</v>
      </c>
      <c r="E21" s="14">
        <v>459</v>
      </c>
      <c r="F21" s="15">
        <f t="shared" si="60"/>
        <v>465</v>
      </c>
      <c r="G21" s="64">
        <f t="shared" si="61"/>
        <v>98.709677419354833</v>
      </c>
      <c r="H21" s="94">
        <f t="shared" si="45"/>
        <v>448.19129032258064</v>
      </c>
      <c r="I21" s="69">
        <f t="shared" si="46"/>
        <v>433.77967741935481</v>
      </c>
      <c r="J21" s="70">
        <f t="shared" si="47"/>
        <v>419.36806451612898</v>
      </c>
      <c r="K21" s="70">
        <f t="shared" si="13"/>
        <v>404.95645161290315</v>
      </c>
      <c r="L21" s="70">
        <f t="shared" si="48"/>
        <v>390.54483870967738</v>
      </c>
      <c r="M21" s="219">
        <f t="shared" si="14"/>
        <v>371.54898987520596</v>
      </c>
      <c r="N21" s="69">
        <f t="shared" si="49"/>
        <v>351.02506239698607</v>
      </c>
      <c r="O21" s="70">
        <f t="shared" si="50"/>
        <v>330.50113491876613</v>
      </c>
      <c r="P21" s="70">
        <f t="shared" si="51"/>
        <v>309.97720744054618</v>
      </c>
      <c r="Q21" s="70">
        <f t="shared" si="52"/>
        <v>289.45327996232629</v>
      </c>
      <c r="R21" s="70">
        <f t="shared" si="53"/>
        <v>275.00984307612515</v>
      </c>
      <c r="S21" s="70">
        <f t="shared" si="54"/>
        <v>231.14683031656</v>
      </c>
      <c r="T21" s="71">
        <f t="shared" si="55"/>
        <v>277.88345119577832</v>
      </c>
      <c r="U21" s="71">
        <f t="shared" si="56"/>
        <v>250.91032070170192</v>
      </c>
      <c r="V21" s="71">
        <f t="shared" si="57"/>
        <v>212.54602367229441</v>
      </c>
      <c r="W21" s="188">
        <f t="shared" si="58"/>
        <v>386.94193548387091</v>
      </c>
      <c r="X21" s="16">
        <f t="shared" si="59"/>
        <v>284.32229809277129</v>
      </c>
      <c r="Y21" s="16">
        <f t="shared" si="59"/>
        <v>222.23926464846369</v>
      </c>
      <c r="Z21" s="16">
        <f t="shared" si="59"/>
        <v>281.6230357691058</v>
      </c>
      <c r="AA21" s="61">
        <f t="shared" si="59"/>
        <v>256.69247194692269</v>
      </c>
      <c r="AB21" s="61">
        <f t="shared" si="59"/>
        <v>218.14479697878414</v>
      </c>
      <c r="AC21" s="189">
        <f t="shared" si="59"/>
        <v>180.81964160218601</v>
      </c>
      <c r="AD21" s="182">
        <f t="shared" si="17"/>
        <v>433.77967741935481</v>
      </c>
      <c r="AE21" s="182">
        <f t="shared" si="18"/>
        <v>419.36806451612898</v>
      </c>
      <c r="AF21" s="182">
        <f t="shared" si="19"/>
        <v>404.95645161290315</v>
      </c>
      <c r="AG21" s="182">
        <f t="shared" si="20"/>
        <v>390.54483870967738</v>
      </c>
      <c r="AH21" s="182">
        <f t="shared" si="21"/>
        <v>371.54898987520596</v>
      </c>
      <c r="AI21" s="182">
        <f t="shared" si="22"/>
        <v>351.02506239698607</v>
      </c>
      <c r="AJ21" s="182">
        <f t="shared" si="23"/>
        <v>330.50113491876613</v>
      </c>
      <c r="AK21" s="182">
        <f t="shared" si="24"/>
        <v>309.97720744054618</v>
      </c>
      <c r="AL21" s="182">
        <f t="shared" si="25"/>
        <v>289.45327996232629</v>
      </c>
      <c r="AM21" s="182">
        <f t="shared" si="26"/>
        <v>275.00984307612515</v>
      </c>
      <c r="AN21" s="182">
        <f t="shared" si="27"/>
        <v>231.14683031656</v>
      </c>
      <c r="AO21" s="182">
        <f t="shared" si="28"/>
        <v>277.88345119577832</v>
      </c>
      <c r="AP21" s="182">
        <f t="shared" si="29"/>
        <v>250.91032070170192</v>
      </c>
      <c r="AQ21" s="101">
        <f t="shared" si="30"/>
        <v>212.54602367229441</v>
      </c>
      <c r="AR21" s="214">
        <f t="shared" si="31"/>
        <v>433.77967741935481</v>
      </c>
      <c r="AS21" s="102">
        <f t="shared" si="32"/>
        <v>419.36806451612898</v>
      </c>
      <c r="AT21" s="102">
        <f t="shared" si="33"/>
        <v>404.95645161290315</v>
      </c>
      <c r="AU21" s="102">
        <f t="shared" si="34"/>
        <v>390.54483870967738</v>
      </c>
      <c r="AV21" s="102">
        <f t="shared" si="35"/>
        <v>371.54898987520596</v>
      </c>
      <c r="AW21" s="102">
        <f t="shared" si="36"/>
        <v>351.02506239698607</v>
      </c>
      <c r="AX21" s="102">
        <f t="shared" si="37"/>
        <v>330.50113491876613</v>
      </c>
      <c r="AY21" s="102">
        <f t="shared" si="38"/>
        <v>309.97720744054618</v>
      </c>
      <c r="AZ21" s="102">
        <f t="shared" si="39"/>
        <v>289.45327996232629</v>
      </c>
      <c r="BA21" s="102">
        <f t="shared" si="40"/>
        <v>275.00984307612515</v>
      </c>
      <c r="BB21" s="102">
        <f t="shared" si="41"/>
        <v>231.14683031656</v>
      </c>
      <c r="BC21" s="102">
        <f t="shared" si="42"/>
        <v>277.88345119577832</v>
      </c>
      <c r="BD21" s="102">
        <f t="shared" si="43"/>
        <v>250.91032070170192</v>
      </c>
      <c r="BE21" s="215">
        <f t="shared" si="44"/>
        <v>212.54602367229441</v>
      </c>
    </row>
    <row r="22" spans="1:57" ht="15.75" customHeight="1" x14ac:dyDescent="0.15">
      <c r="A22" s="1"/>
      <c r="B22" s="235"/>
      <c r="C22" s="196" t="s">
        <v>198</v>
      </c>
      <c r="D22" s="13">
        <v>379</v>
      </c>
      <c r="E22" s="14">
        <v>445</v>
      </c>
      <c r="F22" s="15">
        <f t="shared" si="60"/>
        <v>476</v>
      </c>
      <c r="G22" s="64">
        <f t="shared" si="61"/>
        <v>93.487394957983199</v>
      </c>
      <c r="H22" s="94">
        <f t="shared" si="45"/>
        <v>442.61607142857144</v>
      </c>
      <c r="I22" s="69">
        <f t="shared" si="46"/>
        <v>439.4375</v>
      </c>
      <c r="J22" s="70">
        <f t="shared" si="47"/>
        <v>436.25892857142861</v>
      </c>
      <c r="K22" s="70">
        <f t="shared" si="13"/>
        <v>433.08035714285717</v>
      </c>
      <c r="L22" s="70">
        <f t="shared" si="48"/>
        <v>429.90178571428572</v>
      </c>
      <c r="M22" s="219">
        <f t="shared" si="14"/>
        <v>419.00236175115208</v>
      </c>
      <c r="N22" s="69">
        <f t="shared" si="49"/>
        <v>405.52932027649769</v>
      </c>
      <c r="O22" s="70">
        <f t="shared" si="50"/>
        <v>392.05627880184329</v>
      </c>
      <c r="P22" s="70">
        <f t="shared" si="51"/>
        <v>378.5832373271889</v>
      </c>
      <c r="Q22" s="70">
        <f t="shared" si="52"/>
        <v>365.1101958525345</v>
      </c>
      <c r="R22" s="70">
        <f t="shared" si="53"/>
        <v>347.35147162703078</v>
      </c>
      <c r="S22" s="70">
        <f t="shared" si="54"/>
        <v>257.09953816990696</v>
      </c>
      <c r="T22" s="71">
        <f t="shared" si="55"/>
        <v>216.0931501909017</v>
      </c>
      <c r="U22" s="71">
        <f t="shared" si="56"/>
        <v>259.78599954227178</v>
      </c>
      <c r="V22" s="71">
        <f t="shared" si="57"/>
        <v>234.56952250474234</v>
      </c>
      <c r="W22" s="188">
        <f t="shared" si="58"/>
        <v>429.10714285714289</v>
      </c>
      <c r="X22" s="16">
        <f t="shared" si="59"/>
        <v>361.74193548387092</v>
      </c>
      <c r="Y22" s="16">
        <f t="shared" si="59"/>
        <v>265.80550977160345</v>
      </c>
      <c r="Z22" s="16">
        <f t="shared" si="59"/>
        <v>207.76569909362678</v>
      </c>
      <c r="AA22" s="61">
        <f t="shared" si="59"/>
        <v>263.28203974212624</v>
      </c>
      <c r="AB22" s="61">
        <f t="shared" si="59"/>
        <v>239.97510507642983</v>
      </c>
      <c r="AC22" s="189">
        <f t="shared" si="59"/>
        <v>203.93788793184652</v>
      </c>
      <c r="AD22" s="183">
        <f>I22*(1+$I$50)</f>
        <v>438.641898008449</v>
      </c>
      <c r="AE22" s="183">
        <f t="shared" ref="AE22:AQ23" si="62">J22*(1+$I$50)</f>
        <v>435.46908138632642</v>
      </c>
      <c r="AF22" s="183">
        <f t="shared" si="62"/>
        <v>432.29626476420384</v>
      </c>
      <c r="AG22" s="183">
        <f t="shared" si="62"/>
        <v>429.1234481420812</v>
      </c>
      <c r="AH22" s="183">
        <f t="shared" si="62"/>
        <v>418.24375759589952</v>
      </c>
      <c r="AI22" s="183">
        <f t="shared" si="62"/>
        <v>404.79510907503146</v>
      </c>
      <c r="AJ22" s="183">
        <f t="shared" si="62"/>
        <v>391.3464605541634</v>
      </c>
      <c r="AK22" s="183">
        <f t="shared" si="62"/>
        <v>377.89781203329534</v>
      </c>
      <c r="AL22" s="183">
        <f t="shared" si="62"/>
        <v>364.44916351242733</v>
      </c>
      <c r="AM22" s="183">
        <f t="shared" si="62"/>
        <v>346.72259147320995</v>
      </c>
      <c r="AN22" s="183">
        <f t="shared" si="62"/>
        <v>256.63405922331089</v>
      </c>
      <c r="AO22" s="183">
        <f t="shared" si="62"/>
        <v>215.70191334686265</v>
      </c>
      <c r="AP22" s="183">
        <f t="shared" si="62"/>
        <v>259.31565675492908</v>
      </c>
      <c r="AQ22" s="75">
        <f t="shared" si="62"/>
        <v>234.14483417190334</v>
      </c>
      <c r="AR22" s="216">
        <f>I22*(1+$M$50)</f>
        <v>438.641898008449</v>
      </c>
      <c r="AS22" s="77">
        <f t="shared" ref="AS22:BE23" si="63">J22*(1+$M$50)</f>
        <v>435.46908138632642</v>
      </c>
      <c r="AT22" s="77">
        <f t="shared" si="63"/>
        <v>432.29626476420384</v>
      </c>
      <c r="AU22" s="77">
        <f t="shared" si="63"/>
        <v>429.1234481420812</v>
      </c>
      <c r="AV22" s="77">
        <f t="shared" si="63"/>
        <v>418.24375759589952</v>
      </c>
      <c r="AW22" s="77">
        <f t="shared" si="63"/>
        <v>404.79510907503146</v>
      </c>
      <c r="AX22" s="77">
        <f t="shared" si="63"/>
        <v>391.3464605541634</v>
      </c>
      <c r="AY22" s="77">
        <f t="shared" si="63"/>
        <v>377.89781203329534</v>
      </c>
      <c r="AZ22" s="77">
        <f t="shared" si="63"/>
        <v>364.44916351242733</v>
      </c>
      <c r="BA22" s="77">
        <f t="shared" si="63"/>
        <v>346.72259147320995</v>
      </c>
      <c r="BB22" s="77">
        <f t="shared" si="63"/>
        <v>256.63405922331089</v>
      </c>
      <c r="BC22" s="77">
        <f t="shared" si="63"/>
        <v>215.70191334686265</v>
      </c>
      <c r="BD22" s="77">
        <f t="shared" si="63"/>
        <v>259.31565675492908</v>
      </c>
      <c r="BE22" s="217">
        <f t="shared" si="63"/>
        <v>234.14483417190334</v>
      </c>
    </row>
    <row r="23" spans="1:57" ht="15.75" customHeight="1" x14ac:dyDescent="0.15">
      <c r="A23" s="1"/>
      <c r="B23" s="235"/>
      <c r="C23" s="196" t="s">
        <v>199</v>
      </c>
      <c r="D23" s="13">
        <v>303</v>
      </c>
      <c r="E23" s="14">
        <v>340</v>
      </c>
      <c r="F23" s="15">
        <f t="shared" si="60"/>
        <v>379</v>
      </c>
      <c r="G23" s="64">
        <f t="shared" si="61"/>
        <v>89.709762532981529</v>
      </c>
      <c r="H23" s="94">
        <f t="shared" si="45"/>
        <v>348.88126649076514</v>
      </c>
      <c r="I23" s="69">
        <f t="shared" si="46"/>
        <v>360.7229551451187</v>
      </c>
      <c r="J23" s="70">
        <f t="shared" si="47"/>
        <v>372.56464379947226</v>
      </c>
      <c r="K23" s="70">
        <f t="shared" si="13"/>
        <v>384.40633245382583</v>
      </c>
      <c r="L23" s="70">
        <f t="shared" si="48"/>
        <v>396.24802110817939</v>
      </c>
      <c r="M23" s="219">
        <f t="shared" si="14"/>
        <v>397.06982661138335</v>
      </c>
      <c r="N23" s="69">
        <f t="shared" si="49"/>
        <v>394.2183377308707</v>
      </c>
      <c r="O23" s="70">
        <f t="shared" si="50"/>
        <v>391.36684885035811</v>
      </c>
      <c r="P23" s="70">
        <f t="shared" si="51"/>
        <v>388.51535996984546</v>
      </c>
      <c r="Q23" s="70">
        <f t="shared" si="52"/>
        <v>385.66387108933282</v>
      </c>
      <c r="R23" s="70">
        <f t="shared" si="53"/>
        <v>375.88602373454273</v>
      </c>
      <c r="S23" s="70">
        <f t="shared" si="54"/>
        <v>311.60818035142603</v>
      </c>
      <c r="T23" s="71">
        <f t="shared" si="55"/>
        <v>230.64338516561571</v>
      </c>
      <c r="U23" s="71">
        <f t="shared" si="56"/>
        <v>193.85665188629702</v>
      </c>
      <c r="V23" s="71">
        <f t="shared" si="57"/>
        <v>233.0534032833045</v>
      </c>
      <c r="W23" s="188">
        <f t="shared" si="58"/>
        <v>399.20844327176781</v>
      </c>
      <c r="X23" s="16">
        <f t="shared" si="59"/>
        <v>384.95099886920468</v>
      </c>
      <c r="Y23" s="16">
        <f t="shared" si="59"/>
        <v>324.51783130479186</v>
      </c>
      <c r="Z23" s="16">
        <f t="shared" si="59"/>
        <v>238.45349161568646</v>
      </c>
      <c r="AA23" s="61">
        <f t="shared" si="59"/>
        <v>186.38611528188153</v>
      </c>
      <c r="AB23" s="61">
        <f t="shared" si="59"/>
        <v>236.1896926446515</v>
      </c>
      <c r="AC23" s="189">
        <f t="shared" si="59"/>
        <v>215.28109690233811</v>
      </c>
      <c r="AD23" s="183">
        <f>I23*(1+$I$50)</f>
        <v>360.06986590828382</v>
      </c>
      <c r="AE23" s="183">
        <f t="shared" si="62"/>
        <v>371.89011517460898</v>
      </c>
      <c r="AF23" s="183">
        <f t="shared" si="62"/>
        <v>383.71036444093414</v>
      </c>
      <c r="AG23" s="183">
        <f t="shared" si="62"/>
        <v>395.53061370725931</v>
      </c>
      <c r="AH23" s="183">
        <f t="shared" si="62"/>
        <v>396.35093133085581</v>
      </c>
      <c r="AI23" s="183">
        <f t="shared" si="62"/>
        <v>393.50460507354262</v>
      </c>
      <c r="AJ23" s="183">
        <f t="shared" si="62"/>
        <v>390.65827881622948</v>
      </c>
      <c r="AK23" s="183">
        <f t="shared" si="62"/>
        <v>387.81195255891635</v>
      </c>
      <c r="AL23" s="183">
        <f t="shared" si="62"/>
        <v>384.96562630160315</v>
      </c>
      <c r="AM23" s="183">
        <f t="shared" si="62"/>
        <v>375.20548174830031</v>
      </c>
      <c r="AN23" s="183">
        <f t="shared" si="62"/>
        <v>311.04401345881632</v>
      </c>
      <c r="AO23" s="183">
        <f t="shared" si="62"/>
        <v>230.22580510798332</v>
      </c>
      <c r="AP23" s="183">
        <f t="shared" si="62"/>
        <v>193.50567424256803</v>
      </c>
      <c r="AQ23" s="75">
        <f t="shared" si="62"/>
        <v>232.63145988568837</v>
      </c>
      <c r="AR23" s="216">
        <f>I23*(1+$M$50)</f>
        <v>360.06986590828382</v>
      </c>
      <c r="AS23" s="77">
        <f t="shared" si="63"/>
        <v>371.89011517460898</v>
      </c>
      <c r="AT23" s="77">
        <f t="shared" si="63"/>
        <v>383.71036444093414</v>
      </c>
      <c r="AU23" s="77">
        <f t="shared" si="63"/>
        <v>395.53061370725931</v>
      </c>
      <c r="AV23" s="77">
        <f t="shared" si="63"/>
        <v>396.35093133085581</v>
      </c>
      <c r="AW23" s="77">
        <f t="shared" si="63"/>
        <v>393.50460507354262</v>
      </c>
      <c r="AX23" s="77">
        <f t="shared" si="63"/>
        <v>390.65827881622948</v>
      </c>
      <c r="AY23" s="77">
        <f t="shared" si="63"/>
        <v>387.81195255891635</v>
      </c>
      <c r="AZ23" s="77">
        <f t="shared" si="63"/>
        <v>384.96562630160315</v>
      </c>
      <c r="BA23" s="77">
        <f t="shared" si="63"/>
        <v>375.20548174830031</v>
      </c>
      <c r="BB23" s="77">
        <f t="shared" si="63"/>
        <v>311.04401345881632</v>
      </c>
      <c r="BC23" s="77">
        <f t="shared" si="63"/>
        <v>230.22580510798332</v>
      </c>
      <c r="BD23" s="77">
        <f t="shared" si="63"/>
        <v>193.50567424256803</v>
      </c>
      <c r="BE23" s="217">
        <f t="shared" si="63"/>
        <v>232.63145988568837</v>
      </c>
    </row>
    <row r="24" spans="1:57" ht="15.75" customHeight="1" x14ac:dyDescent="0.15">
      <c r="A24" s="1"/>
      <c r="B24" s="235"/>
      <c r="C24" s="196" t="s">
        <v>200</v>
      </c>
      <c r="D24" s="13">
        <v>271</v>
      </c>
      <c r="E24" s="14">
        <v>267</v>
      </c>
      <c r="F24" s="15">
        <f t="shared" si="60"/>
        <v>303</v>
      </c>
      <c r="G24" s="64">
        <f t="shared" si="61"/>
        <v>88.118811881188122</v>
      </c>
      <c r="H24" s="94">
        <f t="shared" si="45"/>
        <v>271.89059405940594</v>
      </c>
      <c r="I24" s="69">
        <f t="shared" si="46"/>
        <v>278.41138613861386</v>
      </c>
      <c r="J24" s="70">
        <f t="shared" si="47"/>
        <v>284.93217821782179</v>
      </c>
      <c r="K24" s="70">
        <f t="shared" si="13"/>
        <v>291.45297029702971</v>
      </c>
      <c r="L24" s="70">
        <f t="shared" si="48"/>
        <v>297.97376237623763</v>
      </c>
      <c r="M24" s="219">
        <f t="shared" si="14"/>
        <v>307.43002690770396</v>
      </c>
      <c r="N24" s="69">
        <f t="shared" si="49"/>
        <v>317.86478225658976</v>
      </c>
      <c r="O24" s="70">
        <f t="shared" si="50"/>
        <v>328.29953760547562</v>
      </c>
      <c r="P24" s="70">
        <f t="shared" si="51"/>
        <v>338.73429295436142</v>
      </c>
      <c r="Q24" s="70">
        <f t="shared" si="52"/>
        <v>349.16904830324722</v>
      </c>
      <c r="R24" s="70">
        <f t="shared" si="53"/>
        <v>349.89321354864472</v>
      </c>
      <c r="S24" s="70">
        <f t="shared" si="54"/>
        <v>331.22629814231988</v>
      </c>
      <c r="T24" s="71">
        <f t="shared" si="55"/>
        <v>274.58542625026649</v>
      </c>
      <c r="U24" s="71">
        <f t="shared" si="56"/>
        <v>203.24021069049306</v>
      </c>
      <c r="V24" s="71">
        <f t="shared" si="57"/>
        <v>170.82417839485581</v>
      </c>
      <c r="W24" s="188">
        <f t="shared" si="58"/>
        <v>299.60396039603961</v>
      </c>
      <c r="X24" s="16">
        <f t="shared" si="59"/>
        <v>351.77773714046867</v>
      </c>
      <c r="Y24" s="16">
        <f t="shared" si="59"/>
        <v>339.2142465283091</v>
      </c>
      <c r="Z24" s="16">
        <f t="shared" si="59"/>
        <v>285.96125728838092</v>
      </c>
      <c r="AA24" s="61">
        <f t="shared" si="59"/>
        <v>210.12238370095145</v>
      </c>
      <c r="AB24" s="61">
        <f t="shared" si="59"/>
        <v>164.24123029789561</v>
      </c>
      <c r="AC24" s="189">
        <f t="shared" si="59"/>
        <v>208.1275509442969</v>
      </c>
      <c r="AD24" s="183">
        <f>I24*(1+$J$50)</f>
        <v>279.19124996533264</v>
      </c>
      <c r="AE24" s="183">
        <f t="shared" ref="AE24:AQ25" si="64">J24*(1+$J$50)</f>
        <v>285.73030756857196</v>
      </c>
      <c r="AF24" s="183">
        <f t="shared" si="64"/>
        <v>292.26936517181127</v>
      </c>
      <c r="AG24" s="183">
        <f t="shared" si="64"/>
        <v>298.80842277505064</v>
      </c>
      <c r="AH24" s="183">
        <f t="shared" si="64"/>
        <v>308.29117544245941</v>
      </c>
      <c r="AI24" s="183">
        <f t="shared" si="64"/>
        <v>318.75515979792476</v>
      </c>
      <c r="AJ24" s="183">
        <f t="shared" si="64"/>
        <v>329.21914415339012</v>
      </c>
      <c r="AK24" s="183">
        <f t="shared" si="64"/>
        <v>339.68312850885542</v>
      </c>
      <c r="AL24" s="183">
        <f t="shared" si="64"/>
        <v>350.14711286432072</v>
      </c>
      <c r="AM24" s="183">
        <f t="shared" si="64"/>
        <v>350.873306583795</v>
      </c>
      <c r="AN24" s="183">
        <f t="shared" si="64"/>
        <v>332.15410289902104</v>
      </c>
      <c r="AO24" s="183">
        <f t="shared" si="64"/>
        <v>275.35457310250814</v>
      </c>
      <c r="AP24" s="183">
        <f t="shared" si="64"/>
        <v>203.80951100055046</v>
      </c>
      <c r="AQ24" s="75">
        <f t="shared" si="64"/>
        <v>171.30267749400105</v>
      </c>
      <c r="AR24" s="216">
        <f>I24*(1+$N$50)</f>
        <v>278.2578222190669</v>
      </c>
      <c r="AS24" s="77">
        <f t="shared" ref="AS24:BE27" si="65">J24*(1+$N$50)</f>
        <v>284.7750176120756</v>
      </c>
      <c r="AT24" s="77">
        <f t="shared" si="65"/>
        <v>291.29221300508431</v>
      </c>
      <c r="AU24" s="77">
        <f t="shared" si="65"/>
        <v>297.80940839809296</v>
      </c>
      <c r="AV24" s="77">
        <f t="shared" si="65"/>
        <v>307.2604571190069</v>
      </c>
      <c r="AW24" s="77">
        <f t="shared" si="65"/>
        <v>317.68945694922263</v>
      </c>
      <c r="AX24" s="77">
        <f t="shared" si="65"/>
        <v>328.11845677943842</v>
      </c>
      <c r="AY24" s="77">
        <f t="shared" si="65"/>
        <v>338.54745660965409</v>
      </c>
      <c r="AZ24" s="77">
        <f t="shared" si="65"/>
        <v>348.97645643986982</v>
      </c>
      <c r="BA24" s="77">
        <f t="shared" si="65"/>
        <v>349.70022225600894</v>
      </c>
      <c r="BB24" s="77">
        <f t="shared" si="65"/>
        <v>331.04360299717791</v>
      </c>
      <c r="BC24" s="77">
        <f t="shared" si="65"/>
        <v>274.43397262299112</v>
      </c>
      <c r="BD24" s="77">
        <f t="shared" si="65"/>
        <v>203.12810908503772</v>
      </c>
      <c r="BE24" s="217">
        <f t="shared" si="65"/>
        <v>170.72995656452218</v>
      </c>
    </row>
    <row r="25" spans="1:57" ht="15.75" customHeight="1" x14ac:dyDescent="0.15">
      <c r="A25" s="1"/>
      <c r="B25" s="235"/>
      <c r="C25" s="196" t="s">
        <v>201</v>
      </c>
      <c r="D25" s="13">
        <v>235</v>
      </c>
      <c r="E25" s="14">
        <v>210</v>
      </c>
      <c r="F25" s="15">
        <f t="shared" si="60"/>
        <v>271</v>
      </c>
      <c r="G25" s="64">
        <f t="shared" si="61"/>
        <v>77.490774907749085</v>
      </c>
      <c r="H25" s="94">
        <f t="shared" si="45"/>
        <v>209.53505535055351</v>
      </c>
      <c r="I25" s="69">
        <f t="shared" si="46"/>
        <v>208.91512915129152</v>
      </c>
      <c r="J25" s="70">
        <f t="shared" si="47"/>
        <v>208.29520295202954</v>
      </c>
      <c r="K25" s="70">
        <f t="shared" si="13"/>
        <v>207.67527675276756</v>
      </c>
      <c r="L25" s="70">
        <f t="shared" si="48"/>
        <v>207.05535055350555</v>
      </c>
      <c r="M25" s="219">
        <f t="shared" si="14"/>
        <v>210.69012823791607</v>
      </c>
      <c r="N25" s="69">
        <f t="shared" si="49"/>
        <v>215.74314055021742</v>
      </c>
      <c r="O25" s="70">
        <f t="shared" si="50"/>
        <v>220.79615286251874</v>
      </c>
      <c r="P25" s="70">
        <f t="shared" si="51"/>
        <v>225.84916517482009</v>
      </c>
      <c r="Q25" s="70">
        <f t="shared" si="52"/>
        <v>230.90217748712143</v>
      </c>
      <c r="R25" s="70">
        <f t="shared" si="53"/>
        <v>238.22991014988133</v>
      </c>
      <c r="S25" s="70">
        <f t="shared" si="54"/>
        <v>271.13496252847011</v>
      </c>
      <c r="T25" s="71">
        <f t="shared" si="55"/>
        <v>256.669825128735</v>
      </c>
      <c r="U25" s="71">
        <f t="shared" si="56"/>
        <v>212.77837458507739</v>
      </c>
      <c r="V25" s="71">
        <f t="shared" si="57"/>
        <v>157.49241418820498</v>
      </c>
      <c r="W25" s="188">
        <f t="shared" si="58"/>
        <v>206.90036900369006</v>
      </c>
      <c r="X25" s="16">
        <f t="shared" si="59"/>
        <v>232.16543056519677</v>
      </c>
      <c r="Y25" s="16">
        <f t="shared" si="59"/>
        <v>272.59529446309381</v>
      </c>
      <c r="Z25" s="16">
        <f t="shared" si="59"/>
        <v>262.85974823226911</v>
      </c>
      <c r="AA25" s="61">
        <f t="shared" si="59"/>
        <v>221.59359420870848</v>
      </c>
      <c r="AB25" s="61">
        <f t="shared" si="59"/>
        <v>162.82546338450112</v>
      </c>
      <c r="AC25" s="189">
        <f t="shared" si="59"/>
        <v>127.27180207586008</v>
      </c>
      <c r="AD25" s="183">
        <f>I25*(1+$J$50)</f>
        <v>209.50032559149122</v>
      </c>
      <c r="AE25" s="183">
        <f t="shared" si="64"/>
        <v>208.87866290427613</v>
      </c>
      <c r="AF25" s="183">
        <f t="shared" si="64"/>
        <v>208.25700021706103</v>
      </c>
      <c r="AG25" s="183">
        <f t="shared" si="64"/>
        <v>207.63533752984588</v>
      </c>
      <c r="AH25" s="183">
        <f t="shared" si="64"/>
        <v>211.28029666435282</v>
      </c>
      <c r="AI25" s="183">
        <f t="shared" si="64"/>
        <v>216.34746307276706</v>
      </c>
      <c r="AJ25" s="183">
        <f t="shared" si="64"/>
        <v>221.41462948118127</v>
      </c>
      <c r="AK25" s="183">
        <f t="shared" si="64"/>
        <v>226.4817958895955</v>
      </c>
      <c r="AL25" s="183">
        <f t="shared" si="64"/>
        <v>231.54896229800974</v>
      </c>
      <c r="AM25" s="183">
        <f t="shared" si="64"/>
        <v>238.89722082257006</v>
      </c>
      <c r="AN25" s="183">
        <f t="shared" si="64"/>
        <v>271.89444421622494</v>
      </c>
      <c r="AO25" s="183">
        <f t="shared" si="64"/>
        <v>257.38878822433367</v>
      </c>
      <c r="AP25" s="183">
        <f t="shared" si="64"/>
        <v>213.37439244105801</v>
      </c>
      <c r="AQ25" s="75">
        <f t="shared" si="64"/>
        <v>157.93356941002068</v>
      </c>
      <c r="AR25" s="216">
        <f>I25*(1+$N$50)</f>
        <v>208.79989741982362</v>
      </c>
      <c r="AS25" s="77">
        <f t="shared" si="65"/>
        <v>208.18031315448292</v>
      </c>
      <c r="AT25" s="77">
        <f t="shared" si="65"/>
        <v>207.56072888914221</v>
      </c>
      <c r="AU25" s="77">
        <f t="shared" si="65"/>
        <v>206.94114462380145</v>
      </c>
      <c r="AV25" s="77">
        <f t="shared" si="65"/>
        <v>210.57391746668722</v>
      </c>
      <c r="AW25" s="77">
        <f t="shared" si="65"/>
        <v>215.62414267898177</v>
      </c>
      <c r="AX25" s="77">
        <f t="shared" si="65"/>
        <v>220.67436789127632</v>
      </c>
      <c r="AY25" s="77">
        <f t="shared" si="65"/>
        <v>225.72459310357087</v>
      </c>
      <c r="AZ25" s="77">
        <f t="shared" si="65"/>
        <v>230.77481831586542</v>
      </c>
      <c r="BA25" s="77">
        <f t="shared" si="65"/>
        <v>238.09850920661057</v>
      </c>
      <c r="BB25" s="77">
        <f t="shared" si="65"/>
        <v>270.98541208030218</v>
      </c>
      <c r="BC25" s="77">
        <f t="shared" si="65"/>
        <v>256.52825324504568</v>
      </c>
      <c r="BD25" s="77">
        <f t="shared" si="65"/>
        <v>212.66101199567581</v>
      </c>
      <c r="BE25" s="217">
        <f t="shared" si="65"/>
        <v>157.40554578545363</v>
      </c>
    </row>
    <row r="26" spans="1:57" ht="15.75" customHeight="1" x14ac:dyDescent="0.15">
      <c r="A26" s="1"/>
      <c r="B26" s="235"/>
      <c r="C26" s="197" t="s">
        <v>202</v>
      </c>
      <c r="D26" s="13">
        <v>145</v>
      </c>
      <c r="E26" s="14">
        <v>146</v>
      </c>
      <c r="F26" s="15">
        <f t="shared" si="60"/>
        <v>235</v>
      </c>
      <c r="G26" s="64">
        <f t="shared" si="61"/>
        <v>62.127659574468083</v>
      </c>
      <c r="H26" s="94">
        <f t="shared" si="45"/>
        <v>143.67021276595744</v>
      </c>
      <c r="I26" s="69">
        <f t="shared" si="46"/>
        <v>140.56382978723403</v>
      </c>
      <c r="J26" s="70">
        <f t="shared" si="47"/>
        <v>137.45744680851064</v>
      </c>
      <c r="K26" s="70">
        <f t="shared" si="13"/>
        <v>134.35106382978722</v>
      </c>
      <c r="L26" s="70">
        <f t="shared" si="48"/>
        <v>131.24468085106383</v>
      </c>
      <c r="M26" s="219">
        <f t="shared" si="14"/>
        <v>130.17922587736516</v>
      </c>
      <c r="N26" s="69">
        <f t="shared" si="49"/>
        <v>129.79408023867472</v>
      </c>
      <c r="O26" s="70">
        <f t="shared" si="50"/>
        <v>129.40893459998429</v>
      </c>
      <c r="P26" s="70">
        <f t="shared" si="51"/>
        <v>129.02378896129386</v>
      </c>
      <c r="Q26" s="70">
        <f t="shared" si="52"/>
        <v>128.63864332260346</v>
      </c>
      <c r="R26" s="70">
        <f t="shared" si="53"/>
        <v>130.89684562866273</v>
      </c>
      <c r="S26" s="70">
        <f t="shared" si="54"/>
        <v>148.00666758247945</v>
      </c>
      <c r="T26" s="71">
        <f t="shared" si="55"/>
        <v>168.44980650704952</v>
      </c>
      <c r="U26" s="71">
        <f t="shared" si="56"/>
        <v>159.46295518636302</v>
      </c>
      <c r="V26" s="71">
        <f t="shared" si="57"/>
        <v>132.19422421030339</v>
      </c>
      <c r="W26" s="188">
        <f t="shared" si="58"/>
        <v>130.46808510638297</v>
      </c>
      <c r="X26" s="16">
        <f t="shared" si="59"/>
        <v>128.54235691293084</v>
      </c>
      <c r="Y26" s="16">
        <f t="shared" si="59"/>
        <v>144.23894835114351</v>
      </c>
      <c r="Z26" s="16">
        <f t="shared" si="59"/>
        <v>169.35707656004976</v>
      </c>
      <c r="AA26" s="61">
        <f t="shared" si="59"/>
        <v>163.30860954004802</v>
      </c>
      <c r="AB26" s="61">
        <f t="shared" si="59"/>
        <v>137.67091384881462</v>
      </c>
      <c r="AC26" s="189">
        <f t="shared" si="59"/>
        <v>101.15964959207304</v>
      </c>
      <c r="AD26" s="183">
        <f>I26*(1+$K$50)</f>
        <v>139.80607329242414</v>
      </c>
      <c r="AE26" s="183">
        <f t="shared" ref="AE26:AQ27" si="66">J26*(1+$K$50)</f>
        <v>136.71643631358606</v>
      </c>
      <c r="AF26" s="183">
        <f t="shared" si="66"/>
        <v>133.62679933474794</v>
      </c>
      <c r="AG26" s="183">
        <f t="shared" si="66"/>
        <v>130.53716235590986</v>
      </c>
      <c r="AH26" s="183">
        <f t="shared" si="66"/>
        <v>129.47745107479176</v>
      </c>
      <c r="AI26" s="183">
        <f t="shared" si="66"/>
        <v>129.09438169291369</v>
      </c>
      <c r="AJ26" s="183">
        <f t="shared" si="66"/>
        <v>128.71131231103558</v>
      </c>
      <c r="AK26" s="183">
        <f t="shared" si="66"/>
        <v>128.32824292915751</v>
      </c>
      <c r="AL26" s="183">
        <f t="shared" si="66"/>
        <v>127.94517354727945</v>
      </c>
      <c r="AM26" s="183">
        <f t="shared" si="66"/>
        <v>130.19120225600147</v>
      </c>
      <c r="AN26" s="183">
        <f t="shared" si="66"/>
        <v>147.2087879728704</v>
      </c>
      <c r="AO26" s="183">
        <f t="shared" si="66"/>
        <v>167.54172129676894</v>
      </c>
      <c r="AP26" s="183">
        <f t="shared" si="66"/>
        <v>158.60331661392979</v>
      </c>
      <c r="AQ26" s="75">
        <f t="shared" si="66"/>
        <v>131.48158688302414</v>
      </c>
      <c r="AR26" s="216">
        <f>I26*(1+$N$50)</f>
        <v>140.48629871730174</v>
      </c>
      <c r="AS26" s="77">
        <f t="shared" si="65"/>
        <v>137.38162913238901</v>
      </c>
      <c r="AT26" s="77">
        <f t="shared" si="65"/>
        <v>134.27695954747625</v>
      </c>
      <c r="AU26" s="77">
        <f t="shared" si="65"/>
        <v>131.17228996256353</v>
      </c>
      <c r="AV26" s="77">
        <f t="shared" si="65"/>
        <v>130.10742266397443</v>
      </c>
      <c r="AW26" s="77">
        <f t="shared" si="65"/>
        <v>129.72248946082658</v>
      </c>
      <c r="AX26" s="77">
        <f t="shared" si="65"/>
        <v>129.33755625767873</v>
      </c>
      <c r="AY26" s="77">
        <f t="shared" si="65"/>
        <v>128.95262305453087</v>
      </c>
      <c r="AZ26" s="77">
        <f t="shared" si="65"/>
        <v>128.56768985138305</v>
      </c>
      <c r="BA26" s="77">
        <f t="shared" si="65"/>
        <v>130.82464659632481</v>
      </c>
      <c r="BB26" s="77">
        <f t="shared" si="65"/>
        <v>147.92503125176654</v>
      </c>
      <c r="BC26" s="77">
        <f t="shared" si="65"/>
        <v>168.35689431371964</v>
      </c>
      <c r="BD26" s="77">
        <f t="shared" si="65"/>
        <v>159.37499988841134</v>
      </c>
      <c r="BE26" s="217">
        <f t="shared" si="65"/>
        <v>132.12130958029218</v>
      </c>
    </row>
    <row r="27" spans="1:57" ht="15.75" customHeight="1" thickBot="1" x14ac:dyDescent="0.2">
      <c r="A27" s="1"/>
      <c r="B27" s="236"/>
      <c r="C27" s="198" t="s">
        <v>203</v>
      </c>
      <c r="D27" s="65">
        <v>47</v>
      </c>
      <c r="E27" s="66">
        <v>71</v>
      </c>
      <c r="F27" s="67">
        <f>IF(ISERROR(D26+D27),0,(D26+D27))</f>
        <v>192</v>
      </c>
      <c r="G27" s="68">
        <f t="shared" si="61"/>
        <v>36.979166666666671</v>
      </c>
      <c r="H27" s="95">
        <f t="shared" si="45"/>
        <v>72.38671875</v>
      </c>
      <c r="I27" s="72">
        <f t="shared" si="46"/>
        <v>74.235677083333343</v>
      </c>
      <c r="J27" s="73">
        <f t="shared" si="47"/>
        <v>76.084635416666671</v>
      </c>
      <c r="K27" s="73">
        <f t="shared" si="13"/>
        <v>77.933593750000014</v>
      </c>
      <c r="L27" s="70">
        <f t="shared" si="48"/>
        <v>79.782552083333357</v>
      </c>
      <c r="M27" s="220">
        <f t="shared" si="14"/>
        <v>79.896052800171788</v>
      </c>
      <c r="N27" s="69">
        <f t="shared" si="49"/>
        <v>79.431067644845243</v>
      </c>
      <c r="O27" s="70">
        <f t="shared" si="50"/>
        <v>78.966082489518712</v>
      </c>
      <c r="P27" s="70">
        <f t="shared" si="51"/>
        <v>78.501097334192167</v>
      </c>
      <c r="Q27" s="70">
        <f t="shared" si="52"/>
        <v>78.036112178865636</v>
      </c>
      <c r="R27" s="73">
        <f t="shared" si="53"/>
        <v>77.684087427630857</v>
      </c>
      <c r="S27" s="73">
        <f t="shared" si="54"/>
        <v>77.131490869775249</v>
      </c>
      <c r="T27" s="71">
        <f t="shared" si="55"/>
        <v>83.254214844323357</v>
      </c>
      <c r="U27" s="71">
        <f t="shared" si="56"/>
        <v>93.078049562226425</v>
      </c>
      <c r="V27" s="71">
        <f t="shared" si="57"/>
        <v>93.387559047655486</v>
      </c>
      <c r="W27" s="190">
        <f>IF(ISERROR((E26+E27)*$G27/100),0,((E26+E27)*$G27/100))</f>
        <v>80.244791666666686</v>
      </c>
      <c r="X27" s="91">
        <f>IF(ISERROR((W26+W27)*$G27/100),0,((W26+W27)*$G27/100))</f>
        <v>77.919865890034004</v>
      </c>
      <c r="Y27" s="91">
        <f t="shared" ref="Y27:AC27" si="67">IF(ISERROR((X26+X27)*$G27/100),0,((X26+X27)*$G27/100))</f>
        <v>76.348009474013054</v>
      </c>
      <c r="Z27" s="91">
        <f t="shared" si="67"/>
        <v>81.571218779094366</v>
      </c>
      <c r="AA27" s="92">
        <f t="shared" si="67"/>
        <v>92.791192547287679</v>
      </c>
      <c r="AB27" s="92">
        <f t="shared" si="67"/>
        <v>94.703572646879365</v>
      </c>
      <c r="AC27" s="191">
        <f t="shared" si="67"/>
        <v>85.930148652053518</v>
      </c>
      <c r="AD27" s="184">
        <f>I27*(1+$K$50)</f>
        <v>73.835484754043136</v>
      </c>
      <c r="AE27" s="184">
        <f t="shared" si="66"/>
        <v>75.674475657008088</v>
      </c>
      <c r="AF27" s="184">
        <f t="shared" si="66"/>
        <v>77.513466559973068</v>
      </c>
      <c r="AG27" s="184">
        <f t="shared" si="66"/>
        <v>79.352457462938034</v>
      </c>
      <c r="AH27" s="184">
        <f t="shared" si="66"/>
        <v>79.465346316073834</v>
      </c>
      <c r="AI27" s="184">
        <f t="shared" si="66"/>
        <v>79.002867819266569</v>
      </c>
      <c r="AJ27" s="184">
        <f t="shared" si="66"/>
        <v>78.540389322459319</v>
      </c>
      <c r="AK27" s="184">
        <f t="shared" si="66"/>
        <v>78.077910825652054</v>
      </c>
      <c r="AL27" s="184">
        <f t="shared" si="66"/>
        <v>77.615432328844804</v>
      </c>
      <c r="AM27" s="184">
        <f t="shared" si="66"/>
        <v>77.265305285163848</v>
      </c>
      <c r="AN27" s="184">
        <f t="shared" si="66"/>
        <v>76.715687684493446</v>
      </c>
      <c r="AO27" s="184">
        <f t="shared" si="66"/>
        <v>82.805405060796005</v>
      </c>
      <c r="AP27" s="184">
        <f t="shared" si="66"/>
        <v>92.576281100974526</v>
      </c>
      <c r="AQ27" s="76">
        <f t="shared" si="66"/>
        <v>92.884122071657345</v>
      </c>
      <c r="AR27" s="218">
        <f>I27*(1+$N$50)</f>
        <v>74.194730763927197</v>
      </c>
      <c r="AS27" s="78">
        <f t="shared" si="65"/>
        <v>76.042669263651405</v>
      </c>
      <c r="AT27" s="78">
        <f t="shared" si="65"/>
        <v>77.890607763375627</v>
      </c>
      <c r="AU27" s="78">
        <f t="shared" si="65"/>
        <v>79.738546263099849</v>
      </c>
      <c r="AV27" s="78">
        <f t="shared" si="65"/>
        <v>79.851984376123156</v>
      </c>
      <c r="AW27" s="78">
        <f t="shared" si="65"/>
        <v>79.387255693579462</v>
      </c>
      <c r="AX27" s="78">
        <f t="shared" si="65"/>
        <v>78.922527011035797</v>
      </c>
      <c r="AY27" s="78">
        <f t="shared" si="65"/>
        <v>78.457798328492117</v>
      </c>
      <c r="AZ27" s="78">
        <f t="shared" si="65"/>
        <v>77.993069645948438</v>
      </c>
      <c r="BA27" s="78">
        <f t="shared" si="65"/>
        <v>77.641239061702763</v>
      </c>
      <c r="BB27" s="78">
        <f t="shared" si="65"/>
        <v>77.088947300624795</v>
      </c>
      <c r="BC27" s="78">
        <f t="shared" si="65"/>
        <v>83.208294152186383</v>
      </c>
      <c r="BD27" s="78">
        <f t="shared" si="65"/>
        <v>93.026710318121502</v>
      </c>
      <c r="BE27" s="79">
        <f t="shared" si="65"/>
        <v>93.336049086790808</v>
      </c>
    </row>
    <row r="28" spans="1:57" ht="15.75" customHeight="1" thickBot="1" x14ac:dyDescent="0.2">
      <c r="A28" s="1"/>
      <c r="B28" s="234" t="s">
        <v>204</v>
      </c>
      <c r="C28" s="80" t="s">
        <v>184</v>
      </c>
      <c r="D28" s="81">
        <f>SUM(D29:D47)</f>
        <v>5597</v>
      </c>
      <c r="E28" s="82">
        <f>SUM(E29:E47)</f>
        <v>5058</v>
      </c>
      <c r="F28" s="82">
        <f t="shared" ref="F28:V28" si="68">SUM(F29:F47)</f>
        <v>5597</v>
      </c>
      <c r="G28" s="83">
        <f t="shared" si="68"/>
        <v>1599.6272120581575</v>
      </c>
      <c r="H28" s="93">
        <f t="shared" si="68"/>
        <v>4981.0654284733937</v>
      </c>
      <c r="I28" s="85">
        <f t="shared" si="68"/>
        <v>4878.485999771251</v>
      </c>
      <c r="J28" s="86">
        <f t="shared" si="68"/>
        <v>4775.9065710691084</v>
      </c>
      <c r="K28" s="86">
        <f t="shared" si="68"/>
        <v>4673.3271423669667</v>
      </c>
      <c r="L28" s="86">
        <f t="shared" ref="L28" si="69">SUM(L29:L47)</f>
        <v>4570.7477136648267</v>
      </c>
      <c r="M28" s="86">
        <f t="shared" si="68"/>
        <v>4472.6492329810553</v>
      </c>
      <c r="N28" s="222">
        <f t="shared" ref="N28:P28" si="70">SUM(N29:N47)</f>
        <v>4376.0444016367419</v>
      </c>
      <c r="O28" s="86">
        <f t="shared" si="70"/>
        <v>4279.4395702924276</v>
      </c>
      <c r="P28" s="86">
        <f t="shared" si="70"/>
        <v>4182.834738948115</v>
      </c>
      <c r="Q28" s="86">
        <f t="shared" ref="Q28" si="71">SUM(Q29:Q47)</f>
        <v>4086.2299076038016</v>
      </c>
      <c r="R28" s="86">
        <f t="shared" si="68"/>
        <v>3994.8165362730565</v>
      </c>
      <c r="S28" s="86">
        <f t="shared" si="68"/>
        <v>3547.9397299725715</v>
      </c>
      <c r="T28" s="87">
        <f t="shared" ref="T28:U28" si="72">SUM(T29:T47)</f>
        <v>3109.8666515548116</v>
      </c>
      <c r="U28" s="87">
        <f t="shared" si="72"/>
        <v>2675.8426320455678</v>
      </c>
      <c r="V28" s="87">
        <f t="shared" si="68"/>
        <v>2267.8411149205781</v>
      </c>
      <c r="W28" s="185">
        <f>SUM(W29:W47)</f>
        <v>4545.1028564892904</v>
      </c>
      <c r="X28" s="88">
        <f>SUM(X29:X47)</f>
        <v>4062.0786997677228</v>
      </c>
      <c r="Y28" s="88">
        <f t="shared" ref="Y28:AF28" si="73">SUM(Y29:Y47)</f>
        <v>3613.6642764699495</v>
      </c>
      <c r="Z28" s="88">
        <f t="shared" si="73"/>
        <v>3175.5006331540972</v>
      </c>
      <c r="AA28" s="89">
        <f t="shared" si="73"/>
        <v>2737.9407558255311</v>
      </c>
      <c r="AB28" s="89">
        <f t="shared" ref="AB28:AC28" si="74">SUM(AB29:AB47)</f>
        <v>2323.9532639591102</v>
      </c>
      <c r="AC28" s="186">
        <f t="shared" si="74"/>
        <v>1949.8722703688941</v>
      </c>
      <c r="AD28" s="181">
        <f t="shared" si="73"/>
        <v>4875.9110265053041</v>
      </c>
      <c r="AE28" s="98">
        <f t="shared" si="73"/>
        <v>4773.2492229148311</v>
      </c>
      <c r="AF28" s="98">
        <f t="shared" si="73"/>
        <v>4670.5874193243571</v>
      </c>
      <c r="AG28" s="98">
        <f t="shared" ref="AG28:AM28" si="75">SUM(AG29:AG47)</f>
        <v>4567.925615733885</v>
      </c>
      <c r="AH28" s="98">
        <f t="shared" si="75"/>
        <v>4469.9156578726097</v>
      </c>
      <c r="AI28" s="98">
        <f t="shared" si="75"/>
        <v>4373.4563152544024</v>
      </c>
      <c r="AJ28" s="98">
        <f t="shared" si="75"/>
        <v>4276.9969726361942</v>
      </c>
      <c r="AK28" s="98">
        <f t="shared" si="75"/>
        <v>4180.5376300179869</v>
      </c>
      <c r="AL28" s="98">
        <f t="shared" si="75"/>
        <v>4084.0782873997796</v>
      </c>
      <c r="AM28" s="98">
        <f t="shared" si="75"/>
        <v>3992.8023827211819</v>
      </c>
      <c r="AN28" s="100">
        <f t="shared" ref="AN28" si="76">S28*(1+$I$50)</f>
        <v>3541.5161818796819</v>
      </c>
      <c r="AO28" s="100">
        <f t="shared" ref="AO28" si="77">T28*(1+$I$50)</f>
        <v>3104.2362351669635</v>
      </c>
      <c r="AP28" s="100">
        <f t="shared" ref="AP28" si="78">U28*(1+$I$50)</f>
        <v>2670.9980165379416</v>
      </c>
      <c r="AQ28" s="99">
        <f t="shared" ref="AQ28:AT28" si="79">SUM(AQ29:AQ47)</f>
        <v>2265.8904579262503</v>
      </c>
      <c r="AR28" s="213">
        <f t="shared" si="79"/>
        <v>4876.4625598410639</v>
      </c>
      <c r="AS28" s="98">
        <f t="shared" si="79"/>
        <v>4773.8553841332641</v>
      </c>
      <c r="AT28" s="98">
        <f t="shared" si="79"/>
        <v>4671.2482084254643</v>
      </c>
      <c r="AU28" s="100">
        <f t="shared" ref="AU28" si="80">L28*(1+$I$50)</f>
        <v>4562.4723707915646</v>
      </c>
      <c r="AV28" s="98">
        <f>SUM(AV29:AV47)</f>
        <v>4470.5518851910119</v>
      </c>
      <c r="AW28" s="100">
        <f t="shared" ref="AW28" si="81">N28*(1+$I$50)</f>
        <v>4368.1215692861624</v>
      </c>
      <c r="AX28" s="100">
        <f t="shared" ref="AX28" si="82">O28*(1+$I$50)</f>
        <v>4271.6916410764488</v>
      </c>
      <c r="AY28" s="98">
        <f>SUM(AY29:AY47)</f>
        <v>4180.8024707921977</v>
      </c>
      <c r="AZ28" s="100">
        <f t="shared" ref="AZ28" si="83">Q28*(1+$I$50)</f>
        <v>4078.8317846570235</v>
      </c>
      <c r="BA28" s="98">
        <f>SUM(BA29:BA47)</f>
        <v>3992.8417574896639</v>
      </c>
      <c r="BB28" s="98">
        <f t="shared" ref="BB28" si="84">SUM(BB29:BB47)</f>
        <v>3546.162119588274</v>
      </c>
      <c r="BC28" s="100">
        <f t="shared" ref="BC28" si="85">T28*(1+$I$50)</f>
        <v>3104.2362351669635</v>
      </c>
      <c r="BD28" s="101" t="s">
        <v>214</v>
      </c>
      <c r="BE28" s="101">
        <f t="shared" ref="BE28" si="86">V28*(1+$I$50)</f>
        <v>2263.7351865290502</v>
      </c>
    </row>
    <row r="29" spans="1:57" ht="15.75" customHeight="1" thickTop="1" x14ac:dyDescent="0.15">
      <c r="A29" s="1"/>
      <c r="B29" s="235"/>
      <c r="C29" s="195" t="s">
        <v>185</v>
      </c>
      <c r="D29" s="8">
        <v>174</v>
      </c>
      <c r="E29" s="9">
        <v>136</v>
      </c>
      <c r="F29" s="10"/>
      <c r="G29" s="63"/>
      <c r="H29" s="94">
        <f>E29+(W29-E29)*(9/60)</f>
        <v>132.43420600185831</v>
      </c>
      <c r="I29" s="69">
        <f>E29+(W29-E29)*(21/60)</f>
        <v>127.67981400433608</v>
      </c>
      <c r="J29" s="70">
        <f>E29+(W29-E29)*(33/60)</f>
        <v>122.92542200681385</v>
      </c>
      <c r="K29" s="70">
        <f t="shared" ref="K29:K47" si="87">E29+(W29-E29)*(45/60)</f>
        <v>118.1710300092916</v>
      </c>
      <c r="L29" s="70">
        <f t="shared" ref="L29:L47" si="88">E29+(W29-E29)*(57/60)</f>
        <v>113.41663801176936</v>
      </c>
      <c r="M29" s="219">
        <f t="shared" ref="M29:M47" si="89">W29+(X29-W29)*(9/60)</f>
        <v>108.50043714523488</v>
      </c>
      <c r="N29" s="69">
        <f>W29+(X29-W29)*(21/60)</f>
        <v>103.53029998902964</v>
      </c>
      <c r="O29" s="70">
        <f>W29+(X29-W29)*(33/60)</f>
        <v>98.560162832824417</v>
      </c>
      <c r="P29" s="70">
        <f>W29+(X29-W29)*(45/60)</f>
        <v>93.590025676619177</v>
      </c>
      <c r="Q29" s="70">
        <f>W29+(X29-W29)*(57/60)</f>
        <v>88.619888520413951</v>
      </c>
      <c r="R29" s="70">
        <f t="shared" ref="R29:R47" si="90">X29+(Y29-X29)*(9/60)</f>
        <v>84.716903910351363</v>
      </c>
      <c r="S29" s="70">
        <f t="shared" ref="S29:S47" si="91">Y29+(Z29-Y29)*(9/60)</f>
        <v>67.072879137890112</v>
      </c>
      <c r="T29" s="71">
        <f>Z29+(AA29-Z29)*(9/60)</f>
        <v>51.054879844490777</v>
      </c>
      <c r="U29" s="71">
        <f>AA29+(AB29-AA29)*(9/60)</f>
        <v>41.634006244741492</v>
      </c>
      <c r="V29" s="71">
        <f>AB29+(AC29-AB29)*(9/60)</f>
        <v>34.280903802869162</v>
      </c>
      <c r="W29" s="187">
        <f>IF(ISERROR(SUM(W32:W38)*$E50*(100/(100+$E51))),0,(SUM(W32:W38)*$E50*(100/(100+$E51))))</f>
        <v>112.2280400123888</v>
      </c>
      <c r="X29" s="11">
        <f>IF(ISERROR(SUM(X32:X38)*$E50*(100/(100+$E51))),0,(SUM(X32:X38)*$E50*(100/(100+$E51))))</f>
        <v>87.377354231362645</v>
      </c>
      <c r="Y29" s="11">
        <f t="shared" ref="Y29:AA29" si="92">IF(ISERROR(SUM(Y32:Y38)*$E50*(100/(100+$E51))),0,(SUM(Y32:Y38)*$E50*(100/(100+$E51))))</f>
        <v>69.6410187579541</v>
      </c>
      <c r="Z29" s="11">
        <f t="shared" si="92"/>
        <v>52.520087957527473</v>
      </c>
      <c r="AA29" s="62">
        <f t="shared" si="92"/>
        <v>42.752033870616174</v>
      </c>
      <c r="AB29" s="62">
        <f t="shared" ref="AB29:AC29" si="93">IF(ISERROR(SUM(AB32:AB38)*$E50*(100/(100+$E51))),0,(SUM(AB32:AB38)*$E50*(100/(100+$E51))))</f>
        <v>35.298516364784952</v>
      </c>
      <c r="AC29" s="192">
        <f t="shared" si="93"/>
        <v>28.514432618679699</v>
      </c>
      <c r="AD29" s="182">
        <f t="shared" ref="AD29:AD41" si="94">I29</f>
        <v>127.67981400433608</v>
      </c>
      <c r="AE29" s="182">
        <f t="shared" ref="AE29:AE41" si="95">J29</f>
        <v>122.92542200681385</v>
      </c>
      <c r="AF29" s="182">
        <f t="shared" ref="AF29:AF41" si="96">K29</f>
        <v>118.1710300092916</v>
      </c>
      <c r="AG29" s="182">
        <f t="shared" ref="AG29:AG41" si="97">L29</f>
        <v>113.41663801176936</v>
      </c>
      <c r="AH29" s="182">
        <f t="shared" ref="AH29:AH41" si="98">M29</f>
        <v>108.50043714523488</v>
      </c>
      <c r="AI29" s="182">
        <f t="shared" ref="AI29:AI41" si="99">N29</f>
        <v>103.53029998902964</v>
      </c>
      <c r="AJ29" s="182">
        <f t="shared" ref="AJ29:AJ41" si="100">O29</f>
        <v>98.560162832824417</v>
      </c>
      <c r="AK29" s="182">
        <f t="shared" ref="AK29:AK41" si="101">P29</f>
        <v>93.590025676619177</v>
      </c>
      <c r="AL29" s="182">
        <f t="shared" ref="AL29:AL41" si="102">Q29</f>
        <v>88.619888520413951</v>
      </c>
      <c r="AM29" s="182">
        <f t="shared" ref="AM29:AM41" si="103">R29</f>
        <v>84.716903910351363</v>
      </c>
      <c r="AN29" s="182">
        <f t="shared" ref="AN29:AN41" si="104">S29</f>
        <v>67.072879137890112</v>
      </c>
      <c r="AO29" s="182">
        <f t="shared" ref="AO29:AO41" si="105">T29</f>
        <v>51.054879844490777</v>
      </c>
      <c r="AP29" s="182">
        <f t="shared" ref="AP29:AP41" si="106">U29</f>
        <v>41.634006244741492</v>
      </c>
      <c r="AQ29" s="101">
        <f t="shared" ref="AQ29:AQ41" si="107">V29</f>
        <v>34.280903802869162</v>
      </c>
      <c r="AR29" s="214">
        <f t="shared" ref="AR29:AR41" si="108">I29</f>
        <v>127.67981400433608</v>
      </c>
      <c r="AS29" s="102">
        <f t="shared" ref="AS29:AS41" si="109">J29</f>
        <v>122.92542200681385</v>
      </c>
      <c r="AT29" s="102">
        <f t="shared" ref="AT29:AT41" si="110">K29</f>
        <v>118.1710300092916</v>
      </c>
      <c r="AU29" s="102">
        <f t="shared" ref="AU29:AU41" si="111">L29</f>
        <v>113.41663801176936</v>
      </c>
      <c r="AV29" s="102">
        <f t="shared" ref="AV29:AV41" si="112">M29</f>
        <v>108.50043714523488</v>
      </c>
      <c r="AW29" s="102">
        <f t="shared" ref="AW29:AW41" si="113">N29</f>
        <v>103.53029998902964</v>
      </c>
      <c r="AX29" s="102">
        <f t="shared" ref="AX29:AX41" si="114">O29</f>
        <v>98.560162832824417</v>
      </c>
      <c r="AY29" s="102">
        <f t="shared" ref="AY29:AY41" si="115">P29</f>
        <v>93.590025676619177</v>
      </c>
      <c r="AZ29" s="102">
        <f t="shared" ref="AZ29:AZ41" si="116">Q29</f>
        <v>88.619888520413951</v>
      </c>
      <c r="BA29" s="102">
        <f t="shared" ref="BA29:BA41" si="117">R29</f>
        <v>84.716903910351363</v>
      </c>
      <c r="BB29" s="102">
        <f t="shared" ref="BB29:BB41" si="118">S29</f>
        <v>67.072879137890112</v>
      </c>
      <c r="BC29" s="102">
        <f t="shared" ref="BC29:BC41" si="119">T29</f>
        <v>51.054879844490777</v>
      </c>
      <c r="BD29" s="102">
        <f t="shared" ref="BD29:BD41" si="120">U29</f>
        <v>41.634006244741492</v>
      </c>
      <c r="BE29" s="215">
        <f t="shared" ref="BE29:BE41" si="121">V29</f>
        <v>34.280903802869162</v>
      </c>
    </row>
    <row r="30" spans="1:57" ht="15.75" customHeight="1" x14ac:dyDescent="0.15">
      <c r="A30" s="1"/>
      <c r="B30" s="235"/>
      <c r="C30" s="196" t="s">
        <v>186</v>
      </c>
      <c r="D30" s="13">
        <v>206</v>
      </c>
      <c r="E30" s="14">
        <v>177</v>
      </c>
      <c r="F30" s="15">
        <f>IF(ISERROR(D29),0,(D29))</f>
        <v>174</v>
      </c>
      <c r="G30" s="64">
        <f>IF(ISERROR(E30/F30*100),0,(E30/F30*100))</f>
        <v>101.72413793103448</v>
      </c>
      <c r="H30" s="94">
        <f t="shared" ref="H30:H47" si="122">E30+(W30-E30)*(9/60)</f>
        <v>171.20172413793102</v>
      </c>
      <c r="I30" s="69">
        <f t="shared" ref="I30:I47" si="123">E30+(W30-E30)*(21/60)</f>
        <v>163.47068965517241</v>
      </c>
      <c r="J30" s="70">
        <f t="shared" ref="J30:J47" si="124">E30+(W30-E30)*(33/60)</f>
        <v>155.73965517241379</v>
      </c>
      <c r="K30" s="70">
        <f t="shared" si="87"/>
        <v>148.00862068965517</v>
      </c>
      <c r="L30" s="70">
        <f t="shared" si="88"/>
        <v>140.27758620689656</v>
      </c>
      <c r="M30" s="219">
        <f t="shared" si="89"/>
        <v>134.7175543812007</v>
      </c>
      <c r="N30" s="69">
        <f t="shared" ref="N30:N47" si="125">W30+(X30-W30)*(21/60)</f>
        <v>129.88119010785911</v>
      </c>
      <c r="O30" s="70">
        <f t="shared" ref="O30:O47" si="126">W30+(X30-W30)*(33/60)</f>
        <v>125.04482583451752</v>
      </c>
      <c r="P30" s="70">
        <f t="shared" ref="P30:P47" si="127">W30+(X30-W30)*(45/60)</f>
        <v>120.20846156117594</v>
      </c>
      <c r="Q30" s="70">
        <f t="shared" ref="Q30:Q47" si="128">W30+(X30-W30)*(57/60)</f>
        <v>115.37209728783435</v>
      </c>
      <c r="R30" s="70">
        <f t="shared" si="90"/>
        <v>110.3711343373941</v>
      </c>
      <c r="S30" s="70">
        <f t="shared" si="91"/>
        <v>86.177540184667762</v>
      </c>
      <c r="T30" s="71">
        <f t="shared" ref="T30:T47" si="129">Z30+(AA30-Z30)*(9/60)</f>
        <v>68.229308088543377</v>
      </c>
      <c r="U30" s="71">
        <f t="shared" ref="U30:U47" si="130">AA30+(AB30-AA30)*(9/60)</f>
        <v>51.93513639353371</v>
      </c>
      <c r="V30" s="71">
        <f t="shared" ref="V30:V47" si="131">AB30+(AC30-AB30)*(9/60)</f>
        <v>42.351833938616345</v>
      </c>
      <c r="W30" s="188">
        <f t="shared" ref="W30:W46" si="132">IF(ISERROR(E29*$G30/100),0,(E29*$G30/100))</f>
        <v>138.34482758620689</v>
      </c>
      <c r="X30" s="16">
        <f t="shared" ref="X30:AC46" si="133">IF(ISERROR(W29*$G30/100),0,(W29*$G30/100))</f>
        <v>114.16300621949895</v>
      </c>
      <c r="Y30" s="16">
        <f t="shared" si="133"/>
        <v>88.883860338799934</v>
      </c>
      <c r="Z30" s="16">
        <f t="shared" si="133"/>
        <v>70.841725977918827</v>
      </c>
      <c r="AA30" s="61">
        <f t="shared" si="133"/>
        <v>53.425606715415867</v>
      </c>
      <c r="AB30" s="61">
        <f t="shared" si="133"/>
        <v>43.48913790286818</v>
      </c>
      <c r="AC30" s="189">
        <f t="shared" si="133"/>
        <v>35.907111474522623</v>
      </c>
      <c r="AD30" s="182">
        <f t="shared" si="94"/>
        <v>163.47068965517241</v>
      </c>
      <c r="AE30" s="182">
        <f t="shared" si="95"/>
        <v>155.73965517241379</v>
      </c>
      <c r="AF30" s="182">
        <f t="shared" si="96"/>
        <v>148.00862068965517</v>
      </c>
      <c r="AG30" s="182">
        <f t="shared" si="97"/>
        <v>140.27758620689656</v>
      </c>
      <c r="AH30" s="182">
        <f t="shared" si="98"/>
        <v>134.7175543812007</v>
      </c>
      <c r="AI30" s="182">
        <f t="shared" si="99"/>
        <v>129.88119010785911</v>
      </c>
      <c r="AJ30" s="182">
        <f t="shared" si="100"/>
        <v>125.04482583451752</v>
      </c>
      <c r="AK30" s="182">
        <f t="shared" si="101"/>
        <v>120.20846156117594</v>
      </c>
      <c r="AL30" s="182">
        <f t="shared" si="102"/>
        <v>115.37209728783435</v>
      </c>
      <c r="AM30" s="182">
        <f t="shared" si="103"/>
        <v>110.3711343373941</v>
      </c>
      <c r="AN30" s="182">
        <f t="shared" si="104"/>
        <v>86.177540184667762</v>
      </c>
      <c r="AO30" s="182">
        <f t="shared" si="105"/>
        <v>68.229308088543377</v>
      </c>
      <c r="AP30" s="182">
        <f t="shared" si="106"/>
        <v>51.93513639353371</v>
      </c>
      <c r="AQ30" s="101">
        <f t="shared" si="107"/>
        <v>42.351833938616345</v>
      </c>
      <c r="AR30" s="214">
        <f t="shared" si="108"/>
        <v>163.47068965517241</v>
      </c>
      <c r="AS30" s="102">
        <f t="shared" si="109"/>
        <v>155.73965517241379</v>
      </c>
      <c r="AT30" s="102">
        <f t="shared" si="110"/>
        <v>148.00862068965517</v>
      </c>
      <c r="AU30" s="102">
        <f t="shared" si="111"/>
        <v>140.27758620689656</v>
      </c>
      <c r="AV30" s="102">
        <f t="shared" si="112"/>
        <v>134.7175543812007</v>
      </c>
      <c r="AW30" s="102">
        <f t="shared" si="113"/>
        <v>129.88119010785911</v>
      </c>
      <c r="AX30" s="102">
        <f t="shared" si="114"/>
        <v>125.04482583451752</v>
      </c>
      <c r="AY30" s="102">
        <f t="shared" si="115"/>
        <v>120.20846156117594</v>
      </c>
      <c r="AZ30" s="102">
        <f t="shared" si="116"/>
        <v>115.37209728783435</v>
      </c>
      <c r="BA30" s="102">
        <f t="shared" si="117"/>
        <v>110.3711343373941</v>
      </c>
      <c r="BB30" s="102">
        <f t="shared" si="118"/>
        <v>86.177540184667762</v>
      </c>
      <c r="BC30" s="102">
        <f t="shared" si="119"/>
        <v>68.229308088543377</v>
      </c>
      <c r="BD30" s="102">
        <f t="shared" si="120"/>
        <v>51.93513639353371</v>
      </c>
      <c r="BE30" s="215">
        <f t="shared" si="121"/>
        <v>42.351833938616345</v>
      </c>
    </row>
    <row r="31" spans="1:57" ht="15.75" customHeight="1" x14ac:dyDescent="0.15">
      <c r="A31" s="1"/>
      <c r="B31" s="235"/>
      <c r="C31" s="196" t="s">
        <v>187</v>
      </c>
      <c r="D31" s="13">
        <v>239</v>
      </c>
      <c r="E31" s="14">
        <v>203</v>
      </c>
      <c r="F31" s="15">
        <f>IF(ISERROR(D30),0,(D30))</f>
        <v>206</v>
      </c>
      <c r="G31" s="64">
        <f t="shared" ref="G31:G46" si="134">IF(ISERROR(E31/F31*100),0,(E31/F31*100))</f>
        <v>98.543689320388353</v>
      </c>
      <c r="H31" s="94">
        <f t="shared" si="122"/>
        <v>198.71334951456311</v>
      </c>
      <c r="I31" s="69">
        <f t="shared" si="123"/>
        <v>192.9978155339806</v>
      </c>
      <c r="J31" s="70">
        <f t="shared" si="124"/>
        <v>187.28228155339806</v>
      </c>
      <c r="K31" s="70">
        <f t="shared" si="87"/>
        <v>181.56674757281556</v>
      </c>
      <c r="L31" s="70">
        <f t="shared" si="88"/>
        <v>175.85121359223305</v>
      </c>
      <c r="M31" s="219">
        <f t="shared" si="89"/>
        <v>168.7084951456311</v>
      </c>
      <c r="N31" s="69">
        <f t="shared" si="125"/>
        <v>161.09004854368933</v>
      </c>
      <c r="O31" s="70">
        <f t="shared" si="126"/>
        <v>153.47160194174759</v>
      </c>
      <c r="P31" s="70">
        <f t="shared" si="127"/>
        <v>145.85315533980582</v>
      </c>
      <c r="Q31" s="70">
        <f t="shared" si="128"/>
        <v>138.23470873786408</v>
      </c>
      <c r="R31" s="70">
        <f t="shared" si="90"/>
        <v>132.75564824943564</v>
      </c>
      <c r="S31" s="70">
        <f t="shared" si="91"/>
        <v>108.76378772083011</v>
      </c>
      <c r="T31" s="71">
        <f t="shared" si="129"/>
        <v>84.922527463531836</v>
      </c>
      <c r="U31" s="71">
        <f t="shared" si="130"/>
        <v>67.235677388224786</v>
      </c>
      <c r="V31" s="71">
        <f t="shared" si="131"/>
        <v>51.178799455763809</v>
      </c>
      <c r="W31" s="188">
        <f t="shared" si="132"/>
        <v>174.42233009708741</v>
      </c>
      <c r="X31" s="16">
        <f t="shared" si="133"/>
        <v>136.33009708737865</v>
      </c>
      <c r="Y31" s="16">
        <f t="shared" si="133"/>
        <v>112.50043816775867</v>
      </c>
      <c r="Z31" s="16">
        <f t="shared" si="133"/>
        <v>87.589435188234887</v>
      </c>
      <c r="AA31" s="61">
        <f t="shared" si="133"/>
        <v>69.810050356881177</v>
      </c>
      <c r="AB31" s="61">
        <f t="shared" si="133"/>
        <v>52.647563899171949</v>
      </c>
      <c r="AC31" s="189">
        <f t="shared" si="133"/>
        <v>42.855800943117671</v>
      </c>
      <c r="AD31" s="182">
        <f t="shared" si="94"/>
        <v>192.9978155339806</v>
      </c>
      <c r="AE31" s="182">
        <f t="shared" si="95"/>
        <v>187.28228155339806</v>
      </c>
      <c r="AF31" s="182">
        <f t="shared" si="96"/>
        <v>181.56674757281556</v>
      </c>
      <c r="AG31" s="182">
        <f t="shared" si="97"/>
        <v>175.85121359223305</v>
      </c>
      <c r="AH31" s="182">
        <f t="shared" si="98"/>
        <v>168.7084951456311</v>
      </c>
      <c r="AI31" s="182">
        <f t="shared" si="99"/>
        <v>161.09004854368933</v>
      </c>
      <c r="AJ31" s="182">
        <f t="shared" si="100"/>
        <v>153.47160194174759</v>
      </c>
      <c r="AK31" s="182">
        <f t="shared" si="101"/>
        <v>145.85315533980582</v>
      </c>
      <c r="AL31" s="182">
        <f t="shared" si="102"/>
        <v>138.23470873786408</v>
      </c>
      <c r="AM31" s="182">
        <f t="shared" si="103"/>
        <v>132.75564824943564</v>
      </c>
      <c r="AN31" s="182">
        <f t="shared" si="104"/>
        <v>108.76378772083011</v>
      </c>
      <c r="AO31" s="182">
        <f t="shared" si="105"/>
        <v>84.922527463531836</v>
      </c>
      <c r="AP31" s="182">
        <f t="shared" si="106"/>
        <v>67.235677388224786</v>
      </c>
      <c r="AQ31" s="101">
        <f t="shared" si="107"/>
        <v>51.178799455763809</v>
      </c>
      <c r="AR31" s="214">
        <f t="shared" si="108"/>
        <v>192.9978155339806</v>
      </c>
      <c r="AS31" s="102">
        <f t="shared" si="109"/>
        <v>187.28228155339806</v>
      </c>
      <c r="AT31" s="102">
        <f t="shared" si="110"/>
        <v>181.56674757281556</v>
      </c>
      <c r="AU31" s="102">
        <f t="shared" si="111"/>
        <v>175.85121359223305</v>
      </c>
      <c r="AV31" s="102">
        <f t="shared" si="112"/>
        <v>168.7084951456311</v>
      </c>
      <c r="AW31" s="102">
        <f t="shared" si="113"/>
        <v>161.09004854368933</v>
      </c>
      <c r="AX31" s="102">
        <f t="shared" si="114"/>
        <v>153.47160194174759</v>
      </c>
      <c r="AY31" s="102">
        <f t="shared" si="115"/>
        <v>145.85315533980582</v>
      </c>
      <c r="AZ31" s="102">
        <f t="shared" si="116"/>
        <v>138.23470873786408</v>
      </c>
      <c r="BA31" s="102">
        <f t="shared" si="117"/>
        <v>132.75564824943564</v>
      </c>
      <c r="BB31" s="102">
        <f t="shared" si="118"/>
        <v>108.76378772083011</v>
      </c>
      <c r="BC31" s="102">
        <f t="shared" si="119"/>
        <v>84.922527463531836</v>
      </c>
      <c r="BD31" s="102">
        <f t="shared" si="120"/>
        <v>67.235677388224786</v>
      </c>
      <c r="BE31" s="215">
        <f t="shared" si="121"/>
        <v>51.178799455763809</v>
      </c>
    </row>
    <row r="32" spans="1:57" ht="15.75" customHeight="1" x14ac:dyDescent="0.15">
      <c r="A32" s="1"/>
      <c r="B32" s="235"/>
      <c r="C32" s="196" t="s">
        <v>188</v>
      </c>
      <c r="D32" s="13">
        <v>255</v>
      </c>
      <c r="E32" s="14">
        <v>225</v>
      </c>
      <c r="F32" s="15">
        <f t="shared" ref="F32:F46" si="135">IF(ISERROR(D31),0,(D31))</f>
        <v>239</v>
      </c>
      <c r="G32" s="64">
        <f t="shared" si="134"/>
        <v>94.142259414225933</v>
      </c>
      <c r="H32" s="94">
        <f t="shared" si="122"/>
        <v>219.91631799163179</v>
      </c>
      <c r="I32" s="69">
        <f t="shared" si="123"/>
        <v>213.13807531380752</v>
      </c>
      <c r="J32" s="70">
        <f t="shared" si="124"/>
        <v>206.35983263598325</v>
      </c>
      <c r="K32" s="70">
        <f t="shared" si="87"/>
        <v>199.58158995815899</v>
      </c>
      <c r="L32" s="70">
        <f t="shared" si="88"/>
        <v>192.80334728033472</v>
      </c>
      <c r="M32" s="219">
        <f t="shared" si="89"/>
        <v>187.07323699069747</v>
      </c>
      <c r="N32" s="69">
        <f t="shared" si="125"/>
        <v>181.69250416378924</v>
      </c>
      <c r="O32" s="70">
        <f t="shared" si="126"/>
        <v>176.31177133688101</v>
      </c>
      <c r="P32" s="70">
        <f t="shared" si="127"/>
        <v>170.93103850997278</v>
      </c>
      <c r="Q32" s="70">
        <f t="shared" si="128"/>
        <v>165.55030568306455</v>
      </c>
      <c r="R32" s="70">
        <f t="shared" si="90"/>
        <v>158.82598915383679</v>
      </c>
      <c r="S32" s="70">
        <f t="shared" si="91"/>
        <v>124.97916676202101</v>
      </c>
      <c r="T32" s="71">
        <f t="shared" si="129"/>
        <v>102.39268718488188</v>
      </c>
      <c r="U32" s="71">
        <f t="shared" si="130"/>
        <v>79.947986105835398</v>
      </c>
      <c r="V32" s="71">
        <f t="shared" si="131"/>
        <v>63.29718582573463</v>
      </c>
      <c r="W32" s="188">
        <f t="shared" si="132"/>
        <v>191.10878661087864</v>
      </c>
      <c r="X32" s="16">
        <f t="shared" si="133"/>
        <v>164.20512247633749</v>
      </c>
      <c r="Y32" s="16">
        <f t="shared" si="133"/>
        <v>128.34423365966609</v>
      </c>
      <c r="Z32" s="16">
        <f t="shared" si="133"/>
        <v>105.91045434203221</v>
      </c>
      <c r="AA32" s="61">
        <f t="shared" si="133"/>
        <v>82.458673294363379</v>
      </c>
      <c r="AB32" s="61">
        <f t="shared" si="133"/>
        <v>65.720758704176831</v>
      </c>
      <c r="AC32" s="189">
        <f t="shared" si="133"/>
        <v>49.563606181228813</v>
      </c>
      <c r="AD32" s="182">
        <f t="shared" si="94"/>
        <v>213.13807531380752</v>
      </c>
      <c r="AE32" s="182">
        <f t="shared" si="95"/>
        <v>206.35983263598325</v>
      </c>
      <c r="AF32" s="182">
        <f t="shared" si="96"/>
        <v>199.58158995815899</v>
      </c>
      <c r="AG32" s="182">
        <f t="shared" si="97"/>
        <v>192.80334728033472</v>
      </c>
      <c r="AH32" s="182">
        <f t="shared" si="98"/>
        <v>187.07323699069747</v>
      </c>
      <c r="AI32" s="182">
        <f t="shared" si="99"/>
        <v>181.69250416378924</v>
      </c>
      <c r="AJ32" s="182">
        <f t="shared" si="100"/>
        <v>176.31177133688101</v>
      </c>
      <c r="AK32" s="182">
        <f t="shared" si="101"/>
        <v>170.93103850997278</v>
      </c>
      <c r="AL32" s="182">
        <f t="shared" si="102"/>
        <v>165.55030568306455</v>
      </c>
      <c r="AM32" s="182">
        <f t="shared" si="103"/>
        <v>158.82598915383679</v>
      </c>
      <c r="AN32" s="182">
        <f t="shared" si="104"/>
        <v>124.97916676202101</v>
      </c>
      <c r="AO32" s="182">
        <f t="shared" si="105"/>
        <v>102.39268718488188</v>
      </c>
      <c r="AP32" s="182">
        <f t="shared" si="106"/>
        <v>79.947986105835398</v>
      </c>
      <c r="AQ32" s="101">
        <f t="shared" si="107"/>
        <v>63.29718582573463</v>
      </c>
      <c r="AR32" s="214">
        <f t="shared" si="108"/>
        <v>213.13807531380752</v>
      </c>
      <c r="AS32" s="102">
        <f t="shared" si="109"/>
        <v>206.35983263598325</v>
      </c>
      <c r="AT32" s="102">
        <f t="shared" si="110"/>
        <v>199.58158995815899</v>
      </c>
      <c r="AU32" s="102">
        <f t="shared" si="111"/>
        <v>192.80334728033472</v>
      </c>
      <c r="AV32" s="102">
        <f t="shared" si="112"/>
        <v>187.07323699069747</v>
      </c>
      <c r="AW32" s="102">
        <f t="shared" si="113"/>
        <v>181.69250416378924</v>
      </c>
      <c r="AX32" s="102">
        <f t="shared" si="114"/>
        <v>176.31177133688101</v>
      </c>
      <c r="AY32" s="102">
        <f t="shared" si="115"/>
        <v>170.93103850997278</v>
      </c>
      <c r="AZ32" s="102">
        <f t="shared" si="116"/>
        <v>165.55030568306455</v>
      </c>
      <c r="BA32" s="102">
        <f t="shared" si="117"/>
        <v>158.82598915383679</v>
      </c>
      <c r="BB32" s="102">
        <f t="shared" si="118"/>
        <v>124.97916676202101</v>
      </c>
      <c r="BC32" s="102">
        <f t="shared" si="119"/>
        <v>102.39268718488188</v>
      </c>
      <c r="BD32" s="102">
        <f t="shared" si="120"/>
        <v>79.947986105835398</v>
      </c>
      <c r="BE32" s="215">
        <f t="shared" si="121"/>
        <v>63.29718582573463</v>
      </c>
    </row>
    <row r="33" spans="1:57" ht="15.75" customHeight="1" x14ac:dyDescent="0.15">
      <c r="A33" s="1"/>
      <c r="B33" s="235"/>
      <c r="C33" s="196" t="s">
        <v>189</v>
      </c>
      <c r="D33" s="13">
        <v>229</v>
      </c>
      <c r="E33" s="14">
        <v>173</v>
      </c>
      <c r="F33" s="15">
        <f>IF(ISERROR(D32),0,(D32))</f>
        <v>255</v>
      </c>
      <c r="G33" s="64">
        <f t="shared" si="134"/>
        <v>67.843137254901961</v>
      </c>
      <c r="H33" s="94">
        <f t="shared" si="122"/>
        <v>169.9470588235294</v>
      </c>
      <c r="I33" s="69">
        <f t="shared" si="123"/>
        <v>165.87647058823529</v>
      </c>
      <c r="J33" s="70">
        <f t="shared" si="124"/>
        <v>161.80588235294115</v>
      </c>
      <c r="K33" s="70">
        <f t="shared" si="87"/>
        <v>157.73529411764704</v>
      </c>
      <c r="L33" s="70">
        <f t="shared" si="88"/>
        <v>153.66470588235293</v>
      </c>
      <c r="M33" s="219">
        <f t="shared" si="89"/>
        <v>149.19812946098941</v>
      </c>
      <c r="N33" s="69">
        <f t="shared" si="125"/>
        <v>144.59955697760273</v>
      </c>
      <c r="O33" s="70">
        <f t="shared" si="126"/>
        <v>140.00098449421608</v>
      </c>
      <c r="P33" s="70">
        <f t="shared" si="127"/>
        <v>135.40241201082944</v>
      </c>
      <c r="Q33" s="70">
        <f t="shared" si="128"/>
        <v>130.80383952744276</v>
      </c>
      <c r="R33" s="70">
        <f t="shared" si="90"/>
        <v>126.91635293878691</v>
      </c>
      <c r="S33" s="70">
        <f t="shared" si="91"/>
        <v>107.7525338180932</v>
      </c>
      <c r="T33" s="71">
        <f t="shared" si="129"/>
        <v>84.789787646390721</v>
      </c>
      <c r="U33" s="71">
        <f t="shared" si="130"/>
        <v>69.466411305821822</v>
      </c>
      <c r="V33" s="71">
        <f t="shared" si="131"/>
        <v>54.239221946311858</v>
      </c>
      <c r="W33" s="188">
        <f t="shared" si="132"/>
        <v>152.64705882352939</v>
      </c>
      <c r="X33" s="16">
        <f t="shared" si="133"/>
        <v>129.6541964065961</v>
      </c>
      <c r="Y33" s="16">
        <f t="shared" si="133"/>
        <v>111.40190662120152</v>
      </c>
      <c r="Z33" s="16">
        <f t="shared" si="133"/>
        <v>87.072754600479342</v>
      </c>
      <c r="AA33" s="61">
        <f t="shared" si="133"/>
        <v>71.852974906555175</v>
      </c>
      <c r="AB33" s="61">
        <f t="shared" si="133"/>
        <v>55.942550901666138</v>
      </c>
      <c r="AC33" s="189">
        <f t="shared" si="133"/>
        <v>44.587024532637614</v>
      </c>
      <c r="AD33" s="182">
        <f t="shared" si="94"/>
        <v>165.87647058823529</v>
      </c>
      <c r="AE33" s="182">
        <f t="shared" si="95"/>
        <v>161.80588235294115</v>
      </c>
      <c r="AF33" s="182">
        <f t="shared" si="96"/>
        <v>157.73529411764704</v>
      </c>
      <c r="AG33" s="182">
        <f t="shared" si="97"/>
        <v>153.66470588235293</v>
      </c>
      <c r="AH33" s="182">
        <f t="shared" si="98"/>
        <v>149.19812946098941</v>
      </c>
      <c r="AI33" s="182">
        <f t="shared" si="99"/>
        <v>144.59955697760273</v>
      </c>
      <c r="AJ33" s="182">
        <f t="shared" si="100"/>
        <v>140.00098449421608</v>
      </c>
      <c r="AK33" s="182">
        <f t="shared" si="101"/>
        <v>135.40241201082944</v>
      </c>
      <c r="AL33" s="182">
        <f t="shared" si="102"/>
        <v>130.80383952744276</v>
      </c>
      <c r="AM33" s="182">
        <f t="shared" si="103"/>
        <v>126.91635293878691</v>
      </c>
      <c r="AN33" s="182">
        <f t="shared" si="104"/>
        <v>107.7525338180932</v>
      </c>
      <c r="AO33" s="182">
        <f t="shared" si="105"/>
        <v>84.789787646390721</v>
      </c>
      <c r="AP33" s="182">
        <f t="shared" si="106"/>
        <v>69.466411305821822</v>
      </c>
      <c r="AQ33" s="101">
        <f t="shared" si="107"/>
        <v>54.239221946311858</v>
      </c>
      <c r="AR33" s="214">
        <f t="shared" si="108"/>
        <v>165.87647058823529</v>
      </c>
      <c r="AS33" s="102">
        <f t="shared" si="109"/>
        <v>161.80588235294115</v>
      </c>
      <c r="AT33" s="102">
        <f t="shared" si="110"/>
        <v>157.73529411764704</v>
      </c>
      <c r="AU33" s="102">
        <f t="shared" si="111"/>
        <v>153.66470588235293</v>
      </c>
      <c r="AV33" s="102">
        <f t="shared" si="112"/>
        <v>149.19812946098941</v>
      </c>
      <c r="AW33" s="102">
        <f t="shared" si="113"/>
        <v>144.59955697760273</v>
      </c>
      <c r="AX33" s="102">
        <f t="shared" si="114"/>
        <v>140.00098449421608</v>
      </c>
      <c r="AY33" s="102">
        <f t="shared" si="115"/>
        <v>135.40241201082944</v>
      </c>
      <c r="AZ33" s="102">
        <f t="shared" si="116"/>
        <v>130.80383952744276</v>
      </c>
      <c r="BA33" s="102">
        <f t="shared" si="117"/>
        <v>126.91635293878691</v>
      </c>
      <c r="BB33" s="102">
        <f t="shared" si="118"/>
        <v>107.7525338180932</v>
      </c>
      <c r="BC33" s="102">
        <f t="shared" si="119"/>
        <v>84.789787646390721</v>
      </c>
      <c r="BD33" s="102">
        <f t="shared" si="120"/>
        <v>69.466411305821822</v>
      </c>
      <c r="BE33" s="215">
        <f t="shared" si="121"/>
        <v>54.239221946311858</v>
      </c>
    </row>
    <row r="34" spans="1:57" ht="15.75" customHeight="1" x14ac:dyDescent="0.15">
      <c r="A34" s="1"/>
      <c r="B34" s="235"/>
      <c r="C34" s="196" t="s">
        <v>190</v>
      </c>
      <c r="D34" s="13">
        <v>254</v>
      </c>
      <c r="E34" s="14">
        <v>140</v>
      </c>
      <c r="F34" s="15">
        <f t="shared" si="135"/>
        <v>229</v>
      </c>
      <c r="G34" s="64">
        <f t="shared" si="134"/>
        <v>61.135371179039296</v>
      </c>
      <c r="H34" s="94">
        <f t="shared" si="122"/>
        <v>134.86462882096069</v>
      </c>
      <c r="I34" s="69">
        <f t="shared" si="123"/>
        <v>128.0174672489083</v>
      </c>
      <c r="J34" s="70">
        <f t="shared" si="124"/>
        <v>121.17030567685589</v>
      </c>
      <c r="K34" s="70">
        <f t="shared" si="87"/>
        <v>114.32314410480349</v>
      </c>
      <c r="L34" s="70">
        <f t="shared" si="88"/>
        <v>107.47598253275109</v>
      </c>
      <c r="M34" s="219">
        <f t="shared" si="89"/>
        <v>103.89776521962496</v>
      </c>
      <c r="N34" s="69">
        <f t="shared" si="125"/>
        <v>101.4091959928076</v>
      </c>
      <c r="O34" s="70">
        <f t="shared" si="126"/>
        <v>98.920626765990221</v>
      </c>
      <c r="P34" s="70">
        <f t="shared" si="127"/>
        <v>96.43205753917286</v>
      </c>
      <c r="Q34" s="70">
        <f t="shared" si="128"/>
        <v>93.943488312355498</v>
      </c>
      <c r="R34" s="70">
        <f t="shared" si="90"/>
        <v>91.212830238159455</v>
      </c>
      <c r="S34" s="70">
        <f t="shared" si="91"/>
        <v>77.590783456026927</v>
      </c>
      <c r="T34" s="71">
        <f t="shared" si="129"/>
        <v>65.874911504511118</v>
      </c>
      <c r="U34" s="71">
        <f t="shared" si="130"/>
        <v>51.83655139954017</v>
      </c>
      <c r="V34" s="71">
        <f t="shared" si="131"/>
        <v>42.468548396572288</v>
      </c>
      <c r="W34" s="188">
        <f t="shared" si="132"/>
        <v>105.76419213973799</v>
      </c>
      <c r="X34" s="16">
        <f t="shared" si="133"/>
        <v>93.321346005651151</v>
      </c>
      <c r="Y34" s="16">
        <f t="shared" si="133"/>
        <v>79.264574222373156</v>
      </c>
      <c r="Z34" s="16">
        <f t="shared" si="133"/>
        <v>68.105969113398302</v>
      </c>
      <c r="AA34" s="61">
        <f t="shared" si="133"/>
        <v>53.232251720817061</v>
      </c>
      <c r="AB34" s="61">
        <f t="shared" si="133"/>
        <v>43.927582912304473</v>
      </c>
      <c r="AC34" s="189">
        <f t="shared" si="133"/>
        <v>34.200686140756588</v>
      </c>
      <c r="AD34" s="182">
        <f t="shared" si="94"/>
        <v>128.0174672489083</v>
      </c>
      <c r="AE34" s="182">
        <f t="shared" si="95"/>
        <v>121.17030567685589</v>
      </c>
      <c r="AF34" s="182">
        <f t="shared" si="96"/>
        <v>114.32314410480349</v>
      </c>
      <c r="AG34" s="182">
        <f t="shared" si="97"/>
        <v>107.47598253275109</v>
      </c>
      <c r="AH34" s="182">
        <f t="shared" si="98"/>
        <v>103.89776521962496</v>
      </c>
      <c r="AI34" s="182">
        <f t="shared" si="99"/>
        <v>101.4091959928076</v>
      </c>
      <c r="AJ34" s="182">
        <f t="shared" si="100"/>
        <v>98.920626765990221</v>
      </c>
      <c r="AK34" s="182">
        <f t="shared" si="101"/>
        <v>96.43205753917286</v>
      </c>
      <c r="AL34" s="182">
        <f t="shared" si="102"/>
        <v>93.943488312355498</v>
      </c>
      <c r="AM34" s="182">
        <f t="shared" si="103"/>
        <v>91.212830238159455</v>
      </c>
      <c r="AN34" s="182">
        <f t="shared" si="104"/>
        <v>77.590783456026927</v>
      </c>
      <c r="AO34" s="182">
        <f t="shared" si="105"/>
        <v>65.874911504511118</v>
      </c>
      <c r="AP34" s="182">
        <f t="shared" si="106"/>
        <v>51.83655139954017</v>
      </c>
      <c r="AQ34" s="101">
        <f t="shared" si="107"/>
        <v>42.468548396572288</v>
      </c>
      <c r="AR34" s="214">
        <f t="shared" si="108"/>
        <v>128.0174672489083</v>
      </c>
      <c r="AS34" s="102">
        <f t="shared" si="109"/>
        <v>121.17030567685589</v>
      </c>
      <c r="AT34" s="102">
        <f t="shared" si="110"/>
        <v>114.32314410480349</v>
      </c>
      <c r="AU34" s="102">
        <f t="shared" si="111"/>
        <v>107.47598253275109</v>
      </c>
      <c r="AV34" s="102">
        <f t="shared" si="112"/>
        <v>103.89776521962496</v>
      </c>
      <c r="AW34" s="102">
        <f t="shared" si="113"/>
        <v>101.4091959928076</v>
      </c>
      <c r="AX34" s="102">
        <f t="shared" si="114"/>
        <v>98.920626765990221</v>
      </c>
      <c r="AY34" s="102">
        <f t="shared" si="115"/>
        <v>96.43205753917286</v>
      </c>
      <c r="AZ34" s="102">
        <f t="shared" si="116"/>
        <v>93.943488312355498</v>
      </c>
      <c r="BA34" s="102">
        <f t="shared" si="117"/>
        <v>91.212830238159455</v>
      </c>
      <c r="BB34" s="102">
        <f t="shared" si="118"/>
        <v>77.590783456026927</v>
      </c>
      <c r="BC34" s="102">
        <f t="shared" si="119"/>
        <v>65.874911504511118</v>
      </c>
      <c r="BD34" s="102">
        <f t="shared" si="120"/>
        <v>51.83655139954017</v>
      </c>
      <c r="BE34" s="215">
        <f t="shared" si="121"/>
        <v>42.468548396572288</v>
      </c>
    </row>
    <row r="35" spans="1:57" ht="15.75" customHeight="1" x14ac:dyDescent="0.15">
      <c r="A35" s="1"/>
      <c r="B35" s="235"/>
      <c r="C35" s="196" t="s">
        <v>191</v>
      </c>
      <c r="D35" s="13">
        <v>224</v>
      </c>
      <c r="E35" s="14">
        <v>217</v>
      </c>
      <c r="F35" s="15">
        <f t="shared" si="135"/>
        <v>254</v>
      </c>
      <c r="G35" s="64">
        <f t="shared" si="134"/>
        <v>85.433070866141733</v>
      </c>
      <c r="H35" s="94">
        <f t="shared" si="122"/>
        <v>202.39094488188977</v>
      </c>
      <c r="I35" s="69">
        <f t="shared" si="123"/>
        <v>182.91220472440946</v>
      </c>
      <c r="J35" s="70">
        <f t="shared" si="124"/>
        <v>163.43346456692913</v>
      </c>
      <c r="K35" s="70">
        <f t="shared" si="87"/>
        <v>143.95472440944883</v>
      </c>
      <c r="L35" s="70">
        <f t="shared" si="88"/>
        <v>124.47598425196851</v>
      </c>
      <c r="M35" s="219">
        <f t="shared" si="89"/>
        <v>115.21899391397037</v>
      </c>
      <c r="N35" s="69">
        <f t="shared" si="125"/>
        <v>109.36925351579961</v>
      </c>
      <c r="O35" s="70">
        <f t="shared" si="126"/>
        <v>103.51951311762885</v>
      </c>
      <c r="P35" s="70">
        <f t="shared" si="127"/>
        <v>97.669772719458095</v>
      </c>
      <c r="Q35" s="70">
        <f t="shared" si="128"/>
        <v>91.820032321287343</v>
      </c>
      <c r="R35" s="70">
        <f t="shared" si="90"/>
        <v>88.763051388419754</v>
      </c>
      <c r="S35" s="70">
        <f t="shared" si="91"/>
        <v>77.925921896380316</v>
      </c>
      <c r="T35" s="71">
        <f t="shared" si="129"/>
        <v>66.288189015582063</v>
      </c>
      <c r="U35" s="71">
        <f t="shared" si="130"/>
        <v>56.278959828657136</v>
      </c>
      <c r="V35" s="71">
        <f t="shared" si="131"/>
        <v>44.285557691733132</v>
      </c>
      <c r="W35" s="188">
        <f t="shared" si="132"/>
        <v>119.60629921259843</v>
      </c>
      <c r="X35" s="16">
        <f t="shared" si="133"/>
        <v>90.357597221744655</v>
      </c>
      <c r="Y35" s="16">
        <f t="shared" si="133"/>
        <v>79.727291666245279</v>
      </c>
      <c r="Z35" s="16">
        <f t="shared" si="133"/>
        <v>67.718159867145573</v>
      </c>
      <c r="AA35" s="61">
        <f t="shared" si="133"/>
        <v>58.185020856722176</v>
      </c>
      <c r="AB35" s="61">
        <f t="shared" si="133"/>
        <v>45.477947336288587</v>
      </c>
      <c r="AC35" s="189">
        <f t="shared" si="133"/>
        <v>37.528683039252243</v>
      </c>
      <c r="AD35" s="182">
        <f t="shared" si="94"/>
        <v>182.91220472440946</v>
      </c>
      <c r="AE35" s="182">
        <f t="shared" si="95"/>
        <v>163.43346456692913</v>
      </c>
      <c r="AF35" s="182">
        <f t="shared" si="96"/>
        <v>143.95472440944883</v>
      </c>
      <c r="AG35" s="182">
        <f t="shared" si="97"/>
        <v>124.47598425196851</v>
      </c>
      <c r="AH35" s="182">
        <f t="shared" si="98"/>
        <v>115.21899391397037</v>
      </c>
      <c r="AI35" s="182">
        <f t="shared" si="99"/>
        <v>109.36925351579961</v>
      </c>
      <c r="AJ35" s="182">
        <f t="shared" si="100"/>
        <v>103.51951311762885</v>
      </c>
      <c r="AK35" s="182">
        <f t="shared" si="101"/>
        <v>97.669772719458095</v>
      </c>
      <c r="AL35" s="182">
        <f t="shared" si="102"/>
        <v>91.820032321287343</v>
      </c>
      <c r="AM35" s="182">
        <f t="shared" si="103"/>
        <v>88.763051388419754</v>
      </c>
      <c r="AN35" s="182">
        <f t="shared" si="104"/>
        <v>77.925921896380316</v>
      </c>
      <c r="AO35" s="182">
        <f t="shared" si="105"/>
        <v>66.288189015582063</v>
      </c>
      <c r="AP35" s="182">
        <f t="shared" si="106"/>
        <v>56.278959828657136</v>
      </c>
      <c r="AQ35" s="101">
        <f t="shared" si="107"/>
        <v>44.285557691733132</v>
      </c>
      <c r="AR35" s="214">
        <f t="shared" si="108"/>
        <v>182.91220472440946</v>
      </c>
      <c r="AS35" s="102">
        <f t="shared" si="109"/>
        <v>163.43346456692913</v>
      </c>
      <c r="AT35" s="102">
        <f t="shared" si="110"/>
        <v>143.95472440944883</v>
      </c>
      <c r="AU35" s="102">
        <f t="shared" si="111"/>
        <v>124.47598425196851</v>
      </c>
      <c r="AV35" s="102">
        <f t="shared" si="112"/>
        <v>115.21899391397037</v>
      </c>
      <c r="AW35" s="102">
        <f t="shared" si="113"/>
        <v>109.36925351579961</v>
      </c>
      <c r="AX35" s="102">
        <f t="shared" si="114"/>
        <v>103.51951311762885</v>
      </c>
      <c r="AY35" s="102">
        <f t="shared" si="115"/>
        <v>97.669772719458095</v>
      </c>
      <c r="AZ35" s="102">
        <f t="shared" si="116"/>
        <v>91.820032321287343</v>
      </c>
      <c r="BA35" s="102">
        <f t="shared" si="117"/>
        <v>88.763051388419754</v>
      </c>
      <c r="BB35" s="102">
        <f t="shared" si="118"/>
        <v>77.925921896380316</v>
      </c>
      <c r="BC35" s="102">
        <f t="shared" si="119"/>
        <v>66.288189015582063</v>
      </c>
      <c r="BD35" s="102">
        <f t="shared" si="120"/>
        <v>56.278959828657136</v>
      </c>
      <c r="BE35" s="215">
        <f t="shared" si="121"/>
        <v>44.285557691733132</v>
      </c>
    </row>
    <row r="36" spans="1:57" ht="15.75" customHeight="1" x14ac:dyDescent="0.15">
      <c r="A36" s="1"/>
      <c r="B36" s="235"/>
      <c r="C36" s="196" t="s">
        <v>192</v>
      </c>
      <c r="D36" s="13">
        <v>303</v>
      </c>
      <c r="E36" s="14">
        <v>208</v>
      </c>
      <c r="F36" s="15">
        <f t="shared" si="135"/>
        <v>224</v>
      </c>
      <c r="G36" s="64">
        <f t="shared" si="134"/>
        <v>92.857142857142861</v>
      </c>
      <c r="H36" s="94">
        <f t="shared" si="122"/>
        <v>207.02500000000001</v>
      </c>
      <c r="I36" s="69">
        <f t="shared" si="123"/>
        <v>205.72499999999999</v>
      </c>
      <c r="J36" s="70">
        <f t="shared" si="124"/>
        <v>204.42500000000001</v>
      </c>
      <c r="K36" s="70">
        <f t="shared" si="87"/>
        <v>203.125</v>
      </c>
      <c r="L36" s="70">
        <f t="shared" si="88"/>
        <v>201.82499999999999</v>
      </c>
      <c r="M36" s="219">
        <f t="shared" si="89"/>
        <v>187.93444881889764</v>
      </c>
      <c r="N36" s="69">
        <f t="shared" si="125"/>
        <v>169.84704724409448</v>
      </c>
      <c r="O36" s="70">
        <f t="shared" si="126"/>
        <v>151.75964566929133</v>
      </c>
      <c r="P36" s="70">
        <f t="shared" si="127"/>
        <v>133.67224409448818</v>
      </c>
      <c r="Q36" s="70">
        <f t="shared" si="128"/>
        <v>115.58484251968504</v>
      </c>
      <c r="R36" s="70">
        <f t="shared" si="90"/>
        <v>106.98906577725819</v>
      </c>
      <c r="S36" s="70">
        <f t="shared" si="91"/>
        <v>82.422833432104071</v>
      </c>
      <c r="T36" s="71">
        <f t="shared" si="129"/>
        <v>72.359784618067437</v>
      </c>
      <c r="U36" s="71">
        <f t="shared" si="130"/>
        <v>61.553318371611915</v>
      </c>
      <c r="V36" s="71">
        <f t="shared" si="131"/>
        <v>52.259034126610203</v>
      </c>
      <c r="W36" s="188">
        <f t="shared" si="132"/>
        <v>201.5</v>
      </c>
      <c r="X36" s="16">
        <f t="shared" si="133"/>
        <v>111.06299212598425</v>
      </c>
      <c r="Y36" s="16">
        <f t="shared" si="133"/>
        <v>83.903483134477199</v>
      </c>
      <c r="Z36" s="16">
        <f t="shared" si="133"/>
        <v>74.032485118656325</v>
      </c>
      <c r="AA36" s="61">
        <f t="shared" si="133"/>
        <v>62.881148448063747</v>
      </c>
      <c r="AB36" s="61">
        <f t="shared" si="133"/>
        <v>54.028947938384881</v>
      </c>
      <c r="AC36" s="189">
        <f t="shared" si="133"/>
        <v>42.229522526553694</v>
      </c>
      <c r="AD36" s="182">
        <f t="shared" si="94"/>
        <v>205.72499999999999</v>
      </c>
      <c r="AE36" s="182">
        <f t="shared" si="95"/>
        <v>204.42500000000001</v>
      </c>
      <c r="AF36" s="182">
        <f t="shared" si="96"/>
        <v>203.125</v>
      </c>
      <c r="AG36" s="182">
        <f t="shared" si="97"/>
        <v>201.82499999999999</v>
      </c>
      <c r="AH36" s="182">
        <f t="shared" si="98"/>
        <v>187.93444881889764</v>
      </c>
      <c r="AI36" s="182">
        <f t="shared" si="99"/>
        <v>169.84704724409448</v>
      </c>
      <c r="AJ36" s="182">
        <f t="shared" si="100"/>
        <v>151.75964566929133</v>
      </c>
      <c r="AK36" s="182">
        <f t="shared" si="101"/>
        <v>133.67224409448818</v>
      </c>
      <c r="AL36" s="182">
        <f t="shared" si="102"/>
        <v>115.58484251968504</v>
      </c>
      <c r="AM36" s="182">
        <f t="shared" si="103"/>
        <v>106.98906577725819</v>
      </c>
      <c r="AN36" s="182">
        <f t="shared" si="104"/>
        <v>82.422833432104071</v>
      </c>
      <c r="AO36" s="182">
        <f t="shared" si="105"/>
        <v>72.359784618067437</v>
      </c>
      <c r="AP36" s="182">
        <f t="shared" si="106"/>
        <v>61.553318371611915</v>
      </c>
      <c r="AQ36" s="101">
        <f t="shared" si="107"/>
        <v>52.259034126610203</v>
      </c>
      <c r="AR36" s="214">
        <f t="shared" si="108"/>
        <v>205.72499999999999</v>
      </c>
      <c r="AS36" s="102">
        <f t="shared" si="109"/>
        <v>204.42500000000001</v>
      </c>
      <c r="AT36" s="102">
        <f t="shared" si="110"/>
        <v>203.125</v>
      </c>
      <c r="AU36" s="102">
        <f t="shared" si="111"/>
        <v>201.82499999999999</v>
      </c>
      <c r="AV36" s="102">
        <f t="shared" si="112"/>
        <v>187.93444881889764</v>
      </c>
      <c r="AW36" s="102">
        <f t="shared" si="113"/>
        <v>169.84704724409448</v>
      </c>
      <c r="AX36" s="102">
        <f t="shared" si="114"/>
        <v>151.75964566929133</v>
      </c>
      <c r="AY36" s="102">
        <f t="shared" si="115"/>
        <v>133.67224409448818</v>
      </c>
      <c r="AZ36" s="102">
        <f t="shared" si="116"/>
        <v>115.58484251968504</v>
      </c>
      <c r="BA36" s="102">
        <f t="shared" si="117"/>
        <v>106.98906577725819</v>
      </c>
      <c r="BB36" s="102">
        <f t="shared" si="118"/>
        <v>82.422833432104071</v>
      </c>
      <c r="BC36" s="102">
        <f t="shared" si="119"/>
        <v>72.359784618067437</v>
      </c>
      <c r="BD36" s="102">
        <f t="shared" si="120"/>
        <v>61.553318371611915</v>
      </c>
      <c r="BE36" s="215">
        <f t="shared" si="121"/>
        <v>52.259034126610203</v>
      </c>
    </row>
    <row r="37" spans="1:57" ht="15.75" customHeight="1" x14ac:dyDescent="0.15">
      <c r="A37" s="1"/>
      <c r="B37" s="235"/>
      <c r="C37" s="196" t="s">
        <v>193</v>
      </c>
      <c r="D37" s="13">
        <v>274</v>
      </c>
      <c r="E37" s="14">
        <v>291</v>
      </c>
      <c r="F37" s="15">
        <f t="shared" si="135"/>
        <v>303</v>
      </c>
      <c r="G37" s="64">
        <f t="shared" si="134"/>
        <v>96.039603960396036</v>
      </c>
      <c r="H37" s="94">
        <f t="shared" si="122"/>
        <v>277.31435643564356</v>
      </c>
      <c r="I37" s="69">
        <f t="shared" si="123"/>
        <v>259.06683168316829</v>
      </c>
      <c r="J37" s="70">
        <f t="shared" si="124"/>
        <v>240.81930693069307</v>
      </c>
      <c r="K37" s="70">
        <f t="shared" si="87"/>
        <v>222.5717821782178</v>
      </c>
      <c r="L37" s="70">
        <f t="shared" si="88"/>
        <v>204.32425742574259</v>
      </c>
      <c r="M37" s="219">
        <f t="shared" si="89"/>
        <v>198.82599009900989</v>
      </c>
      <c r="N37" s="69">
        <f t="shared" si="125"/>
        <v>197.57747524752475</v>
      </c>
      <c r="O37" s="70">
        <f t="shared" si="126"/>
        <v>196.32896039603961</v>
      </c>
      <c r="P37" s="70">
        <f t="shared" si="127"/>
        <v>195.08044554455446</v>
      </c>
      <c r="Q37" s="70">
        <f t="shared" si="128"/>
        <v>193.83193069306932</v>
      </c>
      <c r="R37" s="70">
        <f t="shared" si="90"/>
        <v>180.49150035082249</v>
      </c>
      <c r="S37" s="70">
        <f t="shared" si="91"/>
        <v>102.75187505340638</v>
      </c>
      <c r="T37" s="71">
        <f t="shared" si="129"/>
        <v>79.158562801129648</v>
      </c>
      <c r="U37" s="71">
        <f t="shared" si="130"/>
        <v>69.494050573787533</v>
      </c>
      <c r="V37" s="71">
        <f t="shared" si="131"/>
        <v>59.115563188577781</v>
      </c>
      <c r="W37" s="188">
        <f t="shared" si="132"/>
        <v>199.76237623762376</v>
      </c>
      <c r="X37" s="16">
        <f t="shared" si="133"/>
        <v>193.51980198019803</v>
      </c>
      <c r="Y37" s="16">
        <f t="shared" si="133"/>
        <v>106.6644577843611</v>
      </c>
      <c r="Z37" s="16">
        <f t="shared" si="133"/>
        <v>80.580572911329583</v>
      </c>
      <c r="AA37" s="61">
        <f t="shared" si="133"/>
        <v>71.100505509996665</v>
      </c>
      <c r="AB37" s="61">
        <f t="shared" si="133"/>
        <v>60.390805935269142</v>
      </c>
      <c r="AC37" s="189">
        <f t="shared" si="133"/>
        <v>51.889187623993401</v>
      </c>
      <c r="AD37" s="182">
        <f t="shared" si="94"/>
        <v>259.06683168316829</v>
      </c>
      <c r="AE37" s="182">
        <f t="shared" si="95"/>
        <v>240.81930693069307</v>
      </c>
      <c r="AF37" s="182">
        <f t="shared" si="96"/>
        <v>222.5717821782178</v>
      </c>
      <c r="AG37" s="182">
        <f t="shared" si="97"/>
        <v>204.32425742574259</v>
      </c>
      <c r="AH37" s="182">
        <f t="shared" si="98"/>
        <v>198.82599009900989</v>
      </c>
      <c r="AI37" s="182">
        <f t="shared" si="99"/>
        <v>197.57747524752475</v>
      </c>
      <c r="AJ37" s="182">
        <f t="shared" si="100"/>
        <v>196.32896039603961</v>
      </c>
      <c r="AK37" s="182">
        <f t="shared" si="101"/>
        <v>195.08044554455446</v>
      </c>
      <c r="AL37" s="182">
        <f t="shared" si="102"/>
        <v>193.83193069306932</v>
      </c>
      <c r="AM37" s="182">
        <f t="shared" si="103"/>
        <v>180.49150035082249</v>
      </c>
      <c r="AN37" s="182">
        <f t="shared" si="104"/>
        <v>102.75187505340638</v>
      </c>
      <c r="AO37" s="182">
        <f t="shared" si="105"/>
        <v>79.158562801129648</v>
      </c>
      <c r="AP37" s="182">
        <f t="shared" si="106"/>
        <v>69.494050573787533</v>
      </c>
      <c r="AQ37" s="101">
        <f t="shared" si="107"/>
        <v>59.115563188577781</v>
      </c>
      <c r="AR37" s="214">
        <f t="shared" si="108"/>
        <v>259.06683168316829</v>
      </c>
      <c r="AS37" s="102">
        <f t="shared" si="109"/>
        <v>240.81930693069307</v>
      </c>
      <c r="AT37" s="102">
        <f t="shared" si="110"/>
        <v>222.5717821782178</v>
      </c>
      <c r="AU37" s="102">
        <f t="shared" si="111"/>
        <v>204.32425742574259</v>
      </c>
      <c r="AV37" s="102">
        <f t="shared" si="112"/>
        <v>198.82599009900989</v>
      </c>
      <c r="AW37" s="102">
        <f t="shared" si="113"/>
        <v>197.57747524752475</v>
      </c>
      <c r="AX37" s="102">
        <f t="shared" si="114"/>
        <v>196.32896039603961</v>
      </c>
      <c r="AY37" s="102">
        <f t="shared" si="115"/>
        <v>195.08044554455446</v>
      </c>
      <c r="AZ37" s="102">
        <f t="shared" si="116"/>
        <v>193.83193069306932</v>
      </c>
      <c r="BA37" s="102">
        <f t="shared" si="117"/>
        <v>180.49150035082249</v>
      </c>
      <c r="BB37" s="102">
        <f t="shared" si="118"/>
        <v>102.75187505340638</v>
      </c>
      <c r="BC37" s="102">
        <f t="shared" si="119"/>
        <v>79.158562801129648</v>
      </c>
      <c r="BD37" s="102">
        <f t="shared" si="120"/>
        <v>69.494050573787533</v>
      </c>
      <c r="BE37" s="215">
        <f t="shared" si="121"/>
        <v>59.115563188577781</v>
      </c>
    </row>
    <row r="38" spans="1:57" ht="15.75" customHeight="1" x14ac:dyDescent="0.15">
      <c r="A38" s="1"/>
      <c r="B38" s="235"/>
      <c r="C38" s="196" t="s">
        <v>194</v>
      </c>
      <c r="D38" s="13">
        <v>305</v>
      </c>
      <c r="E38" s="14">
        <v>272</v>
      </c>
      <c r="F38" s="15">
        <f t="shared" si="135"/>
        <v>274</v>
      </c>
      <c r="G38" s="64">
        <f t="shared" si="134"/>
        <v>99.270072992700733</v>
      </c>
      <c r="H38" s="94">
        <f t="shared" si="122"/>
        <v>274.53138686131388</v>
      </c>
      <c r="I38" s="69">
        <f t="shared" si="123"/>
        <v>277.90656934306571</v>
      </c>
      <c r="J38" s="70">
        <f t="shared" si="124"/>
        <v>281.28175182481749</v>
      </c>
      <c r="K38" s="70">
        <f t="shared" si="87"/>
        <v>284.65693430656933</v>
      </c>
      <c r="L38" s="70">
        <f t="shared" si="88"/>
        <v>288.03211678832116</v>
      </c>
      <c r="M38" s="219">
        <f t="shared" si="89"/>
        <v>275.29016405290162</v>
      </c>
      <c r="N38" s="69">
        <f t="shared" si="125"/>
        <v>257.17583291175833</v>
      </c>
      <c r="O38" s="70">
        <f t="shared" si="126"/>
        <v>239.061501770615</v>
      </c>
      <c r="P38" s="70">
        <f t="shared" si="127"/>
        <v>220.94717062947171</v>
      </c>
      <c r="Q38" s="70">
        <f t="shared" si="128"/>
        <v>202.8328394883284</v>
      </c>
      <c r="R38" s="70">
        <f t="shared" si="90"/>
        <v>197.37470549974705</v>
      </c>
      <c r="S38" s="70">
        <f t="shared" si="91"/>
        <v>179.17404414388218</v>
      </c>
      <c r="T38" s="71">
        <f t="shared" si="129"/>
        <v>102.00186136688517</v>
      </c>
      <c r="U38" s="71">
        <f t="shared" si="130"/>
        <v>78.58076307265425</v>
      </c>
      <c r="V38" s="71">
        <f t="shared" si="131"/>
        <v>68.986794730183249</v>
      </c>
      <c r="W38" s="188">
        <f t="shared" si="132"/>
        <v>288.87591240875912</v>
      </c>
      <c r="X38" s="16">
        <f t="shared" si="133"/>
        <v>198.30425670304257</v>
      </c>
      <c r="Y38" s="16">
        <f t="shared" si="133"/>
        <v>192.10724868107249</v>
      </c>
      <c r="Z38" s="16">
        <f t="shared" si="133"/>
        <v>105.88588509980373</v>
      </c>
      <c r="AA38" s="61">
        <f t="shared" si="133"/>
        <v>79.992393547013307</v>
      </c>
      <c r="AB38" s="61">
        <f t="shared" si="133"/>
        <v>70.581523717952891</v>
      </c>
      <c r="AC38" s="189">
        <f t="shared" si="133"/>
        <v>59.949997132821927</v>
      </c>
      <c r="AD38" s="182">
        <f t="shared" si="94"/>
        <v>277.90656934306571</v>
      </c>
      <c r="AE38" s="182">
        <f t="shared" si="95"/>
        <v>281.28175182481749</v>
      </c>
      <c r="AF38" s="182">
        <f t="shared" si="96"/>
        <v>284.65693430656933</v>
      </c>
      <c r="AG38" s="182">
        <f t="shared" si="97"/>
        <v>288.03211678832116</v>
      </c>
      <c r="AH38" s="182">
        <f t="shared" si="98"/>
        <v>275.29016405290162</v>
      </c>
      <c r="AI38" s="182">
        <f t="shared" si="99"/>
        <v>257.17583291175833</v>
      </c>
      <c r="AJ38" s="182">
        <f t="shared" si="100"/>
        <v>239.061501770615</v>
      </c>
      <c r="AK38" s="182">
        <f t="shared" si="101"/>
        <v>220.94717062947171</v>
      </c>
      <c r="AL38" s="182">
        <f t="shared" si="102"/>
        <v>202.8328394883284</v>
      </c>
      <c r="AM38" s="182">
        <f t="shared" si="103"/>
        <v>197.37470549974705</v>
      </c>
      <c r="AN38" s="182">
        <f t="shared" si="104"/>
        <v>179.17404414388218</v>
      </c>
      <c r="AO38" s="182">
        <f t="shared" si="105"/>
        <v>102.00186136688517</v>
      </c>
      <c r="AP38" s="182">
        <f t="shared" si="106"/>
        <v>78.58076307265425</v>
      </c>
      <c r="AQ38" s="101">
        <f t="shared" si="107"/>
        <v>68.986794730183249</v>
      </c>
      <c r="AR38" s="214">
        <f t="shared" si="108"/>
        <v>277.90656934306571</v>
      </c>
      <c r="AS38" s="102">
        <f t="shared" si="109"/>
        <v>281.28175182481749</v>
      </c>
      <c r="AT38" s="102">
        <f t="shared" si="110"/>
        <v>284.65693430656933</v>
      </c>
      <c r="AU38" s="102">
        <f t="shared" si="111"/>
        <v>288.03211678832116</v>
      </c>
      <c r="AV38" s="102">
        <f t="shared" si="112"/>
        <v>275.29016405290162</v>
      </c>
      <c r="AW38" s="102">
        <f t="shared" si="113"/>
        <v>257.17583291175833</v>
      </c>
      <c r="AX38" s="102">
        <f t="shared" si="114"/>
        <v>239.061501770615</v>
      </c>
      <c r="AY38" s="102">
        <f t="shared" si="115"/>
        <v>220.94717062947171</v>
      </c>
      <c r="AZ38" s="102">
        <f t="shared" si="116"/>
        <v>202.8328394883284</v>
      </c>
      <c r="BA38" s="102">
        <f t="shared" si="117"/>
        <v>197.37470549974705</v>
      </c>
      <c r="BB38" s="102">
        <f t="shared" si="118"/>
        <v>179.17404414388218</v>
      </c>
      <c r="BC38" s="102">
        <f t="shared" si="119"/>
        <v>102.00186136688517</v>
      </c>
      <c r="BD38" s="102">
        <f t="shared" si="120"/>
        <v>78.58076307265425</v>
      </c>
      <c r="BE38" s="215">
        <f t="shared" si="121"/>
        <v>68.986794730183249</v>
      </c>
    </row>
    <row r="39" spans="1:57" ht="15.75" customHeight="1" x14ac:dyDescent="0.15">
      <c r="A39" s="1"/>
      <c r="B39" s="235"/>
      <c r="C39" s="196" t="s">
        <v>195</v>
      </c>
      <c r="D39" s="13">
        <v>364</v>
      </c>
      <c r="E39" s="14">
        <v>307</v>
      </c>
      <c r="F39" s="15">
        <f t="shared" si="135"/>
        <v>305</v>
      </c>
      <c r="G39" s="64">
        <f t="shared" si="134"/>
        <v>100.65573770491802</v>
      </c>
      <c r="H39" s="94">
        <f t="shared" si="122"/>
        <v>302.01754098360658</v>
      </c>
      <c r="I39" s="69">
        <f t="shared" si="123"/>
        <v>295.37426229508196</v>
      </c>
      <c r="J39" s="70">
        <f t="shared" si="124"/>
        <v>288.73098360655734</v>
      </c>
      <c r="K39" s="70">
        <f t="shared" si="87"/>
        <v>282.08770491803278</v>
      </c>
      <c r="L39" s="70">
        <f t="shared" si="88"/>
        <v>275.44442622950817</v>
      </c>
      <c r="M39" s="219">
        <f t="shared" si="89"/>
        <v>276.33159267679787</v>
      </c>
      <c r="N39" s="69">
        <f t="shared" si="125"/>
        <v>279.72890750269232</v>
      </c>
      <c r="O39" s="70">
        <f t="shared" si="126"/>
        <v>283.12622232858678</v>
      </c>
      <c r="P39" s="70">
        <f t="shared" si="127"/>
        <v>286.52353715448123</v>
      </c>
      <c r="Q39" s="70">
        <f t="shared" si="128"/>
        <v>289.92085198037569</v>
      </c>
      <c r="R39" s="70">
        <f t="shared" si="90"/>
        <v>277.09534545652718</v>
      </c>
      <c r="S39" s="70">
        <f t="shared" si="91"/>
        <v>198.66896586367983</v>
      </c>
      <c r="T39" s="71">
        <f t="shared" si="129"/>
        <v>180.34895590876008</v>
      </c>
      <c r="U39" s="71">
        <f t="shared" si="130"/>
        <v>102.67072603158604</v>
      </c>
      <c r="V39" s="71">
        <f t="shared" si="131"/>
        <v>79.096046764933945</v>
      </c>
      <c r="W39" s="188">
        <f t="shared" si="132"/>
        <v>273.78360655737703</v>
      </c>
      <c r="X39" s="16">
        <f t="shared" si="133"/>
        <v>290.7701806868493</v>
      </c>
      <c r="Y39" s="16">
        <f t="shared" si="133"/>
        <v>199.60461248470187</v>
      </c>
      <c r="Z39" s="16">
        <f t="shared" si="133"/>
        <v>193.36696834455492</v>
      </c>
      <c r="AA39" s="61">
        <f t="shared" si="133"/>
        <v>106.58021877258932</v>
      </c>
      <c r="AB39" s="61">
        <f t="shared" si="133"/>
        <v>80.516933832567489</v>
      </c>
      <c r="AC39" s="189">
        <f t="shared" si="133"/>
        <v>71.044353381677169</v>
      </c>
      <c r="AD39" s="182">
        <f t="shared" si="94"/>
        <v>295.37426229508196</v>
      </c>
      <c r="AE39" s="182">
        <f t="shared" si="95"/>
        <v>288.73098360655734</v>
      </c>
      <c r="AF39" s="182">
        <f t="shared" si="96"/>
        <v>282.08770491803278</v>
      </c>
      <c r="AG39" s="182">
        <f t="shared" si="97"/>
        <v>275.44442622950817</v>
      </c>
      <c r="AH39" s="182">
        <f t="shared" si="98"/>
        <v>276.33159267679787</v>
      </c>
      <c r="AI39" s="182">
        <f t="shared" si="99"/>
        <v>279.72890750269232</v>
      </c>
      <c r="AJ39" s="182">
        <f t="shared" si="100"/>
        <v>283.12622232858678</v>
      </c>
      <c r="AK39" s="182">
        <f t="shared" si="101"/>
        <v>286.52353715448123</v>
      </c>
      <c r="AL39" s="182">
        <f t="shared" si="102"/>
        <v>289.92085198037569</v>
      </c>
      <c r="AM39" s="182">
        <f t="shared" si="103"/>
        <v>277.09534545652718</v>
      </c>
      <c r="AN39" s="182">
        <f t="shared" si="104"/>
        <v>198.66896586367983</v>
      </c>
      <c r="AO39" s="182">
        <f t="shared" si="105"/>
        <v>180.34895590876008</v>
      </c>
      <c r="AP39" s="182">
        <f t="shared" si="106"/>
        <v>102.67072603158604</v>
      </c>
      <c r="AQ39" s="101">
        <f t="shared" si="107"/>
        <v>79.096046764933945</v>
      </c>
      <c r="AR39" s="214">
        <f t="shared" si="108"/>
        <v>295.37426229508196</v>
      </c>
      <c r="AS39" s="102">
        <f t="shared" si="109"/>
        <v>288.73098360655734</v>
      </c>
      <c r="AT39" s="102">
        <f t="shared" si="110"/>
        <v>282.08770491803278</v>
      </c>
      <c r="AU39" s="102">
        <f t="shared" si="111"/>
        <v>275.44442622950817</v>
      </c>
      <c r="AV39" s="102">
        <f t="shared" si="112"/>
        <v>276.33159267679787</v>
      </c>
      <c r="AW39" s="102">
        <f t="shared" si="113"/>
        <v>279.72890750269232</v>
      </c>
      <c r="AX39" s="102">
        <f t="shared" si="114"/>
        <v>283.12622232858678</v>
      </c>
      <c r="AY39" s="102">
        <f t="shared" si="115"/>
        <v>286.52353715448123</v>
      </c>
      <c r="AZ39" s="102">
        <f t="shared" si="116"/>
        <v>289.92085198037569</v>
      </c>
      <c r="BA39" s="102">
        <f t="shared" si="117"/>
        <v>277.09534545652718</v>
      </c>
      <c r="BB39" s="102">
        <f t="shared" si="118"/>
        <v>198.66896586367983</v>
      </c>
      <c r="BC39" s="102">
        <f t="shared" si="119"/>
        <v>180.34895590876008</v>
      </c>
      <c r="BD39" s="102">
        <f t="shared" si="120"/>
        <v>102.67072603158604</v>
      </c>
      <c r="BE39" s="215">
        <f t="shared" si="121"/>
        <v>79.096046764933945</v>
      </c>
    </row>
    <row r="40" spans="1:57" ht="15.75" customHeight="1" x14ac:dyDescent="0.15">
      <c r="A40" s="1"/>
      <c r="B40" s="235"/>
      <c r="C40" s="196" t="s">
        <v>196</v>
      </c>
      <c r="D40" s="13">
        <v>437</v>
      </c>
      <c r="E40" s="14">
        <v>361</v>
      </c>
      <c r="F40" s="15">
        <f t="shared" si="135"/>
        <v>364</v>
      </c>
      <c r="G40" s="64">
        <f t="shared" si="134"/>
        <v>99.175824175824175</v>
      </c>
      <c r="H40" s="94">
        <f t="shared" si="122"/>
        <v>352.52046703296702</v>
      </c>
      <c r="I40" s="69">
        <f t="shared" si="123"/>
        <v>341.21442307692308</v>
      </c>
      <c r="J40" s="70">
        <f t="shared" si="124"/>
        <v>329.90837912087909</v>
      </c>
      <c r="K40" s="70">
        <f t="shared" si="87"/>
        <v>318.60233516483515</v>
      </c>
      <c r="L40" s="70">
        <f t="shared" si="88"/>
        <v>307.29629120879122</v>
      </c>
      <c r="M40" s="219">
        <f t="shared" si="89"/>
        <v>299.52838542604934</v>
      </c>
      <c r="N40" s="69">
        <f t="shared" si="125"/>
        <v>292.93985903440819</v>
      </c>
      <c r="O40" s="70">
        <f t="shared" si="126"/>
        <v>286.35133264276703</v>
      </c>
      <c r="P40" s="70">
        <f t="shared" si="127"/>
        <v>279.76280625112594</v>
      </c>
      <c r="Q40" s="70">
        <f t="shared" si="128"/>
        <v>273.17427985948478</v>
      </c>
      <c r="R40" s="70">
        <f t="shared" si="90"/>
        <v>274.05413449539572</v>
      </c>
      <c r="S40" s="70">
        <f t="shared" si="91"/>
        <v>274.811592609358</v>
      </c>
      <c r="T40" s="71">
        <f t="shared" si="129"/>
        <v>197.03158427689124</v>
      </c>
      <c r="U40" s="71">
        <f t="shared" si="130"/>
        <v>178.86256341500655</v>
      </c>
      <c r="V40" s="71">
        <f t="shared" si="131"/>
        <v>101.82453872912792</v>
      </c>
      <c r="W40" s="188">
        <f t="shared" si="132"/>
        <v>304.4697802197802</v>
      </c>
      <c r="X40" s="16">
        <f t="shared" si="133"/>
        <v>271.5271482615745</v>
      </c>
      <c r="Y40" s="16">
        <f t="shared" si="133"/>
        <v>288.3737231537159</v>
      </c>
      <c r="Z40" s="16">
        <f t="shared" si="133"/>
        <v>197.95951952466311</v>
      </c>
      <c r="AA40" s="61">
        <f t="shared" si="133"/>
        <v>191.77328453951736</v>
      </c>
      <c r="AB40" s="61">
        <f t="shared" si="133"/>
        <v>105.70181037611194</v>
      </c>
      <c r="AC40" s="189">
        <f t="shared" si="133"/>
        <v>79.853332729551823</v>
      </c>
      <c r="AD40" s="182">
        <f t="shared" si="94"/>
        <v>341.21442307692308</v>
      </c>
      <c r="AE40" s="182">
        <f t="shared" si="95"/>
        <v>329.90837912087909</v>
      </c>
      <c r="AF40" s="182">
        <f t="shared" si="96"/>
        <v>318.60233516483515</v>
      </c>
      <c r="AG40" s="182">
        <f t="shared" si="97"/>
        <v>307.29629120879122</v>
      </c>
      <c r="AH40" s="182">
        <f t="shared" si="98"/>
        <v>299.52838542604934</v>
      </c>
      <c r="AI40" s="182">
        <f t="shared" si="99"/>
        <v>292.93985903440819</v>
      </c>
      <c r="AJ40" s="182">
        <f t="shared" si="100"/>
        <v>286.35133264276703</v>
      </c>
      <c r="AK40" s="182">
        <f t="shared" si="101"/>
        <v>279.76280625112594</v>
      </c>
      <c r="AL40" s="182">
        <f t="shared" si="102"/>
        <v>273.17427985948478</v>
      </c>
      <c r="AM40" s="182">
        <f t="shared" si="103"/>
        <v>274.05413449539572</v>
      </c>
      <c r="AN40" s="182">
        <f t="shared" si="104"/>
        <v>274.811592609358</v>
      </c>
      <c r="AO40" s="182">
        <f t="shared" si="105"/>
        <v>197.03158427689124</v>
      </c>
      <c r="AP40" s="182">
        <f t="shared" si="106"/>
        <v>178.86256341500655</v>
      </c>
      <c r="AQ40" s="101">
        <f t="shared" si="107"/>
        <v>101.82453872912792</v>
      </c>
      <c r="AR40" s="214">
        <f t="shared" si="108"/>
        <v>341.21442307692308</v>
      </c>
      <c r="AS40" s="102">
        <f t="shared" si="109"/>
        <v>329.90837912087909</v>
      </c>
      <c r="AT40" s="102">
        <f t="shared" si="110"/>
        <v>318.60233516483515</v>
      </c>
      <c r="AU40" s="102">
        <f t="shared" si="111"/>
        <v>307.29629120879122</v>
      </c>
      <c r="AV40" s="102">
        <f t="shared" si="112"/>
        <v>299.52838542604934</v>
      </c>
      <c r="AW40" s="102">
        <f t="shared" si="113"/>
        <v>292.93985903440819</v>
      </c>
      <c r="AX40" s="102">
        <f t="shared" si="114"/>
        <v>286.35133264276703</v>
      </c>
      <c r="AY40" s="102">
        <f t="shared" si="115"/>
        <v>279.76280625112594</v>
      </c>
      <c r="AZ40" s="102">
        <f t="shared" si="116"/>
        <v>273.17427985948478</v>
      </c>
      <c r="BA40" s="102">
        <f t="shared" si="117"/>
        <v>274.05413449539572</v>
      </c>
      <c r="BB40" s="102">
        <f t="shared" si="118"/>
        <v>274.811592609358</v>
      </c>
      <c r="BC40" s="102">
        <f t="shared" si="119"/>
        <v>197.03158427689124</v>
      </c>
      <c r="BD40" s="102">
        <f t="shared" si="120"/>
        <v>178.86256341500655</v>
      </c>
      <c r="BE40" s="215">
        <f t="shared" si="121"/>
        <v>101.82453872912792</v>
      </c>
    </row>
    <row r="41" spans="1:57" ht="15.75" customHeight="1" x14ac:dyDescent="0.15">
      <c r="A41" s="1"/>
      <c r="B41" s="235"/>
      <c r="C41" s="196" t="s">
        <v>197</v>
      </c>
      <c r="D41" s="13">
        <v>428</v>
      </c>
      <c r="E41" s="14">
        <v>436</v>
      </c>
      <c r="F41" s="15">
        <f t="shared" si="135"/>
        <v>437</v>
      </c>
      <c r="G41" s="64">
        <f t="shared" si="134"/>
        <v>99.77116704805492</v>
      </c>
      <c r="H41" s="94">
        <f t="shared" si="122"/>
        <v>424.62608695652176</v>
      </c>
      <c r="I41" s="69">
        <f t="shared" si="123"/>
        <v>409.46086956521737</v>
      </c>
      <c r="J41" s="70">
        <f t="shared" si="124"/>
        <v>394.29565217391303</v>
      </c>
      <c r="K41" s="70">
        <f t="shared" si="87"/>
        <v>379.13043478260869</v>
      </c>
      <c r="L41" s="70">
        <f t="shared" si="88"/>
        <v>363.96521739130435</v>
      </c>
      <c r="M41" s="219">
        <f t="shared" si="89"/>
        <v>351.71378404204489</v>
      </c>
      <c r="N41" s="69">
        <f t="shared" si="125"/>
        <v>340.43361204013377</v>
      </c>
      <c r="O41" s="70">
        <f t="shared" si="126"/>
        <v>329.15344003822264</v>
      </c>
      <c r="P41" s="70">
        <f t="shared" si="127"/>
        <v>317.87326803631152</v>
      </c>
      <c r="Q41" s="70">
        <f t="shared" si="128"/>
        <v>306.59309603440033</v>
      </c>
      <c r="R41" s="70">
        <f t="shared" si="90"/>
        <v>298.84296577976545</v>
      </c>
      <c r="S41" s="70">
        <f t="shared" si="91"/>
        <v>273.42700832950237</v>
      </c>
      <c r="T41" s="71">
        <f t="shared" si="129"/>
        <v>274.18273312970274</v>
      </c>
      <c r="U41" s="71">
        <f t="shared" si="130"/>
        <v>196.58071108632629</v>
      </c>
      <c r="V41" s="71">
        <f t="shared" si="131"/>
        <v>178.45326693121933</v>
      </c>
      <c r="W41" s="188">
        <f t="shared" si="132"/>
        <v>360.17391304347825</v>
      </c>
      <c r="X41" s="16">
        <f t="shared" si="133"/>
        <v>303.77305303392257</v>
      </c>
      <c r="Y41" s="16">
        <f t="shared" si="133"/>
        <v>270.90580467287526</v>
      </c>
      <c r="Z41" s="16">
        <f t="shared" si="133"/>
        <v>287.71382905038934</v>
      </c>
      <c r="AA41" s="61">
        <f t="shared" si="133"/>
        <v>197.50652291247854</v>
      </c>
      <c r="AB41" s="61">
        <f t="shared" si="133"/>
        <v>191.33444407146354</v>
      </c>
      <c r="AC41" s="189">
        <f t="shared" si="133"/>
        <v>105.45992980316889</v>
      </c>
      <c r="AD41" s="182">
        <f t="shared" si="94"/>
        <v>409.46086956521737</v>
      </c>
      <c r="AE41" s="182">
        <f t="shared" si="95"/>
        <v>394.29565217391303</v>
      </c>
      <c r="AF41" s="182">
        <f t="shared" si="96"/>
        <v>379.13043478260869</v>
      </c>
      <c r="AG41" s="182">
        <f t="shared" si="97"/>
        <v>363.96521739130435</v>
      </c>
      <c r="AH41" s="182">
        <f t="shared" si="98"/>
        <v>351.71378404204489</v>
      </c>
      <c r="AI41" s="182">
        <f t="shared" si="99"/>
        <v>340.43361204013377</v>
      </c>
      <c r="AJ41" s="182">
        <f t="shared" si="100"/>
        <v>329.15344003822264</v>
      </c>
      <c r="AK41" s="182">
        <f t="shared" si="101"/>
        <v>317.87326803631152</v>
      </c>
      <c r="AL41" s="182">
        <f t="shared" si="102"/>
        <v>306.59309603440033</v>
      </c>
      <c r="AM41" s="182">
        <f t="shared" si="103"/>
        <v>298.84296577976545</v>
      </c>
      <c r="AN41" s="182">
        <f t="shared" si="104"/>
        <v>273.42700832950237</v>
      </c>
      <c r="AO41" s="182">
        <f t="shared" si="105"/>
        <v>274.18273312970274</v>
      </c>
      <c r="AP41" s="182">
        <f t="shared" si="106"/>
        <v>196.58071108632629</v>
      </c>
      <c r="AQ41" s="101">
        <f t="shared" si="107"/>
        <v>178.45326693121933</v>
      </c>
      <c r="AR41" s="214">
        <f t="shared" si="108"/>
        <v>409.46086956521737</v>
      </c>
      <c r="AS41" s="102">
        <f t="shared" si="109"/>
        <v>394.29565217391303</v>
      </c>
      <c r="AT41" s="102">
        <f t="shared" si="110"/>
        <v>379.13043478260869</v>
      </c>
      <c r="AU41" s="102">
        <f t="shared" si="111"/>
        <v>363.96521739130435</v>
      </c>
      <c r="AV41" s="102">
        <f t="shared" si="112"/>
        <v>351.71378404204489</v>
      </c>
      <c r="AW41" s="102">
        <f t="shared" si="113"/>
        <v>340.43361204013377</v>
      </c>
      <c r="AX41" s="102">
        <f t="shared" si="114"/>
        <v>329.15344003822264</v>
      </c>
      <c r="AY41" s="102">
        <f t="shared" si="115"/>
        <v>317.87326803631152</v>
      </c>
      <c r="AZ41" s="102">
        <f t="shared" si="116"/>
        <v>306.59309603440033</v>
      </c>
      <c r="BA41" s="102">
        <f t="shared" si="117"/>
        <v>298.84296577976545</v>
      </c>
      <c r="BB41" s="102">
        <f t="shared" si="118"/>
        <v>273.42700832950237</v>
      </c>
      <c r="BC41" s="102">
        <f t="shared" si="119"/>
        <v>274.18273312970274</v>
      </c>
      <c r="BD41" s="102">
        <f t="shared" si="120"/>
        <v>196.58071108632629</v>
      </c>
      <c r="BE41" s="215">
        <f t="shared" si="121"/>
        <v>178.45326693121933</v>
      </c>
    </row>
    <row r="42" spans="1:57" ht="15.75" customHeight="1" x14ac:dyDescent="0.15">
      <c r="A42" s="1"/>
      <c r="B42" s="235"/>
      <c r="C42" s="196" t="s">
        <v>198</v>
      </c>
      <c r="D42" s="13">
        <v>319</v>
      </c>
      <c r="E42" s="14">
        <v>419</v>
      </c>
      <c r="F42" s="15">
        <f t="shared" si="135"/>
        <v>428</v>
      </c>
      <c r="G42" s="64">
        <f t="shared" si="134"/>
        <v>97.89719626168224</v>
      </c>
      <c r="H42" s="94">
        <f t="shared" si="122"/>
        <v>420.17476635514021</v>
      </c>
      <c r="I42" s="69">
        <f t="shared" si="123"/>
        <v>421.74112149532709</v>
      </c>
      <c r="J42" s="70">
        <f t="shared" si="124"/>
        <v>423.30747663551404</v>
      </c>
      <c r="K42" s="70">
        <f t="shared" si="87"/>
        <v>424.87383177570098</v>
      </c>
      <c r="L42" s="70">
        <f t="shared" si="88"/>
        <v>426.44018691588786</v>
      </c>
      <c r="M42" s="219">
        <f t="shared" si="89"/>
        <v>415.69703372612759</v>
      </c>
      <c r="N42" s="69">
        <f t="shared" si="125"/>
        <v>400.85071109305159</v>
      </c>
      <c r="O42" s="70">
        <f t="shared" si="126"/>
        <v>386.00438845997559</v>
      </c>
      <c r="P42" s="70">
        <f t="shared" si="127"/>
        <v>371.15806582689959</v>
      </c>
      <c r="Q42" s="70">
        <f t="shared" si="128"/>
        <v>356.31174319382359</v>
      </c>
      <c r="R42" s="70">
        <f t="shared" si="90"/>
        <v>344.31793344302991</v>
      </c>
      <c r="S42" s="70">
        <f t="shared" si="91"/>
        <v>292.55888472364887</v>
      </c>
      <c r="T42" s="71">
        <f t="shared" si="129"/>
        <v>267.67737497677916</v>
      </c>
      <c r="U42" s="71">
        <f t="shared" si="130"/>
        <v>268.41720836762948</v>
      </c>
      <c r="V42" s="71">
        <f t="shared" si="131"/>
        <v>192.44700454479138</v>
      </c>
      <c r="W42" s="188">
        <f t="shared" si="132"/>
        <v>426.8317757009346</v>
      </c>
      <c r="X42" s="16">
        <f t="shared" si="133"/>
        <v>352.6001625355546</v>
      </c>
      <c r="Y42" s="16">
        <f t="shared" si="133"/>
        <v>297.38530191872326</v>
      </c>
      <c r="Z42" s="16">
        <f t="shared" si="133"/>
        <v>265.2091872848942</v>
      </c>
      <c r="AA42" s="61">
        <f t="shared" si="133"/>
        <v>281.66377189746055</v>
      </c>
      <c r="AB42" s="61">
        <f t="shared" si="133"/>
        <v>193.35334836525351</v>
      </c>
      <c r="AC42" s="189">
        <f t="shared" si="133"/>
        <v>187.31105622883931</v>
      </c>
      <c r="AD42" s="183">
        <f>I42*(1+$I$50)</f>
        <v>420.97755881307847</v>
      </c>
      <c r="AE42" s="183">
        <f t="shared" ref="AE42:AQ43" si="136">J42*(1+$I$50)</f>
        <v>422.54107806586615</v>
      </c>
      <c r="AF42" s="183">
        <f t="shared" si="136"/>
        <v>424.10459731865382</v>
      </c>
      <c r="AG42" s="183">
        <f t="shared" si="136"/>
        <v>425.66811657144149</v>
      </c>
      <c r="AH42" s="183">
        <f t="shared" si="136"/>
        <v>414.94441387025648</v>
      </c>
      <c r="AI42" s="183">
        <f t="shared" si="136"/>
        <v>400.12497051774733</v>
      </c>
      <c r="AJ42" s="183">
        <f t="shared" si="136"/>
        <v>385.30552716523812</v>
      </c>
      <c r="AK42" s="183">
        <f t="shared" si="136"/>
        <v>370.48608381272896</v>
      </c>
      <c r="AL42" s="183">
        <f t="shared" si="136"/>
        <v>355.66664046021981</v>
      </c>
      <c r="AM42" s="183">
        <f t="shared" si="136"/>
        <v>343.69454551283735</v>
      </c>
      <c r="AN42" s="183">
        <f t="shared" si="136"/>
        <v>292.02920659801765</v>
      </c>
      <c r="AO42" s="183">
        <f t="shared" si="136"/>
        <v>267.19274484706864</v>
      </c>
      <c r="AP42" s="183">
        <f t="shared" si="136"/>
        <v>267.93123876889507</v>
      </c>
      <c r="AQ42" s="75">
        <f t="shared" si="136"/>
        <v>192.09857906885028</v>
      </c>
      <c r="AR42" s="216">
        <f>I42*(1+$M$50)</f>
        <v>420.97755881307847</v>
      </c>
      <c r="AS42" s="77">
        <f t="shared" ref="AS42:BE43" si="137">J42*(1+$M$50)</f>
        <v>422.54107806586615</v>
      </c>
      <c r="AT42" s="77">
        <f t="shared" si="137"/>
        <v>424.10459731865382</v>
      </c>
      <c r="AU42" s="77">
        <f t="shared" si="137"/>
        <v>425.66811657144149</v>
      </c>
      <c r="AV42" s="77">
        <f t="shared" si="137"/>
        <v>414.94441387025648</v>
      </c>
      <c r="AW42" s="77">
        <f t="shared" si="137"/>
        <v>400.12497051774733</v>
      </c>
      <c r="AX42" s="77">
        <f t="shared" si="137"/>
        <v>385.30552716523812</v>
      </c>
      <c r="AY42" s="77">
        <f t="shared" si="137"/>
        <v>370.48608381272896</v>
      </c>
      <c r="AZ42" s="77">
        <f t="shared" si="137"/>
        <v>355.66664046021981</v>
      </c>
      <c r="BA42" s="77">
        <f t="shared" si="137"/>
        <v>343.69454551283735</v>
      </c>
      <c r="BB42" s="77">
        <f t="shared" si="137"/>
        <v>292.02920659801765</v>
      </c>
      <c r="BC42" s="77">
        <f t="shared" si="137"/>
        <v>267.19274484706864</v>
      </c>
      <c r="BD42" s="77">
        <f t="shared" si="137"/>
        <v>267.93123876889507</v>
      </c>
      <c r="BE42" s="217">
        <f t="shared" si="137"/>
        <v>192.09857906885028</v>
      </c>
    </row>
    <row r="43" spans="1:57" ht="15.75" customHeight="1" x14ac:dyDescent="0.15">
      <c r="A43" s="1"/>
      <c r="B43" s="235"/>
      <c r="C43" s="196" t="s">
        <v>199</v>
      </c>
      <c r="D43" s="13">
        <v>315</v>
      </c>
      <c r="E43" s="14">
        <v>312</v>
      </c>
      <c r="F43" s="15">
        <f t="shared" si="135"/>
        <v>319</v>
      </c>
      <c r="G43" s="64">
        <f t="shared" si="134"/>
        <v>97.805642633228842</v>
      </c>
      <c r="H43" s="94">
        <f t="shared" si="122"/>
        <v>326.67084639498432</v>
      </c>
      <c r="I43" s="69">
        <f t="shared" si="123"/>
        <v>346.23197492163007</v>
      </c>
      <c r="J43" s="70">
        <f t="shared" si="124"/>
        <v>365.79310344827587</v>
      </c>
      <c r="K43" s="70">
        <f t="shared" si="87"/>
        <v>385.35423197492162</v>
      </c>
      <c r="L43" s="70">
        <f t="shared" si="88"/>
        <v>404.91536050156742</v>
      </c>
      <c r="M43" s="219">
        <f t="shared" si="89"/>
        <v>410.95463041631268</v>
      </c>
      <c r="N43" s="69">
        <f t="shared" si="125"/>
        <v>412.48661412709112</v>
      </c>
      <c r="O43" s="70">
        <f t="shared" si="126"/>
        <v>414.01859783786955</v>
      </c>
      <c r="P43" s="70">
        <f t="shared" si="127"/>
        <v>415.55058154864798</v>
      </c>
      <c r="Q43" s="70">
        <f t="shared" si="128"/>
        <v>417.08256525942642</v>
      </c>
      <c r="R43" s="70">
        <f t="shared" si="90"/>
        <v>406.57515524310912</v>
      </c>
      <c r="S43" s="70">
        <f t="shared" si="91"/>
        <v>336.76236750540858</v>
      </c>
      <c r="T43" s="71">
        <f t="shared" si="129"/>
        <v>286.13909728457196</v>
      </c>
      <c r="U43" s="71">
        <f t="shared" si="130"/>
        <v>261.80357677979651</v>
      </c>
      <c r="V43" s="71">
        <f t="shared" si="131"/>
        <v>262.52717558213294</v>
      </c>
      <c r="W43" s="188">
        <f t="shared" si="132"/>
        <v>409.80564263322884</v>
      </c>
      <c r="X43" s="16">
        <f t="shared" si="133"/>
        <v>417.46556118712101</v>
      </c>
      <c r="Y43" s="16">
        <f t="shared" si="133"/>
        <v>344.86285489370857</v>
      </c>
      <c r="Z43" s="16">
        <f t="shared" si="133"/>
        <v>290.85960563837511</v>
      </c>
      <c r="AA43" s="61">
        <f t="shared" si="133"/>
        <v>259.38954994635418</v>
      </c>
      <c r="AB43" s="61">
        <f t="shared" si="133"/>
        <v>275.48306216930314</v>
      </c>
      <c r="AC43" s="189">
        <f t="shared" si="133"/>
        <v>189.11048492150189</v>
      </c>
      <c r="AD43" s="183">
        <f>I43*(1+$I$50)</f>
        <v>345.60512161760778</v>
      </c>
      <c r="AE43" s="183">
        <f t="shared" si="136"/>
        <v>365.1308347033484</v>
      </c>
      <c r="AF43" s="183">
        <f t="shared" si="136"/>
        <v>384.6565477890889</v>
      </c>
      <c r="AG43" s="183">
        <f t="shared" si="136"/>
        <v>404.18226087482952</v>
      </c>
      <c r="AH43" s="183">
        <f t="shared" si="136"/>
        <v>410.21059668592704</v>
      </c>
      <c r="AI43" s="183">
        <f t="shared" si="136"/>
        <v>411.73980673881033</v>
      </c>
      <c r="AJ43" s="183">
        <f t="shared" si="136"/>
        <v>413.26901679169356</v>
      </c>
      <c r="AK43" s="183">
        <f t="shared" si="136"/>
        <v>414.79822684457679</v>
      </c>
      <c r="AL43" s="183">
        <f t="shared" si="136"/>
        <v>416.32743689746002</v>
      </c>
      <c r="AM43" s="183">
        <f t="shared" si="136"/>
        <v>405.8390505564891</v>
      </c>
      <c r="AN43" s="183">
        <f t="shared" si="136"/>
        <v>336.15265893418575</v>
      </c>
      <c r="AO43" s="183">
        <f t="shared" si="136"/>
        <v>285.62104218991067</v>
      </c>
      <c r="AP43" s="183">
        <f t="shared" si="136"/>
        <v>261.3295811670389</v>
      </c>
      <c r="AQ43" s="75">
        <f t="shared" si="136"/>
        <v>262.05186989308862</v>
      </c>
      <c r="AR43" s="216">
        <f>I43*(1+$M$50)</f>
        <v>345.60512161760778</v>
      </c>
      <c r="AS43" s="77">
        <f t="shared" si="137"/>
        <v>365.1308347033484</v>
      </c>
      <c r="AT43" s="77">
        <f t="shared" si="137"/>
        <v>384.6565477890889</v>
      </c>
      <c r="AU43" s="77">
        <f t="shared" si="137"/>
        <v>404.18226087482952</v>
      </c>
      <c r="AV43" s="77">
        <f t="shared" si="137"/>
        <v>410.21059668592704</v>
      </c>
      <c r="AW43" s="77">
        <f t="shared" si="137"/>
        <v>411.73980673881033</v>
      </c>
      <c r="AX43" s="77">
        <f t="shared" si="137"/>
        <v>413.26901679169356</v>
      </c>
      <c r="AY43" s="77">
        <f t="shared" si="137"/>
        <v>414.79822684457679</v>
      </c>
      <c r="AZ43" s="77">
        <f t="shared" si="137"/>
        <v>416.32743689746002</v>
      </c>
      <c r="BA43" s="77">
        <f t="shared" si="137"/>
        <v>405.8390505564891</v>
      </c>
      <c r="BB43" s="77">
        <f t="shared" si="137"/>
        <v>336.15265893418575</v>
      </c>
      <c r="BC43" s="77">
        <f t="shared" si="137"/>
        <v>285.62104218991067</v>
      </c>
      <c r="BD43" s="77">
        <f t="shared" si="137"/>
        <v>261.3295811670389</v>
      </c>
      <c r="BE43" s="217">
        <f t="shared" si="137"/>
        <v>262.05186989308862</v>
      </c>
    </row>
    <row r="44" spans="1:57" ht="15.75" customHeight="1" x14ac:dyDescent="0.15">
      <c r="A44" s="1"/>
      <c r="B44" s="235"/>
      <c r="C44" s="196" t="s">
        <v>200</v>
      </c>
      <c r="D44" s="13">
        <v>390</v>
      </c>
      <c r="E44" s="14">
        <v>293</v>
      </c>
      <c r="F44" s="15">
        <f t="shared" si="135"/>
        <v>315</v>
      </c>
      <c r="G44" s="64">
        <f t="shared" si="134"/>
        <v>93.015873015873012</v>
      </c>
      <c r="H44" s="94">
        <f t="shared" si="122"/>
        <v>292.58142857142855</v>
      </c>
      <c r="I44" s="69">
        <f t="shared" si="123"/>
        <v>292.02333333333337</v>
      </c>
      <c r="J44" s="70">
        <f t="shared" si="124"/>
        <v>291.46523809523808</v>
      </c>
      <c r="K44" s="70">
        <f t="shared" si="87"/>
        <v>290.90714285714284</v>
      </c>
      <c r="L44" s="70">
        <f t="shared" si="88"/>
        <v>290.34904761904761</v>
      </c>
      <c r="M44" s="219">
        <f t="shared" si="89"/>
        <v>303.85573966263621</v>
      </c>
      <c r="N44" s="69">
        <f t="shared" si="125"/>
        <v>322.05069413345274</v>
      </c>
      <c r="O44" s="70">
        <f t="shared" si="126"/>
        <v>340.24564860426926</v>
      </c>
      <c r="P44" s="70">
        <f t="shared" si="127"/>
        <v>358.44060307508579</v>
      </c>
      <c r="Q44" s="70">
        <f t="shared" si="128"/>
        <v>376.63555754590232</v>
      </c>
      <c r="R44" s="70">
        <f t="shared" si="90"/>
        <v>382.25303718088759</v>
      </c>
      <c r="S44" s="70">
        <f t="shared" si="91"/>
        <v>378.17943011501899</v>
      </c>
      <c r="T44" s="71">
        <f t="shared" si="129"/>
        <v>313.24245612407844</v>
      </c>
      <c r="U44" s="71">
        <f t="shared" si="130"/>
        <v>266.15477937898282</v>
      </c>
      <c r="V44" s="71">
        <f t="shared" si="131"/>
        <v>243.51888252850912</v>
      </c>
      <c r="W44" s="188">
        <f t="shared" si="132"/>
        <v>290.20952380952383</v>
      </c>
      <c r="X44" s="16">
        <f t="shared" si="133"/>
        <v>381.18429616360646</v>
      </c>
      <c r="Y44" s="16">
        <f t="shared" si="133"/>
        <v>388.30923627881413</v>
      </c>
      <c r="Z44" s="16">
        <f t="shared" si="133"/>
        <v>320.77719518684637</v>
      </c>
      <c r="AA44" s="61">
        <f t="shared" si="133"/>
        <v>270.54560143506001</v>
      </c>
      <c r="AB44" s="61">
        <f t="shared" si="133"/>
        <v>241.2734543945453</v>
      </c>
      <c r="AC44" s="189">
        <f t="shared" si="133"/>
        <v>256.24297528763753</v>
      </c>
      <c r="AD44" s="183">
        <f>I44*(1+$J$50)</f>
        <v>292.84132586367883</v>
      </c>
      <c r="AE44" s="183">
        <f t="shared" ref="AE44:AQ45" si="138">J44*(1+$J$50)</f>
        <v>292.28166733360007</v>
      </c>
      <c r="AF44" s="183">
        <f t="shared" si="138"/>
        <v>291.72200880352142</v>
      </c>
      <c r="AG44" s="183">
        <f t="shared" si="138"/>
        <v>291.16235027344271</v>
      </c>
      <c r="AH44" s="183">
        <f t="shared" si="138"/>
        <v>304.70687618830186</v>
      </c>
      <c r="AI44" s="183">
        <f t="shared" si="138"/>
        <v>322.95279691814028</v>
      </c>
      <c r="AJ44" s="183">
        <f t="shared" si="138"/>
        <v>341.1987176479787</v>
      </c>
      <c r="AK44" s="183">
        <f t="shared" si="138"/>
        <v>359.44463837781711</v>
      </c>
      <c r="AL44" s="183">
        <f t="shared" si="138"/>
        <v>377.69055910765553</v>
      </c>
      <c r="AM44" s="183">
        <f t="shared" si="138"/>
        <v>383.32377397971362</v>
      </c>
      <c r="AN44" s="183">
        <f t="shared" si="138"/>
        <v>379.23875624979496</v>
      </c>
      <c r="AO44" s="183">
        <f t="shared" si="138"/>
        <v>314.11988597316548</v>
      </c>
      <c r="AP44" s="183">
        <f t="shared" si="138"/>
        <v>266.90031097388191</v>
      </c>
      <c r="AQ44" s="75">
        <f t="shared" si="138"/>
        <v>244.2010082498775</v>
      </c>
      <c r="AR44" s="216">
        <f>I44*(1+$N$50)</f>
        <v>291.86226144511863</v>
      </c>
      <c r="AS44" s="77">
        <f t="shared" ref="AS44:BE47" si="139">J44*(1+$N$50)</f>
        <v>291.30447403671889</v>
      </c>
      <c r="AT44" s="77">
        <f t="shared" si="139"/>
        <v>290.74668662831925</v>
      </c>
      <c r="AU44" s="77">
        <f t="shared" si="139"/>
        <v>290.18889921991962</v>
      </c>
      <c r="AV44" s="77">
        <f t="shared" si="139"/>
        <v>303.68814135063252</v>
      </c>
      <c r="AW44" s="77">
        <f t="shared" si="139"/>
        <v>321.87305999438297</v>
      </c>
      <c r="AX44" s="77">
        <f t="shared" si="139"/>
        <v>340.05797863813342</v>
      </c>
      <c r="AY44" s="77">
        <f t="shared" si="139"/>
        <v>358.24289728188387</v>
      </c>
      <c r="AZ44" s="77">
        <f t="shared" si="139"/>
        <v>376.42781592563432</v>
      </c>
      <c r="BA44" s="77">
        <f t="shared" si="139"/>
        <v>382.04219711625387</v>
      </c>
      <c r="BB44" s="77">
        <f t="shared" si="139"/>
        <v>377.97083693790091</v>
      </c>
      <c r="BC44" s="77">
        <f t="shared" si="139"/>
        <v>313.06968036228909</v>
      </c>
      <c r="BD44" s="77">
        <f t="shared" si="139"/>
        <v>266.00797586029614</v>
      </c>
      <c r="BE44" s="217">
        <f t="shared" si="139"/>
        <v>243.38456433627056</v>
      </c>
    </row>
    <row r="45" spans="1:57" ht="15.75" customHeight="1" x14ac:dyDescent="0.15">
      <c r="A45" s="1"/>
      <c r="B45" s="235"/>
      <c r="C45" s="196" t="s">
        <v>201</v>
      </c>
      <c r="D45" s="13">
        <v>391</v>
      </c>
      <c r="E45" s="14">
        <v>349</v>
      </c>
      <c r="F45" s="15">
        <f t="shared" si="135"/>
        <v>390</v>
      </c>
      <c r="G45" s="64">
        <f t="shared" si="134"/>
        <v>89.487179487179489</v>
      </c>
      <c r="H45" s="94">
        <f t="shared" si="122"/>
        <v>335.97961538461539</v>
      </c>
      <c r="I45" s="69">
        <f t="shared" si="123"/>
        <v>318.6191025641026</v>
      </c>
      <c r="J45" s="70">
        <f t="shared" si="124"/>
        <v>301.25858974358977</v>
      </c>
      <c r="K45" s="70">
        <f t="shared" si="87"/>
        <v>283.89807692307693</v>
      </c>
      <c r="L45" s="70">
        <f t="shared" si="88"/>
        <v>266.53756410256415</v>
      </c>
      <c r="M45" s="219">
        <f t="shared" si="89"/>
        <v>261.82286813186818</v>
      </c>
      <c r="N45" s="69">
        <f t="shared" si="125"/>
        <v>261.32344444444448</v>
      </c>
      <c r="O45" s="70">
        <f t="shared" si="126"/>
        <v>260.82402075702078</v>
      </c>
      <c r="P45" s="70">
        <f t="shared" si="127"/>
        <v>260.32459706959708</v>
      </c>
      <c r="Q45" s="70">
        <f t="shared" si="128"/>
        <v>259.82517338217338</v>
      </c>
      <c r="R45" s="70">
        <f t="shared" si="90"/>
        <v>271.9119311340001</v>
      </c>
      <c r="S45" s="70">
        <f t="shared" si="91"/>
        <v>342.06746147725585</v>
      </c>
      <c r="T45" s="71">
        <f t="shared" si="129"/>
        <v>338.42210541061957</v>
      </c>
      <c r="U45" s="71">
        <f t="shared" si="130"/>
        <v>280.3118389418035</v>
      </c>
      <c r="V45" s="71">
        <f t="shared" si="131"/>
        <v>238.17440513657692</v>
      </c>
      <c r="W45" s="188">
        <f t="shared" si="132"/>
        <v>262.19743589743592</v>
      </c>
      <c r="X45" s="16">
        <f t="shared" si="133"/>
        <v>259.70031746031748</v>
      </c>
      <c r="Y45" s="16">
        <f t="shared" si="133"/>
        <v>341.11107528486832</v>
      </c>
      <c r="Z45" s="16">
        <f t="shared" si="133"/>
        <v>347.48698323411833</v>
      </c>
      <c r="AA45" s="61">
        <f t="shared" si="133"/>
        <v>287.05446441079329</v>
      </c>
      <c r="AB45" s="61">
        <f t="shared" si="133"/>
        <v>242.10362795086141</v>
      </c>
      <c r="AC45" s="189">
        <f t="shared" si="133"/>
        <v>215.90880918896491</v>
      </c>
      <c r="AD45" s="183">
        <f>I45*(1+$J$50)</f>
        <v>319.51159304747546</v>
      </c>
      <c r="AE45" s="183">
        <f t="shared" si="138"/>
        <v>302.1024513395102</v>
      </c>
      <c r="AF45" s="183">
        <f t="shared" si="138"/>
        <v>284.69330963154493</v>
      </c>
      <c r="AG45" s="183">
        <f t="shared" si="138"/>
        <v>267.28416792357973</v>
      </c>
      <c r="AH45" s="183">
        <f t="shared" si="138"/>
        <v>262.55626552159328</v>
      </c>
      <c r="AI45" s="183">
        <f t="shared" si="138"/>
        <v>262.05544288826644</v>
      </c>
      <c r="AJ45" s="183">
        <f t="shared" si="138"/>
        <v>261.55462025493961</v>
      </c>
      <c r="AK45" s="183">
        <f t="shared" si="138"/>
        <v>261.05379762161277</v>
      </c>
      <c r="AL45" s="183">
        <f t="shared" si="138"/>
        <v>260.55297498828588</v>
      </c>
      <c r="AM45" s="183">
        <f t="shared" si="138"/>
        <v>272.67358920440347</v>
      </c>
      <c r="AN45" s="183">
        <f t="shared" si="138"/>
        <v>343.02563363825658</v>
      </c>
      <c r="AO45" s="183">
        <f t="shared" si="138"/>
        <v>339.37006649020111</v>
      </c>
      <c r="AP45" s="183">
        <f t="shared" si="138"/>
        <v>281.09702616573014</v>
      </c>
      <c r="AQ45" s="75">
        <f t="shared" si="138"/>
        <v>238.84156033303793</v>
      </c>
      <c r="AR45" s="216">
        <f>I45*(1+$N$50)</f>
        <v>318.44336119478982</v>
      </c>
      <c r="AS45" s="77">
        <f t="shared" si="139"/>
        <v>301.09242394670969</v>
      </c>
      <c r="AT45" s="77">
        <f t="shared" si="139"/>
        <v>283.74148669862956</v>
      </c>
      <c r="AU45" s="77">
        <f t="shared" si="139"/>
        <v>266.39054945054949</v>
      </c>
      <c r="AV45" s="77">
        <f t="shared" si="139"/>
        <v>261.67845397404585</v>
      </c>
      <c r="AW45" s="77">
        <f t="shared" si="139"/>
        <v>261.17930575473434</v>
      </c>
      <c r="AX45" s="77">
        <f t="shared" si="139"/>
        <v>260.68015753542284</v>
      </c>
      <c r="AY45" s="77">
        <f t="shared" si="139"/>
        <v>260.18100931611133</v>
      </c>
      <c r="AZ45" s="77">
        <f t="shared" si="139"/>
        <v>259.68186109679988</v>
      </c>
      <c r="BA45" s="77">
        <f t="shared" si="139"/>
        <v>271.76195213171991</v>
      </c>
      <c r="BB45" s="77">
        <f t="shared" si="139"/>
        <v>341.87878665018621</v>
      </c>
      <c r="BC45" s="77">
        <f t="shared" si="139"/>
        <v>338.23544125981391</v>
      </c>
      <c r="BD45" s="77">
        <f t="shared" si="139"/>
        <v>280.1572267857407</v>
      </c>
      <c r="BE45" s="217">
        <f t="shared" si="139"/>
        <v>238.04303480831626</v>
      </c>
    </row>
    <row r="46" spans="1:57" ht="15.75" customHeight="1" x14ac:dyDescent="0.15">
      <c r="A46" s="1"/>
      <c r="B46" s="235"/>
      <c r="C46" s="197" t="s">
        <v>202</v>
      </c>
      <c r="D46" s="13">
        <v>293</v>
      </c>
      <c r="E46" s="14">
        <v>287</v>
      </c>
      <c r="F46" s="15">
        <f t="shared" si="135"/>
        <v>391</v>
      </c>
      <c r="G46" s="64">
        <f t="shared" si="134"/>
        <v>73.401534526854221</v>
      </c>
      <c r="H46" s="94">
        <f t="shared" si="122"/>
        <v>282.37570332480817</v>
      </c>
      <c r="I46" s="69">
        <f t="shared" si="123"/>
        <v>276.20997442455246</v>
      </c>
      <c r="J46" s="70">
        <f t="shared" si="124"/>
        <v>270.04424552429668</v>
      </c>
      <c r="K46" s="70">
        <f t="shared" si="87"/>
        <v>263.87851662404091</v>
      </c>
      <c r="L46" s="70">
        <f t="shared" si="88"/>
        <v>257.7127877237852</v>
      </c>
      <c r="M46" s="219">
        <f t="shared" si="89"/>
        <v>246.6141933897305</v>
      </c>
      <c r="N46" s="69">
        <f t="shared" si="125"/>
        <v>233.87131057774283</v>
      </c>
      <c r="O46" s="70">
        <f t="shared" si="126"/>
        <v>221.12842776575513</v>
      </c>
      <c r="P46" s="70">
        <f t="shared" si="127"/>
        <v>208.38554495376746</v>
      </c>
      <c r="Q46" s="70">
        <f t="shared" si="128"/>
        <v>195.64266214177979</v>
      </c>
      <c r="R46" s="70">
        <f t="shared" si="90"/>
        <v>192.18200295101317</v>
      </c>
      <c r="S46" s="70">
        <f t="shared" si="91"/>
        <v>199.58753001395914</v>
      </c>
      <c r="T46" s="71">
        <f t="shared" si="129"/>
        <v>251.08276584136169</v>
      </c>
      <c r="U46" s="71">
        <f t="shared" si="130"/>
        <v>248.40701854948293</v>
      </c>
      <c r="V46" s="71">
        <f t="shared" si="131"/>
        <v>205.75319124372788</v>
      </c>
      <c r="W46" s="188">
        <f t="shared" si="132"/>
        <v>256.17135549872125</v>
      </c>
      <c r="X46" s="16">
        <f t="shared" si="133"/>
        <v>192.45694143878288</v>
      </c>
      <c r="Y46" s="16">
        <f t="shared" si="133"/>
        <v>190.62401818698493</v>
      </c>
      <c r="Z46" s="16">
        <f t="shared" si="133"/>
        <v>250.3807637001463</v>
      </c>
      <c r="AA46" s="61">
        <f t="shared" si="133"/>
        <v>255.06077797491551</v>
      </c>
      <c r="AB46" s="61">
        <f t="shared" si="133"/>
        <v>210.70238180536489</v>
      </c>
      <c r="AC46" s="189">
        <f t="shared" si="133"/>
        <v>177.70777806111823</v>
      </c>
      <c r="AD46" s="183">
        <f>I46*(1+$K$50)</f>
        <v>274.72097186700768</v>
      </c>
      <c r="AE46" s="183">
        <f t="shared" ref="AE46:AQ47" si="140">J46*(1+$K$50)</f>
        <v>268.58848139748108</v>
      </c>
      <c r="AF46" s="183">
        <f t="shared" si="140"/>
        <v>262.45599092795442</v>
      </c>
      <c r="AG46" s="183">
        <f t="shared" si="140"/>
        <v>256.32350045842787</v>
      </c>
      <c r="AH46" s="183">
        <f t="shared" si="140"/>
        <v>245.28473682159179</v>
      </c>
      <c r="AI46" s="183">
        <f t="shared" si="140"/>
        <v>232.61054879565259</v>
      </c>
      <c r="AJ46" s="183">
        <f t="shared" si="140"/>
        <v>219.93636076971333</v>
      </c>
      <c r="AK46" s="183">
        <f t="shared" si="140"/>
        <v>207.2621727437741</v>
      </c>
      <c r="AL46" s="183">
        <f t="shared" si="140"/>
        <v>194.5879847178349</v>
      </c>
      <c r="AM46" s="183">
        <f t="shared" si="140"/>
        <v>191.14598137176245</v>
      </c>
      <c r="AN46" s="183">
        <f t="shared" si="140"/>
        <v>198.51158645593242</v>
      </c>
      <c r="AO46" s="183">
        <f t="shared" si="140"/>
        <v>249.72921993386109</v>
      </c>
      <c r="AP46" s="183">
        <f t="shared" si="140"/>
        <v>247.06789715568519</v>
      </c>
      <c r="AQ46" s="75">
        <f t="shared" si="140"/>
        <v>204.64400961977248</v>
      </c>
      <c r="AR46" s="216">
        <f>I46*(1+$N$50)</f>
        <v>276.05762474202373</v>
      </c>
      <c r="AS46" s="77">
        <f t="shared" si="139"/>
        <v>269.89529668506651</v>
      </c>
      <c r="AT46" s="77">
        <f t="shared" si="139"/>
        <v>263.73296862810929</v>
      </c>
      <c r="AU46" s="77">
        <f t="shared" si="139"/>
        <v>257.57064057115213</v>
      </c>
      <c r="AV46" s="77">
        <f t="shared" si="139"/>
        <v>246.47816791075104</v>
      </c>
      <c r="AW46" s="77">
        <f t="shared" si="139"/>
        <v>233.74231371586873</v>
      </c>
      <c r="AX46" s="77">
        <f t="shared" si="139"/>
        <v>221.00645952098637</v>
      </c>
      <c r="AY46" s="77">
        <f t="shared" si="139"/>
        <v>208.27060532610403</v>
      </c>
      <c r="AZ46" s="77">
        <f t="shared" si="139"/>
        <v>195.53475113122173</v>
      </c>
      <c r="BA46" s="77">
        <f t="shared" si="139"/>
        <v>192.07600074309755</v>
      </c>
      <c r="BB46" s="77">
        <f t="shared" si="139"/>
        <v>199.4774431248174</v>
      </c>
      <c r="BC46" s="77">
        <f t="shared" si="139"/>
        <v>250.94427562302667</v>
      </c>
      <c r="BD46" s="77">
        <f t="shared" si="139"/>
        <v>248.27000419838006</v>
      </c>
      <c r="BE46" s="217">
        <f t="shared" si="139"/>
        <v>205.63970354861274</v>
      </c>
    </row>
    <row r="47" spans="1:57" ht="15.75" customHeight="1" thickBot="1" x14ac:dyDescent="0.2">
      <c r="A47" s="1"/>
      <c r="B47" s="236"/>
      <c r="C47" s="198" t="s">
        <v>203</v>
      </c>
      <c r="D47" s="65">
        <v>197</v>
      </c>
      <c r="E47" s="66">
        <v>252</v>
      </c>
      <c r="F47" s="67">
        <f>IF(ISERROR(D46+D47),0,(D46+D47))</f>
        <v>490</v>
      </c>
      <c r="G47" s="68">
        <f>IF(ISERROR(E47/F47*100),0,(E47/F47*100))</f>
        <v>51.428571428571423</v>
      </c>
      <c r="H47" s="95">
        <f t="shared" si="122"/>
        <v>255.78</v>
      </c>
      <c r="I47" s="72">
        <f t="shared" si="123"/>
        <v>260.82</v>
      </c>
      <c r="J47" s="73">
        <f t="shared" si="124"/>
        <v>265.86</v>
      </c>
      <c r="K47" s="73">
        <f t="shared" si="87"/>
        <v>270.89999999999998</v>
      </c>
      <c r="L47" s="73">
        <f t="shared" si="88"/>
        <v>275.94</v>
      </c>
      <c r="M47" s="220">
        <f t="shared" si="89"/>
        <v>276.76579028132988</v>
      </c>
      <c r="N47" s="72">
        <f t="shared" si="125"/>
        <v>276.18684398976978</v>
      </c>
      <c r="O47" s="73">
        <f t="shared" si="126"/>
        <v>275.60789769820968</v>
      </c>
      <c r="P47" s="73">
        <f t="shared" si="127"/>
        <v>275.02895140664958</v>
      </c>
      <c r="Q47" s="73">
        <f t="shared" si="128"/>
        <v>274.45000511508948</v>
      </c>
      <c r="R47" s="73">
        <f t="shared" si="90"/>
        <v>269.16684874511674</v>
      </c>
      <c r="S47" s="73">
        <f t="shared" si="91"/>
        <v>237.26512372943824</v>
      </c>
      <c r="T47" s="74">
        <f t="shared" si="129"/>
        <v>224.66707906803296</v>
      </c>
      <c r="U47" s="175">
        <f t="shared" si="130"/>
        <v>244.67134881054579</v>
      </c>
      <c r="V47" s="74">
        <f t="shared" si="131"/>
        <v>253.58316035658615</v>
      </c>
      <c r="W47" s="190">
        <f>IF(ISERROR((E46+E47)*$G47/100),0,((E46+E47)*$G47/100))</f>
        <v>277.2</v>
      </c>
      <c r="X47" s="91">
        <f>IF(ISERROR((W46+W47)*$G47/100),0,((W46+W47)*$G47/100))</f>
        <v>274.30526854219943</v>
      </c>
      <c r="Y47" s="91">
        <f t="shared" ref="Y47:AC47" si="141">IF(ISERROR((X46+X47)*$G47/100),0,((X46+X47)*$G47/100))</f>
        <v>240.04913656164806</v>
      </c>
      <c r="Z47" s="91">
        <f t="shared" si="141"/>
        <v>221.4890510135827</v>
      </c>
      <c r="AA47" s="92">
        <f t="shared" si="141"/>
        <v>242.67590470991775</v>
      </c>
      <c r="AB47" s="92">
        <f t="shared" si="141"/>
        <v>255.97886538077134</v>
      </c>
      <c r="AC47" s="191">
        <f t="shared" si="141"/>
        <v>240.00749855287006</v>
      </c>
      <c r="AD47" s="184">
        <f>I47*(1+$K$50)</f>
        <v>259.41396226415094</v>
      </c>
      <c r="AE47" s="184">
        <f t="shared" si="140"/>
        <v>264.42679245283023</v>
      </c>
      <c r="AF47" s="184">
        <f t="shared" si="140"/>
        <v>269.4396226415094</v>
      </c>
      <c r="AG47" s="184">
        <f t="shared" si="140"/>
        <v>274.45245283018869</v>
      </c>
      <c r="AH47" s="184">
        <f t="shared" si="140"/>
        <v>275.27379141188874</v>
      </c>
      <c r="AI47" s="184">
        <f t="shared" si="140"/>
        <v>274.69796612459584</v>
      </c>
      <c r="AJ47" s="184">
        <f t="shared" si="140"/>
        <v>274.12214083730288</v>
      </c>
      <c r="AK47" s="184">
        <f t="shared" si="140"/>
        <v>273.54631555000998</v>
      </c>
      <c r="AL47" s="184">
        <f t="shared" si="140"/>
        <v>272.97049026271702</v>
      </c>
      <c r="AM47" s="184">
        <f t="shared" si="140"/>
        <v>267.7158145200757</v>
      </c>
      <c r="AN47" s="184">
        <f t="shared" si="140"/>
        <v>235.98606645865959</v>
      </c>
      <c r="AO47" s="184">
        <f t="shared" si="140"/>
        <v>223.45593578464735</v>
      </c>
      <c r="AP47" s="184">
        <f t="shared" si="140"/>
        <v>243.35236579809003</v>
      </c>
      <c r="AQ47" s="76">
        <f t="shared" si="140"/>
        <v>252.21613523337007</v>
      </c>
      <c r="AR47" s="218">
        <f>I47*(1+$N$50)</f>
        <v>260.676138996139</v>
      </c>
      <c r="AS47" s="78">
        <f t="shared" si="139"/>
        <v>265.71335907335907</v>
      </c>
      <c r="AT47" s="78">
        <f t="shared" si="139"/>
        <v>270.75057915057914</v>
      </c>
      <c r="AU47" s="78">
        <f t="shared" si="139"/>
        <v>275.78779922779921</v>
      </c>
      <c r="AV47" s="78">
        <f t="shared" si="139"/>
        <v>276.61313402634846</v>
      </c>
      <c r="AW47" s="78">
        <f t="shared" si="139"/>
        <v>276.03450706534079</v>
      </c>
      <c r="AX47" s="78">
        <f t="shared" si="139"/>
        <v>275.45588010433312</v>
      </c>
      <c r="AY47" s="78">
        <f t="shared" si="139"/>
        <v>274.87725314332545</v>
      </c>
      <c r="AZ47" s="78">
        <f t="shared" si="139"/>
        <v>274.29862618231778</v>
      </c>
      <c r="BA47" s="78">
        <f t="shared" si="139"/>
        <v>269.01838385336544</v>
      </c>
      <c r="BB47" s="78">
        <f t="shared" si="139"/>
        <v>237.13425493532381</v>
      </c>
      <c r="BC47" s="78">
        <f t="shared" si="139"/>
        <v>224.54315900235835</v>
      </c>
      <c r="BD47" s="78">
        <f t="shared" si="139"/>
        <v>244.536394950198</v>
      </c>
      <c r="BE47" s="79">
        <f t="shared" si="139"/>
        <v>253.44329099069722</v>
      </c>
    </row>
    <row r="48" spans="1:57" ht="15.75" customHeight="1" x14ac:dyDescent="0.15">
      <c r="A48" s="1"/>
      <c r="B48" s="3"/>
      <c r="C48" s="17"/>
      <c r="D48" s="17"/>
      <c r="E48" s="17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1:59" ht="15.75" customHeight="1" x14ac:dyDescent="0.15">
      <c r="A49" s="1"/>
      <c r="B49" s="18"/>
      <c r="C49" s="19"/>
      <c r="D49" s="20" t="s">
        <v>205</v>
      </c>
      <c r="E49" s="46" t="s">
        <v>206</v>
      </c>
      <c r="F49" s="96"/>
      <c r="G49" s="96"/>
      <c r="H49" s="2"/>
      <c r="I49" s="178" t="s">
        <v>207</v>
      </c>
      <c r="J49" s="178" t="s">
        <v>208</v>
      </c>
      <c r="K49" s="178" t="s">
        <v>209</v>
      </c>
      <c r="L49" s="2"/>
      <c r="M49" s="176" t="s">
        <v>210</v>
      </c>
      <c r="N49" s="176" t="s">
        <v>211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ht="15.75" customHeight="1" x14ac:dyDescent="0.15">
      <c r="A50" s="1"/>
      <c r="B50" s="21" t="s">
        <v>212</v>
      </c>
      <c r="C50" s="19"/>
      <c r="D50" s="47">
        <f>(D9+D29)/(SUM(D32:D38))</f>
        <v>0.18926247288503253</v>
      </c>
      <c r="E50" s="47">
        <f>(E9+E29)/(SUM(E32:E38))</f>
        <v>0.18152031454783749</v>
      </c>
      <c r="F50" s="97"/>
      <c r="G50" s="97"/>
      <c r="H50" s="2"/>
      <c r="I50" s="179">
        <v>-1.8105009052504525E-3</v>
      </c>
      <c r="J50" s="179">
        <v>2.8011204481792717E-3</v>
      </c>
      <c r="K50" s="179">
        <v>-5.3908355795148251E-3</v>
      </c>
      <c r="L50" s="57"/>
      <c r="M50" s="177">
        <v>-1.8105009052504525E-3</v>
      </c>
      <c r="N50" s="180">
        <v>-5.5157198014340876E-4</v>
      </c>
      <c r="O50" s="57"/>
      <c r="P50" s="57"/>
      <c r="Q50" s="57"/>
      <c r="R50" s="59"/>
      <c r="S50" s="2"/>
      <c r="T50" s="2"/>
      <c r="U50" s="2"/>
      <c r="V50" s="2"/>
      <c r="W50" s="2"/>
      <c r="X50" s="2"/>
      <c r="Y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ht="15.75" customHeight="1" x14ac:dyDescent="0.15">
      <c r="A51" s="1"/>
      <c r="B51" s="21" t="s">
        <v>213</v>
      </c>
      <c r="C51" s="19"/>
      <c r="D51" s="48">
        <f>D9/D29*100</f>
        <v>100.57471264367817</v>
      </c>
      <c r="E51" s="48">
        <f>E9/E29*100</f>
        <v>103.6764705882353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9" ht="15.75" customHeight="1" x14ac:dyDescent="0.15">
      <c r="A52" s="1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</sheetData>
  <mergeCells count="62">
    <mergeCell ref="AZ6:AZ7"/>
    <mergeCell ref="AJ6:AJ7"/>
    <mergeCell ref="AK6:AK7"/>
    <mergeCell ref="AL6:AL7"/>
    <mergeCell ref="AX6:AX7"/>
    <mergeCell ref="AY6:AY7"/>
    <mergeCell ref="I5:V5"/>
    <mergeCell ref="AB6:AB7"/>
    <mergeCell ref="AC6:AC7"/>
    <mergeCell ref="V6:V7"/>
    <mergeCell ref="H6:H7"/>
    <mergeCell ref="W5:AC5"/>
    <mergeCell ref="O6:O7"/>
    <mergeCell ref="P6:P7"/>
    <mergeCell ref="Q6:Q7"/>
    <mergeCell ref="AE6:AE7"/>
    <mergeCell ref="AF6:AF7"/>
    <mergeCell ref="AH6:AH7"/>
    <mergeCell ref="AA6:AA7"/>
    <mergeCell ref="B8:B27"/>
    <mergeCell ref="I6:I7"/>
    <mergeCell ref="J6:J7"/>
    <mergeCell ref="K6:K7"/>
    <mergeCell ref="L6:L7"/>
    <mergeCell ref="N6:N7"/>
    <mergeCell ref="U6:U7"/>
    <mergeCell ref="T6:T7"/>
    <mergeCell ref="AG6:AG7"/>
    <mergeCell ref="R6:R7"/>
    <mergeCell ref="S6:S7"/>
    <mergeCell ref="B2:BB2"/>
    <mergeCell ref="B28:B47"/>
    <mergeCell ref="B6:C7"/>
    <mergeCell ref="D6:D7"/>
    <mergeCell ref="E6:E7"/>
    <mergeCell ref="F6:F7"/>
    <mergeCell ref="G6:G7"/>
    <mergeCell ref="W6:W7"/>
    <mergeCell ref="X6:X7"/>
    <mergeCell ref="Y6:Y7"/>
    <mergeCell ref="Z6:Z7"/>
    <mergeCell ref="AV6:AV7"/>
    <mergeCell ref="M6:M7"/>
    <mergeCell ref="BA6:BA7"/>
    <mergeCell ref="AR6:AR7"/>
    <mergeCell ref="AS6:AS7"/>
    <mergeCell ref="AR5:BE5"/>
    <mergeCell ref="AM6:AM7"/>
    <mergeCell ref="AO6:AO7"/>
    <mergeCell ref="BE6:BE7"/>
    <mergeCell ref="AD5:AQ5"/>
    <mergeCell ref="BB6:BB7"/>
    <mergeCell ref="AN6:AN7"/>
    <mergeCell ref="AU6:AU7"/>
    <mergeCell ref="AW6:AW7"/>
    <mergeCell ref="BC6:BC7"/>
    <mergeCell ref="AD6:AD7"/>
    <mergeCell ref="AI6:AI7"/>
    <mergeCell ref="AP6:AP7"/>
    <mergeCell ref="BD6:BD7"/>
    <mergeCell ref="AT6:AT7"/>
    <mergeCell ref="AQ6:AQ7"/>
  </mergeCells>
  <phoneticPr fontId="2"/>
  <pageMargins left="0.70866141732283472" right="0.70866141732283472" top="0.74803149606299213" bottom="0.74803149606299213" header="0.31496062992125984" footer="0.31496062992125984"/>
  <pageSetup paperSize="9" scale="26" fitToHeight="0" orientation="portrait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D311-0D75-486C-9BBA-607B9E26A82D}">
  <sheetPr>
    <tabColor rgb="FFFFFF00"/>
  </sheetPr>
  <dimension ref="A1:AW293"/>
  <sheetViews>
    <sheetView zoomScale="70" zoomScaleNormal="70" workbookViewId="0">
      <selection activeCell="BA6" sqref="BA6:BE7"/>
    </sheetView>
  </sheetViews>
  <sheetFormatPr defaultRowHeight="18.75" outlineLevelRow="1" x14ac:dyDescent="0.4"/>
  <cols>
    <col min="1" max="1" width="9.25" style="23" bestFit="1" customWidth="1"/>
    <col min="2" max="2" width="8.75" style="23"/>
    <col min="3" max="3" width="10.875" bestFit="1" customWidth="1"/>
    <col min="4" max="5" width="9.25" bestFit="1" customWidth="1"/>
    <col min="7" max="9" width="9.25" bestFit="1" customWidth="1"/>
    <col min="11" max="13" width="9.25" bestFit="1" customWidth="1"/>
    <col min="15" max="17" width="9.25" bestFit="1" customWidth="1"/>
    <col min="19" max="21" width="9.25" bestFit="1" customWidth="1"/>
    <col min="23" max="25" width="9.25" bestFit="1" customWidth="1"/>
    <col min="27" max="29" width="9.25" bestFit="1" customWidth="1"/>
    <col min="31" max="33" width="9.25" bestFit="1" customWidth="1"/>
    <col min="35" max="37" width="9.25" bestFit="1" customWidth="1"/>
    <col min="39" max="40" width="9.25" bestFit="1" customWidth="1"/>
    <col min="45" max="45" width="9.375" bestFit="1" customWidth="1"/>
    <col min="47" max="49" width="8.75" style="171"/>
  </cols>
  <sheetData>
    <row r="1" spans="1:49" outlineLevel="1" x14ac:dyDescent="0.25">
      <c r="A1" s="169" t="s">
        <v>0</v>
      </c>
      <c r="B1" s="25"/>
      <c r="C1" s="26" t="s">
        <v>1</v>
      </c>
      <c r="D1" s="26" t="s">
        <v>217</v>
      </c>
      <c r="E1" s="165" t="s">
        <v>3</v>
      </c>
      <c r="F1" s="25"/>
      <c r="G1" s="26" t="s">
        <v>1</v>
      </c>
      <c r="H1" s="26" t="s">
        <v>217</v>
      </c>
      <c r="I1" s="165" t="s">
        <v>4</v>
      </c>
      <c r="J1" s="25"/>
      <c r="K1" s="26" t="s">
        <v>1</v>
      </c>
      <c r="L1" s="26" t="s">
        <v>217</v>
      </c>
      <c r="M1" s="165" t="s">
        <v>5</v>
      </c>
      <c r="N1" s="25"/>
      <c r="O1" s="26" t="s">
        <v>1</v>
      </c>
      <c r="P1" s="26" t="s">
        <v>217</v>
      </c>
      <c r="Q1" s="165" t="s">
        <v>6</v>
      </c>
      <c r="R1" s="25"/>
      <c r="S1" s="26" t="s">
        <v>1</v>
      </c>
      <c r="T1" s="26" t="s">
        <v>217</v>
      </c>
      <c r="U1" s="165" t="s">
        <v>7</v>
      </c>
      <c r="V1" s="25"/>
      <c r="W1" s="26" t="s">
        <v>1</v>
      </c>
      <c r="X1" s="26" t="s">
        <v>217</v>
      </c>
      <c r="Y1" s="165" t="s">
        <v>8</v>
      </c>
      <c r="Z1" s="25"/>
      <c r="AA1" s="26" t="s">
        <v>1</v>
      </c>
      <c r="AB1" s="26" t="s">
        <v>217</v>
      </c>
      <c r="AC1" s="165" t="s">
        <v>9</v>
      </c>
      <c r="AD1" s="25"/>
      <c r="AE1" s="26" t="s">
        <v>1</v>
      </c>
      <c r="AF1" s="26" t="s">
        <v>217</v>
      </c>
      <c r="AG1" s="165" t="s">
        <v>10</v>
      </c>
      <c r="AH1" s="25"/>
      <c r="AI1" s="26" t="s">
        <v>1</v>
      </c>
      <c r="AJ1" s="26" t="s">
        <v>217</v>
      </c>
      <c r="AK1" s="165" t="s">
        <v>11</v>
      </c>
      <c r="AL1" s="25"/>
      <c r="AM1" s="26" t="s">
        <v>1</v>
      </c>
      <c r="AN1" s="27" t="s">
        <v>217</v>
      </c>
      <c r="AU1" s="283" t="s">
        <v>12</v>
      </c>
      <c r="AV1" s="283"/>
      <c r="AW1" s="283"/>
    </row>
    <row r="2" spans="1:49" outlineLevel="1" x14ac:dyDescent="0.25">
      <c r="A2" s="28">
        <v>1254</v>
      </c>
      <c r="B2" s="29"/>
      <c r="C2" s="30" t="s">
        <v>13</v>
      </c>
      <c r="D2" s="199" t="s">
        <v>13</v>
      </c>
      <c r="E2" s="29">
        <v>1257</v>
      </c>
      <c r="F2" s="29"/>
      <c r="G2" s="30" t="s">
        <v>13</v>
      </c>
      <c r="H2" s="199" t="s">
        <v>13</v>
      </c>
      <c r="I2" s="29">
        <v>1260</v>
      </c>
      <c r="J2" s="29"/>
      <c r="K2" s="30" t="s">
        <v>13</v>
      </c>
      <c r="L2" s="199" t="s">
        <v>13</v>
      </c>
      <c r="M2" s="29">
        <v>1263</v>
      </c>
      <c r="N2" s="29"/>
      <c r="O2" s="30" t="s">
        <v>13</v>
      </c>
      <c r="P2" s="166" t="s">
        <v>13</v>
      </c>
      <c r="Q2" s="29">
        <v>1266</v>
      </c>
      <c r="R2" s="29"/>
      <c r="S2" s="30" t="s">
        <v>13</v>
      </c>
      <c r="T2" s="30" t="s">
        <v>13</v>
      </c>
      <c r="U2" s="29">
        <v>1269</v>
      </c>
      <c r="V2" s="29"/>
      <c r="W2" s="30" t="s">
        <v>13</v>
      </c>
      <c r="X2" s="30" t="s">
        <v>13</v>
      </c>
      <c r="Y2" s="29">
        <v>1272</v>
      </c>
      <c r="Z2" s="29"/>
      <c r="AA2" s="30" t="s">
        <v>13</v>
      </c>
      <c r="AB2" s="30" t="s">
        <v>13</v>
      </c>
      <c r="AC2" s="29">
        <v>1275</v>
      </c>
      <c r="AD2" s="29"/>
      <c r="AE2" s="30" t="s">
        <v>13</v>
      </c>
      <c r="AF2" s="30" t="s">
        <v>13</v>
      </c>
      <c r="AG2" s="29">
        <v>1278</v>
      </c>
      <c r="AH2" s="29"/>
      <c r="AI2" s="30" t="s">
        <v>13</v>
      </c>
      <c r="AJ2" s="30" t="s">
        <v>13</v>
      </c>
      <c r="AK2" s="29">
        <v>1281</v>
      </c>
      <c r="AL2" s="29"/>
      <c r="AM2" s="30" t="s">
        <v>13</v>
      </c>
      <c r="AN2" s="31" t="s">
        <v>13</v>
      </c>
      <c r="AP2" s="224" t="s">
        <v>14</v>
      </c>
      <c r="AQ2" s="224"/>
      <c r="AR2" s="52" t="s">
        <v>15</v>
      </c>
      <c r="AS2" s="52" t="s">
        <v>16</v>
      </c>
      <c r="AT2" s="52" t="s">
        <v>17</v>
      </c>
      <c r="AU2" s="167" t="s">
        <v>15</v>
      </c>
      <c r="AV2" s="167" t="s">
        <v>16</v>
      </c>
      <c r="AW2" s="167" t="s">
        <v>17</v>
      </c>
    </row>
    <row r="3" spans="1:49" outlineLevel="1" x14ac:dyDescent="0.25">
      <c r="A3" s="28"/>
      <c r="B3" s="29" t="s">
        <v>18</v>
      </c>
      <c r="C3" s="30">
        <v>960877</v>
      </c>
      <c r="D3" s="199">
        <v>858425</v>
      </c>
      <c r="E3" s="29"/>
      <c r="F3" s="29" t="s">
        <v>18</v>
      </c>
      <c r="G3" s="30">
        <v>138764</v>
      </c>
      <c r="H3" s="199">
        <v>126884</v>
      </c>
      <c r="I3" s="29"/>
      <c r="J3" s="29" t="s">
        <v>18</v>
      </c>
      <c r="K3" s="30">
        <v>58964</v>
      </c>
      <c r="L3" s="199">
        <v>52391</v>
      </c>
      <c r="M3" s="29"/>
      <c r="N3" s="29" t="s">
        <v>18</v>
      </c>
      <c r="O3" s="30">
        <v>160526</v>
      </c>
      <c r="P3" s="199">
        <v>151634</v>
      </c>
      <c r="Q3" s="29"/>
      <c r="R3" s="29" t="s">
        <v>18</v>
      </c>
      <c r="S3" s="30">
        <v>163472</v>
      </c>
      <c r="T3" s="199">
        <v>146836</v>
      </c>
      <c r="U3" s="29"/>
      <c r="V3" s="29" t="s">
        <v>18</v>
      </c>
      <c r="W3" s="30">
        <v>31301</v>
      </c>
      <c r="X3" s="199">
        <v>28153</v>
      </c>
      <c r="Y3" s="29"/>
      <c r="Z3" s="29" t="s">
        <v>18</v>
      </c>
      <c r="AA3" s="30">
        <v>38517</v>
      </c>
      <c r="AB3" s="199">
        <v>35548</v>
      </c>
      <c r="AC3" s="29"/>
      <c r="AD3" s="29" t="s">
        <v>18</v>
      </c>
      <c r="AE3" s="30">
        <v>24221</v>
      </c>
      <c r="AF3" s="199">
        <v>20683</v>
      </c>
      <c r="AG3" s="29"/>
      <c r="AH3" s="29" t="s">
        <v>18</v>
      </c>
      <c r="AI3" s="30">
        <v>17702</v>
      </c>
      <c r="AJ3" s="199">
        <v>15826</v>
      </c>
      <c r="AK3" s="29"/>
      <c r="AL3" s="29" t="s">
        <v>18</v>
      </c>
      <c r="AM3" s="30">
        <v>28313</v>
      </c>
      <c r="AN3" s="209">
        <v>24565</v>
      </c>
      <c r="AP3" s="52" t="s">
        <v>19</v>
      </c>
      <c r="AQ3" s="53">
        <f>$H48</f>
        <v>83587</v>
      </c>
      <c r="AR3" s="53">
        <f>H$17+H$18+H$40+H$41</f>
        <v>36081</v>
      </c>
      <c r="AS3" s="53">
        <f>H$19+H$20+H$42+H$43</f>
        <v>31792</v>
      </c>
      <c r="AT3" s="53">
        <f>H$21+H$22+H$23+H$24+H$44+H$45+H$46+H$47</f>
        <v>15714</v>
      </c>
      <c r="AU3" s="168">
        <v>39963</v>
      </c>
      <c r="AV3" s="168">
        <v>27855</v>
      </c>
      <c r="AW3" s="168">
        <v>15572</v>
      </c>
    </row>
    <row r="4" spans="1:49" outlineLevel="1" x14ac:dyDescent="0.25">
      <c r="A4" s="28"/>
      <c r="B4" s="29" t="s">
        <v>20</v>
      </c>
      <c r="C4" s="30">
        <v>37141</v>
      </c>
      <c r="D4" s="199">
        <v>23238</v>
      </c>
      <c r="E4" s="29"/>
      <c r="F4" s="29" t="s">
        <v>20</v>
      </c>
      <c r="G4" s="30">
        <v>5344</v>
      </c>
      <c r="H4" s="199">
        <v>3602</v>
      </c>
      <c r="I4" s="29"/>
      <c r="J4" s="29" t="s">
        <v>20</v>
      </c>
      <c r="K4" s="30">
        <v>2532</v>
      </c>
      <c r="L4" s="199">
        <v>1500</v>
      </c>
      <c r="M4" s="29"/>
      <c r="N4" s="29" t="s">
        <v>20</v>
      </c>
      <c r="O4" s="30">
        <v>6859</v>
      </c>
      <c r="P4" s="199">
        <v>4705</v>
      </c>
      <c r="Q4" s="29"/>
      <c r="R4" s="29" t="s">
        <v>20</v>
      </c>
      <c r="S4" s="30">
        <v>6419</v>
      </c>
      <c r="T4" s="199">
        <v>4087</v>
      </c>
      <c r="U4" s="29"/>
      <c r="V4" s="29" t="s">
        <v>20</v>
      </c>
      <c r="W4" s="30">
        <v>1307</v>
      </c>
      <c r="X4" s="199">
        <v>742</v>
      </c>
      <c r="Y4" s="29"/>
      <c r="Z4" s="29" t="s">
        <v>20</v>
      </c>
      <c r="AA4" s="30">
        <v>1562</v>
      </c>
      <c r="AB4" s="199">
        <v>1091</v>
      </c>
      <c r="AC4" s="29"/>
      <c r="AD4" s="29" t="s">
        <v>20</v>
      </c>
      <c r="AE4" s="30">
        <v>907</v>
      </c>
      <c r="AF4" s="199">
        <v>567</v>
      </c>
      <c r="AG4" s="29"/>
      <c r="AH4" s="29" t="s">
        <v>20</v>
      </c>
      <c r="AI4" s="30">
        <v>766</v>
      </c>
      <c r="AJ4" s="199">
        <v>385</v>
      </c>
      <c r="AK4" s="29"/>
      <c r="AL4" s="29" t="s">
        <v>20</v>
      </c>
      <c r="AM4" s="30">
        <v>976</v>
      </c>
      <c r="AN4" s="209">
        <v>575</v>
      </c>
      <c r="AP4" s="52" t="s">
        <v>21</v>
      </c>
      <c r="AQ4" s="53">
        <f>$L48</f>
        <v>36447</v>
      </c>
      <c r="AR4" s="53">
        <f>L$17+L$18+L$40+L$41</f>
        <v>16314</v>
      </c>
      <c r="AS4" s="53">
        <f>L$19+L$20+L$42+L$43</f>
        <v>13119</v>
      </c>
      <c r="AT4" s="53">
        <f>L$21+L$22+L$23+L$24+L$44+L$45+L$46+L$47</f>
        <v>7014</v>
      </c>
      <c r="AU4" s="168">
        <v>17525</v>
      </c>
      <c r="AV4" s="168">
        <v>11860</v>
      </c>
      <c r="AW4" s="168">
        <v>7062</v>
      </c>
    </row>
    <row r="5" spans="1:49" outlineLevel="1" x14ac:dyDescent="0.25">
      <c r="A5" s="28"/>
      <c r="B5" s="29" t="s">
        <v>22</v>
      </c>
      <c r="C5" s="30">
        <v>40920</v>
      </c>
      <c r="D5" s="199">
        <v>31642</v>
      </c>
      <c r="E5" s="29"/>
      <c r="F5" s="29" t="s">
        <v>22</v>
      </c>
      <c r="G5" s="30">
        <v>5953</v>
      </c>
      <c r="H5" s="199">
        <v>4785</v>
      </c>
      <c r="I5" s="29"/>
      <c r="J5" s="29" t="s">
        <v>22</v>
      </c>
      <c r="K5" s="30">
        <v>2707</v>
      </c>
      <c r="L5" s="199">
        <v>2017</v>
      </c>
      <c r="M5" s="29"/>
      <c r="N5" s="29" t="s">
        <v>22</v>
      </c>
      <c r="O5" s="30">
        <v>7146</v>
      </c>
      <c r="P5" s="199">
        <v>6197</v>
      </c>
      <c r="Q5" s="29"/>
      <c r="R5" s="29" t="s">
        <v>22</v>
      </c>
      <c r="S5" s="30">
        <v>7085</v>
      </c>
      <c r="T5" s="199">
        <v>5519</v>
      </c>
      <c r="U5" s="29"/>
      <c r="V5" s="29" t="s">
        <v>22</v>
      </c>
      <c r="W5" s="30">
        <v>1401</v>
      </c>
      <c r="X5" s="199">
        <v>1023</v>
      </c>
      <c r="Y5" s="29"/>
      <c r="Z5" s="29" t="s">
        <v>22</v>
      </c>
      <c r="AA5" s="30">
        <v>1839</v>
      </c>
      <c r="AB5" s="199">
        <v>1444</v>
      </c>
      <c r="AC5" s="29"/>
      <c r="AD5" s="29" t="s">
        <v>22</v>
      </c>
      <c r="AE5" s="30">
        <v>979</v>
      </c>
      <c r="AF5" s="199">
        <v>763</v>
      </c>
      <c r="AG5" s="29"/>
      <c r="AH5" s="29" t="s">
        <v>22</v>
      </c>
      <c r="AI5" s="30">
        <v>784</v>
      </c>
      <c r="AJ5" s="199">
        <v>607</v>
      </c>
      <c r="AK5" s="29"/>
      <c r="AL5" s="29" t="s">
        <v>22</v>
      </c>
      <c r="AM5" s="30">
        <v>1118</v>
      </c>
      <c r="AN5" s="209">
        <v>812</v>
      </c>
      <c r="AP5" s="52" t="s">
        <v>5</v>
      </c>
      <c r="AQ5" s="53">
        <f>$P48</f>
        <v>89410</v>
      </c>
      <c r="AR5" s="53">
        <f>P$17+P$18+P$40+P$41</f>
        <v>41588</v>
      </c>
      <c r="AS5" s="53">
        <f>P$19+P$20+P$42+P$43</f>
        <v>32782</v>
      </c>
      <c r="AT5" s="53">
        <f>P$21+P$22+P$23+P$24+P$44+P$45+P$46+P$47</f>
        <v>15040</v>
      </c>
      <c r="AU5" s="168">
        <v>44505</v>
      </c>
      <c r="AV5" s="168">
        <v>27831</v>
      </c>
      <c r="AW5" s="168">
        <v>14925</v>
      </c>
    </row>
    <row r="6" spans="1:49" outlineLevel="1" x14ac:dyDescent="0.25">
      <c r="A6" s="28"/>
      <c r="B6" s="29" t="s">
        <v>23</v>
      </c>
      <c r="C6" s="30">
        <v>47378</v>
      </c>
      <c r="D6" s="199">
        <v>36949</v>
      </c>
      <c r="E6" s="29"/>
      <c r="F6" s="29" t="s">
        <v>23</v>
      </c>
      <c r="G6" s="30">
        <v>6845</v>
      </c>
      <c r="H6" s="199">
        <v>5515</v>
      </c>
      <c r="I6" s="29"/>
      <c r="J6" s="29" t="s">
        <v>23</v>
      </c>
      <c r="K6" s="30">
        <v>3070</v>
      </c>
      <c r="L6" s="199">
        <v>2415</v>
      </c>
      <c r="M6" s="29"/>
      <c r="N6" s="29" t="s">
        <v>23</v>
      </c>
      <c r="O6" s="30">
        <v>8047</v>
      </c>
      <c r="P6" s="199">
        <v>6906</v>
      </c>
      <c r="Q6" s="29"/>
      <c r="R6" s="29" t="s">
        <v>23</v>
      </c>
      <c r="S6" s="30">
        <v>7842</v>
      </c>
      <c r="T6" s="199">
        <v>6354</v>
      </c>
      <c r="U6" s="29"/>
      <c r="V6" s="29" t="s">
        <v>23</v>
      </c>
      <c r="W6" s="30">
        <v>1692</v>
      </c>
      <c r="X6" s="199">
        <v>1188</v>
      </c>
      <c r="Y6" s="29"/>
      <c r="Z6" s="29" t="s">
        <v>23</v>
      </c>
      <c r="AA6" s="30">
        <v>2116</v>
      </c>
      <c r="AB6" s="199">
        <v>1650</v>
      </c>
      <c r="AC6" s="29"/>
      <c r="AD6" s="29" t="s">
        <v>23</v>
      </c>
      <c r="AE6" s="30">
        <v>1161</v>
      </c>
      <c r="AF6" s="199">
        <v>891</v>
      </c>
      <c r="AG6" s="29"/>
      <c r="AH6" s="29" t="s">
        <v>23</v>
      </c>
      <c r="AI6" s="30">
        <v>840</v>
      </c>
      <c r="AJ6" s="199">
        <v>792</v>
      </c>
      <c r="AK6" s="29"/>
      <c r="AL6" s="29" t="s">
        <v>23</v>
      </c>
      <c r="AM6" s="30">
        <v>1389</v>
      </c>
      <c r="AN6" s="209">
        <v>1018</v>
      </c>
      <c r="AP6" s="52" t="s">
        <v>6</v>
      </c>
      <c r="AQ6" s="53">
        <f>$T48</f>
        <v>98548</v>
      </c>
      <c r="AR6" s="53">
        <f>T$17+T$18+T$40+T$41</f>
        <v>43597</v>
      </c>
      <c r="AS6" s="53">
        <f>T$19+T$20+T$42+T$43</f>
        <v>36946</v>
      </c>
      <c r="AT6" s="53">
        <f>T$21+T$22+T$23+T$24+T$44+T$45+T$46+T$47</f>
        <v>18005</v>
      </c>
      <c r="AU6" s="168">
        <v>48180</v>
      </c>
      <c r="AV6" s="168">
        <v>32794</v>
      </c>
      <c r="AW6" s="168">
        <v>17599</v>
      </c>
    </row>
    <row r="7" spans="1:49" outlineLevel="1" x14ac:dyDescent="0.25">
      <c r="A7" s="28"/>
      <c r="B7" s="29" t="s">
        <v>24</v>
      </c>
      <c r="C7" s="30">
        <v>50949</v>
      </c>
      <c r="D7" s="199">
        <v>39835</v>
      </c>
      <c r="E7" s="29"/>
      <c r="F7" s="29" t="s">
        <v>24</v>
      </c>
      <c r="G7" s="30">
        <v>7545</v>
      </c>
      <c r="H7" s="199">
        <v>6155</v>
      </c>
      <c r="I7" s="29"/>
      <c r="J7" s="29" t="s">
        <v>24</v>
      </c>
      <c r="K7" s="30">
        <v>3195</v>
      </c>
      <c r="L7" s="199">
        <v>2573</v>
      </c>
      <c r="M7" s="29"/>
      <c r="N7" s="29" t="s">
        <v>24</v>
      </c>
      <c r="O7" s="30">
        <v>8647</v>
      </c>
      <c r="P7" s="199">
        <v>7237</v>
      </c>
      <c r="Q7" s="29"/>
      <c r="R7" s="29" t="s">
        <v>24</v>
      </c>
      <c r="S7" s="30">
        <v>8686</v>
      </c>
      <c r="T7" s="199">
        <v>6777</v>
      </c>
      <c r="U7" s="29"/>
      <c r="V7" s="29" t="s">
        <v>24</v>
      </c>
      <c r="W7" s="30">
        <v>1728</v>
      </c>
      <c r="X7" s="199">
        <v>1356</v>
      </c>
      <c r="Y7" s="29"/>
      <c r="Z7" s="29" t="s">
        <v>24</v>
      </c>
      <c r="AA7" s="30">
        <v>2190</v>
      </c>
      <c r="AB7" s="199">
        <v>1824</v>
      </c>
      <c r="AC7" s="29"/>
      <c r="AD7" s="29" t="s">
        <v>24</v>
      </c>
      <c r="AE7" s="30">
        <v>1282</v>
      </c>
      <c r="AF7" s="199">
        <v>925</v>
      </c>
      <c r="AG7" s="29"/>
      <c r="AH7" s="29" t="s">
        <v>24</v>
      </c>
      <c r="AI7" s="30">
        <v>886</v>
      </c>
      <c r="AJ7" s="199">
        <v>747</v>
      </c>
      <c r="AK7" s="29"/>
      <c r="AL7" s="29" t="s">
        <v>24</v>
      </c>
      <c r="AM7" s="30">
        <v>1457</v>
      </c>
      <c r="AN7" s="209">
        <v>1066</v>
      </c>
      <c r="AP7" s="52" t="s">
        <v>7</v>
      </c>
      <c r="AQ7" s="53">
        <f>$X48</f>
        <v>18338</v>
      </c>
      <c r="AR7" s="53">
        <f>X$17+X$18+X$40+X$41</f>
        <v>8636</v>
      </c>
      <c r="AS7" s="53">
        <f>X$19+X$20+X$42+X$43</f>
        <v>6425</v>
      </c>
      <c r="AT7" s="53">
        <f>X$21+X$22+X$23+X$24+X$44+X$45+X$46+X$47</f>
        <v>3277</v>
      </c>
      <c r="AU7" s="168">
        <v>9245</v>
      </c>
      <c r="AV7" s="168">
        <v>5407</v>
      </c>
      <c r="AW7" s="168">
        <v>3531</v>
      </c>
    </row>
    <row r="8" spans="1:49" outlineLevel="1" x14ac:dyDescent="0.25">
      <c r="A8" s="28"/>
      <c r="B8" s="29" t="s">
        <v>25</v>
      </c>
      <c r="C8" s="30">
        <v>48441</v>
      </c>
      <c r="D8" s="199">
        <v>39790</v>
      </c>
      <c r="E8" s="29"/>
      <c r="F8" s="29" t="s">
        <v>25</v>
      </c>
      <c r="G8" s="30">
        <v>7621</v>
      </c>
      <c r="H8" s="199">
        <v>6475</v>
      </c>
      <c r="I8" s="29"/>
      <c r="J8" s="29" t="s">
        <v>25</v>
      </c>
      <c r="K8" s="30">
        <v>2814</v>
      </c>
      <c r="L8" s="199">
        <v>2599</v>
      </c>
      <c r="M8" s="29"/>
      <c r="N8" s="29" t="s">
        <v>25</v>
      </c>
      <c r="O8" s="30">
        <v>8907</v>
      </c>
      <c r="P8" s="199">
        <v>7688</v>
      </c>
      <c r="Q8" s="29"/>
      <c r="R8" s="29" t="s">
        <v>25</v>
      </c>
      <c r="S8" s="30">
        <v>8010</v>
      </c>
      <c r="T8" s="199">
        <v>6585</v>
      </c>
      <c r="U8" s="29"/>
      <c r="V8" s="29" t="s">
        <v>25</v>
      </c>
      <c r="W8" s="30">
        <v>1591</v>
      </c>
      <c r="X8" s="199">
        <v>1433</v>
      </c>
      <c r="Y8" s="29"/>
      <c r="Z8" s="29" t="s">
        <v>25</v>
      </c>
      <c r="AA8" s="30">
        <v>2022</v>
      </c>
      <c r="AB8" s="199">
        <v>1587</v>
      </c>
      <c r="AC8" s="29"/>
      <c r="AD8" s="29" t="s">
        <v>25</v>
      </c>
      <c r="AE8" s="30">
        <v>961</v>
      </c>
      <c r="AF8" s="199">
        <v>837</v>
      </c>
      <c r="AG8" s="29"/>
      <c r="AH8" s="29" t="s">
        <v>25</v>
      </c>
      <c r="AI8" s="30">
        <v>857</v>
      </c>
      <c r="AJ8" s="199">
        <v>737</v>
      </c>
      <c r="AK8" s="29"/>
      <c r="AL8" s="29" t="s">
        <v>25</v>
      </c>
      <c r="AM8" s="30">
        <v>1376</v>
      </c>
      <c r="AN8" s="209">
        <v>1053</v>
      </c>
      <c r="AP8" s="52" t="s">
        <v>8</v>
      </c>
      <c r="AQ8" s="53">
        <f>$AB48</f>
        <v>22316</v>
      </c>
      <c r="AR8" s="53">
        <f>AB$17+AB$18+AB$40+AB$41</f>
        <v>10690</v>
      </c>
      <c r="AS8" s="53">
        <f>AB$19+AB$20+AB$42+AB$43</f>
        <v>7885</v>
      </c>
      <c r="AT8" s="53">
        <f>AB$21+AB$22+AB$23+AB$24+AB$44+AB$45+AB$46+AB$47</f>
        <v>3741</v>
      </c>
      <c r="AU8" s="168">
        <v>11538</v>
      </c>
      <c r="AV8" s="168">
        <v>6712</v>
      </c>
      <c r="AW8" s="168">
        <v>3844</v>
      </c>
    </row>
    <row r="9" spans="1:49" outlineLevel="1" x14ac:dyDescent="0.25">
      <c r="A9" s="28"/>
      <c r="B9" s="29" t="s">
        <v>26</v>
      </c>
      <c r="C9" s="30">
        <v>50629</v>
      </c>
      <c r="D9" s="199">
        <v>39575</v>
      </c>
      <c r="E9" s="29"/>
      <c r="F9" s="29" t="s">
        <v>26</v>
      </c>
      <c r="G9" s="30">
        <v>7318</v>
      </c>
      <c r="H9" s="199">
        <v>6085</v>
      </c>
      <c r="I9" s="29"/>
      <c r="J9" s="29" t="s">
        <v>26</v>
      </c>
      <c r="K9" s="30">
        <v>3129</v>
      </c>
      <c r="L9" s="199">
        <v>2352</v>
      </c>
      <c r="M9" s="29"/>
      <c r="N9" s="29" t="s">
        <v>26</v>
      </c>
      <c r="O9" s="30">
        <v>9669</v>
      </c>
      <c r="P9" s="199">
        <v>7789</v>
      </c>
      <c r="Q9" s="29"/>
      <c r="R9" s="29" t="s">
        <v>26</v>
      </c>
      <c r="S9" s="30">
        <v>8389</v>
      </c>
      <c r="T9" s="199">
        <v>6984</v>
      </c>
      <c r="U9" s="29"/>
      <c r="V9" s="29" t="s">
        <v>26</v>
      </c>
      <c r="W9" s="30">
        <v>1775</v>
      </c>
      <c r="X9" s="199">
        <v>1389</v>
      </c>
      <c r="Y9" s="29"/>
      <c r="Z9" s="29" t="s">
        <v>26</v>
      </c>
      <c r="AA9" s="30">
        <v>2053</v>
      </c>
      <c r="AB9" s="199">
        <v>1689</v>
      </c>
      <c r="AC9" s="29"/>
      <c r="AD9" s="29" t="s">
        <v>26</v>
      </c>
      <c r="AE9" s="30">
        <v>1187</v>
      </c>
      <c r="AF9" s="199">
        <v>786</v>
      </c>
      <c r="AG9" s="29"/>
      <c r="AH9" s="29" t="s">
        <v>26</v>
      </c>
      <c r="AI9" s="30">
        <v>1008</v>
      </c>
      <c r="AJ9" s="199">
        <v>718</v>
      </c>
      <c r="AK9" s="29"/>
      <c r="AL9" s="29" t="s">
        <v>26</v>
      </c>
      <c r="AM9" s="30">
        <v>1446</v>
      </c>
      <c r="AN9" s="209">
        <v>1060</v>
      </c>
      <c r="AP9" s="52" t="s">
        <v>9</v>
      </c>
      <c r="AQ9" s="53">
        <f>$AF48</f>
        <v>16305</v>
      </c>
      <c r="AR9" s="53">
        <f>AF$17+AF$18+AF$40+AF$41</f>
        <v>7080</v>
      </c>
      <c r="AS9" s="53">
        <f>AF$19+AF$20+AF$42+AF$43</f>
        <v>5477</v>
      </c>
      <c r="AT9" s="53">
        <f>AF$21+AF$22+AF$23+AF$24+AF$44+AF$45+AF$46+AF$47</f>
        <v>3748</v>
      </c>
      <c r="AU9" s="168">
        <v>7634</v>
      </c>
      <c r="AV9" s="168">
        <v>4907</v>
      </c>
      <c r="AW9" s="168">
        <v>3851</v>
      </c>
    </row>
    <row r="10" spans="1:49" outlineLevel="1" x14ac:dyDescent="0.25">
      <c r="A10" s="28"/>
      <c r="B10" s="29" t="s">
        <v>27</v>
      </c>
      <c r="C10" s="30">
        <v>55655</v>
      </c>
      <c r="D10" s="199">
        <v>42412</v>
      </c>
      <c r="E10" s="29"/>
      <c r="F10" s="29" t="s">
        <v>27</v>
      </c>
      <c r="G10" s="30">
        <v>8040</v>
      </c>
      <c r="H10" s="199">
        <v>6313</v>
      </c>
      <c r="I10" s="29"/>
      <c r="J10" s="29" t="s">
        <v>27</v>
      </c>
      <c r="K10" s="30">
        <v>3353</v>
      </c>
      <c r="L10" s="199">
        <v>2548</v>
      </c>
      <c r="M10" s="29"/>
      <c r="N10" s="29" t="s">
        <v>27</v>
      </c>
      <c r="O10" s="30">
        <v>10480</v>
      </c>
      <c r="P10" s="199">
        <v>8381</v>
      </c>
      <c r="Q10" s="29"/>
      <c r="R10" s="29" t="s">
        <v>27</v>
      </c>
      <c r="S10" s="30">
        <v>9196</v>
      </c>
      <c r="T10" s="199">
        <v>7574</v>
      </c>
      <c r="U10" s="29"/>
      <c r="V10" s="29" t="s">
        <v>27</v>
      </c>
      <c r="W10" s="30">
        <v>1913</v>
      </c>
      <c r="X10" s="199">
        <v>1457</v>
      </c>
      <c r="Y10" s="29"/>
      <c r="Z10" s="29" t="s">
        <v>27</v>
      </c>
      <c r="AA10" s="30">
        <v>2289</v>
      </c>
      <c r="AB10" s="199">
        <v>1792</v>
      </c>
      <c r="AC10" s="29"/>
      <c r="AD10" s="29" t="s">
        <v>27</v>
      </c>
      <c r="AE10" s="30">
        <v>1315</v>
      </c>
      <c r="AF10" s="199">
        <v>912</v>
      </c>
      <c r="AG10" s="29"/>
      <c r="AH10" s="29" t="s">
        <v>27</v>
      </c>
      <c r="AI10" s="30">
        <v>1132</v>
      </c>
      <c r="AJ10" s="199">
        <v>764</v>
      </c>
      <c r="AK10" s="29"/>
      <c r="AL10" s="29" t="s">
        <v>27</v>
      </c>
      <c r="AM10" s="30">
        <v>1599</v>
      </c>
      <c r="AN10" s="209">
        <v>1149</v>
      </c>
      <c r="AP10" s="52" t="s">
        <v>10</v>
      </c>
      <c r="AQ10" s="53">
        <f>$AJ48</f>
        <v>10752</v>
      </c>
      <c r="AR10" s="53">
        <f>AJ$17+AJ$18+AJ$40+AJ$41</f>
        <v>4755</v>
      </c>
      <c r="AS10" s="53">
        <f>AJ$19+AJ$20+AJ$42+AJ$43</f>
        <v>4030</v>
      </c>
      <c r="AT10" s="53">
        <f>AJ$21+AJ$22+AJ$23+AJ$24+AJ$44+AJ$45+AJ$46+AJ$47</f>
        <v>1967</v>
      </c>
      <c r="AU10" s="168">
        <v>5330</v>
      </c>
      <c r="AV10" s="168">
        <v>3416</v>
      </c>
      <c r="AW10" s="168">
        <v>2148</v>
      </c>
    </row>
    <row r="11" spans="1:49" outlineLevel="1" x14ac:dyDescent="0.25">
      <c r="A11" s="28"/>
      <c r="B11" s="29" t="s">
        <v>28</v>
      </c>
      <c r="C11" s="30">
        <v>62723</v>
      </c>
      <c r="D11" s="199">
        <v>47462</v>
      </c>
      <c r="E11" s="29"/>
      <c r="F11" s="29" t="s">
        <v>28</v>
      </c>
      <c r="G11" s="30">
        <v>9408</v>
      </c>
      <c r="H11" s="199">
        <v>6912</v>
      </c>
      <c r="I11" s="29"/>
      <c r="J11" s="29" t="s">
        <v>28</v>
      </c>
      <c r="K11" s="30">
        <v>3812</v>
      </c>
      <c r="L11" s="199">
        <v>2926</v>
      </c>
      <c r="M11" s="29"/>
      <c r="N11" s="29" t="s">
        <v>28</v>
      </c>
      <c r="O11" s="30">
        <v>11580</v>
      </c>
      <c r="P11" s="199">
        <v>9261</v>
      </c>
      <c r="Q11" s="29"/>
      <c r="R11" s="29" t="s">
        <v>28</v>
      </c>
      <c r="S11" s="30">
        <v>10963</v>
      </c>
      <c r="T11" s="199">
        <v>8035</v>
      </c>
      <c r="U11" s="29"/>
      <c r="V11" s="29" t="s">
        <v>28</v>
      </c>
      <c r="W11" s="30">
        <v>2179</v>
      </c>
      <c r="X11" s="199">
        <v>1575</v>
      </c>
      <c r="Y11" s="29"/>
      <c r="Z11" s="29" t="s">
        <v>28</v>
      </c>
      <c r="AA11" s="30">
        <v>2669</v>
      </c>
      <c r="AB11" s="199">
        <v>2029</v>
      </c>
      <c r="AC11" s="29"/>
      <c r="AD11" s="29" t="s">
        <v>28</v>
      </c>
      <c r="AE11" s="30">
        <v>1387</v>
      </c>
      <c r="AF11" s="199">
        <v>1093</v>
      </c>
      <c r="AG11" s="29"/>
      <c r="AH11" s="29" t="s">
        <v>28</v>
      </c>
      <c r="AI11" s="30">
        <v>1127</v>
      </c>
      <c r="AJ11" s="199">
        <v>923</v>
      </c>
      <c r="AK11" s="29"/>
      <c r="AL11" s="29" t="s">
        <v>28</v>
      </c>
      <c r="AM11" s="30">
        <v>1772</v>
      </c>
      <c r="AN11" s="209">
        <v>1351</v>
      </c>
      <c r="AP11" s="52" t="s">
        <v>11</v>
      </c>
      <c r="AQ11" s="53">
        <f>$AN48</f>
        <v>18401</v>
      </c>
      <c r="AR11" s="53">
        <f>AN$17+AN$18+AN$40+AN$41</f>
        <v>8540</v>
      </c>
      <c r="AS11" s="53">
        <f>AN$19+AN$20+AN$42+AN$43</f>
        <v>6417</v>
      </c>
      <c r="AT11" s="53">
        <f>AN$21+AN$22+AN$23+AN$24+AN$44+AN$45+AN$46+AN$47</f>
        <v>3444</v>
      </c>
      <c r="AU11" s="168">
        <v>9342</v>
      </c>
      <c r="AV11" s="168">
        <v>5370</v>
      </c>
      <c r="AW11" s="168">
        <v>3655</v>
      </c>
    </row>
    <row r="12" spans="1:49" outlineLevel="1" x14ac:dyDescent="0.25">
      <c r="A12" s="28"/>
      <c r="B12" s="29" t="s">
        <v>29</v>
      </c>
      <c r="C12" s="30">
        <v>66171</v>
      </c>
      <c r="D12" s="199">
        <v>53854</v>
      </c>
      <c r="E12" s="29"/>
      <c r="F12" s="29" t="s">
        <v>29</v>
      </c>
      <c r="G12" s="30">
        <v>10429</v>
      </c>
      <c r="H12" s="199">
        <v>7789</v>
      </c>
      <c r="I12" s="29"/>
      <c r="J12" s="29" t="s">
        <v>29</v>
      </c>
      <c r="K12" s="30">
        <v>3971</v>
      </c>
      <c r="L12" s="199">
        <v>3216</v>
      </c>
      <c r="M12" s="29"/>
      <c r="N12" s="29" t="s">
        <v>29</v>
      </c>
      <c r="O12" s="30">
        <v>12545</v>
      </c>
      <c r="P12" s="199">
        <v>10309</v>
      </c>
      <c r="Q12" s="29"/>
      <c r="R12" s="29" t="s">
        <v>29</v>
      </c>
      <c r="S12" s="30">
        <v>11812</v>
      </c>
      <c r="T12" s="199">
        <v>8919</v>
      </c>
      <c r="U12" s="29"/>
      <c r="V12" s="29" t="s">
        <v>29</v>
      </c>
      <c r="W12" s="30">
        <v>2177</v>
      </c>
      <c r="X12" s="199">
        <v>1837</v>
      </c>
      <c r="Y12" s="29"/>
      <c r="Z12" s="29" t="s">
        <v>29</v>
      </c>
      <c r="AA12" s="30">
        <v>2829</v>
      </c>
      <c r="AB12" s="199">
        <v>2389</v>
      </c>
      <c r="AC12" s="29"/>
      <c r="AD12" s="29" t="s">
        <v>29</v>
      </c>
      <c r="AE12" s="30">
        <v>1382</v>
      </c>
      <c r="AF12" s="199">
        <v>1252</v>
      </c>
      <c r="AG12" s="29"/>
      <c r="AH12" s="29" t="s">
        <v>29</v>
      </c>
      <c r="AI12" s="30">
        <v>1216</v>
      </c>
      <c r="AJ12" s="199">
        <v>1062</v>
      </c>
      <c r="AK12" s="29"/>
      <c r="AL12" s="29" t="s">
        <v>29</v>
      </c>
      <c r="AM12" s="30">
        <v>1764</v>
      </c>
      <c r="AN12" s="209">
        <v>1526</v>
      </c>
      <c r="AP12" s="52" t="s">
        <v>30</v>
      </c>
      <c r="AQ12" s="53">
        <f>$D97</f>
        <v>12751</v>
      </c>
      <c r="AR12" s="53">
        <f>D$66+D$67+D$89+D$90</f>
        <v>5940</v>
      </c>
      <c r="AS12" s="53">
        <f>D$68+D$69+D$91+D$92</f>
        <v>4120</v>
      </c>
      <c r="AT12" s="53">
        <f>D$70+D$71+D$72+D$73+D$93+D$94+D$95+D$96</f>
        <v>2691</v>
      </c>
      <c r="AU12" s="168">
        <v>6053</v>
      </c>
      <c r="AV12" s="168">
        <v>3725</v>
      </c>
      <c r="AW12" s="168">
        <v>2854</v>
      </c>
    </row>
    <row r="13" spans="1:49" outlineLevel="1" x14ac:dyDescent="0.25">
      <c r="A13" s="28"/>
      <c r="B13" s="29" t="s">
        <v>31</v>
      </c>
      <c r="C13" s="30">
        <v>59415</v>
      </c>
      <c r="D13" s="199">
        <v>60205</v>
      </c>
      <c r="E13" s="29"/>
      <c r="F13" s="29" t="s">
        <v>31</v>
      </c>
      <c r="G13" s="30">
        <v>9050</v>
      </c>
      <c r="H13" s="199">
        <v>9064</v>
      </c>
      <c r="I13" s="29"/>
      <c r="J13" s="29" t="s">
        <v>31</v>
      </c>
      <c r="K13" s="30">
        <v>3698</v>
      </c>
      <c r="L13" s="199">
        <v>3600</v>
      </c>
      <c r="M13" s="29"/>
      <c r="N13" s="29" t="s">
        <v>31</v>
      </c>
      <c r="O13" s="30">
        <v>10685</v>
      </c>
      <c r="P13" s="199">
        <v>11248</v>
      </c>
      <c r="Q13" s="29"/>
      <c r="R13" s="29" t="s">
        <v>31</v>
      </c>
      <c r="S13" s="30">
        <v>10806</v>
      </c>
      <c r="T13" s="199">
        <v>10386</v>
      </c>
      <c r="U13" s="29"/>
      <c r="V13" s="29" t="s">
        <v>31</v>
      </c>
      <c r="W13" s="30">
        <v>1926</v>
      </c>
      <c r="X13" s="199">
        <v>2061</v>
      </c>
      <c r="Y13" s="29"/>
      <c r="Z13" s="29" t="s">
        <v>31</v>
      </c>
      <c r="AA13" s="30">
        <v>2374</v>
      </c>
      <c r="AB13" s="199">
        <v>2636</v>
      </c>
      <c r="AC13" s="29"/>
      <c r="AD13" s="29" t="s">
        <v>31</v>
      </c>
      <c r="AE13" s="30">
        <v>1350</v>
      </c>
      <c r="AF13" s="199">
        <v>1360</v>
      </c>
      <c r="AG13" s="29"/>
      <c r="AH13" s="29" t="s">
        <v>31</v>
      </c>
      <c r="AI13" s="30">
        <v>1043</v>
      </c>
      <c r="AJ13" s="199">
        <v>1113</v>
      </c>
      <c r="AK13" s="29"/>
      <c r="AL13" s="29" t="s">
        <v>31</v>
      </c>
      <c r="AM13" s="30">
        <v>1640</v>
      </c>
      <c r="AN13" s="209">
        <v>1650</v>
      </c>
      <c r="AP13" s="52" t="s">
        <v>32</v>
      </c>
      <c r="AQ13" s="53">
        <f>$H97</f>
        <v>20963</v>
      </c>
      <c r="AR13" s="53">
        <f>H$66+H$67+H$89+H$90</f>
        <v>9207</v>
      </c>
      <c r="AS13" s="53">
        <f>H$68+H$69+H$91+H$92</f>
        <v>7773</v>
      </c>
      <c r="AT13" s="53">
        <f>H$70+H$71+H$72+H$73+H$93+H$94+H$95+H$96</f>
        <v>3983</v>
      </c>
      <c r="AU13" s="168">
        <v>10447</v>
      </c>
      <c r="AV13" s="168">
        <v>6669</v>
      </c>
      <c r="AW13" s="168">
        <v>4180</v>
      </c>
    </row>
    <row r="14" spans="1:49" outlineLevel="1" x14ac:dyDescent="0.25">
      <c r="A14" s="28"/>
      <c r="B14" s="29" t="s">
        <v>33</v>
      </c>
      <c r="C14" s="30">
        <v>63782</v>
      </c>
      <c r="D14" s="199">
        <v>65051</v>
      </c>
      <c r="E14" s="29"/>
      <c r="F14" s="29" t="s">
        <v>33</v>
      </c>
      <c r="G14" s="30">
        <v>8962</v>
      </c>
      <c r="H14" s="199">
        <v>10176</v>
      </c>
      <c r="I14" s="29"/>
      <c r="J14" s="29" t="s">
        <v>33</v>
      </c>
      <c r="K14" s="30">
        <v>4024</v>
      </c>
      <c r="L14" s="199">
        <v>3838</v>
      </c>
      <c r="M14" s="29"/>
      <c r="N14" s="29" t="s">
        <v>33</v>
      </c>
      <c r="O14" s="30">
        <v>10801</v>
      </c>
      <c r="P14" s="199">
        <v>12244</v>
      </c>
      <c r="Q14" s="29"/>
      <c r="R14" s="29" t="s">
        <v>33</v>
      </c>
      <c r="S14" s="30">
        <v>10780</v>
      </c>
      <c r="T14" s="199">
        <v>11798</v>
      </c>
      <c r="U14" s="29"/>
      <c r="V14" s="29" t="s">
        <v>33</v>
      </c>
      <c r="W14" s="30">
        <v>2048</v>
      </c>
      <c r="X14" s="199">
        <v>2160</v>
      </c>
      <c r="Y14" s="29"/>
      <c r="Z14" s="29" t="s">
        <v>33</v>
      </c>
      <c r="AA14" s="30">
        <v>2620</v>
      </c>
      <c r="AB14" s="199">
        <v>2751</v>
      </c>
      <c r="AC14" s="29"/>
      <c r="AD14" s="29" t="s">
        <v>33</v>
      </c>
      <c r="AE14" s="30">
        <v>1682</v>
      </c>
      <c r="AF14" s="199">
        <v>1377</v>
      </c>
      <c r="AG14" s="29"/>
      <c r="AH14" s="29" t="s">
        <v>33</v>
      </c>
      <c r="AI14" s="30">
        <v>1082</v>
      </c>
      <c r="AJ14" s="199">
        <v>1204</v>
      </c>
      <c r="AK14" s="29"/>
      <c r="AL14" s="29" t="s">
        <v>33</v>
      </c>
      <c r="AM14" s="30">
        <v>1805</v>
      </c>
      <c r="AN14" s="209">
        <v>1723</v>
      </c>
      <c r="AP14" s="52" t="s">
        <v>34</v>
      </c>
      <c r="AQ14" s="53">
        <f>$L97</f>
        <v>20717</v>
      </c>
      <c r="AR14" s="53">
        <f>L$66+L$67+L$89+L$90</f>
        <v>8794</v>
      </c>
      <c r="AS14" s="53">
        <f>L$68+L$69+L$91+L$92</f>
        <v>7765</v>
      </c>
      <c r="AT14" s="53">
        <f>L$70+L$71+L$72+L$73+L$93+L$94+L$95+L$96</f>
        <v>4158</v>
      </c>
      <c r="AU14" s="168">
        <v>9903</v>
      </c>
      <c r="AV14" s="168">
        <v>6770</v>
      </c>
      <c r="AW14" s="168">
        <v>4239</v>
      </c>
    </row>
    <row r="15" spans="1:49" outlineLevel="1" x14ac:dyDescent="0.25">
      <c r="A15" s="28"/>
      <c r="B15" s="29" t="s">
        <v>35</v>
      </c>
      <c r="C15" s="30">
        <v>70101</v>
      </c>
      <c r="D15" s="199">
        <v>57374</v>
      </c>
      <c r="E15" s="29"/>
      <c r="F15" s="29" t="s">
        <v>35</v>
      </c>
      <c r="G15" s="30">
        <v>9290</v>
      </c>
      <c r="H15" s="199">
        <v>8801</v>
      </c>
      <c r="I15" s="29"/>
      <c r="J15" s="29" t="s">
        <v>35</v>
      </c>
      <c r="K15" s="30">
        <v>4323</v>
      </c>
      <c r="L15" s="199">
        <v>3532</v>
      </c>
      <c r="M15" s="29"/>
      <c r="N15" s="29" t="s">
        <v>35</v>
      </c>
      <c r="O15" s="30">
        <v>11015</v>
      </c>
      <c r="P15" s="199">
        <v>10324</v>
      </c>
      <c r="Q15" s="29"/>
      <c r="R15" s="29" t="s">
        <v>35</v>
      </c>
      <c r="S15" s="30">
        <v>11524</v>
      </c>
      <c r="T15" s="199">
        <v>10494</v>
      </c>
      <c r="U15" s="29"/>
      <c r="V15" s="29" t="s">
        <v>35</v>
      </c>
      <c r="W15" s="30">
        <v>2324</v>
      </c>
      <c r="X15" s="199">
        <v>1871</v>
      </c>
      <c r="Y15" s="29"/>
      <c r="Z15" s="29" t="s">
        <v>35</v>
      </c>
      <c r="AA15" s="30">
        <v>2784</v>
      </c>
      <c r="AB15" s="199">
        <v>2359</v>
      </c>
      <c r="AC15" s="29"/>
      <c r="AD15" s="29" t="s">
        <v>35</v>
      </c>
      <c r="AE15" s="30">
        <v>1912</v>
      </c>
      <c r="AF15" s="199">
        <v>1268</v>
      </c>
      <c r="AG15" s="29"/>
      <c r="AH15" s="29" t="s">
        <v>35</v>
      </c>
      <c r="AI15" s="30">
        <v>1272</v>
      </c>
      <c r="AJ15" s="199">
        <v>1024</v>
      </c>
      <c r="AK15" s="29"/>
      <c r="AL15" s="29" t="s">
        <v>35</v>
      </c>
      <c r="AM15" s="30">
        <v>2187</v>
      </c>
      <c r="AN15" s="209">
        <v>1545</v>
      </c>
      <c r="AP15" s="52" t="s">
        <v>36</v>
      </c>
      <c r="AQ15" s="53">
        <f>$P97</f>
        <v>8675</v>
      </c>
      <c r="AR15" s="53">
        <f>P$66+P$67+P$89+P$90</f>
        <v>4091</v>
      </c>
      <c r="AS15" s="53">
        <f>P$68+P$69+P$91+P$92</f>
        <v>2961</v>
      </c>
      <c r="AT15" s="53">
        <f>P$70+P$71+P$72+P$73+P$93+P$94+P$95+P$96</f>
        <v>1623</v>
      </c>
      <c r="AU15" s="168">
        <v>4353</v>
      </c>
      <c r="AV15" s="168">
        <v>2509</v>
      </c>
      <c r="AW15" s="168">
        <v>1686</v>
      </c>
    </row>
    <row r="16" spans="1:49" outlineLevel="1" x14ac:dyDescent="0.25">
      <c r="A16" s="28"/>
      <c r="B16" s="29" t="s">
        <v>37</v>
      </c>
      <c r="C16" s="30">
        <v>79939</v>
      </c>
      <c r="D16" s="199">
        <v>59956</v>
      </c>
      <c r="E16" s="29"/>
      <c r="F16" s="29" t="s">
        <v>37</v>
      </c>
      <c r="G16" s="30">
        <v>10696</v>
      </c>
      <c r="H16" s="199">
        <v>8727</v>
      </c>
      <c r="I16" s="29"/>
      <c r="J16" s="29" t="s">
        <v>37</v>
      </c>
      <c r="K16" s="30">
        <v>4644</v>
      </c>
      <c r="L16" s="199">
        <v>3750</v>
      </c>
      <c r="M16" s="29"/>
      <c r="N16" s="29" t="s">
        <v>37</v>
      </c>
      <c r="O16" s="30">
        <v>11852</v>
      </c>
      <c r="P16" s="199">
        <v>10128</v>
      </c>
      <c r="Q16" s="29"/>
      <c r="R16" s="29" t="s">
        <v>37</v>
      </c>
      <c r="S16" s="30">
        <v>13385</v>
      </c>
      <c r="T16" s="199">
        <v>10251</v>
      </c>
      <c r="U16" s="29"/>
      <c r="V16" s="29" t="s">
        <v>37</v>
      </c>
      <c r="W16" s="30">
        <v>2546</v>
      </c>
      <c r="X16" s="199">
        <v>1881</v>
      </c>
      <c r="Y16" s="29"/>
      <c r="Z16" s="29" t="s">
        <v>37</v>
      </c>
      <c r="AA16" s="30">
        <v>3143</v>
      </c>
      <c r="AB16" s="199">
        <v>2437</v>
      </c>
      <c r="AC16" s="29"/>
      <c r="AD16" s="29" t="s">
        <v>37</v>
      </c>
      <c r="AE16" s="30">
        <v>2182</v>
      </c>
      <c r="AF16" s="199">
        <v>1539</v>
      </c>
      <c r="AG16" s="29"/>
      <c r="AH16" s="29" t="s">
        <v>37</v>
      </c>
      <c r="AI16" s="30">
        <v>1446</v>
      </c>
      <c r="AJ16" s="199">
        <v>1029</v>
      </c>
      <c r="AK16" s="29"/>
      <c r="AL16" s="29" t="s">
        <v>37</v>
      </c>
      <c r="AM16" s="30">
        <v>2690</v>
      </c>
      <c r="AN16" s="209">
        <v>1685</v>
      </c>
      <c r="AP16" s="52" t="s">
        <v>38</v>
      </c>
      <c r="AQ16" s="53">
        <f>$T97</f>
        <v>4150</v>
      </c>
      <c r="AR16" s="53">
        <f>T$66+T$67+T$89+T$90</f>
        <v>1649</v>
      </c>
      <c r="AS16" s="53">
        <f>T$68+T$69+T$91+T$92</f>
        <v>1635</v>
      </c>
      <c r="AT16" s="53">
        <f>T$70+T$71+T$72+T$73+T$93+T$94+T$95+T$96</f>
        <v>866</v>
      </c>
      <c r="AU16" s="168">
        <v>1888</v>
      </c>
      <c r="AV16" s="168">
        <v>1381</v>
      </c>
      <c r="AW16" s="168">
        <v>848</v>
      </c>
    </row>
    <row r="17" spans="1:49" outlineLevel="1" x14ac:dyDescent="0.25">
      <c r="A17" s="28"/>
      <c r="B17" s="29" t="s">
        <v>39</v>
      </c>
      <c r="C17" s="30">
        <v>69253</v>
      </c>
      <c r="D17" s="199">
        <v>63127</v>
      </c>
      <c r="E17" s="29"/>
      <c r="F17" s="29" t="s">
        <v>39</v>
      </c>
      <c r="G17" s="30">
        <v>9684</v>
      </c>
      <c r="H17" s="199">
        <v>8443</v>
      </c>
      <c r="I17" s="29"/>
      <c r="J17" s="29" t="s">
        <v>39</v>
      </c>
      <c r="K17" s="30">
        <v>4163</v>
      </c>
      <c r="L17" s="199">
        <v>3859</v>
      </c>
      <c r="M17" s="29"/>
      <c r="N17" s="29" t="s">
        <v>39</v>
      </c>
      <c r="O17" s="30">
        <v>10496</v>
      </c>
      <c r="P17" s="199">
        <v>10079</v>
      </c>
      <c r="Q17" s="29"/>
      <c r="R17" s="29" t="s">
        <v>39</v>
      </c>
      <c r="S17" s="30">
        <v>11887</v>
      </c>
      <c r="T17" s="199">
        <v>10209</v>
      </c>
      <c r="U17" s="29"/>
      <c r="V17" s="29" t="s">
        <v>39</v>
      </c>
      <c r="W17" s="30">
        <v>2080</v>
      </c>
      <c r="X17" s="199">
        <v>2061</v>
      </c>
      <c r="Y17" s="29"/>
      <c r="Z17" s="29" t="s">
        <v>39</v>
      </c>
      <c r="AA17" s="30">
        <v>2664</v>
      </c>
      <c r="AB17" s="199">
        <v>2517</v>
      </c>
      <c r="AC17" s="29"/>
      <c r="AD17" s="29" t="s">
        <v>39</v>
      </c>
      <c r="AE17" s="30">
        <v>1852</v>
      </c>
      <c r="AF17" s="199">
        <v>1751</v>
      </c>
      <c r="AG17" s="29"/>
      <c r="AH17" s="29" t="s">
        <v>39</v>
      </c>
      <c r="AI17" s="30">
        <v>1349</v>
      </c>
      <c r="AJ17" s="199">
        <v>1087</v>
      </c>
      <c r="AK17" s="29"/>
      <c r="AL17" s="29" t="s">
        <v>39</v>
      </c>
      <c r="AM17" s="30">
        <v>2171</v>
      </c>
      <c r="AN17" s="209">
        <v>1980</v>
      </c>
      <c r="AP17" s="52" t="s">
        <v>40</v>
      </c>
      <c r="AQ17" s="53">
        <f>$X97</f>
        <v>3499</v>
      </c>
      <c r="AR17" s="53">
        <f>X$66+X$67+X$89+X$90</f>
        <v>1426</v>
      </c>
      <c r="AS17" s="53">
        <f>X$68+X$69+X$91+X$92</f>
        <v>1412</v>
      </c>
      <c r="AT17" s="53">
        <f>X$70+X$71+X$72+X$73+X$93+X$94+X$95+X$96</f>
        <v>661</v>
      </c>
      <c r="AU17" s="168">
        <v>1693</v>
      </c>
      <c r="AV17" s="168">
        <v>1204</v>
      </c>
      <c r="AW17" s="168">
        <v>740</v>
      </c>
    </row>
    <row r="18" spans="1:49" outlineLevel="1" x14ac:dyDescent="0.25">
      <c r="A18" s="28"/>
      <c r="B18" s="29" t="s">
        <v>41</v>
      </c>
      <c r="C18" s="30">
        <v>54325</v>
      </c>
      <c r="D18" s="199">
        <v>66958</v>
      </c>
      <c r="E18" s="29"/>
      <c r="F18" s="29" t="s">
        <v>41</v>
      </c>
      <c r="G18" s="30">
        <v>8026</v>
      </c>
      <c r="H18" s="199">
        <v>8957</v>
      </c>
      <c r="I18" s="29"/>
      <c r="J18" s="29" t="s">
        <v>41</v>
      </c>
      <c r="K18" s="30">
        <v>3338</v>
      </c>
      <c r="L18" s="199">
        <v>3962</v>
      </c>
      <c r="M18" s="29"/>
      <c r="N18" s="29" t="s">
        <v>41</v>
      </c>
      <c r="O18" s="30">
        <v>8156</v>
      </c>
      <c r="P18" s="199">
        <v>9886</v>
      </c>
      <c r="Q18" s="29"/>
      <c r="R18" s="29" t="s">
        <v>41</v>
      </c>
      <c r="S18" s="30">
        <v>9903</v>
      </c>
      <c r="T18" s="199">
        <v>11044</v>
      </c>
      <c r="U18" s="29"/>
      <c r="V18" s="29" t="s">
        <v>41</v>
      </c>
      <c r="W18" s="30">
        <v>1588</v>
      </c>
      <c r="X18" s="199">
        <v>2161</v>
      </c>
      <c r="Y18" s="29"/>
      <c r="Z18" s="29" t="s">
        <v>41</v>
      </c>
      <c r="AA18" s="30">
        <v>1936</v>
      </c>
      <c r="AB18" s="199">
        <v>2653</v>
      </c>
      <c r="AC18" s="29"/>
      <c r="AD18" s="29" t="s">
        <v>41</v>
      </c>
      <c r="AE18" s="30">
        <v>1382</v>
      </c>
      <c r="AF18" s="199">
        <v>1799</v>
      </c>
      <c r="AG18" s="29"/>
      <c r="AH18" s="29" t="s">
        <v>41</v>
      </c>
      <c r="AI18" s="30">
        <v>959</v>
      </c>
      <c r="AJ18" s="199">
        <v>1192</v>
      </c>
      <c r="AK18" s="29"/>
      <c r="AL18" s="29" t="s">
        <v>41</v>
      </c>
      <c r="AM18" s="30">
        <v>1565</v>
      </c>
      <c r="AN18" s="209">
        <v>2201</v>
      </c>
      <c r="AP18" s="52" t="s">
        <v>42</v>
      </c>
      <c r="AQ18" s="53">
        <f>$AB97</f>
        <v>5044</v>
      </c>
      <c r="AR18" s="53">
        <f>AB$66+AB$67+AB$89+AB$90</f>
        <v>2146</v>
      </c>
      <c r="AS18" s="53">
        <f>AB$68+AB$69+AB$91+AB$92</f>
        <v>1850</v>
      </c>
      <c r="AT18" s="53">
        <f>AB$70+AB$71+AB$72+AB$73+AB$93+AB$94+AB$95+AB$96</f>
        <v>1048</v>
      </c>
      <c r="AU18" s="168">
        <v>2456</v>
      </c>
      <c r="AV18" s="168">
        <v>1561</v>
      </c>
      <c r="AW18" s="168">
        <v>1083</v>
      </c>
    </row>
    <row r="19" spans="1:49" outlineLevel="1" x14ac:dyDescent="0.25">
      <c r="A19" s="28"/>
      <c r="B19" s="29" t="s">
        <v>43</v>
      </c>
      <c r="C19" s="30">
        <v>42985</v>
      </c>
      <c r="D19" s="199">
        <v>61738</v>
      </c>
      <c r="E19" s="29"/>
      <c r="F19" s="29" t="s">
        <v>43</v>
      </c>
      <c r="G19" s="30">
        <v>6098</v>
      </c>
      <c r="H19" s="201">
        <v>8698</v>
      </c>
      <c r="I19" s="29"/>
      <c r="J19" s="29" t="s">
        <v>43</v>
      </c>
      <c r="K19" s="30">
        <v>2623</v>
      </c>
      <c r="L19" s="199">
        <v>3649</v>
      </c>
      <c r="M19" s="29"/>
      <c r="N19" s="29" t="s">
        <v>43</v>
      </c>
      <c r="O19" s="30">
        <v>5954</v>
      </c>
      <c r="P19" s="199">
        <v>9292</v>
      </c>
      <c r="Q19" s="29"/>
      <c r="R19" s="29" t="s">
        <v>43</v>
      </c>
      <c r="S19" s="30">
        <v>7241</v>
      </c>
      <c r="T19" s="199">
        <v>10275</v>
      </c>
      <c r="U19" s="29"/>
      <c r="V19" s="29" t="s">
        <v>43</v>
      </c>
      <c r="W19" s="30">
        <v>1253</v>
      </c>
      <c r="X19" s="199">
        <v>1888</v>
      </c>
      <c r="Y19" s="29"/>
      <c r="Z19" s="29" t="s">
        <v>43</v>
      </c>
      <c r="AA19" s="30">
        <v>1441</v>
      </c>
      <c r="AB19" s="199">
        <v>2299</v>
      </c>
      <c r="AC19" s="29"/>
      <c r="AD19" s="29" t="s">
        <v>43</v>
      </c>
      <c r="AE19" s="30">
        <v>1329</v>
      </c>
      <c r="AF19" s="199">
        <v>1631</v>
      </c>
      <c r="AG19" s="29"/>
      <c r="AH19" s="29" t="s">
        <v>43</v>
      </c>
      <c r="AI19" s="30">
        <v>802</v>
      </c>
      <c r="AJ19" s="199">
        <v>1238</v>
      </c>
      <c r="AK19" s="29"/>
      <c r="AL19" s="29" t="s">
        <v>43</v>
      </c>
      <c r="AM19" s="30">
        <v>1329</v>
      </c>
      <c r="AN19" s="209">
        <v>2077</v>
      </c>
      <c r="AP19" s="52" t="s">
        <v>44</v>
      </c>
      <c r="AQ19" s="53">
        <f>$AF97</f>
        <v>2491</v>
      </c>
      <c r="AR19" s="53">
        <f>AF$66+AF$67+AF$89+AF$90</f>
        <v>1259</v>
      </c>
      <c r="AS19" s="53">
        <f>AF$68+AF$69+AF$91+AF$92</f>
        <v>795</v>
      </c>
      <c r="AT19" s="53">
        <f>AF$70+AF$71+AF$72+AF$73+AF$93+AF$94+AF$95+AF$96</f>
        <v>437</v>
      </c>
      <c r="AU19" s="168">
        <v>1320</v>
      </c>
      <c r="AV19" s="168">
        <v>646</v>
      </c>
      <c r="AW19" s="168">
        <v>459</v>
      </c>
    </row>
    <row r="20" spans="1:49" outlineLevel="1" x14ac:dyDescent="0.25">
      <c r="A20" s="28"/>
      <c r="B20" s="29" t="s">
        <v>45</v>
      </c>
      <c r="C20" s="30">
        <v>34061</v>
      </c>
      <c r="D20" s="199">
        <v>34889</v>
      </c>
      <c r="E20" s="29"/>
      <c r="F20" s="29" t="s">
        <v>45</v>
      </c>
      <c r="G20" s="30">
        <v>4774</v>
      </c>
      <c r="H20" s="201">
        <v>5302</v>
      </c>
      <c r="I20" s="29"/>
      <c r="J20" s="29" t="s">
        <v>45</v>
      </c>
      <c r="K20" s="30">
        <v>1980</v>
      </c>
      <c r="L20" s="199">
        <v>2076</v>
      </c>
      <c r="M20" s="29"/>
      <c r="N20" s="29" t="s">
        <v>45</v>
      </c>
      <c r="O20" s="30">
        <v>4343</v>
      </c>
      <c r="P20" s="199">
        <v>5280</v>
      </c>
      <c r="Q20" s="29"/>
      <c r="R20" s="29" t="s">
        <v>45</v>
      </c>
      <c r="S20" s="30">
        <v>5444</v>
      </c>
      <c r="T20" s="199">
        <v>6086</v>
      </c>
      <c r="U20" s="29"/>
      <c r="V20" s="29" t="s">
        <v>45</v>
      </c>
      <c r="W20" s="30">
        <v>1012</v>
      </c>
      <c r="X20" s="199">
        <v>1037</v>
      </c>
      <c r="Y20" s="29"/>
      <c r="Z20" s="29" t="s">
        <v>45</v>
      </c>
      <c r="AA20" s="30">
        <v>1128</v>
      </c>
      <c r="AB20" s="199">
        <v>1272</v>
      </c>
      <c r="AC20" s="29"/>
      <c r="AD20" s="29" t="s">
        <v>45</v>
      </c>
      <c r="AE20" s="30">
        <v>1070</v>
      </c>
      <c r="AF20" s="199">
        <v>875</v>
      </c>
      <c r="AG20" s="29"/>
      <c r="AH20" s="29" t="s">
        <v>45</v>
      </c>
      <c r="AI20" s="30">
        <v>656</v>
      </c>
      <c r="AJ20" s="199">
        <v>599</v>
      </c>
      <c r="AK20" s="29"/>
      <c r="AL20" s="29" t="s">
        <v>45</v>
      </c>
      <c r="AM20" s="30">
        <v>1141</v>
      </c>
      <c r="AN20" s="209">
        <v>1010</v>
      </c>
      <c r="AP20" s="52" t="s">
        <v>46</v>
      </c>
      <c r="AQ20" s="53">
        <f>$AJ97</f>
        <v>3592</v>
      </c>
      <c r="AR20" s="53">
        <f>AJ$66+AJ$67+AJ$89+AJ$90</f>
        <v>1669</v>
      </c>
      <c r="AS20" s="53">
        <f>AJ$68+AJ$69+AJ$91+AJ$92</f>
        <v>1311</v>
      </c>
      <c r="AT20" s="53">
        <f>AJ$70+AJ$71+AJ$72+AJ$73+AJ$93+AJ$94+AJ$95+AJ$96</f>
        <v>612</v>
      </c>
      <c r="AU20" s="168">
        <v>1851</v>
      </c>
      <c r="AV20" s="168">
        <v>1139</v>
      </c>
      <c r="AW20" s="168">
        <v>603</v>
      </c>
    </row>
    <row r="21" spans="1:49" outlineLevel="1" x14ac:dyDescent="0.25">
      <c r="A21" s="28"/>
      <c r="B21" s="29" t="s">
        <v>47</v>
      </c>
      <c r="C21" s="30">
        <v>19539</v>
      </c>
      <c r="D21" s="199">
        <v>21746</v>
      </c>
      <c r="E21" s="29"/>
      <c r="F21" s="29" t="s">
        <v>47</v>
      </c>
      <c r="G21" s="30">
        <v>2696</v>
      </c>
      <c r="H21" s="201">
        <v>3185</v>
      </c>
      <c r="I21" s="29"/>
      <c r="J21" s="29" t="s">
        <v>47</v>
      </c>
      <c r="K21" s="30">
        <v>1149</v>
      </c>
      <c r="L21" s="199">
        <v>1271</v>
      </c>
      <c r="M21" s="29"/>
      <c r="N21" s="29" t="s">
        <v>47</v>
      </c>
      <c r="O21" s="30">
        <v>2480</v>
      </c>
      <c r="P21" s="199">
        <v>3012</v>
      </c>
      <c r="Q21" s="29"/>
      <c r="R21" s="29" t="s">
        <v>47</v>
      </c>
      <c r="S21" s="30">
        <v>3006</v>
      </c>
      <c r="T21" s="199">
        <v>3635</v>
      </c>
      <c r="U21" s="29"/>
      <c r="V21" s="29" t="s">
        <v>47</v>
      </c>
      <c r="W21" s="30">
        <v>572</v>
      </c>
      <c r="X21" s="199">
        <v>649</v>
      </c>
      <c r="Y21" s="29"/>
      <c r="Z21" s="29" t="s">
        <v>47</v>
      </c>
      <c r="AA21" s="30">
        <v>645</v>
      </c>
      <c r="AB21" s="199">
        <v>731</v>
      </c>
      <c r="AC21" s="29"/>
      <c r="AD21" s="29" t="s">
        <v>47</v>
      </c>
      <c r="AE21" s="30">
        <v>631</v>
      </c>
      <c r="AF21" s="199">
        <v>662</v>
      </c>
      <c r="AG21" s="29"/>
      <c r="AH21" s="29" t="s">
        <v>47</v>
      </c>
      <c r="AI21" s="30">
        <v>354</v>
      </c>
      <c r="AJ21" s="199">
        <v>392</v>
      </c>
      <c r="AK21" s="29"/>
      <c r="AL21" s="29" t="s">
        <v>47</v>
      </c>
      <c r="AM21" s="30">
        <v>654</v>
      </c>
      <c r="AN21" s="209">
        <v>657</v>
      </c>
      <c r="AP21" s="52" t="s">
        <v>48</v>
      </c>
      <c r="AQ21" s="53">
        <f>$AN97</f>
        <v>2027</v>
      </c>
      <c r="AR21" s="53">
        <f>AN$66+AN$67+AN$89+AN$90</f>
        <v>1025</v>
      </c>
      <c r="AS21" s="53">
        <f>AN$68+AN$69+AN$91+AN$92</f>
        <v>645</v>
      </c>
      <c r="AT21" s="53">
        <f>AN$70+AN$71+AN$72+AN$73+AN$93+AN$94+AN$95+AN$96</f>
        <v>357</v>
      </c>
      <c r="AU21" s="168">
        <v>1066</v>
      </c>
      <c r="AV21" s="168">
        <v>485</v>
      </c>
      <c r="AW21" s="168">
        <v>395</v>
      </c>
    </row>
    <row r="22" spans="1:49" outlineLevel="1" x14ac:dyDescent="0.25">
      <c r="A22" s="28"/>
      <c r="B22" s="29" t="s">
        <v>49</v>
      </c>
      <c r="C22" s="30">
        <v>6027</v>
      </c>
      <c r="D22" s="199">
        <v>10003</v>
      </c>
      <c r="E22" s="29"/>
      <c r="F22" s="29" t="s">
        <v>49</v>
      </c>
      <c r="G22" s="30">
        <v>828</v>
      </c>
      <c r="H22" s="201">
        <v>1525</v>
      </c>
      <c r="I22" s="29"/>
      <c r="J22" s="29" t="s">
        <v>49</v>
      </c>
      <c r="K22" s="30">
        <v>371</v>
      </c>
      <c r="L22" s="199">
        <v>570</v>
      </c>
      <c r="M22" s="29"/>
      <c r="N22" s="29" t="s">
        <v>49</v>
      </c>
      <c r="O22" s="30">
        <v>714</v>
      </c>
      <c r="P22" s="199">
        <v>1329</v>
      </c>
      <c r="Q22" s="29"/>
      <c r="R22" s="29" t="s">
        <v>49</v>
      </c>
      <c r="S22" s="30">
        <v>904</v>
      </c>
      <c r="T22" s="199">
        <v>1477</v>
      </c>
      <c r="U22" s="29"/>
      <c r="V22" s="29" t="s">
        <v>49</v>
      </c>
      <c r="W22" s="30">
        <v>161</v>
      </c>
      <c r="X22" s="199">
        <v>308</v>
      </c>
      <c r="Y22" s="29"/>
      <c r="Z22" s="29" t="s">
        <v>49</v>
      </c>
      <c r="AA22" s="30">
        <v>184</v>
      </c>
      <c r="AB22" s="199">
        <v>316</v>
      </c>
      <c r="AC22" s="29"/>
      <c r="AD22" s="29" t="s">
        <v>49</v>
      </c>
      <c r="AE22" s="30">
        <v>223</v>
      </c>
      <c r="AF22" s="199">
        <v>322</v>
      </c>
      <c r="AG22" s="29"/>
      <c r="AH22" s="29" t="s">
        <v>49</v>
      </c>
      <c r="AI22" s="30">
        <v>102</v>
      </c>
      <c r="AJ22" s="199">
        <v>169</v>
      </c>
      <c r="AK22" s="29"/>
      <c r="AL22" s="29" t="s">
        <v>49</v>
      </c>
      <c r="AM22" s="30">
        <v>200</v>
      </c>
      <c r="AN22" s="209">
        <v>345</v>
      </c>
      <c r="AP22" s="52" t="s">
        <v>50</v>
      </c>
      <c r="AQ22" s="53">
        <f>$D146</f>
        <v>2265</v>
      </c>
      <c r="AR22" s="53">
        <f>D$115+D$116+D$138+D$139</f>
        <v>958</v>
      </c>
      <c r="AS22" s="53">
        <f>D$117+D$118+D$140+D$141</f>
        <v>743</v>
      </c>
      <c r="AT22" s="53">
        <f>D$119+D$120+D$121+D$122+D$142+D$143+D$144+D$145</f>
        <v>564</v>
      </c>
      <c r="AU22" s="168">
        <v>1001</v>
      </c>
      <c r="AV22" s="168">
        <v>719</v>
      </c>
      <c r="AW22" s="168">
        <v>605</v>
      </c>
    </row>
    <row r="23" spans="1:49" outlineLevel="1" x14ac:dyDescent="0.25">
      <c r="A23" s="28"/>
      <c r="B23" s="29" t="s">
        <v>51</v>
      </c>
      <c r="C23" s="30">
        <v>1130</v>
      </c>
      <c r="D23" s="199">
        <v>2285</v>
      </c>
      <c r="E23" s="29"/>
      <c r="F23" s="29" t="s">
        <v>51</v>
      </c>
      <c r="G23" s="30">
        <v>142</v>
      </c>
      <c r="H23" s="201">
        <v>345</v>
      </c>
      <c r="I23" s="29"/>
      <c r="J23" s="29" t="s">
        <v>51</v>
      </c>
      <c r="K23" s="30">
        <v>59</v>
      </c>
      <c r="L23" s="199">
        <v>127</v>
      </c>
      <c r="M23" s="29"/>
      <c r="N23" s="29" t="s">
        <v>51</v>
      </c>
      <c r="O23" s="30">
        <v>136</v>
      </c>
      <c r="P23" s="199">
        <v>315</v>
      </c>
      <c r="Q23" s="29"/>
      <c r="R23" s="29" t="s">
        <v>51</v>
      </c>
      <c r="S23" s="30">
        <v>168</v>
      </c>
      <c r="T23" s="199">
        <v>319</v>
      </c>
      <c r="U23" s="29"/>
      <c r="V23" s="29" t="s">
        <v>51</v>
      </c>
      <c r="W23" s="30">
        <v>28</v>
      </c>
      <c r="X23" s="199">
        <v>71</v>
      </c>
      <c r="Y23" s="29"/>
      <c r="Z23" s="29" t="s">
        <v>51</v>
      </c>
      <c r="AA23" s="30">
        <v>26</v>
      </c>
      <c r="AB23" s="199">
        <v>73</v>
      </c>
      <c r="AC23" s="29"/>
      <c r="AD23" s="29" t="s">
        <v>51</v>
      </c>
      <c r="AE23" s="30">
        <v>45</v>
      </c>
      <c r="AF23" s="199">
        <v>67</v>
      </c>
      <c r="AG23" s="29"/>
      <c r="AH23" s="29" t="s">
        <v>51</v>
      </c>
      <c r="AI23" s="30">
        <v>19</v>
      </c>
      <c r="AJ23" s="199">
        <v>40</v>
      </c>
      <c r="AK23" s="29"/>
      <c r="AL23" s="29" t="s">
        <v>51</v>
      </c>
      <c r="AM23" s="30">
        <v>31</v>
      </c>
      <c r="AN23" s="209">
        <v>74</v>
      </c>
      <c r="AP23" s="52" t="s">
        <v>52</v>
      </c>
      <c r="AQ23" s="53">
        <f>$H146</f>
        <v>189</v>
      </c>
      <c r="AR23" s="53">
        <f>H$115+H$116+H$138+H$139</f>
        <v>79</v>
      </c>
      <c r="AS23" s="53">
        <f>H$117+H$118+H$140+H$141</f>
        <v>59</v>
      </c>
      <c r="AT23" s="53">
        <f>H$119+H$120+H$121+H$122+H$142+H$143+H$144+H$145</f>
        <v>51</v>
      </c>
      <c r="AU23" s="168">
        <v>79</v>
      </c>
      <c r="AV23" s="168">
        <v>68</v>
      </c>
      <c r="AW23" s="168">
        <v>62</v>
      </c>
    </row>
    <row r="24" spans="1:49" outlineLevel="1" x14ac:dyDescent="0.25">
      <c r="A24" s="28"/>
      <c r="B24" s="29" t="s">
        <v>53</v>
      </c>
      <c r="C24" s="30">
        <v>118</v>
      </c>
      <c r="D24" s="199">
        <v>234</v>
      </c>
      <c r="E24" s="29"/>
      <c r="F24" s="29" t="s">
        <v>53</v>
      </c>
      <c r="G24" s="30">
        <v>15</v>
      </c>
      <c r="H24" s="201">
        <v>30</v>
      </c>
      <c r="I24" s="29"/>
      <c r="J24" s="29" t="s">
        <v>53</v>
      </c>
      <c r="K24" s="30">
        <v>9</v>
      </c>
      <c r="L24" s="199">
        <v>11</v>
      </c>
      <c r="M24" s="29"/>
      <c r="N24" s="29" t="s">
        <v>53</v>
      </c>
      <c r="O24" s="30">
        <v>14</v>
      </c>
      <c r="P24" s="199">
        <v>24</v>
      </c>
      <c r="Q24" s="29"/>
      <c r="R24" s="29" t="s">
        <v>53</v>
      </c>
      <c r="S24" s="30">
        <v>22</v>
      </c>
      <c r="T24" s="199">
        <v>28</v>
      </c>
      <c r="U24" s="29"/>
      <c r="V24" s="29" t="s">
        <v>53</v>
      </c>
      <c r="W24" s="30">
        <v>0</v>
      </c>
      <c r="X24" s="199">
        <v>5</v>
      </c>
      <c r="Y24" s="29"/>
      <c r="Z24" s="29" t="s">
        <v>53</v>
      </c>
      <c r="AA24" s="30">
        <v>3</v>
      </c>
      <c r="AB24" s="199">
        <v>9</v>
      </c>
      <c r="AC24" s="29"/>
      <c r="AD24" s="29" t="s">
        <v>53</v>
      </c>
      <c r="AE24" s="30">
        <v>2</v>
      </c>
      <c r="AF24" s="199">
        <v>6</v>
      </c>
      <c r="AG24" s="29"/>
      <c r="AH24" s="29" t="s">
        <v>53</v>
      </c>
      <c r="AI24" s="30">
        <v>2</v>
      </c>
      <c r="AJ24" s="199">
        <v>4</v>
      </c>
      <c r="AK24" s="29"/>
      <c r="AL24" s="29" t="s">
        <v>53</v>
      </c>
      <c r="AM24" s="30">
        <v>3</v>
      </c>
      <c r="AN24" s="209">
        <v>8</v>
      </c>
      <c r="AP24" s="52" t="s">
        <v>54</v>
      </c>
      <c r="AQ24" s="53">
        <f>$L146</f>
        <v>1690</v>
      </c>
      <c r="AR24" s="53">
        <f>L$115+L$116+L$138+L$139</f>
        <v>580</v>
      </c>
      <c r="AS24" s="53">
        <f>L$117+L$118+L$140+L$141</f>
        <v>607</v>
      </c>
      <c r="AT24" s="53">
        <f>L$119+L$120+L$121+L$122+L$142+L$143+L$144+L$145</f>
        <v>503</v>
      </c>
      <c r="AU24" s="168">
        <v>711</v>
      </c>
      <c r="AV24" s="168">
        <v>620</v>
      </c>
      <c r="AW24" s="168">
        <v>568</v>
      </c>
    </row>
    <row r="25" spans="1:49" outlineLevel="1" x14ac:dyDescent="0.25">
      <c r="A25" s="202"/>
      <c r="B25" s="172"/>
      <c r="C25" s="166" t="s">
        <v>55</v>
      </c>
      <c r="D25" s="166" t="s">
        <v>55</v>
      </c>
      <c r="E25" s="172"/>
      <c r="F25" s="172"/>
      <c r="G25" s="166" t="s">
        <v>55</v>
      </c>
      <c r="H25" s="166" t="s">
        <v>55</v>
      </c>
      <c r="I25" s="172"/>
      <c r="J25" s="172"/>
      <c r="K25" s="166" t="s">
        <v>55</v>
      </c>
      <c r="L25" s="166" t="s">
        <v>55</v>
      </c>
      <c r="M25" s="172"/>
      <c r="N25" s="172"/>
      <c r="O25" s="166" t="s">
        <v>55</v>
      </c>
      <c r="P25" s="166" t="s">
        <v>55</v>
      </c>
      <c r="Q25" s="172"/>
      <c r="R25" s="172"/>
      <c r="S25" s="166" t="s">
        <v>55</v>
      </c>
      <c r="T25" s="166" t="s">
        <v>55</v>
      </c>
      <c r="U25" s="172"/>
      <c r="V25" s="172"/>
      <c r="W25" s="166" t="s">
        <v>55</v>
      </c>
      <c r="X25" s="166" t="s">
        <v>55</v>
      </c>
      <c r="Y25" s="172"/>
      <c r="Z25" s="172"/>
      <c r="AA25" s="166" t="s">
        <v>55</v>
      </c>
      <c r="AB25" s="166" t="s">
        <v>55</v>
      </c>
      <c r="AC25" s="172"/>
      <c r="AD25" s="172"/>
      <c r="AE25" s="166" t="s">
        <v>55</v>
      </c>
      <c r="AF25" s="166" t="s">
        <v>55</v>
      </c>
      <c r="AG25" s="172"/>
      <c r="AH25" s="172"/>
      <c r="AI25" s="166" t="s">
        <v>55</v>
      </c>
      <c r="AJ25" s="166" t="s">
        <v>55</v>
      </c>
      <c r="AK25" s="172"/>
      <c r="AL25" s="172"/>
      <c r="AM25" s="166" t="s">
        <v>55</v>
      </c>
      <c r="AN25" s="207" t="s">
        <v>55</v>
      </c>
      <c r="AP25" s="52" t="s">
        <v>56</v>
      </c>
      <c r="AQ25" s="53">
        <f>$P146</f>
        <v>5887</v>
      </c>
      <c r="AR25" s="53">
        <f>P$115+P$116+P$138+P$139</f>
        <v>2409</v>
      </c>
      <c r="AS25" s="53">
        <f>P$117+P$118+P$140+P$141</f>
        <v>2007</v>
      </c>
      <c r="AT25" s="53">
        <f>P$119+P$120+P$121+P$122+P$142+P$143+P$144+P$145</f>
        <v>1471</v>
      </c>
      <c r="AU25" s="203">
        <v>2567</v>
      </c>
      <c r="AV25" s="203">
        <v>1947</v>
      </c>
      <c r="AW25" s="203">
        <v>1575</v>
      </c>
    </row>
    <row r="26" spans="1:49" outlineLevel="1" x14ac:dyDescent="0.25">
      <c r="A26" s="28"/>
      <c r="B26" s="29" t="s">
        <v>18</v>
      </c>
      <c r="C26" s="30">
        <v>1004509</v>
      </c>
      <c r="D26" s="199">
        <v>887583</v>
      </c>
      <c r="E26" s="30"/>
      <c r="F26" s="29" t="s">
        <v>18</v>
      </c>
      <c r="G26" s="30">
        <v>146184</v>
      </c>
      <c r="H26" s="199">
        <v>134650</v>
      </c>
      <c r="I26" s="30"/>
      <c r="J26" s="29" t="s">
        <v>18</v>
      </c>
      <c r="K26" s="30">
        <v>64826</v>
      </c>
      <c r="L26" s="199">
        <v>56615</v>
      </c>
      <c r="M26" s="30"/>
      <c r="N26" s="29" t="s">
        <v>18</v>
      </c>
      <c r="O26" s="30">
        <v>166282</v>
      </c>
      <c r="P26" s="199">
        <v>157929</v>
      </c>
      <c r="Q26" s="30"/>
      <c r="R26" s="29" t="s">
        <v>18</v>
      </c>
      <c r="S26" s="30">
        <v>170330</v>
      </c>
      <c r="T26" s="199">
        <v>152029</v>
      </c>
      <c r="U26" s="30"/>
      <c r="V26" s="29" t="s">
        <v>18</v>
      </c>
      <c r="W26" s="30">
        <v>31885</v>
      </c>
      <c r="X26" s="199">
        <v>28196</v>
      </c>
      <c r="Y26" s="30"/>
      <c r="Z26" s="29" t="s">
        <v>18</v>
      </c>
      <c r="AA26" s="30">
        <v>39782</v>
      </c>
      <c r="AB26" s="199">
        <v>36657</v>
      </c>
      <c r="AC26" s="30"/>
      <c r="AD26" s="29" t="s">
        <v>18</v>
      </c>
      <c r="AE26" s="30">
        <v>26608</v>
      </c>
      <c r="AF26" s="199">
        <v>21897</v>
      </c>
      <c r="AG26" s="30"/>
      <c r="AH26" s="29" t="s">
        <v>18</v>
      </c>
      <c r="AI26" s="30">
        <v>18283</v>
      </c>
      <c r="AJ26" s="199">
        <v>15884</v>
      </c>
      <c r="AK26" s="30"/>
      <c r="AL26" s="29" t="s">
        <v>18</v>
      </c>
      <c r="AM26" s="30">
        <v>29360</v>
      </c>
      <c r="AN26" s="209">
        <v>25032</v>
      </c>
      <c r="AP26" s="52" t="s">
        <v>57</v>
      </c>
      <c r="AQ26" s="53">
        <f>$T146</f>
        <v>1000</v>
      </c>
      <c r="AR26" s="53">
        <f>T$115+T$116+T$138+T$139</f>
        <v>484</v>
      </c>
      <c r="AS26" s="53">
        <f>T$117+T$118+T$140+T$141</f>
        <v>322</v>
      </c>
      <c r="AT26" s="53">
        <f>T$119+T$120+T$121+T$122+T$142+T$143+T$144+T$145</f>
        <v>194</v>
      </c>
      <c r="AU26" s="168">
        <v>532</v>
      </c>
      <c r="AV26" s="168">
        <v>288</v>
      </c>
      <c r="AW26" s="168">
        <v>198</v>
      </c>
    </row>
    <row r="27" spans="1:49" outlineLevel="1" x14ac:dyDescent="0.25">
      <c r="A27" s="28"/>
      <c r="B27" s="29" t="s">
        <v>20</v>
      </c>
      <c r="C27" s="30">
        <v>34854</v>
      </c>
      <c r="D27" s="199">
        <v>22218</v>
      </c>
      <c r="E27" s="30"/>
      <c r="F27" s="29" t="s">
        <v>20</v>
      </c>
      <c r="G27" s="30">
        <v>5061</v>
      </c>
      <c r="H27" s="199">
        <v>3461</v>
      </c>
      <c r="I27" s="30"/>
      <c r="J27" s="29" t="s">
        <v>20</v>
      </c>
      <c r="K27" s="30">
        <v>2342</v>
      </c>
      <c r="L27" s="199">
        <v>1470</v>
      </c>
      <c r="M27" s="30"/>
      <c r="N27" s="29" t="s">
        <v>20</v>
      </c>
      <c r="O27" s="30">
        <v>6364</v>
      </c>
      <c r="P27" s="199">
        <v>4441</v>
      </c>
      <c r="Q27" s="30"/>
      <c r="R27" s="29" t="s">
        <v>20</v>
      </c>
      <c r="S27" s="30">
        <v>5973</v>
      </c>
      <c r="T27" s="199">
        <v>4035</v>
      </c>
      <c r="U27" s="30"/>
      <c r="V27" s="29" t="s">
        <v>20</v>
      </c>
      <c r="W27" s="30">
        <v>1241</v>
      </c>
      <c r="X27" s="199">
        <v>671</v>
      </c>
      <c r="Y27" s="30"/>
      <c r="Z27" s="29" t="s">
        <v>20</v>
      </c>
      <c r="AA27" s="30">
        <v>1511</v>
      </c>
      <c r="AB27" s="199">
        <v>1017</v>
      </c>
      <c r="AC27" s="30"/>
      <c r="AD27" s="29" t="s">
        <v>20</v>
      </c>
      <c r="AE27" s="30">
        <v>912</v>
      </c>
      <c r="AF27" s="199">
        <v>493</v>
      </c>
      <c r="AG27" s="30"/>
      <c r="AH27" s="29" t="s">
        <v>20</v>
      </c>
      <c r="AI27" s="30">
        <v>680</v>
      </c>
      <c r="AJ27" s="199">
        <v>370</v>
      </c>
      <c r="AK27" s="30"/>
      <c r="AL27" s="29" t="s">
        <v>20</v>
      </c>
      <c r="AM27" s="30">
        <v>916</v>
      </c>
      <c r="AN27" s="209">
        <v>579</v>
      </c>
      <c r="AP27" s="52" t="s">
        <v>58</v>
      </c>
      <c r="AQ27" s="53">
        <f>$X146</f>
        <v>2655</v>
      </c>
      <c r="AR27" s="53">
        <f>X$115+X$116+X$138+X$139</f>
        <v>1052</v>
      </c>
      <c r="AS27" s="53">
        <f>X$117+X$118+X$140+X$141</f>
        <v>861</v>
      </c>
      <c r="AT27" s="53">
        <f>X$119+X$120+X$121+X$122+X$142+X$143+X$144+X$145</f>
        <v>742</v>
      </c>
      <c r="AU27" s="168">
        <v>1161</v>
      </c>
      <c r="AV27" s="168">
        <v>828</v>
      </c>
      <c r="AW27" s="168">
        <v>779</v>
      </c>
    </row>
    <row r="28" spans="1:49" outlineLevel="1" x14ac:dyDescent="0.25">
      <c r="A28" s="28"/>
      <c r="B28" s="29" t="s">
        <v>22</v>
      </c>
      <c r="C28" s="30">
        <v>38938</v>
      </c>
      <c r="D28" s="199">
        <v>30809</v>
      </c>
      <c r="E28" s="30"/>
      <c r="F28" s="29" t="s">
        <v>22</v>
      </c>
      <c r="G28" s="30">
        <v>5500</v>
      </c>
      <c r="H28" s="199">
        <v>4725</v>
      </c>
      <c r="I28" s="30"/>
      <c r="J28" s="29" t="s">
        <v>22</v>
      </c>
      <c r="K28" s="30">
        <v>2561</v>
      </c>
      <c r="L28" s="199">
        <v>1996</v>
      </c>
      <c r="M28" s="30"/>
      <c r="N28" s="29" t="s">
        <v>22</v>
      </c>
      <c r="O28" s="30">
        <v>6780</v>
      </c>
      <c r="P28" s="199">
        <v>6094</v>
      </c>
      <c r="Q28" s="30"/>
      <c r="R28" s="29" t="s">
        <v>22</v>
      </c>
      <c r="S28" s="30">
        <v>6660</v>
      </c>
      <c r="T28" s="199">
        <v>5275</v>
      </c>
      <c r="U28" s="30"/>
      <c r="V28" s="29" t="s">
        <v>22</v>
      </c>
      <c r="W28" s="30">
        <v>1296</v>
      </c>
      <c r="X28" s="199">
        <v>984</v>
      </c>
      <c r="Y28" s="30"/>
      <c r="Z28" s="29" t="s">
        <v>22</v>
      </c>
      <c r="AA28" s="30">
        <v>1783</v>
      </c>
      <c r="AB28" s="199">
        <v>1414</v>
      </c>
      <c r="AC28" s="30"/>
      <c r="AD28" s="29" t="s">
        <v>22</v>
      </c>
      <c r="AE28" s="30">
        <v>902</v>
      </c>
      <c r="AF28" s="199">
        <v>720</v>
      </c>
      <c r="AG28" s="30"/>
      <c r="AH28" s="29" t="s">
        <v>22</v>
      </c>
      <c r="AI28" s="30">
        <v>751</v>
      </c>
      <c r="AJ28" s="199">
        <v>543</v>
      </c>
      <c r="AK28" s="30"/>
      <c r="AL28" s="29" t="s">
        <v>22</v>
      </c>
      <c r="AM28" s="30">
        <v>1095</v>
      </c>
      <c r="AN28" s="209">
        <v>822</v>
      </c>
      <c r="AP28" s="52" t="s">
        <v>59</v>
      </c>
      <c r="AQ28" s="53">
        <f>$AB146</f>
        <v>1222</v>
      </c>
      <c r="AR28" s="53">
        <f>AB$115+AB$116+AB$138+AB$139</f>
        <v>553</v>
      </c>
      <c r="AS28" s="53">
        <f>AB$117+AB$118+AB$140+AB$141</f>
        <v>388</v>
      </c>
      <c r="AT28" s="53">
        <f>AB$119+AB$120+AB$121+AB$122+AB$142+AB$143+AB$144+AB$145</f>
        <v>281</v>
      </c>
      <c r="AU28" s="168">
        <v>608</v>
      </c>
      <c r="AV28" s="168">
        <v>359</v>
      </c>
      <c r="AW28" s="168">
        <v>298</v>
      </c>
    </row>
    <row r="29" spans="1:49" outlineLevel="1" x14ac:dyDescent="0.25">
      <c r="A29" s="28"/>
      <c r="B29" s="29" t="s">
        <v>23</v>
      </c>
      <c r="C29" s="30">
        <v>44791</v>
      </c>
      <c r="D29" s="199">
        <v>35066</v>
      </c>
      <c r="E29" s="30"/>
      <c r="F29" s="29" t="s">
        <v>23</v>
      </c>
      <c r="G29" s="30">
        <v>6473</v>
      </c>
      <c r="H29" s="199">
        <v>5183</v>
      </c>
      <c r="I29" s="30"/>
      <c r="J29" s="29" t="s">
        <v>23</v>
      </c>
      <c r="K29" s="30">
        <v>2957</v>
      </c>
      <c r="L29" s="199">
        <v>2222</v>
      </c>
      <c r="M29" s="30"/>
      <c r="N29" s="29" t="s">
        <v>23</v>
      </c>
      <c r="O29" s="30">
        <v>7754</v>
      </c>
      <c r="P29" s="199">
        <v>6556</v>
      </c>
      <c r="Q29" s="30"/>
      <c r="R29" s="29" t="s">
        <v>23</v>
      </c>
      <c r="S29" s="30">
        <v>7660</v>
      </c>
      <c r="T29" s="199">
        <v>6093</v>
      </c>
      <c r="U29" s="30"/>
      <c r="V29" s="29" t="s">
        <v>23</v>
      </c>
      <c r="W29" s="30">
        <v>1511</v>
      </c>
      <c r="X29" s="199">
        <v>1181</v>
      </c>
      <c r="Y29" s="30"/>
      <c r="Z29" s="29" t="s">
        <v>23</v>
      </c>
      <c r="AA29" s="30">
        <v>1913</v>
      </c>
      <c r="AB29" s="199">
        <v>1614</v>
      </c>
      <c r="AC29" s="30"/>
      <c r="AD29" s="29" t="s">
        <v>23</v>
      </c>
      <c r="AE29" s="30">
        <v>1168</v>
      </c>
      <c r="AF29" s="199">
        <v>892</v>
      </c>
      <c r="AG29" s="30"/>
      <c r="AH29" s="29" t="s">
        <v>23</v>
      </c>
      <c r="AI29" s="30">
        <v>835</v>
      </c>
      <c r="AJ29" s="199">
        <v>701</v>
      </c>
      <c r="AK29" s="30"/>
      <c r="AL29" s="29" t="s">
        <v>23</v>
      </c>
      <c r="AM29" s="30">
        <v>1232</v>
      </c>
      <c r="AN29" s="209">
        <v>936</v>
      </c>
      <c r="AP29" s="52" t="s">
        <v>60</v>
      </c>
      <c r="AQ29" s="53">
        <f>$AF146</f>
        <v>5160</v>
      </c>
      <c r="AR29" s="53">
        <f>AF$115+AF$116+AF$138+AF$139</f>
        <v>2264</v>
      </c>
      <c r="AS29" s="53">
        <f>AF$117+AF$118+AF$140+AF$141</f>
        <v>1774</v>
      </c>
      <c r="AT29" s="53">
        <f>AF$119+AF$120+AF$121+AF$122+AF$142+AF$143+AF$144+AF$145</f>
        <v>1122</v>
      </c>
      <c r="AU29" s="168">
        <v>2479</v>
      </c>
      <c r="AV29" s="168">
        <v>1549</v>
      </c>
      <c r="AW29" s="168">
        <v>1205</v>
      </c>
    </row>
    <row r="30" spans="1:49" outlineLevel="1" x14ac:dyDescent="0.25">
      <c r="A30" s="28"/>
      <c r="B30" s="29" t="s">
        <v>24</v>
      </c>
      <c r="C30" s="30">
        <v>48741</v>
      </c>
      <c r="D30" s="199">
        <v>37323</v>
      </c>
      <c r="E30" s="30"/>
      <c r="F30" s="29" t="s">
        <v>24</v>
      </c>
      <c r="G30" s="30">
        <v>7091</v>
      </c>
      <c r="H30" s="199">
        <v>5659</v>
      </c>
      <c r="I30" s="30"/>
      <c r="J30" s="29" t="s">
        <v>24</v>
      </c>
      <c r="K30" s="30">
        <v>3266</v>
      </c>
      <c r="L30" s="199">
        <v>2415</v>
      </c>
      <c r="M30" s="30"/>
      <c r="N30" s="29" t="s">
        <v>24</v>
      </c>
      <c r="O30" s="30">
        <v>8288</v>
      </c>
      <c r="P30" s="199">
        <v>6855</v>
      </c>
      <c r="Q30" s="30"/>
      <c r="R30" s="29" t="s">
        <v>24</v>
      </c>
      <c r="S30" s="30">
        <v>8259</v>
      </c>
      <c r="T30" s="199">
        <v>6389</v>
      </c>
      <c r="U30" s="30"/>
      <c r="V30" s="29" t="s">
        <v>24</v>
      </c>
      <c r="W30" s="30">
        <v>1684</v>
      </c>
      <c r="X30" s="199">
        <v>1247</v>
      </c>
      <c r="Y30" s="30"/>
      <c r="Z30" s="29" t="s">
        <v>24</v>
      </c>
      <c r="AA30" s="30">
        <v>1972</v>
      </c>
      <c r="AB30" s="199">
        <v>1704</v>
      </c>
      <c r="AC30" s="30"/>
      <c r="AD30" s="29" t="s">
        <v>24</v>
      </c>
      <c r="AE30" s="30">
        <v>1195</v>
      </c>
      <c r="AF30" s="199">
        <v>817</v>
      </c>
      <c r="AG30" s="30"/>
      <c r="AH30" s="29" t="s">
        <v>24</v>
      </c>
      <c r="AI30" s="30">
        <v>894</v>
      </c>
      <c r="AJ30" s="199">
        <v>731</v>
      </c>
      <c r="AK30" s="30"/>
      <c r="AL30" s="29" t="s">
        <v>24</v>
      </c>
      <c r="AM30" s="30">
        <v>1399</v>
      </c>
      <c r="AN30" s="209">
        <v>1028</v>
      </c>
      <c r="AP30" s="52" t="s">
        <v>61</v>
      </c>
      <c r="AQ30" s="53">
        <f>$AJ146</f>
        <v>5483</v>
      </c>
      <c r="AR30" s="53">
        <f>AJ$115+AJ$116+AJ$138+AJ$139</f>
        <v>2480</v>
      </c>
      <c r="AS30" s="53">
        <f>AJ$117+AJ$118+AJ$140+AJ$141</f>
        <v>1839</v>
      </c>
      <c r="AT30" s="53">
        <f>AJ$119+AJ$120+AJ$121+AJ$122+AJ$142+AJ$143+AJ$144+AJ$145</f>
        <v>1164</v>
      </c>
      <c r="AU30" s="168">
        <v>2739</v>
      </c>
      <c r="AV30" s="168">
        <v>1598</v>
      </c>
      <c r="AW30" s="168">
        <v>1293</v>
      </c>
    </row>
    <row r="31" spans="1:49" outlineLevel="1" x14ac:dyDescent="0.25">
      <c r="A31" s="28"/>
      <c r="B31" s="29" t="s">
        <v>25</v>
      </c>
      <c r="C31" s="30">
        <v>44220</v>
      </c>
      <c r="D31" s="199">
        <v>35749</v>
      </c>
      <c r="E31" s="30"/>
      <c r="F31" s="29" t="s">
        <v>25</v>
      </c>
      <c r="G31" s="30">
        <v>6868</v>
      </c>
      <c r="H31" s="199">
        <v>5828</v>
      </c>
      <c r="I31" s="30"/>
      <c r="J31" s="29" t="s">
        <v>25</v>
      </c>
      <c r="K31" s="30">
        <v>2766</v>
      </c>
      <c r="L31" s="199">
        <v>2172</v>
      </c>
      <c r="M31" s="30"/>
      <c r="N31" s="29" t="s">
        <v>25</v>
      </c>
      <c r="O31" s="30">
        <v>8201</v>
      </c>
      <c r="P31" s="199">
        <v>6989</v>
      </c>
      <c r="Q31" s="30"/>
      <c r="R31" s="29" t="s">
        <v>25</v>
      </c>
      <c r="S31" s="30">
        <v>7307</v>
      </c>
      <c r="T31" s="199">
        <v>6224</v>
      </c>
      <c r="U31" s="30"/>
      <c r="V31" s="29" t="s">
        <v>25</v>
      </c>
      <c r="W31" s="30">
        <v>1316</v>
      </c>
      <c r="X31" s="199">
        <v>1183</v>
      </c>
      <c r="Y31" s="30"/>
      <c r="Z31" s="29" t="s">
        <v>25</v>
      </c>
      <c r="AA31" s="30">
        <v>1765</v>
      </c>
      <c r="AB31" s="199">
        <v>1589</v>
      </c>
      <c r="AC31" s="30"/>
      <c r="AD31" s="29" t="s">
        <v>25</v>
      </c>
      <c r="AE31" s="30">
        <v>1005</v>
      </c>
      <c r="AF31" s="199">
        <v>782</v>
      </c>
      <c r="AG31" s="30"/>
      <c r="AH31" s="29" t="s">
        <v>25</v>
      </c>
      <c r="AI31" s="30">
        <v>761</v>
      </c>
      <c r="AJ31" s="199">
        <v>633</v>
      </c>
      <c r="AK31" s="30"/>
      <c r="AL31" s="29" t="s">
        <v>25</v>
      </c>
      <c r="AM31" s="30">
        <v>1291</v>
      </c>
      <c r="AN31" s="209">
        <v>969</v>
      </c>
      <c r="AP31" s="52" t="s">
        <v>62</v>
      </c>
      <c r="AQ31" s="53">
        <f>$AN146</f>
        <v>1064</v>
      </c>
      <c r="AR31" s="53">
        <f>AN$115+AN$116+AN$138+AN$139</f>
        <v>508</v>
      </c>
      <c r="AS31" s="53">
        <f>AN$117+AN$118+AN$140+AN$141</f>
        <v>359</v>
      </c>
      <c r="AT31" s="53">
        <f>AN$119+AN$120+AN$121+AN$122+AN$142+AN$143+AN$144+AN$145</f>
        <v>197</v>
      </c>
      <c r="AU31" s="168">
        <v>539</v>
      </c>
      <c r="AV31" s="168">
        <v>314</v>
      </c>
      <c r="AW31" s="168">
        <v>238</v>
      </c>
    </row>
    <row r="32" spans="1:49" outlineLevel="1" x14ac:dyDescent="0.25">
      <c r="A32" s="28"/>
      <c r="B32" s="29" t="s">
        <v>26</v>
      </c>
      <c r="C32" s="30">
        <v>45786</v>
      </c>
      <c r="D32" s="199">
        <v>34029</v>
      </c>
      <c r="E32" s="30"/>
      <c r="F32" s="29" t="s">
        <v>26</v>
      </c>
      <c r="G32" s="30">
        <v>6902</v>
      </c>
      <c r="H32" s="199">
        <v>5543</v>
      </c>
      <c r="I32" s="30"/>
      <c r="J32" s="29" t="s">
        <v>26</v>
      </c>
      <c r="K32" s="30">
        <v>2961</v>
      </c>
      <c r="L32" s="199">
        <v>2177</v>
      </c>
      <c r="M32" s="30"/>
      <c r="N32" s="29" t="s">
        <v>26</v>
      </c>
      <c r="O32" s="30">
        <v>8949</v>
      </c>
      <c r="P32" s="199">
        <v>7150</v>
      </c>
      <c r="Q32" s="30"/>
      <c r="R32" s="29" t="s">
        <v>26</v>
      </c>
      <c r="S32" s="30">
        <v>7435</v>
      </c>
      <c r="T32" s="199">
        <v>5915</v>
      </c>
      <c r="U32" s="30"/>
      <c r="V32" s="29" t="s">
        <v>26</v>
      </c>
      <c r="W32" s="30">
        <v>1549</v>
      </c>
      <c r="X32" s="199">
        <v>1129</v>
      </c>
      <c r="Y32" s="30"/>
      <c r="Z32" s="29" t="s">
        <v>26</v>
      </c>
      <c r="AA32" s="30">
        <v>1908</v>
      </c>
      <c r="AB32" s="199">
        <v>1339</v>
      </c>
      <c r="AC32" s="30"/>
      <c r="AD32" s="29" t="s">
        <v>26</v>
      </c>
      <c r="AE32" s="30">
        <v>1105</v>
      </c>
      <c r="AF32" s="199">
        <v>618</v>
      </c>
      <c r="AG32" s="30"/>
      <c r="AH32" s="29" t="s">
        <v>26</v>
      </c>
      <c r="AI32" s="30">
        <v>786</v>
      </c>
      <c r="AJ32" s="199">
        <v>551</v>
      </c>
      <c r="AK32" s="30"/>
      <c r="AL32" s="29" t="s">
        <v>26</v>
      </c>
      <c r="AM32" s="30">
        <v>1274</v>
      </c>
      <c r="AN32" s="209">
        <v>869</v>
      </c>
      <c r="AP32" s="52" t="s">
        <v>63</v>
      </c>
      <c r="AQ32" s="53">
        <f>$D195</f>
        <v>1320</v>
      </c>
      <c r="AR32" s="53">
        <f>D$164+D$165+D$187+D$188</f>
        <v>511</v>
      </c>
      <c r="AS32" s="53">
        <f>D$166+D$167+D$189+D$190</f>
        <v>443</v>
      </c>
      <c r="AT32" s="53">
        <f>D$168+D$169+D$170+D$171+D$191+D$192+D$193+D$194</f>
        <v>366</v>
      </c>
      <c r="AU32" s="168">
        <v>603</v>
      </c>
      <c r="AV32" s="168">
        <v>414</v>
      </c>
      <c r="AW32" s="168">
        <v>385</v>
      </c>
    </row>
    <row r="33" spans="1:49" outlineLevel="1" x14ac:dyDescent="0.25">
      <c r="A33" s="28"/>
      <c r="B33" s="29" t="s">
        <v>27</v>
      </c>
      <c r="C33" s="30">
        <v>51003</v>
      </c>
      <c r="D33" s="199">
        <v>37699</v>
      </c>
      <c r="E33" s="30"/>
      <c r="F33" s="29" t="s">
        <v>27</v>
      </c>
      <c r="G33" s="30">
        <v>7696</v>
      </c>
      <c r="H33" s="199">
        <v>5976</v>
      </c>
      <c r="I33" s="30"/>
      <c r="J33" s="29" t="s">
        <v>27</v>
      </c>
      <c r="K33" s="30">
        <v>3220</v>
      </c>
      <c r="L33" s="199">
        <v>2386</v>
      </c>
      <c r="M33" s="30"/>
      <c r="N33" s="29" t="s">
        <v>27</v>
      </c>
      <c r="O33" s="30">
        <v>9677</v>
      </c>
      <c r="P33" s="199">
        <v>7844</v>
      </c>
      <c r="Q33" s="30"/>
      <c r="R33" s="29" t="s">
        <v>27</v>
      </c>
      <c r="S33" s="30">
        <v>8634</v>
      </c>
      <c r="T33" s="199">
        <v>6673</v>
      </c>
      <c r="U33" s="30"/>
      <c r="V33" s="29" t="s">
        <v>27</v>
      </c>
      <c r="W33" s="30">
        <v>1781</v>
      </c>
      <c r="X33" s="199">
        <v>1146</v>
      </c>
      <c r="Y33" s="30"/>
      <c r="Z33" s="29" t="s">
        <v>27</v>
      </c>
      <c r="AA33" s="30">
        <v>2192</v>
      </c>
      <c r="AB33" s="199">
        <v>1602</v>
      </c>
      <c r="AC33" s="30"/>
      <c r="AD33" s="29" t="s">
        <v>27</v>
      </c>
      <c r="AE33" s="30">
        <v>1178</v>
      </c>
      <c r="AF33" s="199">
        <v>848</v>
      </c>
      <c r="AG33" s="30"/>
      <c r="AH33" s="29" t="s">
        <v>27</v>
      </c>
      <c r="AI33" s="30">
        <v>933</v>
      </c>
      <c r="AJ33" s="199">
        <v>640</v>
      </c>
      <c r="AK33" s="30"/>
      <c r="AL33" s="29" t="s">
        <v>27</v>
      </c>
      <c r="AM33" s="30">
        <v>1486</v>
      </c>
      <c r="AN33" s="209">
        <v>941</v>
      </c>
      <c r="AP33" s="52" t="s">
        <v>64</v>
      </c>
      <c r="AQ33" s="53">
        <f>$H195</f>
        <v>717</v>
      </c>
      <c r="AR33" s="53">
        <f>H$164+H$165+H$187+H$188</f>
        <v>233</v>
      </c>
      <c r="AS33" s="53">
        <f>H$166+H$167+H$189+H$190</f>
        <v>284</v>
      </c>
      <c r="AT33" s="53">
        <f>H$168+H$169+H$170+H$171+H$191+H$192+H$193+H$194</f>
        <v>200</v>
      </c>
      <c r="AU33" s="168">
        <v>320</v>
      </c>
      <c r="AV33" s="168">
        <v>233</v>
      </c>
      <c r="AW33" s="168">
        <v>233</v>
      </c>
    </row>
    <row r="34" spans="1:49" outlineLevel="1" x14ac:dyDescent="0.25">
      <c r="A34" s="28"/>
      <c r="B34" s="29" t="s">
        <v>28</v>
      </c>
      <c r="C34" s="30">
        <v>57622</v>
      </c>
      <c r="D34" s="199">
        <v>43293</v>
      </c>
      <c r="E34" s="30"/>
      <c r="F34" s="29" t="s">
        <v>28</v>
      </c>
      <c r="G34" s="30">
        <v>8857</v>
      </c>
      <c r="H34" s="199">
        <v>6705</v>
      </c>
      <c r="I34" s="30"/>
      <c r="J34" s="29" t="s">
        <v>28</v>
      </c>
      <c r="K34" s="30">
        <v>3596</v>
      </c>
      <c r="L34" s="199">
        <v>2786</v>
      </c>
      <c r="M34" s="30"/>
      <c r="N34" s="29" t="s">
        <v>28</v>
      </c>
      <c r="O34" s="30">
        <v>10974</v>
      </c>
      <c r="P34" s="199">
        <v>8760</v>
      </c>
      <c r="Q34" s="30"/>
      <c r="R34" s="29" t="s">
        <v>28</v>
      </c>
      <c r="S34" s="30">
        <v>9834</v>
      </c>
      <c r="T34" s="199">
        <v>7221</v>
      </c>
      <c r="U34" s="30"/>
      <c r="V34" s="29" t="s">
        <v>28</v>
      </c>
      <c r="W34" s="30">
        <v>1991</v>
      </c>
      <c r="X34" s="199">
        <v>1361</v>
      </c>
      <c r="Y34" s="30"/>
      <c r="Z34" s="29" t="s">
        <v>28</v>
      </c>
      <c r="AA34" s="30">
        <v>2502</v>
      </c>
      <c r="AB34" s="199">
        <v>1891</v>
      </c>
      <c r="AC34" s="30"/>
      <c r="AD34" s="29" t="s">
        <v>28</v>
      </c>
      <c r="AE34" s="30">
        <v>1286</v>
      </c>
      <c r="AF34" s="199">
        <v>1053</v>
      </c>
      <c r="AG34" s="30"/>
      <c r="AH34" s="29" t="s">
        <v>28</v>
      </c>
      <c r="AI34" s="30">
        <v>1056</v>
      </c>
      <c r="AJ34" s="199">
        <v>708</v>
      </c>
      <c r="AK34" s="30"/>
      <c r="AL34" s="29" t="s">
        <v>28</v>
      </c>
      <c r="AM34" s="30">
        <v>1512</v>
      </c>
      <c r="AN34" s="209">
        <v>1184</v>
      </c>
      <c r="AP34" s="52" t="s">
        <v>65</v>
      </c>
      <c r="AQ34" s="53">
        <f>$L195</f>
        <v>1025</v>
      </c>
      <c r="AR34" s="53">
        <f>L$164+L$165+L$187+L$188</f>
        <v>320</v>
      </c>
      <c r="AS34" s="53">
        <f>L$166+L$167+L$189+L$190</f>
        <v>350</v>
      </c>
      <c r="AT34" s="53">
        <f>L$168+L$169+L$170+L$171+L$191+L$192+L$193+L$194</f>
        <v>355</v>
      </c>
      <c r="AU34" s="168">
        <v>378</v>
      </c>
      <c r="AV34" s="168">
        <v>355</v>
      </c>
      <c r="AW34" s="168">
        <v>365</v>
      </c>
    </row>
    <row r="35" spans="1:49" outlineLevel="1" x14ac:dyDescent="0.25">
      <c r="A35" s="28"/>
      <c r="B35" s="29" t="s">
        <v>29</v>
      </c>
      <c r="C35" s="30">
        <v>62081</v>
      </c>
      <c r="D35" s="199">
        <v>49663</v>
      </c>
      <c r="E35" s="30"/>
      <c r="F35" s="29" t="s">
        <v>29</v>
      </c>
      <c r="G35" s="30">
        <v>10228</v>
      </c>
      <c r="H35" s="199">
        <v>7572</v>
      </c>
      <c r="I35" s="30"/>
      <c r="J35" s="29" t="s">
        <v>29</v>
      </c>
      <c r="K35" s="30">
        <v>4060</v>
      </c>
      <c r="L35" s="199">
        <v>3108</v>
      </c>
      <c r="M35" s="30"/>
      <c r="N35" s="29" t="s">
        <v>29</v>
      </c>
      <c r="O35" s="30">
        <v>11657</v>
      </c>
      <c r="P35" s="199">
        <v>9714</v>
      </c>
      <c r="Q35" s="30"/>
      <c r="R35" s="29" t="s">
        <v>29</v>
      </c>
      <c r="S35" s="30">
        <v>10896</v>
      </c>
      <c r="T35" s="199">
        <v>8309</v>
      </c>
      <c r="U35" s="30"/>
      <c r="V35" s="29" t="s">
        <v>29</v>
      </c>
      <c r="W35" s="30">
        <v>1903</v>
      </c>
      <c r="X35" s="199">
        <v>1747</v>
      </c>
      <c r="Y35" s="30"/>
      <c r="Z35" s="29" t="s">
        <v>29</v>
      </c>
      <c r="AA35" s="30">
        <v>2622</v>
      </c>
      <c r="AB35" s="199">
        <v>2186</v>
      </c>
      <c r="AC35" s="30"/>
      <c r="AD35" s="29" t="s">
        <v>29</v>
      </c>
      <c r="AE35" s="30">
        <v>1305</v>
      </c>
      <c r="AF35" s="199">
        <v>1146</v>
      </c>
      <c r="AG35" s="30"/>
      <c r="AH35" s="29" t="s">
        <v>29</v>
      </c>
      <c r="AI35" s="30">
        <v>1063</v>
      </c>
      <c r="AJ35" s="199">
        <v>892</v>
      </c>
      <c r="AK35" s="30"/>
      <c r="AL35" s="29" t="s">
        <v>29</v>
      </c>
      <c r="AM35" s="30">
        <v>1689</v>
      </c>
      <c r="AN35" s="209">
        <v>1349</v>
      </c>
      <c r="AP35" s="52" t="s">
        <v>66</v>
      </c>
      <c r="AQ35" s="53">
        <f>$P195</f>
        <v>600</v>
      </c>
      <c r="AR35" s="53">
        <f>P$164+P$165+P$187+P$188</f>
        <v>215</v>
      </c>
      <c r="AS35" s="53">
        <f>P$166+P$167+P$189+P$190</f>
        <v>191</v>
      </c>
      <c r="AT35" s="53">
        <f>P$168+P$169+P$170+P$171+P$191+P$192+P$193+P$194</f>
        <v>194</v>
      </c>
      <c r="AU35" s="168">
        <v>229</v>
      </c>
      <c r="AV35" s="168">
        <v>187</v>
      </c>
      <c r="AW35" s="168">
        <v>234</v>
      </c>
    </row>
    <row r="36" spans="1:49" outlineLevel="1" x14ac:dyDescent="0.25">
      <c r="A36" s="28"/>
      <c r="B36" s="29" t="s">
        <v>31</v>
      </c>
      <c r="C36" s="30">
        <v>58271</v>
      </c>
      <c r="D36" s="199">
        <v>55436</v>
      </c>
      <c r="E36" s="30"/>
      <c r="F36" s="29" t="s">
        <v>31</v>
      </c>
      <c r="G36" s="30">
        <v>9236</v>
      </c>
      <c r="H36" s="199">
        <v>8779</v>
      </c>
      <c r="I36" s="30"/>
      <c r="J36" s="29" t="s">
        <v>31</v>
      </c>
      <c r="K36" s="30">
        <v>3790</v>
      </c>
      <c r="L36" s="199">
        <v>3461</v>
      </c>
      <c r="M36" s="30"/>
      <c r="N36" s="29" t="s">
        <v>31</v>
      </c>
      <c r="O36" s="30">
        <v>10555</v>
      </c>
      <c r="P36" s="199">
        <v>10869</v>
      </c>
      <c r="Q36" s="30"/>
      <c r="R36" s="29" t="s">
        <v>31</v>
      </c>
      <c r="S36" s="30">
        <v>10243</v>
      </c>
      <c r="T36" s="199">
        <v>9469</v>
      </c>
      <c r="U36" s="30"/>
      <c r="V36" s="29" t="s">
        <v>31</v>
      </c>
      <c r="W36" s="30">
        <v>1820</v>
      </c>
      <c r="X36" s="199">
        <v>1845</v>
      </c>
      <c r="Y36" s="30"/>
      <c r="Z36" s="29" t="s">
        <v>31</v>
      </c>
      <c r="AA36" s="30">
        <v>2347</v>
      </c>
      <c r="AB36" s="199">
        <v>2507</v>
      </c>
      <c r="AC36" s="30"/>
      <c r="AD36" s="29" t="s">
        <v>31</v>
      </c>
      <c r="AE36" s="30">
        <v>1373</v>
      </c>
      <c r="AF36" s="199">
        <v>1248</v>
      </c>
      <c r="AG36" s="30"/>
      <c r="AH36" s="29" t="s">
        <v>31</v>
      </c>
      <c r="AI36" s="30">
        <v>1000</v>
      </c>
      <c r="AJ36" s="199">
        <v>1001</v>
      </c>
      <c r="AK36" s="30"/>
      <c r="AL36" s="29" t="s">
        <v>31</v>
      </c>
      <c r="AM36" s="30">
        <v>1566</v>
      </c>
      <c r="AN36" s="209">
        <v>1433</v>
      </c>
      <c r="AP36" s="52" t="s">
        <v>67</v>
      </c>
      <c r="AQ36" s="53">
        <f>$T195</f>
        <v>7625</v>
      </c>
      <c r="AR36" s="53">
        <f>T$164+T$165+T$187+T$188</f>
        <v>3492</v>
      </c>
      <c r="AS36" s="53">
        <f>T$166+T$167+T$189+T$190</f>
        <v>2492</v>
      </c>
      <c r="AT36" s="53">
        <f>T$168+T$169+T$170+T$171+T$191+T$192+T$193+T$194</f>
        <v>1641</v>
      </c>
      <c r="AU36" s="168">
        <v>3681</v>
      </c>
      <c r="AV36" s="168">
        <v>2154</v>
      </c>
      <c r="AW36" s="168">
        <v>1751</v>
      </c>
    </row>
    <row r="37" spans="1:49" outlineLevel="1" x14ac:dyDescent="0.25">
      <c r="A37" s="28"/>
      <c r="B37" s="29" t="s">
        <v>33</v>
      </c>
      <c r="C37" s="30">
        <v>62194</v>
      </c>
      <c r="D37" s="199">
        <v>61017</v>
      </c>
      <c r="E37" s="30"/>
      <c r="F37" s="29" t="s">
        <v>33</v>
      </c>
      <c r="G37" s="30">
        <v>8906</v>
      </c>
      <c r="H37" s="199">
        <v>10121</v>
      </c>
      <c r="I37" s="30"/>
      <c r="J37" s="29" t="s">
        <v>33</v>
      </c>
      <c r="K37" s="30">
        <v>4192</v>
      </c>
      <c r="L37" s="199">
        <v>3897</v>
      </c>
      <c r="M37" s="30"/>
      <c r="N37" s="29" t="s">
        <v>33</v>
      </c>
      <c r="O37" s="30">
        <v>10774</v>
      </c>
      <c r="P37" s="199">
        <v>11702</v>
      </c>
      <c r="Q37" s="30"/>
      <c r="R37" s="29" t="s">
        <v>33</v>
      </c>
      <c r="S37" s="30">
        <v>10551</v>
      </c>
      <c r="T37" s="199">
        <v>10806</v>
      </c>
      <c r="U37" s="30"/>
      <c r="V37" s="29" t="s">
        <v>33</v>
      </c>
      <c r="W37" s="30">
        <v>1999</v>
      </c>
      <c r="X37" s="199">
        <v>1934</v>
      </c>
      <c r="Y37" s="30"/>
      <c r="Z37" s="29" t="s">
        <v>33</v>
      </c>
      <c r="AA37" s="30">
        <v>2499</v>
      </c>
      <c r="AB37" s="199">
        <v>2582</v>
      </c>
      <c r="AC37" s="30"/>
      <c r="AD37" s="29" t="s">
        <v>33</v>
      </c>
      <c r="AE37" s="30">
        <v>1602</v>
      </c>
      <c r="AF37" s="199">
        <v>1240</v>
      </c>
      <c r="AG37" s="30"/>
      <c r="AH37" s="29" t="s">
        <v>33</v>
      </c>
      <c r="AI37" s="30">
        <v>1051</v>
      </c>
      <c r="AJ37" s="199">
        <v>1058</v>
      </c>
      <c r="AK37" s="30"/>
      <c r="AL37" s="29" t="s">
        <v>33</v>
      </c>
      <c r="AM37" s="30">
        <v>1772</v>
      </c>
      <c r="AN37" s="209">
        <v>1673</v>
      </c>
      <c r="AP37" s="52" t="s">
        <v>68</v>
      </c>
      <c r="AQ37" s="53">
        <f>$X195</f>
        <v>5517</v>
      </c>
      <c r="AR37" s="53">
        <f>X$164+X$165+X$187+X$188</f>
        <v>2791</v>
      </c>
      <c r="AS37" s="53">
        <f>X$166+X$167+X$189+X$190</f>
        <v>1841</v>
      </c>
      <c r="AT37" s="53">
        <f>X$168+X$169+X$170+X$171+X$191+X$192+X$193+X$194</f>
        <v>885</v>
      </c>
      <c r="AU37" s="168">
        <v>2703</v>
      </c>
      <c r="AV37" s="168">
        <v>1451</v>
      </c>
      <c r="AW37" s="168">
        <v>750</v>
      </c>
    </row>
    <row r="38" spans="1:49" outlineLevel="1" x14ac:dyDescent="0.25">
      <c r="A38" s="28"/>
      <c r="B38" s="29" t="s">
        <v>35</v>
      </c>
      <c r="C38" s="30">
        <v>68583</v>
      </c>
      <c r="D38" s="199">
        <v>56355</v>
      </c>
      <c r="E38" s="30"/>
      <c r="F38" s="29" t="s">
        <v>35</v>
      </c>
      <c r="G38" s="30">
        <v>9391</v>
      </c>
      <c r="H38" s="199">
        <v>9201</v>
      </c>
      <c r="I38" s="30"/>
      <c r="J38" s="29" t="s">
        <v>35</v>
      </c>
      <c r="K38" s="30">
        <v>4331</v>
      </c>
      <c r="L38" s="199">
        <v>3667</v>
      </c>
      <c r="M38" s="30"/>
      <c r="N38" s="29" t="s">
        <v>35</v>
      </c>
      <c r="O38" s="30">
        <v>11118</v>
      </c>
      <c r="P38" s="199">
        <v>10422</v>
      </c>
      <c r="Q38" s="30"/>
      <c r="R38" s="29" t="s">
        <v>35</v>
      </c>
      <c r="S38" s="30">
        <v>11029</v>
      </c>
      <c r="T38" s="199">
        <v>9927</v>
      </c>
      <c r="U38" s="30"/>
      <c r="V38" s="29" t="s">
        <v>35</v>
      </c>
      <c r="W38" s="30">
        <v>2266</v>
      </c>
      <c r="X38" s="199">
        <v>1767</v>
      </c>
      <c r="Y38" s="30"/>
      <c r="Z38" s="29" t="s">
        <v>35</v>
      </c>
      <c r="AA38" s="30">
        <v>2841</v>
      </c>
      <c r="AB38" s="199">
        <v>2299</v>
      </c>
      <c r="AC38" s="30"/>
      <c r="AD38" s="29" t="s">
        <v>35</v>
      </c>
      <c r="AE38" s="30">
        <v>1807</v>
      </c>
      <c r="AF38" s="199">
        <v>1322</v>
      </c>
      <c r="AG38" s="30"/>
      <c r="AH38" s="29" t="s">
        <v>35</v>
      </c>
      <c r="AI38" s="30">
        <v>1244</v>
      </c>
      <c r="AJ38" s="199">
        <v>998</v>
      </c>
      <c r="AK38" s="30"/>
      <c r="AL38" s="29" t="s">
        <v>35</v>
      </c>
      <c r="AM38" s="30">
        <v>2198</v>
      </c>
      <c r="AN38" s="209">
        <v>1462</v>
      </c>
      <c r="AP38" s="52" t="s">
        <v>69</v>
      </c>
      <c r="AQ38" s="53">
        <f>$AB195</f>
        <v>2102</v>
      </c>
      <c r="AR38" s="53">
        <f>AB$164+AB$165+AB$187+AB$188</f>
        <v>1029</v>
      </c>
      <c r="AS38" s="53">
        <f>AB$166+AB$167+AB$189+AB$190</f>
        <v>689</v>
      </c>
      <c r="AT38" s="53">
        <f>AB$168+AB$169+AB$170+AB$171+AB$191+AB$192+AB$193+AB$194</f>
        <v>384</v>
      </c>
      <c r="AU38" s="168">
        <v>1093</v>
      </c>
      <c r="AV38" s="168">
        <v>600</v>
      </c>
      <c r="AW38" s="168">
        <v>368</v>
      </c>
    </row>
    <row r="39" spans="1:49" outlineLevel="1" x14ac:dyDescent="0.25">
      <c r="A39" s="28"/>
      <c r="B39" s="29" t="s">
        <v>37</v>
      </c>
      <c r="C39" s="30">
        <v>77921</v>
      </c>
      <c r="D39" s="199">
        <v>59708</v>
      </c>
      <c r="E39" s="30"/>
      <c r="F39" s="29" t="s">
        <v>37</v>
      </c>
      <c r="G39" s="30">
        <v>10877</v>
      </c>
      <c r="H39" s="199">
        <v>8795</v>
      </c>
      <c r="I39" s="30"/>
      <c r="J39" s="29" t="s">
        <v>37</v>
      </c>
      <c r="K39" s="30">
        <v>4821</v>
      </c>
      <c r="L39" s="199">
        <v>3936</v>
      </c>
      <c r="M39" s="30"/>
      <c r="N39" s="29" t="s">
        <v>37</v>
      </c>
      <c r="O39" s="30">
        <v>12046</v>
      </c>
      <c r="P39" s="199">
        <v>10340</v>
      </c>
      <c r="Q39" s="30"/>
      <c r="R39" s="29" t="s">
        <v>37</v>
      </c>
      <c r="S39" s="30">
        <v>13324</v>
      </c>
      <c r="T39" s="199">
        <v>10218</v>
      </c>
      <c r="U39" s="30"/>
      <c r="V39" s="29" t="s">
        <v>37</v>
      </c>
      <c r="W39" s="30">
        <v>2487</v>
      </c>
      <c r="X39" s="199">
        <v>1843</v>
      </c>
      <c r="Y39" s="30"/>
      <c r="Z39" s="29" t="s">
        <v>37</v>
      </c>
      <c r="AA39" s="30">
        <v>3106</v>
      </c>
      <c r="AB39" s="199">
        <v>2467</v>
      </c>
      <c r="AC39" s="30"/>
      <c r="AD39" s="29" t="s">
        <v>37</v>
      </c>
      <c r="AE39" s="30">
        <v>2000</v>
      </c>
      <c r="AF39" s="199">
        <v>1526</v>
      </c>
      <c r="AG39" s="30"/>
      <c r="AH39" s="29" t="s">
        <v>37</v>
      </c>
      <c r="AI39" s="30">
        <v>1447</v>
      </c>
      <c r="AJ39" s="199">
        <v>1027</v>
      </c>
      <c r="AK39" s="30"/>
      <c r="AL39" s="29" t="s">
        <v>37</v>
      </c>
      <c r="AM39" s="30">
        <v>2492</v>
      </c>
      <c r="AN39" s="209">
        <v>1738</v>
      </c>
      <c r="AP39" s="52" t="s">
        <v>70</v>
      </c>
      <c r="AQ39" s="53">
        <f>$AF195</f>
        <v>1583</v>
      </c>
      <c r="AR39" s="53">
        <f>AF$164+AF$165+AF$187+AF$188</f>
        <v>759</v>
      </c>
      <c r="AS39" s="53">
        <f>AF$166+AF$167+AF$189+AF$190</f>
        <v>497</v>
      </c>
      <c r="AT39" s="53">
        <f>AF$168+AF$169+AF$170+AF$171+AF$191+AF$192+AF$193+AF$194</f>
        <v>327</v>
      </c>
      <c r="AU39" s="168">
        <v>755</v>
      </c>
      <c r="AV39" s="168">
        <v>432</v>
      </c>
      <c r="AW39" s="168">
        <v>310</v>
      </c>
    </row>
    <row r="40" spans="1:49" outlineLevel="1" x14ac:dyDescent="0.25">
      <c r="A40" s="28"/>
      <c r="B40" s="29" t="s">
        <v>39</v>
      </c>
      <c r="C40" s="30">
        <v>68521</v>
      </c>
      <c r="D40" s="199">
        <v>64608</v>
      </c>
      <c r="E40" s="30"/>
      <c r="F40" s="29" t="s">
        <v>39</v>
      </c>
      <c r="G40" s="30">
        <v>10485</v>
      </c>
      <c r="H40" s="199">
        <v>8839</v>
      </c>
      <c r="I40" s="30"/>
      <c r="J40" s="29" t="s">
        <v>39</v>
      </c>
      <c r="K40" s="30">
        <v>4337</v>
      </c>
      <c r="L40" s="199">
        <v>4090</v>
      </c>
      <c r="M40" s="30"/>
      <c r="N40" s="29" t="s">
        <v>39</v>
      </c>
      <c r="O40" s="30">
        <v>10939</v>
      </c>
      <c r="P40" s="199">
        <v>10630</v>
      </c>
      <c r="Q40" s="30"/>
      <c r="R40" s="29" t="s">
        <v>39</v>
      </c>
      <c r="S40" s="30">
        <v>12271</v>
      </c>
      <c r="T40" s="199">
        <v>10461</v>
      </c>
      <c r="U40" s="30"/>
      <c r="V40" s="29" t="s">
        <v>39</v>
      </c>
      <c r="W40" s="30">
        <v>2048</v>
      </c>
      <c r="X40" s="199">
        <v>2161</v>
      </c>
      <c r="Y40" s="30"/>
      <c r="Z40" s="29" t="s">
        <v>39</v>
      </c>
      <c r="AA40" s="30">
        <v>2607</v>
      </c>
      <c r="AB40" s="199">
        <v>2653</v>
      </c>
      <c r="AC40" s="30"/>
      <c r="AD40" s="29" t="s">
        <v>39</v>
      </c>
      <c r="AE40" s="30">
        <v>1699</v>
      </c>
      <c r="AF40" s="199">
        <v>1729</v>
      </c>
      <c r="AG40" s="30"/>
      <c r="AH40" s="29" t="s">
        <v>39</v>
      </c>
      <c r="AI40" s="30">
        <v>1325</v>
      </c>
      <c r="AJ40" s="199">
        <v>1163</v>
      </c>
      <c r="AK40" s="30"/>
      <c r="AL40" s="29" t="s">
        <v>39</v>
      </c>
      <c r="AM40" s="30">
        <v>1913</v>
      </c>
      <c r="AN40" s="209">
        <v>2046</v>
      </c>
      <c r="AP40" s="52" t="s">
        <v>71</v>
      </c>
      <c r="AQ40" s="53">
        <f>$AJ195</f>
        <v>5413</v>
      </c>
      <c r="AR40" s="53">
        <f>AJ$164+AJ$165+AJ$187+AJ$188</f>
        <v>2486</v>
      </c>
      <c r="AS40" s="53">
        <f>AJ$166+AJ$167+AJ$189+AJ$190</f>
        <v>1978</v>
      </c>
      <c r="AT40" s="53">
        <f>AJ$168+AJ$169+AJ$170+AJ$171+AJ$191+AJ$192+AJ$193+AJ$194</f>
        <v>949</v>
      </c>
      <c r="AU40" s="168">
        <v>2664</v>
      </c>
      <c r="AV40" s="168">
        <v>1666</v>
      </c>
      <c r="AW40" s="168">
        <v>930</v>
      </c>
    </row>
    <row r="41" spans="1:49" outlineLevel="1" x14ac:dyDescent="0.25">
      <c r="A41" s="28"/>
      <c r="B41" s="29" t="s">
        <v>41</v>
      </c>
      <c r="C41" s="30">
        <v>61301</v>
      </c>
      <c r="D41" s="199">
        <v>70836</v>
      </c>
      <c r="E41" s="30"/>
      <c r="F41" s="29" t="s">
        <v>41</v>
      </c>
      <c r="G41" s="30">
        <v>9267</v>
      </c>
      <c r="H41" s="199">
        <v>9842</v>
      </c>
      <c r="I41" s="30"/>
      <c r="J41" s="29" t="s">
        <v>41</v>
      </c>
      <c r="K41" s="30">
        <v>4038</v>
      </c>
      <c r="L41" s="199">
        <v>4403</v>
      </c>
      <c r="M41" s="30"/>
      <c r="N41" s="29" t="s">
        <v>41</v>
      </c>
      <c r="O41" s="30">
        <v>9087</v>
      </c>
      <c r="P41" s="199">
        <v>10993</v>
      </c>
      <c r="Q41" s="30"/>
      <c r="R41" s="29" t="s">
        <v>41</v>
      </c>
      <c r="S41" s="30">
        <v>11310</v>
      </c>
      <c r="T41" s="199">
        <v>11883</v>
      </c>
      <c r="U41" s="30"/>
      <c r="V41" s="29" t="s">
        <v>41</v>
      </c>
      <c r="W41" s="30">
        <v>1725</v>
      </c>
      <c r="X41" s="199">
        <v>2253</v>
      </c>
      <c r="Y41" s="30"/>
      <c r="Z41" s="29" t="s">
        <v>41</v>
      </c>
      <c r="AA41" s="30">
        <v>2091</v>
      </c>
      <c r="AB41" s="199">
        <v>2867</v>
      </c>
      <c r="AC41" s="30"/>
      <c r="AD41" s="29" t="s">
        <v>41</v>
      </c>
      <c r="AE41" s="30">
        <v>1638</v>
      </c>
      <c r="AF41" s="199">
        <v>1801</v>
      </c>
      <c r="AG41" s="30"/>
      <c r="AH41" s="29" t="s">
        <v>41</v>
      </c>
      <c r="AI41" s="30">
        <v>1140</v>
      </c>
      <c r="AJ41" s="199">
        <v>1313</v>
      </c>
      <c r="AK41" s="30"/>
      <c r="AL41" s="29" t="s">
        <v>41</v>
      </c>
      <c r="AM41" s="30">
        <v>1749</v>
      </c>
      <c r="AN41" s="209">
        <v>2313</v>
      </c>
      <c r="AP41" s="52" t="s">
        <v>72</v>
      </c>
      <c r="AQ41" s="53">
        <f>$AN195</f>
        <v>4372</v>
      </c>
      <c r="AR41" s="53">
        <f>AN$164+AN$165+AN$187+AN$188</f>
        <v>2033</v>
      </c>
      <c r="AS41" s="53">
        <f>AN$166+AN$167+AN$189+AN$190</f>
        <v>1482</v>
      </c>
      <c r="AT41" s="53">
        <f>AN$168+AN$169+AN$170+AN$171+AN$191+AN$192+AN$193+AN$194</f>
        <v>857</v>
      </c>
      <c r="AU41" s="168">
        <v>2173</v>
      </c>
      <c r="AV41" s="168">
        <v>1306</v>
      </c>
      <c r="AW41" s="168">
        <v>912</v>
      </c>
    </row>
    <row r="42" spans="1:49" outlineLevel="1" x14ac:dyDescent="0.25">
      <c r="A42" s="28"/>
      <c r="B42" s="29" t="s">
        <v>43</v>
      </c>
      <c r="C42" s="30">
        <v>57886</v>
      </c>
      <c r="D42" s="199">
        <v>68588</v>
      </c>
      <c r="E42" s="30"/>
      <c r="F42" s="29" t="s">
        <v>43</v>
      </c>
      <c r="G42" s="30">
        <v>7938</v>
      </c>
      <c r="H42" s="199">
        <v>10290</v>
      </c>
      <c r="I42" s="30"/>
      <c r="J42" s="29" t="s">
        <v>43</v>
      </c>
      <c r="K42" s="30">
        <v>4001</v>
      </c>
      <c r="L42" s="199">
        <v>4299</v>
      </c>
      <c r="M42" s="30"/>
      <c r="N42" s="29" t="s">
        <v>43</v>
      </c>
      <c r="O42" s="30">
        <v>7960</v>
      </c>
      <c r="P42" s="199">
        <v>11000</v>
      </c>
      <c r="Q42" s="30"/>
      <c r="R42" s="29" t="s">
        <v>43</v>
      </c>
      <c r="S42" s="30">
        <v>10091</v>
      </c>
      <c r="T42" s="199">
        <v>11954</v>
      </c>
      <c r="U42" s="30"/>
      <c r="V42" s="29" t="s">
        <v>43</v>
      </c>
      <c r="W42" s="30">
        <v>1672</v>
      </c>
      <c r="X42" s="199">
        <v>2124</v>
      </c>
      <c r="Y42" s="30"/>
      <c r="Z42" s="29" t="s">
        <v>43</v>
      </c>
      <c r="AA42" s="30">
        <v>2063</v>
      </c>
      <c r="AB42" s="199">
        <v>2708</v>
      </c>
      <c r="AC42" s="30"/>
      <c r="AD42" s="29" t="s">
        <v>43</v>
      </c>
      <c r="AE42" s="30">
        <v>1826</v>
      </c>
      <c r="AF42" s="199">
        <v>1778</v>
      </c>
      <c r="AG42" s="30"/>
      <c r="AH42" s="29" t="s">
        <v>43</v>
      </c>
      <c r="AI42" s="30">
        <v>1056</v>
      </c>
      <c r="AJ42" s="199">
        <v>1340</v>
      </c>
      <c r="AK42" s="30"/>
      <c r="AL42" s="29" t="s">
        <v>43</v>
      </c>
      <c r="AM42" s="30">
        <v>1750</v>
      </c>
      <c r="AN42" s="209">
        <v>1970</v>
      </c>
      <c r="AP42" s="52" t="s">
        <v>73</v>
      </c>
      <c r="AQ42" s="53">
        <f>$D244</f>
        <v>2167</v>
      </c>
      <c r="AR42" s="53">
        <f>D$213+D$214+D$236+D$237</f>
        <v>975</v>
      </c>
      <c r="AS42" s="53">
        <f>D$215+D$216+D$238+D$239</f>
        <v>702</v>
      </c>
      <c r="AT42" s="53">
        <f>D$217+D$218+D$219+D$220+D$240+D$241+D$242+D$243</f>
        <v>490</v>
      </c>
      <c r="AU42" s="168">
        <v>1060</v>
      </c>
      <c r="AV42" s="168">
        <v>603</v>
      </c>
      <c r="AW42" s="168">
        <v>465</v>
      </c>
    </row>
    <row r="43" spans="1:49" outlineLevel="1" x14ac:dyDescent="0.25">
      <c r="A43" s="28"/>
      <c r="B43" s="29" t="s">
        <v>45</v>
      </c>
      <c r="C43" s="30">
        <v>55401</v>
      </c>
      <c r="D43" s="199">
        <v>47548</v>
      </c>
      <c r="E43" s="30"/>
      <c r="F43" s="29" t="s">
        <v>45</v>
      </c>
      <c r="G43" s="30">
        <v>7250</v>
      </c>
      <c r="H43" s="199">
        <v>7502</v>
      </c>
      <c r="I43" s="30"/>
      <c r="J43" s="29" t="s">
        <v>45</v>
      </c>
      <c r="K43" s="30">
        <v>3535</v>
      </c>
      <c r="L43" s="199">
        <v>3095</v>
      </c>
      <c r="M43" s="30"/>
      <c r="N43" s="29" t="s">
        <v>45</v>
      </c>
      <c r="O43" s="30">
        <v>7121</v>
      </c>
      <c r="P43" s="199">
        <v>7210</v>
      </c>
      <c r="Q43" s="30"/>
      <c r="R43" s="29" t="s">
        <v>45</v>
      </c>
      <c r="S43" s="30">
        <v>8812</v>
      </c>
      <c r="T43" s="199">
        <v>8631</v>
      </c>
      <c r="U43" s="30"/>
      <c r="V43" s="29" t="s">
        <v>45</v>
      </c>
      <c r="W43" s="30">
        <v>1674</v>
      </c>
      <c r="X43" s="199">
        <v>1376</v>
      </c>
      <c r="Y43" s="30"/>
      <c r="Z43" s="29" t="s">
        <v>45</v>
      </c>
      <c r="AA43" s="30">
        <v>1833</v>
      </c>
      <c r="AB43" s="199">
        <v>1606</v>
      </c>
      <c r="AC43" s="30"/>
      <c r="AD43" s="29" t="s">
        <v>45</v>
      </c>
      <c r="AE43" s="30">
        <v>2005</v>
      </c>
      <c r="AF43" s="199">
        <v>1193</v>
      </c>
      <c r="AG43" s="30"/>
      <c r="AH43" s="29" t="s">
        <v>45</v>
      </c>
      <c r="AI43" s="30">
        <v>1068</v>
      </c>
      <c r="AJ43" s="199">
        <v>853</v>
      </c>
      <c r="AK43" s="30"/>
      <c r="AL43" s="29" t="s">
        <v>45</v>
      </c>
      <c r="AM43" s="30">
        <v>1778</v>
      </c>
      <c r="AN43" s="209">
        <v>1360</v>
      </c>
      <c r="AP43" s="52" t="s">
        <v>74</v>
      </c>
      <c r="AQ43" s="53">
        <f>$H244</f>
        <v>3112</v>
      </c>
      <c r="AR43" s="53">
        <f>H$213+H$214+H$236+H$237</f>
        <v>1424</v>
      </c>
      <c r="AS43" s="53">
        <f>H$215+H$216+H$238+H$239</f>
        <v>975</v>
      </c>
      <c r="AT43" s="53">
        <f>H$217+H$218+H$219+H$220+H$240+H$241+H$242+H$243</f>
        <v>713</v>
      </c>
      <c r="AU43" s="168">
        <v>1541</v>
      </c>
      <c r="AV43" s="168">
        <v>878</v>
      </c>
      <c r="AW43" s="168">
        <v>798</v>
      </c>
    </row>
    <row r="44" spans="1:49" outlineLevel="1" x14ac:dyDescent="0.25">
      <c r="A44" s="28"/>
      <c r="B44" s="29" t="s">
        <v>47</v>
      </c>
      <c r="C44" s="30">
        <v>40994</v>
      </c>
      <c r="D44" s="199">
        <v>39719</v>
      </c>
      <c r="E44" s="30"/>
      <c r="F44" s="29" t="s">
        <v>47</v>
      </c>
      <c r="G44" s="30">
        <v>5200</v>
      </c>
      <c r="H44" s="199">
        <v>5592</v>
      </c>
      <c r="I44" s="30"/>
      <c r="J44" s="29" t="s">
        <v>47</v>
      </c>
      <c r="K44" s="30">
        <v>2551</v>
      </c>
      <c r="L44" s="199">
        <v>2687</v>
      </c>
      <c r="M44" s="30"/>
      <c r="N44" s="29" t="s">
        <v>47</v>
      </c>
      <c r="O44" s="30">
        <v>5073</v>
      </c>
      <c r="P44" s="199">
        <v>5629</v>
      </c>
      <c r="Q44" s="30"/>
      <c r="R44" s="29" t="s">
        <v>47</v>
      </c>
      <c r="S44" s="30">
        <v>6213</v>
      </c>
      <c r="T44" s="199">
        <v>6750</v>
      </c>
      <c r="U44" s="30"/>
      <c r="V44" s="29" t="s">
        <v>47</v>
      </c>
      <c r="W44" s="30">
        <v>1239</v>
      </c>
      <c r="X44" s="199">
        <v>1129</v>
      </c>
      <c r="Y44" s="30"/>
      <c r="Z44" s="29" t="s">
        <v>47</v>
      </c>
      <c r="AA44" s="30">
        <v>1450</v>
      </c>
      <c r="AB44" s="199">
        <v>1397</v>
      </c>
      <c r="AC44" s="30"/>
      <c r="AD44" s="29" t="s">
        <v>47</v>
      </c>
      <c r="AE44" s="30">
        <v>1548</v>
      </c>
      <c r="AF44" s="199">
        <v>1258</v>
      </c>
      <c r="AG44" s="30"/>
      <c r="AH44" s="29" t="s">
        <v>47</v>
      </c>
      <c r="AI44" s="30">
        <v>766</v>
      </c>
      <c r="AJ44" s="199">
        <v>675</v>
      </c>
      <c r="AK44" s="30"/>
      <c r="AL44" s="29" t="s">
        <v>47</v>
      </c>
      <c r="AM44" s="30">
        <v>1419</v>
      </c>
      <c r="AN44" s="209">
        <v>1192</v>
      </c>
      <c r="AP44" s="52" t="s">
        <v>75</v>
      </c>
      <c r="AQ44" s="53">
        <f>$L244</f>
        <v>1235</v>
      </c>
      <c r="AR44" s="53">
        <f>L$213+L$214+L$236+L$237</f>
        <v>615</v>
      </c>
      <c r="AS44" s="53">
        <f>L$215+L$216+L$238+L$239</f>
        <v>372</v>
      </c>
      <c r="AT44" s="53">
        <f>L$217+L$218+L$219+L$220+L$240+L$241+L$242+L$243</f>
        <v>248</v>
      </c>
      <c r="AU44" s="168">
        <v>632</v>
      </c>
      <c r="AV44" s="168">
        <v>343</v>
      </c>
      <c r="AW44" s="168">
        <v>302</v>
      </c>
    </row>
    <row r="45" spans="1:49" outlineLevel="1" x14ac:dyDescent="0.25">
      <c r="A45" s="28"/>
      <c r="B45" s="29" t="s">
        <v>49</v>
      </c>
      <c r="C45" s="30">
        <v>18974</v>
      </c>
      <c r="D45" s="199">
        <v>26354</v>
      </c>
      <c r="E45" s="30"/>
      <c r="F45" s="29" t="s">
        <v>49</v>
      </c>
      <c r="G45" s="30">
        <v>2289</v>
      </c>
      <c r="H45" s="199">
        <v>3526</v>
      </c>
      <c r="I45" s="30"/>
      <c r="J45" s="29" t="s">
        <v>49</v>
      </c>
      <c r="K45" s="30">
        <v>1169</v>
      </c>
      <c r="L45" s="199">
        <v>1698</v>
      </c>
      <c r="M45" s="30"/>
      <c r="N45" s="29" t="s">
        <v>49</v>
      </c>
      <c r="O45" s="30">
        <v>2295</v>
      </c>
      <c r="P45" s="199">
        <v>3374</v>
      </c>
      <c r="Q45" s="30"/>
      <c r="R45" s="29" t="s">
        <v>49</v>
      </c>
      <c r="S45" s="30">
        <v>2941</v>
      </c>
      <c r="T45" s="199">
        <v>4132</v>
      </c>
      <c r="U45" s="30"/>
      <c r="V45" s="29" t="s">
        <v>49</v>
      </c>
      <c r="W45" s="30">
        <v>542</v>
      </c>
      <c r="X45" s="199">
        <v>811</v>
      </c>
      <c r="Y45" s="30"/>
      <c r="Z45" s="29" t="s">
        <v>49</v>
      </c>
      <c r="AA45" s="30">
        <v>608</v>
      </c>
      <c r="AB45" s="199">
        <v>835</v>
      </c>
      <c r="AC45" s="30"/>
      <c r="AD45" s="29" t="s">
        <v>49</v>
      </c>
      <c r="AE45" s="30">
        <v>792</v>
      </c>
      <c r="AF45" s="199">
        <v>980</v>
      </c>
      <c r="AG45" s="30"/>
      <c r="AH45" s="29" t="s">
        <v>49</v>
      </c>
      <c r="AI45" s="30">
        <v>328</v>
      </c>
      <c r="AJ45" s="199">
        <v>483</v>
      </c>
      <c r="AK45" s="30"/>
      <c r="AL45" s="29" t="s">
        <v>49</v>
      </c>
      <c r="AM45" s="30">
        <v>639</v>
      </c>
      <c r="AN45" s="209">
        <v>799</v>
      </c>
      <c r="AP45" s="52" t="s">
        <v>76</v>
      </c>
      <c r="AQ45" s="53">
        <f>$P244</f>
        <v>5444</v>
      </c>
      <c r="AR45" s="53">
        <f>P$213+P$214+P$236+P$237</f>
        <v>2454</v>
      </c>
      <c r="AS45" s="53">
        <f>P$215+P$216+P$238+P$239</f>
        <v>1904</v>
      </c>
      <c r="AT45" s="53">
        <f>P$217+P$218+P$219+P$220+P$240+P$241+P$242+P$243</f>
        <v>1086</v>
      </c>
      <c r="AU45" s="168">
        <v>2749</v>
      </c>
      <c r="AV45" s="168">
        <v>1656</v>
      </c>
      <c r="AW45" s="168">
        <v>1160</v>
      </c>
    </row>
    <row r="46" spans="1:49" outlineLevel="1" x14ac:dyDescent="0.25">
      <c r="A46" s="28"/>
      <c r="B46" s="29" t="s">
        <v>51</v>
      </c>
      <c r="C46" s="30">
        <v>4906</v>
      </c>
      <c r="D46" s="199">
        <v>9669</v>
      </c>
      <c r="E46" s="30"/>
      <c r="F46" s="29" t="s">
        <v>51</v>
      </c>
      <c r="G46" s="30">
        <v>582</v>
      </c>
      <c r="H46" s="199">
        <v>1304</v>
      </c>
      <c r="I46" s="30"/>
      <c r="J46" s="29" t="s">
        <v>51</v>
      </c>
      <c r="K46" s="30">
        <v>280</v>
      </c>
      <c r="L46" s="199">
        <v>551</v>
      </c>
      <c r="M46" s="30"/>
      <c r="N46" s="29" t="s">
        <v>51</v>
      </c>
      <c r="O46" s="30">
        <v>588</v>
      </c>
      <c r="P46" s="199">
        <v>1193</v>
      </c>
      <c r="Q46" s="30"/>
      <c r="R46" s="29" t="s">
        <v>51</v>
      </c>
      <c r="S46" s="30">
        <v>757</v>
      </c>
      <c r="T46" s="199">
        <v>1424</v>
      </c>
      <c r="U46" s="30"/>
      <c r="V46" s="29" t="s">
        <v>51</v>
      </c>
      <c r="W46" s="30">
        <v>126</v>
      </c>
      <c r="X46" s="199">
        <v>266</v>
      </c>
      <c r="Y46" s="30"/>
      <c r="Z46" s="29" t="s">
        <v>51</v>
      </c>
      <c r="AA46" s="30">
        <v>148</v>
      </c>
      <c r="AB46" s="199">
        <v>333</v>
      </c>
      <c r="AC46" s="30"/>
      <c r="AD46" s="29" t="s">
        <v>51</v>
      </c>
      <c r="AE46" s="30">
        <v>232</v>
      </c>
      <c r="AF46" s="199">
        <v>390</v>
      </c>
      <c r="AG46" s="30"/>
      <c r="AH46" s="29" t="s">
        <v>51</v>
      </c>
      <c r="AI46" s="30">
        <v>76</v>
      </c>
      <c r="AJ46" s="199">
        <v>171</v>
      </c>
      <c r="AK46" s="30"/>
      <c r="AL46" s="29" t="s">
        <v>51</v>
      </c>
      <c r="AM46" s="30">
        <v>165</v>
      </c>
      <c r="AN46" s="209">
        <v>316</v>
      </c>
      <c r="AP46" s="52" t="s">
        <v>77</v>
      </c>
      <c r="AQ46" s="53">
        <f>$T244</f>
        <v>2110</v>
      </c>
      <c r="AR46" s="53">
        <f>T$213+T$214+T$236+T$237</f>
        <v>1030</v>
      </c>
      <c r="AS46" s="53">
        <f>T$215+T$216+T$238+T$239</f>
        <v>711</v>
      </c>
      <c r="AT46" s="53">
        <f>T$217+T$218+T$219+T$220+T$240+T$241+T$242+T$243</f>
        <v>369</v>
      </c>
      <c r="AU46" s="168">
        <v>1129</v>
      </c>
      <c r="AV46" s="168">
        <v>555</v>
      </c>
      <c r="AW46" s="168">
        <v>415</v>
      </c>
    </row>
    <row r="47" spans="1:49" ht="19.5" outlineLevel="1" thickBot="1" x14ac:dyDescent="0.3">
      <c r="A47" s="34"/>
      <c r="B47" s="35" t="s">
        <v>53</v>
      </c>
      <c r="C47" s="36">
        <v>780</v>
      </c>
      <c r="D47" s="200">
        <v>1605</v>
      </c>
      <c r="E47" s="36"/>
      <c r="F47" s="35" t="s">
        <v>53</v>
      </c>
      <c r="G47" s="36">
        <v>87</v>
      </c>
      <c r="H47" s="200">
        <v>207</v>
      </c>
      <c r="I47" s="36"/>
      <c r="J47" s="35" t="s">
        <v>53</v>
      </c>
      <c r="K47" s="36">
        <v>52</v>
      </c>
      <c r="L47" s="200">
        <v>99</v>
      </c>
      <c r="M47" s="36"/>
      <c r="N47" s="35" t="s">
        <v>53</v>
      </c>
      <c r="O47" s="36">
        <v>82</v>
      </c>
      <c r="P47" s="200">
        <v>164</v>
      </c>
      <c r="Q47" s="36"/>
      <c r="R47" s="35" t="s">
        <v>53</v>
      </c>
      <c r="S47" s="36">
        <v>130</v>
      </c>
      <c r="T47" s="200">
        <v>240</v>
      </c>
      <c r="U47" s="36"/>
      <c r="V47" s="35" t="s">
        <v>53</v>
      </c>
      <c r="W47" s="36">
        <v>15</v>
      </c>
      <c r="X47" s="200">
        <v>38</v>
      </c>
      <c r="Y47" s="36"/>
      <c r="Z47" s="35" t="s">
        <v>53</v>
      </c>
      <c r="AA47" s="36">
        <v>21</v>
      </c>
      <c r="AB47" s="200">
        <v>47</v>
      </c>
      <c r="AC47" s="36"/>
      <c r="AD47" s="35" t="s">
        <v>53</v>
      </c>
      <c r="AE47" s="36">
        <v>30</v>
      </c>
      <c r="AF47" s="200">
        <v>63</v>
      </c>
      <c r="AG47" s="36"/>
      <c r="AH47" s="35" t="s">
        <v>53</v>
      </c>
      <c r="AI47" s="36">
        <v>23</v>
      </c>
      <c r="AJ47" s="200">
        <v>33</v>
      </c>
      <c r="AK47" s="36"/>
      <c r="AL47" s="35" t="s">
        <v>53</v>
      </c>
      <c r="AM47" s="36">
        <v>25</v>
      </c>
      <c r="AN47" s="210">
        <v>53</v>
      </c>
      <c r="AP47" s="52" t="s">
        <v>78</v>
      </c>
      <c r="AQ47" s="53">
        <f>$X244</f>
        <v>2020</v>
      </c>
      <c r="AR47" s="53">
        <f>X$213+X$214+X$236+X$237</f>
        <v>1078</v>
      </c>
      <c r="AS47" s="53">
        <f>X$215+X$216+X$238+X$239</f>
        <v>598</v>
      </c>
      <c r="AT47" s="53">
        <f>X$217+X$218+X$219+X$220+X$240+X$241+X$242+X$243</f>
        <v>344</v>
      </c>
      <c r="AU47" s="168">
        <v>1109</v>
      </c>
      <c r="AV47" s="168">
        <v>518</v>
      </c>
      <c r="AW47" s="168">
        <v>378</v>
      </c>
    </row>
    <row r="48" spans="1:49" outlineLevel="1" x14ac:dyDescent="0.25">
      <c r="A48" s="44"/>
      <c r="B48" s="44" t="s">
        <v>79</v>
      </c>
      <c r="C48" s="45"/>
      <c r="D48" s="45"/>
      <c r="E48" s="45"/>
      <c r="F48" s="44" t="s">
        <v>79</v>
      </c>
      <c r="G48" s="45">
        <f>SUM(G17:G24,G40:G47)</f>
        <v>75361</v>
      </c>
      <c r="H48" s="45">
        <f>SUM(H17:H24,H40:H47)</f>
        <v>83587</v>
      </c>
      <c r="I48" s="45"/>
      <c r="J48" s="44" t="s">
        <v>79</v>
      </c>
      <c r="K48" s="45">
        <f>SUM(K17:K24,K40:K47)</f>
        <v>33655</v>
      </c>
      <c r="L48" s="45">
        <f>SUM(L17:L24,L40:L47)</f>
        <v>36447</v>
      </c>
      <c r="M48" s="45"/>
      <c r="N48" s="44" t="s">
        <v>79</v>
      </c>
      <c r="O48" s="45">
        <f>SUM(O17:O24,O40:O47)</f>
        <v>75438</v>
      </c>
      <c r="P48" s="45">
        <f>SUM(P17:P24,P40:P47)</f>
        <v>89410</v>
      </c>
      <c r="Q48" s="45"/>
      <c r="R48" s="44" t="s">
        <v>79</v>
      </c>
      <c r="S48" s="45">
        <f>SUM(S17:S24,S40:S47)</f>
        <v>91100</v>
      </c>
      <c r="T48" s="45">
        <f>SUM(T17:T24,T40:T47)</f>
        <v>98548</v>
      </c>
      <c r="U48" s="45"/>
      <c r="V48" s="44" t="s">
        <v>79</v>
      </c>
      <c r="W48" s="45">
        <f>SUM(W17:W24,W40:W47)</f>
        <v>15735</v>
      </c>
      <c r="X48" s="45">
        <f>SUM(X17:X24,X40:X47)</f>
        <v>18338</v>
      </c>
      <c r="Y48" s="45"/>
      <c r="Z48" s="44" t="s">
        <v>79</v>
      </c>
      <c r="AA48" s="45">
        <f>SUM(AA17:AA24,AA40:AA47)</f>
        <v>18848</v>
      </c>
      <c r="AB48" s="45">
        <f>SUM(AB17:AB24,AB40:AB47)</f>
        <v>22316</v>
      </c>
      <c r="AC48" s="45"/>
      <c r="AD48" s="44" t="s">
        <v>79</v>
      </c>
      <c r="AE48" s="45">
        <f>SUM(AE17:AE24,AE40:AE47)</f>
        <v>16304</v>
      </c>
      <c r="AF48" s="45">
        <f>SUM(AF17:AF24,AF40:AF47)</f>
        <v>16305</v>
      </c>
      <c r="AG48" s="45"/>
      <c r="AH48" s="44" t="s">
        <v>79</v>
      </c>
      <c r="AI48" s="45">
        <f>SUM(AI17:AI24,AI40:AI47)</f>
        <v>10025</v>
      </c>
      <c r="AJ48" s="45">
        <f>SUM(AJ17:AJ24,AJ40:AJ47)</f>
        <v>10752</v>
      </c>
      <c r="AK48" s="45"/>
      <c r="AL48" s="44" t="s">
        <v>79</v>
      </c>
      <c r="AM48" s="45">
        <f>SUM(AM17:AM24,AM40:AM47)</f>
        <v>16532</v>
      </c>
      <c r="AN48" s="45">
        <f>SUM(AN17:AN24,AN40:AN47)</f>
        <v>18401</v>
      </c>
      <c r="AP48" s="52" t="s">
        <v>80</v>
      </c>
      <c r="AQ48" s="53">
        <f>$AB244</f>
        <v>2132</v>
      </c>
      <c r="AR48" s="53">
        <f>AB$213+AB$214+AB$236+AB$237</f>
        <v>964</v>
      </c>
      <c r="AS48" s="53">
        <f>AB$215+AB$216+AB$238+AB$239</f>
        <v>708</v>
      </c>
      <c r="AT48" s="53">
        <f>AB$217+AB$218+AB$219+AB$220+AB$240+AB$241+AB$242+AB$243</f>
        <v>460</v>
      </c>
      <c r="AU48" s="168">
        <v>1019</v>
      </c>
      <c r="AV48" s="168">
        <v>660</v>
      </c>
      <c r="AW48" s="168">
        <v>418</v>
      </c>
    </row>
    <row r="49" spans="1:49" ht="19.5" thickBot="1" x14ac:dyDescent="0.3">
      <c r="A49" s="39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P49" s="52" t="s">
        <v>81</v>
      </c>
      <c r="AQ49" s="53">
        <f>$AF244</f>
        <v>1918</v>
      </c>
      <c r="AR49" s="53">
        <f>AF$213+AF$214+AF$236+AF$237</f>
        <v>940</v>
      </c>
      <c r="AS49" s="53">
        <f>AF$215+AF$216+AF$238+AF$239</f>
        <v>559</v>
      </c>
      <c r="AT49" s="53">
        <f>AF$217+AF$218+AF$219+AF$220+AF$240+AF$241+AF$242+AF$243</f>
        <v>419</v>
      </c>
      <c r="AU49" s="168">
        <v>971</v>
      </c>
      <c r="AV49" s="168">
        <v>511</v>
      </c>
      <c r="AW49" s="168">
        <v>511</v>
      </c>
    </row>
    <row r="50" spans="1:49" outlineLevel="1" x14ac:dyDescent="0.25">
      <c r="A50" s="169" t="s">
        <v>30</v>
      </c>
      <c r="B50" s="25"/>
      <c r="C50" s="26" t="s">
        <v>1</v>
      </c>
      <c r="D50" s="26" t="s">
        <v>217</v>
      </c>
      <c r="E50" s="165" t="s">
        <v>32</v>
      </c>
      <c r="F50" s="25"/>
      <c r="G50" s="26" t="s">
        <v>1</v>
      </c>
      <c r="H50" s="26" t="s">
        <v>217</v>
      </c>
      <c r="I50" s="165" t="s">
        <v>34</v>
      </c>
      <c r="J50" s="25"/>
      <c r="K50" s="26" t="s">
        <v>1</v>
      </c>
      <c r="L50" s="26" t="s">
        <v>217</v>
      </c>
      <c r="M50" s="165" t="s">
        <v>36</v>
      </c>
      <c r="N50" s="25"/>
      <c r="O50" s="26" t="s">
        <v>1</v>
      </c>
      <c r="P50" s="26" t="s">
        <v>217</v>
      </c>
      <c r="Q50" s="170" t="s">
        <v>218</v>
      </c>
      <c r="R50" s="170"/>
      <c r="S50" s="26" t="s">
        <v>1</v>
      </c>
      <c r="T50" s="26" t="s">
        <v>217</v>
      </c>
      <c r="U50" s="165" t="s">
        <v>219</v>
      </c>
      <c r="V50" s="25"/>
      <c r="W50" s="26" t="s">
        <v>1</v>
      </c>
      <c r="X50" s="26" t="s">
        <v>217</v>
      </c>
      <c r="Y50" s="165" t="s">
        <v>220</v>
      </c>
      <c r="Z50" s="25"/>
      <c r="AA50" s="26" t="s">
        <v>1</v>
      </c>
      <c r="AB50" s="26" t="s">
        <v>217</v>
      </c>
      <c r="AC50" s="165" t="s">
        <v>221</v>
      </c>
      <c r="AD50" s="25"/>
      <c r="AE50" s="26" t="s">
        <v>1</v>
      </c>
      <c r="AF50" s="26" t="s">
        <v>217</v>
      </c>
      <c r="AG50" s="165" t="s">
        <v>222</v>
      </c>
      <c r="AH50" s="25"/>
      <c r="AI50" s="26" t="s">
        <v>1</v>
      </c>
      <c r="AJ50" s="26" t="s">
        <v>217</v>
      </c>
      <c r="AK50" s="165" t="s">
        <v>223</v>
      </c>
      <c r="AL50" s="25"/>
      <c r="AM50" s="26" t="s">
        <v>1</v>
      </c>
      <c r="AN50" s="27" t="s">
        <v>224</v>
      </c>
      <c r="AP50" s="52" t="s">
        <v>88</v>
      </c>
      <c r="AQ50" s="53">
        <f>$AJ244</f>
        <v>5962</v>
      </c>
      <c r="AR50" s="53">
        <f>AJ$213+AJ$214+AJ$236+AJ$237</f>
        <v>2786</v>
      </c>
      <c r="AS50" s="53">
        <f>AJ$215+AJ$216+AJ$238+AJ$239</f>
        <v>2074</v>
      </c>
      <c r="AT50" s="53">
        <f>AJ$217+AJ$218+AJ$219+AJ$220+AJ$240+AJ$241+AJ$242+AJ$243</f>
        <v>1102</v>
      </c>
      <c r="AU50" s="168">
        <v>3004</v>
      </c>
      <c r="AV50" s="168">
        <v>1707</v>
      </c>
      <c r="AW50" s="168">
        <v>1118</v>
      </c>
    </row>
    <row r="51" spans="1:49" outlineLevel="1" x14ac:dyDescent="0.25">
      <c r="A51" s="28">
        <v>1284</v>
      </c>
      <c r="B51" s="29"/>
      <c r="C51" s="30" t="s">
        <v>13</v>
      </c>
      <c r="D51" s="30"/>
      <c r="E51" s="29">
        <v>1287</v>
      </c>
      <c r="F51" s="29"/>
      <c r="G51" s="30" t="s">
        <v>13</v>
      </c>
      <c r="H51" s="30"/>
      <c r="I51" s="29">
        <v>1290</v>
      </c>
      <c r="J51" s="29"/>
      <c r="K51" s="30" t="s">
        <v>13</v>
      </c>
      <c r="L51" s="30"/>
      <c r="M51" s="29">
        <v>1293</v>
      </c>
      <c r="N51" s="29"/>
      <c r="O51" s="30" t="s">
        <v>13</v>
      </c>
      <c r="P51" s="30"/>
      <c r="Q51" s="30">
        <v>1299</v>
      </c>
      <c r="R51" s="30"/>
      <c r="S51" s="30" t="s">
        <v>13</v>
      </c>
      <c r="T51" s="30"/>
      <c r="U51" s="29">
        <v>1302</v>
      </c>
      <c r="V51" s="29"/>
      <c r="W51" s="30" t="s">
        <v>13</v>
      </c>
      <c r="X51" s="30"/>
      <c r="Y51" s="29">
        <v>1305</v>
      </c>
      <c r="Z51" s="29"/>
      <c r="AA51" s="30" t="s">
        <v>13</v>
      </c>
      <c r="AB51" s="30"/>
      <c r="AC51" s="29">
        <v>1311</v>
      </c>
      <c r="AD51" s="29"/>
      <c r="AE51" s="30" t="s">
        <v>13</v>
      </c>
      <c r="AF51" s="30"/>
      <c r="AG51" s="29">
        <v>1317</v>
      </c>
      <c r="AH51" s="29"/>
      <c r="AI51" s="30" t="s">
        <v>13</v>
      </c>
      <c r="AJ51" s="30"/>
      <c r="AK51" s="29">
        <v>1320</v>
      </c>
      <c r="AL51" s="29"/>
      <c r="AM51" s="30" t="s">
        <v>13</v>
      </c>
      <c r="AN51" s="31"/>
      <c r="AP51" s="52" t="s">
        <v>89</v>
      </c>
      <c r="AQ51" s="53">
        <f>$AN244</f>
        <v>3474</v>
      </c>
      <c r="AR51" s="53">
        <f>AN$213+AN$214+AN$236+AN$237</f>
        <v>1660</v>
      </c>
      <c r="AS51" s="53">
        <f>AN$215+AN$216+AN$238+AN$239</f>
        <v>1068</v>
      </c>
      <c r="AT51" s="53">
        <f>AN$217+AN$218+AN$219+AN$220+AN$240+AN$241+AN$242+AN$243</f>
        <v>746</v>
      </c>
      <c r="AU51" s="168">
        <v>1703</v>
      </c>
      <c r="AV51" s="168">
        <v>1012</v>
      </c>
      <c r="AW51" s="168">
        <v>781</v>
      </c>
    </row>
    <row r="52" spans="1:49" outlineLevel="1" x14ac:dyDescent="0.25">
      <c r="A52" s="28"/>
      <c r="B52" s="29" t="s">
        <v>18</v>
      </c>
      <c r="C52" s="30">
        <v>19272</v>
      </c>
      <c r="D52" s="204">
        <v>16097</v>
      </c>
      <c r="E52" s="29"/>
      <c r="F52" s="29" t="s">
        <v>18</v>
      </c>
      <c r="G52" s="30">
        <v>31716</v>
      </c>
      <c r="H52" s="204">
        <v>27322</v>
      </c>
      <c r="I52" s="29"/>
      <c r="J52" s="29" t="s">
        <v>18</v>
      </c>
      <c r="K52" s="30">
        <v>31169</v>
      </c>
      <c r="L52" s="204">
        <v>26798</v>
      </c>
      <c r="M52" s="29"/>
      <c r="N52" s="29" t="s">
        <v>18</v>
      </c>
      <c r="O52" s="30">
        <v>15196</v>
      </c>
      <c r="P52" s="204">
        <v>14635</v>
      </c>
      <c r="Q52" s="30"/>
      <c r="R52" s="29" t="s">
        <v>18</v>
      </c>
      <c r="S52" s="30">
        <v>5934</v>
      </c>
      <c r="T52" s="204">
        <v>5270</v>
      </c>
      <c r="U52" s="29"/>
      <c r="V52" s="29" t="s">
        <v>18</v>
      </c>
      <c r="W52" s="30">
        <v>4707</v>
      </c>
      <c r="X52" s="204">
        <v>3837</v>
      </c>
      <c r="Y52" s="29"/>
      <c r="Z52" s="29" t="s">
        <v>18</v>
      </c>
      <c r="AA52" s="30">
        <v>7284</v>
      </c>
      <c r="AB52" s="204">
        <v>5577</v>
      </c>
      <c r="AC52" s="29"/>
      <c r="AD52" s="29" t="s">
        <v>18</v>
      </c>
      <c r="AE52" s="30">
        <v>4225</v>
      </c>
      <c r="AF52" s="204">
        <v>4391</v>
      </c>
      <c r="AG52" s="29"/>
      <c r="AH52" s="29" t="s">
        <v>18</v>
      </c>
      <c r="AI52" s="30">
        <v>6327</v>
      </c>
      <c r="AJ52" s="204">
        <v>6125</v>
      </c>
      <c r="AK52" s="29"/>
      <c r="AL52" s="29" t="s">
        <v>18</v>
      </c>
      <c r="AM52" s="30">
        <v>2999</v>
      </c>
      <c r="AN52" s="206">
        <v>2586</v>
      </c>
      <c r="AP52" s="52" t="s">
        <v>90</v>
      </c>
      <c r="AQ52" s="53">
        <f>$D293</f>
        <v>1588</v>
      </c>
      <c r="AR52" s="53">
        <f>D$262+D$263+D$285+D$286</f>
        <v>781</v>
      </c>
      <c r="AS52" s="53">
        <f>D$264+D$265+D$287+D$288</f>
        <v>566</v>
      </c>
      <c r="AT52" s="53">
        <f>D$266+D$267+D$268+D$269+D$289+D$290+D$291+D$292</f>
        <v>241</v>
      </c>
      <c r="AU52" s="168">
        <v>858</v>
      </c>
      <c r="AV52" s="168">
        <v>454</v>
      </c>
      <c r="AW52" s="168">
        <v>264</v>
      </c>
    </row>
    <row r="53" spans="1:49" outlineLevel="1" x14ac:dyDescent="0.25">
      <c r="A53" s="28"/>
      <c r="B53" s="29" t="s">
        <v>20</v>
      </c>
      <c r="C53" s="30">
        <v>639</v>
      </c>
      <c r="D53" s="204">
        <v>347</v>
      </c>
      <c r="E53" s="29"/>
      <c r="F53" s="29" t="s">
        <v>20</v>
      </c>
      <c r="G53" s="30">
        <v>937</v>
      </c>
      <c r="H53" s="204">
        <v>695</v>
      </c>
      <c r="I53" s="29"/>
      <c r="J53" s="29" t="s">
        <v>20</v>
      </c>
      <c r="K53" s="30">
        <v>979</v>
      </c>
      <c r="L53" s="204">
        <v>626</v>
      </c>
      <c r="M53" s="29"/>
      <c r="N53" s="29" t="s">
        <v>20</v>
      </c>
      <c r="O53" s="30">
        <v>635</v>
      </c>
      <c r="P53" s="204">
        <v>460</v>
      </c>
      <c r="Q53" s="30"/>
      <c r="R53" s="29" t="s">
        <v>20</v>
      </c>
      <c r="S53" s="30">
        <v>186</v>
      </c>
      <c r="T53" s="204">
        <v>131</v>
      </c>
      <c r="U53" s="29"/>
      <c r="V53" s="29" t="s">
        <v>20</v>
      </c>
      <c r="W53" s="30">
        <v>128</v>
      </c>
      <c r="X53" s="204">
        <v>62</v>
      </c>
      <c r="Y53" s="29"/>
      <c r="Z53" s="29" t="s">
        <v>20</v>
      </c>
      <c r="AA53" s="30">
        <v>167</v>
      </c>
      <c r="AB53" s="204">
        <v>83</v>
      </c>
      <c r="AC53" s="29"/>
      <c r="AD53" s="29" t="s">
        <v>20</v>
      </c>
      <c r="AE53" s="30">
        <v>191</v>
      </c>
      <c r="AF53" s="204">
        <v>194</v>
      </c>
      <c r="AG53" s="29"/>
      <c r="AH53" s="29" t="s">
        <v>20</v>
      </c>
      <c r="AI53" s="30">
        <v>293</v>
      </c>
      <c r="AJ53" s="204">
        <v>231</v>
      </c>
      <c r="AK53" s="29"/>
      <c r="AL53" s="29" t="s">
        <v>20</v>
      </c>
      <c r="AM53" s="30">
        <v>106</v>
      </c>
      <c r="AN53" s="206">
        <v>59</v>
      </c>
      <c r="AP53" s="52" t="s">
        <v>91</v>
      </c>
      <c r="AQ53" s="53">
        <f>$H293</f>
        <v>2335</v>
      </c>
      <c r="AR53" s="53">
        <f>H$262+H$263+H$285+H$286</f>
        <v>1089</v>
      </c>
      <c r="AS53" s="53">
        <f>H$264+H$265+H$287+H$288</f>
        <v>798</v>
      </c>
      <c r="AT53" s="53">
        <f>H$266+H$267+H$268+H$269+H$289+H$290+H$291+H$292</f>
        <v>448</v>
      </c>
      <c r="AU53" s="168">
        <v>1175</v>
      </c>
      <c r="AV53" s="168">
        <v>698</v>
      </c>
      <c r="AW53" s="168">
        <v>463</v>
      </c>
    </row>
    <row r="54" spans="1:49" outlineLevel="1" x14ac:dyDescent="0.25">
      <c r="A54" s="28"/>
      <c r="B54" s="29" t="s">
        <v>22</v>
      </c>
      <c r="C54" s="30">
        <v>721</v>
      </c>
      <c r="D54" s="204">
        <v>514</v>
      </c>
      <c r="E54" s="29"/>
      <c r="F54" s="29" t="s">
        <v>22</v>
      </c>
      <c r="G54" s="30">
        <v>1239</v>
      </c>
      <c r="H54" s="204">
        <v>848</v>
      </c>
      <c r="I54" s="29"/>
      <c r="J54" s="29" t="s">
        <v>22</v>
      </c>
      <c r="K54" s="30">
        <v>1086</v>
      </c>
      <c r="L54" s="204">
        <v>889</v>
      </c>
      <c r="M54" s="29"/>
      <c r="N54" s="29" t="s">
        <v>22</v>
      </c>
      <c r="O54" s="30">
        <v>750</v>
      </c>
      <c r="P54" s="204">
        <v>629</v>
      </c>
      <c r="Q54" s="30"/>
      <c r="R54" s="29" t="s">
        <v>22</v>
      </c>
      <c r="S54" s="30">
        <v>221</v>
      </c>
      <c r="T54" s="204">
        <v>179</v>
      </c>
      <c r="U54" s="29"/>
      <c r="V54" s="29" t="s">
        <v>22</v>
      </c>
      <c r="W54" s="30">
        <v>158</v>
      </c>
      <c r="X54" s="204">
        <v>87</v>
      </c>
      <c r="Y54" s="29"/>
      <c r="Z54" s="29" t="s">
        <v>22</v>
      </c>
      <c r="AA54" s="30">
        <v>234</v>
      </c>
      <c r="AB54" s="204">
        <v>107</v>
      </c>
      <c r="AC54" s="29"/>
      <c r="AD54" s="29" t="s">
        <v>22</v>
      </c>
      <c r="AE54" s="30">
        <v>209</v>
      </c>
      <c r="AF54" s="204">
        <v>216</v>
      </c>
      <c r="AG54" s="29"/>
      <c r="AH54" s="29" t="s">
        <v>22</v>
      </c>
      <c r="AI54" s="30">
        <v>329</v>
      </c>
      <c r="AJ54" s="204">
        <v>267</v>
      </c>
      <c r="AK54" s="29"/>
      <c r="AL54" s="29" t="s">
        <v>22</v>
      </c>
      <c r="AM54" s="30">
        <v>118</v>
      </c>
      <c r="AN54" s="206">
        <v>85</v>
      </c>
      <c r="AP54" s="52" t="s">
        <v>92</v>
      </c>
      <c r="AQ54" s="53">
        <f>$L293</f>
        <v>4053</v>
      </c>
      <c r="AR54" s="53">
        <f>L$262+L$263+L$285+L$286</f>
        <v>1906</v>
      </c>
      <c r="AS54" s="53">
        <f>L$264+L$265+L$287+L$288</f>
        <v>1439</v>
      </c>
      <c r="AT54" s="53">
        <f>L$266+L$267+L$268+L$269+L$289+L$290+L$291+L$292</f>
        <v>708</v>
      </c>
      <c r="AU54" s="168">
        <v>2065</v>
      </c>
      <c r="AV54" s="168">
        <v>1201</v>
      </c>
      <c r="AW54" s="168">
        <v>715</v>
      </c>
    </row>
    <row r="55" spans="1:49" outlineLevel="1" x14ac:dyDescent="0.25">
      <c r="A55" s="28"/>
      <c r="B55" s="29" t="s">
        <v>23</v>
      </c>
      <c r="C55" s="30">
        <v>900</v>
      </c>
      <c r="D55" s="204">
        <v>608</v>
      </c>
      <c r="E55" s="29"/>
      <c r="F55" s="29" t="s">
        <v>23</v>
      </c>
      <c r="G55" s="30">
        <v>1526</v>
      </c>
      <c r="H55" s="204">
        <v>860</v>
      </c>
      <c r="I55" s="29"/>
      <c r="J55" s="29" t="s">
        <v>23</v>
      </c>
      <c r="K55" s="30">
        <v>1512</v>
      </c>
      <c r="L55" s="204">
        <v>1080</v>
      </c>
      <c r="M55" s="29"/>
      <c r="N55" s="29" t="s">
        <v>23</v>
      </c>
      <c r="O55" s="30">
        <v>812</v>
      </c>
      <c r="P55" s="204">
        <v>702</v>
      </c>
      <c r="Q55" s="30"/>
      <c r="R55" s="29" t="s">
        <v>23</v>
      </c>
      <c r="S55" s="30">
        <v>271</v>
      </c>
      <c r="T55" s="204">
        <v>213</v>
      </c>
      <c r="U55" s="29"/>
      <c r="V55" s="29" t="s">
        <v>23</v>
      </c>
      <c r="W55" s="30">
        <v>195</v>
      </c>
      <c r="X55" s="204">
        <v>128</v>
      </c>
      <c r="Y55" s="29"/>
      <c r="Z55" s="29" t="s">
        <v>23</v>
      </c>
      <c r="AA55" s="30">
        <v>332</v>
      </c>
      <c r="AB55" s="204">
        <v>142</v>
      </c>
      <c r="AC55" s="29"/>
      <c r="AD55" s="29" t="s">
        <v>23</v>
      </c>
      <c r="AE55" s="30">
        <v>215</v>
      </c>
      <c r="AF55" s="204">
        <v>234</v>
      </c>
      <c r="AG55" s="29"/>
      <c r="AH55" s="29" t="s">
        <v>23</v>
      </c>
      <c r="AI55" s="30">
        <v>356</v>
      </c>
      <c r="AJ55" s="204">
        <v>322</v>
      </c>
      <c r="AK55" s="29"/>
      <c r="AL55" s="29" t="s">
        <v>23</v>
      </c>
      <c r="AM55" s="30">
        <v>149</v>
      </c>
      <c r="AN55" s="206">
        <v>102</v>
      </c>
      <c r="AP55" s="52" t="s">
        <v>93</v>
      </c>
      <c r="AQ55" s="53">
        <f>$P293</f>
        <v>1059</v>
      </c>
      <c r="AR55" s="53">
        <f>P$262+P$263+P$285+P$286</f>
        <v>465</v>
      </c>
      <c r="AS55" s="53">
        <f>P$264+P$265+P$287+P$288</f>
        <v>327</v>
      </c>
      <c r="AT55" s="53">
        <f>P$266+P$267+P$268+P$269+P$289+P$290+P$291+P$292</f>
        <v>267</v>
      </c>
      <c r="AU55" s="168">
        <v>497</v>
      </c>
      <c r="AV55" s="168">
        <v>280</v>
      </c>
      <c r="AW55" s="168">
        <v>272</v>
      </c>
    </row>
    <row r="56" spans="1:49" outlineLevel="1" x14ac:dyDescent="0.25">
      <c r="A56" s="28"/>
      <c r="B56" s="29" t="s">
        <v>24</v>
      </c>
      <c r="C56" s="30">
        <v>957</v>
      </c>
      <c r="D56" s="204">
        <v>658</v>
      </c>
      <c r="E56" s="29"/>
      <c r="F56" s="29" t="s">
        <v>24</v>
      </c>
      <c r="G56" s="30">
        <v>1520</v>
      </c>
      <c r="H56" s="204">
        <v>1006</v>
      </c>
      <c r="I56" s="29"/>
      <c r="J56" s="29" t="s">
        <v>24</v>
      </c>
      <c r="K56" s="30">
        <v>1660</v>
      </c>
      <c r="L56" s="204">
        <v>1101</v>
      </c>
      <c r="M56" s="29"/>
      <c r="N56" s="29" t="s">
        <v>24</v>
      </c>
      <c r="O56" s="30">
        <v>837</v>
      </c>
      <c r="P56" s="204">
        <v>770</v>
      </c>
      <c r="Q56" s="30"/>
      <c r="R56" s="29" t="s">
        <v>24</v>
      </c>
      <c r="S56" s="30">
        <v>303</v>
      </c>
      <c r="T56" s="204">
        <v>266</v>
      </c>
      <c r="U56" s="29"/>
      <c r="V56" s="29" t="s">
        <v>24</v>
      </c>
      <c r="W56" s="30">
        <v>236</v>
      </c>
      <c r="X56" s="204">
        <v>159</v>
      </c>
      <c r="Y56" s="29"/>
      <c r="Z56" s="29" t="s">
        <v>24</v>
      </c>
      <c r="AA56" s="30">
        <v>328</v>
      </c>
      <c r="AB56" s="204">
        <v>216</v>
      </c>
      <c r="AC56" s="29"/>
      <c r="AD56" s="29" t="s">
        <v>24</v>
      </c>
      <c r="AE56" s="30">
        <v>228</v>
      </c>
      <c r="AF56" s="204">
        <v>216</v>
      </c>
      <c r="AG56" s="29"/>
      <c r="AH56" s="29" t="s">
        <v>24</v>
      </c>
      <c r="AI56" s="30">
        <v>348</v>
      </c>
      <c r="AJ56" s="204">
        <v>320</v>
      </c>
      <c r="AK56" s="29"/>
      <c r="AL56" s="29" t="s">
        <v>24</v>
      </c>
      <c r="AM56" s="30">
        <v>128</v>
      </c>
      <c r="AN56" s="206">
        <v>110</v>
      </c>
      <c r="AP56" s="52" t="s">
        <v>94</v>
      </c>
      <c r="AQ56" s="53">
        <f>$T293</f>
        <v>2936</v>
      </c>
      <c r="AR56" s="53">
        <f>T$262+T$263+T$285+T$286</f>
        <v>1446</v>
      </c>
      <c r="AS56" s="53">
        <f>T$264+T$265+T$287+T$288</f>
        <v>1032</v>
      </c>
      <c r="AT56" s="53">
        <f>T$266+T$267+T$268+T$269+T$289+T$290+T$291+T$292</f>
        <v>458</v>
      </c>
      <c r="AU56" s="168">
        <v>1535</v>
      </c>
      <c r="AV56" s="168">
        <v>854</v>
      </c>
      <c r="AW56" s="168">
        <v>472</v>
      </c>
    </row>
    <row r="57" spans="1:49" outlineLevel="1" x14ac:dyDescent="0.25">
      <c r="A57" s="28"/>
      <c r="B57" s="29" t="s">
        <v>25</v>
      </c>
      <c r="C57" s="30">
        <v>1038</v>
      </c>
      <c r="D57" s="204">
        <v>701</v>
      </c>
      <c r="E57" s="29"/>
      <c r="F57" s="29" t="s">
        <v>25</v>
      </c>
      <c r="G57" s="30">
        <v>1464</v>
      </c>
      <c r="H57" s="204">
        <v>1126</v>
      </c>
      <c r="I57" s="29"/>
      <c r="J57" s="29" t="s">
        <v>25</v>
      </c>
      <c r="K57" s="30">
        <v>1507</v>
      </c>
      <c r="L57" s="204">
        <v>1038</v>
      </c>
      <c r="M57" s="29"/>
      <c r="N57" s="29" t="s">
        <v>25</v>
      </c>
      <c r="O57" s="30">
        <v>774</v>
      </c>
      <c r="P57" s="204">
        <v>733</v>
      </c>
      <c r="Q57" s="30"/>
      <c r="R57" s="29" t="s">
        <v>25</v>
      </c>
      <c r="S57" s="30">
        <v>270</v>
      </c>
      <c r="T57" s="204">
        <v>212</v>
      </c>
      <c r="U57" s="29"/>
      <c r="V57" s="29" t="s">
        <v>25</v>
      </c>
      <c r="W57" s="30">
        <v>207</v>
      </c>
      <c r="X57" s="204">
        <v>135</v>
      </c>
      <c r="Y57" s="29"/>
      <c r="Z57" s="29" t="s">
        <v>25</v>
      </c>
      <c r="AA57" s="30">
        <v>331</v>
      </c>
      <c r="AB57" s="204">
        <v>235</v>
      </c>
      <c r="AC57" s="29"/>
      <c r="AD57" s="29" t="s">
        <v>25</v>
      </c>
      <c r="AE57" s="30">
        <v>222</v>
      </c>
      <c r="AF57" s="204">
        <v>189</v>
      </c>
      <c r="AG57" s="29"/>
      <c r="AH57" s="29" t="s">
        <v>25</v>
      </c>
      <c r="AI57" s="30">
        <v>328</v>
      </c>
      <c r="AJ57" s="204">
        <v>294</v>
      </c>
      <c r="AK57" s="29"/>
      <c r="AL57" s="29" t="s">
        <v>25</v>
      </c>
      <c r="AM57" s="30">
        <v>157</v>
      </c>
      <c r="AN57" s="206">
        <v>128</v>
      </c>
      <c r="AP57" s="52" t="s">
        <v>95</v>
      </c>
      <c r="AQ57" s="53">
        <f>$X293</f>
        <v>2069</v>
      </c>
      <c r="AR57" s="53">
        <f>X$262+X$263+X$285+X$286</f>
        <v>931</v>
      </c>
      <c r="AS57" s="53">
        <f>X$264+X$265+X$287+X$288</f>
        <v>725</v>
      </c>
      <c r="AT57" s="53">
        <f>X$266+X$267+X$268+X$269+X$289+X$290+X$291+X$292</f>
        <v>413</v>
      </c>
      <c r="AU57" s="168">
        <v>1022</v>
      </c>
      <c r="AV57" s="168">
        <v>626</v>
      </c>
      <c r="AW57" s="168">
        <v>447</v>
      </c>
    </row>
    <row r="58" spans="1:49" outlineLevel="1" x14ac:dyDescent="0.25">
      <c r="A58" s="28"/>
      <c r="B58" s="29" t="s">
        <v>26</v>
      </c>
      <c r="C58" s="30">
        <v>953</v>
      </c>
      <c r="D58" s="204">
        <v>632</v>
      </c>
      <c r="E58" s="29"/>
      <c r="F58" s="29" t="s">
        <v>26</v>
      </c>
      <c r="G58" s="30">
        <v>1490</v>
      </c>
      <c r="H58" s="204">
        <v>1242</v>
      </c>
      <c r="I58" s="29"/>
      <c r="J58" s="29" t="s">
        <v>26</v>
      </c>
      <c r="K58" s="30">
        <v>1415</v>
      </c>
      <c r="L58" s="204">
        <v>1005</v>
      </c>
      <c r="M58" s="29"/>
      <c r="N58" s="29" t="s">
        <v>26</v>
      </c>
      <c r="O58" s="30">
        <v>855</v>
      </c>
      <c r="P58" s="204">
        <v>689</v>
      </c>
      <c r="Q58" s="30"/>
      <c r="R58" s="29" t="s">
        <v>26</v>
      </c>
      <c r="S58" s="30">
        <v>250</v>
      </c>
      <c r="T58" s="204">
        <v>194</v>
      </c>
      <c r="U58" s="29"/>
      <c r="V58" s="29" t="s">
        <v>26</v>
      </c>
      <c r="W58" s="30">
        <v>189</v>
      </c>
      <c r="X58" s="204">
        <v>98</v>
      </c>
      <c r="Y58" s="29"/>
      <c r="Z58" s="29" t="s">
        <v>26</v>
      </c>
      <c r="AA58" s="30">
        <v>334</v>
      </c>
      <c r="AB58" s="204">
        <v>202</v>
      </c>
      <c r="AC58" s="29"/>
      <c r="AD58" s="29" t="s">
        <v>26</v>
      </c>
      <c r="AE58" s="30">
        <v>240</v>
      </c>
      <c r="AF58" s="204">
        <v>194</v>
      </c>
      <c r="AG58" s="29"/>
      <c r="AH58" s="29" t="s">
        <v>26</v>
      </c>
      <c r="AI58" s="30">
        <v>342</v>
      </c>
      <c r="AJ58" s="204">
        <v>314</v>
      </c>
      <c r="AK58" s="29"/>
      <c r="AL58" s="29" t="s">
        <v>26</v>
      </c>
      <c r="AM58" s="30">
        <v>187</v>
      </c>
      <c r="AN58" s="206">
        <v>106</v>
      </c>
      <c r="AP58" s="52" t="s">
        <v>96</v>
      </c>
      <c r="AQ58" s="53">
        <f>$AB293</f>
        <v>6155</v>
      </c>
      <c r="AR58" s="53">
        <f>AB$262+AB$263+AB$285+AB$286</f>
        <v>2854</v>
      </c>
      <c r="AS58" s="53">
        <f>AB$264+AB$265+AB$287+AB$288</f>
        <v>2100</v>
      </c>
      <c r="AT58" s="53">
        <f>AB$266+AB$267+AB$268+AB$269+AB$289+AB$290+AB$291+AB$292</f>
        <v>1201</v>
      </c>
      <c r="AU58" s="168">
        <v>3091</v>
      </c>
      <c r="AV58" s="168">
        <v>1823</v>
      </c>
      <c r="AW58" s="168">
        <v>1253</v>
      </c>
    </row>
    <row r="59" spans="1:49" outlineLevel="1" x14ac:dyDescent="0.25">
      <c r="A59" s="28"/>
      <c r="B59" s="29" t="s">
        <v>27</v>
      </c>
      <c r="C59" s="30">
        <v>1024</v>
      </c>
      <c r="D59" s="204">
        <v>722</v>
      </c>
      <c r="E59" s="29"/>
      <c r="F59" s="29" t="s">
        <v>27</v>
      </c>
      <c r="G59" s="30">
        <v>1640</v>
      </c>
      <c r="H59" s="204">
        <v>1390</v>
      </c>
      <c r="I59" s="29"/>
      <c r="J59" s="29" t="s">
        <v>27</v>
      </c>
      <c r="K59" s="30">
        <v>1548</v>
      </c>
      <c r="L59" s="204">
        <v>1178</v>
      </c>
      <c r="M59" s="29"/>
      <c r="N59" s="29" t="s">
        <v>27</v>
      </c>
      <c r="O59" s="30">
        <v>974</v>
      </c>
      <c r="P59" s="204">
        <v>810</v>
      </c>
      <c r="Q59" s="30"/>
      <c r="R59" s="29" t="s">
        <v>27</v>
      </c>
      <c r="S59" s="30">
        <v>302</v>
      </c>
      <c r="T59" s="204">
        <v>241</v>
      </c>
      <c r="U59" s="29"/>
      <c r="V59" s="29" t="s">
        <v>27</v>
      </c>
      <c r="W59" s="30">
        <v>221</v>
      </c>
      <c r="X59" s="204">
        <v>139</v>
      </c>
      <c r="Y59" s="29"/>
      <c r="Z59" s="29" t="s">
        <v>27</v>
      </c>
      <c r="AA59" s="30">
        <v>357</v>
      </c>
      <c r="AB59" s="204">
        <v>198</v>
      </c>
      <c r="AC59" s="29"/>
      <c r="AD59" s="29" t="s">
        <v>27</v>
      </c>
      <c r="AE59" s="30">
        <v>302</v>
      </c>
      <c r="AF59" s="204">
        <v>248</v>
      </c>
      <c r="AG59" s="29"/>
      <c r="AH59" s="29" t="s">
        <v>27</v>
      </c>
      <c r="AI59" s="30">
        <v>406</v>
      </c>
      <c r="AJ59" s="204">
        <v>313</v>
      </c>
      <c r="AK59" s="29"/>
      <c r="AL59" s="29" t="s">
        <v>27</v>
      </c>
      <c r="AM59" s="30">
        <v>188</v>
      </c>
      <c r="AN59" s="206">
        <v>111</v>
      </c>
      <c r="AP59" s="52" t="s">
        <v>97</v>
      </c>
      <c r="AQ59" s="53">
        <f>$AF293</f>
        <v>510</v>
      </c>
      <c r="AR59" s="53">
        <f>AF$262+AF$263+AF$285+AF$286</f>
        <v>226</v>
      </c>
      <c r="AS59" s="53">
        <f>AF$264+AF$265+AF$287+AF$288</f>
        <v>157</v>
      </c>
      <c r="AT59" s="53">
        <f>AF$266+AF$267+AF$268+AF$269+AF$289+AF$290+AF$291+AF$292</f>
        <v>127</v>
      </c>
      <c r="AU59" s="168">
        <v>245</v>
      </c>
      <c r="AV59" s="168">
        <v>144</v>
      </c>
      <c r="AW59" s="168">
        <v>129</v>
      </c>
    </row>
    <row r="60" spans="1:49" outlineLevel="1" x14ac:dyDescent="0.25">
      <c r="A60" s="28"/>
      <c r="B60" s="29" t="s">
        <v>28</v>
      </c>
      <c r="C60" s="30">
        <v>1007</v>
      </c>
      <c r="D60" s="204">
        <v>799</v>
      </c>
      <c r="E60" s="29"/>
      <c r="F60" s="29" t="s">
        <v>28</v>
      </c>
      <c r="G60" s="30">
        <v>2004</v>
      </c>
      <c r="H60" s="204">
        <v>1440</v>
      </c>
      <c r="I60" s="29"/>
      <c r="J60" s="29" t="s">
        <v>28</v>
      </c>
      <c r="K60" s="30">
        <v>1822</v>
      </c>
      <c r="L60" s="204">
        <v>1399</v>
      </c>
      <c r="M60" s="29"/>
      <c r="N60" s="29" t="s">
        <v>28</v>
      </c>
      <c r="O60" s="30">
        <v>1041</v>
      </c>
      <c r="P60" s="204">
        <v>893</v>
      </c>
      <c r="Q60" s="30"/>
      <c r="R60" s="29" t="s">
        <v>28</v>
      </c>
      <c r="S60" s="30">
        <v>360</v>
      </c>
      <c r="T60" s="204">
        <v>244</v>
      </c>
      <c r="U60" s="29"/>
      <c r="V60" s="29" t="s">
        <v>28</v>
      </c>
      <c r="W60" s="30">
        <v>269</v>
      </c>
      <c r="X60" s="204">
        <v>156</v>
      </c>
      <c r="Y60" s="29"/>
      <c r="Z60" s="29" t="s">
        <v>28</v>
      </c>
      <c r="AA60" s="30">
        <v>418</v>
      </c>
      <c r="AB60" s="204">
        <v>245</v>
      </c>
      <c r="AC60" s="29"/>
      <c r="AD60" s="29" t="s">
        <v>28</v>
      </c>
      <c r="AE60" s="30">
        <v>284</v>
      </c>
      <c r="AF60" s="204">
        <v>294</v>
      </c>
      <c r="AG60" s="29"/>
      <c r="AH60" s="29" t="s">
        <v>28</v>
      </c>
      <c r="AI60" s="30">
        <v>487</v>
      </c>
      <c r="AJ60" s="204">
        <v>381</v>
      </c>
      <c r="AK60" s="29"/>
      <c r="AL60" s="29" t="s">
        <v>28</v>
      </c>
      <c r="AM60" s="30">
        <v>162</v>
      </c>
      <c r="AN60" s="206">
        <v>128</v>
      </c>
      <c r="AP60" s="52" t="s">
        <v>98</v>
      </c>
      <c r="AQ60" s="53">
        <f>$AJ293</f>
        <v>2661</v>
      </c>
      <c r="AR60" s="53">
        <f>AJ$262+AJ$263+AJ$285+AJ$286</f>
        <v>1175</v>
      </c>
      <c r="AS60" s="53">
        <f>AJ$264+AJ$265+AJ$287+AJ$288</f>
        <v>963</v>
      </c>
      <c r="AT60" s="53">
        <f>AJ$266+AJ$267+AJ$268+AJ$269+AJ$289+AJ$290+AJ$291+AJ$292</f>
        <v>523</v>
      </c>
      <c r="AU60" s="168">
        <v>1319</v>
      </c>
      <c r="AV60" s="168">
        <v>781</v>
      </c>
      <c r="AW60" s="168">
        <v>503</v>
      </c>
    </row>
    <row r="61" spans="1:49" outlineLevel="1" x14ac:dyDescent="0.25">
      <c r="A61" s="28"/>
      <c r="B61" s="29" t="s">
        <v>29</v>
      </c>
      <c r="C61" s="30">
        <v>1005</v>
      </c>
      <c r="D61" s="204">
        <v>960</v>
      </c>
      <c r="E61" s="29"/>
      <c r="F61" s="29" t="s">
        <v>29</v>
      </c>
      <c r="G61" s="30">
        <v>2190</v>
      </c>
      <c r="H61" s="204">
        <v>1541</v>
      </c>
      <c r="I61" s="29"/>
      <c r="J61" s="29" t="s">
        <v>29</v>
      </c>
      <c r="K61" s="30">
        <v>2031</v>
      </c>
      <c r="L61" s="204">
        <v>1570</v>
      </c>
      <c r="M61" s="29"/>
      <c r="N61" s="29" t="s">
        <v>29</v>
      </c>
      <c r="O61" s="30">
        <v>1056</v>
      </c>
      <c r="P61" s="204">
        <v>1055</v>
      </c>
      <c r="Q61" s="30"/>
      <c r="R61" s="29" t="s">
        <v>29</v>
      </c>
      <c r="S61" s="30">
        <v>379</v>
      </c>
      <c r="T61" s="204">
        <v>307</v>
      </c>
      <c r="U61" s="29"/>
      <c r="V61" s="29" t="s">
        <v>29</v>
      </c>
      <c r="W61" s="30">
        <v>274</v>
      </c>
      <c r="X61" s="204">
        <v>221</v>
      </c>
      <c r="Y61" s="29"/>
      <c r="Z61" s="29" t="s">
        <v>29</v>
      </c>
      <c r="AA61" s="30">
        <v>405</v>
      </c>
      <c r="AB61" s="204">
        <v>297</v>
      </c>
      <c r="AC61" s="29"/>
      <c r="AD61" s="29" t="s">
        <v>29</v>
      </c>
      <c r="AE61" s="30">
        <v>282</v>
      </c>
      <c r="AF61" s="204">
        <v>319</v>
      </c>
      <c r="AG61" s="29"/>
      <c r="AH61" s="29" t="s">
        <v>29</v>
      </c>
      <c r="AI61" s="30">
        <v>455</v>
      </c>
      <c r="AJ61" s="204">
        <v>440</v>
      </c>
      <c r="AK61" s="29"/>
      <c r="AL61" s="29" t="s">
        <v>29</v>
      </c>
      <c r="AM61" s="30">
        <v>146</v>
      </c>
      <c r="AN61" s="206">
        <v>178</v>
      </c>
      <c r="AP61" s="52" t="s">
        <v>99</v>
      </c>
      <c r="AQ61" s="53">
        <f>$AN293</f>
        <v>2065</v>
      </c>
      <c r="AR61" s="53">
        <f>AN$262+AN$263+AN$285+AN$286</f>
        <v>1007</v>
      </c>
      <c r="AS61" s="53">
        <f>AN$264+AN$265+AN$287+AN$288</f>
        <v>639</v>
      </c>
      <c r="AT61" s="53">
        <f>AN$266+AN$267+AN$268+AN$269+AN$289+AN$290+AN$291+AN$292</f>
        <v>419</v>
      </c>
      <c r="AU61" s="168">
        <v>1035</v>
      </c>
      <c r="AV61" s="168">
        <v>571</v>
      </c>
      <c r="AW61" s="168">
        <v>474</v>
      </c>
    </row>
    <row r="62" spans="1:49" outlineLevel="1" x14ac:dyDescent="0.25">
      <c r="A62" s="28"/>
      <c r="B62" s="29" t="s">
        <v>31</v>
      </c>
      <c r="C62" s="30">
        <v>1155</v>
      </c>
      <c r="D62" s="204">
        <v>935</v>
      </c>
      <c r="E62" s="29"/>
      <c r="F62" s="29" t="s">
        <v>31</v>
      </c>
      <c r="G62" s="30">
        <v>1906</v>
      </c>
      <c r="H62" s="204">
        <v>1876</v>
      </c>
      <c r="I62" s="29"/>
      <c r="J62" s="29" t="s">
        <v>31</v>
      </c>
      <c r="K62" s="30">
        <v>1922</v>
      </c>
      <c r="L62" s="204">
        <v>1767</v>
      </c>
      <c r="M62" s="29"/>
      <c r="N62" s="29" t="s">
        <v>31</v>
      </c>
      <c r="O62" s="30">
        <v>895</v>
      </c>
      <c r="P62" s="204">
        <v>1091</v>
      </c>
      <c r="Q62" s="30"/>
      <c r="R62" s="29" t="s">
        <v>31</v>
      </c>
      <c r="S62" s="30">
        <v>333</v>
      </c>
      <c r="T62" s="204">
        <v>344</v>
      </c>
      <c r="U62" s="29"/>
      <c r="V62" s="29" t="s">
        <v>31</v>
      </c>
      <c r="W62" s="30">
        <v>244</v>
      </c>
      <c r="X62" s="204">
        <v>244</v>
      </c>
      <c r="Y62" s="29"/>
      <c r="Z62" s="29" t="s">
        <v>31</v>
      </c>
      <c r="AA62" s="30">
        <v>393</v>
      </c>
      <c r="AB62" s="204">
        <v>370</v>
      </c>
      <c r="AC62" s="29"/>
      <c r="AD62" s="29" t="s">
        <v>31</v>
      </c>
      <c r="AE62" s="30">
        <v>216</v>
      </c>
      <c r="AF62" s="204">
        <v>346</v>
      </c>
      <c r="AG62" s="29"/>
      <c r="AH62" s="29" t="s">
        <v>31</v>
      </c>
      <c r="AI62" s="30">
        <v>360</v>
      </c>
      <c r="AJ62" s="204">
        <v>479</v>
      </c>
      <c r="AK62" s="29"/>
      <c r="AL62" s="29" t="s">
        <v>31</v>
      </c>
      <c r="AM62" s="30">
        <v>138</v>
      </c>
      <c r="AN62" s="206">
        <v>163</v>
      </c>
      <c r="AQ62" s="49"/>
    </row>
    <row r="63" spans="1:49" outlineLevel="1" x14ac:dyDescent="0.25">
      <c r="A63" s="28"/>
      <c r="B63" s="29" t="s">
        <v>33</v>
      </c>
      <c r="C63" s="30">
        <v>1395</v>
      </c>
      <c r="D63" s="204">
        <v>981</v>
      </c>
      <c r="E63" s="29"/>
      <c r="F63" s="29" t="s">
        <v>33</v>
      </c>
      <c r="G63" s="30">
        <v>2053</v>
      </c>
      <c r="H63" s="204">
        <v>2097</v>
      </c>
      <c r="I63" s="29"/>
      <c r="J63" s="29" t="s">
        <v>33</v>
      </c>
      <c r="K63" s="30">
        <v>2011</v>
      </c>
      <c r="L63" s="204">
        <v>2006</v>
      </c>
      <c r="M63" s="29"/>
      <c r="N63" s="29" t="s">
        <v>33</v>
      </c>
      <c r="O63" s="30">
        <v>1047</v>
      </c>
      <c r="P63" s="204">
        <v>1117</v>
      </c>
      <c r="Q63" s="30"/>
      <c r="R63" s="29" t="s">
        <v>33</v>
      </c>
      <c r="S63" s="30">
        <v>374</v>
      </c>
      <c r="T63" s="204">
        <v>389</v>
      </c>
      <c r="U63" s="29"/>
      <c r="V63" s="29" t="s">
        <v>33</v>
      </c>
      <c r="W63" s="30">
        <v>301</v>
      </c>
      <c r="X63" s="204">
        <v>297</v>
      </c>
      <c r="Y63" s="29"/>
      <c r="Z63" s="29" t="s">
        <v>33</v>
      </c>
      <c r="AA63" s="30">
        <v>465</v>
      </c>
      <c r="AB63" s="204">
        <v>396</v>
      </c>
      <c r="AC63" s="29"/>
      <c r="AD63" s="29" t="s">
        <v>33</v>
      </c>
      <c r="AE63" s="30">
        <v>264</v>
      </c>
      <c r="AF63" s="204">
        <v>321</v>
      </c>
      <c r="AG63" s="29"/>
      <c r="AH63" s="29" t="s">
        <v>33</v>
      </c>
      <c r="AI63" s="30">
        <v>380</v>
      </c>
      <c r="AJ63" s="204">
        <v>456</v>
      </c>
      <c r="AK63" s="29"/>
      <c r="AL63" s="29" t="s">
        <v>33</v>
      </c>
      <c r="AM63" s="30">
        <v>196</v>
      </c>
      <c r="AN63" s="206">
        <v>165</v>
      </c>
      <c r="AQ63" s="49"/>
    </row>
    <row r="64" spans="1:49" outlineLevel="1" x14ac:dyDescent="0.25">
      <c r="A64" s="28"/>
      <c r="B64" s="29" t="s">
        <v>35</v>
      </c>
      <c r="C64" s="30">
        <v>1642</v>
      </c>
      <c r="D64" s="204">
        <v>1073</v>
      </c>
      <c r="E64" s="29"/>
      <c r="F64" s="29" t="s">
        <v>35</v>
      </c>
      <c r="G64" s="30">
        <v>2345</v>
      </c>
      <c r="H64" s="204">
        <v>1921</v>
      </c>
      <c r="I64" s="29"/>
      <c r="J64" s="29" t="s">
        <v>35</v>
      </c>
      <c r="K64" s="30">
        <v>2241</v>
      </c>
      <c r="L64" s="204">
        <v>1913</v>
      </c>
      <c r="M64" s="29"/>
      <c r="N64" s="29" t="s">
        <v>35</v>
      </c>
      <c r="O64" s="30">
        <v>1045</v>
      </c>
      <c r="P64" s="204">
        <v>858</v>
      </c>
      <c r="Q64" s="30"/>
      <c r="R64" s="29" t="s">
        <v>35</v>
      </c>
      <c r="S64" s="30">
        <v>392</v>
      </c>
      <c r="T64" s="204">
        <v>347</v>
      </c>
      <c r="U64" s="29"/>
      <c r="V64" s="29" t="s">
        <v>35</v>
      </c>
      <c r="W64" s="30">
        <v>334</v>
      </c>
      <c r="X64" s="204">
        <v>233</v>
      </c>
      <c r="Y64" s="29"/>
      <c r="Z64" s="29" t="s">
        <v>35</v>
      </c>
      <c r="AA64" s="30">
        <v>589</v>
      </c>
      <c r="AB64" s="204">
        <v>355</v>
      </c>
      <c r="AC64" s="29"/>
      <c r="AD64" s="29" t="s">
        <v>35</v>
      </c>
      <c r="AE64" s="30">
        <v>303</v>
      </c>
      <c r="AF64" s="204">
        <v>227</v>
      </c>
      <c r="AG64" s="29"/>
      <c r="AH64" s="29" t="s">
        <v>35</v>
      </c>
      <c r="AI64" s="30">
        <v>432</v>
      </c>
      <c r="AJ64" s="204">
        <v>377</v>
      </c>
      <c r="AK64" s="29"/>
      <c r="AL64" s="29" t="s">
        <v>35</v>
      </c>
      <c r="AM64" s="30">
        <v>288</v>
      </c>
      <c r="AN64" s="206">
        <v>113</v>
      </c>
      <c r="AQ64" s="49"/>
    </row>
    <row r="65" spans="1:43" outlineLevel="1" x14ac:dyDescent="0.25">
      <c r="A65" s="28"/>
      <c r="B65" s="29" t="s">
        <v>37</v>
      </c>
      <c r="C65" s="30">
        <v>1772</v>
      </c>
      <c r="D65" s="204">
        <v>1286</v>
      </c>
      <c r="E65" s="29"/>
      <c r="F65" s="29" t="s">
        <v>37</v>
      </c>
      <c r="G65" s="30">
        <v>2976</v>
      </c>
      <c r="H65" s="204">
        <v>1919</v>
      </c>
      <c r="I65" s="29"/>
      <c r="J65" s="29" t="s">
        <v>37</v>
      </c>
      <c r="K65" s="30">
        <v>2727</v>
      </c>
      <c r="L65" s="204">
        <v>1944</v>
      </c>
      <c r="M65" s="29"/>
      <c r="N65" s="29" t="s">
        <v>37</v>
      </c>
      <c r="O65" s="30">
        <v>1199</v>
      </c>
      <c r="P65" s="204">
        <v>983</v>
      </c>
      <c r="Q65" s="30"/>
      <c r="R65" s="29" t="s">
        <v>37</v>
      </c>
      <c r="S65" s="30">
        <v>515</v>
      </c>
      <c r="T65" s="204">
        <v>363</v>
      </c>
      <c r="U65" s="29"/>
      <c r="V65" s="29" t="s">
        <v>37</v>
      </c>
      <c r="W65" s="30">
        <v>468</v>
      </c>
      <c r="X65" s="204">
        <v>291</v>
      </c>
      <c r="Y65" s="29"/>
      <c r="Z65" s="29" t="s">
        <v>37</v>
      </c>
      <c r="AA65" s="30">
        <v>716</v>
      </c>
      <c r="AB65" s="204">
        <v>417</v>
      </c>
      <c r="AC65" s="29"/>
      <c r="AD65" s="29" t="s">
        <v>37</v>
      </c>
      <c r="AE65" s="30">
        <v>368</v>
      </c>
      <c r="AF65" s="204">
        <v>234</v>
      </c>
      <c r="AG65" s="29"/>
      <c r="AH65" s="29" t="s">
        <v>37</v>
      </c>
      <c r="AI65" s="30">
        <v>518</v>
      </c>
      <c r="AJ65" s="204">
        <v>358</v>
      </c>
      <c r="AK65" s="29"/>
      <c r="AL65" s="29" t="s">
        <v>37</v>
      </c>
      <c r="AM65" s="30">
        <v>330</v>
      </c>
      <c r="AN65" s="206">
        <v>188</v>
      </c>
      <c r="AQ65" s="49"/>
    </row>
    <row r="66" spans="1:43" outlineLevel="1" x14ac:dyDescent="0.25">
      <c r="A66" s="28"/>
      <c r="B66" s="29" t="s">
        <v>39</v>
      </c>
      <c r="C66" s="30">
        <v>1355</v>
      </c>
      <c r="D66" s="204">
        <v>1531</v>
      </c>
      <c r="E66" s="29"/>
      <c r="F66" s="29" t="s">
        <v>39</v>
      </c>
      <c r="G66" s="30">
        <v>2693</v>
      </c>
      <c r="H66" s="204">
        <v>2149</v>
      </c>
      <c r="I66" s="29"/>
      <c r="J66" s="29" t="s">
        <v>39</v>
      </c>
      <c r="K66" s="30">
        <v>2485</v>
      </c>
      <c r="L66" s="204">
        <v>2021</v>
      </c>
      <c r="M66" s="29"/>
      <c r="N66" s="29" t="s">
        <v>39</v>
      </c>
      <c r="O66" s="30">
        <v>1009</v>
      </c>
      <c r="P66" s="204">
        <v>981</v>
      </c>
      <c r="Q66" s="30"/>
      <c r="R66" s="29" t="s">
        <v>39</v>
      </c>
      <c r="S66" s="30">
        <v>493</v>
      </c>
      <c r="T66" s="204">
        <v>357</v>
      </c>
      <c r="U66" s="29"/>
      <c r="V66" s="29" t="s">
        <v>39</v>
      </c>
      <c r="W66" s="30">
        <v>463</v>
      </c>
      <c r="X66" s="204">
        <v>293</v>
      </c>
      <c r="Y66" s="29"/>
      <c r="Z66" s="29" t="s">
        <v>39</v>
      </c>
      <c r="AA66" s="30">
        <v>665</v>
      </c>
      <c r="AB66" s="204">
        <v>492</v>
      </c>
      <c r="AC66" s="29"/>
      <c r="AD66" s="29" t="s">
        <v>39</v>
      </c>
      <c r="AE66" s="30">
        <v>322</v>
      </c>
      <c r="AF66" s="204">
        <v>290</v>
      </c>
      <c r="AG66" s="29"/>
      <c r="AH66" s="29" t="s">
        <v>39</v>
      </c>
      <c r="AI66" s="30">
        <v>414</v>
      </c>
      <c r="AJ66" s="204">
        <v>366</v>
      </c>
      <c r="AK66" s="29"/>
      <c r="AL66" s="29" t="s">
        <v>39</v>
      </c>
      <c r="AM66" s="30">
        <v>231</v>
      </c>
      <c r="AN66" s="206">
        <v>250</v>
      </c>
      <c r="AQ66" s="49"/>
    </row>
    <row r="67" spans="1:43" outlineLevel="1" x14ac:dyDescent="0.25">
      <c r="A67" s="28"/>
      <c r="B67" s="29" t="s">
        <v>41</v>
      </c>
      <c r="C67" s="30">
        <v>1107</v>
      </c>
      <c r="D67" s="204">
        <v>1543</v>
      </c>
      <c r="E67" s="29"/>
      <c r="F67" s="29" t="s">
        <v>41</v>
      </c>
      <c r="G67" s="30">
        <v>1947</v>
      </c>
      <c r="H67" s="204">
        <v>2408</v>
      </c>
      <c r="I67" s="29"/>
      <c r="J67" s="29" t="s">
        <v>41</v>
      </c>
      <c r="K67" s="30">
        <v>2050</v>
      </c>
      <c r="L67" s="204">
        <v>2291</v>
      </c>
      <c r="M67" s="29"/>
      <c r="N67" s="29" t="s">
        <v>41</v>
      </c>
      <c r="O67" s="30">
        <v>720</v>
      </c>
      <c r="P67" s="204">
        <v>1018</v>
      </c>
      <c r="Q67" s="30"/>
      <c r="R67" s="29" t="s">
        <v>41</v>
      </c>
      <c r="S67" s="30">
        <v>440</v>
      </c>
      <c r="T67" s="204">
        <v>430</v>
      </c>
      <c r="U67" s="29"/>
      <c r="V67" s="29" t="s">
        <v>41</v>
      </c>
      <c r="W67" s="30">
        <v>346</v>
      </c>
      <c r="X67" s="204">
        <v>403</v>
      </c>
      <c r="Y67" s="29"/>
      <c r="Z67" s="29" t="s">
        <v>41</v>
      </c>
      <c r="AA67" s="30">
        <v>503</v>
      </c>
      <c r="AB67" s="204">
        <v>593</v>
      </c>
      <c r="AC67" s="29"/>
      <c r="AD67" s="29" t="s">
        <v>41</v>
      </c>
      <c r="AE67" s="30">
        <v>160</v>
      </c>
      <c r="AF67" s="204">
        <v>320</v>
      </c>
      <c r="AG67" s="29"/>
      <c r="AH67" s="29" t="s">
        <v>41</v>
      </c>
      <c r="AI67" s="30">
        <v>315</v>
      </c>
      <c r="AJ67" s="204">
        <v>430</v>
      </c>
      <c r="AK67" s="29"/>
      <c r="AL67" s="29" t="s">
        <v>41</v>
      </c>
      <c r="AM67" s="30">
        <v>149</v>
      </c>
      <c r="AN67" s="206">
        <v>274</v>
      </c>
    </row>
    <row r="68" spans="1:43" outlineLevel="1" x14ac:dyDescent="0.25">
      <c r="A68" s="28"/>
      <c r="B68" s="29" t="s">
        <v>43</v>
      </c>
      <c r="C68" s="30">
        <v>986</v>
      </c>
      <c r="D68" s="204">
        <v>1279</v>
      </c>
      <c r="E68" s="29"/>
      <c r="F68" s="29" t="s">
        <v>43</v>
      </c>
      <c r="G68" s="30">
        <v>1540</v>
      </c>
      <c r="H68" s="204">
        <v>2335</v>
      </c>
      <c r="I68" s="29"/>
      <c r="J68" s="29" t="s">
        <v>43</v>
      </c>
      <c r="K68" s="30">
        <v>1687</v>
      </c>
      <c r="L68" s="204">
        <v>2216</v>
      </c>
      <c r="M68" s="29"/>
      <c r="N68" s="29" t="s">
        <v>43</v>
      </c>
      <c r="O68" s="30">
        <v>630</v>
      </c>
      <c r="P68" s="204">
        <v>889</v>
      </c>
      <c r="Q68" s="30"/>
      <c r="R68" s="29" t="s">
        <v>43</v>
      </c>
      <c r="S68" s="30">
        <v>322</v>
      </c>
      <c r="T68" s="204">
        <v>462</v>
      </c>
      <c r="U68" s="29"/>
      <c r="V68" s="29" t="s">
        <v>43</v>
      </c>
      <c r="W68" s="30">
        <v>268</v>
      </c>
      <c r="X68" s="204">
        <v>420</v>
      </c>
      <c r="Y68" s="29"/>
      <c r="Z68" s="29" t="s">
        <v>43</v>
      </c>
      <c r="AA68" s="30">
        <v>410</v>
      </c>
      <c r="AB68" s="204">
        <v>591</v>
      </c>
      <c r="AC68" s="29"/>
      <c r="AD68" s="29" t="s">
        <v>43</v>
      </c>
      <c r="AE68" s="30">
        <v>157</v>
      </c>
      <c r="AF68" s="204">
        <v>289</v>
      </c>
      <c r="AG68" s="29"/>
      <c r="AH68" s="29" t="s">
        <v>43</v>
      </c>
      <c r="AI68" s="30">
        <v>240</v>
      </c>
      <c r="AJ68" s="204">
        <v>375</v>
      </c>
      <c r="AK68" s="29"/>
      <c r="AL68" s="29" t="s">
        <v>43</v>
      </c>
      <c r="AM68" s="30">
        <v>124</v>
      </c>
      <c r="AN68" s="206">
        <v>241</v>
      </c>
    </row>
    <row r="69" spans="1:43" outlineLevel="1" x14ac:dyDescent="0.25">
      <c r="A69" s="28"/>
      <c r="B69" s="29" t="s">
        <v>45</v>
      </c>
      <c r="C69" s="30">
        <v>918</v>
      </c>
      <c r="D69" s="204">
        <v>718</v>
      </c>
      <c r="E69" s="29"/>
      <c r="F69" s="29" t="s">
        <v>45</v>
      </c>
      <c r="G69" s="30">
        <v>1230</v>
      </c>
      <c r="H69" s="204">
        <v>1233</v>
      </c>
      <c r="I69" s="29"/>
      <c r="J69" s="29" t="s">
        <v>45</v>
      </c>
      <c r="K69" s="30">
        <v>1355</v>
      </c>
      <c r="L69" s="204">
        <v>1376</v>
      </c>
      <c r="M69" s="29"/>
      <c r="N69" s="29" t="s">
        <v>45</v>
      </c>
      <c r="O69" s="30">
        <v>519</v>
      </c>
      <c r="P69" s="204">
        <v>484</v>
      </c>
      <c r="Q69" s="30"/>
      <c r="R69" s="29" t="s">
        <v>45</v>
      </c>
      <c r="S69" s="30">
        <v>270</v>
      </c>
      <c r="T69" s="204">
        <v>302</v>
      </c>
      <c r="U69" s="29"/>
      <c r="V69" s="29" t="s">
        <v>45</v>
      </c>
      <c r="W69" s="30">
        <v>224</v>
      </c>
      <c r="X69" s="204">
        <v>254</v>
      </c>
      <c r="Y69" s="29"/>
      <c r="Z69" s="29" t="s">
        <v>45</v>
      </c>
      <c r="AA69" s="30">
        <v>354</v>
      </c>
      <c r="AB69" s="204">
        <v>303</v>
      </c>
      <c r="AC69" s="29"/>
      <c r="AD69" s="29" t="s">
        <v>45</v>
      </c>
      <c r="AE69" s="30">
        <v>125</v>
      </c>
      <c r="AF69" s="204">
        <v>110</v>
      </c>
      <c r="AG69" s="29"/>
      <c r="AH69" s="29" t="s">
        <v>45</v>
      </c>
      <c r="AI69" s="30">
        <v>190</v>
      </c>
      <c r="AJ69" s="204">
        <v>215</v>
      </c>
      <c r="AK69" s="41"/>
      <c r="AL69" s="29" t="s">
        <v>45</v>
      </c>
      <c r="AM69" s="30">
        <v>113</v>
      </c>
      <c r="AN69" s="206">
        <v>98</v>
      </c>
    </row>
    <row r="70" spans="1:43" outlineLevel="1" x14ac:dyDescent="0.25">
      <c r="A70" s="28"/>
      <c r="B70" s="29" t="s">
        <v>47</v>
      </c>
      <c r="C70" s="30">
        <v>498</v>
      </c>
      <c r="D70" s="204">
        <v>492</v>
      </c>
      <c r="E70" s="29"/>
      <c r="F70" s="29" t="s">
        <v>47</v>
      </c>
      <c r="G70" s="30">
        <v>745</v>
      </c>
      <c r="H70" s="204">
        <v>808</v>
      </c>
      <c r="I70" s="29"/>
      <c r="J70" s="29" t="s">
        <v>47</v>
      </c>
      <c r="K70" s="30">
        <v>824</v>
      </c>
      <c r="L70" s="204">
        <v>845</v>
      </c>
      <c r="M70" s="29"/>
      <c r="N70" s="29" t="s">
        <v>47</v>
      </c>
      <c r="O70" s="30">
        <v>293</v>
      </c>
      <c r="P70" s="204">
        <v>294</v>
      </c>
      <c r="Q70" s="30"/>
      <c r="R70" s="29" t="s">
        <v>47</v>
      </c>
      <c r="S70" s="30">
        <v>180</v>
      </c>
      <c r="T70" s="204">
        <v>184</v>
      </c>
      <c r="U70" s="29"/>
      <c r="V70" s="29" t="s">
        <v>47</v>
      </c>
      <c r="W70" s="30">
        <v>119</v>
      </c>
      <c r="X70" s="204">
        <v>137</v>
      </c>
      <c r="Y70" s="29"/>
      <c r="Z70" s="29" t="s">
        <v>47</v>
      </c>
      <c r="AA70" s="30">
        <v>201</v>
      </c>
      <c r="AB70" s="204">
        <v>219</v>
      </c>
      <c r="AC70" s="29"/>
      <c r="AD70" s="29" t="s">
        <v>47</v>
      </c>
      <c r="AE70" s="30">
        <v>92</v>
      </c>
      <c r="AF70" s="204">
        <v>81</v>
      </c>
      <c r="AG70" s="29"/>
      <c r="AH70" s="29" t="s">
        <v>47</v>
      </c>
      <c r="AI70" s="30">
        <v>94</v>
      </c>
      <c r="AJ70" s="204">
        <v>133</v>
      </c>
      <c r="AK70" s="29"/>
      <c r="AL70" s="29" t="s">
        <v>47</v>
      </c>
      <c r="AM70" s="30">
        <v>64</v>
      </c>
      <c r="AN70" s="206">
        <v>55</v>
      </c>
    </row>
    <row r="71" spans="1:43" outlineLevel="1" x14ac:dyDescent="0.25">
      <c r="A71" s="28"/>
      <c r="B71" s="29" t="s">
        <v>49</v>
      </c>
      <c r="C71" s="30">
        <v>151</v>
      </c>
      <c r="D71" s="204">
        <v>256</v>
      </c>
      <c r="E71" s="29"/>
      <c r="F71" s="29" t="s">
        <v>49</v>
      </c>
      <c r="G71" s="30">
        <v>227</v>
      </c>
      <c r="H71" s="204">
        <v>327</v>
      </c>
      <c r="I71" s="29"/>
      <c r="J71" s="29" t="s">
        <v>49</v>
      </c>
      <c r="K71" s="30">
        <v>253</v>
      </c>
      <c r="L71" s="204">
        <v>423</v>
      </c>
      <c r="M71" s="29"/>
      <c r="N71" s="29" t="s">
        <v>49</v>
      </c>
      <c r="O71" s="30">
        <v>87</v>
      </c>
      <c r="P71" s="204">
        <v>148</v>
      </c>
      <c r="Q71" s="30"/>
      <c r="R71" s="29" t="s">
        <v>49</v>
      </c>
      <c r="S71" s="30">
        <v>46</v>
      </c>
      <c r="T71" s="204">
        <v>82</v>
      </c>
      <c r="U71" s="29"/>
      <c r="V71" s="29" t="s">
        <v>49</v>
      </c>
      <c r="W71" s="30">
        <v>47</v>
      </c>
      <c r="X71" s="204">
        <v>69</v>
      </c>
      <c r="Y71" s="29"/>
      <c r="Z71" s="29" t="s">
        <v>49</v>
      </c>
      <c r="AA71" s="30">
        <v>71</v>
      </c>
      <c r="AB71" s="204">
        <v>94</v>
      </c>
      <c r="AC71" s="29"/>
      <c r="AD71" s="29" t="s">
        <v>49</v>
      </c>
      <c r="AE71" s="30">
        <v>31</v>
      </c>
      <c r="AF71" s="204">
        <v>34</v>
      </c>
      <c r="AG71" s="29"/>
      <c r="AH71" s="29" t="s">
        <v>49</v>
      </c>
      <c r="AI71" s="30">
        <v>19</v>
      </c>
      <c r="AJ71" s="204">
        <v>43</v>
      </c>
      <c r="AK71" s="29"/>
      <c r="AL71" s="29" t="s">
        <v>49</v>
      </c>
      <c r="AM71" s="30">
        <v>24</v>
      </c>
      <c r="AN71" s="206">
        <v>25</v>
      </c>
    </row>
    <row r="72" spans="1:43" outlineLevel="1" x14ac:dyDescent="0.25">
      <c r="A72" s="28"/>
      <c r="B72" s="29" t="s">
        <v>51</v>
      </c>
      <c r="C72" s="30">
        <v>44</v>
      </c>
      <c r="D72" s="204">
        <v>53</v>
      </c>
      <c r="E72" s="29"/>
      <c r="F72" s="29" t="s">
        <v>51</v>
      </c>
      <c r="G72" s="30">
        <v>40</v>
      </c>
      <c r="H72" s="204">
        <v>94</v>
      </c>
      <c r="I72" s="29"/>
      <c r="J72" s="29" t="s">
        <v>51</v>
      </c>
      <c r="K72" s="30">
        <v>47</v>
      </c>
      <c r="L72" s="204">
        <v>98</v>
      </c>
      <c r="M72" s="29"/>
      <c r="N72" s="29" t="s">
        <v>51</v>
      </c>
      <c r="O72" s="30">
        <v>16</v>
      </c>
      <c r="P72" s="204">
        <v>25</v>
      </c>
      <c r="Q72" s="30"/>
      <c r="R72" s="29" t="s">
        <v>51</v>
      </c>
      <c r="S72" s="30">
        <v>18</v>
      </c>
      <c r="T72" s="204">
        <v>21</v>
      </c>
      <c r="U72" s="29"/>
      <c r="V72" s="29" t="s">
        <v>51</v>
      </c>
      <c r="W72" s="30">
        <v>7</v>
      </c>
      <c r="X72" s="204">
        <v>11</v>
      </c>
      <c r="Y72" s="29"/>
      <c r="Z72" s="29" t="s">
        <v>51</v>
      </c>
      <c r="AA72" s="30">
        <v>11</v>
      </c>
      <c r="AB72" s="204">
        <v>22</v>
      </c>
      <c r="AC72" s="29"/>
      <c r="AD72" s="29" t="s">
        <v>51</v>
      </c>
      <c r="AE72" s="30">
        <v>6</v>
      </c>
      <c r="AF72" s="204">
        <v>16</v>
      </c>
      <c r="AG72" s="29"/>
      <c r="AH72" s="29" t="s">
        <v>51</v>
      </c>
      <c r="AI72" s="30">
        <v>4</v>
      </c>
      <c r="AJ72" s="204">
        <v>10</v>
      </c>
      <c r="AK72" s="29"/>
      <c r="AL72" s="29" t="s">
        <v>51</v>
      </c>
      <c r="AM72" s="30">
        <v>1</v>
      </c>
      <c r="AN72" s="206">
        <v>5</v>
      </c>
    </row>
    <row r="73" spans="1:43" outlineLevel="1" x14ac:dyDescent="0.25">
      <c r="A73" s="28"/>
      <c r="B73" s="29" t="s">
        <v>53</v>
      </c>
      <c r="C73" s="30">
        <v>5</v>
      </c>
      <c r="D73" s="204">
        <v>9</v>
      </c>
      <c r="E73" s="29"/>
      <c r="F73" s="29" t="s">
        <v>53</v>
      </c>
      <c r="G73" s="30">
        <v>4</v>
      </c>
      <c r="H73" s="204">
        <v>7</v>
      </c>
      <c r="I73" s="29"/>
      <c r="J73" s="29" t="s">
        <v>53</v>
      </c>
      <c r="K73" s="30">
        <v>7</v>
      </c>
      <c r="L73" s="204">
        <v>12</v>
      </c>
      <c r="M73" s="29"/>
      <c r="N73" s="29" t="s">
        <v>53</v>
      </c>
      <c r="O73" s="30">
        <v>2</v>
      </c>
      <c r="P73" s="204">
        <v>6</v>
      </c>
      <c r="Q73" s="30"/>
      <c r="R73" s="29" t="s">
        <v>53</v>
      </c>
      <c r="S73" s="30">
        <v>1</v>
      </c>
      <c r="T73" s="204">
        <v>2</v>
      </c>
      <c r="U73" s="29"/>
      <c r="V73" s="29" t="s">
        <v>53</v>
      </c>
      <c r="W73" s="30">
        <v>1</v>
      </c>
      <c r="X73" s="204">
        <v>0</v>
      </c>
      <c r="Y73" s="29"/>
      <c r="Z73" s="29" t="s">
        <v>53</v>
      </c>
      <c r="AA73" s="30">
        <v>0</v>
      </c>
      <c r="AB73" s="204">
        <v>0</v>
      </c>
      <c r="AC73" s="29"/>
      <c r="AD73" s="29" t="s">
        <v>53</v>
      </c>
      <c r="AE73" s="30">
        <v>1</v>
      </c>
      <c r="AF73" s="204">
        <v>2</v>
      </c>
      <c r="AG73" s="29"/>
      <c r="AH73" s="29" t="s">
        <v>53</v>
      </c>
      <c r="AI73" s="30">
        <v>0</v>
      </c>
      <c r="AJ73" s="204">
        <v>1</v>
      </c>
      <c r="AK73" s="29"/>
      <c r="AL73" s="29" t="s">
        <v>53</v>
      </c>
      <c r="AM73" s="30">
        <v>0</v>
      </c>
      <c r="AN73" s="206">
        <v>2</v>
      </c>
    </row>
    <row r="74" spans="1:43" customFormat="1" outlineLevel="1" x14ac:dyDescent="0.25">
      <c r="A74" s="202"/>
      <c r="B74" s="166"/>
      <c r="C74" s="166" t="s">
        <v>55</v>
      </c>
      <c r="D74" s="166"/>
      <c r="E74" s="166"/>
      <c r="F74" s="166"/>
      <c r="G74" s="166" t="s">
        <v>55</v>
      </c>
      <c r="H74" s="166"/>
      <c r="I74" s="166"/>
      <c r="J74" s="166"/>
      <c r="K74" s="166" t="s">
        <v>55</v>
      </c>
      <c r="L74" s="166"/>
      <c r="M74" s="166"/>
      <c r="N74" s="166"/>
      <c r="O74" s="166" t="s">
        <v>55</v>
      </c>
      <c r="P74" s="166"/>
      <c r="Q74" s="166"/>
      <c r="R74" s="166"/>
      <c r="S74" s="166" t="s">
        <v>55</v>
      </c>
      <c r="T74" s="166"/>
      <c r="U74" s="166"/>
      <c r="V74" s="166"/>
      <c r="W74" s="166" t="s">
        <v>55</v>
      </c>
      <c r="X74" s="166"/>
      <c r="Y74" s="166"/>
      <c r="Z74" s="166"/>
      <c r="AA74" s="166" t="s">
        <v>55</v>
      </c>
      <c r="AB74" s="166"/>
      <c r="AC74" s="166"/>
      <c r="AD74" s="166"/>
      <c r="AE74" s="166" t="s">
        <v>55</v>
      </c>
      <c r="AF74" s="166"/>
      <c r="AG74" s="166"/>
      <c r="AH74" s="166"/>
      <c r="AI74" s="166" t="s">
        <v>55</v>
      </c>
      <c r="AJ74" s="166"/>
      <c r="AK74" s="166"/>
      <c r="AL74" s="166"/>
      <c r="AM74" s="166" t="s">
        <v>55</v>
      </c>
      <c r="AN74" s="207"/>
    </row>
    <row r="75" spans="1:43" outlineLevel="1" x14ac:dyDescent="0.25">
      <c r="A75" s="28"/>
      <c r="B75" s="29" t="s">
        <v>18</v>
      </c>
      <c r="C75" s="30">
        <v>20212</v>
      </c>
      <c r="D75" s="204">
        <v>16204</v>
      </c>
      <c r="E75" s="30"/>
      <c r="F75" s="29" t="s">
        <v>18</v>
      </c>
      <c r="G75" s="30">
        <v>32823</v>
      </c>
      <c r="H75" s="204">
        <v>27469</v>
      </c>
      <c r="I75" s="30"/>
      <c r="J75" s="29" t="s">
        <v>18</v>
      </c>
      <c r="K75" s="30">
        <v>32586</v>
      </c>
      <c r="L75" s="204">
        <v>28206</v>
      </c>
      <c r="M75" s="30"/>
      <c r="N75" s="29" t="s">
        <v>18</v>
      </c>
      <c r="O75" s="30">
        <v>15661</v>
      </c>
      <c r="P75" s="204">
        <v>14916</v>
      </c>
      <c r="Q75" s="30"/>
      <c r="R75" s="29" t="s">
        <v>18</v>
      </c>
      <c r="S75" s="30">
        <v>6535</v>
      </c>
      <c r="T75" s="204">
        <v>5532</v>
      </c>
      <c r="U75" s="30"/>
      <c r="V75" s="29" t="s">
        <v>18</v>
      </c>
      <c r="W75" s="30">
        <v>5093</v>
      </c>
      <c r="X75" s="204">
        <v>4098</v>
      </c>
      <c r="Y75" s="30"/>
      <c r="Z75" s="29" t="s">
        <v>18</v>
      </c>
      <c r="AA75" s="30">
        <v>7448</v>
      </c>
      <c r="AB75" s="204">
        <v>5577</v>
      </c>
      <c r="AC75" s="29"/>
      <c r="AD75" s="29" t="s">
        <v>18</v>
      </c>
      <c r="AE75" s="30">
        <v>4281</v>
      </c>
      <c r="AF75" s="204">
        <v>4391</v>
      </c>
      <c r="AG75" s="30"/>
      <c r="AH75" s="29" t="s">
        <v>18</v>
      </c>
      <c r="AI75" s="30">
        <v>6552</v>
      </c>
      <c r="AJ75" s="204">
        <v>6222</v>
      </c>
      <c r="AK75" s="30"/>
      <c r="AL75" s="29" t="s">
        <v>18</v>
      </c>
      <c r="AM75" s="30">
        <v>3066</v>
      </c>
      <c r="AN75" s="206">
        <v>2501</v>
      </c>
    </row>
    <row r="76" spans="1:43" outlineLevel="1" x14ac:dyDescent="0.25">
      <c r="A76" s="28"/>
      <c r="B76" s="29" t="s">
        <v>20</v>
      </c>
      <c r="C76" s="30">
        <v>623</v>
      </c>
      <c r="D76" s="204">
        <v>281</v>
      </c>
      <c r="E76" s="30"/>
      <c r="F76" s="29" t="s">
        <v>20</v>
      </c>
      <c r="G76" s="30">
        <v>969</v>
      </c>
      <c r="H76" s="204">
        <v>643</v>
      </c>
      <c r="I76" s="30"/>
      <c r="J76" s="29" t="s">
        <v>20</v>
      </c>
      <c r="K76" s="30">
        <v>875</v>
      </c>
      <c r="L76" s="204">
        <v>621</v>
      </c>
      <c r="M76" s="30"/>
      <c r="N76" s="29" t="s">
        <v>20</v>
      </c>
      <c r="O76" s="30">
        <v>555</v>
      </c>
      <c r="P76" s="204">
        <v>480</v>
      </c>
      <c r="Q76" s="30"/>
      <c r="R76" s="29" t="s">
        <v>20</v>
      </c>
      <c r="S76" s="30">
        <v>183</v>
      </c>
      <c r="T76" s="204">
        <v>138</v>
      </c>
      <c r="U76" s="30"/>
      <c r="V76" s="29" t="s">
        <v>20</v>
      </c>
      <c r="W76" s="30">
        <v>97</v>
      </c>
      <c r="X76" s="204">
        <v>59</v>
      </c>
      <c r="Y76" s="30"/>
      <c r="Z76" s="29" t="s">
        <v>20</v>
      </c>
      <c r="AA76" s="30">
        <v>182</v>
      </c>
      <c r="AB76" s="204">
        <v>78</v>
      </c>
      <c r="AC76" s="29"/>
      <c r="AD76" s="29" t="s">
        <v>20</v>
      </c>
      <c r="AE76" s="30">
        <v>171</v>
      </c>
      <c r="AF76" s="204">
        <v>162</v>
      </c>
      <c r="AG76" s="30"/>
      <c r="AH76" s="29" t="s">
        <v>20</v>
      </c>
      <c r="AI76" s="30">
        <v>258</v>
      </c>
      <c r="AJ76" s="204">
        <v>188</v>
      </c>
      <c r="AK76" s="30"/>
      <c r="AL76" s="29" t="s">
        <v>20</v>
      </c>
      <c r="AM76" s="30">
        <v>83</v>
      </c>
      <c r="AN76" s="206">
        <v>57</v>
      </c>
    </row>
    <row r="77" spans="1:43" outlineLevel="1" x14ac:dyDescent="0.25">
      <c r="A77" s="28"/>
      <c r="B77" s="29" t="s">
        <v>22</v>
      </c>
      <c r="C77" s="30">
        <v>699</v>
      </c>
      <c r="D77" s="204">
        <v>494</v>
      </c>
      <c r="E77" s="30"/>
      <c r="F77" s="29" t="s">
        <v>22</v>
      </c>
      <c r="G77" s="30">
        <v>1196</v>
      </c>
      <c r="H77" s="204">
        <v>789</v>
      </c>
      <c r="I77" s="30"/>
      <c r="J77" s="29" t="s">
        <v>22</v>
      </c>
      <c r="K77" s="30">
        <v>1128</v>
      </c>
      <c r="L77" s="204">
        <v>932</v>
      </c>
      <c r="M77" s="30"/>
      <c r="N77" s="29" t="s">
        <v>22</v>
      </c>
      <c r="O77" s="30">
        <v>693</v>
      </c>
      <c r="P77" s="204">
        <v>595</v>
      </c>
      <c r="Q77" s="30"/>
      <c r="R77" s="29" t="s">
        <v>22</v>
      </c>
      <c r="S77" s="30">
        <v>239</v>
      </c>
      <c r="T77" s="204">
        <v>167</v>
      </c>
      <c r="U77" s="30"/>
      <c r="V77" s="29" t="s">
        <v>22</v>
      </c>
      <c r="W77" s="30">
        <v>168</v>
      </c>
      <c r="X77" s="204">
        <v>109</v>
      </c>
      <c r="Y77" s="30"/>
      <c r="Z77" s="29" t="s">
        <v>22</v>
      </c>
      <c r="AA77" s="30">
        <v>233</v>
      </c>
      <c r="AB77" s="204">
        <v>109</v>
      </c>
      <c r="AC77" s="29"/>
      <c r="AD77" s="29" t="s">
        <v>22</v>
      </c>
      <c r="AE77" s="30">
        <v>207</v>
      </c>
      <c r="AF77" s="204">
        <v>234</v>
      </c>
      <c r="AG77" s="30"/>
      <c r="AH77" s="29" t="s">
        <v>22</v>
      </c>
      <c r="AI77" s="30">
        <v>291</v>
      </c>
      <c r="AJ77" s="204">
        <v>272</v>
      </c>
      <c r="AK77" s="30"/>
      <c r="AL77" s="29" t="s">
        <v>22</v>
      </c>
      <c r="AM77" s="30">
        <v>110</v>
      </c>
      <c r="AN77" s="206">
        <v>69</v>
      </c>
    </row>
    <row r="78" spans="1:43" outlineLevel="1" x14ac:dyDescent="0.25">
      <c r="A78" s="28"/>
      <c r="B78" s="29" t="s">
        <v>23</v>
      </c>
      <c r="C78" s="30">
        <v>855</v>
      </c>
      <c r="D78" s="204">
        <v>622</v>
      </c>
      <c r="E78" s="30"/>
      <c r="F78" s="29" t="s">
        <v>23</v>
      </c>
      <c r="G78" s="30">
        <v>1438</v>
      </c>
      <c r="H78" s="204">
        <v>873</v>
      </c>
      <c r="I78" s="30"/>
      <c r="J78" s="29" t="s">
        <v>23</v>
      </c>
      <c r="K78" s="30">
        <v>1467</v>
      </c>
      <c r="L78" s="204">
        <v>1024</v>
      </c>
      <c r="M78" s="30"/>
      <c r="N78" s="29" t="s">
        <v>23</v>
      </c>
      <c r="O78" s="30">
        <v>722</v>
      </c>
      <c r="P78" s="204">
        <v>649</v>
      </c>
      <c r="Q78" s="30"/>
      <c r="R78" s="29" t="s">
        <v>23</v>
      </c>
      <c r="S78" s="30">
        <v>257</v>
      </c>
      <c r="T78" s="204">
        <v>210</v>
      </c>
      <c r="U78" s="30"/>
      <c r="V78" s="29" t="s">
        <v>23</v>
      </c>
      <c r="W78" s="30">
        <v>227</v>
      </c>
      <c r="X78" s="204">
        <v>107</v>
      </c>
      <c r="Y78" s="30"/>
      <c r="Z78" s="29" t="s">
        <v>23</v>
      </c>
      <c r="AA78" s="30">
        <v>276</v>
      </c>
      <c r="AB78" s="204">
        <v>159</v>
      </c>
      <c r="AC78" s="29"/>
      <c r="AD78" s="29" t="s">
        <v>23</v>
      </c>
      <c r="AE78" s="30">
        <v>175</v>
      </c>
      <c r="AF78" s="204">
        <v>217</v>
      </c>
      <c r="AG78" s="30"/>
      <c r="AH78" s="29" t="s">
        <v>23</v>
      </c>
      <c r="AI78" s="30">
        <v>340</v>
      </c>
      <c r="AJ78" s="204">
        <v>289</v>
      </c>
      <c r="AK78" s="30"/>
      <c r="AL78" s="29" t="s">
        <v>23</v>
      </c>
      <c r="AM78" s="30">
        <v>126</v>
      </c>
      <c r="AN78" s="206">
        <v>81</v>
      </c>
    </row>
    <row r="79" spans="1:43" outlineLevel="1" x14ac:dyDescent="0.25">
      <c r="A79" s="28"/>
      <c r="B79" s="29" t="s">
        <v>24</v>
      </c>
      <c r="C79" s="30">
        <v>1019</v>
      </c>
      <c r="D79" s="204">
        <v>660</v>
      </c>
      <c r="E79" s="30"/>
      <c r="F79" s="29" t="s">
        <v>24</v>
      </c>
      <c r="G79" s="30">
        <v>1425</v>
      </c>
      <c r="H79" s="204">
        <v>958</v>
      </c>
      <c r="I79" s="30"/>
      <c r="J79" s="29" t="s">
        <v>24</v>
      </c>
      <c r="K79" s="30">
        <v>1608</v>
      </c>
      <c r="L79" s="204">
        <v>1119</v>
      </c>
      <c r="M79" s="30"/>
      <c r="N79" s="29" t="s">
        <v>24</v>
      </c>
      <c r="O79" s="30">
        <v>825</v>
      </c>
      <c r="P79" s="204">
        <v>682</v>
      </c>
      <c r="Q79" s="30"/>
      <c r="R79" s="29" t="s">
        <v>24</v>
      </c>
      <c r="S79" s="30">
        <v>293</v>
      </c>
      <c r="T79" s="204">
        <v>216</v>
      </c>
      <c r="U79" s="30"/>
      <c r="V79" s="29" t="s">
        <v>24</v>
      </c>
      <c r="W79" s="30">
        <v>239</v>
      </c>
      <c r="X79" s="204">
        <v>158</v>
      </c>
      <c r="Y79" s="30"/>
      <c r="Z79" s="29" t="s">
        <v>24</v>
      </c>
      <c r="AA79" s="30">
        <v>340</v>
      </c>
      <c r="AB79" s="204">
        <v>199</v>
      </c>
      <c r="AC79" s="29"/>
      <c r="AD79" s="29" t="s">
        <v>24</v>
      </c>
      <c r="AE79" s="30">
        <v>185</v>
      </c>
      <c r="AF79" s="204">
        <v>199</v>
      </c>
      <c r="AG79" s="30"/>
      <c r="AH79" s="29" t="s">
        <v>24</v>
      </c>
      <c r="AI79" s="30">
        <v>356</v>
      </c>
      <c r="AJ79" s="204">
        <v>287</v>
      </c>
      <c r="AK79" s="30"/>
      <c r="AL79" s="29" t="s">
        <v>24</v>
      </c>
      <c r="AM79" s="30">
        <v>138</v>
      </c>
      <c r="AN79" s="206">
        <v>96</v>
      </c>
    </row>
    <row r="80" spans="1:43" outlineLevel="1" x14ac:dyDescent="0.25">
      <c r="A80" s="28"/>
      <c r="B80" s="29" t="s">
        <v>25</v>
      </c>
      <c r="C80" s="30">
        <v>1007</v>
      </c>
      <c r="D80" s="204">
        <v>576</v>
      </c>
      <c r="E80" s="30"/>
      <c r="F80" s="29" t="s">
        <v>25</v>
      </c>
      <c r="G80" s="30">
        <v>1286</v>
      </c>
      <c r="H80" s="204">
        <v>1049</v>
      </c>
      <c r="I80" s="30"/>
      <c r="J80" s="29" t="s">
        <v>25</v>
      </c>
      <c r="K80" s="30">
        <v>1347</v>
      </c>
      <c r="L80" s="204">
        <v>1075</v>
      </c>
      <c r="M80" s="30"/>
      <c r="N80" s="29" t="s">
        <v>25</v>
      </c>
      <c r="O80" s="30">
        <v>725</v>
      </c>
      <c r="P80" s="204">
        <v>661</v>
      </c>
      <c r="Q80" s="30"/>
      <c r="R80" s="29" t="s">
        <v>25</v>
      </c>
      <c r="S80" s="30">
        <v>274</v>
      </c>
      <c r="T80" s="204">
        <v>189</v>
      </c>
      <c r="U80" s="30"/>
      <c r="V80" s="29" t="s">
        <v>25</v>
      </c>
      <c r="W80" s="30">
        <v>202</v>
      </c>
      <c r="X80" s="204">
        <v>153</v>
      </c>
      <c r="Y80" s="30"/>
      <c r="Z80" s="29" t="s">
        <v>25</v>
      </c>
      <c r="AA80" s="30">
        <v>273</v>
      </c>
      <c r="AB80" s="204">
        <v>177</v>
      </c>
      <c r="AC80" s="29"/>
      <c r="AD80" s="29" t="s">
        <v>25</v>
      </c>
      <c r="AE80" s="30">
        <v>198</v>
      </c>
      <c r="AF80" s="204">
        <v>141</v>
      </c>
      <c r="AG80" s="30"/>
      <c r="AH80" s="29" t="s">
        <v>25</v>
      </c>
      <c r="AI80" s="30">
        <v>299</v>
      </c>
      <c r="AJ80" s="204">
        <v>259</v>
      </c>
      <c r="AK80" s="30"/>
      <c r="AL80" s="29" t="s">
        <v>25</v>
      </c>
      <c r="AM80" s="30">
        <v>131</v>
      </c>
      <c r="AN80" s="206">
        <v>97</v>
      </c>
    </row>
    <row r="81" spans="1:40" outlineLevel="1" x14ac:dyDescent="0.25">
      <c r="A81" s="28"/>
      <c r="B81" s="29" t="s">
        <v>26</v>
      </c>
      <c r="C81" s="30">
        <v>867</v>
      </c>
      <c r="D81" s="204">
        <v>524</v>
      </c>
      <c r="E81" s="30"/>
      <c r="F81" s="29" t="s">
        <v>26</v>
      </c>
      <c r="G81" s="30">
        <v>1183</v>
      </c>
      <c r="H81" s="204">
        <v>1029</v>
      </c>
      <c r="I81" s="30"/>
      <c r="J81" s="29" t="s">
        <v>26</v>
      </c>
      <c r="K81" s="30">
        <v>1316</v>
      </c>
      <c r="L81" s="204">
        <v>969</v>
      </c>
      <c r="M81" s="30"/>
      <c r="N81" s="29" t="s">
        <v>26</v>
      </c>
      <c r="O81" s="30">
        <v>796</v>
      </c>
      <c r="P81" s="204">
        <v>638</v>
      </c>
      <c r="Q81" s="30"/>
      <c r="R81" s="29" t="s">
        <v>26</v>
      </c>
      <c r="S81" s="30">
        <v>263</v>
      </c>
      <c r="T81" s="204">
        <v>168</v>
      </c>
      <c r="U81" s="30"/>
      <c r="V81" s="29" t="s">
        <v>26</v>
      </c>
      <c r="W81" s="30">
        <v>175</v>
      </c>
      <c r="X81" s="204">
        <v>113</v>
      </c>
      <c r="Y81" s="30"/>
      <c r="Z81" s="29" t="s">
        <v>26</v>
      </c>
      <c r="AA81" s="30">
        <v>257</v>
      </c>
      <c r="AB81" s="204">
        <v>170</v>
      </c>
      <c r="AC81" s="29"/>
      <c r="AD81" s="29" t="s">
        <v>26</v>
      </c>
      <c r="AE81" s="30">
        <v>216</v>
      </c>
      <c r="AF81" s="204">
        <v>190</v>
      </c>
      <c r="AG81" s="30"/>
      <c r="AH81" s="29" t="s">
        <v>26</v>
      </c>
      <c r="AI81" s="30">
        <v>295</v>
      </c>
      <c r="AJ81" s="204">
        <v>308</v>
      </c>
      <c r="AK81" s="30"/>
      <c r="AL81" s="29" t="s">
        <v>26</v>
      </c>
      <c r="AM81" s="30">
        <v>159</v>
      </c>
      <c r="AN81" s="206">
        <v>80</v>
      </c>
    </row>
    <row r="82" spans="1:40" outlineLevel="1" x14ac:dyDescent="0.25">
      <c r="A82" s="28"/>
      <c r="B82" s="29" t="s">
        <v>27</v>
      </c>
      <c r="C82" s="30">
        <v>911</v>
      </c>
      <c r="D82" s="204">
        <v>583</v>
      </c>
      <c r="E82" s="30"/>
      <c r="F82" s="29" t="s">
        <v>27</v>
      </c>
      <c r="G82" s="30">
        <v>1369</v>
      </c>
      <c r="H82" s="204">
        <v>1139</v>
      </c>
      <c r="I82" s="30"/>
      <c r="J82" s="29" t="s">
        <v>27</v>
      </c>
      <c r="K82" s="30">
        <v>1423</v>
      </c>
      <c r="L82" s="204">
        <v>1009</v>
      </c>
      <c r="M82" s="30"/>
      <c r="N82" s="29" t="s">
        <v>27</v>
      </c>
      <c r="O82" s="30">
        <v>941</v>
      </c>
      <c r="P82" s="204">
        <v>718</v>
      </c>
      <c r="Q82" s="30"/>
      <c r="R82" s="29" t="s">
        <v>27</v>
      </c>
      <c r="S82" s="30">
        <v>283</v>
      </c>
      <c r="T82" s="204">
        <v>194</v>
      </c>
      <c r="U82" s="30"/>
      <c r="V82" s="29" t="s">
        <v>27</v>
      </c>
      <c r="W82" s="30">
        <v>187</v>
      </c>
      <c r="X82" s="204">
        <v>118</v>
      </c>
      <c r="Y82" s="30"/>
      <c r="Z82" s="29" t="s">
        <v>27</v>
      </c>
      <c r="AA82" s="30">
        <v>285</v>
      </c>
      <c r="AB82" s="204">
        <v>143</v>
      </c>
      <c r="AC82" s="29"/>
      <c r="AD82" s="29" t="s">
        <v>27</v>
      </c>
      <c r="AE82" s="30">
        <v>264</v>
      </c>
      <c r="AF82" s="204">
        <v>247</v>
      </c>
      <c r="AG82" s="30"/>
      <c r="AH82" s="29" t="s">
        <v>27</v>
      </c>
      <c r="AI82" s="30">
        <v>376</v>
      </c>
      <c r="AJ82" s="204">
        <v>286</v>
      </c>
      <c r="AK82" s="30"/>
      <c r="AL82" s="29" t="s">
        <v>27</v>
      </c>
      <c r="AM82" s="30">
        <v>157</v>
      </c>
      <c r="AN82" s="206">
        <v>82</v>
      </c>
    </row>
    <row r="83" spans="1:40" outlineLevel="1" x14ac:dyDescent="0.25">
      <c r="A83" s="28"/>
      <c r="B83" s="29" t="s">
        <v>28</v>
      </c>
      <c r="C83" s="30">
        <v>929</v>
      </c>
      <c r="D83" s="204">
        <v>724</v>
      </c>
      <c r="E83" s="30"/>
      <c r="F83" s="29" t="s">
        <v>28</v>
      </c>
      <c r="G83" s="30">
        <v>1858</v>
      </c>
      <c r="H83" s="204">
        <v>1169</v>
      </c>
      <c r="I83" s="30"/>
      <c r="J83" s="29" t="s">
        <v>28</v>
      </c>
      <c r="K83" s="30">
        <v>1654</v>
      </c>
      <c r="L83" s="204">
        <v>1295</v>
      </c>
      <c r="M83" s="30"/>
      <c r="N83" s="29" t="s">
        <v>28</v>
      </c>
      <c r="O83" s="30">
        <v>959</v>
      </c>
      <c r="P83" s="204">
        <v>795</v>
      </c>
      <c r="Q83" s="30"/>
      <c r="R83" s="29" t="s">
        <v>28</v>
      </c>
      <c r="S83" s="30">
        <v>336</v>
      </c>
      <c r="T83" s="204">
        <v>228</v>
      </c>
      <c r="U83" s="30"/>
      <c r="V83" s="29" t="s">
        <v>28</v>
      </c>
      <c r="W83" s="30">
        <v>248</v>
      </c>
      <c r="X83" s="204">
        <v>148</v>
      </c>
      <c r="Y83" s="30"/>
      <c r="Z83" s="29" t="s">
        <v>28</v>
      </c>
      <c r="AA83" s="30">
        <v>333</v>
      </c>
      <c r="AB83" s="204">
        <v>180</v>
      </c>
      <c r="AC83" s="29"/>
      <c r="AD83" s="29" t="s">
        <v>28</v>
      </c>
      <c r="AE83" s="30">
        <v>271</v>
      </c>
      <c r="AF83" s="204">
        <v>271</v>
      </c>
      <c r="AG83" s="30"/>
      <c r="AH83" s="29" t="s">
        <v>28</v>
      </c>
      <c r="AI83" s="30">
        <v>439</v>
      </c>
      <c r="AJ83" s="204">
        <v>350</v>
      </c>
      <c r="AK83" s="30"/>
      <c r="AL83" s="29" t="s">
        <v>28</v>
      </c>
      <c r="AM83" s="30">
        <v>169</v>
      </c>
      <c r="AN83" s="206">
        <v>134</v>
      </c>
    </row>
    <row r="84" spans="1:40" outlineLevel="1" x14ac:dyDescent="0.25">
      <c r="A84" s="28"/>
      <c r="B84" s="29" t="s">
        <v>29</v>
      </c>
      <c r="C84" s="30">
        <v>983</v>
      </c>
      <c r="D84" s="204">
        <v>816</v>
      </c>
      <c r="E84" s="30"/>
      <c r="F84" s="29" t="s">
        <v>29</v>
      </c>
      <c r="G84" s="30">
        <v>1967</v>
      </c>
      <c r="H84" s="204">
        <v>1337</v>
      </c>
      <c r="I84" s="30"/>
      <c r="J84" s="29" t="s">
        <v>29</v>
      </c>
      <c r="K84" s="30">
        <v>1959</v>
      </c>
      <c r="L84" s="204">
        <v>1436</v>
      </c>
      <c r="M84" s="30"/>
      <c r="N84" s="29" t="s">
        <v>29</v>
      </c>
      <c r="O84" s="30">
        <v>972</v>
      </c>
      <c r="P84" s="204">
        <v>1006</v>
      </c>
      <c r="Q84" s="30"/>
      <c r="R84" s="29" t="s">
        <v>29</v>
      </c>
      <c r="S84" s="30">
        <v>356</v>
      </c>
      <c r="T84" s="204">
        <v>285</v>
      </c>
      <c r="U84" s="30"/>
      <c r="V84" s="29" t="s">
        <v>29</v>
      </c>
      <c r="W84" s="30">
        <v>281</v>
      </c>
      <c r="X84" s="204">
        <v>196</v>
      </c>
      <c r="Y84" s="30"/>
      <c r="Z84" s="29" t="s">
        <v>29</v>
      </c>
      <c r="AA84" s="30">
        <v>393</v>
      </c>
      <c r="AB84" s="204">
        <v>272</v>
      </c>
      <c r="AC84" s="29"/>
      <c r="AD84" s="29" t="s">
        <v>29</v>
      </c>
      <c r="AE84" s="30">
        <v>254</v>
      </c>
      <c r="AF84" s="204">
        <v>314</v>
      </c>
      <c r="AG84" s="30"/>
      <c r="AH84" s="29" t="s">
        <v>29</v>
      </c>
      <c r="AI84" s="30">
        <v>409</v>
      </c>
      <c r="AJ84" s="204">
        <v>386</v>
      </c>
      <c r="AK84" s="30"/>
      <c r="AL84" s="29" t="s">
        <v>29</v>
      </c>
      <c r="AM84" s="30">
        <v>134</v>
      </c>
      <c r="AN84" s="206">
        <v>148</v>
      </c>
    </row>
    <row r="85" spans="1:40" outlineLevel="1" x14ac:dyDescent="0.25">
      <c r="A85" s="28"/>
      <c r="B85" s="29" t="s">
        <v>31</v>
      </c>
      <c r="C85" s="30">
        <v>1145</v>
      </c>
      <c r="D85" s="204">
        <v>861</v>
      </c>
      <c r="E85" s="30"/>
      <c r="F85" s="29" t="s">
        <v>31</v>
      </c>
      <c r="G85" s="30">
        <v>1718</v>
      </c>
      <c r="H85" s="204">
        <v>1570</v>
      </c>
      <c r="I85" s="30"/>
      <c r="J85" s="29" t="s">
        <v>31</v>
      </c>
      <c r="K85" s="30">
        <v>1937</v>
      </c>
      <c r="L85" s="204">
        <v>1594</v>
      </c>
      <c r="M85" s="30"/>
      <c r="N85" s="29" t="s">
        <v>31</v>
      </c>
      <c r="O85" s="30">
        <v>913</v>
      </c>
      <c r="P85" s="204">
        <v>1031</v>
      </c>
      <c r="Q85" s="30"/>
      <c r="R85" s="29" t="s">
        <v>31</v>
      </c>
      <c r="S85" s="30">
        <v>331</v>
      </c>
      <c r="T85" s="204">
        <v>327</v>
      </c>
      <c r="U85" s="30"/>
      <c r="V85" s="29" t="s">
        <v>31</v>
      </c>
      <c r="W85" s="30">
        <v>257</v>
      </c>
      <c r="X85" s="204">
        <v>233</v>
      </c>
      <c r="Y85" s="30"/>
      <c r="Z85" s="29" t="s">
        <v>31</v>
      </c>
      <c r="AA85" s="30">
        <v>368</v>
      </c>
      <c r="AB85" s="204">
        <v>296</v>
      </c>
      <c r="AC85" s="29"/>
      <c r="AD85" s="29" t="s">
        <v>31</v>
      </c>
      <c r="AE85" s="30">
        <v>188</v>
      </c>
      <c r="AF85" s="204">
        <v>293</v>
      </c>
      <c r="AG85" s="30"/>
      <c r="AH85" s="29" t="s">
        <v>31</v>
      </c>
      <c r="AI85" s="30">
        <v>342</v>
      </c>
      <c r="AJ85" s="204">
        <v>429</v>
      </c>
      <c r="AK85" s="30"/>
      <c r="AL85" s="29" t="s">
        <v>31</v>
      </c>
      <c r="AM85" s="30">
        <v>127</v>
      </c>
      <c r="AN85" s="206">
        <v>130</v>
      </c>
    </row>
    <row r="86" spans="1:40" outlineLevel="1" x14ac:dyDescent="0.25">
      <c r="A86" s="28"/>
      <c r="B86" s="29" t="s">
        <v>33</v>
      </c>
      <c r="C86" s="30">
        <v>1316</v>
      </c>
      <c r="D86" s="204">
        <v>890</v>
      </c>
      <c r="E86" s="30"/>
      <c r="F86" s="29" t="s">
        <v>33</v>
      </c>
      <c r="G86" s="30">
        <v>1925</v>
      </c>
      <c r="H86" s="204">
        <v>1881</v>
      </c>
      <c r="I86" s="30"/>
      <c r="J86" s="29" t="s">
        <v>33</v>
      </c>
      <c r="K86" s="30">
        <v>1948</v>
      </c>
      <c r="L86" s="204">
        <v>1935</v>
      </c>
      <c r="M86" s="30"/>
      <c r="N86" s="29" t="s">
        <v>33</v>
      </c>
      <c r="O86" s="30">
        <v>960</v>
      </c>
      <c r="P86" s="204">
        <v>995</v>
      </c>
      <c r="Q86" s="30"/>
      <c r="R86" s="29" t="s">
        <v>33</v>
      </c>
      <c r="S86" s="30">
        <v>379</v>
      </c>
      <c r="T86" s="204">
        <v>376</v>
      </c>
      <c r="U86" s="30"/>
      <c r="V86" s="29" t="s">
        <v>33</v>
      </c>
      <c r="W86" s="30">
        <v>279</v>
      </c>
      <c r="X86" s="204">
        <v>282</v>
      </c>
      <c r="Y86" s="30"/>
      <c r="Z86" s="29" t="s">
        <v>33</v>
      </c>
      <c r="AA86" s="30">
        <v>425</v>
      </c>
      <c r="AB86" s="204">
        <v>352</v>
      </c>
      <c r="AC86" s="29"/>
      <c r="AD86" s="29" t="s">
        <v>33</v>
      </c>
      <c r="AE86" s="30">
        <v>285</v>
      </c>
      <c r="AF86" s="204">
        <v>269</v>
      </c>
      <c r="AG86" s="30"/>
      <c r="AH86" s="29" t="s">
        <v>33</v>
      </c>
      <c r="AI86" s="30">
        <v>395</v>
      </c>
      <c r="AJ86" s="204">
        <v>451</v>
      </c>
      <c r="AK86" s="30"/>
      <c r="AL86" s="29" t="s">
        <v>33</v>
      </c>
      <c r="AM86" s="30">
        <v>196</v>
      </c>
      <c r="AN86" s="206">
        <v>153</v>
      </c>
    </row>
    <row r="87" spans="1:40" outlineLevel="1" x14ac:dyDescent="0.25">
      <c r="A87" s="28"/>
      <c r="B87" s="29" t="s">
        <v>35</v>
      </c>
      <c r="C87" s="30">
        <v>1496</v>
      </c>
      <c r="D87" s="204">
        <v>1067</v>
      </c>
      <c r="E87" s="30"/>
      <c r="F87" s="29" t="s">
        <v>35</v>
      </c>
      <c r="G87" s="30">
        <v>2358</v>
      </c>
      <c r="H87" s="204">
        <v>1662</v>
      </c>
      <c r="I87" s="30"/>
      <c r="J87" s="29" t="s">
        <v>35</v>
      </c>
      <c r="K87" s="30">
        <v>2187</v>
      </c>
      <c r="L87" s="204">
        <v>1841</v>
      </c>
      <c r="M87" s="30"/>
      <c r="N87" s="29" t="s">
        <v>35</v>
      </c>
      <c r="O87" s="30">
        <v>1087</v>
      </c>
      <c r="P87" s="204">
        <v>863</v>
      </c>
      <c r="Q87" s="30"/>
      <c r="R87" s="29" t="s">
        <v>35</v>
      </c>
      <c r="S87" s="30">
        <v>416</v>
      </c>
      <c r="T87" s="204">
        <v>347</v>
      </c>
      <c r="U87" s="30"/>
      <c r="V87" s="29" t="s">
        <v>35</v>
      </c>
      <c r="W87" s="30">
        <v>321</v>
      </c>
      <c r="X87" s="204">
        <v>237</v>
      </c>
      <c r="Y87" s="30"/>
      <c r="Z87" s="29" t="s">
        <v>35</v>
      </c>
      <c r="AA87" s="30">
        <v>527</v>
      </c>
      <c r="AB87" s="204">
        <v>328</v>
      </c>
      <c r="AC87" s="29"/>
      <c r="AD87" s="29" t="s">
        <v>35</v>
      </c>
      <c r="AE87" s="30">
        <v>306</v>
      </c>
      <c r="AF87" s="204">
        <v>217</v>
      </c>
      <c r="AG87" s="30"/>
      <c r="AH87" s="29" t="s">
        <v>35</v>
      </c>
      <c r="AI87" s="30">
        <v>430</v>
      </c>
      <c r="AJ87" s="204">
        <v>335</v>
      </c>
      <c r="AK87" s="30"/>
      <c r="AL87" s="29" t="s">
        <v>35</v>
      </c>
      <c r="AM87" s="30">
        <v>250</v>
      </c>
      <c r="AN87" s="206">
        <v>112</v>
      </c>
    </row>
    <row r="88" spans="1:40" outlineLevel="1" x14ac:dyDescent="0.25">
      <c r="A88" s="28"/>
      <c r="B88" s="29" t="s">
        <v>37</v>
      </c>
      <c r="C88" s="30">
        <v>1529</v>
      </c>
      <c r="D88" s="204">
        <v>1236</v>
      </c>
      <c r="E88" s="30"/>
      <c r="F88" s="29" t="s">
        <v>37</v>
      </c>
      <c r="G88" s="30">
        <v>2866</v>
      </c>
      <c r="H88" s="204">
        <v>1768</v>
      </c>
      <c r="I88" s="30"/>
      <c r="J88" s="29" t="s">
        <v>37</v>
      </c>
      <c r="K88" s="30">
        <v>2667</v>
      </c>
      <c r="L88" s="204">
        <v>1921</v>
      </c>
      <c r="M88" s="30"/>
      <c r="N88" s="29" t="s">
        <v>37</v>
      </c>
      <c r="O88" s="30">
        <v>1178</v>
      </c>
      <c r="P88" s="204">
        <v>973</v>
      </c>
      <c r="Q88" s="30"/>
      <c r="R88" s="29" t="s">
        <v>37</v>
      </c>
      <c r="S88" s="30">
        <v>540</v>
      </c>
      <c r="T88" s="204">
        <v>377</v>
      </c>
      <c r="U88" s="30"/>
      <c r="V88" s="29" t="s">
        <v>37</v>
      </c>
      <c r="W88" s="30">
        <v>484</v>
      </c>
      <c r="X88" s="204">
        <v>273</v>
      </c>
      <c r="Y88" s="30"/>
      <c r="Z88" s="29" t="s">
        <v>37</v>
      </c>
      <c r="AA88" s="30">
        <v>654</v>
      </c>
      <c r="AB88" s="204">
        <v>384</v>
      </c>
      <c r="AC88" s="29"/>
      <c r="AD88" s="29" t="s">
        <v>37</v>
      </c>
      <c r="AE88" s="30">
        <v>345</v>
      </c>
      <c r="AF88" s="204">
        <v>269</v>
      </c>
      <c r="AG88" s="30"/>
      <c r="AH88" s="29" t="s">
        <v>37</v>
      </c>
      <c r="AI88" s="30">
        <v>524</v>
      </c>
      <c r="AJ88" s="204">
        <v>363</v>
      </c>
      <c r="AK88" s="30"/>
      <c r="AL88" s="29" t="s">
        <v>37</v>
      </c>
      <c r="AM88" s="30">
        <v>270</v>
      </c>
      <c r="AN88" s="206">
        <v>185</v>
      </c>
    </row>
    <row r="89" spans="1:40" outlineLevel="1" x14ac:dyDescent="0.25">
      <c r="A89" s="28"/>
      <c r="B89" s="29" t="s">
        <v>39</v>
      </c>
      <c r="C89" s="30">
        <v>1151</v>
      </c>
      <c r="D89" s="204">
        <v>1416</v>
      </c>
      <c r="E89" s="30"/>
      <c r="F89" s="29" t="s">
        <v>39</v>
      </c>
      <c r="G89" s="30">
        <v>2575</v>
      </c>
      <c r="H89" s="204">
        <v>2150</v>
      </c>
      <c r="I89" s="30"/>
      <c r="J89" s="29" t="s">
        <v>39</v>
      </c>
      <c r="K89" s="30">
        <v>2392</v>
      </c>
      <c r="L89" s="204">
        <v>2045</v>
      </c>
      <c r="M89" s="30"/>
      <c r="N89" s="29" t="s">
        <v>39</v>
      </c>
      <c r="O89" s="30">
        <v>931</v>
      </c>
      <c r="P89" s="204">
        <v>1039</v>
      </c>
      <c r="Q89" s="30"/>
      <c r="R89" s="29" t="s">
        <v>39</v>
      </c>
      <c r="S89" s="30">
        <v>497</v>
      </c>
      <c r="T89" s="204">
        <v>385</v>
      </c>
      <c r="U89" s="30"/>
      <c r="V89" s="29" t="s">
        <v>39</v>
      </c>
      <c r="W89" s="30">
        <v>396</v>
      </c>
      <c r="X89" s="204">
        <v>313</v>
      </c>
      <c r="Y89" s="30"/>
      <c r="Z89" s="29" t="s">
        <v>39</v>
      </c>
      <c r="AA89" s="30">
        <v>547</v>
      </c>
      <c r="AB89" s="204">
        <v>485</v>
      </c>
      <c r="AC89" s="29"/>
      <c r="AD89" s="29" t="s">
        <v>39</v>
      </c>
      <c r="AE89" s="30">
        <v>246</v>
      </c>
      <c r="AF89" s="204">
        <v>305</v>
      </c>
      <c r="AG89" s="30"/>
      <c r="AH89" s="29" t="s">
        <v>39</v>
      </c>
      <c r="AI89" s="30">
        <v>411</v>
      </c>
      <c r="AJ89" s="204">
        <v>400</v>
      </c>
      <c r="AK89" s="30"/>
      <c r="AL89" s="29" t="s">
        <v>39</v>
      </c>
      <c r="AM89" s="30">
        <v>195</v>
      </c>
      <c r="AN89" s="206">
        <v>232</v>
      </c>
    </row>
    <row r="90" spans="1:40" outlineLevel="1" x14ac:dyDescent="0.25">
      <c r="A90" s="28"/>
      <c r="B90" s="29" t="s">
        <v>41</v>
      </c>
      <c r="C90" s="30">
        <v>1289</v>
      </c>
      <c r="D90" s="204">
        <v>1450</v>
      </c>
      <c r="E90" s="30"/>
      <c r="F90" s="29" t="s">
        <v>41</v>
      </c>
      <c r="G90" s="30">
        <v>2211</v>
      </c>
      <c r="H90" s="204">
        <v>2500</v>
      </c>
      <c r="I90" s="30"/>
      <c r="J90" s="29" t="s">
        <v>41</v>
      </c>
      <c r="K90" s="30">
        <v>2251</v>
      </c>
      <c r="L90" s="204">
        <v>2437</v>
      </c>
      <c r="M90" s="30"/>
      <c r="N90" s="29" t="s">
        <v>41</v>
      </c>
      <c r="O90" s="30">
        <v>801</v>
      </c>
      <c r="P90" s="204">
        <v>1053</v>
      </c>
      <c r="Q90" s="30"/>
      <c r="R90" s="29" t="s">
        <v>41</v>
      </c>
      <c r="S90" s="30">
        <v>442</v>
      </c>
      <c r="T90" s="204">
        <v>477</v>
      </c>
      <c r="U90" s="30"/>
      <c r="V90" s="29" t="s">
        <v>41</v>
      </c>
      <c r="W90" s="30">
        <v>408</v>
      </c>
      <c r="X90" s="204">
        <v>417</v>
      </c>
      <c r="Y90" s="30"/>
      <c r="Z90" s="29" t="s">
        <v>41</v>
      </c>
      <c r="AA90" s="30">
        <v>515</v>
      </c>
      <c r="AB90" s="204">
        <v>576</v>
      </c>
      <c r="AC90" s="29"/>
      <c r="AD90" s="29" t="s">
        <v>41</v>
      </c>
      <c r="AE90" s="30">
        <v>186</v>
      </c>
      <c r="AF90" s="204">
        <v>344</v>
      </c>
      <c r="AG90" s="30"/>
      <c r="AH90" s="29" t="s">
        <v>41</v>
      </c>
      <c r="AI90" s="30">
        <v>364</v>
      </c>
      <c r="AJ90" s="204">
        <v>473</v>
      </c>
      <c r="AK90" s="30"/>
      <c r="AL90" s="29" t="s">
        <v>41</v>
      </c>
      <c r="AM90" s="30">
        <v>149</v>
      </c>
      <c r="AN90" s="206">
        <v>269</v>
      </c>
    </row>
    <row r="91" spans="1:40" outlineLevel="1" x14ac:dyDescent="0.25">
      <c r="A91" s="28"/>
      <c r="B91" s="29" t="s">
        <v>43</v>
      </c>
      <c r="C91" s="30">
        <v>1369</v>
      </c>
      <c r="D91" s="204">
        <v>1151</v>
      </c>
      <c r="E91" s="30"/>
      <c r="F91" s="29" t="s">
        <v>43</v>
      </c>
      <c r="G91" s="30">
        <v>2045</v>
      </c>
      <c r="H91" s="204">
        <v>2513</v>
      </c>
      <c r="I91" s="30"/>
      <c r="J91" s="29" t="s">
        <v>43</v>
      </c>
      <c r="K91" s="30">
        <v>2012</v>
      </c>
      <c r="L91" s="204">
        <v>2382</v>
      </c>
      <c r="M91" s="30"/>
      <c r="N91" s="29" t="s">
        <v>43</v>
      </c>
      <c r="O91" s="30">
        <v>821</v>
      </c>
      <c r="P91" s="204">
        <v>983</v>
      </c>
      <c r="Q91" s="30"/>
      <c r="R91" s="29" t="s">
        <v>43</v>
      </c>
      <c r="S91" s="30">
        <v>415</v>
      </c>
      <c r="T91" s="204">
        <v>502</v>
      </c>
      <c r="U91" s="30"/>
      <c r="V91" s="29" t="s">
        <v>43</v>
      </c>
      <c r="W91" s="30">
        <v>332</v>
      </c>
      <c r="X91" s="204">
        <v>418</v>
      </c>
      <c r="Y91" s="30"/>
      <c r="Z91" s="29" t="s">
        <v>43</v>
      </c>
      <c r="AA91" s="30">
        <v>540</v>
      </c>
      <c r="AB91" s="204">
        <v>565</v>
      </c>
      <c r="AC91" s="29"/>
      <c r="AD91" s="29" t="s">
        <v>43</v>
      </c>
      <c r="AE91" s="30">
        <v>213</v>
      </c>
      <c r="AF91" s="204">
        <v>249</v>
      </c>
      <c r="AG91" s="30"/>
      <c r="AH91" s="29" t="s">
        <v>43</v>
      </c>
      <c r="AI91" s="30">
        <v>323</v>
      </c>
      <c r="AJ91" s="204">
        <v>441</v>
      </c>
      <c r="AK91" s="30"/>
      <c r="AL91" s="29" t="s">
        <v>43</v>
      </c>
      <c r="AM91" s="30">
        <v>211</v>
      </c>
      <c r="AN91" s="206">
        <v>191</v>
      </c>
    </row>
    <row r="92" spans="1:40" outlineLevel="1" x14ac:dyDescent="0.25">
      <c r="A92" s="28"/>
      <c r="B92" s="29" t="s">
        <v>45</v>
      </c>
      <c r="C92" s="30">
        <v>1358</v>
      </c>
      <c r="D92" s="204">
        <v>972</v>
      </c>
      <c r="E92" s="30"/>
      <c r="F92" s="29" t="s">
        <v>45</v>
      </c>
      <c r="G92" s="30">
        <v>2046</v>
      </c>
      <c r="H92" s="204">
        <v>1692</v>
      </c>
      <c r="I92" s="30"/>
      <c r="J92" s="29" t="s">
        <v>45</v>
      </c>
      <c r="K92" s="30">
        <v>1980</v>
      </c>
      <c r="L92" s="204">
        <v>1791</v>
      </c>
      <c r="M92" s="30"/>
      <c r="N92" s="29" t="s">
        <v>45</v>
      </c>
      <c r="O92" s="30">
        <v>846</v>
      </c>
      <c r="P92" s="204">
        <v>605</v>
      </c>
      <c r="Q92" s="30"/>
      <c r="R92" s="29" t="s">
        <v>45</v>
      </c>
      <c r="S92" s="30">
        <v>441</v>
      </c>
      <c r="T92" s="204">
        <v>369</v>
      </c>
      <c r="U92" s="30"/>
      <c r="V92" s="29" t="s">
        <v>45</v>
      </c>
      <c r="W92" s="30">
        <v>337</v>
      </c>
      <c r="X92" s="204">
        <v>320</v>
      </c>
      <c r="Y92" s="30"/>
      <c r="Z92" s="29" t="s">
        <v>45</v>
      </c>
      <c r="AA92" s="30">
        <v>541</v>
      </c>
      <c r="AB92" s="204">
        <v>391</v>
      </c>
      <c r="AC92" s="29"/>
      <c r="AD92" s="29" t="s">
        <v>45</v>
      </c>
      <c r="AE92" s="30">
        <v>250</v>
      </c>
      <c r="AF92" s="204">
        <v>147</v>
      </c>
      <c r="AG92" s="30"/>
      <c r="AH92" s="29" t="s">
        <v>45</v>
      </c>
      <c r="AI92" s="30">
        <v>329</v>
      </c>
      <c r="AJ92" s="204">
        <v>280</v>
      </c>
      <c r="AK92" s="30"/>
      <c r="AL92" s="29" t="s">
        <v>45</v>
      </c>
      <c r="AM92" s="30">
        <v>213</v>
      </c>
      <c r="AN92" s="206">
        <v>115</v>
      </c>
    </row>
    <row r="93" spans="1:40" outlineLevel="1" x14ac:dyDescent="0.25">
      <c r="A93" s="28"/>
      <c r="B93" s="29" t="s">
        <v>47</v>
      </c>
      <c r="C93" s="30">
        <v>1031</v>
      </c>
      <c r="D93" s="204">
        <v>909</v>
      </c>
      <c r="E93" s="30"/>
      <c r="F93" s="29" t="s">
        <v>47</v>
      </c>
      <c r="G93" s="30">
        <v>1497</v>
      </c>
      <c r="H93" s="204">
        <v>1369</v>
      </c>
      <c r="I93" s="30"/>
      <c r="J93" s="29" t="s">
        <v>47</v>
      </c>
      <c r="K93" s="30">
        <v>1503</v>
      </c>
      <c r="L93" s="204">
        <v>1426</v>
      </c>
      <c r="M93" s="30"/>
      <c r="N93" s="29" t="s">
        <v>47</v>
      </c>
      <c r="O93" s="30">
        <v>571</v>
      </c>
      <c r="P93" s="204">
        <v>581</v>
      </c>
      <c r="Q93" s="30"/>
      <c r="R93" s="29" t="s">
        <v>47</v>
      </c>
      <c r="S93" s="30">
        <v>313</v>
      </c>
      <c r="T93" s="204">
        <v>291</v>
      </c>
      <c r="U93" s="30"/>
      <c r="V93" s="29" t="s">
        <v>47</v>
      </c>
      <c r="W93" s="30">
        <v>258</v>
      </c>
      <c r="X93" s="204">
        <v>212</v>
      </c>
      <c r="Y93" s="30"/>
      <c r="Z93" s="29" t="s">
        <v>47</v>
      </c>
      <c r="AA93" s="30">
        <v>447</v>
      </c>
      <c r="AB93" s="204">
        <v>358</v>
      </c>
      <c r="AC93" s="29"/>
      <c r="AD93" s="29" t="s">
        <v>47</v>
      </c>
      <c r="AE93" s="30">
        <v>179</v>
      </c>
      <c r="AF93" s="204">
        <v>137</v>
      </c>
      <c r="AG93" s="30"/>
      <c r="AH93" s="29" t="s">
        <v>47</v>
      </c>
      <c r="AI93" s="30">
        <v>226</v>
      </c>
      <c r="AJ93" s="204">
        <v>219</v>
      </c>
      <c r="AK93" s="30"/>
      <c r="AL93" s="29" t="s">
        <v>47</v>
      </c>
      <c r="AM93" s="30">
        <v>159</v>
      </c>
      <c r="AN93" s="206">
        <v>129</v>
      </c>
    </row>
    <row r="94" spans="1:40" outlineLevel="1" x14ac:dyDescent="0.25">
      <c r="A94" s="28"/>
      <c r="B94" s="29" t="s">
        <v>49</v>
      </c>
      <c r="C94" s="30">
        <v>495</v>
      </c>
      <c r="D94" s="204">
        <v>662</v>
      </c>
      <c r="E94" s="30"/>
      <c r="F94" s="29" t="s">
        <v>49</v>
      </c>
      <c r="G94" s="30">
        <v>694</v>
      </c>
      <c r="H94" s="204">
        <v>950</v>
      </c>
      <c r="I94" s="30"/>
      <c r="J94" s="29" t="s">
        <v>49</v>
      </c>
      <c r="K94" s="30">
        <v>723</v>
      </c>
      <c r="L94" s="204">
        <v>929</v>
      </c>
      <c r="M94" s="30"/>
      <c r="N94" s="29" t="s">
        <v>49</v>
      </c>
      <c r="O94" s="30">
        <v>278</v>
      </c>
      <c r="P94" s="204">
        <v>403</v>
      </c>
      <c r="Q94" s="30"/>
      <c r="R94" s="29" t="s">
        <v>49</v>
      </c>
      <c r="S94" s="30">
        <v>199</v>
      </c>
      <c r="T94" s="204">
        <v>197</v>
      </c>
      <c r="U94" s="30"/>
      <c r="V94" s="29" t="s">
        <v>49</v>
      </c>
      <c r="W94" s="30">
        <v>118</v>
      </c>
      <c r="X94" s="204">
        <v>153</v>
      </c>
      <c r="Y94" s="30"/>
      <c r="Z94" s="29" t="s">
        <v>49</v>
      </c>
      <c r="AA94" s="30">
        <v>250</v>
      </c>
      <c r="AB94" s="204">
        <v>242</v>
      </c>
      <c r="AC94" s="29"/>
      <c r="AD94" s="29" t="s">
        <v>49</v>
      </c>
      <c r="AE94" s="30">
        <v>95</v>
      </c>
      <c r="AF94" s="204">
        <v>121</v>
      </c>
      <c r="AG94" s="30"/>
      <c r="AH94" s="29" t="s">
        <v>49</v>
      </c>
      <c r="AI94" s="30">
        <v>96</v>
      </c>
      <c r="AJ94" s="204">
        <v>149</v>
      </c>
      <c r="AK94" s="30"/>
      <c r="AL94" s="29" t="s">
        <v>49</v>
      </c>
      <c r="AM94" s="30">
        <v>70</v>
      </c>
      <c r="AN94" s="206">
        <v>103</v>
      </c>
    </row>
    <row r="95" spans="1:40" outlineLevel="1" x14ac:dyDescent="0.25">
      <c r="A95" s="28"/>
      <c r="B95" s="29" t="s">
        <v>51</v>
      </c>
      <c r="C95" s="30">
        <v>118</v>
      </c>
      <c r="D95" s="204">
        <v>262</v>
      </c>
      <c r="E95" s="30"/>
      <c r="F95" s="29" t="s">
        <v>51</v>
      </c>
      <c r="G95" s="30">
        <v>160</v>
      </c>
      <c r="H95" s="204">
        <v>370</v>
      </c>
      <c r="I95" s="30"/>
      <c r="J95" s="29" t="s">
        <v>51</v>
      </c>
      <c r="K95" s="30">
        <v>188</v>
      </c>
      <c r="L95" s="204">
        <v>375</v>
      </c>
      <c r="M95" s="30"/>
      <c r="N95" s="29" t="s">
        <v>51</v>
      </c>
      <c r="O95" s="30">
        <v>75</v>
      </c>
      <c r="P95" s="204">
        <v>143</v>
      </c>
      <c r="Q95" s="30"/>
      <c r="R95" s="29" t="s">
        <v>51</v>
      </c>
      <c r="S95" s="30">
        <v>48</v>
      </c>
      <c r="T95" s="204">
        <v>71</v>
      </c>
      <c r="U95" s="30"/>
      <c r="V95" s="29" t="s">
        <v>51</v>
      </c>
      <c r="W95" s="30">
        <v>24</v>
      </c>
      <c r="X95" s="204">
        <v>72</v>
      </c>
      <c r="Y95" s="30"/>
      <c r="Z95" s="29" t="s">
        <v>51</v>
      </c>
      <c r="AA95" s="30">
        <v>56</v>
      </c>
      <c r="AB95" s="204">
        <v>91</v>
      </c>
      <c r="AC95" s="29"/>
      <c r="AD95" s="29" t="s">
        <v>51</v>
      </c>
      <c r="AE95" s="30">
        <v>24</v>
      </c>
      <c r="AF95" s="204">
        <v>38</v>
      </c>
      <c r="AG95" s="30"/>
      <c r="AH95" s="29" t="s">
        <v>51</v>
      </c>
      <c r="AI95" s="30">
        <v>23</v>
      </c>
      <c r="AJ95" s="204">
        <v>53</v>
      </c>
      <c r="AK95" s="30"/>
      <c r="AL95" s="29" t="s">
        <v>51</v>
      </c>
      <c r="AM95" s="30">
        <v>17</v>
      </c>
      <c r="AN95" s="206">
        <v>32</v>
      </c>
    </row>
    <row r="96" spans="1:40" ht="19.5" outlineLevel="1" thickBot="1" x14ac:dyDescent="0.3">
      <c r="A96" s="34"/>
      <c r="B96" s="35" t="s">
        <v>53</v>
      </c>
      <c r="C96" s="36">
        <v>22</v>
      </c>
      <c r="D96" s="205">
        <v>48</v>
      </c>
      <c r="E96" s="36"/>
      <c r="F96" s="35" t="s">
        <v>53</v>
      </c>
      <c r="G96" s="36">
        <v>37</v>
      </c>
      <c r="H96" s="205">
        <v>58</v>
      </c>
      <c r="I96" s="36"/>
      <c r="J96" s="35" t="s">
        <v>53</v>
      </c>
      <c r="K96" s="36">
        <v>21</v>
      </c>
      <c r="L96" s="205">
        <v>50</v>
      </c>
      <c r="M96" s="36"/>
      <c r="N96" s="35" t="s">
        <v>53</v>
      </c>
      <c r="O96" s="36">
        <v>12</v>
      </c>
      <c r="P96" s="205">
        <v>23</v>
      </c>
      <c r="Q96" s="36"/>
      <c r="R96" s="35" t="s">
        <v>53</v>
      </c>
      <c r="S96" s="36">
        <v>7</v>
      </c>
      <c r="T96" s="205">
        <v>18</v>
      </c>
      <c r="U96" s="36"/>
      <c r="V96" s="35" t="s">
        <v>53</v>
      </c>
      <c r="W96" s="36">
        <v>3</v>
      </c>
      <c r="X96" s="205">
        <v>7</v>
      </c>
      <c r="Y96" s="36"/>
      <c r="Z96" s="35" t="s">
        <v>53</v>
      </c>
      <c r="AA96" s="36">
        <v>6</v>
      </c>
      <c r="AB96" s="205">
        <v>22</v>
      </c>
      <c r="AC96" s="35"/>
      <c r="AD96" s="35" t="s">
        <v>53</v>
      </c>
      <c r="AE96" s="36">
        <v>7</v>
      </c>
      <c r="AF96" s="205">
        <v>8</v>
      </c>
      <c r="AG96" s="36"/>
      <c r="AH96" s="35" t="s">
        <v>53</v>
      </c>
      <c r="AI96" s="36">
        <v>0</v>
      </c>
      <c r="AJ96" s="205">
        <v>4</v>
      </c>
      <c r="AK96" s="36"/>
      <c r="AL96" s="35" t="s">
        <v>53</v>
      </c>
      <c r="AM96" s="36">
        <v>2</v>
      </c>
      <c r="AN96" s="208">
        <v>6</v>
      </c>
    </row>
    <row r="97" spans="1:40" outlineLevel="1" x14ac:dyDescent="0.25">
      <c r="A97" s="44"/>
      <c r="B97" s="44" t="s">
        <v>79</v>
      </c>
      <c r="C97" s="45">
        <f>SUM(C66:C73,C89:C96)</f>
        <v>11897</v>
      </c>
      <c r="D97" s="45">
        <f>SUM(D66:D73,D89:D96)</f>
        <v>12751</v>
      </c>
      <c r="E97" s="45"/>
      <c r="F97" s="44" t="s">
        <v>79</v>
      </c>
      <c r="G97" s="45">
        <f>SUM(G66:G73,G89:G96)</f>
        <v>19691</v>
      </c>
      <c r="H97" s="45">
        <f>SUM(H66:H73,H89:H96)</f>
        <v>20963</v>
      </c>
      <c r="I97" s="45"/>
      <c r="J97" s="44" t="s">
        <v>79</v>
      </c>
      <c r="K97" s="45">
        <f>SUM(K66:K73,K89:K96)</f>
        <v>19778</v>
      </c>
      <c r="L97" s="45">
        <f>SUM(L66:L73,L89:L96)</f>
        <v>20717</v>
      </c>
      <c r="M97" s="45"/>
      <c r="N97" s="44" t="s">
        <v>79</v>
      </c>
      <c r="O97" s="45">
        <f>SUM(O66:O73,O89:O96)</f>
        <v>7611</v>
      </c>
      <c r="P97" s="45">
        <f>SUM(P66:P73,P89:P96)</f>
        <v>8675</v>
      </c>
      <c r="Q97" s="45"/>
      <c r="R97" s="44" t="s">
        <v>79</v>
      </c>
      <c r="S97" s="45">
        <f>SUM(S66:S73,S89:S96)</f>
        <v>4132</v>
      </c>
      <c r="T97" s="45">
        <f>SUM(T66:T73,T89:T96)</f>
        <v>4150</v>
      </c>
      <c r="U97" s="45"/>
      <c r="V97" s="44" t="s">
        <v>79</v>
      </c>
      <c r="W97" s="45">
        <f>SUM(W66:W73,W89:W96)</f>
        <v>3351</v>
      </c>
      <c r="X97" s="45">
        <f>SUM(X66:X73,X89:X96)</f>
        <v>3499</v>
      </c>
      <c r="Y97" s="45"/>
      <c r="Z97" s="44" t="s">
        <v>79</v>
      </c>
      <c r="AA97" s="45">
        <f>SUM(AA66:AA73,AA89:AA96)</f>
        <v>5117</v>
      </c>
      <c r="AB97" s="45">
        <f>SUM(AB66:AB73,AB89:AB96)</f>
        <v>5044</v>
      </c>
      <c r="AC97" s="45"/>
      <c r="AD97" s="44" t="s">
        <v>79</v>
      </c>
      <c r="AE97" s="45">
        <f>SUM(AE66:AE73,AE89:AE96)</f>
        <v>2094</v>
      </c>
      <c r="AF97" s="45">
        <f>SUM(AF66:AF73,AF89:AF96)</f>
        <v>2491</v>
      </c>
      <c r="AG97" s="45"/>
      <c r="AH97" s="44" t="s">
        <v>79</v>
      </c>
      <c r="AI97" s="45">
        <f>SUM(AI66:AI73,AI89:AI96)</f>
        <v>3048</v>
      </c>
      <c r="AJ97" s="45">
        <f>SUM(AJ66:AJ73,AJ89:AJ96)</f>
        <v>3592</v>
      </c>
      <c r="AK97" s="45"/>
      <c r="AL97" s="44" t="s">
        <v>79</v>
      </c>
      <c r="AM97" s="45">
        <f>SUM(AM66:AM73,AM89:AM96)</f>
        <v>1722</v>
      </c>
      <c r="AN97" s="45">
        <f>SUM(AN66:AN73,AN89:AN96)</f>
        <v>2027</v>
      </c>
    </row>
    <row r="98" spans="1:40" ht="19.5" thickBot="1" x14ac:dyDescent="0.3">
      <c r="A98" s="39"/>
      <c r="B98" s="39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</row>
    <row r="99" spans="1:40" outlineLevel="1" x14ac:dyDescent="0.25">
      <c r="A99" s="169" t="s">
        <v>225</v>
      </c>
      <c r="B99" s="25"/>
      <c r="C99" s="26" t="s">
        <v>1</v>
      </c>
      <c r="D99" s="211" t="s">
        <v>224</v>
      </c>
      <c r="E99" s="165" t="s">
        <v>226</v>
      </c>
      <c r="F99" s="25"/>
      <c r="G99" s="26" t="s">
        <v>1</v>
      </c>
      <c r="H99" s="26" t="s">
        <v>217</v>
      </c>
      <c r="I99" s="165" t="s">
        <v>227</v>
      </c>
      <c r="J99" s="25"/>
      <c r="K99" s="26" t="s">
        <v>1</v>
      </c>
      <c r="L99" s="26" t="s">
        <v>217</v>
      </c>
      <c r="M99" s="165" t="s">
        <v>228</v>
      </c>
      <c r="N99" s="25"/>
      <c r="O99" s="26" t="s">
        <v>1</v>
      </c>
      <c r="P99" s="26" t="s">
        <v>217</v>
      </c>
      <c r="Q99" s="165" t="s">
        <v>229</v>
      </c>
      <c r="R99" s="25"/>
      <c r="S99" s="26" t="s">
        <v>1</v>
      </c>
      <c r="T99" s="26" t="s">
        <v>217</v>
      </c>
      <c r="U99" s="165" t="s">
        <v>230</v>
      </c>
      <c r="V99" s="25"/>
      <c r="W99" s="26" t="s">
        <v>1</v>
      </c>
      <c r="X99" s="26" t="s">
        <v>217</v>
      </c>
      <c r="Y99" s="165" t="s">
        <v>231</v>
      </c>
      <c r="Z99" s="25"/>
      <c r="AA99" s="26" t="s">
        <v>1</v>
      </c>
      <c r="AB99" s="26" t="s">
        <v>217</v>
      </c>
      <c r="AC99" s="165" t="s">
        <v>232</v>
      </c>
      <c r="AD99" s="25"/>
      <c r="AE99" s="26" t="s">
        <v>1</v>
      </c>
      <c r="AF99" s="26" t="s">
        <v>217</v>
      </c>
      <c r="AG99" s="165" t="s">
        <v>233</v>
      </c>
      <c r="AH99" s="25"/>
      <c r="AI99" s="26" t="s">
        <v>1</v>
      </c>
      <c r="AJ99" s="26" t="s">
        <v>217</v>
      </c>
      <c r="AK99" s="165" t="s">
        <v>234</v>
      </c>
      <c r="AL99" s="25"/>
      <c r="AM99" s="26" t="s">
        <v>1</v>
      </c>
      <c r="AN99" s="27" t="s">
        <v>217</v>
      </c>
    </row>
    <row r="100" spans="1:40" customFormat="1" outlineLevel="1" x14ac:dyDescent="0.25">
      <c r="A100" s="202">
        <v>1326</v>
      </c>
      <c r="B100" s="172"/>
      <c r="C100" s="166" t="s">
        <v>13</v>
      </c>
      <c r="D100" s="166"/>
      <c r="E100" s="172">
        <v>1329</v>
      </c>
      <c r="F100" s="172"/>
      <c r="G100" s="166" t="s">
        <v>13</v>
      </c>
      <c r="H100" s="166"/>
      <c r="I100" s="172">
        <v>1332</v>
      </c>
      <c r="J100" s="172"/>
      <c r="K100" s="166" t="s">
        <v>13</v>
      </c>
      <c r="L100" s="166"/>
      <c r="M100" s="172">
        <v>1335</v>
      </c>
      <c r="N100" s="172"/>
      <c r="O100" s="166" t="s">
        <v>13</v>
      </c>
      <c r="P100" s="166"/>
      <c r="Q100" s="172">
        <v>1341</v>
      </c>
      <c r="R100" s="172"/>
      <c r="S100" s="166" t="s">
        <v>13</v>
      </c>
      <c r="T100" s="166"/>
      <c r="U100" s="172">
        <v>1344</v>
      </c>
      <c r="V100" s="172"/>
      <c r="W100" s="166" t="s">
        <v>13</v>
      </c>
      <c r="X100" s="166"/>
      <c r="Y100" s="172">
        <v>1347</v>
      </c>
      <c r="Z100" s="172"/>
      <c r="AA100" s="166" t="s">
        <v>13</v>
      </c>
      <c r="AB100" s="166"/>
      <c r="AC100" s="172">
        <v>1350</v>
      </c>
      <c r="AD100" s="172"/>
      <c r="AE100" s="166" t="s">
        <v>13</v>
      </c>
      <c r="AF100" s="166"/>
      <c r="AG100" s="172">
        <v>1356</v>
      </c>
      <c r="AH100" s="172"/>
      <c r="AI100" s="166" t="s">
        <v>13</v>
      </c>
      <c r="AJ100" s="166"/>
      <c r="AK100" s="172">
        <v>1359</v>
      </c>
      <c r="AL100" s="172"/>
      <c r="AM100" s="166" t="s">
        <v>13</v>
      </c>
      <c r="AN100" s="207"/>
    </row>
    <row r="101" spans="1:40" outlineLevel="1" x14ac:dyDescent="0.25">
      <c r="A101" s="28"/>
      <c r="B101" s="29" t="s">
        <v>18</v>
      </c>
      <c r="C101" s="30">
        <v>3056</v>
      </c>
      <c r="D101" s="204">
        <v>2300</v>
      </c>
      <c r="E101" s="29"/>
      <c r="F101" s="29" t="s">
        <v>18</v>
      </c>
      <c r="G101" s="30">
        <v>308</v>
      </c>
      <c r="H101" s="204">
        <v>243</v>
      </c>
      <c r="I101" s="29"/>
      <c r="J101" s="29" t="s">
        <v>18</v>
      </c>
      <c r="K101" s="30">
        <v>2259</v>
      </c>
      <c r="L101" s="204">
        <v>1781</v>
      </c>
      <c r="M101" s="29"/>
      <c r="N101" s="29" t="s">
        <v>18</v>
      </c>
      <c r="O101" s="30">
        <v>8371</v>
      </c>
      <c r="P101" s="204">
        <v>6421</v>
      </c>
      <c r="Q101" s="29"/>
      <c r="R101" s="29" t="s">
        <v>18</v>
      </c>
      <c r="S101" s="30">
        <v>1521</v>
      </c>
      <c r="T101" s="204">
        <v>1192</v>
      </c>
      <c r="U101" s="29"/>
      <c r="V101" s="29" t="s">
        <v>18</v>
      </c>
      <c r="W101" s="30">
        <v>3415</v>
      </c>
      <c r="X101" s="204">
        <v>2563</v>
      </c>
      <c r="Y101" s="29"/>
      <c r="Z101" s="29" t="s">
        <v>18</v>
      </c>
      <c r="AA101" s="30">
        <v>1808</v>
      </c>
      <c r="AB101" s="204">
        <v>1541</v>
      </c>
      <c r="AC101" s="29"/>
      <c r="AD101" s="29" t="s">
        <v>18</v>
      </c>
      <c r="AE101" s="30">
        <v>7442</v>
      </c>
      <c r="AF101" s="204">
        <v>5995</v>
      </c>
      <c r="AG101" s="29"/>
      <c r="AH101" s="29" t="s">
        <v>18</v>
      </c>
      <c r="AI101" s="30">
        <v>8188</v>
      </c>
      <c r="AJ101" s="204">
        <v>6792</v>
      </c>
      <c r="AK101" s="29"/>
      <c r="AL101" s="29" t="s">
        <v>18</v>
      </c>
      <c r="AM101" s="30">
        <v>1586</v>
      </c>
      <c r="AN101" s="206">
        <v>1428</v>
      </c>
    </row>
    <row r="102" spans="1:40" outlineLevel="1" x14ac:dyDescent="0.25">
      <c r="A102" s="28"/>
      <c r="B102" s="29" t="s">
        <v>20</v>
      </c>
      <c r="C102" s="30">
        <v>84</v>
      </c>
      <c r="D102" s="204">
        <v>27</v>
      </c>
      <c r="E102" s="29"/>
      <c r="F102" s="29" t="s">
        <v>20</v>
      </c>
      <c r="G102" s="30">
        <v>17</v>
      </c>
      <c r="H102" s="204">
        <v>7</v>
      </c>
      <c r="I102" s="29"/>
      <c r="J102" s="29" t="s">
        <v>20</v>
      </c>
      <c r="K102" s="30">
        <v>68</v>
      </c>
      <c r="L102" s="204">
        <v>33</v>
      </c>
      <c r="M102" s="29"/>
      <c r="N102" s="29" t="s">
        <v>20</v>
      </c>
      <c r="O102" s="30">
        <v>228</v>
      </c>
      <c r="P102" s="204">
        <v>115</v>
      </c>
      <c r="Q102" s="29"/>
      <c r="R102" s="29" t="s">
        <v>20</v>
      </c>
      <c r="S102" s="30">
        <v>43</v>
      </c>
      <c r="T102" s="204">
        <v>8</v>
      </c>
      <c r="U102" s="29"/>
      <c r="V102" s="29" t="s">
        <v>20</v>
      </c>
      <c r="W102" s="30">
        <v>91</v>
      </c>
      <c r="X102" s="204">
        <v>50</v>
      </c>
      <c r="Y102" s="29"/>
      <c r="Z102" s="29" t="s">
        <v>20</v>
      </c>
      <c r="AA102" s="30">
        <v>83</v>
      </c>
      <c r="AB102" s="204">
        <v>31</v>
      </c>
      <c r="AC102" s="29"/>
      <c r="AD102" s="29" t="s">
        <v>20</v>
      </c>
      <c r="AE102" s="30">
        <v>288</v>
      </c>
      <c r="AF102" s="204">
        <v>111</v>
      </c>
      <c r="AG102" s="29"/>
      <c r="AH102" s="29" t="s">
        <v>20</v>
      </c>
      <c r="AI102" s="30">
        <v>294</v>
      </c>
      <c r="AJ102" s="204">
        <v>155</v>
      </c>
      <c r="AK102" s="29"/>
      <c r="AL102" s="29" t="s">
        <v>20</v>
      </c>
      <c r="AM102" s="30">
        <v>66</v>
      </c>
      <c r="AN102" s="206">
        <v>38</v>
      </c>
    </row>
    <row r="103" spans="1:40" outlineLevel="1" x14ac:dyDescent="0.25">
      <c r="A103" s="28"/>
      <c r="B103" s="29" t="s">
        <v>22</v>
      </c>
      <c r="C103" s="30">
        <v>114</v>
      </c>
      <c r="D103" s="204">
        <v>50</v>
      </c>
      <c r="E103" s="29"/>
      <c r="F103" s="29" t="s">
        <v>22</v>
      </c>
      <c r="G103" s="30">
        <v>11</v>
      </c>
      <c r="H103" s="204">
        <v>8</v>
      </c>
      <c r="I103" s="29"/>
      <c r="J103" s="29" t="s">
        <v>22</v>
      </c>
      <c r="K103" s="30">
        <v>76</v>
      </c>
      <c r="L103" s="204">
        <v>57</v>
      </c>
      <c r="M103" s="29"/>
      <c r="N103" s="29" t="s">
        <v>22</v>
      </c>
      <c r="O103" s="30">
        <v>327</v>
      </c>
      <c r="P103" s="204">
        <v>159</v>
      </c>
      <c r="Q103" s="29"/>
      <c r="R103" s="29" t="s">
        <v>22</v>
      </c>
      <c r="S103" s="30">
        <v>76</v>
      </c>
      <c r="T103" s="204">
        <v>26</v>
      </c>
      <c r="U103" s="29"/>
      <c r="V103" s="29" t="s">
        <v>22</v>
      </c>
      <c r="W103" s="30">
        <v>82</v>
      </c>
      <c r="X103" s="204">
        <v>56</v>
      </c>
      <c r="Y103" s="29"/>
      <c r="Z103" s="29" t="s">
        <v>22</v>
      </c>
      <c r="AA103" s="30">
        <v>79</v>
      </c>
      <c r="AB103" s="204">
        <v>55</v>
      </c>
      <c r="AC103" s="29"/>
      <c r="AD103" s="29" t="s">
        <v>22</v>
      </c>
      <c r="AE103" s="30">
        <v>282</v>
      </c>
      <c r="AF103" s="204">
        <v>199</v>
      </c>
      <c r="AG103" s="29"/>
      <c r="AH103" s="29" t="s">
        <v>22</v>
      </c>
      <c r="AI103" s="30">
        <v>326</v>
      </c>
      <c r="AJ103" s="204">
        <v>240</v>
      </c>
      <c r="AK103" s="29"/>
      <c r="AL103" s="29" t="s">
        <v>22</v>
      </c>
      <c r="AM103" s="30">
        <v>91</v>
      </c>
      <c r="AN103" s="206">
        <v>78</v>
      </c>
    </row>
    <row r="104" spans="1:40" outlineLevel="1" x14ac:dyDescent="0.25">
      <c r="A104" s="28"/>
      <c r="B104" s="29" t="s">
        <v>23</v>
      </c>
      <c r="C104" s="30">
        <v>126</v>
      </c>
      <c r="D104" s="204">
        <v>60</v>
      </c>
      <c r="E104" s="29"/>
      <c r="F104" s="29" t="s">
        <v>23</v>
      </c>
      <c r="G104" s="30">
        <v>17</v>
      </c>
      <c r="H104" s="204">
        <v>16</v>
      </c>
      <c r="I104" s="29"/>
      <c r="J104" s="29" t="s">
        <v>23</v>
      </c>
      <c r="K104" s="30">
        <v>87</v>
      </c>
      <c r="L104" s="204">
        <v>60</v>
      </c>
      <c r="M104" s="29"/>
      <c r="N104" s="29" t="s">
        <v>23</v>
      </c>
      <c r="O104" s="30">
        <v>371</v>
      </c>
      <c r="P104" s="204">
        <v>177</v>
      </c>
      <c r="Q104" s="29"/>
      <c r="R104" s="29" t="s">
        <v>23</v>
      </c>
      <c r="S104" s="30">
        <v>85</v>
      </c>
      <c r="T104" s="204">
        <v>35</v>
      </c>
      <c r="U104" s="29"/>
      <c r="V104" s="29" t="s">
        <v>23</v>
      </c>
      <c r="W104" s="30">
        <v>106</v>
      </c>
      <c r="X104" s="204">
        <v>77</v>
      </c>
      <c r="Y104" s="29"/>
      <c r="Z104" s="29" t="s">
        <v>23</v>
      </c>
      <c r="AA104" s="30">
        <v>83</v>
      </c>
      <c r="AB104" s="204">
        <v>77</v>
      </c>
      <c r="AC104" s="29"/>
      <c r="AD104" s="29" t="s">
        <v>23</v>
      </c>
      <c r="AE104" s="30">
        <v>365</v>
      </c>
      <c r="AF104" s="204">
        <v>251</v>
      </c>
      <c r="AG104" s="29"/>
      <c r="AH104" s="29" t="s">
        <v>23</v>
      </c>
      <c r="AI104" s="30">
        <v>415</v>
      </c>
      <c r="AJ104" s="204">
        <v>278</v>
      </c>
      <c r="AK104" s="29"/>
      <c r="AL104" s="29" t="s">
        <v>23</v>
      </c>
      <c r="AM104" s="30">
        <v>86</v>
      </c>
      <c r="AN104" s="206">
        <v>69</v>
      </c>
    </row>
    <row r="105" spans="1:40" outlineLevel="1" x14ac:dyDescent="0.25">
      <c r="A105" s="28"/>
      <c r="B105" s="29" t="s">
        <v>24</v>
      </c>
      <c r="C105" s="30">
        <v>149</v>
      </c>
      <c r="D105" s="204">
        <v>113</v>
      </c>
      <c r="E105" s="29"/>
      <c r="F105" s="29" t="s">
        <v>24</v>
      </c>
      <c r="G105" s="30">
        <v>14</v>
      </c>
      <c r="H105" s="204">
        <v>8</v>
      </c>
      <c r="I105" s="29"/>
      <c r="J105" s="29" t="s">
        <v>24</v>
      </c>
      <c r="K105" s="30">
        <v>97</v>
      </c>
      <c r="L105" s="204">
        <v>74</v>
      </c>
      <c r="M105" s="29"/>
      <c r="N105" s="29" t="s">
        <v>24</v>
      </c>
      <c r="O105" s="30">
        <v>377</v>
      </c>
      <c r="P105" s="204">
        <v>266</v>
      </c>
      <c r="Q105" s="29"/>
      <c r="R105" s="29" t="s">
        <v>24</v>
      </c>
      <c r="S105" s="30">
        <v>75</v>
      </c>
      <c r="T105" s="204">
        <v>55</v>
      </c>
      <c r="U105" s="29"/>
      <c r="V105" s="29" t="s">
        <v>24</v>
      </c>
      <c r="W105" s="30">
        <v>168</v>
      </c>
      <c r="X105" s="204">
        <v>82</v>
      </c>
      <c r="Y105" s="29"/>
      <c r="Z105" s="29" t="s">
        <v>24</v>
      </c>
      <c r="AA105" s="30">
        <v>87</v>
      </c>
      <c r="AB105" s="204">
        <v>73</v>
      </c>
      <c r="AC105" s="29"/>
      <c r="AD105" s="29" t="s">
        <v>24</v>
      </c>
      <c r="AE105" s="30">
        <v>396</v>
      </c>
      <c r="AF105" s="204">
        <v>258</v>
      </c>
      <c r="AG105" s="29"/>
      <c r="AH105" s="29" t="s">
        <v>24</v>
      </c>
      <c r="AI105" s="30">
        <v>467</v>
      </c>
      <c r="AJ105" s="204">
        <v>301</v>
      </c>
      <c r="AK105" s="29"/>
      <c r="AL105" s="29" t="s">
        <v>24</v>
      </c>
      <c r="AM105" s="30">
        <v>91</v>
      </c>
      <c r="AN105" s="206">
        <v>88</v>
      </c>
    </row>
    <row r="106" spans="1:40" outlineLevel="1" x14ac:dyDescent="0.25">
      <c r="A106" s="28"/>
      <c r="B106" s="29" t="s">
        <v>25</v>
      </c>
      <c r="C106" s="30">
        <v>112</v>
      </c>
      <c r="D106" s="204">
        <v>75</v>
      </c>
      <c r="E106" s="29"/>
      <c r="F106" s="29" t="s">
        <v>25</v>
      </c>
      <c r="G106" s="30">
        <v>14</v>
      </c>
      <c r="H106" s="204">
        <v>4</v>
      </c>
      <c r="I106" s="29"/>
      <c r="J106" s="29" t="s">
        <v>25</v>
      </c>
      <c r="K106" s="30">
        <v>70</v>
      </c>
      <c r="L106" s="204">
        <v>75</v>
      </c>
      <c r="M106" s="29"/>
      <c r="N106" s="29" t="s">
        <v>25</v>
      </c>
      <c r="O106" s="30">
        <v>339</v>
      </c>
      <c r="P106" s="204">
        <v>222</v>
      </c>
      <c r="Q106" s="29"/>
      <c r="R106" s="29" t="s">
        <v>25</v>
      </c>
      <c r="S106" s="30">
        <v>65</v>
      </c>
      <c r="T106" s="204">
        <v>59</v>
      </c>
      <c r="U106" s="29"/>
      <c r="V106" s="29" t="s">
        <v>25</v>
      </c>
      <c r="W106" s="30">
        <v>154</v>
      </c>
      <c r="X106" s="204">
        <v>55</v>
      </c>
      <c r="Y106" s="29"/>
      <c r="Z106" s="29" t="s">
        <v>25</v>
      </c>
      <c r="AA106" s="30">
        <v>71</v>
      </c>
      <c r="AB106" s="204">
        <v>62</v>
      </c>
      <c r="AC106" s="29"/>
      <c r="AD106" s="29" t="s">
        <v>25</v>
      </c>
      <c r="AE106" s="30">
        <v>350</v>
      </c>
      <c r="AF106" s="204">
        <v>219</v>
      </c>
      <c r="AG106" s="29"/>
      <c r="AH106" s="29" t="s">
        <v>25</v>
      </c>
      <c r="AI106" s="30">
        <v>385</v>
      </c>
      <c r="AJ106" s="204">
        <v>280</v>
      </c>
      <c r="AK106" s="29"/>
      <c r="AL106" s="29" t="s">
        <v>25</v>
      </c>
      <c r="AM106" s="30">
        <v>70</v>
      </c>
      <c r="AN106" s="206">
        <v>63</v>
      </c>
    </row>
    <row r="107" spans="1:40" outlineLevel="1" x14ac:dyDescent="0.25">
      <c r="A107" s="28"/>
      <c r="B107" s="29" t="s">
        <v>26</v>
      </c>
      <c r="C107" s="30">
        <v>94</v>
      </c>
      <c r="D107" s="204">
        <v>61</v>
      </c>
      <c r="E107" s="29"/>
      <c r="F107" s="29" t="s">
        <v>26</v>
      </c>
      <c r="G107" s="30">
        <v>13</v>
      </c>
      <c r="H107" s="204">
        <v>7</v>
      </c>
      <c r="I107" s="29"/>
      <c r="J107" s="29" t="s">
        <v>26</v>
      </c>
      <c r="K107" s="30">
        <v>73</v>
      </c>
      <c r="L107" s="204">
        <v>58</v>
      </c>
      <c r="M107" s="29"/>
      <c r="N107" s="29" t="s">
        <v>26</v>
      </c>
      <c r="O107" s="30">
        <v>329</v>
      </c>
      <c r="P107" s="204">
        <v>229</v>
      </c>
      <c r="Q107" s="29"/>
      <c r="R107" s="29" t="s">
        <v>26</v>
      </c>
      <c r="S107" s="30">
        <v>59</v>
      </c>
      <c r="T107" s="204">
        <v>33</v>
      </c>
      <c r="U107" s="29"/>
      <c r="V107" s="29" t="s">
        <v>26</v>
      </c>
      <c r="W107" s="30">
        <v>126</v>
      </c>
      <c r="X107" s="204">
        <v>73</v>
      </c>
      <c r="Y107" s="29"/>
      <c r="Z107" s="29" t="s">
        <v>26</v>
      </c>
      <c r="AA107" s="30">
        <v>96</v>
      </c>
      <c r="AB107" s="204">
        <v>46</v>
      </c>
      <c r="AC107" s="29"/>
      <c r="AD107" s="29" t="s">
        <v>26</v>
      </c>
      <c r="AE107" s="30">
        <v>329</v>
      </c>
      <c r="AF107" s="204">
        <v>224</v>
      </c>
      <c r="AG107" s="29"/>
      <c r="AH107" s="29" t="s">
        <v>26</v>
      </c>
      <c r="AI107" s="30">
        <v>411</v>
      </c>
      <c r="AJ107" s="204">
        <v>266</v>
      </c>
      <c r="AK107" s="29"/>
      <c r="AL107" s="29" t="s">
        <v>26</v>
      </c>
      <c r="AM107" s="30">
        <v>55</v>
      </c>
      <c r="AN107" s="206">
        <v>32</v>
      </c>
    </row>
    <row r="108" spans="1:40" outlineLevel="1" x14ac:dyDescent="0.25">
      <c r="A108" s="28"/>
      <c r="B108" s="29" t="s">
        <v>27</v>
      </c>
      <c r="C108" s="30">
        <v>114</v>
      </c>
      <c r="D108" s="204">
        <v>66</v>
      </c>
      <c r="E108" s="29"/>
      <c r="F108" s="29" t="s">
        <v>27</v>
      </c>
      <c r="G108" s="30">
        <v>13</v>
      </c>
      <c r="H108" s="204">
        <v>7</v>
      </c>
      <c r="I108" s="29"/>
      <c r="J108" s="29" t="s">
        <v>27</v>
      </c>
      <c r="K108" s="30">
        <v>98</v>
      </c>
      <c r="L108" s="204">
        <v>65</v>
      </c>
      <c r="M108" s="29"/>
      <c r="N108" s="29" t="s">
        <v>27</v>
      </c>
      <c r="O108" s="30">
        <v>351</v>
      </c>
      <c r="P108" s="204">
        <v>251</v>
      </c>
      <c r="Q108" s="29"/>
      <c r="R108" s="29" t="s">
        <v>27</v>
      </c>
      <c r="S108" s="30">
        <v>78</v>
      </c>
      <c r="T108" s="204">
        <v>40</v>
      </c>
      <c r="U108" s="29"/>
      <c r="V108" s="29" t="s">
        <v>27</v>
      </c>
      <c r="W108" s="30">
        <v>117</v>
      </c>
      <c r="X108" s="204">
        <v>105</v>
      </c>
      <c r="Y108" s="29"/>
      <c r="Z108" s="29" t="s">
        <v>27</v>
      </c>
      <c r="AA108" s="30">
        <v>108</v>
      </c>
      <c r="AB108" s="204">
        <v>44</v>
      </c>
      <c r="AC108" s="29"/>
      <c r="AD108" s="29" t="s">
        <v>27</v>
      </c>
      <c r="AE108" s="30">
        <v>398</v>
      </c>
      <c r="AF108" s="204">
        <v>232</v>
      </c>
      <c r="AG108" s="29"/>
      <c r="AH108" s="29" t="s">
        <v>27</v>
      </c>
      <c r="AI108" s="30">
        <v>452</v>
      </c>
      <c r="AJ108" s="204">
        <v>270</v>
      </c>
      <c r="AK108" s="29"/>
      <c r="AL108" s="29" t="s">
        <v>27</v>
      </c>
      <c r="AM108" s="30">
        <v>74</v>
      </c>
      <c r="AN108" s="206">
        <v>64</v>
      </c>
    </row>
    <row r="109" spans="1:40" outlineLevel="1" x14ac:dyDescent="0.25">
      <c r="A109" s="28"/>
      <c r="B109" s="29" t="s">
        <v>28</v>
      </c>
      <c r="C109" s="30">
        <v>147</v>
      </c>
      <c r="D109" s="204">
        <v>71</v>
      </c>
      <c r="E109" s="29"/>
      <c r="F109" s="29" t="s">
        <v>28</v>
      </c>
      <c r="G109" s="30">
        <v>13</v>
      </c>
      <c r="H109" s="204">
        <v>13</v>
      </c>
      <c r="I109" s="29"/>
      <c r="J109" s="29" t="s">
        <v>28</v>
      </c>
      <c r="K109" s="30">
        <v>111</v>
      </c>
      <c r="L109" s="204">
        <v>57</v>
      </c>
      <c r="M109" s="29"/>
      <c r="N109" s="29" t="s">
        <v>28</v>
      </c>
      <c r="O109" s="30">
        <v>412</v>
      </c>
      <c r="P109" s="204">
        <v>262</v>
      </c>
      <c r="Q109" s="29"/>
      <c r="R109" s="29" t="s">
        <v>28</v>
      </c>
      <c r="S109" s="30">
        <v>86</v>
      </c>
      <c r="T109" s="204">
        <v>48</v>
      </c>
      <c r="U109" s="29"/>
      <c r="V109" s="29" t="s">
        <v>28</v>
      </c>
      <c r="W109" s="30">
        <v>159</v>
      </c>
      <c r="X109" s="204">
        <v>115</v>
      </c>
      <c r="Y109" s="29"/>
      <c r="Z109" s="29" t="s">
        <v>28</v>
      </c>
      <c r="AA109" s="30">
        <v>102</v>
      </c>
      <c r="AB109" s="204">
        <v>94</v>
      </c>
      <c r="AC109" s="29"/>
      <c r="AD109" s="29" t="s">
        <v>28</v>
      </c>
      <c r="AE109" s="30">
        <v>439</v>
      </c>
      <c r="AF109" s="204">
        <v>276</v>
      </c>
      <c r="AG109" s="29"/>
      <c r="AH109" s="29" t="s">
        <v>28</v>
      </c>
      <c r="AI109" s="30">
        <v>466</v>
      </c>
      <c r="AJ109" s="204">
        <v>384</v>
      </c>
      <c r="AK109" s="29"/>
      <c r="AL109" s="29" t="s">
        <v>28</v>
      </c>
      <c r="AM109" s="30">
        <v>97</v>
      </c>
      <c r="AN109" s="206">
        <v>73</v>
      </c>
    </row>
    <row r="110" spans="1:40" outlineLevel="1" x14ac:dyDescent="0.25">
      <c r="A110" s="28"/>
      <c r="B110" s="29" t="s">
        <v>29</v>
      </c>
      <c r="C110" s="30">
        <v>146</v>
      </c>
      <c r="D110" s="204">
        <v>94</v>
      </c>
      <c r="E110" s="29"/>
      <c r="F110" s="29" t="s">
        <v>29</v>
      </c>
      <c r="G110" s="30">
        <v>18</v>
      </c>
      <c r="H110" s="204">
        <v>13</v>
      </c>
      <c r="I110" s="29"/>
      <c r="J110" s="29" t="s">
        <v>29</v>
      </c>
      <c r="K110" s="30">
        <v>109</v>
      </c>
      <c r="L110" s="204">
        <v>92</v>
      </c>
      <c r="M110" s="29"/>
      <c r="N110" s="29" t="s">
        <v>29</v>
      </c>
      <c r="O110" s="30">
        <v>478</v>
      </c>
      <c r="P110" s="204">
        <v>312</v>
      </c>
      <c r="Q110" s="29"/>
      <c r="R110" s="29" t="s">
        <v>29</v>
      </c>
      <c r="S110" s="30">
        <v>91</v>
      </c>
      <c r="T110" s="204">
        <v>76</v>
      </c>
      <c r="U110" s="29"/>
      <c r="V110" s="29" t="s">
        <v>29</v>
      </c>
      <c r="W110" s="30">
        <v>145</v>
      </c>
      <c r="X110" s="204">
        <v>102</v>
      </c>
      <c r="Y110" s="29"/>
      <c r="Z110" s="29" t="s">
        <v>29</v>
      </c>
      <c r="AA110" s="30">
        <v>84</v>
      </c>
      <c r="AB110" s="204">
        <v>97</v>
      </c>
      <c r="AC110" s="29"/>
      <c r="AD110" s="29" t="s">
        <v>29</v>
      </c>
      <c r="AE110" s="30">
        <v>401</v>
      </c>
      <c r="AF110" s="204">
        <v>334</v>
      </c>
      <c r="AG110" s="29"/>
      <c r="AH110" s="29" t="s">
        <v>29</v>
      </c>
      <c r="AI110" s="30">
        <v>458</v>
      </c>
      <c r="AJ110" s="204">
        <v>437</v>
      </c>
      <c r="AK110" s="29"/>
      <c r="AL110" s="29" t="s">
        <v>29</v>
      </c>
      <c r="AM110" s="30">
        <v>101</v>
      </c>
      <c r="AN110" s="206">
        <v>76</v>
      </c>
    </row>
    <row r="111" spans="1:40" outlineLevel="1" x14ac:dyDescent="0.25">
      <c r="A111" s="28"/>
      <c r="B111" s="29" t="s">
        <v>31</v>
      </c>
      <c r="C111" s="30">
        <v>159</v>
      </c>
      <c r="D111" s="204">
        <v>124</v>
      </c>
      <c r="E111" s="29"/>
      <c r="F111" s="29" t="s">
        <v>31</v>
      </c>
      <c r="G111" s="30">
        <v>26</v>
      </c>
      <c r="H111" s="204">
        <v>15</v>
      </c>
      <c r="I111" s="29"/>
      <c r="J111" s="29" t="s">
        <v>31</v>
      </c>
      <c r="K111" s="30">
        <v>131</v>
      </c>
      <c r="L111" s="204">
        <v>105</v>
      </c>
      <c r="M111" s="29"/>
      <c r="N111" s="29" t="s">
        <v>31</v>
      </c>
      <c r="O111" s="30">
        <v>488</v>
      </c>
      <c r="P111" s="204">
        <v>383</v>
      </c>
      <c r="Q111" s="29"/>
      <c r="R111" s="29" t="s">
        <v>31</v>
      </c>
      <c r="S111" s="30">
        <v>74</v>
      </c>
      <c r="T111" s="204">
        <v>82</v>
      </c>
      <c r="U111" s="29"/>
      <c r="V111" s="29" t="s">
        <v>31</v>
      </c>
      <c r="W111" s="30">
        <v>165</v>
      </c>
      <c r="X111" s="204">
        <v>150</v>
      </c>
      <c r="Y111" s="29"/>
      <c r="Z111" s="29" t="s">
        <v>31</v>
      </c>
      <c r="AA111" s="30">
        <v>80</v>
      </c>
      <c r="AB111" s="204">
        <v>107</v>
      </c>
      <c r="AC111" s="29"/>
      <c r="AD111" s="29" t="s">
        <v>31</v>
      </c>
      <c r="AE111" s="30">
        <v>391</v>
      </c>
      <c r="AF111" s="204">
        <v>411</v>
      </c>
      <c r="AG111" s="29"/>
      <c r="AH111" s="29" t="s">
        <v>31</v>
      </c>
      <c r="AI111" s="30">
        <v>427</v>
      </c>
      <c r="AJ111" s="204">
        <v>448</v>
      </c>
      <c r="AK111" s="29"/>
      <c r="AL111" s="29" t="s">
        <v>31</v>
      </c>
      <c r="AM111" s="30">
        <v>92</v>
      </c>
      <c r="AN111" s="206">
        <v>97</v>
      </c>
    </row>
    <row r="112" spans="1:40" outlineLevel="1" x14ac:dyDescent="0.25">
      <c r="A112" s="28"/>
      <c r="B112" s="29" t="s">
        <v>33</v>
      </c>
      <c r="C112" s="30">
        <v>217</v>
      </c>
      <c r="D112" s="204">
        <v>138</v>
      </c>
      <c r="E112" s="29"/>
      <c r="F112" s="29" t="s">
        <v>33</v>
      </c>
      <c r="G112" s="30">
        <v>17</v>
      </c>
      <c r="H112" s="204">
        <v>19</v>
      </c>
      <c r="I112" s="29"/>
      <c r="J112" s="29" t="s">
        <v>33</v>
      </c>
      <c r="K112" s="30">
        <v>138</v>
      </c>
      <c r="L112" s="204">
        <v>113</v>
      </c>
      <c r="M112" s="29"/>
      <c r="N112" s="29" t="s">
        <v>33</v>
      </c>
      <c r="O112" s="30">
        <v>609</v>
      </c>
      <c r="P112" s="204">
        <v>444</v>
      </c>
      <c r="Q112" s="29"/>
      <c r="R112" s="29" t="s">
        <v>33</v>
      </c>
      <c r="S112" s="30">
        <v>105</v>
      </c>
      <c r="T112" s="204">
        <v>85</v>
      </c>
      <c r="U112" s="29"/>
      <c r="V112" s="29" t="s">
        <v>33</v>
      </c>
      <c r="W112" s="30">
        <v>245</v>
      </c>
      <c r="X112" s="204">
        <v>125</v>
      </c>
      <c r="Y112" s="29"/>
      <c r="Z112" s="29" t="s">
        <v>33</v>
      </c>
      <c r="AA112" s="30">
        <v>119</v>
      </c>
      <c r="AB112" s="204">
        <v>100</v>
      </c>
      <c r="AC112" s="29"/>
      <c r="AD112" s="29" t="s">
        <v>33</v>
      </c>
      <c r="AE112" s="30">
        <v>452</v>
      </c>
      <c r="AF112" s="204">
        <v>401</v>
      </c>
      <c r="AG112" s="29"/>
      <c r="AH112" s="29" t="s">
        <v>33</v>
      </c>
      <c r="AI112" s="30">
        <v>542</v>
      </c>
      <c r="AJ112" s="204">
        <v>471</v>
      </c>
      <c r="AK112" s="29"/>
      <c r="AL112" s="29" t="s">
        <v>33</v>
      </c>
      <c r="AM112" s="30">
        <v>92</v>
      </c>
      <c r="AN112" s="206">
        <v>95</v>
      </c>
    </row>
    <row r="113" spans="1:40" outlineLevel="1" x14ac:dyDescent="0.25">
      <c r="A113" s="28"/>
      <c r="B113" s="29" t="s">
        <v>35</v>
      </c>
      <c r="C113" s="30">
        <v>277</v>
      </c>
      <c r="D113" s="204">
        <v>159</v>
      </c>
      <c r="E113" s="29"/>
      <c r="F113" s="29" t="s">
        <v>35</v>
      </c>
      <c r="G113" s="30">
        <v>26</v>
      </c>
      <c r="H113" s="204">
        <v>19</v>
      </c>
      <c r="I113" s="29"/>
      <c r="J113" s="29" t="s">
        <v>35</v>
      </c>
      <c r="K113" s="30">
        <v>142</v>
      </c>
      <c r="L113" s="204">
        <v>114</v>
      </c>
      <c r="M113" s="29"/>
      <c r="N113" s="29" t="s">
        <v>35</v>
      </c>
      <c r="O113" s="30">
        <v>655</v>
      </c>
      <c r="P113" s="204">
        <v>462</v>
      </c>
      <c r="Q113" s="29"/>
      <c r="R113" s="29" t="s">
        <v>35</v>
      </c>
      <c r="S113" s="30">
        <v>124</v>
      </c>
      <c r="T113" s="204">
        <v>71</v>
      </c>
      <c r="U113" s="29"/>
      <c r="V113" s="29" t="s">
        <v>35</v>
      </c>
      <c r="W113" s="30">
        <v>295</v>
      </c>
      <c r="X113" s="204">
        <v>150</v>
      </c>
      <c r="Y113" s="29"/>
      <c r="Z113" s="29" t="s">
        <v>35</v>
      </c>
      <c r="AA113" s="30">
        <v>152</v>
      </c>
      <c r="AB113" s="204">
        <v>68</v>
      </c>
      <c r="AC113" s="29"/>
      <c r="AD113" s="29" t="s">
        <v>35</v>
      </c>
      <c r="AE113" s="30">
        <v>598</v>
      </c>
      <c r="AF113" s="204">
        <v>363</v>
      </c>
      <c r="AG113" s="29"/>
      <c r="AH113" s="29" t="s">
        <v>35</v>
      </c>
      <c r="AI113" s="30">
        <v>636</v>
      </c>
      <c r="AJ113" s="204">
        <v>378</v>
      </c>
      <c r="AK113" s="29"/>
      <c r="AL113" s="29" t="s">
        <v>35</v>
      </c>
      <c r="AM113" s="30">
        <v>113</v>
      </c>
      <c r="AN113" s="206">
        <v>98</v>
      </c>
    </row>
    <row r="114" spans="1:40" outlineLevel="1" x14ac:dyDescent="0.25">
      <c r="A114" s="28"/>
      <c r="B114" s="29" t="s">
        <v>37</v>
      </c>
      <c r="C114" s="30">
        <v>311</v>
      </c>
      <c r="D114" s="204">
        <v>198</v>
      </c>
      <c r="E114" s="29"/>
      <c r="F114" s="29" t="s">
        <v>37</v>
      </c>
      <c r="G114" s="30">
        <v>20</v>
      </c>
      <c r="H114" s="204">
        <v>17</v>
      </c>
      <c r="I114" s="29"/>
      <c r="J114" s="29" t="s">
        <v>37</v>
      </c>
      <c r="K114" s="30">
        <v>191</v>
      </c>
      <c r="L114" s="204">
        <v>140</v>
      </c>
      <c r="M114" s="29"/>
      <c r="N114" s="29" t="s">
        <v>37</v>
      </c>
      <c r="O114" s="30">
        <v>737</v>
      </c>
      <c r="P114" s="204">
        <v>518</v>
      </c>
      <c r="Q114" s="29"/>
      <c r="R114" s="29" t="s">
        <v>37</v>
      </c>
      <c r="S114" s="30">
        <v>150</v>
      </c>
      <c r="T114" s="204">
        <v>102</v>
      </c>
      <c r="U114" s="29"/>
      <c r="V114" s="29" t="s">
        <v>37</v>
      </c>
      <c r="W114" s="30">
        <v>360</v>
      </c>
      <c r="X114" s="204">
        <v>214</v>
      </c>
      <c r="Y114" s="29"/>
      <c r="Z114" s="29" t="s">
        <v>37</v>
      </c>
      <c r="AA114" s="30">
        <v>185</v>
      </c>
      <c r="AB114" s="204">
        <v>119</v>
      </c>
      <c r="AC114" s="29"/>
      <c r="AD114" s="29" t="s">
        <v>37</v>
      </c>
      <c r="AE114" s="30">
        <v>720</v>
      </c>
      <c r="AF114" s="204">
        <v>427</v>
      </c>
      <c r="AG114" s="29"/>
      <c r="AH114" s="29" t="s">
        <v>37</v>
      </c>
      <c r="AI114" s="30">
        <v>761</v>
      </c>
      <c r="AJ114" s="204">
        <v>507</v>
      </c>
      <c r="AK114" s="29"/>
      <c r="AL114" s="29" t="s">
        <v>37</v>
      </c>
      <c r="AM114" s="30">
        <v>148</v>
      </c>
      <c r="AN114" s="206">
        <v>91</v>
      </c>
    </row>
    <row r="115" spans="1:40" outlineLevel="1" x14ac:dyDescent="0.25">
      <c r="A115" s="28"/>
      <c r="B115" s="29" t="s">
        <v>39</v>
      </c>
      <c r="C115" s="30">
        <v>244</v>
      </c>
      <c r="D115" s="204">
        <v>263</v>
      </c>
      <c r="E115" s="29"/>
      <c r="F115" s="29" t="s">
        <v>39</v>
      </c>
      <c r="G115" s="30">
        <v>13</v>
      </c>
      <c r="H115" s="204">
        <v>22</v>
      </c>
      <c r="I115" s="29"/>
      <c r="J115" s="29" t="s">
        <v>39</v>
      </c>
      <c r="K115" s="30">
        <v>191</v>
      </c>
      <c r="L115" s="204">
        <v>136</v>
      </c>
      <c r="M115" s="29"/>
      <c r="N115" s="29" t="s">
        <v>39</v>
      </c>
      <c r="O115" s="30">
        <v>637</v>
      </c>
      <c r="P115" s="204">
        <v>609</v>
      </c>
      <c r="Q115" s="29"/>
      <c r="R115" s="29" t="s">
        <v>39</v>
      </c>
      <c r="S115" s="30">
        <v>146</v>
      </c>
      <c r="T115" s="204">
        <v>118</v>
      </c>
      <c r="U115" s="29"/>
      <c r="V115" s="29" t="s">
        <v>39</v>
      </c>
      <c r="W115" s="30">
        <v>306</v>
      </c>
      <c r="X115" s="204">
        <v>271</v>
      </c>
      <c r="Y115" s="29"/>
      <c r="Z115" s="29" t="s">
        <v>39</v>
      </c>
      <c r="AA115" s="30">
        <v>141</v>
      </c>
      <c r="AB115" s="204">
        <v>132</v>
      </c>
      <c r="AC115" s="29"/>
      <c r="AD115" s="29" t="s">
        <v>39</v>
      </c>
      <c r="AE115" s="30">
        <v>565</v>
      </c>
      <c r="AF115" s="204">
        <v>531</v>
      </c>
      <c r="AG115" s="29"/>
      <c r="AH115" s="29" t="s">
        <v>39</v>
      </c>
      <c r="AI115" s="30">
        <v>650</v>
      </c>
      <c r="AJ115" s="204">
        <v>550</v>
      </c>
      <c r="AK115" s="29"/>
      <c r="AL115" s="29" t="s">
        <v>39</v>
      </c>
      <c r="AM115" s="30">
        <v>121</v>
      </c>
      <c r="AN115" s="206">
        <v>103</v>
      </c>
    </row>
    <row r="116" spans="1:40" outlineLevel="1" x14ac:dyDescent="0.25">
      <c r="A116" s="28"/>
      <c r="B116" s="29" t="s">
        <v>41</v>
      </c>
      <c r="C116" s="30">
        <v>235</v>
      </c>
      <c r="D116" s="204">
        <v>254</v>
      </c>
      <c r="E116" s="29"/>
      <c r="F116" s="29" t="s">
        <v>41</v>
      </c>
      <c r="G116" s="30">
        <v>16</v>
      </c>
      <c r="H116" s="204">
        <v>19</v>
      </c>
      <c r="I116" s="29"/>
      <c r="J116" s="29" t="s">
        <v>41</v>
      </c>
      <c r="K116" s="30">
        <v>175</v>
      </c>
      <c r="L116" s="204">
        <v>154</v>
      </c>
      <c r="M116" s="29"/>
      <c r="N116" s="29" t="s">
        <v>41</v>
      </c>
      <c r="O116" s="30">
        <v>582</v>
      </c>
      <c r="P116" s="204">
        <v>617</v>
      </c>
      <c r="Q116" s="29"/>
      <c r="R116" s="29" t="s">
        <v>41</v>
      </c>
      <c r="S116" s="30">
        <v>81</v>
      </c>
      <c r="T116" s="204">
        <v>141</v>
      </c>
      <c r="U116" s="29"/>
      <c r="V116" s="29" t="s">
        <v>41</v>
      </c>
      <c r="W116" s="30">
        <v>242</v>
      </c>
      <c r="X116" s="204">
        <v>283</v>
      </c>
      <c r="Y116" s="29"/>
      <c r="Z116" s="29" t="s">
        <v>41</v>
      </c>
      <c r="AA116" s="30">
        <v>86</v>
      </c>
      <c r="AB116" s="204">
        <v>147</v>
      </c>
      <c r="AC116" s="29"/>
      <c r="AD116" s="29" t="s">
        <v>41</v>
      </c>
      <c r="AE116" s="30">
        <v>420</v>
      </c>
      <c r="AF116" s="204">
        <v>615</v>
      </c>
      <c r="AG116" s="29"/>
      <c r="AH116" s="29" t="s">
        <v>41</v>
      </c>
      <c r="AI116" s="30">
        <v>426</v>
      </c>
      <c r="AJ116" s="204">
        <v>657</v>
      </c>
      <c r="AK116" s="29"/>
      <c r="AL116" s="29" t="s">
        <v>41</v>
      </c>
      <c r="AM116" s="30">
        <v>87</v>
      </c>
      <c r="AN116" s="206">
        <v>136</v>
      </c>
    </row>
    <row r="117" spans="1:40" outlineLevel="1" x14ac:dyDescent="0.25">
      <c r="A117" s="28"/>
      <c r="B117" s="29" t="s">
        <v>43</v>
      </c>
      <c r="C117" s="30">
        <v>209</v>
      </c>
      <c r="D117" s="204">
        <v>223</v>
      </c>
      <c r="E117" s="29"/>
      <c r="F117" s="29" t="s">
        <v>43</v>
      </c>
      <c r="G117" s="30">
        <v>24</v>
      </c>
      <c r="H117" s="204">
        <v>17</v>
      </c>
      <c r="I117" s="29"/>
      <c r="J117" s="29" t="s">
        <v>43</v>
      </c>
      <c r="K117" s="30">
        <v>187</v>
      </c>
      <c r="L117" s="204">
        <v>173</v>
      </c>
      <c r="M117" s="29"/>
      <c r="N117" s="29" t="s">
        <v>43</v>
      </c>
      <c r="O117" s="30">
        <v>525</v>
      </c>
      <c r="P117" s="204">
        <v>586</v>
      </c>
      <c r="Q117" s="29"/>
      <c r="R117" s="29" t="s">
        <v>43</v>
      </c>
      <c r="S117" s="30">
        <v>69</v>
      </c>
      <c r="T117" s="204">
        <v>103</v>
      </c>
      <c r="U117" s="29"/>
      <c r="V117" s="29" t="s">
        <v>43</v>
      </c>
      <c r="W117" s="30">
        <v>266</v>
      </c>
      <c r="X117" s="204">
        <v>285</v>
      </c>
      <c r="Y117" s="29"/>
      <c r="Z117" s="29" t="s">
        <v>43</v>
      </c>
      <c r="AA117" s="30">
        <v>97</v>
      </c>
      <c r="AB117" s="204">
        <v>128</v>
      </c>
      <c r="AC117" s="29"/>
      <c r="AD117" s="29" t="s">
        <v>43</v>
      </c>
      <c r="AE117" s="30">
        <v>421</v>
      </c>
      <c r="AF117" s="204">
        <v>527</v>
      </c>
      <c r="AG117" s="29"/>
      <c r="AH117" s="29" t="s">
        <v>43</v>
      </c>
      <c r="AI117" s="30">
        <v>415</v>
      </c>
      <c r="AJ117" s="204">
        <v>578</v>
      </c>
      <c r="AK117" s="29"/>
      <c r="AL117" s="29" t="s">
        <v>43</v>
      </c>
      <c r="AM117" s="30">
        <v>86</v>
      </c>
      <c r="AN117" s="206">
        <v>113</v>
      </c>
    </row>
    <row r="118" spans="1:40" outlineLevel="1" x14ac:dyDescent="0.25">
      <c r="A118" s="28"/>
      <c r="B118" s="29" t="s">
        <v>45</v>
      </c>
      <c r="C118" s="30">
        <v>180</v>
      </c>
      <c r="D118" s="204">
        <v>140</v>
      </c>
      <c r="E118" s="29"/>
      <c r="F118" s="29" t="s">
        <v>45</v>
      </c>
      <c r="G118" s="30">
        <v>17</v>
      </c>
      <c r="H118" s="204">
        <v>10</v>
      </c>
      <c r="I118" s="29"/>
      <c r="J118" s="29" t="s">
        <v>45</v>
      </c>
      <c r="K118" s="30">
        <v>175</v>
      </c>
      <c r="L118" s="204">
        <v>109</v>
      </c>
      <c r="M118" s="29"/>
      <c r="N118" s="29" t="s">
        <v>45</v>
      </c>
      <c r="O118" s="30">
        <v>498</v>
      </c>
      <c r="P118" s="204">
        <v>354</v>
      </c>
      <c r="Q118" s="29"/>
      <c r="R118" s="29" t="s">
        <v>45</v>
      </c>
      <c r="S118" s="30">
        <v>58</v>
      </c>
      <c r="T118" s="204">
        <v>52</v>
      </c>
      <c r="U118" s="29"/>
      <c r="V118" s="29" t="s">
        <v>45</v>
      </c>
      <c r="W118" s="30">
        <v>218</v>
      </c>
      <c r="X118" s="204">
        <v>154</v>
      </c>
      <c r="Y118" s="29"/>
      <c r="Z118" s="29" t="s">
        <v>45</v>
      </c>
      <c r="AA118" s="30">
        <v>88</v>
      </c>
      <c r="AB118" s="204">
        <v>64</v>
      </c>
      <c r="AC118" s="29"/>
      <c r="AD118" s="29" t="s">
        <v>45</v>
      </c>
      <c r="AE118" s="30">
        <v>360</v>
      </c>
      <c r="AF118" s="204">
        <v>281</v>
      </c>
      <c r="AG118" s="29"/>
      <c r="AH118" s="29" t="s">
        <v>45</v>
      </c>
      <c r="AI118" s="30">
        <v>345</v>
      </c>
      <c r="AJ118" s="204">
        <v>269</v>
      </c>
      <c r="AK118" s="29"/>
      <c r="AL118" s="29" t="s">
        <v>45</v>
      </c>
      <c r="AM118" s="30">
        <v>46</v>
      </c>
      <c r="AN118" s="206">
        <v>53</v>
      </c>
    </row>
    <row r="119" spans="1:40" outlineLevel="1" x14ac:dyDescent="0.25">
      <c r="A119" s="28"/>
      <c r="B119" s="29" t="s">
        <v>47</v>
      </c>
      <c r="C119" s="30">
        <v>94</v>
      </c>
      <c r="D119" s="204">
        <v>106</v>
      </c>
      <c r="E119" s="29"/>
      <c r="F119" s="29" t="s">
        <v>47</v>
      </c>
      <c r="G119" s="30">
        <v>12</v>
      </c>
      <c r="H119" s="204">
        <v>10</v>
      </c>
      <c r="I119" s="29"/>
      <c r="J119" s="29" t="s">
        <v>47</v>
      </c>
      <c r="K119" s="30">
        <v>99</v>
      </c>
      <c r="L119" s="204">
        <v>109</v>
      </c>
      <c r="M119" s="29"/>
      <c r="N119" s="29" t="s">
        <v>47</v>
      </c>
      <c r="O119" s="30">
        <v>288</v>
      </c>
      <c r="P119" s="204">
        <v>265</v>
      </c>
      <c r="Q119" s="29"/>
      <c r="R119" s="29" t="s">
        <v>47</v>
      </c>
      <c r="S119" s="30">
        <v>33</v>
      </c>
      <c r="T119" s="204">
        <v>35</v>
      </c>
      <c r="U119" s="29"/>
      <c r="V119" s="29" t="s">
        <v>47</v>
      </c>
      <c r="W119" s="30">
        <v>116</v>
      </c>
      <c r="X119" s="204">
        <v>130</v>
      </c>
      <c r="Y119" s="29"/>
      <c r="Z119" s="29" t="s">
        <v>47</v>
      </c>
      <c r="AA119" s="30">
        <v>53</v>
      </c>
      <c r="AB119" s="204">
        <v>55</v>
      </c>
      <c r="AC119" s="29"/>
      <c r="AD119" s="29" t="s">
        <v>47</v>
      </c>
      <c r="AE119" s="30">
        <v>187</v>
      </c>
      <c r="AF119" s="204">
        <v>193</v>
      </c>
      <c r="AG119" s="29"/>
      <c r="AH119" s="29" t="s">
        <v>47</v>
      </c>
      <c r="AI119" s="30">
        <v>226</v>
      </c>
      <c r="AJ119" s="204">
        <v>201</v>
      </c>
      <c r="AK119" s="29"/>
      <c r="AL119" s="29" t="s">
        <v>47</v>
      </c>
      <c r="AM119" s="30">
        <v>48</v>
      </c>
      <c r="AN119" s="206">
        <v>35</v>
      </c>
    </row>
    <row r="120" spans="1:40" outlineLevel="1" x14ac:dyDescent="0.25">
      <c r="A120" s="28"/>
      <c r="B120" s="29" t="s">
        <v>49</v>
      </c>
      <c r="C120" s="30">
        <v>33</v>
      </c>
      <c r="D120" s="204">
        <v>49</v>
      </c>
      <c r="E120" s="29"/>
      <c r="F120" s="29" t="s">
        <v>49</v>
      </c>
      <c r="G120" s="30">
        <v>6</v>
      </c>
      <c r="H120" s="204">
        <v>8</v>
      </c>
      <c r="I120" s="29"/>
      <c r="J120" s="29" t="s">
        <v>49</v>
      </c>
      <c r="K120" s="30">
        <v>30</v>
      </c>
      <c r="L120" s="204">
        <v>45</v>
      </c>
      <c r="M120" s="29"/>
      <c r="N120" s="29" t="s">
        <v>49</v>
      </c>
      <c r="O120" s="30">
        <v>110</v>
      </c>
      <c r="P120" s="204">
        <v>149</v>
      </c>
      <c r="Q120" s="29"/>
      <c r="R120" s="29" t="s">
        <v>49</v>
      </c>
      <c r="S120" s="30">
        <v>17</v>
      </c>
      <c r="T120" s="204">
        <v>20</v>
      </c>
      <c r="U120" s="29"/>
      <c r="V120" s="29" t="s">
        <v>49</v>
      </c>
      <c r="W120" s="30">
        <v>42</v>
      </c>
      <c r="X120" s="204">
        <v>66</v>
      </c>
      <c r="Y120" s="29"/>
      <c r="Z120" s="29" t="s">
        <v>49</v>
      </c>
      <c r="AA120" s="30">
        <v>9</v>
      </c>
      <c r="AB120" s="204">
        <v>23</v>
      </c>
      <c r="AC120" s="29"/>
      <c r="AD120" s="29" t="s">
        <v>49</v>
      </c>
      <c r="AE120" s="30">
        <v>67</v>
      </c>
      <c r="AF120" s="204">
        <v>113</v>
      </c>
      <c r="AG120" s="29"/>
      <c r="AH120" s="29" t="s">
        <v>49</v>
      </c>
      <c r="AI120" s="30">
        <v>74</v>
      </c>
      <c r="AJ120" s="204">
        <v>97</v>
      </c>
      <c r="AK120" s="29"/>
      <c r="AL120" s="29" t="s">
        <v>49</v>
      </c>
      <c r="AM120" s="30">
        <v>14</v>
      </c>
      <c r="AN120" s="206">
        <v>16</v>
      </c>
    </row>
    <row r="121" spans="1:40" outlineLevel="1" x14ac:dyDescent="0.25">
      <c r="A121" s="28"/>
      <c r="B121" s="29" t="s">
        <v>51</v>
      </c>
      <c r="C121" s="30">
        <v>5</v>
      </c>
      <c r="D121" s="204">
        <v>13</v>
      </c>
      <c r="E121" s="29"/>
      <c r="F121" s="29" t="s">
        <v>51</v>
      </c>
      <c r="G121" s="30">
        <v>0</v>
      </c>
      <c r="H121" s="204">
        <v>4</v>
      </c>
      <c r="I121" s="29"/>
      <c r="J121" s="29" t="s">
        <v>51</v>
      </c>
      <c r="K121" s="30">
        <v>9</v>
      </c>
      <c r="L121" s="204">
        <v>12</v>
      </c>
      <c r="M121" s="29"/>
      <c r="N121" s="29" t="s">
        <v>51</v>
      </c>
      <c r="O121" s="30">
        <v>28</v>
      </c>
      <c r="P121" s="204">
        <v>35</v>
      </c>
      <c r="Q121" s="29"/>
      <c r="R121" s="29" t="s">
        <v>51</v>
      </c>
      <c r="S121" s="30">
        <v>4</v>
      </c>
      <c r="T121" s="204">
        <v>3</v>
      </c>
      <c r="U121" s="29"/>
      <c r="V121" s="29" t="s">
        <v>51</v>
      </c>
      <c r="W121" s="30">
        <v>6</v>
      </c>
      <c r="X121" s="204">
        <v>12</v>
      </c>
      <c r="Y121" s="29"/>
      <c r="Z121" s="29" t="s">
        <v>51</v>
      </c>
      <c r="AA121" s="30">
        <v>2</v>
      </c>
      <c r="AB121" s="204">
        <v>6</v>
      </c>
      <c r="AC121" s="29"/>
      <c r="AD121" s="29" t="s">
        <v>51</v>
      </c>
      <c r="AE121" s="30">
        <v>11</v>
      </c>
      <c r="AF121" s="204">
        <v>25</v>
      </c>
      <c r="AG121" s="29"/>
      <c r="AH121" s="29" t="s">
        <v>51</v>
      </c>
      <c r="AI121" s="30">
        <v>10</v>
      </c>
      <c r="AJ121" s="204">
        <v>21</v>
      </c>
      <c r="AK121" s="29"/>
      <c r="AL121" s="29" t="s">
        <v>51</v>
      </c>
      <c r="AM121" s="30">
        <v>7</v>
      </c>
      <c r="AN121" s="206">
        <v>9</v>
      </c>
    </row>
    <row r="122" spans="1:40" outlineLevel="1" x14ac:dyDescent="0.25">
      <c r="A122" s="28"/>
      <c r="B122" s="29" t="s">
        <v>53</v>
      </c>
      <c r="C122" s="30">
        <v>1</v>
      </c>
      <c r="D122" s="204">
        <v>2</v>
      </c>
      <c r="E122" s="29"/>
      <c r="F122" s="29" t="s">
        <v>53</v>
      </c>
      <c r="G122" s="30">
        <v>0</v>
      </c>
      <c r="H122" s="204">
        <v>0</v>
      </c>
      <c r="I122" s="29"/>
      <c r="J122" s="29" t="s">
        <v>53</v>
      </c>
      <c r="K122" s="30">
        <v>2</v>
      </c>
      <c r="L122" s="204">
        <v>0</v>
      </c>
      <c r="M122" s="29"/>
      <c r="N122" s="29" t="s">
        <v>53</v>
      </c>
      <c r="O122" s="30">
        <v>2</v>
      </c>
      <c r="P122" s="204">
        <v>6</v>
      </c>
      <c r="Q122" s="29"/>
      <c r="R122" s="29" t="s">
        <v>53</v>
      </c>
      <c r="S122" s="30">
        <v>0</v>
      </c>
      <c r="T122" s="204">
        <v>0</v>
      </c>
      <c r="U122" s="29"/>
      <c r="V122" s="29" t="s">
        <v>53</v>
      </c>
      <c r="W122" s="30">
        <v>1</v>
      </c>
      <c r="X122" s="204">
        <v>1</v>
      </c>
      <c r="Y122" s="29"/>
      <c r="Z122" s="29" t="s">
        <v>53</v>
      </c>
      <c r="AA122" s="30">
        <v>0</v>
      </c>
      <c r="AB122" s="204">
        <v>0</v>
      </c>
      <c r="AC122" s="29"/>
      <c r="AD122" s="29" t="s">
        <v>53</v>
      </c>
      <c r="AE122" s="30">
        <v>2</v>
      </c>
      <c r="AF122" s="204">
        <v>4</v>
      </c>
      <c r="AG122" s="29"/>
      <c r="AH122" s="29" t="s">
        <v>53</v>
      </c>
      <c r="AI122" s="30">
        <v>2</v>
      </c>
      <c r="AJ122" s="204">
        <v>4</v>
      </c>
      <c r="AK122" s="29"/>
      <c r="AL122" s="29" t="s">
        <v>53</v>
      </c>
      <c r="AM122" s="30">
        <v>0</v>
      </c>
      <c r="AN122" s="206">
        <v>0</v>
      </c>
    </row>
    <row r="123" spans="1:40" customFormat="1" outlineLevel="1" x14ac:dyDescent="0.25">
      <c r="A123" s="202"/>
      <c r="B123" s="166"/>
      <c r="C123" s="166" t="s">
        <v>55</v>
      </c>
      <c r="D123" s="166"/>
      <c r="E123" s="166"/>
      <c r="F123" s="166"/>
      <c r="G123" s="166" t="s">
        <v>55</v>
      </c>
      <c r="H123" s="166"/>
      <c r="I123" s="166"/>
      <c r="J123" s="166"/>
      <c r="K123" s="166" t="s">
        <v>55</v>
      </c>
      <c r="L123" s="166"/>
      <c r="M123" s="166"/>
      <c r="N123" s="166"/>
      <c r="O123" s="166" t="s">
        <v>55</v>
      </c>
      <c r="P123" s="166"/>
      <c r="Q123" s="166"/>
      <c r="R123" s="166"/>
      <c r="S123" s="166" t="s">
        <v>55</v>
      </c>
      <c r="T123" s="166"/>
      <c r="U123" s="166"/>
      <c r="V123" s="166"/>
      <c r="W123" s="166" t="s">
        <v>55</v>
      </c>
      <c r="X123" s="166"/>
      <c r="Y123" s="166"/>
      <c r="Z123" s="166"/>
      <c r="AA123" s="166" t="s">
        <v>55</v>
      </c>
      <c r="AB123" s="166"/>
      <c r="AC123" s="166"/>
      <c r="AD123" s="166"/>
      <c r="AE123" s="166" t="s">
        <v>55</v>
      </c>
      <c r="AF123" s="166"/>
      <c r="AG123" s="166"/>
      <c r="AH123" s="166"/>
      <c r="AI123" s="166" t="s">
        <v>55</v>
      </c>
      <c r="AJ123" s="166"/>
      <c r="AK123" s="166"/>
      <c r="AL123" s="166"/>
      <c r="AM123" s="166" t="s">
        <v>55</v>
      </c>
      <c r="AN123" s="207"/>
    </row>
    <row r="124" spans="1:40" outlineLevel="1" x14ac:dyDescent="0.25">
      <c r="A124" s="28"/>
      <c r="B124" s="29" t="s">
        <v>18</v>
      </c>
      <c r="C124" s="30">
        <v>3178</v>
      </c>
      <c r="D124" s="204">
        <v>2321</v>
      </c>
      <c r="E124" s="30"/>
      <c r="F124" s="29" t="s">
        <v>18</v>
      </c>
      <c r="G124" s="30">
        <v>295</v>
      </c>
      <c r="H124" s="204">
        <v>240</v>
      </c>
      <c r="I124" s="30"/>
      <c r="J124" s="29" t="s">
        <v>18</v>
      </c>
      <c r="K124" s="30">
        <v>2411</v>
      </c>
      <c r="L124" s="204">
        <v>1791</v>
      </c>
      <c r="M124" s="30"/>
      <c r="N124" s="29" t="s">
        <v>18</v>
      </c>
      <c r="O124" s="30">
        <v>8859</v>
      </c>
      <c r="P124" s="204">
        <v>6575</v>
      </c>
      <c r="Q124" s="30"/>
      <c r="R124" s="29" t="s">
        <v>18</v>
      </c>
      <c r="S124" s="30">
        <v>1509</v>
      </c>
      <c r="T124" s="204">
        <v>1150</v>
      </c>
      <c r="U124" s="30"/>
      <c r="V124" s="29" t="s">
        <v>18</v>
      </c>
      <c r="W124" s="30">
        <v>3682</v>
      </c>
      <c r="X124" s="204">
        <v>2675</v>
      </c>
      <c r="Y124" s="29"/>
      <c r="Z124" s="29" t="s">
        <v>18</v>
      </c>
      <c r="AA124" s="30">
        <v>1884</v>
      </c>
      <c r="AB124" s="204">
        <v>1566</v>
      </c>
      <c r="AC124" s="30"/>
      <c r="AD124" s="29" t="s">
        <v>18</v>
      </c>
      <c r="AE124" s="30">
        <v>8009</v>
      </c>
      <c r="AF124" s="204">
        <v>6220</v>
      </c>
      <c r="AG124" s="30"/>
      <c r="AH124" s="29" t="s">
        <v>18</v>
      </c>
      <c r="AI124" s="30">
        <v>8812</v>
      </c>
      <c r="AJ124" s="204">
        <v>7110</v>
      </c>
      <c r="AK124" s="30"/>
      <c r="AL124" s="29" t="s">
        <v>18</v>
      </c>
      <c r="AM124" s="30">
        <v>1763</v>
      </c>
      <c r="AN124" s="206">
        <v>1508</v>
      </c>
    </row>
    <row r="125" spans="1:40" outlineLevel="1" x14ac:dyDescent="0.25">
      <c r="A125" s="28"/>
      <c r="B125" s="29" t="s">
        <v>20</v>
      </c>
      <c r="C125" s="30">
        <v>87</v>
      </c>
      <c r="D125" s="204">
        <v>22</v>
      </c>
      <c r="E125" s="30"/>
      <c r="F125" s="29" t="s">
        <v>20</v>
      </c>
      <c r="G125" s="30">
        <v>12</v>
      </c>
      <c r="H125" s="204">
        <v>7</v>
      </c>
      <c r="I125" s="30"/>
      <c r="J125" s="29" t="s">
        <v>20</v>
      </c>
      <c r="K125" s="30">
        <v>44</v>
      </c>
      <c r="L125" s="204">
        <v>29</v>
      </c>
      <c r="M125" s="30"/>
      <c r="N125" s="29" t="s">
        <v>20</v>
      </c>
      <c r="O125" s="30">
        <v>264</v>
      </c>
      <c r="P125" s="204">
        <v>110</v>
      </c>
      <c r="Q125" s="30"/>
      <c r="R125" s="29" t="s">
        <v>20</v>
      </c>
      <c r="S125" s="30">
        <v>38</v>
      </c>
      <c r="T125" s="204">
        <v>20</v>
      </c>
      <c r="U125" s="30"/>
      <c r="V125" s="29" t="s">
        <v>20</v>
      </c>
      <c r="W125" s="30">
        <v>69</v>
      </c>
      <c r="X125" s="204">
        <v>49</v>
      </c>
      <c r="Y125" s="29"/>
      <c r="Z125" s="29" t="s">
        <v>20</v>
      </c>
      <c r="AA125" s="30">
        <v>72</v>
      </c>
      <c r="AB125" s="204">
        <v>30</v>
      </c>
      <c r="AC125" s="30"/>
      <c r="AD125" s="29" t="s">
        <v>20</v>
      </c>
      <c r="AE125" s="30">
        <v>256</v>
      </c>
      <c r="AF125" s="204">
        <v>91</v>
      </c>
      <c r="AG125" s="30"/>
      <c r="AH125" s="29" t="s">
        <v>20</v>
      </c>
      <c r="AI125" s="30">
        <v>273</v>
      </c>
      <c r="AJ125" s="204">
        <v>146</v>
      </c>
      <c r="AK125" s="30"/>
      <c r="AL125" s="29" t="s">
        <v>20</v>
      </c>
      <c r="AM125" s="30">
        <v>51</v>
      </c>
      <c r="AN125" s="206">
        <v>47</v>
      </c>
    </row>
    <row r="126" spans="1:40" outlineLevel="1" x14ac:dyDescent="0.25">
      <c r="A126" s="28"/>
      <c r="B126" s="29" t="s">
        <v>22</v>
      </c>
      <c r="C126" s="30">
        <v>100</v>
      </c>
      <c r="D126" s="204">
        <v>46</v>
      </c>
      <c r="E126" s="30"/>
      <c r="F126" s="29" t="s">
        <v>22</v>
      </c>
      <c r="G126" s="30">
        <v>9</v>
      </c>
      <c r="H126" s="204">
        <v>7</v>
      </c>
      <c r="I126" s="30"/>
      <c r="J126" s="29" t="s">
        <v>22</v>
      </c>
      <c r="K126" s="30">
        <v>82</v>
      </c>
      <c r="L126" s="204">
        <v>48</v>
      </c>
      <c r="M126" s="30"/>
      <c r="N126" s="29" t="s">
        <v>22</v>
      </c>
      <c r="O126" s="30">
        <v>295</v>
      </c>
      <c r="P126" s="204">
        <v>160</v>
      </c>
      <c r="Q126" s="30"/>
      <c r="R126" s="29" t="s">
        <v>22</v>
      </c>
      <c r="S126" s="30">
        <v>63</v>
      </c>
      <c r="T126" s="204">
        <v>30</v>
      </c>
      <c r="U126" s="30"/>
      <c r="V126" s="29" t="s">
        <v>22</v>
      </c>
      <c r="W126" s="30">
        <v>96</v>
      </c>
      <c r="X126" s="204">
        <v>84</v>
      </c>
      <c r="Y126" s="29"/>
      <c r="Z126" s="29" t="s">
        <v>22</v>
      </c>
      <c r="AA126" s="30">
        <v>69</v>
      </c>
      <c r="AB126" s="204">
        <v>67</v>
      </c>
      <c r="AC126" s="30"/>
      <c r="AD126" s="29" t="s">
        <v>22</v>
      </c>
      <c r="AE126" s="30">
        <v>306</v>
      </c>
      <c r="AF126" s="204">
        <v>165</v>
      </c>
      <c r="AG126" s="30"/>
      <c r="AH126" s="29" t="s">
        <v>22</v>
      </c>
      <c r="AI126" s="30">
        <v>307</v>
      </c>
      <c r="AJ126" s="204">
        <v>209</v>
      </c>
      <c r="AK126" s="30"/>
      <c r="AL126" s="29" t="s">
        <v>22</v>
      </c>
      <c r="AM126" s="30">
        <v>62</v>
      </c>
      <c r="AN126" s="206">
        <v>64</v>
      </c>
    </row>
    <row r="127" spans="1:40" outlineLevel="1" x14ac:dyDescent="0.25">
      <c r="A127" s="28"/>
      <c r="B127" s="29" t="s">
        <v>23</v>
      </c>
      <c r="C127" s="30">
        <v>120</v>
      </c>
      <c r="D127" s="204">
        <v>83</v>
      </c>
      <c r="E127" s="30"/>
      <c r="F127" s="29" t="s">
        <v>23</v>
      </c>
      <c r="G127" s="30">
        <v>12</v>
      </c>
      <c r="H127" s="204">
        <v>9</v>
      </c>
      <c r="I127" s="30"/>
      <c r="J127" s="29" t="s">
        <v>23</v>
      </c>
      <c r="K127" s="30">
        <v>91</v>
      </c>
      <c r="L127" s="204">
        <v>41</v>
      </c>
      <c r="M127" s="30"/>
      <c r="N127" s="29" t="s">
        <v>23</v>
      </c>
      <c r="O127" s="30">
        <v>310</v>
      </c>
      <c r="P127" s="204">
        <v>243</v>
      </c>
      <c r="Q127" s="30"/>
      <c r="R127" s="29" t="s">
        <v>23</v>
      </c>
      <c r="S127" s="30">
        <v>57</v>
      </c>
      <c r="T127" s="204">
        <v>32</v>
      </c>
      <c r="U127" s="30"/>
      <c r="V127" s="29" t="s">
        <v>23</v>
      </c>
      <c r="W127" s="30">
        <v>131</v>
      </c>
      <c r="X127" s="204">
        <v>75</v>
      </c>
      <c r="Y127" s="29"/>
      <c r="Z127" s="29" t="s">
        <v>23</v>
      </c>
      <c r="AA127" s="30">
        <v>82</v>
      </c>
      <c r="AB127" s="204">
        <v>68</v>
      </c>
      <c r="AC127" s="30"/>
      <c r="AD127" s="29" t="s">
        <v>23</v>
      </c>
      <c r="AE127" s="30">
        <v>323</v>
      </c>
      <c r="AF127" s="204">
        <v>233</v>
      </c>
      <c r="AG127" s="30"/>
      <c r="AH127" s="29" t="s">
        <v>23</v>
      </c>
      <c r="AI127" s="30">
        <v>390</v>
      </c>
      <c r="AJ127" s="204">
        <v>261</v>
      </c>
      <c r="AK127" s="30"/>
      <c r="AL127" s="29" t="s">
        <v>23</v>
      </c>
      <c r="AM127" s="30">
        <v>91</v>
      </c>
      <c r="AN127" s="206">
        <v>56</v>
      </c>
    </row>
    <row r="128" spans="1:40" outlineLevel="1" x14ac:dyDescent="0.25">
      <c r="A128" s="28"/>
      <c r="B128" s="29" t="s">
        <v>24</v>
      </c>
      <c r="C128" s="30">
        <v>136</v>
      </c>
      <c r="D128" s="204">
        <v>88</v>
      </c>
      <c r="E128" s="30"/>
      <c r="F128" s="29" t="s">
        <v>24</v>
      </c>
      <c r="G128" s="30">
        <v>16</v>
      </c>
      <c r="H128" s="204">
        <v>14</v>
      </c>
      <c r="I128" s="30"/>
      <c r="J128" s="29" t="s">
        <v>24</v>
      </c>
      <c r="K128" s="30">
        <v>90</v>
      </c>
      <c r="L128" s="204">
        <v>72</v>
      </c>
      <c r="M128" s="30"/>
      <c r="N128" s="29" t="s">
        <v>24</v>
      </c>
      <c r="O128" s="30">
        <v>406</v>
      </c>
      <c r="P128" s="204">
        <v>217</v>
      </c>
      <c r="Q128" s="30"/>
      <c r="R128" s="29" t="s">
        <v>24</v>
      </c>
      <c r="S128" s="30">
        <v>67</v>
      </c>
      <c r="T128" s="204">
        <v>44</v>
      </c>
      <c r="U128" s="30"/>
      <c r="V128" s="29" t="s">
        <v>24</v>
      </c>
      <c r="W128" s="30">
        <v>154</v>
      </c>
      <c r="X128" s="204">
        <v>78</v>
      </c>
      <c r="Y128" s="29"/>
      <c r="Z128" s="29" t="s">
        <v>24</v>
      </c>
      <c r="AA128" s="30">
        <v>74</v>
      </c>
      <c r="AB128" s="204">
        <v>74</v>
      </c>
      <c r="AC128" s="30"/>
      <c r="AD128" s="29" t="s">
        <v>24</v>
      </c>
      <c r="AE128" s="30">
        <v>350</v>
      </c>
      <c r="AF128" s="204">
        <v>262</v>
      </c>
      <c r="AG128" s="30"/>
      <c r="AH128" s="29" t="s">
        <v>24</v>
      </c>
      <c r="AI128" s="30">
        <v>438</v>
      </c>
      <c r="AJ128" s="204">
        <v>294</v>
      </c>
      <c r="AK128" s="30"/>
      <c r="AL128" s="29" t="s">
        <v>24</v>
      </c>
      <c r="AM128" s="30">
        <v>97</v>
      </c>
      <c r="AN128" s="206">
        <v>57</v>
      </c>
    </row>
    <row r="129" spans="1:40" outlineLevel="1" x14ac:dyDescent="0.25">
      <c r="A129" s="28"/>
      <c r="B129" s="29" t="s">
        <v>25</v>
      </c>
      <c r="C129" s="30">
        <v>107</v>
      </c>
      <c r="D129" s="204">
        <v>55</v>
      </c>
      <c r="E129" s="30"/>
      <c r="F129" s="29" t="s">
        <v>25</v>
      </c>
      <c r="G129" s="30">
        <v>12</v>
      </c>
      <c r="H129" s="204">
        <v>8</v>
      </c>
      <c r="I129" s="30"/>
      <c r="J129" s="29" t="s">
        <v>25</v>
      </c>
      <c r="K129" s="30">
        <v>56</v>
      </c>
      <c r="L129" s="204">
        <v>44</v>
      </c>
      <c r="M129" s="30"/>
      <c r="N129" s="29" t="s">
        <v>25</v>
      </c>
      <c r="O129" s="30">
        <v>307</v>
      </c>
      <c r="P129" s="204">
        <v>149</v>
      </c>
      <c r="Q129" s="30"/>
      <c r="R129" s="29" t="s">
        <v>25</v>
      </c>
      <c r="S129" s="30">
        <v>59</v>
      </c>
      <c r="T129" s="204">
        <v>47</v>
      </c>
      <c r="U129" s="30"/>
      <c r="V129" s="29" t="s">
        <v>25</v>
      </c>
      <c r="W129" s="30">
        <v>105</v>
      </c>
      <c r="X129" s="204">
        <v>46</v>
      </c>
      <c r="Y129" s="29"/>
      <c r="Z129" s="29" t="s">
        <v>25</v>
      </c>
      <c r="AA129" s="30">
        <v>63</v>
      </c>
      <c r="AB129" s="204">
        <v>59</v>
      </c>
      <c r="AC129" s="30"/>
      <c r="AD129" s="29" t="s">
        <v>25</v>
      </c>
      <c r="AE129" s="30">
        <v>314</v>
      </c>
      <c r="AF129" s="204">
        <v>209</v>
      </c>
      <c r="AG129" s="30"/>
      <c r="AH129" s="29" t="s">
        <v>25</v>
      </c>
      <c r="AI129" s="30">
        <v>338</v>
      </c>
      <c r="AJ129" s="204">
        <v>236</v>
      </c>
      <c r="AK129" s="30"/>
      <c r="AL129" s="29" t="s">
        <v>25</v>
      </c>
      <c r="AM129" s="30">
        <v>71</v>
      </c>
      <c r="AN129" s="206">
        <v>55</v>
      </c>
    </row>
    <row r="130" spans="1:40" outlineLevel="1" x14ac:dyDescent="0.25">
      <c r="A130" s="28"/>
      <c r="B130" s="29" t="s">
        <v>26</v>
      </c>
      <c r="C130" s="30">
        <v>87</v>
      </c>
      <c r="D130" s="204">
        <v>39</v>
      </c>
      <c r="E130" s="30"/>
      <c r="F130" s="29" t="s">
        <v>26</v>
      </c>
      <c r="G130" s="30">
        <v>12</v>
      </c>
      <c r="H130" s="204">
        <v>6</v>
      </c>
      <c r="I130" s="30"/>
      <c r="J130" s="29" t="s">
        <v>26</v>
      </c>
      <c r="K130" s="30">
        <v>52</v>
      </c>
      <c r="L130" s="204">
        <v>30</v>
      </c>
      <c r="M130" s="30"/>
      <c r="N130" s="29" t="s">
        <v>26</v>
      </c>
      <c r="O130" s="30">
        <v>289</v>
      </c>
      <c r="P130" s="204">
        <v>163</v>
      </c>
      <c r="Q130" s="30"/>
      <c r="R130" s="29" t="s">
        <v>26</v>
      </c>
      <c r="S130" s="30">
        <v>45</v>
      </c>
      <c r="T130" s="204">
        <v>31</v>
      </c>
      <c r="U130" s="30"/>
      <c r="V130" s="29" t="s">
        <v>26</v>
      </c>
      <c r="W130" s="30">
        <v>106</v>
      </c>
      <c r="X130" s="204">
        <v>48</v>
      </c>
      <c r="Y130" s="29"/>
      <c r="Z130" s="29" t="s">
        <v>26</v>
      </c>
      <c r="AA130" s="30">
        <v>81</v>
      </c>
      <c r="AB130" s="204">
        <v>38</v>
      </c>
      <c r="AC130" s="30"/>
      <c r="AD130" s="29" t="s">
        <v>26</v>
      </c>
      <c r="AE130" s="30">
        <v>300</v>
      </c>
      <c r="AF130" s="204">
        <v>150</v>
      </c>
      <c r="AG130" s="30"/>
      <c r="AH130" s="29" t="s">
        <v>26</v>
      </c>
      <c r="AI130" s="30">
        <v>351</v>
      </c>
      <c r="AJ130" s="204">
        <v>225</v>
      </c>
      <c r="AK130" s="30"/>
      <c r="AL130" s="29" t="s">
        <v>26</v>
      </c>
      <c r="AM130" s="30">
        <v>64</v>
      </c>
      <c r="AN130" s="206">
        <v>48</v>
      </c>
    </row>
    <row r="131" spans="1:40" outlineLevel="1" x14ac:dyDescent="0.25">
      <c r="A131" s="28"/>
      <c r="B131" s="29" t="s">
        <v>27</v>
      </c>
      <c r="C131" s="30">
        <v>100</v>
      </c>
      <c r="D131" s="204">
        <v>49</v>
      </c>
      <c r="E131" s="30"/>
      <c r="F131" s="29" t="s">
        <v>27</v>
      </c>
      <c r="G131" s="30">
        <v>8</v>
      </c>
      <c r="H131" s="204">
        <v>9</v>
      </c>
      <c r="I131" s="30"/>
      <c r="J131" s="29" t="s">
        <v>27</v>
      </c>
      <c r="K131" s="30">
        <v>67</v>
      </c>
      <c r="L131" s="204">
        <v>51</v>
      </c>
      <c r="M131" s="30"/>
      <c r="N131" s="29" t="s">
        <v>27</v>
      </c>
      <c r="O131" s="30">
        <v>318</v>
      </c>
      <c r="P131" s="204">
        <v>178</v>
      </c>
      <c r="Q131" s="30"/>
      <c r="R131" s="29" t="s">
        <v>27</v>
      </c>
      <c r="S131" s="30">
        <v>71</v>
      </c>
      <c r="T131" s="204">
        <v>32</v>
      </c>
      <c r="U131" s="30"/>
      <c r="V131" s="29" t="s">
        <v>27</v>
      </c>
      <c r="W131" s="30">
        <v>98</v>
      </c>
      <c r="X131" s="204">
        <v>81</v>
      </c>
      <c r="Y131" s="29"/>
      <c r="Z131" s="29" t="s">
        <v>27</v>
      </c>
      <c r="AA131" s="30">
        <v>87</v>
      </c>
      <c r="AB131" s="204">
        <v>45</v>
      </c>
      <c r="AC131" s="30"/>
      <c r="AD131" s="29" t="s">
        <v>27</v>
      </c>
      <c r="AE131" s="30">
        <v>350</v>
      </c>
      <c r="AF131" s="204">
        <v>204</v>
      </c>
      <c r="AG131" s="30"/>
      <c r="AH131" s="29" t="s">
        <v>27</v>
      </c>
      <c r="AI131" s="30">
        <v>400</v>
      </c>
      <c r="AJ131" s="204">
        <v>260</v>
      </c>
      <c r="AK131" s="30"/>
      <c r="AL131" s="29" t="s">
        <v>27</v>
      </c>
      <c r="AM131" s="30">
        <v>75</v>
      </c>
      <c r="AN131" s="206">
        <v>57</v>
      </c>
    </row>
    <row r="132" spans="1:40" outlineLevel="1" x14ac:dyDescent="0.25">
      <c r="A132" s="28"/>
      <c r="B132" s="29" t="s">
        <v>28</v>
      </c>
      <c r="C132" s="30">
        <v>132</v>
      </c>
      <c r="D132" s="204">
        <v>68</v>
      </c>
      <c r="E132" s="30"/>
      <c r="F132" s="29" t="s">
        <v>28</v>
      </c>
      <c r="G132" s="30">
        <v>18</v>
      </c>
      <c r="H132" s="204">
        <v>11</v>
      </c>
      <c r="I132" s="30"/>
      <c r="J132" s="29" t="s">
        <v>28</v>
      </c>
      <c r="K132" s="30">
        <v>89</v>
      </c>
      <c r="L132" s="204">
        <v>60</v>
      </c>
      <c r="M132" s="30"/>
      <c r="N132" s="29" t="s">
        <v>28</v>
      </c>
      <c r="O132" s="30">
        <v>362</v>
      </c>
      <c r="P132" s="204">
        <v>248</v>
      </c>
      <c r="Q132" s="30"/>
      <c r="R132" s="29" t="s">
        <v>28</v>
      </c>
      <c r="S132" s="30">
        <v>72</v>
      </c>
      <c r="T132" s="204">
        <v>37</v>
      </c>
      <c r="U132" s="30"/>
      <c r="V132" s="29" t="s">
        <v>28</v>
      </c>
      <c r="W132" s="30">
        <v>113</v>
      </c>
      <c r="X132" s="204">
        <v>89</v>
      </c>
      <c r="Y132" s="29"/>
      <c r="Z132" s="29" t="s">
        <v>28</v>
      </c>
      <c r="AA132" s="30">
        <v>84</v>
      </c>
      <c r="AB132" s="204">
        <v>78</v>
      </c>
      <c r="AC132" s="30"/>
      <c r="AD132" s="29" t="s">
        <v>28</v>
      </c>
      <c r="AE132" s="30">
        <v>391</v>
      </c>
      <c r="AF132" s="204">
        <v>220</v>
      </c>
      <c r="AG132" s="30"/>
      <c r="AH132" s="29" t="s">
        <v>28</v>
      </c>
      <c r="AI132" s="30">
        <v>440</v>
      </c>
      <c r="AJ132" s="204">
        <v>291</v>
      </c>
      <c r="AK132" s="30"/>
      <c r="AL132" s="29" t="s">
        <v>28</v>
      </c>
      <c r="AM132" s="30">
        <v>97</v>
      </c>
      <c r="AN132" s="206">
        <v>77</v>
      </c>
    </row>
    <row r="133" spans="1:40" outlineLevel="1" x14ac:dyDescent="0.25">
      <c r="A133" s="28"/>
      <c r="B133" s="29" t="s">
        <v>29</v>
      </c>
      <c r="C133" s="30">
        <v>145</v>
      </c>
      <c r="D133" s="204">
        <v>96</v>
      </c>
      <c r="E133" s="30"/>
      <c r="F133" s="29" t="s">
        <v>29</v>
      </c>
      <c r="G133" s="30">
        <v>14</v>
      </c>
      <c r="H133" s="204">
        <v>12</v>
      </c>
      <c r="I133" s="30"/>
      <c r="J133" s="29" t="s">
        <v>29</v>
      </c>
      <c r="K133" s="30">
        <v>122</v>
      </c>
      <c r="L133" s="204">
        <v>60</v>
      </c>
      <c r="M133" s="30"/>
      <c r="N133" s="29" t="s">
        <v>29</v>
      </c>
      <c r="O133" s="30">
        <v>404</v>
      </c>
      <c r="P133" s="204">
        <v>261</v>
      </c>
      <c r="Q133" s="30"/>
      <c r="R133" s="29" t="s">
        <v>29</v>
      </c>
      <c r="S133" s="30">
        <v>74</v>
      </c>
      <c r="T133" s="204">
        <v>59</v>
      </c>
      <c r="U133" s="30"/>
      <c r="V133" s="29" t="s">
        <v>29</v>
      </c>
      <c r="W133" s="30">
        <v>123</v>
      </c>
      <c r="X133" s="204">
        <v>96</v>
      </c>
      <c r="Y133" s="29"/>
      <c r="Z133" s="29" t="s">
        <v>29</v>
      </c>
      <c r="AA133" s="30">
        <v>75</v>
      </c>
      <c r="AB133" s="204">
        <v>87</v>
      </c>
      <c r="AC133" s="30"/>
      <c r="AD133" s="29" t="s">
        <v>29</v>
      </c>
      <c r="AE133" s="30">
        <v>400</v>
      </c>
      <c r="AF133" s="204">
        <v>297</v>
      </c>
      <c r="AG133" s="30"/>
      <c r="AH133" s="29" t="s">
        <v>29</v>
      </c>
      <c r="AI133" s="30">
        <v>412</v>
      </c>
      <c r="AJ133" s="204">
        <v>358</v>
      </c>
      <c r="AK133" s="30"/>
      <c r="AL133" s="29" t="s">
        <v>29</v>
      </c>
      <c r="AM133" s="30">
        <v>91</v>
      </c>
      <c r="AN133" s="206">
        <v>71</v>
      </c>
    </row>
    <row r="134" spans="1:40" outlineLevel="1" x14ac:dyDescent="0.25">
      <c r="A134" s="28"/>
      <c r="B134" s="29" t="s">
        <v>31</v>
      </c>
      <c r="C134" s="30">
        <v>143</v>
      </c>
      <c r="D134" s="204">
        <v>109</v>
      </c>
      <c r="E134" s="30"/>
      <c r="F134" s="29" t="s">
        <v>31</v>
      </c>
      <c r="G134" s="30">
        <v>14</v>
      </c>
      <c r="H134" s="204">
        <v>14</v>
      </c>
      <c r="I134" s="30"/>
      <c r="J134" s="29" t="s">
        <v>31</v>
      </c>
      <c r="K134" s="30">
        <v>104</v>
      </c>
      <c r="L134" s="204">
        <v>82</v>
      </c>
      <c r="M134" s="30"/>
      <c r="N134" s="29" t="s">
        <v>31</v>
      </c>
      <c r="O134" s="30">
        <v>435</v>
      </c>
      <c r="P134" s="204">
        <v>325</v>
      </c>
      <c r="Q134" s="30"/>
      <c r="R134" s="29" t="s">
        <v>31</v>
      </c>
      <c r="S134" s="30">
        <v>83</v>
      </c>
      <c r="T134" s="204">
        <v>64</v>
      </c>
      <c r="U134" s="30"/>
      <c r="V134" s="29" t="s">
        <v>31</v>
      </c>
      <c r="W134" s="30">
        <v>136</v>
      </c>
      <c r="X134" s="204">
        <v>91</v>
      </c>
      <c r="Y134" s="29"/>
      <c r="Z134" s="29" t="s">
        <v>31</v>
      </c>
      <c r="AA134" s="30">
        <v>95</v>
      </c>
      <c r="AB134" s="204">
        <v>92</v>
      </c>
      <c r="AC134" s="30"/>
      <c r="AD134" s="29" t="s">
        <v>31</v>
      </c>
      <c r="AE134" s="30">
        <v>388</v>
      </c>
      <c r="AF134" s="204">
        <v>344</v>
      </c>
      <c r="AG134" s="30"/>
      <c r="AH134" s="29" t="s">
        <v>31</v>
      </c>
      <c r="AI134" s="30">
        <v>451</v>
      </c>
      <c r="AJ134" s="204">
        <v>395</v>
      </c>
      <c r="AK134" s="30"/>
      <c r="AL134" s="29" t="s">
        <v>31</v>
      </c>
      <c r="AM134" s="30">
        <v>83</v>
      </c>
      <c r="AN134" s="206">
        <v>99</v>
      </c>
    </row>
    <row r="135" spans="1:40" outlineLevel="1" x14ac:dyDescent="0.25">
      <c r="A135" s="28"/>
      <c r="B135" s="29" t="s">
        <v>33</v>
      </c>
      <c r="C135" s="30">
        <v>182</v>
      </c>
      <c r="D135" s="204">
        <v>126</v>
      </c>
      <c r="E135" s="30"/>
      <c r="F135" s="29" t="s">
        <v>33</v>
      </c>
      <c r="G135" s="30">
        <v>19</v>
      </c>
      <c r="H135" s="204">
        <v>15</v>
      </c>
      <c r="I135" s="30"/>
      <c r="J135" s="29" t="s">
        <v>33</v>
      </c>
      <c r="K135" s="30">
        <v>116</v>
      </c>
      <c r="L135" s="204">
        <v>108</v>
      </c>
      <c r="M135" s="30"/>
      <c r="N135" s="29" t="s">
        <v>33</v>
      </c>
      <c r="O135" s="30">
        <v>535</v>
      </c>
      <c r="P135" s="204">
        <v>352</v>
      </c>
      <c r="Q135" s="30"/>
      <c r="R135" s="29" t="s">
        <v>33</v>
      </c>
      <c r="S135" s="30">
        <v>93</v>
      </c>
      <c r="T135" s="204">
        <v>61</v>
      </c>
      <c r="U135" s="30"/>
      <c r="V135" s="29" t="s">
        <v>33</v>
      </c>
      <c r="W135" s="30">
        <v>225</v>
      </c>
      <c r="X135" s="204">
        <v>125</v>
      </c>
      <c r="Y135" s="29"/>
      <c r="Z135" s="29" t="s">
        <v>33</v>
      </c>
      <c r="AA135" s="30">
        <v>99</v>
      </c>
      <c r="AB135" s="204">
        <v>68</v>
      </c>
      <c r="AC135" s="30"/>
      <c r="AD135" s="29" t="s">
        <v>33</v>
      </c>
      <c r="AE135" s="30">
        <v>464</v>
      </c>
      <c r="AF135" s="204">
        <v>403</v>
      </c>
      <c r="AG135" s="30"/>
      <c r="AH135" s="29" t="s">
        <v>33</v>
      </c>
      <c r="AI135" s="30">
        <v>549</v>
      </c>
      <c r="AJ135" s="204">
        <v>391</v>
      </c>
      <c r="AK135" s="30"/>
      <c r="AL135" s="29" t="s">
        <v>33</v>
      </c>
      <c r="AM135" s="30">
        <v>93</v>
      </c>
      <c r="AN135" s="206">
        <v>99</v>
      </c>
    </row>
    <row r="136" spans="1:40" outlineLevel="1" x14ac:dyDescent="0.25">
      <c r="A136" s="28"/>
      <c r="B136" s="29" t="s">
        <v>35</v>
      </c>
      <c r="C136" s="30">
        <v>230</v>
      </c>
      <c r="D136" s="204">
        <v>131</v>
      </c>
      <c r="E136" s="30"/>
      <c r="F136" s="29" t="s">
        <v>35</v>
      </c>
      <c r="G136" s="30">
        <v>19</v>
      </c>
      <c r="H136" s="204">
        <v>12</v>
      </c>
      <c r="I136" s="30"/>
      <c r="J136" s="29" t="s">
        <v>35</v>
      </c>
      <c r="K136" s="30">
        <v>140</v>
      </c>
      <c r="L136" s="204">
        <v>109</v>
      </c>
      <c r="M136" s="30"/>
      <c r="N136" s="29" t="s">
        <v>35</v>
      </c>
      <c r="O136" s="30">
        <v>598</v>
      </c>
      <c r="P136" s="204">
        <v>399</v>
      </c>
      <c r="Q136" s="30"/>
      <c r="R136" s="29" t="s">
        <v>35</v>
      </c>
      <c r="S136" s="30">
        <v>107</v>
      </c>
      <c r="T136" s="204">
        <v>81</v>
      </c>
      <c r="U136" s="30"/>
      <c r="V136" s="29" t="s">
        <v>35</v>
      </c>
      <c r="W136" s="30">
        <v>242</v>
      </c>
      <c r="X136" s="204">
        <v>118</v>
      </c>
      <c r="Y136" s="29"/>
      <c r="Z136" s="29" t="s">
        <v>35</v>
      </c>
      <c r="AA136" s="30">
        <v>141</v>
      </c>
      <c r="AB136" s="204">
        <v>74</v>
      </c>
      <c r="AC136" s="30"/>
      <c r="AD136" s="29" t="s">
        <v>35</v>
      </c>
      <c r="AE136" s="30">
        <v>532</v>
      </c>
      <c r="AF136" s="204">
        <v>325</v>
      </c>
      <c r="AG136" s="30"/>
      <c r="AH136" s="29" t="s">
        <v>35</v>
      </c>
      <c r="AI136" s="30">
        <v>644</v>
      </c>
      <c r="AJ136" s="204">
        <v>409</v>
      </c>
      <c r="AK136" s="30"/>
      <c r="AL136" s="29" t="s">
        <v>35</v>
      </c>
      <c r="AM136" s="30">
        <v>125</v>
      </c>
      <c r="AN136" s="206">
        <v>87</v>
      </c>
    </row>
    <row r="137" spans="1:40" outlineLevel="1" x14ac:dyDescent="0.25">
      <c r="A137" s="28"/>
      <c r="B137" s="29" t="s">
        <v>37</v>
      </c>
      <c r="C137" s="30">
        <v>246</v>
      </c>
      <c r="D137" s="204">
        <v>179</v>
      </c>
      <c r="E137" s="30"/>
      <c r="F137" s="29" t="s">
        <v>37</v>
      </c>
      <c r="G137" s="30">
        <v>15</v>
      </c>
      <c r="H137" s="204">
        <v>16</v>
      </c>
      <c r="I137" s="30"/>
      <c r="J137" s="29" t="s">
        <v>37</v>
      </c>
      <c r="K137" s="30">
        <v>188</v>
      </c>
      <c r="L137" s="204">
        <v>105</v>
      </c>
      <c r="M137" s="30"/>
      <c r="N137" s="29" t="s">
        <v>37</v>
      </c>
      <c r="O137" s="30">
        <v>661</v>
      </c>
      <c r="P137" s="204">
        <v>504</v>
      </c>
      <c r="Q137" s="30"/>
      <c r="R137" s="29" t="s">
        <v>37</v>
      </c>
      <c r="S137" s="30">
        <v>149</v>
      </c>
      <c r="T137" s="204">
        <v>84</v>
      </c>
      <c r="U137" s="30"/>
      <c r="V137" s="29" t="s">
        <v>37</v>
      </c>
      <c r="W137" s="30">
        <v>285</v>
      </c>
      <c r="X137" s="204">
        <v>215</v>
      </c>
      <c r="Y137" s="29"/>
      <c r="Z137" s="29" t="s">
        <v>37</v>
      </c>
      <c r="AA137" s="30">
        <v>170</v>
      </c>
      <c r="AB137" s="204">
        <v>99</v>
      </c>
      <c r="AC137" s="30"/>
      <c r="AD137" s="29" t="s">
        <v>37</v>
      </c>
      <c r="AE137" s="30">
        <v>659</v>
      </c>
      <c r="AF137" s="204">
        <v>446</v>
      </c>
      <c r="AG137" s="30"/>
      <c r="AH137" s="29" t="s">
        <v>37</v>
      </c>
      <c r="AI137" s="30">
        <v>731</v>
      </c>
      <c r="AJ137" s="204">
        <v>529</v>
      </c>
      <c r="AK137" s="30"/>
      <c r="AL137" s="29" t="s">
        <v>37</v>
      </c>
      <c r="AM137" s="30">
        <v>146</v>
      </c>
      <c r="AN137" s="206">
        <v>83</v>
      </c>
    </row>
    <row r="138" spans="1:40" outlineLevel="1" x14ac:dyDescent="0.25">
      <c r="A138" s="28"/>
      <c r="B138" s="29" t="s">
        <v>39</v>
      </c>
      <c r="C138" s="30">
        <v>206</v>
      </c>
      <c r="D138" s="204">
        <v>215</v>
      </c>
      <c r="E138" s="30"/>
      <c r="F138" s="29" t="s">
        <v>39</v>
      </c>
      <c r="G138" s="30">
        <v>15</v>
      </c>
      <c r="H138" s="204">
        <v>20</v>
      </c>
      <c r="I138" s="30"/>
      <c r="J138" s="29" t="s">
        <v>39</v>
      </c>
      <c r="K138" s="30">
        <v>186</v>
      </c>
      <c r="L138" s="204">
        <v>133</v>
      </c>
      <c r="M138" s="30"/>
      <c r="N138" s="29" t="s">
        <v>39</v>
      </c>
      <c r="O138" s="30">
        <v>611</v>
      </c>
      <c r="P138" s="204">
        <v>552</v>
      </c>
      <c r="Q138" s="30"/>
      <c r="R138" s="29" t="s">
        <v>39</v>
      </c>
      <c r="S138" s="30">
        <v>93</v>
      </c>
      <c r="T138" s="204">
        <v>90</v>
      </c>
      <c r="U138" s="30"/>
      <c r="V138" s="29" t="s">
        <v>39</v>
      </c>
      <c r="W138" s="30">
        <v>229</v>
      </c>
      <c r="X138" s="204">
        <v>234</v>
      </c>
      <c r="Y138" s="29"/>
      <c r="Z138" s="29" t="s">
        <v>39</v>
      </c>
      <c r="AA138" s="30">
        <v>113</v>
      </c>
      <c r="AB138" s="204">
        <v>121</v>
      </c>
      <c r="AC138" s="30"/>
      <c r="AD138" s="29" t="s">
        <v>39</v>
      </c>
      <c r="AE138" s="30">
        <v>562</v>
      </c>
      <c r="AF138" s="204">
        <v>508</v>
      </c>
      <c r="AG138" s="30"/>
      <c r="AH138" s="29" t="s">
        <v>39</v>
      </c>
      <c r="AI138" s="30">
        <v>535</v>
      </c>
      <c r="AJ138" s="204">
        <v>588</v>
      </c>
      <c r="AK138" s="30"/>
      <c r="AL138" s="29" t="s">
        <v>39</v>
      </c>
      <c r="AM138" s="30">
        <v>126</v>
      </c>
      <c r="AN138" s="206">
        <v>129</v>
      </c>
    </row>
    <row r="139" spans="1:40" outlineLevel="1" x14ac:dyDescent="0.25">
      <c r="A139" s="28"/>
      <c r="B139" s="29" t="s">
        <v>41</v>
      </c>
      <c r="C139" s="30">
        <v>230</v>
      </c>
      <c r="D139" s="204">
        <v>226</v>
      </c>
      <c r="E139" s="30"/>
      <c r="F139" s="29" t="s">
        <v>41</v>
      </c>
      <c r="G139" s="30">
        <v>25</v>
      </c>
      <c r="H139" s="204">
        <v>18</v>
      </c>
      <c r="I139" s="30"/>
      <c r="J139" s="29" t="s">
        <v>41</v>
      </c>
      <c r="K139" s="30">
        <v>196</v>
      </c>
      <c r="L139" s="204">
        <v>157</v>
      </c>
      <c r="M139" s="30"/>
      <c r="N139" s="29" t="s">
        <v>41</v>
      </c>
      <c r="O139" s="30">
        <v>672</v>
      </c>
      <c r="P139" s="204">
        <v>631</v>
      </c>
      <c r="Q139" s="30"/>
      <c r="R139" s="29" t="s">
        <v>41</v>
      </c>
      <c r="S139" s="30">
        <v>84</v>
      </c>
      <c r="T139" s="204">
        <v>135</v>
      </c>
      <c r="U139" s="30"/>
      <c r="V139" s="29" t="s">
        <v>41</v>
      </c>
      <c r="W139" s="30">
        <v>270</v>
      </c>
      <c r="X139" s="204">
        <v>264</v>
      </c>
      <c r="Y139" s="29"/>
      <c r="Z139" s="29" t="s">
        <v>41</v>
      </c>
      <c r="AA139" s="30">
        <v>112</v>
      </c>
      <c r="AB139" s="204">
        <v>153</v>
      </c>
      <c r="AC139" s="30"/>
      <c r="AD139" s="29" t="s">
        <v>41</v>
      </c>
      <c r="AE139" s="30">
        <v>502</v>
      </c>
      <c r="AF139" s="204">
        <v>610</v>
      </c>
      <c r="AG139" s="30"/>
      <c r="AH139" s="29" t="s">
        <v>41</v>
      </c>
      <c r="AI139" s="30">
        <v>534</v>
      </c>
      <c r="AJ139" s="204">
        <v>685</v>
      </c>
      <c r="AK139" s="30"/>
      <c r="AL139" s="29" t="s">
        <v>41</v>
      </c>
      <c r="AM139" s="30">
        <v>91</v>
      </c>
      <c r="AN139" s="206">
        <v>140</v>
      </c>
    </row>
    <row r="140" spans="1:40" outlineLevel="1" x14ac:dyDescent="0.25">
      <c r="A140" s="28"/>
      <c r="B140" s="29" t="s">
        <v>43</v>
      </c>
      <c r="C140" s="30">
        <v>252</v>
      </c>
      <c r="D140" s="204">
        <v>195</v>
      </c>
      <c r="E140" s="30"/>
      <c r="F140" s="29" t="s">
        <v>43</v>
      </c>
      <c r="G140" s="30">
        <v>22</v>
      </c>
      <c r="H140" s="204">
        <v>11</v>
      </c>
      <c r="I140" s="30"/>
      <c r="J140" s="29" t="s">
        <v>43</v>
      </c>
      <c r="K140" s="30">
        <v>236</v>
      </c>
      <c r="L140" s="204">
        <v>187</v>
      </c>
      <c r="M140" s="30"/>
      <c r="N140" s="29" t="s">
        <v>43</v>
      </c>
      <c r="O140" s="30">
        <v>713</v>
      </c>
      <c r="P140" s="204">
        <v>558</v>
      </c>
      <c r="Q140" s="30"/>
      <c r="R140" s="29" t="s">
        <v>43</v>
      </c>
      <c r="S140" s="30">
        <v>92</v>
      </c>
      <c r="T140" s="204">
        <v>97</v>
      </c>
      <c r="U140" s="30"/>
      <c r="V140" s="29" t="s">
        <v>43</v>
      </c>
      <c r="W140" s="30">
        <v>341</v>
      </c>
      <c r="X140" s="204">
        <v>230</v>
      </c>
      <c r="Y140" s="29"/>
      <c r="Z140" s="29" t="s">
        <v>43</v>
      </c>
      <c r="AA140" s="30">
        <v>136</v>
      </c>
      <c r="AB140" s="204">
        <v>117</v>
      </c>
      <c r="AC140" s="30"/>
      <c r="AD140" s="29" t="s">
        <v>43</v>
      </c>
      <c r="AE140" s="30">
        <v>576</v>
      </c>
      <c r="AF140" s="204">
        <v>564</v>
      </c>
      <c r="AG140" s="30"/>
      <c r="AH140" s="29" t="s">
        <v>43</v>
      </c>
      <c r="AI140" s="30">
        <v>527</v>
      </c>
      <c r="AJ140" s="204">
        <v>578</v>
      </c>
      <c r="AK140" s="30"/>
      <c r="AL140" s="29" t="s">
        <v>43</v>
      </c>
      <c r="AM140" s="30">
        <v>107</v>
      </c>
      <c r="AN140" s="206">
        <v>114</v>
      </c>
    </row>
    <row r="141" spans="1:40" outlineLevel="1" x14ac:dyDescent="0.25">
      <c r="A141" s="28"/>
      <c r="B141" s="29" t="s">
        <v>45</v>
      </c>
      <c r="C141" s="30">
        <v>282</v>
      </c>
      <c r="D141" s="204">
        <v>185</v>
      </c>
      <c r="E141" s="30"/>
      <c r="F141" s="29" t="s">
        <v>45</v>
      </c>
      <c r="G141" s="30">
        <v>19</v>
      </c>
      <c r="H141" s="204">
        <v>21</v>
      </c>
      <c r="I141" s="30"/>
      <c r="J141" s="29" t="s">
        <v>45</v>
      </c>
      <c r="K141" s="30">
        <v>238</v>
      </c>
      <c r="L141" s="204">
        <v>138</v>
      </c>
      <c r="M141" s="30"/>
      <c r="N141" s="29" t="s">
        <v>45</v>
      </c>
      <c r="O141" s="30">
        <v>712</v>
      </c>
      <c r="P141" s="204">
        <v>509</v>
      </c>
      <c r="Q141" s="30"/>
      <c r="R141" s="29" t="s">
        <v>45</v>
      </c>
      <c r="S141" s="30">
        <v>102</v>
      </c>
      <c r="T141" s="204">
        <v>70</v>
      </c>
      <c r="U141" s="30"/>
      <c r="V141" s="29" t="s">
        <v>45</v>
      </c>
      <c r="W141" s="30">
        <v>406</v>
      </c>
      <c r="X141" s="204">
        <v>192</v>
      </c>
      <c r="Y141" s="29"/>
      <c r="Z141" s="29" t="s">
        <v>45</v>
      </c>
      <c r="AA141" s="30">
        <v>135</v>
      </c>
      <c r="AB141" s="204">
        <v>79</v>
      </c>
      <c r="AC141" s="30"/>
      <c r="AD141" s="29" t="s">
        <v>45</v>
      </c>
      <c r="AE141" s="30">
        <v>548</v>
      </c>
      <c r="AF141" s="204">
        <v>402</v>
      </c>
      <c r="AG141" s="30"/>
      <c r="AH141" s="29" t="s">
        <v>45</v>
      </c>
      <c r="AI141" s="30">
        <v>667</v>
      </c>
      <c r="AJ141" s="204">
        <v>414</v>
      </c>
      <c r="AK141" s="30"/>
      <c r="AL141" s="29" t="s">
        <v>45</v>
      </c>
      <c r="AM141" s="30">
        <v>125</v>
      </c>
      <c r="AN141" s="206">
        <v>79</v>
      </c>
    </row>
    <row r="142" spans="1:40" outlineLevel="1" x14ac:dyDescent="0.25">
      <c r="A142" s="28"/>
      <c r="B142" s="29" t="s">
        <v>47</v>
      </c>
      <c r="C142" s="30">
        <v>208</v>
      </c>
      <c r="D142" s="204">
        <v>176</v>
      </c>
      <c r="E142" s="30"/>
      <c r="F142" s="29" t="s">
        <v>47</v>
      </c>
      <c r="G142" s="30">
        <v>18</v>
      </c>
      <c r="H142" s="204">
        <v>15</v>
      </c>
      <c r="I142" s="30"/>
      <c r="J142" s="29" t="s">
        <v>47</v>
      </c>
      <c r="K142" s="30">
        <v>181</v>
      </c>
      <c r="L142" s="204">
        <v>159</v>
      </c>
      <c r="M142" s="30"/>
      <c r="N142" s="29" t="s">
        <v>47</v>
      </c>
      <c r="O142" s="30">
        <v>567</v>
      </c>
      <c r="P142" s="204">
        <v>522</v>
      </c>
      <c r="Q142" s="30"/>
      <c r="R142" s="29" t="s">
        <v>47</v>
      </c>
      <c r="S142" s="30">
        <v>91</v>
      </c>
      <c r="T142" s="204">
        <v>63</v>
      </c>
      <c r="U142" s="30"/>
      <c r="V142" s="29" t="s">
        <v>47</v>
      </c>
      <c r="W142" s="30">
        <v>292</v>
      </c>
      <c r="X142" s="204">
        <v>238</v>
      </c>
      <c r="Y142" s="29"/>
      <c r="Z142" s="29" t="s">
        <v>47</v>
      </c>
      <c r="AA142" s="30">
        <v>117</v>
      </c>
      <c r="AB142" s="204">
        <v>95</v>
      </c>
      <c r="AC142" s="30"/>
      <c r="AD142" s="29" t="s">
        <v>47</v>
      </c>
      <c r="AE142" s="30">
        <v>477</v>
      </c>
      <c r="AF142" s="204">
        <v>402</v>
      </c>
      <c r="AG142" s="30"/>
      <c r="AH142" s="29" t="s">
        <v>47</v>
      </c>
      <c r="AI142" s="30">
        <v>512</v>
      </c>
      <c r="AJ142" s="204">
        <v>363</v>
      </c>
      <c r="AK142" s="30"/>
      <c r="AL142" s="29" t="s">
        <v>47</v>
      </c>
      <c r="AM142" s="30">
        <v>100</v>
      </c>
      <c r="AN142" s="206">
        <v>74</v>
      </c>
    </row>
    <row r="143" spans="1:40" outlineLevel="1" x14ac:dyDescent="0.25">
      <c r="A143" s="28"/>
      <c r="B143" s="29" t="s">
        <v>49</v>
      </c>
      <c r="C143" s="30">
        <v>125</v>
      </c>
      <c r="D143" s="204">
        <v>151</v>
      </c>
      <c r="E143" s="30"/>
      <c r="F143" s="29" t="s">
        <v>49</v>
      </c>
      <c r="G143" s="30">
        <v>12</v>
      </c>
      <c r="H143" s="204">
        <v>8</v>
      </c>
      <c r="I143" s="30"/>
      <c r="J143" s="29" t="s">
        <v>49</v>
      </c>
      <c r="K143" s="30">
        <v>94</v>
      </c>
      <c r="L143" s="204">
        <v>127</v>
      </c>
      <c r="M143" s="30"/>
      <c r="N143" s="29" t="s">
        <v>49</v>
      </c>
      <c r="O143" s="30">
        <v>297</v>
      </c>
      <c r="P143" s="204">
        <v>314</v>
      </c>
      <c r="Q143" s="30"/>
      <c r="R143" s="29" t="s">
        <v>49</v>
      </c>
      <c r="S143" s="30">
        <v>46</v>
      </c>
      <c r="T143" s="204">
        <v>49</v>
      </c>
      <c r="U143" s="30"/>
      <c r="V143" s="29" t="s">
        <v>49</v>
      </c>
      <c r="W143" s="30">
        <v>172</v>
      </c>
      <c r="X143" s="204">
        <v>203</v>
      </c>
      <c r="Y143" s="29"/>
      <c r="Z143" s="29" t="s">
        <v>49</v>
      </c>
      <c r="AA143" s="30">
        <v>60</v>
      </c>
      <c r="AB143" s="204">
        <v>70</v>
      </c>
      <c r="AC143" s="30"/>
      <c r="AD143" s="29" t="s">
        <v>49</v>
      </c>
      <c r="AE143" s="30">
        <v>227</v>
      </c>
      <c r="AF143" s="204">
        <v>266</v>
      </c>
      <c r="AG143" s="30"/>
      <c r="AH143" s="29" t="s">
        <v>49</v>
      </c>
      <c r="AI143" s="30">
        <v>252</v>
      </c>
      <c r="AJ143" s="204">
        <v>315</v>
      </c>
      <c r="AK143" s="30"/>
      <c r="AL143" s="29" t="s">
        <v>49</v>
      </c>
      <c r="AM143" s="30">
        <v>48</v>
      </c>
      <c r="AN143" s="206">
        <v>41</v>
      </c>
    </row>
    <row r="144" spans="1:40" outlineLevel="1" x14ac:dyDescent="0.25">
      <c r="A144" s="28"/>
      <c r="B144" s="29" t="s">
        <v>51</v>
      </c>
      <c r="C144" s="30">
        <v>34</v>
      </c>
      <c r="D144" s="204">
        <v>57</v>
      </c>
      <c r="E144" s="30"/>
      <c r="F144" s="29" t="s">
        <v>51</v>
      </c>
      <c r="G144" s="30">
        <v>3</v>
      </c>
      <c r="H144" s="204">
        <v>5</v>
      </c>
      <c r="I144" s="30"/>
      <c r="J144" s="29" t="s">
        <v>51</v>
      </c>
      <c r="K144" s="30">
        <v>23</v>
      </c>
      <c r="L144" s="204">
        <v>46</v>
      </c>
      <c r="M144" s="30"/>
      <c r="N144" s="29" t="s">
        <v>51</v>
      </c>
      <c r="O144" s="30">
        <v>94</v>
      </c>
      <c r="P144" s="204">
        <v>138</v>
      </c>
      <c r="Q144" s="30"/>
      <c r="R144" s="29" t="s">
        <v>51</v>
      </c>
      <c r="S144" s="30">
        <v>12</v>
      </c>
      <c r="T144" s="204">
        <v>19</v>
      </c>
      <c r="U144" s="30"/>
      <c r="V144" s="29" t="s">
        <v>51</v>
      </c>
      <c r="W144" s="30">
        <v>48</v>
      </c>
      <c r="X144" s="204">
        <v>79</v>
      </c>
      <c r="Y144" s="29"/>
      <c r="Z144" s="29" t="s">
        <v>51</v>
      </c>
      <c r="AA144" s="30">
        <v>13</v>
      </c>
      <c r="AB144" s="204">
        <v>30</v>
      </c>
      <c r="AC144" s="30"/>
      <c r="AD144" s="29" t="s">
        <v>51</v>
      </c>
      <c r="AE144" s="30">
        <v>73</v>
      </c>
      <c r="AF144" s="204">
        <v>95</v>
      </c>
      <c r="AG144" s="30"/>
      <c r="AH144" s="29" t="s">
        <v>51</v>
      </c>
      <c r="AI144" s="30">
        <v>52</v>
      </c>
      <c r="AJ144" s="204">
        <v>138</v>
      </c>
      <c r="AK144" s="30"/>
      <c r="AL144" s="29" t="s">
        <v>51</v>
      </c>
      <c r="AM144" s="30">
        <v>11</v>
      </c>
      <c r="AN144" s="206">
        <v>18</v>
      </c>
    </row>
    <row r="145" spans="1:40" ht="19.5" outlineLevel="1" thickBot="1" x14ac:dyDescent="0.3">
      <c r="A145" s="34"/>
      <c r="B145" s="35" t="s">
        <v>53</v>
      </c>
      <c r="C145" s="36">
        <v>8</v>
      </c>
      <c r="D145" s="205">
        <v>10</v>
      </c>
      <c r="E145" s="36"/>
      <c r="F145" s="35" t="s">
        <v>53</v>
      </c>
      <c r="G145" s="36">
        <v>0</v>
      </c>
      <c r="H145" s="205">
        <v>1</v>
      </c>
      <c r="I145" s="36"/>
      <c r="J145" s="35" t="s">
        <v>53</v>
      </c>
      <c r="K145" s="36">
        <v>6</v>
      </c>
      <c r="L145" s="205">
        <v>5</v>
      </c>
      <c r="M145" s="36"/>
      <c r="N145" s="35" t="s">
        <v>53</v>
      </c>
      <c r="O145" s="36">
        <v>9</v>
      </c>
      <c r="P145" s="205">
        <v>42</v>
      </c>
      <c r="Q145" s="36"/>
      <c r="R145" s="35" t="s">
        <v>53</v>
      </c>
      <c r="S145" s="36">
        <v>1</v>
      </c>
      <c r="T145" s="205">
        <v>5</v>
      </c>
      <c r="U145" s="36"/>
      <c r="V145" s="35" t="s">
        <v>53</v>
      </c>
      <c r="W145" s="36">
        <v>12</v>
      </c>
      <c r="X145" s="205">
        <v>13</v>
      </c>
      <c r="Y145" s="35"/>
      <c r="Z145" s="35" t="s">
        <v>53</v>
      </c>
      <c r="AA145" s="36">
        <v>1</v>
      </c>
      <c r="AB145" s="205">
        <v>2</v>
      </c>
      <c r="AC145" s="36"/>
      <c r="AD145" s="35" t="s">
        <v>53</v>
      </c>
      <c r="AE145" s="36">
        <v>11</v>
      </c>
      <c r="AF145" s="205">
        <v>24</v>
      </c>
      <c r="AG145" s="36"/>
      <c r="AH145" s="35" t="s">
        <v>53</v>
      </c>
      <c r="AI145" s="36">
        <v>9</v>
      </c>
      <c r="AJ145" s="205">
        <v>25</v>
      </c>
      <c r="AK145" s="36"/>
      <c r="AL145" s="35" t="s">
        <v>53</v>
      </c>
      <c r="AM145" s="36">
        <v>1</v>
      </c>
      <c r="AN145" s="208">
        <v>4</v>
      </c>
    </row>
    <row r="146" spans="1:40" outlineLevel="1" x14ac:dyDescent="0.25">
      <c r="A146" s="44"/>
      <c r="B146" s="44" t="s">
        <v>79</v>
      </c>
      <c r="C146" s="45">
        <f>SUM(C115:C122,C138:C145)</f>
        <v>2346</v>
      </c>
      <c r="D146" s="45">
        <f>SUM(D115:D122,D138:D145)</f>
        <v>2265</v>
      </c>
      <c r="E146" s="45"/>
      <c r="F146" s="44" t="s">
        <v>79</v>
      </c>
      <c r="G146" s="45">
        <f>SUM(G115:G122,G138:G145)</f>
        <v>202</v>
      </c>
      <c r="H146" s="45">
        <f>SUM(H115:H122,H138:H145)</f>
        <v>189</v>
      </c>
      <c r="I146" s="45"/>
      <c r="J146" s="44" t="s">
        <v>79</v>
      </c>
      <c r="K146" s="45">
        <f>SUM(K115:K122,K138:K145)</f>
        <v>2028</v>
      </c>
      <c r="L146" s="45">
        <f>SUM(L115:L122,L138:L145)</f>
        <v>1690</v>
      </c>
      <c r="M146" s="45"/>
      <c r="N146" s="44" t="s">
        <v>79</v>
      </c>
      <c r="O146" s="45">
        <f>SUM(O115:O122,O138:O145)</f>
        <v>6345</v>
      </c>
      <c r="P146" s="45">
        <f>SUM(P115:P122,P138:P145)</f>
        <v>5887</v>
      </c>
      <c r="Q146" s="45"/>
      <c r="R146" s="44" t="s">
        <v>79</v>
      </c>
      <c r="S146" s="45">
        <f>SUM(S115:S122,S138:S145)</f>
        <v>929</v>
      </c>
      <c r="T146" s="45">
        <f>SUM(T115:T122,T138:T145)</f>
        <v>1000</v>
      </c>
      <c r="U146" s="45"/>
      <c r="V146" s="44" t="s">
        <v>79</v>
      </c>
      <c r="W146" s="45">
        <f>SUM(W115:W122,W138:W145)</f>
        <v>2967</v>
      </c>
      <c r="X146" s="45">
        <f>SUM(X115:X122,X138:X145)</f>
        <v>2655</v>
      </c>
      <c r="Y146" s="45"/>
      <c r="Z146" s="44" t="s">
        <v>79</v>
      </c>
      <c r="AA146" s="45">
        <f>SUM(AA115:AA122,AA138:AA145)</f>
        <v>1163</v>
      </c>
      <c r="AB146" s="45">
        <f>SUM(AB115:AB122,AB138:AB145)</f>
        <v>1222</v>
      </c>
      <c r="AC146" s="45"/>
      <c r="AD146" s="44" t="s">
        <v>79</v>
      </c>
      <c r="AE146" s="45">
        <f>SUM(AE115:AE122,AE138:AE145)</f>
        <v>5009</v>
      </c>
      <c r="AF146" s="45">
        <f>SUM(AF115:AF122,AF138:AF145)</f>
        <v>5160</v>
      </c>
      <c r="AG146" s="45"/>
      <c r="AH146" s="44" t="s">
        <v>79</v>
      </c>
      <c r="AI146" s="45">
        <f>SUM(AI115:AI122,AI138:AI145)</f>
        <v>5236</v>
      </c>
      <c r="AJ146" s="45">
        <f>SUM(AJ115:AJ122,AJ138:AJ145)</f>
        <v>5483</v>
      </c>
      <c r="AK146" s="45"/>
      <c r="AL146" s="44" t="s">
        <v>79</v>
      </c>
      <c r="AM146" s="45">
        <f>SUM(AM115:AM122,AM138:AM145)</f>
        <v>1018</v>
      </c>
      <c r="AN146" s="45">
        <f>SUM(AN115:AN122,AN138:AN145)</f>
        <v>1064</v>
      </c>
    </row>
    <row r="147" spans="1:40" ht="19.5" thickBot="1" x14ac:dyDescent="0.3">
      <c r="A147" s="39"/>
      <c r="B147" s="39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</row>
    <row r="148" spans="1:40" outlineLevel="1" x14ac:dyDescent="0.25">
      <c r="A148" s="169" t="s">
        <v>235</v>
      </c>
      <c r="B148" s="25"/>
      <c r="C148" s="26" t="s">
        <v>1</v>
      </c>
      <c r="D148" s="211" t="s">
        <v>217</v>
      </c>
      <c r="E148" s="165" t="s">
        <v>236</v>
      </c>
      <c r="F148" s="25"/>
      <c r="G148" s="26" t="s">
        <v>1</v>
      </c>
      <c r="H148" s="26" t="s">
        <v>217</v>
      </c>
      <c r="I148" s="165" t="s">
        <v>237</v>
      </c>
      <c r="J148" s="25"/>
      <c r="K148" s="26" t="s">
        <v>1</v>
      </c>
      <c r="L148" s="26" t="s">
        <v>217</v>
      </c>
      <c r="M148" s="165" t="s">
        <v>238</v>
      </c>
      <c r="N148" s="25"/>
      <c r="O148" s="26" t="s">
        <v>1</v>
      </c>
      <c r="P148" s="26" t="s">
        <v>217</v>
      </c>
      <c r="Q148" s="165" t="s">
        <v>239</v>
      </c>
      <c r="R148" s="25"/>
      <c r="S148" s="26" t="s">
        <v>1</v>
      </c>
      <c r="T148" s="26" t="s">
        <v>217</v>
      </c>
      <c r="U148" s="165" t="s">
        <v>240</v>
      </c>
      <c r="V148" s="25"/>
      <c r="W148" s="26" t="s">
        <v>1</v>
      </c>
      <c r="X148" s="26" t="s">
        <v>217</v>
      </c>
      <c r="Y148" s="165" t="s">
        <v>241</v>
      </c>
      <c r="Z148" s="25"/>
      <c r="AA148" s="26" t="s">
        <v>1</v>
      </c>
      <c r="AB148" s="26" t="s">
        <v>217</v>
      </c>
      <c r="AC148" s="165" t="s">
        <v>242</v>
      </c>
      <c r="AD148" s="25"/>
      <c r="AE148" s="26" t="s">
        <v>1</v>
      </c>
      <c r="AF148" s="26" t="s">
        <v>217</v>
      </c>
      <c r="AG148" s="165" t="s">
        <v>243</v>
      </c>
      <c r="AH148" s="25"/>
      <c r="AI148" s="26" t="s">
        <v>1</v>
      </c>
      <c r="AJ148" s="26" t="s">
        <v>217</v>
      </c>
      <c r="AK148" s="165" t="s">
        <v>244</v>
      </c>
      <c r="AL148" s="25"/>
      <c r="AM148" s="26" t="s">
        <v>1</v>
      </c>
      <c r="AN148" s="27" t="s">
        <v>217</v>
      </c>
    </row>
    <row r="149" spans="1:40" customFormat="1" outlineLevel="1" x14ac:dyDescent="0.25">
      <c r="A149" s="202">
        <v>1362</v>
      </c>
      <c r="B149" s="172"/>
      <c r="C149" s="166" t="s">
        <v>13</v>
      </c>
      <c r="D149" s="166"/>
      <c r="E149" s="172">
        <v>1368</v>
      </c>
      <c r="F149" s="172"/>
      <c r="G149" s="166" t="s">
        <v>13</v>
      </c>
      <c r="H149" s="166"/>
      <c r="I149" s="172">
        <v>1371</v>
      </c>
      <c r="J149" s="172"/>
      <c r="K149" s="166" t="s">
        <v>13</v>
      </c>
      <c r="L149" s="166"/>
      <c r="M149" s="172">
        <v>1374</v>
      </c>
      <c r="N149" s="172"/>
      <c r="O149" s="166" t="s">
        <v>13</v>
      </c>
      <c r="P149" s="166"/>
      <c r="Q149" s="172">
        <v>1377</v>
      </c>
      <c r="R149" s="172"/>
      <c r="S149" s="166" t="s">
        <v>13</v>
      </c>
      <c r="T149" s="166"/>
      <c r="U149" s="172">
        <v>1383</v>
      </c>
      <c r="V149" s="172"/>
      <c r="W149" s="166" t="s">
        <v>13</v>
      </c>
      <c r="X149" s="166"/>
      <c r="Y149" s="172">
        <v>1386</v>
      </c>
      <c r="Z149" s="172"/>
      <c r="AA149" s="166" t="s">
        <v>13</v>
      </c>
      <c r="AB149" s="166"/>
      <c r="AC149" s="172">
        <v>1389</v>
      </c>
      <c r="AD149" s="172"/>
      <c r="AE149" s="166" t="s">
        <v>13</v>
      </c>
      <c r="AF149" s="166"/>
      <c r="AG149" s="172">
        <v>1392</v>
      </c>
      <c r="AH149" s="172"/>
      <c r="AI149" s="166" t="s">
        <v>13</v>
      </c>
      <c r="AJ149" s="166"/>
      <c r="AK149" s="172">
        <v>1398</v>
      </c>
      <c r="AL149" s="172"/>
      <c r="AM149" s="166" t="s">
        <v>13</v>
      </c>
      <c r="AN149" s="207"/>
    </row>
    <row r="150" spans="1:40" outlineLevel="1" x14ac:dyDescent="0.25">
      <c r="A150" s="28"/>
      <c r="B150" s="29" t="s">
        <v>18</v>
      </c>
      <c r="C150" s="30">
        <v>1825</v>
      </c>
      <c r="D150" s="204">
        <v>1383</v>
      </c>
      <c r="E150" s="29"/>
      <c r="F150" s="29" t="s">
        <v>18</v>
      </c>
      <c r="G150" s="30">
        <v>880</v>
      </c>
      <c r="H150" s="204">
        <v>650</v>
      </c>
      <c r="I150" s="29"/>
      <c r="J150" s="29" t="s">
        <v>18</v>
      </c>
      <c r="K150" s="30">
        <v>1086</v>
      </c>
      <c r="L150" s="204">
        <v>843</v>
      </c>
      <c r="M150" s="29"/>
      <c r="N150" s="29" t="s">
        <v>18</v>
      </c>
      <c r="O150" s="30">
        <v>667</v>
      </c>
      <c r="P150" s="204">
        <v>511</v>
      </c>
      <c r="Q150" s="29"/>
      <c r="R150" s="29" t="s">
        <v>18</v>
      </c>
      <c r="S150" s="30">
        <v>10518</v>
      </c>
      <c r="T150" s="204">
        <v>8650</v>
      </c>
      <c r="U150" s="29"/>
      <c r="V150" s="29" t="s">
        <v>18</v>
      </c>
      <c r="W150" s="30">
        <v>10018</v>
      </c>
      <c r="X150" s="204">
        <v>10539</v>
      </c>
      <c r="Y150" s="29"/>
      <c r="Z150" s="29" t="s">
        <v>18</v>
      </c>
      <c r="AA150" s="30">
        <v>3290</v>
      </c>
      <c r="AB150" s="204">
        <v>3015</v>
      </c>
      <c r="AC150" s="29"/>
      <c r="AD150" s="29" t="s">
        <v>18</v>
      </c>
      <c r="AE150" s="30">
        <v>2557</v>
      </c>
      <c r="AF150" s="204">
        <v>2292</v>
      </c>
      <c r="AG150" s="29"/>
      <c r="AH150" s="29" t="s">
        <v>18</v>
      </c>
      <c r="AI150" s="30">
        <v>8893</v>
      </c>
      <c r="AJ150" s="204">
        <v>8283</v>
      </c>
      <c r="AK150" s="29"/>
      <c r="AL150" s="29" t="s">
        <v>18</v>
      </c>
      <c r="AM150" s="30">
        <v>7297</v>
      </c>
      <c r="AN150" s="206">
        <v>6181</v>
      </c>
    </row>
    <row r="151" spans="1:40" outlineLevel="1" x14ac:dyDescent="0.25">
      <c r="A151" s="28"/>
      <c r="B151" s="29" t="s">
        <v>20</v>
      </c>
      <c r="C151" s="30">
        <v>69</v>
      </c>
      <c r="D151" s="204">
        <v>33</v>
      </c>
      <c r="E151" s="29"/>
      <c r="F151" s="29" t="s">
        <v>20</v>
      </c>
      <c r="G151" s="30">
        <v>23</v>
      </c>
      <c r="H151" s="204">
        <v>4</v>
      </c>
      <c r="I151" s="29"/>
      <c r="J151" s="29" t="s">
        <v>20</v>
      </c>
      <c r="K151" s="30">
        <v>12</v>
      </c>
      <c r="L151" s="204">
        <v>11</v>
      </c>
      <c r="M151" s="29"/>
      <c r="N151" s="29" t="s">
        <v>20</v>
      </c>
      <c r="O151" s="30">
        <v>15</v>
      </c>
      <c r="P151" s="204">
        <v>12</v>
      </c>
      <c r="Q151" s="29"/>
      <c r="R151" s="29" t="s">
        <v>20</v>
      </c>
      <c r="S151" s="30">
        <v>352</v>
      </c>
      <c r="T151" s="204">
        <v>199</v>
      </c>
      <c r="U151" s="29"/>
      <c r="V151" s="29" t="s">
        <v>20</v>
      </c>
      <c r="W151" s="30">
        <v>481</v>
      </c>
      <c r="X151" s="204">
        <v>405</v>
      </c>
      <c r="Y151" s="29"/>
      <c r="Z151" s="29" t="s">
        <v>20</v>
      </c>
      <c r="AA151" s="30">
        <v>138</v>
      </c>
      <c r="AB151" s="204">
        <v>80</v>
      </c>
      <c r="AC151" s="29"/>
      <c r="AD151" s="29" t="s">
        <v>20</v>
      </c>
      <c r="AE151" s="30">
        <v>99</v>
      </c>
      <c r="AF151" s="204">
        <v>65</v>
      </c>
      <c r="AG151" s="29"/>
      <c r="AH151" s="29" t="s">
        <v>20</v>
      </c>
      <c r="AI151" s="30">
        <v>390</v>
      </c>
      <c r="AJ151" s="204">
        <v>236</v>
      </c>
      <c r="AK151" s="29"/>
      <c r="AL151" s="29" t="s">
        <v>20</v>
      </c>
      <c r="AM151" s="30">
        <v>286</v>
      </c>
      <c r="AN151" s="206">
        <v>147</v>
      </c>
    </row>
    <row r="152" spans="1:40" outlineLevel="1" x14ac:dyDescent="0.25">
      <c r="A152" s="28"/>
      <c r="B152" s="29" t="s">
        <v>22</v>
      </c>
      <c r="C152" s="30">
        <v>59</v>
      </c>
      <c r="D152" s="204">
        <v>48</v>
      </c>
      <c r="E152" s="29"/>
      <c r="F152" s="29" t="s">
        <v>22</v>
      </c>
      <c r="G152" s="30">
        <v>17</v>
      </c>
      <c r="H152" s="204">
        <v>17</v>
      </c>
      <c r="I152" s="29"/>
      <c r="J152" s="29" t="s">
        <v>22</v>
      </c>
      <c r="K152" s="30">
        <v>20</v>
      </c>
      <c r="L152" s="204">
        <v>18</v>
      </c>
      <c r="M152" s="29"/>
      <c r="N152" s="29" t="s">
        <v>22</v>
      </c>
      <c r="O152" s="30">
        <v>13</v>
      </c>
      <c r="P152" s="204">
        <v>8</v>
      </c>
      <c r="Q152" s="29"/>
      <c r="R152" s="29" t="s">
        <v>22</v>
      </c>
      <c r="S152" s="30">
        <v>390</v>
      </c>
      <c r="T152" s="204">
        <v>273</v>
      </c>
      <c r="U152" s="29"/>
      <c r="V152" s="29" t="s">
        <v>22</v>
      </c>
      <c r="W152" s="30">
        <v>466</v>
      </c>
      <c r="X152" s="204">
        <v>492</v>
      </c>
      <c r="Y152" s="29"/>
      <c r="Z152" s="29" t="s">
        <v>22</v>
      </c>
      <c r="AA152" s="30">
        <v>154</v>
      </c>
      <c r="AB152" s="204">
        <v>108</v>
      </c>
      <c r="AC152" s="29"/>
      <c r="AD152" s="29" t="s">
        <v>22</v>
      </c>
      <c r="AE152" s="30">
        <v>105</v>
      </c>
      <c r="AF152" s="204">
        <v>97</v>
      </c>
      <c r="AG152" s="29"/>
      <c r="AH152" s="29" t="s">
        <v>22</v>
      </c>
      <c r="AI152" s="30">
        <v>403</v>
      </c>
      <c r="AJ152" s="204">
        <v>330</v>
      </c>
      <c r="AK152" s="29"/>
      <c r="AL152" s="29" t="s">
        <v>22</v>
      </c>
      <c r="AM152" s="30">
        <v>330</v>
      </c>
      <c r="AN152" s="206">
        <v>177</v>
      </c>
    </row>
    <row r="153" spans="1:40" outlineLevel="1" x14ac:dyDescent="0.25">
      <c r="A153" s="28"/>
      <c r="B153" s="29" t="s">
        <v>23</v>
      </c>
      <c r="C153" s="30">
        <v>81</v>
      </c>
      <c r="D153" s="204">
        <v>58</v>
      </c>
      <c r="E153" s="29"/>
      <c r="F153" s="29" t="s">
        <v>23</v>
      </c>
      <c r="G153" s="30">
        <v>26</v>
      </c>
      <c r="H153" s="204">
        <v>19</v>
      </c>
      <c r="I153" s="29"/>
      <c r="J153" s="29" t="s">
        <v>23</v>
      </c>
      <c r="K153" s="30">
        <v>25</v>
      </c>
      <c r="L153" s="204">
        <v>11</v>
      </c>
      <c r="M153" s="29"/>
      <c r="N153" s="29" t="s">
        <v>23</v>
      </c>
      <c r="O153" s="30">
        <v>18</v>
      </c>
      <c r="P153" s="204">
        <v>11</v>
      </c>
      <c r="Q153" s="29"/>
      <c r="R153" s="29" t="s">
        <v>23</v>
      </c>
      <c r="S153" s="30">
        <v>492</v>
      </c>
      <c r="T153" s="204">
        <v>374</v>
      </c>
      <c r="U153" s="29"/>
      <c r="V153" s="29" t="s">
        <v>23</v>
      </c>
      <c r="W153" s="30">
        <v>538</v>
      </c>
      <c r="X153" s="204">
        <v>505</v>
      </c>
      <c r="Y153" s="29"/>
      <c r="Z153" s="29" t="s">
        <v>23</v>
      </c>
      <c r="AA153" s="30">
        <v>178</v>
      </c>
      <c r="AB153" s="204">
        <v>149</v>
      </c>
      <c r="AC153" s="29"/>
      <c r="AD153" s="29" t="s">
        <v>23</v>
      </c>
      <c r="AE153" s="30">
        <v>159</v>
      </c>
      <c r="AF153" s="204">
        <v>96</v>
      </c>
      <c r="AG153" s="29"/>
      <c r="AH153" s="29" t="s">
        <v>23</v>
      </c>
      <c r="AI153" s="30">
        <v>447</v>
      </c>
      <c r="AJ153" s="204">
        <v>403</v>
      </c>
      <c r="AK153" s="29"/>
      <c r="AL153" s="29" t="s">
        <v>23</v>
      </c>
      <c r="AM153" s="30">
        <v>383</v>
      </c>
      <c r="AN153" s="206">
        <v>285</v>
      </c>
    </row>
    <row r="154" spans="1:40" outlineLevel="1" x14ac:dyDescent="0.25">
      <c r="A154" s="28"/>
      <c r="B154" s="29" t="s">
        <v>24</v>
      </c>
      <c r="C154" s="30">
        <v>83</v>
      </c>
      <c r="D154" s="204">
        <v>47</v>
      </c>
      <c r="E154" s="29"/>
      <c r="F154" s="29" t="s">
        <v>24</v>
      </c>
      <c r="G154" s="30">
        <v>26</v>
      </c>
      <c r="H154" s="204">
        <v>10</v>
      </c>
      <c r="I154" s="29"/>
      <c r="J154" s="29" t="s">
        <v>24</v>
      </c>
      <c r="K154" s="30">
        <v>35</v>
      </c>
      <c r="L154" s="204">
        <v>53</v>
      </c>
      <c r="M154" s="29"/>
      <c r="N154" s="29" t="s">
        <v>24</v>
      </c>
      <c r="O154" s="30">
        <v>20</v>
      </c>
      <c r="P154" s="204">
        <v>9</v>
      </c>
      <c r="Q154" s="29"/>
      <c r="R154" s="29" t="s">
        <v>24</v>
      </c>
      <c r="S154" s="30">
        <v>577</v>
      </c>
      <c r="T154" s="204">
        <v>339</v>
      </c>
      <c r="U154" s="29"/>
      <c r="V154" s="29" t="s">
        <v>24</v>
      </c>
      <c r="W154" s="30">
        <v>497</v>
      </c>
      <c r="X154" s="204">
        <v>506</v>
      </c>
      <c r="Y154" s="29"/>
      <c r="Z154" s="29" t="s">
        <v>24</v>
      </c>
      <c r="AA154" s="30">
        <v>171</v>
      </c>
      <c r="AB154" s="204">
        <v>147</v>
      </c>
      <c r="AC154" s="29"/>
      <c r="AD154" s="29" t="s">
        <v>24</v>
      </c>
      <c r="AE154" s="30">
        <v>159</v>
      </c>
      <c r="AF154" s="204">
        <v>106</v>
      </c>
      <c r="AG154" s="29"/>
      <c r="AH154" s="29" t="s">
        <v>24</v>
      </c>
      <c r="AI154" s="30">
        <v>490</v>
      </c>
      <c r="AJ154" s="204">
        <v>371</v>
      </c>
      <c r="AK154" s="29"/>
      <c r="AL154" s="29" t="s">
        <v>24</v>
      </c>
      <c r="AM154" s="30">
        <v>445</v>
      </c>
      <c r="AN154" s="206">
        <v>333</v>
      </c>
    </row>
    <row r="155" spans="1:40" outlineLevel="1" x14ac:dyDescent="0.25">
      <c r="A155" s="28"/>
      <c r="B155" s="29" t="s">
        <v>25</v>
      </c>
      <c r="C155" s="30">
        <v>79</v>
      </c>
      <c r="D155" s="204">
        <v>47</v>
      </c>
      <c r="E155" s="29"/>
      <c r="F155" s="29" t="s">
        <v>25</v>
      </c>
      <c r="G155" s="30">
        <v>37</v>
      </c>
      <c r="H155" s="204">
        <v>24</v>
      </c>
      <c r="I155" s="29"/>
      <c r="J155" s="29" t="s">
        <v>25</v>
      </c>
      <c r="K155" s="30">
        <v>16</v>
      </c>
      <c r="L155" s="204">
        <v>13</v>
      </c>
      <c r="M155" s="29"/>
      <c r="N155" s="29" t="s">
        <v>25</v>
      </c>
      <c r="O155" s="30">
        <v>12</v>
      </c>
      <c r="P155" s="204">
        <v>10</v>
      </c>
      <c r="Q155" s="29"/>
      <c r="R155" s="29" t="s">
        <v>25</v>
      </c>
      <c r="S155" s="30">
        <v>432</v>
      </c>
      <c r="T155" s="204">
        <v>311</v>
      </c>
      <c r="U155" s="29"/>
      <c r="V155" s="29" t="s">
        <v>25</v>
      </c>
      <c r="W155" s="30">
        <v>489</v>
      </c>
      <c r="X155" s="204">
        <v>554</v>
      </c>
      <c r="Y155" s="29"/>
      <c r="Z155" s="29" t="s">
        <v>25</v>
      </c>
      <c r="AA155" s="30">
        <v>165</v>
      </c>
      <c r="AB155" s="204">
        <v>147</v>
      </c>
      <c r="AC155" s="29"/>
      <c r="AD155" s="29" t="s">
        <v>25</v>
      </c>
      <c r="AE155" s="30">
        <v>136</v>
      </c>
      <c r="AF155" s="204">
        <v>122</v>
      </c>
      <c r="AG155" s="29"/>
      <c r="AH155" s="29" t="s">
        <v>25</v>
      </c>
      <c r="AI155" s="30">
        <v>424</v>
      </c>
      <c r="AJ155" s="204">
        <v>409</v>
      </c>
      <c r="AK155" s="29"/>
      <c r="AL155" s="29" t="s">
        <v>25</v>
      </c>
      <c r="AM155" s="30">
        <v>379</v>
      </c>
      <c r="AN155" s="206">
        <v>286</v>
      </c>
    </row>
    <row r="156" spans="1:40" outlineLevel="1" x14ac:dyDescent="0.25">
      <c r="A156" s="28"/>
      <c r="B156" s="29" t="s">
        <v>26</v>
      </c>
      <c r="C156" s="30">
        <v>76</v>
      </c>
      <c r="D156" s="204">
        <v>42</v>
      </c>
      <c r="E156" s="29"/>
      <c r="F156" s="29" t="s">
        <v>26</v>
      </c>
      <c r="G156" s="30">
        <v>36</v>
      </c>
      <c r="H156" s="204">
        <v>17</v>
      </c>
      <c r="I156" s="29"/>
      <c r="J156" s="29" t="s">
        <v>26</v>
      </c>
      <c r="K156" s="30">
        <v>23</v>
      </c>
      <c r="L156" s="204">
        <v>17</v>
      </c>
      <c r="M156" s="29"/>
      <c r="N156" s="29" t="s">
        <v>26</v>
      </c>
      <c r="O156" s="30">
        <v>23</v>
      </c>
      <c r="P156" s="204">
        <v>12</v>
      </c>
      <c r="Q156" s="29"/>
      <c r="R156" s="29" t="s">
        <v>26</v>
      </c>
      <c r="S156" s="30">
        <v>499</v>
      </c>
      <c r="T156" s="204">
        <v>310</v>
      </c>
      <c r="U156" s="29"/>
      <c r="V156" s="29" t="s">
        <v>26</v>
      </c>
      <c r="W156" s="30">
        <v>636</v>
      </c>
      <c r="X156" s="204">
        <v>583</v>
      </c>
      <c r="Y156" s="29"/>
      <c r="Z156" s="29" t="s">
        <v>26</v>
      </c>
      <c r="AA156" s="30">
        <v>155</v>
      </c>
      <c r="AB156" s="204">
        <v>131</v>
      </c>
      <c r="AC156" s="29"/>
      <c r="AD156" s="29" t="s">
        <v>26</v>
      </c>
      <c r="AE156" s="30">
        <v>128</v>
      </c>
      <c r="AF156" s="204">
        <v>114</v>
      </c>
      <c r="AG156" s="29"/>
      <c r="AH156" s="29" t="s">
        <v>26</v>
      </c>
      <c r="AI156" s="30">
        <v>542</v>
      </c>
      <c r="AJ156" s="204">
        <v>432</v>
      </c>
      <c r="AK156" s="29"/>
      <c r="AL156" s="29" t="s">
        <v>26</v>
      </c>
      <c r="AM156" s="30">
        <v>407</v>
      </c>
      <c r="AN156" s="206">
        <v>337</v>
      </c>
    </row>
    <row r="157" spans="1:40" outlineLevel="1" x14ac:dyDescent="0.25">
      <c r="A157" s="28"/>
      <c r="B157" s="29" t="s">
        <v>27</v>
      </c>
      <c r="C157" s="30">
        <v>87</v>
      </c>
      <c r="D157" s="204">
        <v>42</v>
      </c>
      <c r="E157" s="29"/>
      <c r="F157" s="29" t="s">
        <v>27</v>
      </c>
      <c r="G157" s="30">
        <v>31</v>
      </c>
      <c r="H157" s="204">
        <v>16</v>
      </c>
      <c r="I157" s="29"/>
      <c r="J157" s="29" t="s">
        <v>27</v>
      </c>
      <c r="K157" s="30">
        <v>29</v>
      </c>
      <c r="L157" s="204">
        <v>15</v>
      </c>
      <c r="M157" s="29"/>
      <c r="N157" s="29" t="s">
        <v>27</v>
      </c>
      <c r="O157" s="30">
        <v>22</v>
      </c>
      <c r="P157" s="204">
        <v>19</v>
      </c>
      <c r="Q157" s="29"/>
      <c r="R157" s="29" t="s">
        <v>27</v>
      </c>
      <c r="S157" s="30">
        <v>536</v>
      </c>
      <c r="T157" s="204">
        <v>318</v>
      </c>
      <c r="U157" s="29"/>
      <c r="V157" s="29" t="s">
        <v>27</v>
      </c>
      <c r="W157" s="30">
        <v>776</v>
      </c>
      <c r="X157" s="204">
        <v>649</v>
      </c>
      <c r="Y157" s="29"/>
      <c r="Z157" s="29" t="s">
        <v>27</v>
      </c>
      <c r="AA157" s="30">
        <v>208</v>
      </c>
      <c r="AB157" s="204">
        <v>131</v>
      </c>
      <c r="AC157" s="29"/>
      <c r="AD157" s="29" t="s">
        <v>27</v>
      </c>
      <c r="AE157" s="30">
        <v>155</v>
      </c>
      <c r="AF157" s="204">
        <v>110</v>
      </c>
      <c r="AG157" s="29"/>
      <c r="AH157" s="29" t="s">
        <v>27</v>
      </c>
      <c r="AI157" s="30">
        <v>538</v>
      </c>
      <c r="AJ157" s="204">
        <v>418</v>
      </c>
      <c r="AK157" s="29"/>
      <c r="AL157" s="29" t="s">
        <v>27</v>
      </c>
      <c r="AM157" s="30">
        <v>435</v>
      </c>
      <c r="AN157" s="206">
        <v>291</v>
      </c>
    </row>
    <row r="158" spans="1:40" outlineLevel="1" x14ac:dyDescent="0.25">
      <c r="A158" s="28"/>
      <c r="B158" s="29" t="s">
        <v>28</v>
      </c>
      <c r="C158" s="30">
        <v>86</v>
      </c>
      <c r="D158" s="204">
        <v>61</v>
      </c>
      <c r="E158" s="29"/>
      <c r="F158" s="29" t="s">
        <v>28</v>
      </c>
      <c r="G158" s="30">
        <v>37</v>
      </c>
      <c r="H158" s="204">
        <v>30</v>
      </c>
      <c r="I158" s="29"/>
      <c r="J158" s="29" t="s">
        <v>28</v>
      </c>
      <c r="K158" s="30">
        <v>41</v>
      </c>
      <c r="L158" s="204">
        <v>30</v>
      </c>
      <c r="M158" s="29"/>
      <c r="N158" s="29" t="s">
        <v>28</v>
      </c>
      <c r="O158" s="30">
        <v>17</v>
      </c>
      <c r="P158" s="204">
        <v>26</v>
      </c>
      <c r="Q158" s="29"/>
      <c r="R158" s="29" t="s">
        <v>28</v>
      </c>
      <c r="S158" s="30">
        <v>563</v>
      </c>
      <c r="T158" s="204">
        <v>438</v>
      </c>
      <c r="U158" s="29"/>
      <c r="V158" s="29" t="s">
        <v>28</v>
      </c>
      <c r="W158" s="30">
        <v>745</v>
      </c>
      <c r="X158" s="204">
        <v>727</v>
      </c>
      <c r="Y158" s="29"/>
      <c r="Z158" s="29" t="s">
        <v>28</v>
      </c>
      <c r="AA158" s="30">
        <v>215</v>
      </c>
      <c r="AB158" s="204">
        <v>158</v>
      </c>
      <c r="AC158" s="29"/>
      <c r="AD158" s="29" t="s">
        <v>28</v>
      </c>
      <c r="AE158" s="30">
        <v>179</v>
      </c>
      <c r="AF158" s="204">
        <v>120</v>
      </c>
      <c r="AG158" s="29"/>
      <c r="AH158" s="29" t="s">
        <v>28</v>
      </c>
      <c r="AI158" s="30">
        <v>579</v>
      </c>
      <c r="AJ158" s="204">
        <v>494</v>
      </c>
      <c r="AK158" s="29"/>
      <c r="AL158" s="29" t="s">
        <v>28</v>
      </c>
      <c r="AM158" s="30">
        <v>419</v>
      </c>
      <c r="AN158" s="206">
        <v>332</v>
      </c>
    </row>
    <row r="159" spans="1:40" outlineLevel="1" x14ac:dyDescent="0.25">
      <c r="A159" s="28"/>
      <c r="B159" s="29" t="s">
        <v>29</v>
      </c>
      <c r="C159" s="30">
        <v>81</v>
      </c>
      <c r="D159" s="204">
        <v>82</v>
      </c>
      <c r="E159" s="29"/>
      <c r="F159" s="29" t="s">
        <v>29</v>
      </c>
      <c r="G159" s="30">
        <v>32</v>
      </c>
      <c r="H159" s="204">
        <v>28</v>
      </c>
      <c r="I159" s="29"/>
      <c r="J159" s="29" t="s">
        <v>29</v>
      </c>
      <c r="K159" s="30">
        <v>41</v>
      </c>
      <c r="L159" s="204">
        <v>28</v>
      </c>
      <c r="M159" s="29"/>
      <c r="N159" s="29" t="s">
        <v>29</v>
      </c>
      <c r="O159" s="30">
        <v>17</v>
      </c>
      <c r="P159" s="204">
        <v>25</v>
      </c>
      <c r="Q159" s="29"/>
      <c r="R159" s="29" t="s">
        <v>29</v>
      </c>
      <c r="S159" s="30">
        <v>516</v>
      </c>
      <c r="T159" s="204">
        <v>517</v>
      </c>
      <c r="U159" s="29"/>
      <c r="V159" s="29" t="s">
        <v>29</v>
      </c>
      <c r="W159" s="30">
        <v>733</v>
      </c>
      <c r="X159" s="204">
        <v>800</v>
      </c>
      <c r="Y159" s="29"/>
      <c r="Z159" s="29" t="s">
        <v>29</v>
      </c>
      <c r="AA159" s="30">
        <v>203</v>
      </c>
      <c r="AB159" s="204">
        <v>198</v>
      </c>
      <c r="AC159" s="29"/>
      <c r="AD159" s="29" t="s">
        <v>29</v>
      </c>
      <c r="AE159" s="30">
        <v>143</v>
      </c>
      <c r="AF159" s="204">
        <v>160</v>
      </c>
      <c r="AG159" s="29"/>
      <c r="AH159" s="29" t="s">
        <v>29</v>
      </c>
      <c r="AI159" s="30">
        <v>631</v>
      </c>
      <c r="AJ159" s="204">
        <v>564</v>
      </c>
      <c r="AK159" s="29"/>
      <c r="AL159" s="29" t="s">
        <v>29</v>
      </c>
      <c r="AM159" s="30">
        <v>444</v>
      </c>
      <c r="AN159" s="206">
        <v>392</v>
      </c>
    </row>
    <row r="160" spans="1:40" outlineLevel="1" x14ac:dyDescent="0.25">
      <c r="A160" s="28"/>
      <c r="B160" s="29" t="s">
        <v>31</v>
      </c>
      <c r="C160" s="30">
        <v>82</v>
      </c>
      <c r="D160" s="204">
        <v>75</v>
      </c>
      <c r="E160" s="29"/>
      <c r="F160" s="29" t="s">
        <v>31</v>
      </c>
      <c r="G160" s="30">
        <v>47</v>
      </c>
      <c r="H160" s="204">
        <v>39</v>
      </c>
      <c r="I160" s="29"/>
      <c r="J160" s="29" t="s">
        <v>31</v>
      </c>
      <c r="K160" s="30">
        <v>41</v>
      </c>
      <c r="L160" s="204">
        <v>33</v>
      </c>
      <c r="M160" s="29"/>
      <c r="N160" s="29" t="s">
        <v>31</v>
      </c>
      <c r="O160" s="30">
        <v>28</v>
      </c>
      <c r="P160" s="204">
        <v>22</v>
      </c>
      <c r="Q160" s="29"/>
      <c r="R160" s="29" t="s">
        <v>31</v>
      </c>
      <c r="S160" s="30">
        <v>543</v>
      </c>
      <c r="T160" s="204">
        <v>565</v>
      </c>
      <c r="U160" s="29"/>
      <c r="V160" s="29" t="s">
        <v>31</v>
      </c>
      <c r="W160" s="30">
        <v>661</v>
      </c>
      <c r="X160" s="204">
        <v>815</v>
      </c>
      <c r="Y160" s="29"/>
      <c r="Z160" s="29" t="s">
        <v>31</v>
      </c>
      <c r="AA160" s="30">
        <v>164</v>
      </c>
      <c r="AB160" s="204">
        <v>227</v>
      </c>
      <c r="AC160" s="29"/>
      <c r="AD160" s="29" t="s">
        <v>31</v>
      </c>
      <c r="AE160" s="30">
        <v>139</v>
      </c>
      <c r="AF160" s="204">
        <v>181</v>
      </c>
      <c r="AG160" s="29"/>
      <c r="AH160" s="29" t="s">
        <v>31</v>
      </c>
      <c r="AI160" s="30">
        <v>490</v>
      </c>
      <c r="AJ160" s="204">
        <v>583</v>
      </c>
      <c r="AK160" s="29"/>
      <c r="AL160" s="29" t="s">
        <v>31</v>
      </c>
      <c r="AM160" s="30">
        <v>429</v>
      </c>
      <c r="AN160" s="206">
        <v>416</v>
      </c>
    </row>
    <row r="161" spans="1:40" outlineLevel="1" x14ac:dyDescent="0.25">
      <c r="A161" s="28"/>
      <c r="B161" s="29" t="s">
        <v>33</v>
      </c>
      <c r="C161" s="30">
        <v>116</v>
      </c>
      <c r="D161" s="204">
        <v>75</v>
      </c>
      <c r="E161" s="29"/>
      <c r="F161" s="29" t="s">
        <v>33</v>
      </c>
      <c r="G161" s="30">
        <v>52</v>
      </c>
      <c r="H161" s="204">
        <v>30</v>
      </c>
      <c r="I161" s="29"/>
      <c r="J161" s="29" t="s">
        <v>33</v>
      </c>
      <c r="K161" s="30">
        <v>62</v>
      </c>
      <c r="L161" s="204">
        <v>42</v>
      </c>
      <c r="M161" s="29"/>
      <c r="N161" s="29" t="s">
        <v>33</v>
      </c>
      <c r="O161" s="30">
        <v>29</v>
      </c>
      <c r="P161" s="204">
        <v>22</v>
      </c>
      <c r="Q161" s="29"/>
      <c r="R161" s="29" t="s">
        <v>33</v>
      </c>
      <c r="S161" s="30">
        <v>720</v>
      </c>
      <c r="T161" s="204">
        <v>493</v>
      </c>
      <c r="U161" s="29"/>
      <c r="V161" s="29" t="s">
        <v>33</v>
      </c>
      <c r="W161" s="30">
        <v>653</v>
      </c>
      <c r="X161" s="204">
        <v>731</v>
      </c>
      <c r="Y161" s="29"/>
      <c r="Z161" s="29" t="s">
        <v>33</v>
      </c>
      <c r="AA161" s="30">
        <v>210</v>
      </c>
      <c r="AB161" s="204">
        <v>216</v>
      </c>
      <c r="AC161" s="29"/>
      <c r="AD161" s="29" t="s">
        <v>33</v>
      </c>
      <c r="AE161" s="30">
        <v>180</v>
      </c>
      <c r="AF161" s="204">
        <v>135</v>
      </c>
      <c r="AG161" s="29"/>
      <c r="AH161" s="29" t="s">
        <v>33</v>
      </c>
      <c r="AI161" s="30">
        <v>534</v>
      </c>
      <c r="AJ161" s="204">
        <v>643</v>
      </c>
      <c r="AK161" s="29"/>
      <c r="AL161" s="29" t="s">
        <v>33</v>
      </c>
      <c r="AM161" s="30">
        <v>505</v>
      </c>
      <c r="AN161" s="206">
        <v>434</v>
      </c>
    </row>
    <row r="162" spans="1:40" outlineLevel="1" x14ac:dyDescent="0.25">
      <c r="A162" s="28"/>
      <c r="B162" s="29" t="s">
        <v>35</v>
      </c>
      <c r="C162" s="30">
        <v>145</v>
      </c>
      <c r="D162" s="204">
        <v>76</v>
      </c>
      <c r="E162" s="29"/>
      <c r="F162" s="29" t="s">
        <v>35</v>
      </c>
      <c r="G162" s="30">
        <v>57</v>
      </c>
      <c r="H162" s="204">
        <v>36</v>
      </c>
      <c r="I162" s="29"/>
      <c r="J162" s="29" t="s">
        <v>35</v>
      </c>
      <c r="K162" s="30">
        <v>90</v>
      </c>
      <c r="L162" s="204">
        <v>44</v>
      </c>
      <c r="M162" s="29"/>
      <c r="N162" s="29" t="s">
        <v>35</v>
      </c>
      <c r="O162" s="30">
        <v>64</v>
      </c>
      <c r="P162" s="204">
        <v>25</v>
      </c>
      <c r="Q162" s="29"/>
      <c r="R162" s="29" t="s">
        <v>35</v>
      </c>
      <c r="S162" s="30">
        <v>920</v>
      </c>
      <c r="T162" s="204">
        <v>518</v>
      </c>
      <c r="U162" s="29"/>
      <c r="V162" s="29" t="s">
        <v>35</v>
      </c>
      <c r="W162" s="30">
        <v>735</v>
      </c>
      <c r="X162" s="204">
        <v>607</v>
      </c>
      <c r="Y162" s="29"/>
      <c r="Z162" s="29" t="s">
        <v>35</v>
      </c>
      <c r="AA162" s="30">
        <v>291</v>
      </c>
      <c r="AB162" s="204">
        <v>153</v>
      </c>
      <c r="AC162" s="29"/>
      <c r="AD162" s="29" t="s">
        <v>35</v>
      </c>
      <c r="AE162" s="30">
        <v>213</v>
      </c>
      <c r="AF162" s="204">
        <v>127</v>
      </c>
      <c r="AG162" s="29"/>
      <c r="AH162" s="29" t="s">
        <v>35</v>
      </c>
      <c r="AI162" s="30">
        <v>659</v>
      </c>
      <c r="AJ162" s="204">
        <v>507</v>
      </c>
      <c r="AK162" s="29"/>
      <c r="AL162" s="29" t="s">
        <v>35</v>
      </c>
      <c r="AM162" s="30">
        <v>541</v>
      </c>
      <c r="AN162" s="206">
        <v>383</v>
      </c>
    </row>
    <row r="163" spans="1:40" outlineLevel="1" x14ac:dyDescent="0.25">
      <c r="A163" s="28"/>
      <c r="B163" s="29" t="s">
        <v>37</v>
      </c>
      <c r="C163" s="30">
        <v>152</v>
      </c>
      <c r="D163" s="204">
        <v>101</v>
      </c>
      <c r="E163" s="29"/>
      <c r="F163" s="29" t="s">
        <v>37</v>
      </c>
      <c r="G163" s="30">
        <v>104</v>
      </c>
      <c r="H163" s="204">
        <v>50</v>
      </c>
      <c r="I163" s="29"/>
      <c r="J163" s="29" t="s">
        <v>37</v>
      </c>
      <c r="K163" s="30">
        <v>106</v>
      </c>
      <c r="L163" s="204">
        <v>62</v>
      </c>
      <c r="M163" s="29"/>
      <c r="N163" s="29" t="s">
        <v>37</v>
      </c>
      <c r="O163" s="30">
        <v>68</v>
      </c>
      <c r="P163" s="204">
        <v>31</v>
      </c>
      <c r="Q163" s="29"/>
      <c r="R163" s="29" t="s">
        <v>37</v>
      </c>
      <c r="S163" s="30">
        <v>1050</v>
      </c>
      <c r="T163" s="204">
        <v>639</v>
      </c>
      <c r="U163" s="29"/>
      <c r="V163" s="29" t="s">
        <v>37</v>
      </c>
      <c r="W163" s="30">
        <v>809</v>
      </c>
      <c r="X163" s="204">
        <v>674</v>
      </c>
      <c r="Y163" s="29"/>
      <c r="Z163" s="29" t="s">
        <v>37</v>
      </c>
      <c r="AA163" s="30">
        <v>309</v>
      </c>
      <c r="AB163" s="204">
        <v>197</v>
      </c>
      <c r="AC163" s="29"/>
      <c r="AD163" s="29" t="s">
        <v>37</v>
      </c>
      <c r="AE163" s="30">
        <v>227</v>
      </c>
      <c r="AF163" s="204">
        <v>156</v>
      </c>
      <c r="AG163" s="29"/>
      <c r="AH163" s="29" t="s">
        <v>37</v>
      </c>
      <c r="AI163" s="30">
        <v>738</v>
      </c>
      <c r="AJ163" s="204">
        <v>490</v>
      </c>
      <c r="AK163" s="29"/>
      <c r="AL163" s="29" t="s">
        <v>37</v>
      </c>
      <c r="AM163" s="30">
        <v>624</v>
      </c>
      <c r="AN163" s="206">
        <v>426</v>
      </c>
    </row>
    <row r="164" spans="1:40" outlineLevel="1" x14ac:dyDescent="0.25">
      <c r="A164" s="28"/>
      <c r="B164" s="29" t="s">
        <v>39</v>
      </c>
      <c r="C164" s="30">
        <v>165</v>
      </c>
      <c r="D164" s="204">
        <v>135</v>
      </c>
      <c r="E164" s="29"/>
      <c r="F164" s="29" t="s">
        <v>39</v>
      </c>
      <c r="G164" s="30">
        <v>83</v>
      </c>
      <c r="H164" s="204">
        <v>57</v>
      </c>
      <c r="I164" s="29"/>
      <c r="J164" s="29" t="s">
        <v>39</v>
      </c>
      <c r="K164" s="30">
        <v>112</v>
      </c>
      <c r="L164" s="204">
        <v>74</v>
      </c>
      <c r="M164" s="29"/>
      <c r="N164" s="29" t="s">
        <v>39</v>
      </c>
      <c r="O164" s="30">
        <v>65</v>
      </c>
      <c r="P164" s="204">
        <v>57</v>
      </c>
      <c r="Q164" s="29"/>
      <c r="R164" s="29" t="s">
        <v>39</v>
      </c>
      <c r="S164" s="30">
        <v>822</v>
      </c>
      <c r="T164" s="204">
        <v>836</v>
      </c>
      <c r="U164" s="29"/>
      <c r="V164" s="29" t="s">
        <v>39</v>
      </c>
      <c r="W164" s="30">
        <v>649</v>
      </c>
      <c r="X164" s="204">
        <v>626</v>
      </c>
      <c r="Y164" s="29"/>
      <c r="Z164" s="29" t="s">
        <v>39</v>
      </c>
      <c r="AA164" s="30">
        <v>233</v>
      </c>
      <c r="AB164" s="204">
        <v>262</v>
      </c>
      <c r="AC164" s="29"/>
      <c r="AD164" s="29" t="s">
        <v>39</v>
      </c>
      <c r="AE164" s="30">
        <v>154</v>
      </c>
      <c r="AF164" s="204">
        <v>197</v>
      </c>
      <c r="AG164" s="29"/>
      <c r="AH164" s="29" t="s">
        <v>39</v>
      </c>
      <c r="AI164" s="30">
        <v>644</v>
      </c>
      <c r="AJ164" s="204">
        <v>602</v>
      </c>
      <c r="AK164" s="29"/>
      <c r="AL164" s="29" t="s">
        <v>39</v>
      </c>
      <c r="AM164" s="30">
        <v>484</v>
      </c>
      <c r="AN164" s="206">
        <v>499</v>
      </c>
    </row>
    <row r="165" spans="1:40" outlineLevel="1" x14ac:dyDescent="0.25">
      <c r="A165" s="28"/>
      <c r="B165" s="29" t="s">
        <v>41</v>
      </c>
      <c r="C165" s="30">
        <v>106</v>
      </c>
      <c r="D165" s="204">
        <v>131</v>
      </c>
      <c r="E165" s="29"/>
      <c r="F165" s="29" t="s">
        <v>41</v>
      </c>
      <c r="G165" s="30">
        <v>70</v>
      </c>
      <c r="H165" s="204">
        <v>72</v>
      </c>
      <c r="I165" s="29"/>
      <c r="J165" s="29" t="s">
        <v>41</v>
      </c>
      <c r="K165" s="30">
        <v>99</v>
      </c>
      <c r="L165" s="204">
        <v>102</v>
      </c>
      <c r="M165" s="29"/>
      <c r="N165" s="29" t="s">
        <v>41</v>
      </c>
      <c r="O165" s="30">
        <v>51</v>
      </c>
      <c r="P165" s="204">
        <v>68</v>
      </c>
      <c r="Q165" s="29"/>
      <c r="R165" s="29" t="s">
        <v>41</v>
      </c>
      <c r="S165" s="30">
        <v>657</v>
      </c>
      <c r="T165" s="204">
        <v>898</v>
      </c>
      <c r="U165" s="29"/>
      <c r="V165" s="29" t="s">
        <v>41</v>
      </c>
      <c r="W165" s="30">
        <v>453</v>
      </c>
      <c r="X165" s="204">
        <v>708</v>
      </c>
      <c r="Y165" s="29"/>
      <c r="Z165" s="29" t="s">
        <v>41</v>
      </c>
      <c r="AA165" s="30">
        <v>180</v>
      </c>
      <c r="AB165" s="204">
        <v>268</v>
      </c>
      <c r="AC165" s="29"/>
      <c r="AD165" s="29" t="s">
        <v>41</v>
      </c>
      <c r="AE165" s="30">
        <v>114</v>
      </c>
      <c r="AF165" s="204">
        <v>188</v>
      </c>
      <c r="AG165" s="29"/>
      <c r="AH165" s="29" t="s">
        <v>41</v>
      </c>
      <c r="AI165" s="30">
        <v>510</v>
      </c>
      <c r="AJ165" s="204">
        <v>620</v>
      </c>
      <c r="AK165" s="29"/>
      <c r="AL165" s="29" t="s">
        <v>41</v>
      </c>
      <c r="AM165" s="30">
        <v>368</v>
      </c>
      <c r="AN165" s="206">
        <v>523</v>
      </c>
    </row>
    <row r="166" spans="1:40" outlineLevel="1" x14ac:dyDescent="0.25">
      <c r="A166" s="28"/>
      <c r="B166" s="29" t="s">
        <v>43</v>
      </c>
      <c r="C166" s="30">
        <v>135</v>
      </c>
      <c r="D166" s="204">
        <v>142</v>
      </c>
      <c r="E166" s="29"/>
      <c r="F166" s="29" t="s">
        <v>43</v>
      </c>
      <c r="G166" s="30">
        <v>65</v>
      </c>
      <c r="H166" s="204">
        <v>90</v>
      </c>
      <c r="I166" s="29"/>
      <c r="J166" s="29" t="s">
        <v>43</v>
      </c>
      <c r="K166" s="30">
        <v>106</v>
      </c>
      <c r="L166" s="204">
        <v>98</v>
      </c>
      <c r="M166" s="29"/>
      <c r="N166" s="29" t="s">
        <v>43</v>
      </c>
      <c r="O166" s="30">
        <v>67</v>
      </c>
      <c r="P166" s="204">
        <v>56</v>
      </c>
      <c r="Q166" s="29"/>
      <c r="R166" s="29" t="s">
        <v>43</v>
      </c>
      <c r="S166" s="30">
        <v>563</v>
      </c>
      <c r="T166" s="204">
        <v>765</v>
      </c>
      <c r="U166" s="29"/>
      <c r="V166" s="29" t="s">
        <v>43</v>
      </c>
      <c r="W166" s="30">
        <v>312</v>
      </c>
      <c r="X166" s="204">
        <v>568</v>
      </c>
      <c r="Y166" s="29"/>
      <c r="Z166" s="29" t="s">
        <v>43</v>
      </c>
      <c r="AA166" s="30">
        <v>127</v>
      </c>
      <c r="AB166" s="204">
        <v>203</v>
      </c>
      <c r="AC166" s="29"/>
      <c r="AD166" s="29" t="s">
        <v>43</v>
      </c>
      <c r="AE166" s="30">
        <v>102</v>
      </c>
      <c r="AF166" s="204">
        <v>150</v>
      </c>
      <c r="AG166" s="29"/>
      <c r="AH166" s="29" t="s">
        <v>43</v>
      </c>
      <c r="AI166" s="30">
        <v>385</v>
      </c>
      <c r="AJ166" s="204">
        <v>562</v>
      </c>
      <c r="AK166" s="29"/>
      <c r="AL166" s="29" t="s">
        <v>43</v>
      </c>
      <c r="AM166" s="30">
        <v>333</v>
      </c>
      <c r="AN166" s="206">
        <v>432</v>
      </c>
    </row>
    <row r="167" spans="1:40" outlineLevel="1" x14ac:dyDescent="0.25">
      <c r="A167" s="28"/>
      <c r="B167" s="29" t="s">
        <v>45</v>
      </c>
      <c r="C167" s="30">
        <v>115</v>
      </c>
      <c r="D167" s="204">
        <v>74</v>
      </c>
      <c r="E167" s="29"/>
      <c r="F167" s="29" t="s">
        <v>45</v>
      </c>
      <c r="G167" s="30">
        <v>68</v>
      </c>
      <c r="H167" s="204">
        <v>47</v>
      </c>
      <c r="I167" s="29"/>
      <c r="J167" s="29" t="s">
        <v>45</v>
      </c>
      <c r="K167" s="30">
        <v>120</v>
      </c>
      <c r="L167" s="204">
        <v>62</v>
      </c>
      <c r="M167" s="29"/>
      <c r="N167" s="29" t="s">
        <v>45</v>
      </c>
      <c r="O167" s="30">
        <v>67</v>
      </c>
      <c r="P167" s="204">
        <v>32</v>
      </c>
      <c r="Q167" s="29"/>
      <c r="R167" s="29" t="s">
        <v>45</v>
      </c>
      <c r="S167" s="30">
        <v>493</v>
      </c>
      <c r="T167" s="204">
        <v>411</v>
      </c>
      <c r="U167" s="29"/>
      <c r="V167" s="29" t="s">
        <v>45</v>
      </c>
      <c r="W167" s="30">
        <v>194</v>
      </c>
      <c r="X167" s="204">
        <v>326</v>
      </c>
      <c r="Y167" s="29"/>
      <c r="Z167" s="29" t="s">
        <v>45</v>
      </c>
      <c r="AA167" s="30">
        <v>102</v>
      </c>
      <c r="AB167" s="204">
        <v>126</v>
      </c>
      <c r="AC167" s="29"/>
      <c r="AD167" s="29" t="s">
        <v>45</v>
      </c>
      <c r="AE167" s="30">
        <v>85</v>
      </c>
      <c r="AF167" s="204">
        <v>82</v>
      </c>
      <c r="AG167" s="29"/>
      <c r="AH167" s="29" t="s">
        <v>45</v>
      </c>
      <c r="AI167" s="30">
        <v>274</v>
      </c>
      <c r="AJ167" s="204">
        <v>320</v>
      </c>
      <c r="AK167" s="29"/>
      <c r="AL167" s="29" t="s">
        <v>45</v>
      </c>
      <c r="AM167" s="30">
        <v>269</v>
      </c>
      <c r="AN167" s="206">
        <v>226</v>
      </c>
    </row>
    <row r="168" spans="1:40" outlineLevel="1" x14ac:dyDescent="0.25">
      <c r="A168" s="28"/>
      <c r="B168" s="29" t="s">
        <v>47</v>
      </c>
      <c r="C168" s="30">
        <v>68</v>
      </c>
      <c r="D168" s="204">
        <v>57</v>
      </c>
      <c r="E168" s="29"/>
      <c r="F168" s="29" t="s">
        <v>47</v>
      </c>
      <c r="G168" s="30">
        <v>44</v>
      </c>
      <c r="H168" s="204">
        <v>29</v>
      </c>
      <c r="I168" s="29"/>
      <c r="J168" s="29" t="s">
        <v>47</v>
      </c>
      <c r="K168" s="30">
        <v>70</v>
      </c>
      <c r="L168" s="204">
        <v>66</v>
      </c>
      <c r="M168" s="29"/>
      <c r="N168" s="29" t="s">
        <v>47</v>
      </c>
      <c r="O168" s="30">
        <v>45</v>
      </c>
      <c r="P168" s="204">
        <v>36</v>
      </c>
      <c r="Q168" s="29"/>
      <c r="R168" s="29" t="s">
        <v>47</v>
      </c>
      <c r="S168" s="30">
        <v>273</v>
      </c>
      <c r="T168" s="204">
        <v>278</v>
      </c>
      <c r="U168" s="29"/>
      <c r="V168" s="29" t="s">
        <v>47</v>
      </c>
      <c r="W168" s="30">
        <v>140</v>
      </c>
      <c r="X168" s="204">
        <v>179</v>
      </c>
      <c r="Y168" s="29"/>
      <c r="Z168" s="29" t="s">
        <v>47</v>
      </c>
      <c r="AA168" s="30">
        <v>64</v>
      </c>
      <c r="AB168" s="204">
        <v>74</v>
      </c>
      <c r="AC168" s="29"/>
      <c r="AD168" s="29" t="s">
        <v>47</v>
      </c>
      <c r="AE168" s="30">
        <v>56</v>
      </c>
      <c r="AF168" s="204">
        <v>53</v>
      </c>
      <c r="AG168" s="29"/>
      <c r="AH168" s="29" t="s">
        <v>47</v>
      </c>
      <c r="AI168" s="30">
        <v>165</v>
      </c>
      <c r="AJ168" s="204">
        <v>215</v>
      </c>
      <c r="AK168" s="29"/>
      <c r="AL168" s="29" t="s">
        <v>47</v>
      </c>
      <c r="AM168" s="30">
        <v>157</v>
      </c>
      <c r="AN168" s="206">
        <v>169</v>
      </c>
    </row>
    <row r="169" spans="1:40" outlineLevel="1" x14ac:dyDescent="0.25">
      <c r="A169" s="28"/>
      <c r="B169" s="29" t="s">
        <v>49</v>
      </c>
      <c r="C169" s="30">
        <v>27</v>
      </c>
      <c r="D169" s="204">
        <v>41</v>
      </c>
      <c r="E169" s="29"/>
      <c r="F169" s="29" t="s">
        <v>49</v>
      </c>
      <c r="G169" s="30">
        <v>19</v>
      </c>
      <c r="H169" s="204">
        <v>24</v>
      </c>
      <c r="I169" s="29"/>
      <c r="J169" s="29" t="s">
        <v>49</v>
      </c>
      <c r="K169" s="30">
        <v>32</v>
      </c>
      <c r="L169" s="204">
        <v>47</v>
      </c>
      <c r="M169" s="29"/>
      <c r="N169" s="29" t="s">
        <v>49</v>
      </c>
      <c r="O169" s="30">
        <v>22</v>
      </c>
      <c r="P169" s="204">
        <v>15</v>
      </c>
      <c r="Q169" s="29"/>
      <c r="R169" s="29" t="s">
        <v>49</v>
      </c>
      <c r="S169" s="30">
        <v>88</v>
      </c>
      <c r="T169" s="204">
        <v>141</v>
      </c>
      <c r="U169" s="29"/>
      <c r="V169" s="29" t="s">
        <v>49</v>
      </c>
      <c r="W169" s="30">
        <v>45</v>
      </c>
      <c r="X169" s="204">
        <v>62</v>
      </c>
      <c r="Y169" s="29"/>
      <c r="Z169" s="29" t="s">
        <v>49</v>
      </c>
      <c r="AA169" s="30">
        <v>17</v>
      </c>
      <c r="AB169" s="204">
        <v>30</v>
      </c>
      <c r="AC169" s="29"/>
      <c r="AD169" s="29" t="s">
        <v>49</v>
      </c>
      <c r="AE169" s="30">
        <v>16</v>
      </c>
      <c r="AF169" s="204">
        <v>28</v>
      </c>
      <c r="AG169" s="29"/>
      <c r="AH169" s="29" t="s">
        <v>49</v>
      </c>
      <c r="AI169" s="30">
        <v>35</v>
      </c>
      <c r="AJ169" s="204">
        <v>69</v>
      </c>
      <c r="AK169" s="29"/>
      <c r="AL169" s="29" t="s">
        <v>49</v>
      </c>
      <c r="AM169" s="30">
        <v>52</v>
      </c>
      <c r="AN169" s="206">
        <v>76</v>
      </c>
    </row>
    <row r="170" spans="1:40" outlineLevel="1" x14ac:dyDescent="0.25">
      <c r="A170" s="28"/>
      <c r="B170" s="29" t="s">
        <v>51</v>
      </c>
      <c r="C170" s="30">
        <v>10</v>
      </c>
      <c r="D170" s="204">
        <v>11</v>
      </c>
      <c r="E170" s="29"/>
      <c r="F170" s="29" t="s">
        <v>51</v>
      </c>
      <c r="G170" s="30">
        <v>5</v>
      </c>
      <c r="H170" s="204">
        <v>10</v>
      </c>
      <c r="I170" s="29"/>
      <c r="J170" s="29" t="s">
        <v>51</v>
      </c>
      <c r="K170" s="30">
        <v>5</v>
      </c>
      <c r="L170" s="204">
        <v>10</v>
      </c>
      <c r="M170" s="29"/>
      <c r="N170" s="29" t="s">
        <v>51</v>
      </c>
      <c r="O170" s="30">
        <v>3</v>
      </c>
      <c r="P170" s="204">
        <v>10</v>
      </c>
      <c r="Q170" s="29"/>
      <c r="R170" s="29" t="s">
        <v>51</v>
      </c>
      <c r="S170" s="30">
        <v>22</v>
      </c>
      <c r="T170" s="204">
        <v>25</v>
      </c>
      <c r="U170" s="29"/>
      <c r="V170" s="29" t="s">
        <v>51</v>
      </c>
      <c r="W170" s="30">
        <v>5</v>
      </c>
      <c r="X170" s="204">
        <v>20</v>
      </c>
      <c r="Y170" s="29"/>
      <c r="Z170" s="29" t="s">
        <v>51</v>
      </c>
      <c r="AA170" s="30">
        <v>6</v>
      </c>
      <c r="AB170" s="204">
        <v>10</v>
      </c>
      <c r="AC170" s="29"/>
      <c r="AD170" s="29" t="s">
        <v>51</v>
      </c>
      <c r="AE170" s="30">
        <v>3</v>
      </c>
      <c r="AF170" s="204">
        <v>5</v>
      </c>
      <c r="AG170" s="29"/>
      <c r="AH170" s="29" t="s">
        <v>51</v>
      </c>
      <c r="AI170" s="30">
        <v>13</v>
      </c>
      <c r="AJ170" s="204">
        <v>14</v>
      </c>
      <c r="AK170" s="29"/>
      <c r="AL170" s="29" t="s">
        <v>51</v>
      </c>
      <c r="AM170" s="30">
        <v>7</v>
      </c>
      <c r="AN170" s="206">
        <v>11</v>
      </c>
    </row>
    <row r="171" spans="1:40" outlineLevel="1" x14ac:dyDescent="0.25">
      <c r="A171" s="28"/>
      <c r="B171" s="29" t="s">
        <v>53</v>
      </c>
      <c r="C171" s="30">
        <v>0</v>
      </c>
      <c r="D171" s="204">
        <v>2</v>
      </c>
      <c r="E171" s="29"/>
      <c r="F171" s="29" t="s">
        <v>53</v>
      </c>
      <c r="G171" s="30">
        <v>0</v>
      </c>
      <c r="H171" s="204">
        <v>0</v>
      </c>
      <c r="I171" s="29"/>
      <c r="J171" s="29" t="s">
        <v>53</v>
      </c>
      <c r="K171" s="30">
        <v>0</v>
      </c>
      <c r="L171" s="204">
        <v>3</v>
      </c>
      <c r="M171" s="29"/>
      <c r="N171" s="29" t="s">
        <v>53</v>
      </c>
      <c r="O171" s="30">
        <v>0</v>
      </c>
      <c r="P171" s="204">
        <v>4</v>
      </c>
      <c r="Q171" s="29"/>
      <c r="R171" s="29" t="s">
        <v>53</v>
      </c>
      <c r="S171" s="30">
        <v>1</v>
      </c>
      <c r="T171" s="204">
        <v>2</v>
      </c>
      <c r="U171" s="29"/>
      <c r="V171" s="29" t="s">
        <v>53</v>
      </c>
      <c r="W171" s="30">
        <v>1</v>
      </c>
      <c r="X171" s="204">
        <v>2</v>
      </c>
      <c r="Y171" s="29"/>
      <c r="Z171" s="29" t="s">
        <v>53</v>
      </c>
      <c r="AA171" s="30">
        <v>0</v>
      </c>
      <c r="AB171" s="204">
        <v>0</v>
      </c>
      <c r="AC171" s="29"/>
      <c r="AD171" s="29" t="s">
        <v>53</v>
      </c>
      <c r="AE171" s="30">
        <v>0</v>
      </c>
      <c r="AF171" s="204">
        <v>0</v>
      </c>
      <c r="AG171" s="29"/>
      <c r="AH171" s="29" t="s">
        <v>53</v>
      </c>
      <c r="AI171" s="30">
        <v>2</v>
      </c>
      <c r="AJ171" s="204">
        <v>1</v>
      </c>
      <c r="AK171" s="29"/>
      <c r="AL171" s="29" t="s">
        <v>53</v>
      </c>
      <c r="AM171" s="30">
        <v>0</v>
      </c>
      <c r="AN171" s="206">
        <v>6</v>
      </c>
    </row>
    <row r="172" spans="1:40" customFormat="1" outlineLevel="1" x14ac:dyDescent="0.25">
      <c r="A172" s="202"/>
      <c r="B172" s="166"/>
      <c r="C172" s="166" t="s">
        <v>55</v>
      </c>
      <c r="D172" s="166"/>
      <c r="E172" s="166"/>
      <c r="F172" s="166"/>
      <c r="G172" s="166" t="s">
        <v>55</v>
      </c>
      <c r="H172" s="166"/>
      <c r="I172" s="166"/>
      <c r="J172" s="166"/>
      <c r="K172" s="166" t="s">
        <v>55</v>
      </c>
      <c r="L172" s="166"/>
      <c r="M172" s="166"/>
      <c r="N172" s="166"/>
      <c r="O172" s="166" t="s">
        <v>55</v>
      </c>
      <c r="P172" s="166"/>
      <c r="Q172" s="166"/>
      <c r="R172" s="166"/>
      <c r="S172" s="166" t="s">
        <v>55</v>
      </c>
      <c r="T172" s="166"/>
      <c r="U172" s="166"/>
      <c r="V172" s="166"/>
      <c r="W172" s="166" t="s">
        <v>55</v>
      </c>
      <c r="X172" s="166"/>
      <c r="Y172" s="166"/>
      <c r="Z172" s="166"/>
      <c r="AA172" s="166" t="s">
        <v>55</v>
      </c>
      <c r="AB172" s="166"/>
      <c r="AC172" s="166"/>
      <c r="AD172" s="166"/>
      <c r="AE172" s="166" t="s">
        <v>55</v>
      </c>
      <c r="AF172" s="166"/>
      <c r="AG172" s="166"/>
      <c r="AH172" s="166"/>
      <c r="AI172" s="166" t="s">
        <v>55</v>
      </c>
      <c r="AJ172" s="166"/>
      <c r="AK172" s="166"/>
      <c r="AL172" s="166"/>
      <c r="AM172" s="166" t="s">
        <v>55</v>
      </c>
      <c r="AN172" s="207"/>
    </row>
    <row r="173" spans="1:40" outlineLevel="1" x14ac:dyDescent="0.25">
      <c r="A173" s="28"/>
      <c r="B173" s="29" t="s">
        <v>18</v>
      </c>
      <c r="C173" s="30">
        <v>1913</v>
      </c>
      <c r="D173" s="204">
        <v>1385</v>
      </c>
      <c r="E173" s="30"/>
      <c r="F173" s="29" t="s">
        <v>18</v>
      </c>
      <c r="G173" s="30">
        <v>940</v>
      </c>
      <c r="H173" s="204">
        <v>634</v>
      </c>
      <c r="I173" s="30"/>
      <c r="J173" s="29" t="s">
        <v>18</v>
      </c>
      <c r="K173" s="30">
        <v>1206</v>
      </c>
      <c r="L173" s="204">
        <v>859</v>
      </c>
      <c r="M173" s="30"/>
      <c r="N173" s="29" t="s">
        <v>18</v>
      </c>
      <c r="O173" s="30">
        <v>716</v>
      </c>
      <c r="P173" s="204">
        <v>529</v>
      </c>
      <c r="Q173" s="30"/>
      <c r="R173" s="29" t="s">
        <v>18</v>
      </c>
      <c r="S173" s="30">
        <v>11395</v>
      </c>
      <c r="T173" s="204">
        <v>9175</v>
      </c>
      <c r="U173" s="30"/>
      <c r="V173" s="29" t="s">
        <v>18</v>
      </c>
      <c r="W173" s="30">
        <v>9941</v>
      </c>
      <c r="X173" s="204">
        <v>10174</v>
      </c>
      <c r="Y173" s="30"/>
      <c r="Z173" s="29" t="s">
        <v>18</v>
      </c>
      <c r="AA173" s="30">
        <v>3421</v>
      </c>
      <c r="AB173" s="204">
        <v>3009</v>
      </c>
      <c r="AC173" s="30"/>
      <c r="AD173" s="29" t="s">
        <v>18</v>
      </c>
      <c r="AE173" s="30">
        <v>2659</v>
      </c>
      <c r="AF173" s="204">
        <v>2393</v>
      </c>
      <c r="AG173" s="30"/>
      <c r="AH173" s="29" t="s">
        <v>18</v>
      </c>
      <c r="AI173" s="30">
        <v>8876</v>
      </c>
      <c r="AJ173" s="204">
        <v>8369</v>
      </c>
      <c r="AK173" s="30"/>
      <c r="AL173" s="29" t="s">
        <v>18</v>
      </c>
      <c r="AM173" s="30">
        <v>7523</v>
      </c>
      <c r="AN173" s="206">
        <v>6283</v>
      </c>
    </row>
    <row r="174" spans="1:40" outlineLevel="1" x14ac:dyDescent="0.25">
      <c r="A174" s="28"/>
      <c r="B174" s="29" t="s">
        <v>20</v>
      </c>
      <c r="C174" s="30">
        <v>51</v>
      </c>
      <c r="D174" s="204">
        <v>17</v>
      </c>
      <c r="E174" s="30"/>
      <c r="F174" s="29" t="s">
        <v>20</v>
      </c>
      <c r="G174" s="30">
        <v>8</v>
      </c>
      <c r="H174" s="204">
        <v>4</v>
      </c>
      <c r="I174" s="30"/>
      <c r="J174" s="29" t="s">
        <v>20</v>
      </c>
      <c r="K174" s="30">
        <v>12</v>
      </c>
      <c r="L174" s="204">
        <v>14</v>
      </c>
      <c r="M174" s="30"/>
      <c r="N174" s="29" t="s">
        <v>20</v>
      </c>
      <c r="O174" s="30">
        <v>11</v>
      </c>
      <c r="P174" s="204">
        <v>10</v>
      </c>
      <c r="Q174" s="30"/>
      <c r="R174" s="29" t="s">
        <v>20</v>
      </c>
      <c r="S174" s="30">
        <v>315</v>
      </c>
      <c r="T174" s="204">
        <v>179</v>
      </c>
      <c r="U174" s="30"/>
      <c r="V174" s="29" t="s">
        <v>20</v>
      </c>
      <c r="W174" s="30">
        <v>462</v>
      </c>
      <c r="X174" s="204">
        <v>379</v>
      </c>
      <c r="Y174" s="30"/>
      <c r="Z174" s="29" t="s">
        <v>20</v>
      </c>
      <c r="AA174" s="30">
        <v>119</v>
      </c>
      <c r="AB174" s="204">
        <v>65</v>
      </c>
      <c r="AC174" s="30"/>
      <c r="AD174" s="29" t="s">
        <v>20</v>
      </c>
      <c r="AE174" s="30">
        <v>107</v>
      </c>
      <c r="AF174" s="204">
        <v>66</v>
      </c>
      <c r="AG174" s="30"/>
      <c r="AH174" s="29" t="s">
        <v>20</v>
      </c>
      <c r="AI174" s="30">
        <v>352</v>
      </c>
      <c r="AJ174" s="204">
        <v>226</v>
      </c>
      <c r="AK174" s="30"/>
      <c r="AL174" s="29" t="s">
        <v>20</v>
      </c>
      <c r="AM174" s="30">
        <v>311</v>
      </c>
      <c r="AN174" s="206">
        <v>138</v>
      </c>
    </row>
    <row r="175" spans="1:40" outlineLevel="1" x14ac:dyDescent="0.25">
      <c r="A175" s="28"/>
      <c r="B175" s="29" t="s">
        <v>22</v>
      </c>
      <c r="C175" s="30">
        <v>60</v>
      </c>
      <c r="D175" s="204">
        <v>38</v>
      </c>
      <c r="E175" s="30"/>
      <c r="F175" s="29" t="s">
        <v>22</v>
      </c>
      <c r="G175" s="30">
        <v>17</v>
      </c>
      <c r="H175" s="204">
        <v>9</v>
      </c>
      <c r="I175" s="30"/>
      <c r="J175" s="29" t="s">
        <v>22</v>
      </c>
      <c r="K175" s="30">
        <v>13</v>
      </c>
      <c r="L175" s="204">
        <v>9</v>
      </c>
      <c r="M175" s="30"/>
      <c r="N175" s="29" t="s">
        <v>22</v>
      </c>
      <c r="O175" s="30">
        <v>13</v>
      </c>
      <c r="P175" s="204">
        <v>14</v>
      </c>
      <c r="Q175" s="30"/>
      <c r="R175" s="29" t="s">
        <v>22</v>
      </c>
      <c r="S175" s="30">
        <v>393</v>
      </c>
      <c r="T175" s="204">
        <v>289</v>
      </c>
      <c r="U175" s="30"/>
      <c r="V175" s="29" t="s">
        <v>22</v>
      </c>
      <c r="W175" s="30">
        <v>462</v>
      </c>
      <c r="X175" s="204">
        <v>423</v>
      </c>
      <c r="Y175" s="30"/>
      <c r="Z175" s="29" t="s">
        <v>22</v>
      </c>
      <c r="AA175" s="30">
        <v>167</v>
      </c>
      <c r="AB175" s="204">
        <v>119</v>
      </c>
      <c r="AC175" s="30"/>
      <c r="AD175" s="29" t="s">
        <v>22</v>
      </c>
      <c r="AE175" s="30">
        <v>120</v>
      </c>
      <c r="AF175" s="204">
        <v>86</v>
      </c>
      <c r="AG175" s="30"/>
      <c r="AH175" s="29" t="s">
        <v>22</v>
      </c>
      <c r="AI175" s="30">
        <v>398</v>
      </c>
      <c r="AJ175" s="204">
        <v>335</v>
      </c>
      <c r="AK175" s="30"/>
      <c r="AL175" s="29" t="s">
        <v>22</v>
      </c>
      <c r="AM175" s="30">
        <v>335</v>
      </c>
      <c r="AN175" s="206">
        <v>214</v>
      </c>
    </row>
    <row r="176" spans="1:40" outlineLevel="1" x14ac:dyDescent="0.25">
      <c r="A176" s="28"/>
      <c r="B176" s="29" t="s">
        <v>23</v>
      </c>
      <c r="C176" s="30">
        <v>65</v>
      </c>
      <c r="D176" s="204">
        <v>43</v>
      </c>
      <c r="E176" s="30"/>
      <c r="F176" s="29" t="s">
        <v>23</v>
      </c>
      <c r="G176" s="30">
        <v>28</v>
      </c>
      <c r="H176" s="204">
        <v>13</v>
      </c>
      <c r="I176" s="30"/>
      <c r="J176" s="29" t="s">
        <v>23</v>
      </c>
      <c r="K176" s="30">
        <v>25</v>
      </c>
      <c r="L176" s="204">
        <v>14</v>
      </c>
      <c r="M176" s="30"/>
      <c r="N176" s="29" t="s">
        <v>23</v>
      </c>
      <c r="O176" s="30">
        <v>15</v>
      </c>
      <c r="P176" s="204">
        <v>5</v>
      </c>
      <c r="Q176" s="30"/>
      <c r="R176" s="29" t="s">
        <v>23</v>
      </c>
      <c r="S176" s="30">
        <v>422</v>
      </c>
      <c r="T176" s="204">
        <v>321</v>
      </c>
      <c r="U176" s="30"/>
      <c r="V176" s="29" t="s">
        <v>23</v>
      </c>
      <c r="W176" s="30">
        <v>504</v>
      </c>
      <c r="X176" s="204">
        <v>501</v>
      </c>
      <c r="Y176" s="30"/>
      <c r="Z176" s="29" t="s">
        <v>23</v>
      </c>
      <c r="AA176" s="30">
        <v>168</v>
      </c>
      <c r="AB176" s="204">
        <v>143</v>
      </c>
      <c r="AC176" s="30"/>
      <c r="AD176" s="29" t="s">
        <v>23</v>
      </c>
      <c r="AE176" s="30">
        <v>124</v>
      </c>
      <c r="AF176" s="204">
        <v>121</v>
      </c>
      <c r="AG176" s="30"/>
      <c r="AH176" s="29" t="s">
        <v>23</v>
      </c>
      <c r="AI176" s="30">
        <v>387</v>
      </c>
      <c r="AJ176" s="204">
        <v>351</v>
      </c>
      <c r="AK176" s="30"/>
      <c r="AL176" s="29" t="s">
        <v>23</v>
      </c>
      <c r="AM176" s="30">
        <v>346</v>
      </c>
      <c r="AN176" s="206">
        <v>278</v>
      </c>
    </row>
    <row r="177" spans="1:40" outlineLevel="1" x14ac:dyDescent="0.25">
      <c r="A177" s="28"/>
      <c r="B177" s="29" t="s">
        <v>24</v>
      </c>
      <c r="C177" s="30">
        <v>72</v>
      </c>
      <c r="D177" s="204">
        <v>59</v>
      </c>
      <c r="E177" s="30"/>
      <c r="F177" s="29" t="s">
        <v>24</v>
      </c>
      <c r="G177" s="30">
        <v>24</v>
      </c>
      <c r="H177" s="204">
        <v>18</v>
      </c>
      <c r="I177" s="30"/>
      <c r="J177" s="29" t="s">
        <v>24</v>
      </c>
      <c r="K177" s="30">
        <v>30</v>
      </c>
      <c r="L177" s="204">
        <v>32</v>
      </c>
      <c r="M177" s="30"/>
      <c r="N177" s="29" t="s">
        <v>24</v>
      </c>
      <c r="O177" s="30">
        <v>11</v>
      </c>
      <c r="P177" s="204">
        <v>11</v>
      </c>
      <c r="Q177" s="30"/>
      <c r="R177" s="29" t="s">
        <v>24</v>
      </c>
      <c r="S177" s="30">
        <v>473</v>
      </c>
      <c r="T177" s="204">
        <v>352</v>
      </c>
      <c r="U177" s="30"/>
      <c r="V177" s="29" t="s">
        <v>24</v>
      </c>
      <c r="W177" s="30">
        <v>535</v>
      </c>
      <c r="X177" s="204">
        <v>457</v>
      </c>
      <c r="Y177" s="30"/>
      <c r="Z177" s="29" t="s">
        <v>24</v>
      </c>
      <c r="AA177" s="30">
        <v>158</v>
      </c>
      <c r="AB177" s="204">
        <v>149</v>
      </c>
      <c r="AC177" s="30"/>
      <c r="AD177" s="29" t="s">
        <v>24</v>
      </c>
      <c r="AE177" s="30">
        <v>141</v>
      </c>
      <c r="AF177" s="204">
        <v>122</v>
      </c>
      <c r="AG177" s="30"/>
      <c r="AH177" s="29" t="s">
        <v>24</v>
      </c>
      <c r="AI177" s="30">
        <v>389</v>
      </c>
      <c r="AJ177" s="204">
        <v>387</v>
      </c>
      <c r="AK177" s="30"/>
      <c r="AL177" s="29" t="s">
        <v>24</v>
      </c>
      <c r="AM177" s="30">
        <v>380</v>
      </c>
      <c r="AN177" s="206">
        <v>281</v>
      </c>
    </row>
    <row r="178" spans="1:40" outlineLevel="1" x14ac:dyDescent="0.25">
      <c r="A178" s="28"/>
      <c r="B178" s="29" t="s">
        <v>25</v>
      </c>
      <c r="C178" s="30">
        <v>64</v>
      </c>
      <c r="D178" s="204">
        <v>34</v>
      </c>
      <c r="E178" s="30"/>
      <c r="F178" s="29" t="s">
        <v>25</v>
      </c>
      <c r="G178" s="30">
        <v>19</v>
      </c>
      <c r="H178" s="204">
        <v>19</v>
      </c>
      <c r="I178" s="30"/>
      <c r="J178" s="29" t="s">
        <v>25</v>
      </c>
      <c r="K178" s="30">
        <v>23</v>
      </c>
      <c r="L178" s="204">
        <v>10</v>
      </c>
      <c r="M178" s="30"/>
      <c r="N178" s="29" t="s">
        <v>25</v>
      </c>
      <c r="O178" s="30">
        <v>9</v>
      </c>
      <c r="P178" s="204">
        <v>11</v>
      </c>
      <c r="Q178" s="30"/>
      <c r="R178" s="29" t="s">
        <v>25</v>
      </c>
      <c r="S178" s="30">
        <v>416</v>
      </c>
      <c r="T178" s="204">
        <v>277</v>
      </c>
      <c r="U178" s="30"/>
      <c r="V178" s="29" t="s">
        <v>25</v>
      </c>
      <c r="W178" s="30">
        <v>442</v>
      </c>
      <c r="X178" s="204">
        <v>489</v>
      </c>
      <c r="Y178" s="30"/>
      <c r="Z178" s="29" t="s">
        <v>25</v>
      </c>
      <c r="AA178" s="30">
        <v>163</v>
      </c>
      <c r="AB178" s="204">
        <v>126</v>
      </c>
      <c r="AC178" s="30"/>
      <c r="AD178" s="29" t="s">
        <v>25</v>
      </c>
      <c r="AE178" s="30">
        <v>121</v>
      </c>
      <c r="AF178" s="204">
        <v>80</v>
      </c>
      <c r="AG178" s="30"/>
      <c r="AH178" s="29" t="s">
        <v>25</v>
      </c>
      <c r="AI178" s="30">
        <v>354</v>
      </c>
      <c r="AJ178" s="204">
        <v>386</v>
      </c>
      <c r="AK178" s="30"/>
      <c r="AL178" s="29" t="s">
        <v>25</v>
      </c>
      <c r="AM178" s="30">
        <v>293</v>
      </c>
      <c r="AN178" s="206">
        <v>254</v>
      </c>
    </row>
    <row r="179" spans="1:40" outlineLevel="1" x14ac:dyDescent="0.25">
      <c r="A179" s="28"/>
      <c r="B179" s="29" t="s">
        <v>26</v>
      </c>
      <c r="C179" s="30">
        <v>62</v>
      </c>
      <c r="D179" s="204">
        <v>18</v>
      </c>
      <c r="E179" s="30"/>
      <c r="F179" s="29" t="s">
        <v>26</v>
      </c>
      <c r="G179" s="30">
        <v>22</v>
      </c>
      <c r="H179" s="204">
        <v>9</v>
      </c>
      <c r="I179" s="30"/>
      <c r="J179" s="29" t="s">
        <v>26</v>
      </c>
      <c r="K179" s="30">
        <v>20</v>
      </c>
      <c r="L179" s="204">
        <v>12</v>
      </c>
      <c r="M179" s="30"/>
      <c r="N179" s="29" t="s">
        <v>26</v>
      </c>
      <c r="O179" s="30">
        <v>14</v>
      </c>
      <c r="P179" s="204">
        <v>4</v>
      </c>
      <c r="Q179" s="30"/>
      <c r="R179" s="29" t="s">
        <v>26</v>
      </c>
      <c r="S179" s="30">
        <v>437</v>
      </c>
      <c r="T179" s="204">
        <v>248</v>
      </c>
      <c r="U179" s="30"/>
      <c r="V179" s="29" t="s">
        <v>26</v>
      </c>
      <c r="W179" s="30">
        <v>573</v>
      </c>
      <c r="X179" s="204">
        <v>505</v>
      </c>
      <c r="Y179" s="30"/>
      <c r="Z179" s="29" t="s">
        <v>26</v>
      </c>
      <c r="AA179" s="30">
        <v>172</v>
      </c>
      <c r="AB179" s="204">
        <v>101</v>
      </c>
      <c r="AC179" s="30"/>
      <c r="AD179" s="29" t="s">
        <v>26</v>
      </c>
      <c r="AE179" s="30">
        <v>119</v>
      </c>
      <c r="AF179" s="204">
        <v>85</v>
      </c>
      <c r="AG179" s="30"/>
      <c r="AH179" s="29" t="s">
        <v>26</v>
      </c>
      <c r="AI179" s="30">
        <v>455</v>
      </c>
      <c r="AJ179" s="204">
        <v>325</v>
      </c>
      <c r="AK179" s="30"/>
      <c r="AL179" s="29" t="s">
        <v>26</v>
      </c>
      <c r="AM179" s="30">
        <v>348</v>
      </c>
      <c r="AN179" s="206">
        <v>232</v>
      </c>
    </row>
    <row r="180" spans="1:40" outlineLevel="1" x14ac:dyDescent="0.25">
      <c r="A180" s="28"/>
      <c r="B180" s="29" t="s">
        <v>27</v>
      </c>
      <c r="C180" s="30">
        <v>74</v>
      </c>
      <c r="D180" s="204">
        <v>34</v>
      </c>
      <c r="E180" s="30"/>
      <c r="F180" s="29" t="s">
        <v>27</v>
      </c>
      <c r="G180" s="30">
        <v>28</v>
      </c>
      <c r="H180" s="204">
        <v>9</v>
      </c>
      <c r="I180" s="30"/>
      <c r="J180" s="29" t="s">
        <v>27</v>
      </c>
      <c r="K180" s="30">
        <v>18</v>
      </c>
      <c r="L180" s="204">
        <v>13</v>
      </c>
      <c r="M180" s="30"/>
      <c r="N180" s="29" t="s">
        <v>27</v>
      </c>
      <c r="O180" s="30">
        <v>21</v>
      </c>
      <c r="P180" s="204">
        <v>12</v>
      </c>
      <c r="Q180" s="30"/>
      <c r="R180" s="29" t="s">
        <v>27</v>
      </c>
      <c r="S180" s="30">
        <v>495</v>
      </c>
      <c r="T180" s="204">
        <v>294</v>
      </c>
      <c r="U180" s="30"/>
      <c r="V180" s="29" t="s">
        <v>27</v>
      </c>
      <c r="W180" s="30">
        <v>616</v>
      </c>
      <c r="X180" s="204">
        <v>560</v>
      </c>
      <c r="Y180" s="30"/>
      <c r="Z180" s="29" t="s">
        <v>27</v>
      </c>
      <c r="AA180" s="30">
        <v>199</v>
      </c>
      <c r="AB180" s="204">
        <v>112</v>
      </c>
      <c r="AC180" s="30"/>
      <c r="AD180" s="29" t="s">
        <v>27</v>
      </c>
      <c r="AE180" s="30">
        <v>135</v>
      </c>
      <c r="AF180" s="204">
        <v>89</v>
      </c>
      <c r="AG180" s="30"/>
      <c r="AH180" s="29" t="s">
        <v>27</v>
      </c>
      <c r="AI180" s="30">
        <v>454</v>
      </c>
      <c r="AJ180" s="204">
        <v>341</v>
      </c>
      <c r="AK180" s="30"/>
      <c r="AL180" s="29" t="s">
        <v>27</v>
      </c>
      <c r="AM180" s="30">
        <v>392</v>
      </c>
      <c r="AN180" s="206">
        <v>228</v>
      </c>
    </row>
    <row r="181" spans="1:40" outlineLevel="1" x14ac:dyDescent="0.25">
      <c r="A181" s="28"/>
      <c r="B181" s="29" t="s">
        <v>28</v>
      </c>
      <c r="C181" s="30">
        <v>78</v>
      </c>
      <c r="D181" s="204">
        <v>47</v>
      </c>
      <c r="E181" s="30"/>
      <c r="F181" s="29" t="s">
        <v>28</v>
      </c>
      <c r="G181" s="30">
        <v>24</v>
      </c>
      <c r="H181" s="204">
        <v>15</v>
      </c>
      <c r="I181" s="30"/>
      <c r="J181" s="29" t="s">
        <v>28</v>
      </c>
      <c r="K181" s="30">
        <v>21</v>
      </c>
      <c r="L181" s="204">
        <v>18</v>
      </c>
      <c r="M181" s="30"/>
      <c r="N181" s="29" t="s">
        <v>28</v>
      </c>
      <c r="O181" s="30">
        <v>17</v>
      </c>
      <c r="P181" s="204">
        <v>26</v>
      </c>
      <c r="Q181" s="30"/>
      <c r="R181" s="29" t="s">
        <v>28</v>
      </c>
      <c r="S181" s="30">
        <v>523</v>
      </c>
      <c r="T181" s="204">
        <v>376</v>
      </c>
      <c r="U181" s="30"/>
      <c r="V181" s="29" t="s">
        <v>28</v>
      </c>
      <c r="W181" s="30">
        <v>673</v>
      </c>
      <c r="X181" s="204">
        <v>646</v>
      </c>
      <c r="Y181" s="30"/>
      <c r="Z181" s="29" t="s">
        <v>28</v>
      </c>
      <c r="AA181" s="30">
        <v>198</v>
      </c>
      <c r="AB181" s="204">
        <v>142</v>
      </c>
      <c r="AC181" s="30"/>
      <c r="AD181" s="29" t="s">
        <v>28</v>
      </c>
      <c r="AE181" s="30">
        <v>163</v>
      </c>
      <c r="AF181" s="204">
        <v>100</v>
      </c>
      <c r="AG181" s="30"/>
      <c r="AH181" s="29" t="s">
        <v>28</v>
      </c>
      <c r="AI181" s="30">
        <v>536</v>
      </c>
      <c r="AJ181" s="204">
        <v>452</v>
      </c>
      <c r="AK181" s="30"/>
      <c r="AL181" s="29" t="s">
        <v>28</v>
      </c>
      <c r="AM181" s="30">
        <v>388</v>
      </c>
      <c r="AN181" s="206">
        <v>300</v>
      </c>
    </row>
    <row r="182" spans="1:40" outlineLevel="1" x14ac:dyDescent="0.25">
      <c r="A182" s="28"/>
      <c r="B182" s="29" t="s">
        <v>29</v>
      </c>
      <c r="C182" s="30">
        <v>77</v>
      </c>
      <c r="D182" s="204">
        <v>56</v>
      </c>
      <c r="E182" s="30"/>
      <c r="F182" s="29" t="s">
        <v>29</v>
      </c>
      <c r="G182" s="30">
        <v>26</v>
      </c>
      <c r="H182" s="204">
        <v>31</v>
      </c>
      <c r="I182" s="30"/>
      <c r="J182" s="29" t="s">
        <v>29</v>
      </c>
      <c r="K182" s="30">
        <v>32</v>
      </c>
      <c r="L182" s="204">
        <v>29</v>
      </c>
      <c r="M182" s="30"/>
      <c r="N182" s="29" t="s">
        <v>29</v>
      </c>
      <c r="O182" s="30">
        <v>23</v>
      </c>
      <c r="P182" s="204">
        <v>21</v>
      </c>
      <c r="Q182" s="30"/>
      <c r="R182" s="29" t="s">
        <v>29</v>
      </c>
      <c r="S182" s="30">
        <v>453</v>
      </c>
      <c r="T182" s="204">
        <v>472</v>
      </c>
      <c r="U182" s="30"/>
      <c r="V182" s="29" t="s">
        <v>29</v>
      </c>
      <c r="W182" s="30">
        <v>640</v>
      </c>
      <c r="X182" s="204">
        <v>687</v>
      </c>
      <c r="Y182" s="30"/>
      <c r="Z182" s="29" t="s">
        <v>29</v>
      </c>
      <c r="AA182" s="30">
        <v>165</v>
      </c>
      <c r="AB182" s="204">
        <v>192</v>
      </c>
      <c r="AC182" s="30"/>
      <c r="AD182" s="29" t="s">
        <v>29</v>
      </c>
      <c r="AE182" s="30">
        <v>151</v>
      </c>
      <c r="AF182" s="204">
        <v>148</v>
      </c>
      <c r="AG182" s="30"/>
      <c r="AH182" s="29" t="s">
        <v>29</v>
      </c>
      <c r="AI182" s="30">
        <v>576</v>
      </c>
      <c r="AJ182" s="204">
        <v>505</v>
      </c>
      <c r="AK182" s="30"/>
      <c r="AL182" s="29" t="s">
        <v>29</v>
      </c>
      <c r="AM182" s="30">
        <v>437</v>
      </c>
      <c r="AN182" s="206">
        <v>341</v>
      </c>
    </row>
    <row r="183" spans="1:40" outlineLevel="1" x14ac:dyDescent="0.25">
      <c r="A183" s="28"/>
      <c r="B183" s="29" t="s">
        <v>31</v>
      </c>
      <c r="C183" s="30">
        <v>70</v>
      </c>
      <c r="D183" s="204">
        <v>74</v>
      </c>
      <c r="E183" s="30"/>
      <c r="F183" s="29" t="s">
        <v>31</v>
      </c>
      <c r="G183" s="30">
        <v>30</v>
      </c>
      <c r="H183" s="204">
        <v>26</v>
      </c>
      <c r="I183" s="30"/>
      <c r="J183" s="29" t="s">
        <v>31</v>
      </c>
      <c r="K183" s="30">
        <v>40</v>
      </c>
      <c r="L183" s="204">
        <v>19</v>
      </c>
      <c r="M183" s="30"/>
      <c r="N183" s="29" t="s">
        <v>31</v>
      </c>
      <c r="O183" s="30">
        <v>15</v>
      </c>
      <c r="P183" s="204">
        <v>17</v>
      </c>
      <c r="Q183" s="30"/>
      <c r="R183" s="29" t="s">
        <v>31</v>
      </c>
      <c r="S183" s="30">
        <v>567</v>
      </c>
      <c r="T183" s="204">
        <v>465</v>
      </c>
      <c r="U183" s="30"/>
      <c r="V183" s="29" t="s">
        <v>31</v>
      </c>
      <c r="W183" s="30">
        <v>574</v>
      </c>
      <c r="X183" s="204">
        <v>680</v>
      </c>
      <c r="Y183" s="30"/>
      <c r="Z183" s="29" t="s">
        <v>31</v>
      </c>
      <c r="AA183" s="30">
        <v>160</v>
      </c>
      <c r="AB183" s="204">
        <v>180</v>
      </c>
      <c r="AC183" s="30"/>
      <c r="AD183" s="29" t="s">
        <v>31</v>
      </c>
      <c r="AE183" s="30">
        <v>154</v>
      </c>
      <c r="AF183" s="204">
        <v>156</v>
      </c>
      <c r="AG183" s="30"/>
      <c r="AH183" s="29" t="s">
        <v>31</v>
      </c>
      <c r="AI183" s="30">
        <v>475</v>
      </c>
      <c r="AJ183" s="204">
        <v>544</v>
      </c>
      <c r="AK183" s="30"/>
      <c r="AL183" s="29" t="s">
        <v>31</v>
      </c>
      <c r="AM183" s="30">
        <v>371</v>
      </c>
      <c r="AN183" s="206">
        <v>362</v>
      </c>
    </row>
    <row r="184" spans="1:40" outlineLevel="1" x14ac:dyDescent="0.25">
      <c r="A184" s="28"/>
      <c r="B184" s="29" t="s">
        <v>33</v>
      </c>
      <c r="C184" s="30">
        <v>102</v>
      </c>
      <c r="D184" s="204">
        <v>56</v>
      </c>
      <c r="E184" s="30"/>
      <c r="F184" s="29" t="s">
        <v>33</v>
      </c>
      <c r="G184" s="30">
        <v>40</v>
      </c>
      <c r="H184" s="204">
        <v>25</v>
      </c>
      <c r="I184" s="30"/>
      <c r="J184" s="29" t="s">
        <v>33</v>
      </c>
      <c r="K184" s="30">
        <v>51</v>
      </c>
      <c r="L184" s="204">
        <v>27</v>
      </c>
      <c r="M184" s="30"/>
      <c r="N184" s="29" t="s">
        <v>33</v>
      </c>
      <c r="O184" s="30">
        <v>27</v>
      </c>
      <c r="P184" s="204">
        <v>24</v>
      </c>
      <c r="Q184" s="30"/>
      <c r="R184" s="29" t="s">
        <v>33</v>
      </c>
      <c r="S184" s="30">
        <v>694</v>
      </c>
      <c r="T184" s="204">
        <v>468</v>
      </c>
      <c r="U184" s="30"/>
      <c r="V184" s="29" t="s">
        <v>33</v>
      </c>
      <c r="W184" s="30">
        <v>599</v>
      </c>
      <c r="X184" s="204">
        <v>654</v>
      </c>
      <c r="Y184" s="30"/>
      <c r="Z184" s="29" t="s">
        <v>33</v>
      </c>
      <c r="AA184" s="30">
        <v>248</v>
      </c>
      <c r="AB184" s="204">
        <v>170</v>
      </c>
      <c r="AC184" s="30"/>
      <c r="AD184" s="29" t="s">
        <v>33</v>
      </c>
      <c r="AE184" s="30">
        <v>168</v>
      </c>
      <c r="AF184" s="204">
        <v>156</v>
      </c>
      <c r="AG184" s="30"/>
      <c r="AH184" s="29" t="s">
        <v>33</v>
      </c>
      <c r="AI184" s="30">
        <v>513</v>
      </c>
      <c r="AJ184" s="204">
        <v>569</v>
      </c>
      <c r="AK184" s="30"/>
      <c r="AL184" s="29" t="s">
        <v>33</v>
      </c>
      <c r="AM184" s="30">
        <v>479</v>
      </c>
      <c r="AN184" s="206">
        <v>404</v>
      </c>
    </row>
    <row r="185" spans="1:40" outlineLevel="1" x14ac:dyDescent="0.25">
      <c r="A185" s="28"/>
      <c r="B185" s="29" t="s">
        <v>35</v>
      </c>
      <c r="C185" s="30">
        <v>116</v>
      </c>
      <c r="D185" s="204">
        <v>74</v>
      </c>
      <c r="E185" s="30"/>
      <c r="F185" s="29" t="s">
        <v>35</v>
      </c>
      <c r="G185" s="30">
        <v>54</v>
      </c>
      <c r="H185" s="204">
        <v>25</v>
      </c>
      <c r="I185" s="30"/>
      <c r="J185" s="29" t="s">
        <v>35</v>
      </c>
      <c r="K185" s="30">
        <v>63</v>
      </c>
      <c r="L185" s="204">
        <v>38</v>
      </c>
      <c r="M185" s="30"/>
      <c r="N185" s="29" t="s">
        <v>35</v>
      </c>
      <c r="O185" s="30">
        <v>46</v>
      </c>
      <c r="P185" s="204">
        <v>22</v>
      </c>
      <c r="Q185" s="30"/>
      <c r="R185" s="29" t="s">
        <v>35</v>
      </c>
      <c r="S185" s="30">
        <v>889</v>
      </c>
      <c r="T185" s="204">
        <v>518</v>
      </c>
      <c r="U185" s="30"/>
      <c r="V185" s="29" t="s">
        <v>35</v>
      </c>
      <c r="W185" s="30">
        <v>754</v>
      </c>
      <c r="X185" s="204">
        <v>572</v>
      </c>
      <c r="Y185" s="30"/>
      <c r="Z185" s="29" t="s">
        <v>35</v>
      </c>
      <c r="AA185" s="30">
        <v>256</v>
      </c>
      <c r="AB185" s="204">
        <v>155</v>
      </c>
      <c r="AC185" s="30"/>
      <c r="AD185" s="29" t="s">
        <v>35</v>
      </c>
      <c r="AE185" s="30">
        <v>196</v>
      </c>
      <c r="AF185" s="204">
        <v>141</v>
      </c>
      <c r="AG185" s="30"/>
      <c r="AH185" s="29" t="s">
        <v>35</v>
      </c>
      <c r="AI185" s="30">
        <v>634</v>
      </c>
      <c r="AJ185" s="204">
        <v>457</v>
      </c>
      <c r="AK185" s="30"/>
      <c r="AL185" s="29" t="s">
        <v>35</v>
      </c>
      <c r="AM185" s="30">
        <v>560</v>
      </c>
      <c r="AN185" s="206">
        <v>388</v>
      </c>
    </row>
    <row r="186" spans="1:40" outlineLevel="1" x14ac:dyDescent="0.25">
      <c r="A186" s="28"/>
      <c r="B186" s="29" t="s">
        <v>37</v>
      </c>
      <c r="C186" s="30">
        <v>152</v>
      </c>
      <c r="D186" s="204">
        <v>100</v>
      </c>
      <c r="E186" s="30"/>
      <c r="F186" s="29" t="s">
        <v>37</v>
      </c>
      <c r="G186" s="30">
        <v>72</v>
      </c>
      <c r="H186" s="204">
        <v>40</v>
      </c>
      <c r="I186" s="30"/>
      <c r="J186" s="29" t="s">
        <v>37</v>
      </c>
      <c r="K186" s="30">
        <v>95</v>
      </c>
      <c r="L186" s="204">
        <v>53</v>
      </c>
      <c r="M186" s="30"/>
      <c r="N186" s="29" t="s">
        <v>37</v>
      </c>
      <c r="O186" s="30">
        <v>55</v>
      </c>
      <c r="P186" s="204">
        <v>26</v>
      </c>
      <c r="Q186" s="30"/>
      <c r="R186" s="29" t="s">
        <v>37</v>
      </c>
      <c r="S186" s="30">
        <v>970</v>
      </c>
      <c r="T186" s="204">
        <v>647</v>
      </c>
      <c r="U186" s="30"/>
      <c r="V186" s="29" t="s">
        <v>37</v>
      </c>
      <c r="W186" s="30">
        <v>759</v>
      </c>
      <c r="X186" s="204">
        <v>595</v>
      </c>
      <c r="Y186" s="30"/>
      <c r="Z186" s="29" t="s">
        <v>37</v>
      </c>
      <c r="AA186" s="30">
        <v>276</v>
      </c>
      <c r="AB186" s="204">
        <v>226</v>
      </c>
      <c r="AC186" s="30"/>
      <c r="AD186" s="29" t="s">
        <v>37</v>
      </c>
      <c r="AE186" s="30">
        <v>198</v>
      </c>
      <c r="AF186" s="204">
        <v>163</v>
      </c>
      <c r="AG186" s="30"/>
      <c r="AH186" s="29" t="s">
        <v>37</v>
      </c>
      <c r="AI186" s="30">
        <v>721</v>
      </c>
      <c r="AJ186" s="204">
        <v>481</v>
      </c>
      <c r="AK186" s="30"/>
      <c r="AL186" s="29" t="s">
        <v>37</v>
      </c>
      <c r="AM186" s="30">
        <v>561</v>
      </c>
      <c r="AN186" s="206">
        <v>433</v>
      </c>
    </row>
    <row r="187" spans="1:40" outlineLevel="1" x14ac:dyDescent="0.25">
      <c r="A187" s="28"/>
      <c r="B187" s="29" t="s">
        <v>39</v>
      </c>
      <c r="C187" s="30">
        <v>135</v>
      </c>
      <c r="D187" s="204">
        <v>102</v>
      </c>
      <c r="E187" s="30"/>
      <c r="F187" s="29" t="s">
        <v>39</v>
      </c>
      <c r="G187" s="30">
        <v>86</v>
      </c>
      <c r="H187" s="204">
        <v>44</v>
      </c>
      <c r="I187" s="30"/>
      <c r="J187" s="29" t="s">
        <v>39</v>
      </c>
      <c r="K187" s="30">
        <v>84</v>
      </c>
      <c r="L187" s="204">
        <v>64</v>
      </c>
      <c r="M187" s="30"/>
      <c r="N187" s="29" t="s">
        <v>39</v>
      </c>
      <c r="O187" s="30">
        <v>55</v>
      </c>
      <c r="P187" s="204">
        <v>39</v>
      </c>
      <c r="Q187" s="30"/>
      <c r="R187" s="29" t="s">
        <v>39</v>
      </c>
      <c r="S187" s="30">
        <v>768</v>
      </c>
      <c r="T187" s="204">
        <v>833</v>
      </c>
      <c r="U187" s="30"/>
      <c r="V187" s="29" t="s">
        <v>39</v>
      </c>
      <c r="W187" s="30">
        <v>613</v>
      </c>
      <c r="X187" s="204">
        <v>734</v>
      </c>
      <c r="Y187" s="30"/>
      <c r="Z187" s="29" t="s">
        <v>39</v>
      </c>
      <c r="AA187" s="30">
        <v>217</v>
      </c>
      <c r="AB187" s="204">
        <v>236</v>
      </c>
      <c r="AC187" s="30"/>
      <c r="AD187" s="29" t="s">
        <v>39</v>
      </c>
      <c r="AE187" s="30">
        <v>151</v>
      </c>
      <c r="AF187" s="204">
        <v>180</v>
      </c>
      <c r="AG187" s="30"/>
      <c r="AH187" s="29" t="s">
        <v>39</v>
      </c>
      <c r="AI187" s="30">
        <v>639</v>
      </c>
      <c r="AJ187" s="204">
        <v>626</v>
      </c>
      <c r="AK187" s="30"/>
      <c r="AL187" s="29" t="s">
        <v>39</v>
      </c>
      <c r="AM187" s="30">
        <v>460</v>
      </c>
      <c r="AN187" s="206">
        <v>503</v>
      </c>
    </row>
    <row r="188" spans="1:40" outlineLevel="1" x14ac:dyDescent="0.25">
      <c r="A188" s="28"/>
      <c r="B188" s="29" t="s">
        <v>41</v>
      </c>
      <c r="C188" s="30">
        <v>136</v>
      </c>
      <c r="D188" s="204">
        <v>143</v>
      </c>
      <c r="E188" s="30"/>
      <c r="F188" s="29" t="s">
        <v>41</v>
      </c>
      <c r="G188" s="30">
        <v>73</v>
      </c>
      <c r="H188" s="204">
        <v>60</v>
      </c>
      <c r="I188" s="30"/>
      <c r="J188" s="29" t="s">
        <v>41</v>
      </c>
      <c r="K188" s="30">
        <v>135</v>
      </c>
      <c r="L188" s="204">
        <v>80</v>
      </c>
      <c r="M188" s="30"/>
      <c r="N188" s="29" t="s">
        <v>41</v>
      </c>
      <c r="O188" s="30">
        <v>60</v>
      </c>
      <c r="P188" s="204">
        <v>51</v>
      </c>
      <c r="Q188" s="30"/>
      <c r="R188" s="29" t="s">
        <v>41</v>
      </c>
      <c r="S188" s="30">
        <v>696</v>
      </c>
      <c r="T188" s="204">
        <v>925</v>
      </c>
      <c r="U188" s="30"/>
      <c r="V188" s="29" t="s">
        <v>41</v>
      </c>
      <c r="W188" s="30">
        <v>442</v>
      </c>
      <c r="X188" s="204">
        <v>723</v>
      </c>
      <c r="Y188" s="30"/>
      <c r="Z188" s="29" t="s">
        <v>41</v>
      </c>
      <c r="AA188" s="30">
        <v>169</v>
      </c>
      <c r="AB188" s="204">
        <v>263</v>
      </c>
      <c r="AC188" s="30"/>
      <c r="AD188" s="29" t="s">
        <v>41</v>
      </c>
      <c r="AE188" s="30">
        <v>120</v>
      </c>
      <c r="AF188" s="204">
        <v>194</v>
      </c>
      <c r="AG188" s="30"/>
      <c r="AH188" s="29" t="s">
        <v>41</v>
      </c>
      <c r="AI188" s="30">
        <v>537</v>
      </c>
      <c r="AJ188" s="204">
        <v>638</v>
      </c>
      <c r="AK188" s="30"/>
      <c r="AL188" s="29" t="s">
        <v>41</v>
      </c>
      <c r="AM188" s="30">
        <v>427</v>
      </c>
      <c r="AN188" s="206">
        <v>508</v>
      </c>
    </row>
    <row r="189" spans="1:40" outlineLevel="1" x14ac:dyDescent="0.25">
      <c r="A189" s="28"/>
      <c r="B189" s="29" t="s">
        <v>43</v>
      </c>
      <c r="C189" s="30">
        <v>172</v>
      </c>
      <c r="D189" s="204">
        <v>127</v>
      </c>
      <c r="E189" s="30"/>
      <c r="F189" s="29" t="s">
        <v>43</v>
      </c>
      <c r="G189" s="30">
        <v>97</v>
      </c>
      <c r="H189" s="204">
        <v>92</v>
      </c>
      <c r="I189" s="30"/>
      <c r="J189" s="29" t="s">
        <v>43</v>
      </c>
      <c r="K189" s="30">
        <v>130</v>
      </c>
      <c r="L189" s="204">
        <v>88</v>
      </c>
      <c r="M189" s="30"/>
      <c r="N189" s="29" t="s">
        <v>43</v>
      </c>
      <c r="O189" s="30">
        <v>82</v>
      </c>
      <c r="P189" s="204">
        <v>52</v>
      </c>
      <c r="Q189" s="30"/>
      <c r="R189" s="29" t="s">
        <v>43</v>
      </c>
      <c r="S189" s="30">
        <v>819</v>
      </c>
      <c r="T189" s="204">
        <v>796</v>
      </c>
      <c r="U189" s="30"/>
      <c r="V189" s="29" t="s">
        <v>43</v>
      </c>
      <c r="W189" s="30">
        <v>411</v>
      </c>
      <c r="X189" s="204">
        <v>605</v>
      </c>
      <c r="Y189" s="30"/>
      <c r="Z189" s="29" t="s">
        <v>43</v>
      </c>
      <c r="AA189" s="30">
        <v>171</v>
      </c>
      <c r="AB189" s="204">
        <v>221</v>
      </c>
      <c r="AC189" s="30"/>
      <c r="AD189" s="29" t="s">
        <v>43</v>
      </c>
      <c r="AE189" s="30">
        <v>129</v>
      </c>
      <c r="AF189" s="204">
        <v>160</v>
      </c>
      <c r="AG189" s="30"/>
      <c r="AH189" s="29" t="s">
        <v>43</v>
      </c>
      <c r="AI189" s="30">
        <v>479</v>
      </c>
      <c r="AJ189" s="204">
        <v>684</v>
      </c>
      <c r="AK189" s="30"/>
      <c r="AL189" s="29" t="s">
        <v>43</v>
      </c>
      <c r="AM189" s="30">
        <v>439</v>
      </c>
      <c r="AN189" s="206">
        <v>486</v>
      </c>
    </row>
    <row r="190" spans="1:40" outlineLevel="1" x14ac:dyDescent="0.25">
      <c r="A190" s="28"/>
      <c r="B190" s="29" t="s">
        <v>45</v>
      </c>
      <c r="C190" s="30">
        <v>170</v>
      </c>
      <c r="D190" s="204">
        <v>100</v>
      </c>
      <c r="E190" s="30"/>
      <c r="F190" s="29" t="s">
        <v>45</v>
      </c>
      <c r="G190" s="30">
        <v>108</v>
      </c>
      <c r="H190" s="204">
        <v>55</v>
      </c>
      <c r="I190" s="30"/>
      <c r="J190" s="29" t="s">
        <v>45</v>
      </c>
      <c r="K190" s="30">
        <v>146</v>
      </c>
      <c r="L190" s="204">
        <v>102</v>
      </c>
      <c r="M190" s="30"/>
      <c r="N190" s="29" t="s">
        <v>45</v>
      </c>
      <c r="O190" s="30">
        <v>91</v>
      </c>
      <c r="P190" s="204">
        <v>51</v>
      </c>
      <c r="Q190" s="30"/>
      <c r="R190" s="29" t="s">
        <v>45</v>
      </c>
      <c r="S190" s="30">
        <v>899</v>
      </c>
      <c r="T190" s="204">
        <v>520</v>
      </c>
      <c r="U190" s="30"/>
      <c r="V190" s="29" t="s">
        <v>45</v>
      </c>
      <c r="W190" s="30">
        <v>421</v>
      </c>
      <c r="X190" s="204">
        <v>342</v>
      </c>
      <c r="Y190" s="30"/>
      <c r="Z190" s="29" t="s">
        <v>45</v>
      </c>
      <c r="AA190" s="30">
        <v>197</v>
      </c>
      <c r="AB190" s="204">
        <v>139</v>
      </c>
      <c r="AC190" s="30"/>
      <c r="AD190" s="29" t="s">
        <v>45</v>
      </c>
      <c r="AE190" s="30">
        <v>157</v>
      </c>
      <c r="AF190" s="204">
        <v>105</v>
      </c>
      <c r="AG190" s="30"/>
      <c r="AH190" s="29" t="s">
        <v>45</v>
      </c>
      <c r="AI190" s="30">
        <v>499</v>
      </c>
      <c r="AJ190" s="204">
        <v>412</v>
      </c>
      <c r="AK190" s="30"/>
      <c r="AL190" s="29" t="s">
        <v>45</v>
      </c>
      <c r="AM190" s="30">
        <v>450</v>
      </c>
      <c r="AN190" s="206">
        <v>338</v>
      </c>
    </row>
    <row r="191" spans="1:40" outlineLevel="1" x14ac:dyDescent="0.25">
      <c r="A191" s="28"/>
      <c r="B191" s="29" t="s">
        <v>47</v>
      </c>
      <c r="C191" s="30">
        <v>139</v>
      </c>
      <c r="D191" s="204">
        <v>118</v>
      </c>
      <c r="E191" s="30"/>
      <c r="F191" s="29" t="s">
        <v>47</v>
      </c>
      <c r="G191" s="30">
        <v>103</v>
      </c>
      <c r="H191" s="204">
        <v>57</v>
      </c>
      <c r="I191" s="30"/>
      <c r="J191" s="29" t="s">
        <v>47</v>
      </c>
      <c r="K191" s="30">
        <v>145</v>
      </c>
      <c r="L191" s="204">
        <v>98</v>
      </c>
      <c r="M191" s="30"/>
      <c r="N191" s="29" t="s">
        <v>47</v>
      </c>
      <c r="O191" s="30">
        <v>95</v>
      </c>
      <c r="P191" s="204">
        <v>51</v>
      </c>
      <c r="Q191" s="30"/>
      <c r="R191" s="29" t="s">
        <v>47</v>
      </c>
      <c r="S191" s="30">
        <v>712</v>
      </c>
      <c r="T191" s="204">
        <v>537</v>
      </c>
      <c r="U191" s="30"/>
      <c r="V191" s="29" t="s">
        <v>47</v>
      </c>
      <c r="W191" s="30">
        <v>275</v>
      </c>
      <c r="X191" s="204">
        <v>307</v>
      </c>
      <c r="Y191" s="30"/>
      <c r="Z191" s="29" t="s">
        <v>47</v>
      </c>
      <c r="AA191" s="30">
        <v>139</v>
      </c>
      <c r="AB191" s="204">
        <v>124</v>
      </c>
      <c r="AC191" s="30"/>
      <c r="AD191" s="29" t="s">
        <v>47</v>
      </c>
      <c r="AE191" s="30">
        <v>125</v>
      </c>
      <c r="AF191" s="204">
        <v>103</v>
      </c>
      <c r="AG191" s="30"/>
      <c r="AH191" s="29" t="s">
        <v>47</v>
      </c>
      <c r="AI191" s="30">
        <v>307</v>
      </c>
      <c r="AJ191" s="204">
        <v>307</v>
      </c>
      <c r="AK191" s="30"/>
      <c r="AL191" s="29" t="s">
        <v>47</v>
      </c>
      <c r="AM191" s="30">
        <v>355</v>
      </c>
      <c r="AN191" s="206">
        <v>280</v>
      </c>
    </row>
    <row r="192" spans="1:40" outlineLevel="1" x14ac:dyDescent="0.25">
      <c r="A192" s="28"/>
      <c r="B192" s="29" t="s">
        <v>49</v>
      </c>
      <c r="C192" s="30">
        <v>84</v>
      </c>
      <c r="D192" s="204">
        <v>83</v>
      </c>
      <c r="E192" s="30"/>
      <c r="F192" s="29" t="s">
        <v>49</v>
      </c>
      <c r="G192" s="30">
        <v>49</v>
      </c>
      <c r="H192" s="204">
        <v>57</v>
      </c>
      <c r="I192" s="30"/>
      <c r="J192" s="29" t="s">
        <v>49</v>
      </c>
      <c r="K192" s="30">
        <v>87</v>
      </c>
      <c r="L192" s="204">
        <v>89</v>
      </c>
      <c r="M192" s="30"/>
      <c r="N192" s="29" t="s">
        <v>49</v>
      </c>
      <c r="O192" s="30">
        <v>42</v>
      </c>
      <c r="P192" s="204">
        <v>44</v>
      </c>
      <c r="Q192" s="30"/>
      <c r="R192" s="29" t="s">
        <v>49</v>
      </c>
      <c r="S192" s="30">
        <v>316</v>
      </c>
      <c r="T192" s="204">
        <v>467</v>
      </c>
      <c r="U192" s="30"/>
      <c r="V192" s="29" t="s">
        <v>49</v>
      </c>
      <c r="W192" s="30">
        <v>128</v>
      </c>
      <c r="X192" s="204">
        <v>227</v>
      </c>
      <c r="Y192" s="30"/>
      <c r="Z192" s="29" t="s">
        <v>49</v>
      </c>
      <c r="AA192" s="30">
        <v>54</v>
      </c>
      <c r="AB192" s="204">
        <v>106</v>
      </c>
      <c r="AC192" s="30"/>
      <c r="AD192" s="29" t="s">
        <v>49</v>
      </c>
      <c r="AE192" s="30">
        <v>51</v>
      </c>
      <c r="AF192" s="204">
        <v>97</v>
      </c>
      <c r="AG192" s="30"/>
      <c r="AH192" s="29" t="s">
        <v>49</v>
      </c>
      <c r="AI192" s="30">
        <v>141</v>
      </c>
      <c r="AJ192" s="204">
        <v>256</v>
      </c>
      <c r="AK192" s="30"/>
      <c r="AL192" s="29" t="s">
        <v>49</v>
      </c>
      <c r="AM192" s="30">
        <v>149</v>
      </c>
      <c r="AN192" s="206">
        <v>217</v>
      </c>
    </row>
    <row r="193" spans="1:40" outlineLevel="1" x14ac:dyDescent="0.25">
      <c r="A193" s="28"/>
      <c r="B193" s="29" t="s">
        <v>51</v>
      </c>
      <c r="C193" s="30">
        <v>24</v>
      </c>
      <c r="D193" s="204">
        <v>42</v>
      </c>
      <c r="E193" s="30"/>
      <c r="F193" s="29" t="s">
        <v>51</v>
      </c>
      <c r="G193" s="30">
        <v>24</v>
      </c>
      <c r="H193" s="204">
        <v>18</v>
      </c>
      <c r="I193" s="30"/>
      <c r="J193" s="29" t="s">
        <v>51</v>
      </c>
      <c r="K193" s="30">
        <v>24</v>
      </c>
      <c r="L193" s="204">
        <v>32</v>
      </c>
      <c r="M193" s="30"/>
      <c r="N193" s="29" t="s">
        <v>51</v>
      </c>
      <c r="O193" s="30">
        <v>10</v>
      </c>
      <c r="P193" s="204">
        <v>29</v>
      </c>
      <c r="Q193" s="30"/>
      <c r="R193" s="29" t="s">
        <v>51</v>
      </c>
      <c r="S193" s="30">
        <v>101</v>
      </c>
      <c r="T193" s="204">
        <v>163</v>
      </c>
      <c r="U193" s="30"/>
      <c r="V193" s="29" t="s">
        <v>51</v>
      </c>
      <c r="W193" s="30">
        <v>53</v>
      </c>
      <c r="X193" s="204">
        <v>77</v>
      </c>
      <c r="Y193" s="30"/>
      <c r="Z193" s="29" t="s">
        <v>51</v>
      </c>
      <c r="AA193" s="30">
        <v>23</v>
      </c>
      <c r="AB193" s="204">
        <v>35</v>
      </c>
      <c r="AC193" s="30"/>
      <c r="AD193" s="29" t="s">
        <v>51</v>
      </c>
      <c r="AE193" s="30">
        <v>13</v>
      </c>
      <c r="AF193" s="204">
        <v>32</v>
      </c>
      <c r="AG193" s="30"/>
      <c r="AH193" s="29" t="s">
        <v>51</v>
      </c>
      <c r="AI193" s="30">
        <v>24</v>
      </c>
      <c r="AJ193" s="204">
        <v>72</v>
      </c>
      <c r="AK193" s="30"/>
      <c r="AL193" s="29" t="s">
        <v>51</v>
      </c>
      <c r="AM193" s="30">
        <v>35</v>
      </c>
      <c r="AN193" s="206">
        <v>91</v>
      </c>
    </row>
    <row r="194" spans="1:40" ht="19.5" outlineLevel="1" thickBot="1" x14ac:dyDescent="0.3">
      <c r="A194" s="34"/>
      <c r="B194" s="35" t="s">
        <v>53</v>
      </c>
      <c r="C194" s="36">
        <v>2</v>
      </c>
      <c r="D194" s="205">
        <v>12</v>
      </c>
      <c r="E194" s="36"/>
      <c r="F194" s="35" t="s">
        <v>53</v>
      </c>
      <c r="G194" s="36">
        <v>2</v>
      </c>
      <c r="H194" s="205">
        <v>5</v>
      </c>
      <c r="I194" s="36"/>
      <c r="J194" s="35" t="s">
        <v>53</v>
      </c>
      <c r="K194" s="36">
        <v>9</v>
      </c>
      <c r="L194" s="205">
        <v>10</v>
      </c>
      <c r="M194" s="36"/>
      <c r="N194" s="35" t="s">
        <v>53</v>
      </c>
      <c r="O194" s="36">
        <v>1</v>
      </c>
      <c r="P194" s="205">
        <v>5</v>
      </c>
      <c r="Q194" s="36"/>
      <c r="R194" s="35" t="s">
        <v>53</v>
      </c>
      <c r="S194" s="36">
        <v>9</v>
      </c>
      <c r="T194" s="205">
        <v>28</v>
      </c>
      <c r="U194" s="36"/>
      <c r="V194" s="35" t="s">
        <v>53</v>
      </c>
      <c r="W194" s="36">
        <v>5</v>
      </c>
      <c r="X194" s="205">
        <v>11</v>
      </c>
      <c r="Y194" s="36"/>
      <c r="Z194" s="35" t="s">
        <v>53</v>
      </c>
      <c r="AA194" s="36">
        <v>2</v>
      </c>
      <c r="AB194" s="205">
        <v>5</v>
      </c>
      <c r="AC194" s="36"/>
      <c r="AD194" s="35" t="s">
        <v>53</v>
      </c>
      <c r="AE194" s="36">
        <v>7</v>
      </c>
      <c r="AF194" s="205">
        <v>9</v>
      </c>
      <c r="AG194" s="36"/>
      <c r="AH194" s="35" t="s">
        <v>53</v>
      </c>
      <c r="AI194" s="36">
        <v>6</v>
      </c>
      <c r="AJ194" s="205">
        <v>15</v>
      </c>
      <c r="AK194" s="36"/>
      <c r="AL194" s="35" t="s">
        <v>53</v>
      </c>
      <c r="AM194" s="36">
        <v>7</v>
      </c>
      <c r="AN194" s="208">
        <v>7</v>
      </c>
    </row>
    <row r="195" spans="1:40" outlineLevel="1" x14ac:dyDescent="0.25">
      <c r="A195" s="44"/>
      <c r="B195" s="44" t="s">
        <v>79</v>
      </c>
      <c r="C195" s="45">
        <f>SUM(C164:C171,C187:C194)</f>
        <v>1488</v>
      </c>
      <c r="D195" s="45">
        <f>SUM(D164:D171,D187:D194)</f>
        <v>1320</v>
      </c>
      <c r="E195" s="45"/>
      <c r="F195" s="44" t="s">
        <v>79</v>
      </c>
      <c r="G195" s="45">
        <f>SUM(G164:G171,G187:G194)</f>
        <v>896</v>
      </c>
      <c r="H195" s="45">
        <f>SUM(H164:H171,H187:H194)</f>
        <v>717</v>
      </c>
      <c r="I195" s="45"/>
      <c r="J195" s="44" t="s">
        <v>79</v>
      </c>
      <c r="K195" s="45">
        <f>SUM(K164:K171,K187:K194)</f>
        <v>1304</v>
      </c>
      <c r="L195" s="45">
        <f>SUM(L164:L171,L187:L194)</f>
        <v>1025</v>
      </c>
      <c r="M195" s="45"/>
      <c r="N195" s="44" t="s">
        <v>79</v>
      </c>
      <c r="O195" s="45">
        <f>SUM(O164:O171,O187:O194)</f>
        <v>756</v>
      </c>
      <c r="P195" s="45">
        <f>SUM(P164:P171,P187:P194)</f>
        <v>600</v>
      </c>
      <c r="Q195" s="45"/>
      <c r="R195" s="44" t="s">
        <v>79</v>
      </c>
      <c r="S195" s="45">
        <f>SUM(S164:S171,S187:S194)</f>
        <v>7239</v>
      </c>
      <c r="T195" s="45">
        <f>SUM(T164:T171,T187:T194)</f>
        <v>7625</v>
      </c>
      <c r="U195" s="45"/>
      <c r="V195" s="44" t="s">
        <v>79</v>
      </c>
      <c r="W195" s="45">
        <f>SUM(W164:W171,W187:W194)</f>
        <v>4147</v>
      </c>
      <c r="X195" s="45">
        <f>SUM(X164:X171,X187:X194)</f>
        <v>5517</v>
      </c>
      <c r="Y195" s="45"/>
      <c r="Z195" s="44" t="s">
        <v>79</v>
      </c>
      <c r="AA195" s="45">
        <f>SUM(AA164:AA171,AA187:AA194)</f>
        <v>1701</v>
      </c>
      <c r="AB195" s="45">
        <f>SUM(AB164:AB171,AB187:AB194)</f>
        <v>2102</v>
      </c>
      <c r="AC195" s="45"/>
      <c r="AD195" s="44" t="s">
        <v>79</v>
      </c>
      <c r="AE195" s="45">
        <f>SUM(AE164:AE171,AE187:AE194)</f>
        <v>1283</v>
      </c>
      <c r="AF195" s="45">
        <f>SUM(AF164:AF171,AF187:AF194)</f>
        <v>1583</v>
      </c>
      <c r="AG195" s="45"/>
      <c r="AH195" s="44" t="s">
        <v>79</v>
      </c>
      <c r="AI195" s="45">
        <f>SUM(AI164:AI171,AI187:AI194)</f>
        <v>4660</v>
      </c>
      <c r="AJ195" s="45">
        <f>SUM(AJ164:AJ171,AJ187:AJ194)</f>
        <v>5413</v>
      </c>
      <c r="AK195" s="45"/>
      <c r="AL195" s="44" t="s">
        <v>79</v>
      </c>
      <c r="AM195" s="45">
        <f>SUM(AM164:AM171,AM187:AM194)</f>
        <v>3992</v>
      </c>
      <c r="AN195" s="45">
        <f>SUM(AN164:AN171,AN187:AN194)</f>
        <v>4372</v>
      </c>
    </row>
    <row r="196" spans="1:40" ht="19.5" thickBot="1" x14ac:dyDescent="0.3">
      <c r="A196" s="39"/>
      <c r="B196" s="39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</row>
    <row r="197" spans="1:40" outlineLevel="1" x14ac:dyDescent="0.25">
      <c r="A197" s="169" t="s">
        <v>245</v>
      </c>
      <c r="B197" s="25"/>
      <c r="C197" s="26" t="s">
        <v>1</v>
      </c>
      <c r="D197" s="211" t="s">
        <v>217</v>
      </c>
      <c r="E197" s="165" t="s">
        <v>246</v>
      </c>
      <c r="F197" s="25"/>
      <c r="G197" s="26" t="s">
        <v>1</v>
      </c>
      <c r="H197" s="26" t="s">
        <v>217</v>
      </c>
      <c r="I197" s="165" t="s">
        <v>247</v>
      </c>
      <c r="J197" s="25"/>
      <c r="K197" s="26" t="s">
        <v>1</v>
      </c>
      <c r="L197" s="26" t="s">
        <v>217</v>
      </c>
      <c r="M197" s="165" t="s">
        <v>248</v>
      </c>
      <c r="N197" s="25"/>
      <c r="O197" s="26" t="s">
        <v>1</v>
      </c>
      <c r="P197" s="26" t="s">
        <v>217</v>
      </c>
      <c r="Q197" s="165" t="s">
        <v>249</v>
      </c>
      <c r="R197" s="25"/>
      <c r="S197" s="26" t="s">
        <v>1</v>
      </c>
      <c r="T197" s="26" t="s">
        <v>217</v>
      </c>
      <c r="U197" s="165" t="s">
        <v>250</v>
      </c>
      <c r="V197" s="25"/>
      <c r="W197" s="26" t="s">
        <v>1</v>
      </c>
      <c r="X197" s="26" t="s">
        <v>217</v>
      </c>
      <c r="Y197" s="165" t="s">
        <v>251</v>
      </c>
      <c r="Z197" s="25"/>
      <c r="AA197" s="26" t="s">
        <v>1</v>
      </c>
      <c r="AB197" s="26" t="s">
        <v>217</v>
      </c>
      <c r="AC197" s="165" t="s">
        <v>252</v>
      </c>
      <c r="AD197" s="25"/>
      <c r="AE197" s="26" t="s">
        <v>1</v>
      </c>
      <c r="AF197" s="26" t="s">
        <v>217</v>
      </c>
      <c r="AG197" s="165" t="s">
        <v>253</v>
      </c>
      <c r="AH197" s="25"/>
      <c r="AI197" s="26" t="s">
        <v>1</v>
      </c>
      <c r="AJ197" s="26" t="s">
        <v>217</v>
      </c>
      <c r="AK197" s="165" t="s">
        <v>254</v>
      </c>
      <c r="AL197" s="25"/>
      <c r="AM197" s="26" t="s">
        <v>1</v>
      </c>
      <c r="AN197" s="27" t="s">
        <v>217</v>
      </c>
    </row>
    <row r="198" spans="1:40" customFormat="1" outlineLevel="1" x14ac:dyDescent="0.25">
      <c r="A198" s="202">
        <v>1401</v>
      </c>
      <c r="B198" s="172"/>
      <c r="C198" s="166" t="s">
        <v>13</v>
      </c>
      <c r="D198" s="166"/>
      <c r="E198" s="172">
        <v>1404</v>
      </c>
      <c r="F198" s="172"/>
      <c r="G198" s="166" t="s">
        <v>13</v>
      </c>
      <c r="H198" s="166"/>
      <c r="I198" s="172">
        <v>1407</v>
      </c>
      <c r="J198" s="172"/>
      <c r="K198" s="166" t="s">
        <v>13</v>
      </c>
      <c r="L198" s="166"/>
      <c r="M198" s="172">
        <v>1413</v>
      </c>
      <c r="N198" s="172"/>
      <c r="O198" s="166" t="s">
        <v>13</v>
      </c>
      <c r="P198" s="166"/>
      <c r="Q198" s="172">
        <v>1416</v>
      </c>
      <c r="R198" s="172"/>
      <c r="S198" s="166" t="s">
        <v>13</v>
      </c>
      <c r="T198" s="166"/>
      <c r="U198" s="172">
        <v>1419</v>
      </c>
      <c r="V198" s="172"/>
      <c r="W198" s="166" t="s">
        <v>13</v>
      </c>
      <c r="X198" s="166"/>
      <c r="Y198" s="172">
        <v>1422</v>
      </c>
      <c r="Z198" s="172"/>
      <c r="AA198" s="166" t="s">
        <v>13</v>
      </c>
      <c r="AB198" s="166"/>
      <c r="AC198" s="172">
        <v>1425</v>
      </c>
      <c r="AD198" s="172"/>
      <c r="AE198" s="166" t="s">
        <v>13</v>
      </c>
      <c r="AF198" s="166"/>
      <c r="AG198" s="172">
        <v>1431</v>
      </c>
      <c r="AH198" s="172"/>
      <c r="AI198" s="166" t="s">
        <v>13</v>
      </c>
      <c r="AJ198" s="166"/>
      <c r="AK198" s="172">
        <v>1434</v>
      </c>
      <c r="AL198" s="172"/>
      <c r="AM198" s="166" t="s">
        <v>13</v>
      </c>
      <c r="AN198" s="207"/>
    </row>
    <row r="199" spans="1:40" outlineLevel="1" x14ac:dyDescent="0.25">
      <c r="A199" s="28"/>
      <c r="B199" s="29" t="s">
        <v>18</v>
      </c>
      <c r="C199" s="30">
        <v>3067</v>
      </c>
      <c r="D199" s="204">
        <v>2457</v>
      </c>
      <c r="E199" s="29"/>
      <c r="F199" s="29" t="s">
        <v>18</v>
      </c>
      <c r="G199" s="30">
        <v>4681</v>
      </c>
      <c r="H199" s="204">
        <v>3790</v>
      </c>
      <c r="I199" s="29"/>
      <c r="J199" s="29" t="s">
        <v>18</v>
      </c>
      <c r="K199" s="30">
        <v>1942</v>
      </c>
      <c r="L199" s="204">
        <v>1411</v>
      </c>
      <c r="M199" s="29"/>
      <c r="N199" s="29" t="s">
        <v>18</v>
      </c>
      <c r="O199" s="30">
        <v>8094</v>
      </c>
      <c r="P199" s="204">
        <v>6667</v>
      </c>
      <c r="Q199" s="29"/>
      <c r="R199" s="29" t="s">
        <v>18</v>
      </c>
      <c r="S199" s="30">
        <v>3478</v>
      </c>
      <c r="T199" s="204">
        <v>2969</v>
      </c>
      <c r="U199" s="29"/>
      <c r="V199" s="29" t="s">
        <v>18</v>
      </c>
      <c r="W199" s="30">
        <v>3330</v>
      </c>
      <c r="X199" s="204">
        <v>2677</v>
      </c>
      <c r="Y199" s="29"/>
      <c r="Z199" s="29" t="s">
        <v>18</v>
      </c>
      <c r="AA199" s="30">
        <v>3442</v>
      </c>
      <c r="AB199" s="204">
        <v>2849</v>
      </c>
      <c r="AC199" s="29"/>
      <c r="AD199" s="29" t="s">
        <v>18</v>
      </c>
      <c r="AE199" s="30">
        <v>2888</v>
      </c>
      <c r="AF199" s="204">
        <v>2189</v>
      </c>
      <c r="AG199" s="29"/>
      <c r="AH199" s="29" t="s">
        <v>18</v>
      </c>
      <c r="AI199" s="30">
        <v>8844</v>
      </c>
      <c r="AJ199" s="204">
        <v>7864</v>
      </c>
      <c r="AK199" s="29"/>
      <c r="AL199" s="29" t="s">
        <v>18</v>
      </c>
      <c r="AM199" s="30">
        <v>5326</v>
      </c>
      <c r="AN199" s="206">
        <v>4330</v>
      </c>
    </row>
    <row r="200" spans="1:40" outlineLevel="1" x14ac:dyDescent="0.25">
      <c r="A200" s="28"/>
      <c r="B200" s="29" t="s">
        <v>20</v>
      </c>
      <c r="C200" s="30">
        <v>117</v>
      </c>
      <c r="D200" s="204">
        <v>44</v>
      </c>
      <c r="E200" s="29"/>
      <c r="F200" s="29" t="s">
        <v>20</v>
      </c>
      <c r="G200" s="30">
        <v>164</v>
      </c>
      <c r="H200" s="204">
        <v>76</v>
      </c>
      <c r="I200" s="29"/>
      <c r="J200" s="29" t="s">
        <v>20</v>
      </c>
      <c r="K200" s="30">
        <v>66</v>
      </c>
      <c r="L200" s="204">
        <v>15</v>
      </c>
      <c r="M200" s="29"/>
      <c r="N200" s="29" t="s">
        <v>20</v>
      </c>
      <c r="O200" s="30">
        <v>271</v>
      </c>
      <c r="P200" s="204">
        <v>122</v>
      </c>
      <c r="Q200" s="29"/>
      <c r="R200" s="29" t="s">
        <v>20</v>
      </c>
      <c r="S200" s="30">
        <v>115</v>
      </c>
      <c r="T200" s="204">
        <v>71</v>
      </c>
      <c r="U200" s="29"/>
      <c r="V200" s="29" t="s">
        <v>20</v>
      </c>
      <c r="W200" s="30">
        <v>142</v>
      </c>
      <c r="X200" s="204">
        <v>56</v>
      </c>
      <c r="Y200" s="29"/>
      <c r="Z200" s="29" t="s">
        <v>20</v>
      </c>
      <c r="AA200" s="30">
        <v>140</v>
      </c>
      <c r="AB200" s="204">
        <v>48</v>
      </c>
      <c r="AC200" s="29"/>
      <c r="AD200" s="29" t="s">
        <v>20</v>
      </c>
      <c r="AE200" s="30">
        <v>100</v>
      </c>
      <c r="AF200" s="204">
        <v>35</v>
      </c>
      <c r="AG200" s="29"/>
      <c r="AH200" s="29" t="s">
        <v>20</v>
      </c>
      <c r="AI200" s="30">
        <v>308</v>
      </c>
      <c r="AJ200" s="204">
        <v>196</v>
      </c>
      <c r="AK200" s="29"/>
      <c r="AL200" s="29" t="s">
        <v>20</v>
      </c>
      <c r="AM200" s="30">
        <v>175</v>
      </c>
      <c r="AN200" s="206">
        <v>68</v>
      </c>
    </row>
    <row r="201" spans="1:40" outlineLevel="1" x14ac:dyDescent="0.25">
      <c r="A201" s="28"/>
      <c r="B201" s="29" t="s">
        <v>22</v>
      </c>
      <c r="C201" s="30">
        <v>104</v>
      </c>
      <c r="D201" s="204">
        <v>82</v>
      </c>
      <c r="E201" s="29"/>
      <c r="F201" s="29" t="s">
        <v>22</v>
      </c>
      <c r="G201" s="30">
        <v>174</v>
      </c>
      <c r="H201" s="204">
        <v>114</v>
      </c>
      <c r="I201" s="29"/>
      <c r="J201" s="29" t="s">
        <v>22</v>
      </c>
      <c r="K201" s="30">
        <v>76</v>
      </c>
      <c r="L201" s="204">
        <v>47</v>
      </c>
      <c r="M201" s="29"/>
      <c r="N201" s="29" t="s">
        <v>22</v>
      </c>
      <c r="O201" s="30">
        <v>301</v>
      </c>
      <c r="P201" s="204">
        <v>181</v>
      </c>
      <c r="Q201" s="29"/>
      <c r="R201" s="29" t="s">
        <v>22</v>
      </c>
      <c r="S201" s="30">
        <v>161</v>
      </c>
      <c r="T201" s="204">
        <v>114</v>
      </c>
      <c r="U201" s="29"/>
      <c r="V201" s="29" t="s">
        <v>22</v>
      </c>
      <c r="W201" s="30">
        <v>124</v>
      </c>
      <c r="X201" s="204">
        <v>70</v>
      </c>
      <c r="Y201" s="29"/>
      <c r="Z201" s="29" t="s">
        <v>22</v>
      </c>
      <c r="AA201" s="30">
        <v>157</v>
      </c>
      <c r="AB201" s="204">
        <v>82</v>
      </c>
      <c r="AC201" s="29"/>
      <c r="AD201" s="29" t="s">
        <v>22</v>
      </c>
      <c r="AE201" s="30">
        <v>111</v>
      </c>
      <c r="AF201" s="204">
        <v>48</v>
      </c>
      <c r="AG201" s="29"/>
      <c r="AH201" s="29" t="s">
        <v>22</v>
      </c>
      <c r="AI201" s="30">
        <v>333</v>
      </c>
      <c r="AJ201" s="204">
        <v>309</v>
      </c>
      <c r="AK201" s="29"/>
      <c r="AL201" s="29" t="s">
        <v>22</v>
      </c>
      <c r="AM201" s="30">
        <v>216</v>
      </c>
      <c r="AN201" s="206">
        <v>121</v>
      </c>
    </row>
    <row r="202" spans="1:40" outlineLevel="1" x14ac:dyDescent="0.25">
      <c r="A202" s="28"/>
      <c r="B202" s="29" t="s">
        <v>23</v>
      </c>
      <c r="C202" s="30">
        <v>124</v>
      </c>
      <c r="D202" s="204">
        <v>113</v>
      </c>
      <c r="E202" s="29"/>
      <c r="F202" s="29" t="s">
        <v>23</v>
      </c>
      <c r="G202" s="30">
        <v>222</v>
      </c>
      <c r="H202" s="204">
        <v>160</v>
      </c>
      <c r="I202" s="29"/>
      <c r="J202" s="29" t="s">
        <v>23</v>
      </c>
      <c r="K202" s="30">
        <v>85</v>
      </c>
      <c r="L202" s="204">
        <v>41</v>
      </c>
      <c r="M202" s="29"/>
      <c r="N202" s="29" t="s">
        <v>23</v>
      </c>
      <c r="O202" s="30">
        <v>360</v>
      </c>
      <c r="P202" s="204">
        <v>255</v>
      </c>
      <c r="Q202" s="29"/>
      <c r="R202" s="29" t="s">
        <v>23</v>
      </c>
      <c r="S202" s="30">
        <v>169</v>
      </c>
      <c r="T202" s="204">
        <v>129</v>
      </c>
      <c r="U202" s="29"/>
      <c r="V202" s="29" t="s">
        <v>23</v>
      </c>
      <c r="W202" s="30">
        <v>150</v>
      </c>
      <c r="X202" s="204">
        <v>122</v>
      </c>
      <c r="Y202" s="29"/>
      <c r="Z202" s="29" t="s">
        <v>23</v>
      </c>
      <c r="AA202" s="30">
        <v>201</v>
      </c>
      <c r="AB202" s="204">
        <v>128</v>
      </c>
      <c r="AC202" s="29"/>
      <c r="AD202" s="29" t="s">
        <v>23</v>
      </c>
      <c r="AE202" s="30">
        <v>118</v>
      </c>
      <c r="AF202" s="204">
        <v>72</v>
      </c>
      <c r="AG202" s="29"/>
      <c r="AH202" s="29" t="s">
        <v>23</v>
      </c>
      <c r="AI202" s="30">
        <v>418</v>
      </c>
      <c r="AJ202" s="204">
        <v>340</v>
      </c>
      <c r="AK202" s="29"/>
      <c r="AL202" s="29" t="s">
        <v>23</v>
      </c>
      <c r="AM202" s="30">
        <v>239</v>
      </c>
      <c r="AN202" s="206">
        <v>166</v>
      </c>
    </row>
    <row r="203" spans="1:40" outlineLevel="1" x14ac:dyDescent="0.25">
      <c r="A203" s="28"/>
      <c r="B203" s="29" t="s">
        <v>24</v>
      </c>
      <c r="C203" s="30">
        <v>147</v>
      </c>
      <c r="D203" s="204">
        <v>93</v>
      </c>
      <c r="E203" s="29"/>
      <c r="F203" s="29" t="s">
        <v>24</v>
      </c>
      <c r="G203" s="30">
        <v>241</v>
      </c>
      <c r="H203" s="204">
        <v>165</v>
      </c>
      <c r="I203" s="29"/>
      <c r="J203" s="29" t="s">
        <v>24</v>
      </c>
      <c r="K203" s="30">
        <v>95</v>
      </c>
      <c r="L203" s="204">
        <v>60</v>
      </c>
      <c r="M203" s="29"/>
      <c r="N203" s="29" t="s">
        <v>24</v>
      </c>
      <c r="O203" s="30">
        <v>369</v>
      </c>
      <c r="P203" s="204">
        <v>404</v>
      </c>
      <c r="Q203" s="29"/>
      <c r="R203" s="29" t="s">
        <v>24</v>
      </c>
      <c r="S203" s="30">
        <v>198</v>
      </c>
      <c r="T203" s="204">
        <v>136</v>
      </c>
      <c r="U203" s="29"/>
      <c r="V203" s="29" t="s">
        <v>24</v>
      </c>
      <c r="W203" s="30">
        <v>169</v>
      </c>
      <c r="X203" s="204">
        <v>120</v>
      </c>
      <c r="Y203" s="29"/>
      <c r="Z203" s="29" t="s">
        <v>24</v>
      </c>
      <c r="AA203" s="30">
        <v>175</v>
      </c>
      <c r="AB203" s="204">
        <v>146</v>
      </c>
      <c r="AC203" s="29"/>
      <c r="AD203" s="29" t="s">
        <v>24</v>
      </c>
      <c r="AE203" s="30">
        <v>158</v>
      </c>
      <c r="AF203" s="204">
        <v>111</v>
      </c>
      <c r="AG203" s="29"/>
      <c r="AH203" s="29" t="s">
        <v>24</v>
      </c>
      <c r="AI203" s="30">
        <v>458</v>
      </c>
      <c r="AJ203" s="204">
        <v>332</v>
      </c>
      <c r="AK203" s="29"/>
      <c r="AL203" s="29" t="s">
        <v>24</v>
      </c>
      <c r="AM203" s="30">
        <v>272</v>
      </c>
      <c r="AN203" s="206">
        <v>197</v>
      </c>
    </row>
    <row r="204" spans="1:40" outlineLevel="1" x14ac:dyDescent="0.25">
      <c r="A204" s="28"/>
      <c r="B204" s="29" t="s">
        <v>25</v>
      </c>
      <c r="C204" s="30">
        <v>145</v>
      </c>
      <c r="D204" s="204">
        <v>84</v>
      </c>
      <c r="E204" s="29"/>
      <c r="F204" s="29" t="s">
        <v>25</v>
      </c>
      <c r="G204" s="30">
        <v>189</v>
      </c>
      <c r="H204" s="204">
        <v>168</v>
      </c>
      <c r="I204" s="29"/>
      <c r="J204" s="29" t="s">
        <v>25</v>
      </c>
      <c r="K204" s="30">
        <v>98</v>
      </c>
      <c r="L204" s="204">
        <v>49</v>
      </c>
      <c r="M204" s="29"/>
      <c r="N204" s="29" t="s">
        <v>25</v>
      </c>
      <c r="O204" s="30">
        <v>381</v>
      </c>
      <c r="P204" s="204">
        <v>254</v>
      </c>
      <c r="Q204" s="29"/>
      <c r="R204" s="29" t="s">
        <v>25</v>
      </c>
      <c r="S204" s="30">
        <v>176</v>
      </c>
      <c r="T204" s="204">
        <v>133</v>
      </c>
      <c r="U204" s="29"/>
      <c r="V204" s="29" t="s">
        <v>25</v>
      </c>
      <c r="W204" s="30">
        <v>180</v>
      </c>
      <c r="X204" s="204">
        <v>107</v>
      </c>
      <c r="Y204" s="29"/>
      <c r="Z204" s="29" t="s">
        <v>25</v>
      </c>
      <c r="AA204" s="30">
        <v>161</v>
      </c>
      <c r="AB204" s="204">
        <v>154</v>
      </c>
      <c r="AC204" s="29"/>
      <c r="AD204" s="29" t="s">
        <v>25</v>
      </c>
      <c r="AE204" s="30">
        <v>120</v>
      </c>
      <c r="AF204" s="204">
        <v>73</v>
      </c>
      <c r="AG204" s="29"/>
      <c r="AH204" s="29" t="s">
        <v>25</v>
      </c>
      <c r="AI204" s="30">
        <v>431</v>
      </c>
      <c r="AJ204" s="204">
        <v>303</v>
      </c>
      <c r="AK204" s="29"/>
      <c r="AL204" s="29" t="s">
        <v>25</v>
      </c>
      <c r="AM204" s="30">
        <v>268</v>
      </c>
      <c r="AN204" s="206">
        <v>226</v>
      </c>
    </row>
    <row r="205" spans="1:40" outlineLevel="1" x14ac:dyDescent="0.25">
      <c r="A205" s="28"/>
      <c r="B205" s="29" t="s">
        <v>26</v>
      </c>
      <c r="C205" s="30">
        <v>121</v>
      </c>
      <c r="D205" s="204">
        <v>82</v>
      </c>
      <c r="E205" s="29"/>
      <c r="F205" s="29" t="s">
        <v>26</v>
      </c>
      <c r="G205" s="30">
        <v>212</v>
      </c>
      <c r="H205" s="204">
        <v>153</v>
      </c>
      <c r="I205" s="29"/>
      <c r="J205" s="29" t="s">
        <v>26</v>
      </c>
      <c r="K205" s="30">
        <v>107</v>
      </c>
      <c r="L205" s="204">
        <v>31</v>
      </c>
      <c r="M205" s="29"/>
      <c r="N205" s="29" t="s">
        <v>26</v>
      </c>
      <c r="O205" s="30">
        <v>382</v>
      </c>
      <c r="P205" s="204">
        <v>215</v>
      </c>
      <c r="Q205" s="29"/>
      <c r="R205" s="29" t="s">
        <v>26</v>
      </c>
      <c r="S205" s="30">
        <v>178</v>
      </c>
      <c r="T205" s="204">
        <v>126</v>
      </c>
      <c r="U205" s="29"/>
      <c r="V205" s="29" t="s">
        <v>26</v>
      </c>
      <c r="W205" s="30">
        <v>174</v>
      </c>
      <c r="X205" s="204">
        <v>91</v>
      </c>
      <c r="Y205" s="29"/>
      <c r="Z205" s="29" t="s">
        <v>26</v>
      </c>
      <c r="AA205" s="30">
        <v>180</v>
      </c>
      <c r="AB205" s="204">
        <v>113</v>
      </c>
      <c r="AC205" s="29"/>
      <c r="AD205" s="29" t="s">
        <v>26</v>
      </c>
      <c r="AE205" s="30">
        <v>145</v>
      </c>
      <c r="AF205" s="204">
        <v>72</v>
      </c>
      <c r="AG205" s="29"/>
      <c r="AH205" s="29" t="s">
        <v>26</v>
      </c>
      <c r="AI205" s="30">
        <v>422</v>
      </c>
      <c r="AJ205" s="204">
        <v>288</v>
      </c>
      <c r="AK205" s="29"/>
      <c r="AL205" s="29" t="s">
        <v>26</v>
      </c>
      <c r="AM205" s="30">
        <v>263</v>
      </c>
      <c r="AN205" s="206">
        <v>204</v>
      </c>
    </row>
    <row r="206" spans="1:40" outlineLevel="1" x14ac:dyDescent="0.25">
      <c r="A206" s="28"/>
      <c r="B206" s="29" t="s">
        <v>27</v>
      </c>
      <c r="C206" s="30">
        <v>178</v>
      </c>
      <c r="D206" s="204">
        <v>109</v>
      </c>
      <c r="E206" s="29"/>
      <c r="F206" s="29" t="s">
        <v>27</v>
      </c>
      <c r="G206" s="30">
        <v>230</v>
      </c>
      <c r="H206" s="204">
        <v>152</v>
      </c>
      <c r="I206" s="29"/>
      <c r="J206" s="29" t="s">
        <v>27</v>
      </c>
      <c r="K206" s="30">
        <v>96</v>
      </c>
      <c r="L206" s="204">
        <v>60</v>
      </c>
      <c r="M206" s="29"/>
      <c r="N206" s="29" t="s">
        <v>27</v>
      </c>
      <c r="O206" s="30">
        <v>401</v>
      </c>
      <c r="P206" s="204">
        <v>269</v>
      </c>
      <c r="Q206" s="29"/>
      <c r="R206" s="29" t="s">
        <v>27</v>
      </c>
      <c r="S206" s="30">
        <v>199</v>
      </c>
      <c r="T206" s="204">
        <v>119</v>
      </c>
      <c r="U206" s="29"/>
      <c r="V206" s="29" t="s">
        <v>27</v>
      </c>
      <c r="W206" s="30">
        <v>210</v>
      </c>
      <c r="X206" s="204">
        <v>114</v>
      </c>
      <c r="Y206" s="29"/>
      <c r="Z206" s="29" t="s">
        <v>27</v>
      </c>
      <c r="AA206" s="30">
        <v>206</v>
      </c>
      <c r="AB206" s="204">
        <v>107</v>
      </c>
      <c r="AC206" s="29"/>
      <c r="AD206" s="29" t="s">
        <v>27</v>
      </c>
      <c r="AE206" s="30">
        <v>121</v>
      </c>
      <c r="AF206" s="204">
        <v>69</v>
      </c>
      <c r="AG206" s="29"/>
      <c r="AH206" s="29" t="s">
        <v>27</v>
      </c>
      <c r="AI206" s="30">
        <v>483</v>
      </c>
      <c r="AJ206" s="204">
        <v>321</v>
      </c>
      <c r="AK206" s="29"/>
      <c r="AL206" s="29" t="s">
        <v>27</v>
      </c>
      <c r="AM206" s="30">
        <v>293</v>
      </c>
      <c r="AN206" s="206">
        <v>172</v>
      </c>
    </row>
    <row r="207" spans="1:40" outlineLevel="1" x14ac:dyDescent="0.25">
      <c r="A207" s="28"/>
      <c r="B207" s="29" t="s">
        <v>28</v>
      </c>
      <c r="C207" s="30">
        <v>155</v>
      </c>
      <c r="D207" s="204">
        <v>119</v>
      </c>
      <c r="E207" s="29"/>
      <c r="F207" s="29" t="s">
        <v>28</v>
      </c>
      <c r="G207" s="30">
        <v>258</v>
      </c>
      <c r="H207" s="204">
        <v>194</v>
      </c>
      <c r="I207" s="29"/>
      <c r="J207" s="29" t="s">
        <v>28</v>
      </c>
      <c r="K207" s="30">
        <v>94</v>
      </c>
      <c r="L207" s="204">
        <v>74</v>
      </c>
      <c r="M207" s="29"/>
      <c r="N207" s="29" t="s">
        <v>28</v>
      </c>
      <c r="O207" s="30">
        <v>477</v>
      </c>
      <c r="P207" s="204">
        <v>301</v>
      </c>
      <c r="Q207" s="29"/>
      <c r="R207" s="29" t="s">
        <v>28</v>
      </c>
      <c r="S207" s="30">
        <v>233</v>
      </c>
      <c r="T207" s="204">
        <v>152</v>
      </c>
      <c r="U207" s="29"/>
      <c r="V207" s="29" t="s">
        <v>28</v>
      </c>
      <c r="W207" s="30">
        <v>193</v>
      </c>
      <c r="X207" s="204">
        <v>130</v>
      </c>
      <c r="Y207" s="29"/>
      <c r="Z207" s="29" t="s">
        <v>28</v>
      </c>
      <c r="AA207" s="30">
        <v>185</v>
      </c>
      <c r="AB207" s="204">
        <v>134</v>
      </c>
      <c r="AC207" s="29"/>
      <c r="AD207" s="29" t="s">
        <v>28</v>
      </c>
      <c r="AE207" s="30">
        <v>162</v>
      </c>
      <c r="AF207" s="204">
        <v>104</v>
      </c>
      <c r="AG207" s="29"/>
      <c r="AH207" s="29" t="s">
        <v>28</v>
      </c>
      <c r="AI207" s="30">
        <v>540</v>
      </c>
      <c r="AJ207" s="204">
        <v>418</v>
      </c>
      <c r="AK207" s="29"/>
      <c r="AL207" s="29" t="s">
        <v>28</v>
      </c>
      <c r="AM207" s="30">
        <v>305</v>
      </c>
      <c r="AN207" s="206">
        <v>202</v>
      </c>
    </row>
    <row r="208" spans="1:40" outlineLevel="1" x14ac:dyDescent="0.25">
      <c r="A208" s="28"/>
      <c r="B208" s="29" t="s">
        <v>29</v>
      </c>
      <c r="C208" s="30">
        <v>142</v>
      </c>
      <c r="D208" s="204">
        <v>144</v>
      </c>
      <c r="E208" s="29"/>
      <c r="F208" s="29" t="s">
        <v>29</v>
      </c>
      <c r="G208" s="30">
        <v>246</v>
      </c>
      <c r="H208" s="204">
        <v>208</v>
      </c>
      <c r="I208" s="29"/>
      <c r="J208" s="29" t="s">
        <v>29</v>
      </c>
      <c r="K208" s="30">
        <v>86</v>
      </c>
      <c r="L208" s="204">
        <v>76</v>
      </c>
      <c r="M208" s="29"/>
      <c r="N208" s="29" t="s">
        <v>29</v>
      </c>
      <c r="O208" s="30">
        <v>474</v>
      </c>
      <c r="P208" s="204">
        <v>355</v>
      </c>
      <c r="Q208" s="29"/>
      <c r="R208" s="29" t="s">
        <v>29</v>
      </c>
      <c r="S208" s="30">
        <v>226</v>
      </c>
      <c r="T208" s="204">
        <v>184</v>
      </c>
      <c r="U208" s="29"/>
      <c r="V208" s="29" t="s">
        <v>29</v>
      </c>
      <c r="W208" s="30">
        <v>177</v>
      </c>
      <c r="X208" s="204">
        <v>185</v>
      </c>
      <c r="Y208" s="29"/>
      <c r="Z208" s="29" t="s">
        <v>29</v>
      </c>
      <c r="AA208" s="30">
        <v>207</v>
      </c>
      <c r="AB208" s="204">
        <v>188</v>
      </c>
      <c r="AC208" s="29"/>
      <c r="AD208" s="29" t="s">
        <v>29</v>
      </c>
      <c r="AE208" s="30">
        <v>147</v>
      </c>
      <c r="AF208" s="204">
        <v>117</v>
      </c>
      <c r="AG208" s="29"/>
      <c r="AH208" s="29" t="s">
        <v>29</v>
      </c>
      <c r="AI208" s="30">
        <v>514</v>
      </c>
      <c r="AJ208" s="204">
        <v>517</v>
      </c>
      <c r="AK208" s="29"/>
      <c r="AL208" s="29" t="s">
        <v>29</v>
      </c>
      <c r="AM208" s="30">
        <v>247</v>
      </c>
      <c r="AN208" s="206">
        <v>257</v>
      </c>
    </row>
    <row r="209" spans="1:40" outlineLevel="1" x14ac:dyDescent="0.25">
      <c r="A209" s="28"/>
      <c r="B209" s="29" t="s">
        <v>31</v>
      </c>
      <c r="C209" s="30">
        <v>137</v>
      </c>
      <c r="D209" s="204">
        <v>150</v>
      </c>
      <c r="E209" s="29"/>
      <c r="F209" s="29" t="s">
        <v>31</v>
      </c>
      <c r="G209" s="30">
        <v>268</v>
      </c>
      <c r="H209" s="204">
        <v>211</v>
      </c>
      <c r="I209" s="29"/>
      <c r="J209" s="29" t="s">
        <v>31</v>
      </c>
      <c r="K209" s="30">
        <v>96</v>
      </c>
      <c r="L209" s="204">
        <v>100</v>
      </c>
      <c r="M209" s="29"/>
      <c r="N209" s="29" t="s">
        <v>31</v>
      </c>
      <c r="O209" s="30">
        <v>448</v>
      </c>
      <c r="P209" s="204">
        <v>410</v>
      </c>
      <c r="Q209" s="29"/>
      <c r="R209" s="29" t="s">
        <v>31</v>
      </c>
      <c r="S209" s="30">
        <v>175</v>
      </c>
      <c r="T209" s="204">
        <v>232</v>
      </c>
      <c r="U209" s="29"/>
      <c r="V209" s="29" t="s">
        <v>31</v>
      </c>
      <c r="W209" s="30">
        <v>187</v>
      </c>
      <c r="X209" s="204">
        <v>181</v>
      </c>
      <c r="Y209" s="29"/>
      <c r="Z209" s="29" t="s">
        <v>31</v>
      </c>
      <c r="AA209" s="30">
        <v>185</v>
      </c>
      <c r="AB209" s="204">
        <v>183</v>
      </c>
      <c r="AC209" s="29"/>
      <c r="AD209" s="29" t="s">
        <v>31</v>
      </c>
      <c r="AE209" s="30">
        <v>143</v>
      </c>
      <c r="AF209" s="204">
        <v>144</v>
      </c>
      <c r="AG209" s="29"/>
      <c r="AH209" s="29" t="s">
        <v>31</v>
      </c>
      <c r="AI209" s="30">
        <v>526</v>
      </c>
      <c r="AJ209" s="204">
        <v>518</v>
      </c>
      <c r="AK209" s="29"/>
      <c r="AL209" s="29" t="s">
        <v>31</v>
      </c>
      <c r="AM209" s="30">
        <v>316</v>
      </c>
      <c r="AN209" s="206">
        <v>286</v>
      </c>
    </row>
    <row r="210" spans="1:40" outlineLevel="1" x14ac:dyDescent="0.25">
      <c r="A210" s="28"/>
      <c r="B210" s="29" t="s">
        <v>33</v>
      </c>
      <c r="C210" s="30">
        <v>229</v>
      </c>
      <c r="D210" s="204">
        <v>129</v>
      </c>
      <c r="E210" s="29"/>
      <c r="F210" s="29" t="s">
        <v>33</v>
      </c>
      <c r="G210" s="30">
        <v>319</v>
      </c>
      <c r="H210" s="204">
        <v>235</v>
      </c>
      <c r="I210" s="29"/>
      <c r="J210" s="29" t="s">
        <v>33</v>
      </c>
      <c r="K210" s="30">
        <v>125</v>
      </c>
      <c r="L210" s="204">
        <v>68</v>
      </c>
      <c r="M210" s="29"/>
      <c r="N210" s="29" t="s">
        <v>33</v>
      </c>
      <c r="O210" s="30">
        <v>543</v>
      </c>
      <c r="P210" s="204">
        <v>478</v>
      </c>
      <c r="Q210" s="29"/>
      <c r="R210" s="29" t="s">
        <v>33</v>
      </c>
      <c r="S210" s="30">
        <v>245</v>
      </c>
      <c r="T210" s="204">
        <v>212</v>
      </c>
      <c r="U210" s="29"/>
      <c r="V210" s="29" t="s">
        <v>33</v>
      </c>
      <c r="W210" s="30">
        <v>272</v>
      </c>
      <c r="X210" s="204">
        <v>171</v>
      </c>
      <c r="Y210" s="29"/>
      <c r="Z210" s="29" t="s">
        <v>33</v>
      </c>
      <c r="AA210" s="30">
        <v>231</v>
      </c>
      <c r="AB210" s="204">
        <v>188</v>
      </c>
      <c r="AC210" s="29"/>
      <c r="AD210" s="29" t="s">
        <v>33</v>
      </c>
      <c r="AE210" s="30">
        <v>228</v>
      </c>
      <c r="AF210" s="204">
        <v>140</v>
      </c>
      <c r="AG210" s="29"/>
      <c r="AH210" s="29" t="s">
        <v>33</v>
      </c>
      <c r="AI210" s="30">
        <v>617</v>
      </c>
      <c r="AJ210" s="204">
        <v>510</v>
      </c>
      <c r="AK210" s="29"/>
      <c r="AL210" s="29" t="s">
        <v>33</v>
      </c>
      <c r="AM210" s="30">
        <v>411</v>
      </c>
      <c r="AN210" s="206">
        <v>235</v>
      </c>
    </row>
    <row r="211" spans="1:40" outlineLevel="1" x14ac:dyDescent="0.25">
      <c r="A211" s="28"/>
      <c r="B211" s="29" t="s">
        <v>35</v>
      </c>
      <c r="C211" s="30">
        <v>266</v>
      </c>
      <c r="D211" s="204">
        <v>129</v>
      </c>
      <c r="E211" s="29"/>
      <c r="F211" s="29" t="s">
        <v>35</v>
      </c>
      <c r="G211" s="30">
        <v>385</v>
      </c>
      <c r="H211" s="204">
        <v>254</v>
      </c>
      <c r="I211" s="29"/>
      <c r="J211" s="29" t="s">
        <v>35</v>
      </c>
      <c r="K211" s="30">
        <v>176</v>
      </c>
      <c r="L211" s="204">
        <v>84</v>
      </c>
      <c r="M211" s="29"/>
      <c r="N211" s="29" t="s">
        <v>35</v>
      </c>
      <c r="O211" s="30">
        <v>693</v>
      </c>
      <c r="P211" s="204">
        <v>426</v>
      </c>
      <c r="Q211" s="29"/>
      <c r="R211" s="29" t="s">
        <v>35</v>
      </c>
      <c r="S211" s="30">
        <v>265</v>
      </c>
      <c r="T211" s="204">
        <v>170</v>
      </c>
      <c r="U211" s="29"/>
      <c r="V211" s="29" t="s">
        <v>35</v>
      </c>
      <c r="W211" s="30">
        <v>305</v>
      </c>
      <c r="X211" s="204">
        <v>160</v>
      </c>
      <c r="Y211" s="29"/>
      <c r="Z211" s="29" t="s">
        <v>35</v>
      </c>
      <c r="AA211" s="30">
        <v>264</v>
      </c>
      <c r="AB211" s="204">
        <v>182</v>
      </c>
      <c r="AC211" s="29"/>
      <c r="AD211" s="29" t="s">
        <v>35</v>
      </c>
      <c r="AE211" s="30">
        <v>281</v>
      </c>
      <c r="AF211" s="204">
        <v>119</v>
      </c>
      <c r="AG211" s="29"/>
      <c r="AH211" s="29" t="s">
        <v>35</v>
      </c>
      <c r="AI211" s="30">
        <v>730</v>
      </c>
      <c r="AJ211" s="204">
        <v>481</v>
      </c>
      <c r="AK211" s="29"/>
      <c r="AL211" s="29" t="s">
        <v>35</v>
      </c>
      <c r="AM211" s="30">
        <v>465</v>
      </c>
      <c r="AN211" s="206">
        <v>266</v>
      </c>
    </row>
    <row r="212" spans="1:40" outlineLevel="1" x14ac:dyDescent="0.25">
      <c r="A212" s="28"/>
      <c r="B212" s="29" t="s">
        <v>37</v>
      </c>
      <c r="C212" s="30">
        <v>297</v>
      </c>
      <c r="D212" s="204">
        <v>201</v>
      </c>
      <c r="E212" s="29"/>
      <c r="F212" s="29" t="s">
        <v>37</v>
      </c>
      <c r="G212" s="30">
        <v>464</v>
      </c>
      <c r="H212" s="204">
        <v>295</v>
      </c>
      <c r="I212" s="29"/>
      <c r="J212" s="29" t="s">
        <v>37</v>
      </c>
      <c r="K212" s="30">
        <v>204</v>
      </c>
      <c r="L212" s="204">
        <v>113</v>
      </c>
      <c r="M212" s="29"/>
      <c r="N212" s="29" t="s">
        <v>37</v>
      </c>
      <c r="O212" s="30">
        <v>791</v>
      </c>
      <c r="P212" s="204">
        <v>509</v>
      </c>
      <c r="Q212" s="29"/>
      <c r="R212" s="29" t="s">
        <v>37</v>
      </c>
      <c r="S212" s="30">
        <v>328</v>
      </c>
      <c r="T212" s="204">
        <v>210</v>
      </c>
      <c r="U212" s="29"/>
      <c r="V212" s="29" t="s">
        <v>37</v>
      </c>
      <c r="W212" s="30">
        <v>319</v>
      </c>
      <c r="X212" s="204">
        <v>242</v>
      </c>
      <c r="Y212" s="29"/>
      <c r="Z212" s="29" t="s">
        <v>37</v>
      </c>
      <c r="AA212" s="30">
        <v>312</v>
      </c>
      <c r="AB212" s="204">
        <v>213</v>
      </c>
      <c r="AC212" s="29"/>
      <c r="AD212" s="29" t="s">
        <v>37</v>
      </c>
      <c r="AE212" s="30">
        <v>282</v>
      </c>
      <c r="AF212" s="204">
        <v>196</v>
      </c>
      <c r="AG212" s="29"/>
      <c r="AH212" s="29" t="s">
        <v>37</v>
      </c>
      <c r="AI212" s="30">
        <v>837</v>
      </c>
      <c r="AJ212" s="204">
        <v>597</v>
      </c>
      <c r="AK212" s="29"/>
      <c r="AL212" s="29" t="s">
        <v>37</v>
      </c>
      <c r="AM212" s="30">
        <v>476</v>
      </c>
      <c r="AN212" s="206">
        <v>359</v>
      </c>
    </row>
    <row r="213" spans="1:40" outlineLevel="1" x14ac:dyDescent="0.25">
      <c r="A213" s="28"/>
      <c r="B213" s="29" t="s">
        <v>39</v>
      </c>
      <c r="C213" s="30">
        <v>237</v>
      </c>
      <c r="D213" s="204">
        <v>245</v>
      </c>
      <c r="E213" s="29"/>
      <c r="F213" s="29" t="s">
        <v>39</v>
      </c>
      <c r="G213" s="30">
        <v>328</v>
      </c>
      <c r="H213" s="204">
        <v>343</v>
      </c>
      <c r="I213" s="29"/>
      <c r="J213" s="29" t="s">
        <v>39</v>
      </c>
      <c r="K213" s="30">
        <v>125</v>
      </c>
      <c r="L213" s="204">
        <v>149</v>
      </c>
      <c r="M213" s="29"/>
      <c r="N213" s="29" t="s">
        <v>39</v>
      </c>
      <c r="O213" s="30">
        <v>657</v>
      </c>
      <c r="P213" s="204">
        <v>577</v>
      </c>
      <c r="Q213" s="29"/>
      <c r="R213" s="29" t="s">
        <v>39</v>
      </c>
      <c r="S213" s="30">
        <v>241</v>
      </c>
      <c r="T213" s="204">
        <v>244</v>
      </c>
      <c r="U213" s="29"/>
      <c r="V213" s="29" t="s">
        <v>39</v>
      </c>
      <c r="W213" s="30">
        <v>222</v>
      </c>
      <c r="X213" s="204">
        <v>272</v>
      </c>
      <c r="Y213" s="29"/>
      <c r="Z213" s="29" t="s">
        <v>39</v>
      </c>
      <c r="AA213" s="30">
        <v>251</v>
      </c>
      <c r="AB213" s="204">
        <v>229</v>
      </c>
      <c r="AC213" s="29"/>
      <c r="AD213" s="29" t="s">
        <v>39</v>
      </c>
      <c r="AE213" s="30">
        <v>177</v>
      </c>
      <c r="AF213" s="204">
        <v>245</v>
      </c>
      <c r="AG213" s="29"/>
      <c r="AH213" s="29" t="s">
        <v>39</v>
      </c>
      <c r="AI213" s="30">
        <v>701</v>
      </c>
      <c r="AJ213" s="204">
        <v>687</v>
      </c>
      <c r="AK213" s="29"/>
      <c r="AL213" s="29" t="s">
        <v>39</v>
      </c>
      <c r="AM213" s="30">
        <v>379</v>
      </c>
      <c r="AN213" s="206">
        <v>425</v>
      </c>
    </row>
    <row r="214" spans="1:40" outlineLevel="1" x14ac:dyDescent="0.25">
      <c r="A214" s="28"/>
      <c r="B214" s="29" t="s">
        <v>41</v>
      </c>
      <c r="C214" s="30">
        <v>189</v>
      </c>
      <c r="D214" s="204">
        <v>258</v>
      </c>
      <c r="E214" s="29"/>
      <c r="F214" s="29" t="s">
        <v>41</v>
      </c>
      <c r="G214" s="30">
        <v>254</v>
      </c>
      <c r="H214" s="204">
        <v>368</v>
      </c>
      <c r="I214" s="29"/>
      <c r="J214" s="29" t="s">
        <v>41</v>
      </c>
      <c r="K214" s="30">
        <v>104</v>
      </c>
      <c r="L214" s="204">
        <v>167</v>
      </c>
      <c r="M214" s="29"/>
      <c r="N214" s="29" t="s">
        <v>41</v>
      </c>
      <c r="O214" s="30">
        <v>497</v>
      </c>
      <c r="P214" s="204">
        <v>653</v>
      </c>
      <c r="Q214" s="29"/>
      <c r="R214" s="29" t="s">
        <v>41</v>
      </c>
      <c r="S214" s="30">
        <v>171</v>
      </c>
      <c r="T214" s="204">
        <v>268</v>
      </c>
      <c r="U214" s="29"/>
      <c r="V214" s="29" t="s">
        <v>41</v>
      </c>
      <c r="W214" s="30">
        <v>165</v>
      </c>
      <c r="X214" s="204">
        <v>270</v>
      </c>
      <c r="Y214" s="29"/>
      <c r="Z214" s="29" t="s">
        <v>41</v>
      </c>
      <c r="AA214" s="30">
        <v>199</v>
      </c>
      <c r="AB214" s="204">
        <v>251</v>
      </c>
      <c r="AC214" s="29"/>
      <c r="AD214" s="29" t="s">
        <v>41</v>
      </c>
      <c r="AE214" s="30">
        <v>141</v>
      </c>
      <c r="AF214" s="204">
        <v>263</v>
      </c>
      <c r="AG214" s="29"/>
      <c r="AH214" s="29" t="s">
        <v>41</v>
      </c>
      <c r="AI214" s="30">
        <v>496</v>
      </c>
      <c r="AJ214" s="204">
        <v>737</v>
      </c>
      <c r="AK214" s="29"/>
      <c r="AL214" s="29" t="s">
        <v>41</v>
      </c>
      <c r="AM214" s="30">
        <v>303</v>
      </c>
      <c r="AN214" s="206">
        <v>416</v>
      </c>
    </row>
    <row r="215" spans="1:40" outlineLevel="1" x14ac:dyDescent="0.25">
      <c r="A215" s="28"/>
      <c r="B215" s="29" t="s">
        <v>43</v>
      </c>
      <c r="C215" s="30">
        <v>175</v>
      </c>
      <c r="D215" s="204">
        <v>217</v>
      </c>
      <c r="E215" s="29"/>
      <c r="F215" s="29" t="s">
        <v>43</v>
      </c>
      <c r="G215" s="30">
        <v>270</v>
      </c>
      <c r="H215" s="204">
        <v>320</v>
      </c>
      <c r="I215" s="29"/>
      <c r="J215" s="29" t="s">
        <v>43</v>
      </c>
      <c r="K215" s="30">
        <v>119</v>
      </c>
      <c r="L215" s="204">
        <v>124</v>
      </c>
      <c r="M215" s="29"/>
      <c r="N215" s="29" t="s">
        <v>43</v>
      </c>
      <c r="O215" s="30">
        <v>425</v>
      </c>
      <c r="P215" s="204">
        <v>605</v>
      </c>
      <c r="Q215" s="29"/>
      <c r="R215" s="29" t="s">
        <v>43</v>
      </c>
      <c r="S215" s="30">
        <v>153</v>
      </c>
      <c r="T215" s="204">
        <v>242</v>
      </c>
      <c r="U215" s="29"/>
      <c r="V215" s="29" t="s">
        <v>43</v>
      </c>
      <c r="W215" s="30">
        <v>142</v>
      </c>
      <c r="X215" s="204">
        <v>208</v>
      </c>
      <c r="Y215" s="29"/>
      <c r="Z215" s="29" t="s">
        <v>43</v>
      </c>
      <c r="AA215" s="30">
        <v>174</v>
      </c>
      <c r="AB215" s="204">
        <v>210</v>
      </c>
      <c r="AC215" s="29"/>
      <c r="AD215" s="29" t="s">
        <v>43</v>
      </c>
      <c r="AE215" s="30">
        <v>159</v>
      </c>
      <c r="AF215" s="204">
        <v>153</v>
      </c>
      <c r="AG215" s="29"/>
      <c r="AH215" s="29" t="s">
        <v>43</v>
      </c>
      <c r="AI215" s="30">
        <v>384</v>
      </c>
      <c r="AJ215" s="204">
        <v>642</v>
      </c>
      <c r="AK215" s="29"/>
      <c r="AL215" s="29" t="s">
        <v>43</v>
      </c>
      <c r="AM215" s="30">
        <v>271</v>
      </c>
      <c r="AN215" s="206">
        <v>321</v>
      </c>
    </row>
    <row r="216" spans="1:40" outlineLevel="1" x14ac:dyDescent="0.25">
      <c r="A216" s="28"/>
      <c r="B216" s="29" t="s">
        <v>45</v>
      </c>
      <c r="C216" s="30">
        <v>161</v>
      </c>
      <c r="D216" s="204">
        <v>123</v>
      </c>
      <c r="E216" s="29"/>
      <c r="F216" s="29" t="s">
        <v>45</v>
      </c>
      <c r="G216" s="30">
        <v>253</v>
      </c>
      <c r="H216" s="204">
        <v>154</v>
      </c>
      <c r="I216" s="29"/>
      <c r="J216" s="29" t="s">
        <v>45</v>
      </c>
      <c r="K216" s="30">
        <v>91</v>
      </c>
      <c r="L216" s="204">
        <v>60</v>
      </c>
      <c r="M216" s="29"/>
      <c r="N216" s="29" t="s">
        <v>45</v>
      </c>
      <c r="O216" s="30">
        <v>360</v>
      </c>
      <c r="P216" s="204">
        <v>315</v>
      </c>
      <c r="Q216" s="29"/>
      <c r="R216" s="29" t="s">
        <v>45</v>
      </c>
      <c r="S216" s="30">
        <v>122</v>
      </c>
      <c r="T216" s="204">
        <v>124</v>
      </c>
      <c r="U216" s="29"/>
      <c r="V216" s="29" t="s">
        <v>45</v>
      </c>
      <c r="W216" s="30">
        <v>120</v>
      </c>
      <c r="X216" s="204">
        <v>87</v>
      </c>
      <c r="Y216" s="29"/>
      <c r="Z216" s="29" t="s">
        <v>45</v>
      </c>
      <c r="AA216" s="30">
        <v>108</v>
      </c>
      <c r="AB216" s="204">
        <v>134</v>
      </c>
      <c r="AC216" s="29"/>
      <c r="AD216" s="29" t="s">
        <v>45</v>
      </c>
      <c r="AE216" s="30">
        <v>158</v>
      </c>
      <c r="AF216" s="204">
        <v>92</v>
      </c>
      <c r="AG216" s="29"/>
      <c r="AH216" s="29" t="s">
        <v>45</v>
      </c>
      <c r="AI216" s="30">
        <v>359</v>
      </c>
      <c r="AJ216" s="204">
        <v>330</v>
      </c>
      <c r="AK216" s="29"/>
      <c r="AL216" s="29" t="s">
        <v>45</v>
      </c>
      <c r="AM216" s="30">
        <v>235</v>
      </c>
      <c r="AN216" s="206">
        <v>186</v>
      </c>
    </row>
    <row r="217" spans="1:40" outlineLevel="1" x14ac:dyDescent="0.25">
      <c r="A217" s="28"/>
      <c r="B217" s="29" t="s">
        <v>47</v>
      </c>
      <c r="C217" s="30">
        <v>97</v>
      </c>
      <c r="D217" s="204">
        <v>90</v>
      </c>
      <c r="E217" s="29"/>
      <c r="F217" s="29" t="s">
        <v>47</v>
      </c>
      <c r="G217" s="30">
        <v>149</v>
      </c>
      <c r="H217" s="204">
        <v>132</v>
      </c>
      <c r="I217" s="29"/>
      <c r="J217" s="29" t="s">
        <v>47</v>
      </c>
      <c r="K217" s="30">
        <v>71</v>
      </c>
      <c r="L217" s="204">
        <v>50</v>
      </c>
      <c r="M217" s="29"/>
      <c r="N217" s="29" t="s">
        <v>47</v>
      </c>
      <c r="O217" s="30">
        <v>185</v>
      </c>
      <c r="P217" s="204">
        <v>203</v>
      </c>
      <c r="Q217" s="29"/>
      <c r="R217" s="29" t="s">
        <v>47</v>
      </c>
      <c r="S217" s="30">
        <v>74</v>
      </c>
      <c r="T217" s="204">
        <v>66</v>
      </c>
      <c r="U217" s="29"/>
      <c r="V217" s="29" t="s">
        <v>47</v>
      </c>
      <c r="W217" s="30">
        <v>47</v>
      </c>
      <c r="X217" s="204">
        <v>61</v>
      </c>
      <c r="Y217" s="29"/>
      <c r="Z217" s="29" t="s">
        <v>47</v>
      </c>
      <c r="AA217" s="30">
        <v>73</v>
      </c>
      <c r="AB217" s="204">
        <v>99</v>
      </c>
      <c r="AC217" s="29"/>
      <c r="AD217" s="29" t="s">
        <v>47</v>
      </c>
      <c r="AE217" s="30">
        <v>104</v>
      </c>
      <c r="AF217" s="204">
        <v>65</v>
      </c>
      <c r="AG217" s="29"/>
      <c r="AH217" s="29" t="s">
        <v>47</v>
      </c>
      <c r="AI217" s="30">
        <v>200</v>
      </c>
      <c r="AJ217" s="204">
        <v>188</v>
      </c>
      <c r="AK217" s="29"/>
      <c r="AL217" s="29" t="s">
        <v>47</v>
      </c>
      <c r="AM217" s="30">
        <v>145</v>
      </c>
      <c r="AN217" s="206">
        <v>134</v>
      </c>
    </row>
    <row r="218" spans="1:40" outlineLevel="1" x14ac:dyDescent="0.25">
      <c r="A218" s="28"/>
      <c r="B218" s="29" t="s">
        <v>49</v>
      </c>
      <c r="C218" s="30">
        <v>30</v>
      </c>
      <c r="D218" s="204">
        <v>31</v>
      </c>
      <c r="E218" s="29"/>
      <c r="F218" s="29" t="s">
        <v>49</v>
      </c>
      <c r="G218" s="30">
        <v>46</v>
      </c>
      <c r="H218" s="204">
        <v>71</v>
      </c>
      <c r="I218" s="29"/>
      <c r="J218" s="29" t="s">
        <v>49</v>
      </c>
      <c r="K218" s="30">
        <v>23</v>
      </c>
      <c r="L218" s="204">
        <v>28</v>
      </c>
      <c r="M218" s="29"/>
      <c r="N218" s="29" t="s">
        <v>49</v>
      </c>
      <c r="O218" s="30">
        <v>58</v>
      </c>
      <c r="P218" s="204">
        <v>109</v>
      </c>
      <c r="Q218" s="29"/>
      <c r="R218" s="29" t="s">
        <v>49</v>
      </c>
      <c r="S218" s="30">
        <v>29</v>
      </c>
      <c r="T218" s="204">
        <v>26</v>
      </c>
      <c r="U218" s="29"/>
      <c r="V218" s="29" t="s">
        <v>49</v>
      </c>
      <c r="W218" s="30">
        <v>27</v>
      </c>
      <c r="X218" s="204">
        <v>21</v>
      </c>
      <c r="Y218" s="29"/>
      <c r="Z218" s="29" t="s">
        <v>49</v>
      </c>
      <c r="AA218" s="30">
        <v>17</v>
      </c>
      <c r="AB218" s="204">
        <v>42</v>
      </c>
      <c r="AC218" s="29"/>
      <c r="AD218" s="29" t="s">
        <v>49</v>
      </c>
      <c r="AE218" s="30">
        <v>18</v>
      </c>
      <c r="AF218" s="204">
        <v>57</v>
      </c>
      <c r="AG218" s="29"/>
      <c r="AH218" s="29" t="s">
        <v>49</v>
      </c>
      <c r="AI218" s="30">
        <v>72</v>
      </c>
      <c r="AJ218" s="204">
        <v>126</v>
      </c>
      <c r="AK218" s="29"/>
      <c r="AL218" s="29" t="s">
        <v>49</v>
      </c>
      <c r="AM218" s="30">
        <v>43</v>
      </c>
      <c r="AN218" s="206">
        <v>69</v>
      </c>
    </row>
    <row r="219" spans="1:40" outlineLevel="1" x14ac:dyDescent="0.25">
      <c r="A219" s="28"/>
      <c r="B219" s="29" t="s">
        <v>51</v>
      </c>
      <c r="C219" s="30">
        <v>12</v>
      </c>
      <c r="D219" s="204">
        <v>13</v>
      </c>
      <c r="E219" s="29"/>
      <c r="F219" s="29" t="s">
        <v>51</v>
      </c>
      <c r="G219" s="30">
        <v>8</v>
      </c>
      <c r="H219" s="204">
        <v>17</v>
      </c>
      <c r="I219" s="29"/>
      <c r="J219" s="29" t="s">
        <v>51</v>
      </c>
      <c r="K219" s="30">
        <v>4</v>
      </c>
      <c r="L219" s="204">
        <v>12</v>
      </c>
      <c r="M219" s="29"/>
      <c r="N219" s="29" t="s">
        <v>51</v>
      </c>
      <c r="O219" s="30">
        <v>12</v>
      </c>
      <c r="P219" s="204">
        <v>20</v>
      </c>
      <c r="Q219" s="29"/>
      <c r="R219" s="29" t="s">
        <v>51</v>
      </c>
      <c r="S219" s="30">
        <v>4</v>
      </c>
      <c r="T219" s="204">
        <v>10</v>
      </c>
      <c r="U219" s="29"/>
      <c r="V219" s="29" t="s">
        <v>51</v>
      </c>
      <c r="W219" s="30">
        <v>5</v>
      </c>
      <c r="X219" s="204">
        <v>7</v>
      </c>
      <c r="Y219" s="29"/>
      <c r="Z219" s="29" t="s">
        <v>51</v>
      </c>
      <c r="AA219" s="30">
        <v>3</v>
      </c>
      <c r="AB219" s="204">
        <v>8</v>
      </c>
      <c r="AC219" s="29"/>
      <c r="AD219" s="29" t="s">
        <v>51</v>
      </c>
      <c r="AE219" s="30">
        <v>6</v>
      </c>
      <c r="AF219" s="204">
        <v>12</v>
      </c>
      <c r="AG219" s="29"/>
      <c r="AH219" s="29" t="s">
        <v>51</v>
      </c>
      <c r="AI219" s="30">
        <v>15</v>
      </c>
      <c r="AJ219" s="204">
        <v>22</v>
      </c>
      <c r="AK219" s="29"/>
      <c r="AL219" s="29" t="s">
        <v>51</v>
      </c>
      <c r="AM219" s="30">
        <v>3</v>
      </c>
      <c r="AN219" s="206">
        <v>18</v>
      </c>
    </row>
    <row r="220" spans="1:40" outlineLevel="1" x14ac:dyDescent="0.25">
      <c r="A220" s="28"/>
      <c r="B220" s="29" t="s">
        <v>53</v>
      </c>
      <c r="C220" s="30">
        <v>1</v>
      </c>
      <c r="D220" s="204">
        <v>1</v>
      </c>
      <c r="E220" s="29"/>
      <c r="F220" s="29" t="s">
        <v>53</v>
      </c>
      <c r="G220" s="30">
        <v>1</v>
      </c>
      <c r="H220" s="204">
        <v>0</v>
      </c>
      <c r="I220" s="29"/>
      <c r="J220" s="29" t="s">
        <v>53</v>
      </c>
      <c r="K220" s="30">
        <v>0</v>
      </c>
      <c r="L220" s="204">
        <v>1</v>
      </c>
      <c r="M220" s="29"/>
      <c r="N220" s="29" t="s">
        <v>53</v>
      </c>
      <c r="O220" s="30">
        <v>0</v>
      </c>
      <c r="P220" s="204">
        <v>6</v>
      </c>
      <c r="Q220" s="29"/>
      <c r="R220" s="29" t="s">
        <v>53</v>
      </c>
      <c r="S220" s="30">
        <v>0</v>
      </c>
      <c r="T220" s="204">
        <v>1</v>
      </c>
      <c r="U220" s="29"/>
      <c r="V220" s="29" t="s">
        <v>53</v>
      </c>
      <c r="W220" s="30">
        <v>0</v>
      </c>
      <c r="X220" s="204">
        <v>2</v>
      </c>
      <c r="Y220" s="29"/>
      <c r="Z220" s="29" t="s">
        <v>53</v>
      </c>
      <c r="AA220" s="30">
        <v>2</v>
      </c>
      <c r="AB220" s="204">
        <v>0</v>
      </c>
      <c r="AC220" s="29"/>
      <c r="AD220" s="29" t="s">
        <v>53</v>
      </c>
      <c r="AE220" s="30">
        <v>1</v>
      </c>
      <c r="AF220" s="204">
        <v>2</v>
      </c>
      <c r="AG220" s="29"/>
      <c r="AH220" s="29" t="s">
        <v>53</v>
      </c>
      <c r="AI220" s="30">
        <v>0</v>
      </c>
      <c r="AJ220" s="204">
        <v>2</v>
      </c>
      <c r="AK220" s="29"/>
      <c r="AL220" s="29" t="s">
        <v>53</v>
      </c>
      <c r="AM220" s="30">
        <v>1</v>
      </c>
      <c r="AN220" s="206">
        <v>2</v>
      </c>
    </row>
    <row r="221" spans="1:40" customFormat="1" outlineLevel="1" x14ac:dyDescent="0.25">
      <c r="A221" s="212"/>
      <c r="B221" s="166"/>
      <c r="C221" s="166" t="s">
        <v>55</v>
      </c>
      <c r="D221" s="166"/>
      <c r="E221" s="166"/>
      <c r="F221" s="166"/>
      <c r="G221" s="166" t="s">
        <v>55</v>
      </c>
      <c r="H221" s="166"/>
      <c r="I221" s="166"/>
      <c r="J221" s="166"/>
      <c r="K221" s="166" t="s">
        <v>55</v>
      </c>
      <c r="L221" s="166"/>
      <c r="M221" s="166"/>
      <c r="N221" s="166"/>
      <c r="O221" s="166" t="s">
        <v>55</v>
      </c>
      <c r="P221" s="166"/>
      <c r="Q221" s="166"/>
      <c r="R221" s="166"/>
      <c r="S221" s="166" t="s">
        <v>55</v>
      </c>
      <c r="T221" s="166"/>
      <c r="U221" s="166"/>
      <c r="V221" s="166"/>
      <c r="W221" s="166" t="s">
        <v>55</v>
      </c>
      <c r="X221" s="166"/>
      <c r="Y221" s="166"/>
      <c r="Z221" s="166"/>
      <c r="AA221" s="166" t="s">
        <v>55</v>
      </c>
      <c r="AB221" s="166"/>
      <c r="AC221" s="166"/>
      <c r="AD221" s="166"/>
      <c r="AE221" s="166" t="s">
        <v>55</v>
      </c>
      <c r="AF221" s="166"/>
      <c r="AG221" s="166"/>
      <c r="AH221" s="166"/>
      <c r="AI221" s="166" t="s">
        <v>55</v>
      </c>
      <c r="AJ221" s="166"/>
      <c r="AK221" s="172"/>
      <c r="AL221" s="172"/>
      <c r="AM221" s="166" t="s">
        <v>55</v>
      </c>
      <c r="AN221" s="207"/>
    </row>
    <row r="222" spans="1:40" outlineLevel="1" x14ac:dyDescent="0.25">
      <c r="A222" s="42"/>
      <c r="B222" s="29" t="s">
        <v>18</v>
      </c>
      <c r="C222" s="30">
        <v>3166</v>
      </c>
      <c r="D222" s="204">
        <v>2552</v>
      </c>
      <c r="E222" s="30"/>
      <c r="F222" s="29" t="s">
        <v>18</v>
      </c>
      <c r="G222" s="30">
        <v>4805</v>
      </c>
      <c r="H222" s="204">
        <v>3833</v>
      </c>
      <c r="I222" s="30"/>
      <c r="J222" s="29" t="s">
        <v>18</v>
      </c>
      <c r="K222" s="30">
        <v>1917</v>
      </c>
      <c r="L222" s="204">
        <v>1336</v>
      </c>
      <c r="M222" s="30"/>
      <c r="N222" s="29" t="s">
        <v>18</v>
      </c>
      <c r="O222" s="30">
        <v>8484</v>
      </c>
      <c r="P222" s="204">
        <v>6700</v>
      </c>
      <c r="Q222" s="30"/>
      <c r="R222" s="29" t="s">
        <v>18</v>
      </c>
      <c r="S222" s="30">
        <v>3514</v>
      </c>
      <c r="T222" s="204">
        <v>2955</v>
      </c>
      <c r="U222" s="30"/>
      <c r="V222" s="29" t="s">
        <v>18</v>
      </c>
      <c r="W222" s="30">
        <v>3326</v>
      </c>
      <c r="X222" s="204">
        <v>2564</v>
      </c>
      <c r="Y222" s="30"/>
      <c r="Z222" s="29" t="s">
        <v>18</v>
      </c>
      <c r="AA222" s="30">
        <v>3414</v>
      </c>
      <c r="AB222" s="204">
        <v>2814</v>
      </c>
      <c r="AC222" s="30"/>
      <c r="AD222" s="29" t="s">
        <v>18</v>
      </c>
      <c r="AE222" s="30">
        <v>3007</v>
      </c>
      <c r="AF222" s="204">
        <v>2205</v>
      </c>
      <c r="AG222" s="30"/>
      <c r="AH222" s="29" t="s">
        <v>18</v>
      </c>
      <c r="AI222" s="30">
        <v>9173</v>
      </c>
      <c r="AJ222" s="204">
        <v>7955</v>
      </c>
      <c r="AK222" s="29"/>
      <c r="AL222" s="29" t="s">
        <v>18</v>
      </c>
      <c r="AM222" s="30">
        <v>5597</v>
      </c>
      <c r="AN222" s="206">
        <v>4285</v>
      </c>
    </row>
    <row r="223" spans="1:40" outlineLevel="1" x14ac:dyDescent="0.25">
      <c r="A223" s="42"/>
      <c r="B223" s="29" t="s">
        <v>20</v>
      </c>
      <c r="C223" s="30">
        <v>119</v>
      </c>
      <c r="D223" s="204">
        <v>44</v>
      </c>
      <c r="E223" s="30"/>
      <c r="F223" s="29" t="s">
        <v>20</v>
      </c>
      <c r="G223" s="30">
        <v>133</v>
      </c>
      <c r="H223" s="204">
        <v>86</v>
      </c>
      <c r="I223" s="30"/>
      <c r="J223" s="29" t="s">
        <v>20</v>
      </c>
      <c r="K223" s="30">
        <v>74</v>
      </c>
      <c r="L223" s="204">
        <v>20</v>
      </c>
      <c r="M223" s="30"/>
      <c r="N223" s="29" t="s">
        <v>20</v>
      </c>
      <c r="O223" s="30">
        <v>248</v>
      </c>
      <c r="P223" s="204">
        <v>113</v>
      </c>
      <c r="Q223" s="30"/>
      <c r="R223" s="29" t="s">
        <v>20</v>
      </c>
      <c r="S223" s="30">
        <v>116</v>
      </c>
      <c r="T223" s="204">
        <v>84</v>
      </c>
      <c r="U223" s="30"/>
      <c r="V223" s="29" t="s">
        <v>20</v>
      </c>
      <c r="W223" s="30">
        <v>116</v>
      </c>
      <c r="X223" s="204">
        <v>49</v>
      </c>
      <c r="Y223" s="30"/>
      <c r="Z223" s="29" t="s">
        <v>20</v>
      </c>
      <c r="AA223" s="30">
        <v>113</v>
      </c>
      <c r="AB223" s="204">
        <v>55</v>
      </c>
      <c r="AC223" s="30"/>
      <c r="AD223" s="29" t="s">
        <v>20</v>
      </c>
      <c r="AE223" s="30">
        <v>102</v>
      </c>
      <c r="AF223" s="204">
        <v>29</v>
      </c>
      <c r="AG223" s="30"/>
      <c r="AH223" s="29" t="s">
        <v>20</v>
      </c>
      <c r="AI223" s="30">
        <v>271</v>
      </c>
      <c r="AJ223" s="204">
        <v>183</v>
      </c>
      <c r="AK223" s="29"/>
      <c r="AL223" s="29" t="s">
        <v>20</v>
      </c>
      <c r="AM223" s="30">
        <v>174</v>
      </c>
      <c r="AN223" s="206">
        <v>68</v>
      </c>
    </row>
    <row r="224" spans="1:40" outlineLevel="1" x14ac:dyDescent="0.25">
      <c r="A224" s="42"/>
      <c r="B224" s="29" t="s">
        <v>22</v>
      </c>
      <c r="C224" s="30">
        <v>114</v>
      </c>
      <c r="D224" s="204">
        <v>87</v>
      </c>
      <c r="E224" s="30"/>
      <c r="F224" s="29" t="s">
        <v>22</v>
      </c>
      <c r="G224" s="30">
        <v>173</v>
      </c>
      <c r="H224" s="204">
        <v>116</v>
      </c>
      <c r="I224" s="30"/>
      <c r="J224" s="29" t="s">
        <v>22</v>
      </c>
      <c r="K224" s="30">
        <v>69</v>
      </c>
      <c r="L224" s="204">
        <v>24</v>
      </c>
      <c r="M224" s="30"/>
      <c r="N224" s="29" t="s">
        <v>22</v>
      </c>
      <c r="O224" s="30">
        <v>289</v>
      </c>
      <c r="P224" s="204">
        <v>181</v>
      </c>
      <c r="Q224" s="30"/>
      <c r="R224" s="29" t="s">
        <v>22</v>
      </c>
      <c r="S224" s="30">
        <v>161</v>
      </c>
      <c r="T224" s="204">
        <v>104</v>
      </c>
      <c r="U224" s="30"/>
      <c r="V224" s="29" t="s">
        <v>22</v>
      </c>
      <c r="W224" s="30">
        <v>135</v>
      </c>
      <c r="X224" s="204">
        <v>73</v>
      </c>
      <c r="Y224" s="30"/>
      <c r="Z224" s="29" t="s">
        <v>22</v>
      </c>
      <c r="AA224" s="30">
        <v>135</v>
      </c>
      <c r="AB224" s="204">
        <v>79</v>
      </c>
      <c r="AC224" s="30"/>
      <c r="AD224" s="29" t="s">
        <v>22</v>
      </c>
      <c r="AE224" s="30">
        <v>117</v>
      </c>
      <c r="AF224" s="204">
        <v>52</v>
      </c>
      <c r="AG224" s="30"/>
      <c r="AH224" s="29" t="s">
        <v>22</v>
      </c>
      <c r="AI224" s="30">
        <v>321</v>
      </c>
      <c r="AJ224" s="204">
        <v>271</v>
      </c>
      <c r="AK224" s="29"/>
      <c r="AL224" s="29" t="s">
        <v>22</v>
      </c>
      <c r="AM224" s="30">
        <v>206</v>
      </c>
      <c r="AN224" s="206">
        <v>109</v>
      </c>
    </row>
    <row r="225" spans="1:40" outlineLevel="1" x14ac:dyDescent="0.25">
      <c r="A225" s="42"/>
      <c r="B225" s="29" t="s">
        <v>23</v>
      </c>
      <c r="C225" s="30">
        <v>113</v>
      </c>
      <c r="D225" s="204">
        <v>108</v>
      </c>
      <c r="E225" s="30"/>
      <c r="F225" s="29" t="s">
        <v>23</v>
      </c>
      <c r="G225" s="30">
        <v>165</v>
      </c>
      <c r="H225" s="204">
        <v>139</v>
      </c>
      <c r="I225" s="30"/>
      <c r="J225" s="29" t="s">
        <v>23</v>
      </c>
      <c r="K225" s="30">
        <v>87</v>
      </c>
      <c r="L225" s="204">
        <v>53</v>
      </c>
      <c r="M225" s="30"/>
      <c r="N225" s="29" t="s">
        <v>23</v>
      </c>
      <c r="O225" s="30">
        <v>358</v>
      </c>
      <c r="P225" s="204">
        <v>233</v>
      </c>
      <c r="Q225" s="30"/>
      <c r="R225" s="29" t="s">
        <v>23</v>
      </c>
      <c r="S225" s="30">
        <v>175</v>
      </c>
      <c r="T225" s="204">
        <v>105</v>
      </c>
      <c r="U225" s="30"/>
      <c r="V225" s="29" t="s">
        <v>23</v>
      </c>
      <c r="W225" s="30">
        <v>133</v>
      </c>
      <c r="X225" s="204">
        <v>90</v>
      </c>
      <c r="Y225" s="30"/>
      <c r="Z225" s="29" t="s">
        <v>23</v>
      </c>
      <c r="AA225" s="30">
        <v>170</v>
      </c>
      <c r="AB225" s="204">
        <v>115</v>
      </c>
      <c r="AC225" s="30"/>
      <c r="AD225" s="29" t="s">
        <v>23</v>
      </c>
      <c r="AE225" s="30">
        <v>113</v>
      </c>
      <c r="AF225" s="204">
        <v>76</v>
      </c>
      <c r="AG225" s="30"/>
      <c r="AH225" s="29" t="s">
        <v>23</v>
      </c>
      <c r="AI225" s="30">
        <v>353</v>
      </c>
      <c r="AJ225" s="204">
        <v>324</v>
      </c>
      <c r="AK225" s="29"/>
      <c r="AL225" s="29" t="s">
        <v>23</v>
      </c>
      <c r="AM225" s="30">
        <v>239</v>
      </c>
      <c r="AN225" s="206">
        <v>162</v>
      </c>
    </row>
    <row r="226" spans="1:40" outlineLevel="1" x14ac:dyDescent="0.25">
      <c r="A226" s="42"/>
      <c r="B226" s="29" t="s">
        <v>24</v>
      </c>
      <c r="C226" s="30">
        <v>150</v>
      </c>
      <c r="D226" s="204">
        <v>109</v>
      </c>
      <c r="E226" s="30"/>
      <c r="F226" s="29" t="s">
        <v>24</v>
      </c>
      <c r="G226" s="30">
        <v>266</v>
      </c>
      <c r="H226" s="204">
        <v>148</v>
      </c>
      <c r="I226" s="30"/>
      <c r="J226" s="29" t="s">
        <v>24</v>
      </c>
      <c r="K226" s="30">
        <v>76</v>
      </c>
      <c r="L226" s="204">
        <v>60</v>
      </c>
      <c r="M226" s="30"/>
      <c r="N226" s="29" t="s">
        <v>24</v>
      </c>
      <c r="O226" s="30">
        <v>399</v>
      </c>
      <c r="P226" s="204">
        <v>287</v>
      </c>
      <c r="Q226" s="30"/>
      <c r="R226" s="29" t="s">
        <v>24</v>
      </c>
      <c r="S226" s="30">
        <v>166</v>
      </c>
      <c r="T226" s="204">
        <v>156</v>
      </c>
      <c r="U226" s="30"/>
      <c r="V226" s="29" t="s">
        <v>24</v>
      </c>
      <c r="W226" s="30">
        <v>146</v>
      </c>
      <c r="X226" s="204">
        <v>117</v>
      </c>
      <c r="Y226" s="30"/>
      <c r="Z226" s="29" t="s">
        <v>24</v>
      </c>
      <c r="AA226" s="30">
        <v>174</v>
      </c>
      <c r="AB226" s="204">
        <v>124</v>
      </c>
      <c r="AC226" s="30"/>
      <c r="AD226" s="29" t="s">
        <v>24</v>
      </c>
      <c r="AE226" s="30">
        <v>138</v>
      </c>
      <c r="AF226" s="204">
        <v>108</v>
      </c>
      <c r="AG226" s="30"/>
      <c r="AH226" s="29" t="s">
        <v>24</v>
      </c>
      <c r="AI226" s="30">
        <v>444</v>
      </c>
      <c r="AJ226" s="204">
        <v>298</v>
      </c>
      <c r="AK226" s="29"/>
      <c r="AL226" s="29" t="s">
        <v>24</v>
      </c>
      <c r="AM226" s="30">
        <v>255</v>
      </c>
      <c r="AN226" s="206">
        <v>173</v>
      </c>
    </row>
    <row r="227" spans="1:40" outlineLevel="1" x14ac:dyDescent="0.25">
      <c r="A227" s="42"/>
      <c r="B227" s="29" t="s">
        <v>25</v>
      </c>
      <c r="C227" s="30">
        <v>108</v>
      </c>
      <c r="D227" s="204">
        <v>72</v>
      </c>
      <c r="E227" s="30"/>
      <c r="F227" s="29" t="s">
        <v>25</v>
      </c>
      <c r="G227" s="30">
        <v>177</v>
      </c>
      <c r="H227" s="204">
        <v>125</v>
      </c>
      <c r="I227" s="30"/>
      <c r="J227" s="29" t="s">
        <v>25</v>
      </c>
      <c r="K227" s="30">
        <v>82</v>
      </c>
      <c r="L227" s="204">
        <v>37</v>
      </c>
      <c r="M227" s="30"/>
      <c r="N227" s="29" t="s">
        <v>25</v>
      </c>
      <c r="O227" s="30">
        <v>358</v>
      </c>
      <c r="P227" s="204">
        <v>221</v>
      </c>
      <c r="Q227" s="30"/>
      <c r="R227" s="29" t="s">
        <v>25</v>
      </c>
      <c r="S227" s="30">
        <v>159</v>
      </c>
      <c r="T227" s="204">
        <v>107</v>
      </c>
      <c r="U227" s="30"/>
      <c r="V227" s="29" t="s">
        <v>25</v>
      </c>
      <c r="W227" s="30">
        <v>147</v>
      </c>
      <c r="X227" s="204">
        <v>79</v>
      </c>
      <c r="Y227" s="30"/>
      <c r="Z227" s="29" t="s">
        <v>25</v>
      </c>
      <c r="AA227" s="30">
        <v>140</v>
      </c>
      <c r="AB227" s="204">
        <v>104</v>
      </c>
      <c r="AC227" s="30"/>
      <c r="AD227" s="29" t="s">
        <v>25</v>
      </c>
      <c r="AE227" s="30">
        <v>112</v>
      </c>
      <c r="AF227" s="204">
        <v>67</v>
      </c>
      <c r="AG227" s="30"/>
      <c r="AH227" s="29" t="s">
        <v>25</v>
      </c>
      <c r="AI227" s="30">
        <v>415</v>
      </c>
      <c r="AJ227" s="204">
        <v>247</v>
      </c>
      <c r="AK227" s="29"/>
      <c r="AL227" s="29" t="s">
        <v>25</v>
      </c>
      <c r="AM227" s="30">
        <v>229</v>
      </c>
      <c r="AN227" s="206">
        <v>149</v>
      </c>
    </row>
    <row r="228" spans="1:40" outlineLevel="1" x14ac:dyDescent="0.25">
      <c r="A228" s="42"/>
      <c r="B228" s="29" t="s">
        <v>26</v>
      </c>
      <c r="C228" s="30">
        <v>101</v>
      </c>
      <c r="D228" s="204">
        <v>65</v>
      </c>
      <c r="E228" s="30"/>
      <c r="F228" s="29" t="s">
        <v>26</v>
      </c>
      <c r="G228" s="30">
        <v>183</v>
      </c>
      <c r="H228" s="204">
        <v>116</v>
      </c>
      <c r="I228" s="30"/>
      <c r="J228" s="29" t="s">
        <v>26</v>
      </c>
      <c r="K228" s="30">
        <v>75</v>
      </c>
      <c r="L228" s="204">
        <v>32</v>
      </c>
      <c r="M228" s="30"/>
      <c r="N228" s="29" t="s">
        <v>26</v>
      </c>
      <c r="O228" s="30">
        <v>358</v>
      </c>
      <c r="P228" s="204">
        <v>191</v>
      </c>
      <c r="Q228" s="30"/>
      <c r="R228" s="29" t="s">
        <v>26</v>
      </c>
      <c r="S228" s="30">
        <v>158</v>
      </c>
      <c r="T228" s="204">
        <v>98</v>
      </c>
      <c r="U228" s="30"/>
      <c r="V228" s="29" t="s">
        <v>26</v>
      </c>
      <c r="W228" s="30">
        <v>152</v>
      </c>
      <c r="X228" s="204">
        <v>63</v>
      </c>
      <c r="Y228" s="30"/>
      <c r="Z228" s="29" t="s">
        <v>26</v>
      </c>
      <c r="AA228" s="30">
        <v>129</v>
      </c>
      <c r="AB228" s="204">
        <v>89</v>
      </c>
      <c r="AC228" s="30"/>
      <c r="AD228" s="29" t="s">
        <v>26</v>
      </c>
      <c r="AE228" s="30">
        <v>83</v>
      </c>
      <c r="AF228" s="204">
        <v>51</v>
      </c>
      <c r="AG228" s="30"/>
      <c r="AH228" s="29" t="s">
        <v>26</v>
      </c>
      <c r="AI228" s="30">
        <v>418</v>
      </c>
      <c r="AJ228" s="204">
        <v>241</v>
      </c>
      <c r="AK228" s="29"/>
      <c r="AL228" s="29" t="s">
        <v>26</v>
      </c>
      <c r="AM228" s="30">
        <v>254</v>
      </c>
      <c r="AN228" s="206">
        <v>114</v>
      </c>
    </row>
    <row r="229" spans="1:40" outlineLevel="1" x14ac:dyDescent="0.25">
      <c r="A229" s="42"/>
      <c r="B229" s="29" t="s">
        <v>27</v>
      </c>
      <c r="C229" s="30">
        <v>154</v>
      </c>
      <c r="D229" s="204">
        <v>78</v>
      </c>
      <c r="E229" s="30"/>
      <c r="F229" s="29" t="s">
        <v>27</v>
      </c>
      <c r="G229" s="30">
        <v>213</v>
      </c>
      <c r="H229" s="204">
        <v>116</v>
      </c>
      <c r="I229" s="30"/>
      <c r="J229" s="29" t="s">
        <v>27</v>
      </c>
      <c r="K229" s="30">
        <v>91</v>
      </c>
      <c r="L229" s="204">
        <v>35</v>
      </c>
      <c r="M229" s="30"/>
      <c r="N229" s="29" t="s">
        <v>27</v>
      </c>
      <c r="O229" s="30">
        <v>333</v>
      </c>
      <c r="P229" s="204">
        <v>248</v>
      </c>
      <c r="Q229" s="30"/>
      <c r="R229" s="29" t="s">
        <v>27</v>
      </c>
      <c r="S229" s="30">
        <v>190</v>
      </c>
      <c r="T229" s="204">
        <v>119</v>
      </c>
      <c r="U229" s="30"/>
      <c r="V229" s="29" t="s">
        <v>27</v>
      </c>
      <c r="W229" s="30">
        <v>150</v>
      </c>
      <c r="X229" s="204">
        <v>76</v>
      </c>
      <c r="Y229" s="30"/>
      <c r="Z229" s="29" t="s">
        <v>27</v>
      </c>
      <c r="AA229" s="30">
        <v>161</v>
      </c>
      <c r="AB229" s="204">
        <v>76</v>
      </c>
      <c r="AC229" s="30"/>
      <c r="AD229" s="29" t="s">
        <v>27</v>
      </c>
      <c r="AE229" s="30">
        <v>124</v>
      </c>
      <c r="AF229" s="204">
        <v>78</v>
      </c>
      <c r="AG229" s="30"/>
      <c r="AH229" s="29" t="s">
        <v>27</v>
      </c>
      <c r="AI229" s="30">
        <v>442</v>
      </c>
      <c r="AJ229" s="204">
        <v>267</v>
      </c>
      <c r="AK229" s="29"/>
      <c r="AL229" s="29" t="s">
        <v>27</v>
      </c>
      <c r="AM229" s="30">
        <v>224</v>
      </c>
      <c r="AN229" s="206">
        <v>121</v>
      </c>
    </row>
    <row r="230" spans="1:40" outlineLevel="1" x14ac:dyDescent="0.25">
      <c r="A230" s="42"/>
      <c r="B230" s="29" t="s">
        <v>28</v>
      </c>
      <c r="C230" s="30">
        <v>134</v>
      </c>
      <c r="D230" s="204">
        <v>97</v>
      </c>
      <c r="E230" s="30"/>
      <c r="F230" s="29" t="s">
        <v>28</v>
      </c>
      <c r="G230" s="30">
        <v>215</v>
      </c>
      <c r="H230" s="204">
        <v>159</v>
      </c>
      <c r="I230" s="30"/>
      <c r="J230" s="29" t="s">
        <v>28</v>
      </c>
      <c r="K230" s="30">
        <v>67</v>
      </c>
      <c r="L230" s="204">
        <v>49</v>
      </c>
      <c r="M230" s="30"/>
      <c r="N230" s="29" t="s">
        <v>28</v>
      </c>
      <c r="O230" s="30">
        <v>425</v>
      </c>
      <c r="P230" s="204">
        <v>300</v>
      </c>
      <c r="Q230" s="30"/>
      <c r="R230" s="29" t="s">
        <v>28</v>
      </c>
      <c r="S230" s="30">
        <v>192</v>
      </c>
      <c r="T230" s="204">
        <v>144</v>
      </c>
      <c r="U230" s="30"/>
      <c r="V230" s="29" t="s">
        <v>28</v>
      </c>
      <c r="W230" s="30">
        <v>169</v>
      </c>
      <c r="X230" s="204">
        <v>120</v>
      </c>
      <c r="Y230" s="30"/>
      <c r="Z230" s="29" t="s">
        <v>28</v>
      </c>
      <c r="AA230" s="30">
        <v>179</v>
      </c>
      <c r="AB230" s="204">
        <v>105</v>
      </c>
      <c r="AC230" s="30"/>
      <c r="AD230" s="29" t="s">
        <v>28</v>
      </c>
      <c r="AE230" s="30">
        <v>120</v>
      </c>
      <c r="AF230" s="204">
        <v>62</v>
      </c>
      <c r="AG230" s="30"/>
      <c r="AH230" s="29" t="s">
        <v>28</v>
      </c>
      <c r="AI230" s="30">
        <v>461</v>
      </c>
      <c r="AJ230" s="204">
        <v>422</v>
      </c>
      <c r="AK230" s="29"/>
      <c r="AL230" s="29" t="s">
        <v>28</v>
      </c>
      <c r="AM230" s="30">
        <v>303</v>
      </c>
      <c r="AN230" s="206">
        <v>172</v>
      </c>
    </row>
    <row r="231" spans="1:40" outlineLevel="1" x14ac:dyDescent="0.25">
      <c r="A231" s="42"/>
      <c r="B231" s="29" t="s">
        <v>29</v>
      </c>
      <c r="C231" s="30">
        <v>116</v>
      </c>
      <c r="D231" s="204">
        <v>135</v>
      </c>
      <c r="E231" s="30"/>
      <c r="F231" s="29" t="s">
        <v>29</v>
      </c>
      <c r="G231" s="30">
        <v>247</v>
      </c>
      <c r="H231" s="204">
        <v>188</v>
      </c>
      <c r="I231" s="30"/>
      <c r="J231" s="29" t="s">
        <v>29</v>
      </c>
      <c r="K231" s="30">
        <v>68</v>
      </c>
      <c r="L231" s="204">
        <v>65</v>
      </c>
      <c r="M231" s="30"/>
      <c r="N231" s="29" t="s">
        <v>29</v>
      </c>
      <c r="O231" s="30">
        <v>409</v>
      </c>
      <c r="P231" s="204">
        <v>308</v>
      </c>
      <c r="Q231" s="30"/>
      <c r="R231" s="29" t="s">
        <v>29</v>
      </c>
      <c r="S231" s="30">
        <v>179</v>
      </c>
      <c r="T231" s="204">
        <v>174</v>
      </c>
      <c r="U231" s="30"/>
      <c r="V231" s="29" t="s">
        <v>29</v>
      </c>
      <c r="W231" s="30">
        <v>156</v>
      </c>
      <c r="X231" s="204">
        <v>145</v>
      </c>
      <c r="Y231" s="30"/>
      <c r="Z231" s="29" t="s">
        <v>29</v>
      </c>
      <c r="AA231" s="30">
        <v>182</v>
      </c>
      <c r="AB231" s="204">
        <v>164</v>
      </c>
      <c r="AC231" s="30"/>
      <c r="AD231" s="29" t="s">
        <v>29</v>
      </c>
      <c r="AE231" s="30">
        <v>129</v>
      </c>
      <c r="AF231" s="204">
        <v>118</v>
      </c>
      <c r="AG231" s="30"/>
      <c r="AH231" s="29" t="s">
        <v>29</v>
      </c>
      <c r="AI231" s="30">
        <v>510</v>
      </c>
      <c r="AJ231" s="204">
        <v>451</v>
      </c>
      <c r="AK231" s="29"/>
      <c r="AL231" s="29" t="s">
        <v>29</v>
      </c>
      <c r="AM231" s="30">
        <v>274</v>
      </c>
      <c r="AN231" s="206">
        <v>194</v>
      </c>
    </row>
    <row r="232" spans="1:40" outlineLevel="1" x14ac:dyDescent="0.25">
      <c r="A232" s="42"/>
      <c r="B232" s="29" t="s">
        <v>31</v>
      </c>
      <c r="C232" s="30">
        <v>155</v>
      </c>
      <c r="D232" s="204">
        <v>135</v>
      </c>
      <c r="E232" s="30"/>
      <c r="F232" s="29" t="s">
        <v>31</v>
      </c>
      <c r="G232" s="30">
        <v>254</v>
      </c>
      <c r="H232" s="204">
        <v>192</v>
      </c>
      <c r="I232" s="30"/>
      <c r="J232" s="29" t="s">
        <v>31</v>
      </c>
      <c r="K232" s="30">
        <v>82</v>
      </c>
      <c r="L232" s="204">
        <v>60</v>
      </c>
      <c r="M232" s="30"/>
      <c r="N232" s="29" t="s">
        <v>31</v>
      </c>
      <c r="O232" s="30">
        <v>416</v>
      </c>
      <c r="P232" s="204">
        <v>383</v>
      </c>
      <c r="Q232" s="30"/>
      <c r="R232" s="29" t="s">
        <v>31</v>
      </c>
      <c r="S232" s="30">
        <v>197</v>
      </c>
      <c r="T232" s="204">
        <v>184</v>
      </c>
      <c r="U232" s="30"/>
      <c r="V232" s="29" t="s">
        <v>31</v>
      </c>
      <c r="W232" s="30">
        <v>180</v>
      </c>
      <c r="X232" s="204">
        <v>162</v>
      </c>
      <c r="Y232" s="30"/>
      <c r="Z232" s="29" t="s">
        <v>31</v>
      </c>
      <c r="AA232" s="30">
        <v>184</v>
      </c>
      <c r="AB232" s="204">
        <v>174</v>
      </c>
      <c r="AC232" s="30"/>
      <c r="AD232" s="29" t="s">
        <v>31</v>
      </c>
      <c r="AE232" s="30">
        <v>156</v>
      </c>
      <c r="AF232" s="204">
        <v>114</v>
      </c>
      <c r="AG232" s="30"/>
      <c r="AH232" s="29" t="s">
        <v>31</v>
      </c>
      <c r="AI232" s="30">
        <v>530</v>
      </c>
      <c r="AJ232" s="204">
        <v>460</v>
      </c>
      <c r="AK232" s="29"/>
      <c r="AL232" s="29" t="s">
        <v>31</v>
      </c>
      <c r="AM232" s="30">
        <v>305</v>
      </c>
      <c r="AN232" s="206">
        <v>245</v>
      </c>
    </row>
    <row r="233" spans="1:40" outlineLevel="1" x14ac:dyDescent="0.25">
      <c r="A233" s="42"/>
      <c r="B233" s="29" t="s">
        <v>33</v>
      </c>
      <c r="C233" s="30">
        <v>196</v>
      </c>
      <c r="D233" s="204">
        <v>116</v>
      </c>
      <c r="E233" s="30"/>
      <c r="F233" s="29" t="s">
        <v>33</v>
      </c>
      <c r="G233" s="30">
        <v>287</v>
      </c>
      <c r="H233" s="204">
        <v>229</v>
      </c>
      <c r="I233" s="30"/>
      <c r="J233" s="29" t="s">
        <v>33</v>
      </c>
      <c r="K233" s="30">
        <v>127</v>
      </c>
      <c r="L233" s="204">
        <v>53</v>
      </c>
      <c r="M233" s="30"/>
      <c r="N233" s="29" t="s">
        <v>33</v>
      </c>
      <c r="O233" s="30">
        <v>501</v>
      </c>
      <c r="P233" s="204">
        <v>425</v>
      </c>
      <c r="Q233" s="30"/>
      <c r="R233" s="29" t="s">
        <v>33</v>
      </c>
      <c r="S233" s="30">
        <v>208</v>
      </c>
      <c r="T233" s="204">
        <v>182</v>
      </c>
      <c r="U233" s="30"/>
      <c r="V233" s="29" t="s">
        <v>33</v>
      </c>
      <c r="W233" s="30">
        <v>231</v>
      </c>
      <c r="X233" s="204">
        <v>126</v>
      </c>
      <c r="Y233" s="30"/>
      <c r="Z233" s="29" t="s">
        <v>33</v>
      </c>
      <c r="AA233" s="30">
        <v>209</v>
      </c>
      <c r="AB233" s="204">
        <v>160</v>
      </c>
      <c r="AC233" s="30"/>
      <c r="AD233" s="29" t="s">
        <v>33</v>
      </c>
      <c r="AE233" s="30">
        <v>176</v>
      </c>
      <c r="AF233" s="204">
        <v>127</v>
      </c>
      <c r="AG233" s="30"/>
      <c r="AH233" s="29" t="s">
        <v>33</v>
      </c>
      <c r="AI233" s="30">
        <v>595</v>
      </c>
      <c r="AJ233" s="204">
        <v>482</v>
      </c>
      <c r="AK233" s="29"/>
      <c r="AL233" s="29" t="s">
        <v>33</v>
      </c>
      <c r="AM233" s="30">
        <v>364</v>
      </c>
      <c r="AN233" s="206">
        <v>273</v>
      </c>
    </row>
    <row r="234" spans="1:40" outlineLevel="1" x14ac:dyDescent="0.25">
      <c r="A234" s="42"/>
      <c r="B234" s="29" t="s">
        <v>35</v>
      </c>
      <c r="C234" s="30">
        <v>230</v>
      </c>
      <c r="D234" s="204">
        <v>144</v>
      </c>
      <c r="E234" s="30"/>
      <c r="F234" s="29" t="s">
        <v>35</v>
      </c>
      <c r="G234" s="30">
        <v>376</v>
      </c>
      <c r="H234" s="204">
        <v>232</v>
      </c>
      <c r="I234" s="30"/>
      <c r="J234" s="29" t="s">
        <v>35</v>
      </c>
      <c r="K234" s="30">
        <v>160</v>
      </c>
      <c r="L234" s="204">
        <v>68</v>
      </c>
      <c r="M234" s="30"/>
      <c r="N234" s="29" t="s">
        <v>35</v>
      </c>
      <c r="O234" s="30">
        <v>648</v>
      </c>
      <c r="P234" s="204">
        <v>385</v>
      </c>
      <c r="Q234" s="30"/>
      <c r="R234" s="29" t="s">
        <v>35</v>
      </c>
      <c r="S234" s="30">
        <v>250</v>
      </c>
      <c r="T234" s="204">
        <v>165</v>
      </c>
      <c r="U234" s="30"/>
      <c r="V234" s="29" t="s">
        <v>35</v>
      </c>
      <c r="W234" s="30">
        <v>288</v>
      </c>
      <c r="X234" s="204">
        <v>157</v>
      </c>
      <c r="Y234" s="30"/>
      <c r="Z234" s="29" t="s">
        <v>35</v>
      </c>
      <c r="AA234" s="30">
        <v>264</v>
      </c>
      <c r="AB234" s="204">
        <v>167</v>
      </c>
      <c r="AC234" s="30"/>
      <c r="AD234" s="29" t="s">
        <v>35</v>
      </c>
      <c r="AE234" s="30">
        <v>218</v>
      </c>
      <c r="AF234" s="204">
        <v>138</v>
      </c>
      <c r="AG234" s="30"/>
      <c r="AH234" s="29" t="s">
        <v>35</v>
      </c>
      <c r="AI234" s="30">
        <v>722</v>
      </c>
      <c r="AJ234" s="204">
        <v>511</v>
      </c>
      <c r="AK234" s="29"/>
      <c r="AL234" s="29" t="s">
        <v>35</v>
      </c>
      <c r="AM234" s="30">
        <v>437</v>
      </c>
      <c r="AN234" s="206">
        <v>266</v>
      </c>
    </row>
    <row r="235" spans="1:40" outlineLevel="1" x14ac:dyDescent="0.25">
      <c r="A235" s="42"/>
      <c r="B235" s="29" t="s">
        <v>37</v>
      </c>
      <c r="C235" s="30">
        <v>271</v>
      </c>
      <c r="D235" s="204">
        <v>173</v>
      </c>
      <c r="E235" s="30"/>
      <c r="F235" s="29" t="s">
        <v>37</v>
      </c>
      <c r="G235" s="30">
        <v>395</v>
      </c>
      <c r="H235" s="204">
        <v>280</v>
      </c>
      <c r="I235" s="30"/>
      <c r="J235" s="29" t="s">
        <v>37</v>
      </c>
      <c r="K235" s="30">
        <v>157</v>
      </c>
      <c r="L235" s="204">
        <v>117</v>
      </c>
      <c r="M235" s="30"/>
      <c r="N235" s="29" t="s">
        <v>37</v>
      </c>
      <c r="O235" s="30">
        <v>702</v>
      </c>
      <c r="P235" s="204">
        <v>469</v>
      </c>
      <c r="Q235" s="30"/>
      <c r="R235" s="29" t="s">
        <v>37</v>
      </c>
      <c r="S235" s="30">
        <v>317</v>
      </c>
      <c r="T235" s="204">
        <v>204</v>
      </c>
      <c r="U235" s="30"/>
      <c r="V235" s="29" t="s">
        <v>37</v>
      </c>
      <c r="W235" s="30">
        <v>298</v>
      </c>
      <c r="X235" s="204">
        <v>215</v>
      </c>
      <c r="Y235" s="30"/>
      <c r="Z235" s="29" t="s">
        <v>37</v>
      </c>
      <c r="AA235" s="30">
        <v>260</v>
      </c>
      <c r="AB235" s="204">
        <v>207</v>
      </c>
      <c r="AC235" s="30"/>
      <c r="AD235" s="29" t="s">
        <v>37</v>
      </c>
      <c r="AE235" s="30">
        <v>242</v>
      </c>
      <c r="AF235" s="204">
        <v>156</v>
      </c>
      <c r="AG235" s="30"/>
      <c r="AH235" s="29" t="s">
        <v>37</v>
      </c>
      <c r="AI235" s="30">
        <v>729</v>
      </c>
      <c r="AJ235" s="204">
        <v>570</v>
      </c>
      <c r="AK235" s="29"/>
      <c r="AL235" s="29" t="s">
        <v>37</v>
      </c>
      <c r="AM235" s="30">
        <v>428</v>
      </c>
      <c r="AN235" s="206">
        <v>336</v>
      </c>
    </row>
    <row r="236" spans="1:40" outlineLevel="1" x14ac:dyDescent="0.25">
      <c r="A236" s="42"/>
      <c r="B236" s="29" t="s">
        <v>39</v>
      </c>
      <c r="C236" s="30">
        <v>205</v>
      </c>
      <c r="D236" s="204">
        <v>231</v>
      </c>
      <c r="E236" s="30"/>
      <c r="F236" s="29" t="s">
        <v>39</v>
      </c>
      <c r="G236" s="30">
        <v>267</v>
      </c>
      <c r="H236" s="204">
        <v>342</v>
      </c>
      <c r="I236" s="30"/>
      <c r="J236" s="29" t="s">
        <v>39</v>
      </c>
      <c r="K236" s="30">
        <v>110</v>
      </c>
      <c r="L236" s="204">
        <v>138</v>
      </c>
      <c r="M236" s="30"/>
      <c r="N236" s="29" t="s">
        <v>39</v>
      </c>
      <c r="O236" s="30">
        <v>574</v>
      </c>
      <c r="P236" s="204">
        <v>578</v>
      </c>
      <c r="Q236" s="30"/>
      <c r="R236" s="29" t="s">
        <v>39</v>
      </c>
      <c r="S236" s="30">
        <v>197</v>
      </c>
      <c r="T236" s="204">
        <v>226</v>
      </c>
      <c r="U236" s="30"/>
      <c r="V236" s="29" t="s">
        <v>39</v>
      </c>
      <c r="W236" s="30">
        <v>167</v>
      </c>
      <c r="X236" s="204">
        <v>257</v>
      </c>
      <c r="Y236" s="30"/>
      <c r="Z236" s="29" t="s">
        <v>39</v>
      </c>
      <c r="AA236" s="30">
        <v>220</v>
      </c>
      <c r="AB236" s="204">
        <v>237</v>
      </c>
      <c r="AC236" s="30"/>
      <c r="AD236" s="29" t="s">
        <v>39</v>
      </c>
      <c r="AE236" s="30">
        <v>183</v>
      </c>
      <c r="AF236" s="204">
        <v>208</v>
      </c>
      <c r="AG236" s="30"/>
      <c r="AH236" s="29" t="s">
        <v>39</v>
      </c>
      <c r="AI236" s="30">
        <v>644</v>
      </c>
      <c r="AJ236" s="204">
        <v>662</v>
      </c>
      <c r="AK236" s="29"/>
      <c r="AL236" s="29" t="s">
        <v>39</v>
      </c>
      <c r="AM236" s="30">
        <v>319</v>
      </c>
      <c r="AN236" s="206">
        <v>402</v>
      </c>
    </row>
    <row r="237" spans="1:40" outlineLevel="1" x14ac:dyDescent="0.25">
      <c r="A237" s="42"/>
      <c r="B237" s="29" t="s">
        <v>41</v>
      </c>
      <c r="C237" s="30">
        <v>207</v>
      </c>
      <c r="D237" s="204">
        <v>241</v>
      </c>
      <c r="E237" s="30"/>
      <c r="F237" s="29" t="s">
        <v>41</v>
      </c>
      <c r="G237" s="30">
        <v>294</v>
      </c>
      <c r="H237" s="204">
        <v>371</v>
      </c>
      <c r="I237" s="30"/>
      <c r="J237" s="29" t="s">
        <v>41</v>
      </c>
      <c r="K237" s="30">
        <v>106</v>
      </c>
      <c r="L237" s="204">
        <v>161</v>
      </c>
      <c r="M237" s="30"/>
      <c r="N237" s="29" t="s">
        <v>41</v>
      </c>
      <c r="O237" s="30">
        <v>556</v>
      </c>
      <c r="P237" s="204">
        <v>646</v>
      </c>
      <c r="Q237" s="30"/>
      <c r="R237" s="29" t="s">
        <v>41</v>
      </c>
      <c r="S237" s="30">
        <v>166</v>
      </c>
      <c r="T237" s="204">
        <v>292</v>
      </c>
      <c r="U237" s="30"/>
      <c r="V237" s="29" t="s">
        <v>41</v>
      </c>
      <c r="W237" s="30">
        <v>193</v>
      </c>
      <c r="X237" s="204">
        <v>279</v>
      </c>
      <c r="Y237" s="30"/>
      <c r="Z237" s="29" t="s">
        <v>41</v>
      </c>
      <c r="AA237" s="30">
        <v>196</v>
      </c>
      <c r="AB237" s="204">
        <v>247</v>
      </c>
      <c r="AC237" s="30"/>
      <c r="AD237" s="29" t="s">
        <v>41</v>
      </c>
      <c r="AE237" s="30">
        <v>153</v>
      </c>
      <c r="AF237" s="204">
        <v>224</v>
      </c>
      <c r="AG237" s="30"/>
      <c r="AH237" s="29" t="s">
        <v>41</v>
      </c>
      <c r="AI237" s="30">
        <v>576</v>
      </c>
      <c r="AJ237" s="204">
        <v>700</v>
      </c>
      <c r="AK237" s="29"/>
      <c r="AL237" s="29" t="s">
        <v>41</v>
      </c>
      <c r="AM237" s="30">
        <v>315</v>
      </c>
      <c r="AN237" s="206">
        <v>417</v>
      </c>
    </row>
    <row r="238" spans="1:40" outlineLevel="1" x14ac:dyDescent="0.25">
      <c r="A238" s="42"/>
      <c r="B238" s="29" t="s">
        <v>43</v>
      </c>
      <c r="C238" s="30">
        <v>212</v>
      </c>
      <c r="D238" s="204">
        <v>212</v>
      </c>
      <c r="E238" s="30"/>
      <c r="F238" s="29" t="s">
        <v>43</v>
      </c>
      <c r="G238" s="30">
        <v>350</v>
      </c>
      <c r="H238" s="204">
        <v>287</v>
      </c>
      <c r="I238" s="30"/>
      <c r="J238" s="29" t="s">
        <v>43</v>
      </c>
      <c r="K238" s="30">
        <v>127</v>
      </c>
      <c r="L238" s="204">
        <v>104</v>
      </c>
      <c r="M238" s="30"/>
      <c r="N238" s="29" t="s">
        <v>43</v>
      </c>
      <c r="O238" s="30">
        <v>549</v>
      </c>
      <c r="P238" s="204">
        <v>586</v>
      </c>
      <c r="Q238" s="30"/>
      <c r="R238" s="29" t="s">
        <v>43</v>
      </c>
      <c r="S238" s="30">
        <v>190</v>
      </c>
      <c r="T238" s="204">
        <v>227</v>
      </c>
      <c r="U238" s="30"/>
      <c r="V238" s="29" t="s">
        <v>43</v>
      </c>
      <c r="W238" s="30">
        <v>215</v>
      </c>
      <c r="X238" s="204">
        <v>176</v>
      </c>
      <c r="Y238" s="30"/>
      <c r="Z238" s="29" t="s">
        <v>43</v>
      </c>
      <c r="AA238" s="30">
        <v>218</v>
      </c>
      <c r="AB238" s="204">
        <v>215</v>
      </c>
      <c r="AC238" s="30"/>
      <c r="AD238" s="29" t="s">
        <v>43</v>
      </c>
      <c r="AE238" s="30">
        <v>218</v>
      </c>
      <c r="AF238" s="204">
        <v>191</v>
      </c>
      <c r="AG238" s="30"/>
      <c r="AH238" s="29" t="s">
        <v>43</v>
      </c>
      <c r="AI238" s="30">
        <v>540</v>
      </c>
      <c r="AJ238" s="204">
        <v>667</v>
      </c>
      <c r="AK238" s="29"/>
      <c r="AL238" s="29" t="s">
        <v>43</v>
      </c>
      <c r="AM238" s="30">
        <v>390</v>
      </c>
      <c r="AN238" s="206">
        <v>332</v>
      </c>
    </row>
    <row r="239" spans="1:40" outlineLevel="1" x14ac:dyDescent="0.25">
      <c r="A239" s="42"/>
      <c r="B239" s="29" t="s">
        <v>45</v>
      </c>
      <c r="C239" s="30">
        <v>237</v>
      </c>
      <c r="D239" s="204">
        <v>150</v>
      </c>
      <c r="E239" s="30"/>
      <c r="F239" s="29" t="s">
        <v>45</v>
      </c>
      <c r="G239" s="30">
        <v>371</v>
      </c>
      <c r="H239" s="204">
        <v>214</v>
      </c>
      <c r="I239" s="30"/>
      <c r="J239" s="29" t="s">
        <v>45</v>
      </c>
      <c r="K239" s="30">
        <v>149</v>
      </c>
      <c r="L239" s="204">
        <v>84</v>
      </c>
      <c r="M239" s="30"/>
      <c r="N239" s="29" t="s">
        <v>45</v>
      </c>
      <c r="O239" s="30">
        <v>583</v>
      </c>
      <c r="P239" s="204">
        <v>398</v>
      </c>
      <c r="Q239" s="30"/>
      <c r="R239" s="29" t="s">
        <v>45</v>
      </c>
      <c r="S239" s="30">
        <v>193</v>
      </c>
      <c r="T239" s="204">
        <v>118</v>
      </c>
      <c r="U239" s="30"/>
      <c r="V239" s="29" t="s">
        <v>45</v>
      </c>
      <c r="W239" s="30">
        <v>215</v>
      </c>
      <c r="X239" s="204">
        <v>127</v>
      </c>
      <c r="Y239" s="30"/>
      <c r="Z239" s="29" t="s">
        <v>45</v>
      </c>
      <c r="AA239" s="30">
        <v>198</v>
      </c>
      <c r="AB239" s="204">
        <v>149</v>
      </c>
      <c r="AC239" s="30"/>
      <c r="AD239" s="29" t="s">
        <v>45</v>
      </c>
      <c r="AE239" s="30">
        <v>247</v>
      </c>
      <c r="AF239" s="204">
        <v>123</v>
      </c>
      <c r="AG239" s="30"/>
      <c r="AH239" s="29" t="s">
        <v>45</v>
      </c>
      <c r="AI239" s="30">
        <v>555</v>
      </c>
      <c r="AJ239" s="204">
        <v>435</v>
      </c>
      <c r="AK239" s="29"/>
      <c r="AL239" s="29" t="s">
        <v>45</v>
      </c>
      <c r="AM239" s="30">
        <v>391</v>
      </c>
      <c r="AN239" s="206">
        <v>229</v>
      </c>
    </row>
    <row r="240" spans="1:40" outlineLevel="1" x14ac:dyDescent="0.25">
      <c r="A240" s="42"/>
      <c r="B240" s="29" t="s">
        <v>47</v>
      </c>
      <c r="C240" s="30">
        <v>209</v>
      </c>
      <c r="D240" s="204">
        <v>150</v>
      </c>
      <c r="E240" s="30"/>
      <c r="F240" s="29" t="s">
        <v>47</v>
      </c>
      <c r="G240" s="30">
        <v>292</v>
      </c>
      <c r="H240" s="204">
        <v>236</v>
      </c>
      <c r="I240" s="30"/>
      <c r="J240" s="29" t="s">
        <v>47</v>
      </c>
      <c r="K240" s="30">
        <v>135</v>
      </c>
      <c r="L240" s="204">
        <v>73</v>
      </c>
      <c r="M240" s="30"/>
      <c r="N240" s="29" t="s">
        <v>47</v>
      </c>
      <c r="O240" s="30">
        <v>434</v>
      </c>
      <c r="P240" s="204">
        <v>377</v>
      </c>
      <c r="Q240" s="30"/>
      <c r="R240" s="29" t="s">
        <v>47</v>
      </c>
      <c r="S240" s="30">
        <v>166</v>
      </c>
      <c r="T240" s="204">
        <v>130</v>
      </c>
      <c r="U240" s="30"/>
      <c r="V240" s="29" t="s">
        <v>47</v>
      </c>
      <c r="W240" s="30">
        <v>156</v>
      </c>
      <c r="X240" s="204">
        <v>136</v>
      </c>
      <c r="Y240" s="30"/>
      <c r="Z240" s="29" t="s">
        <v>47</v>
      </c>
      <c r="AA240" s="30">
        <v>169</v>
      </c>
      <c r="AB240" s="204">
        <v>153</v>
      </c>
      <c r="AC240" s="30"/>
      <c r="AD240" s="29" t="s">
        <v>47</v>
      </c>
      <c r="AE240" s="30">
        <v>205</v>
      </c>
      <c r="AF240" s="204">
        <v>129</v>
      </c>
      <c r="AG240" s="30"/>
      <c r="AH240" s="29" t="s">
        <v>47</v>
      </c>
      <c r="AI240" s="30">
        <v>388</v>
      </c>
      <c r="AJ240" s="204">
        <v>401</v>
      </c>
      <c r="AK240" s="29"/>
      <c r="AL240" s="29" t="s">
        <v>47</v>
      </c>
      <c r="AM240" s="30">
        <v>293</v>
      </c>
      <c r="AN240" s="206">
        <v>272</v>
      </c>
    </row>
    <row r="241" spans="1:40" outlineLevel="1" x14ac:dyDescent="0.25">
      <c r="A241" s="42"/>
      <c r="B241" s="29" t="s">
        <v>49</v>
      </c>
      <c r="C241" s="30">
        <v>103</v>
      </c>
      <c r="D241" s="204">
        <v>126</v>
      </c>
      <c r="E241" s="30"/>
      <c r="F241" s="29" t="s">
        <v>49</v>
      </c>
      <c r="G241" s="30">
        <v>107</v>
      </c>
      <c r="H241" s="204">
        <v>184</v>
      </c>
      <c r="I241" s="30"/>
      <c r="J241" s="29" t="s">
        <v>49</v>
      </c>
      <c r="K241" s="30">
        <v>56</v>
      </c>
      <c r="L241" s="204">
        <v>59</v>
      </c>
      <c r="M241" s="30"/>
      <c r="N241" s="29" t="s">
        <v>49</v>
      </c>
      <c r="O241" s="30">
        <v>214</v>
      </c>
      <c r="P241" s="204">
        <v>262</v>
      </c>
      <c r="Q241" s="30"/>
      <c r="R241" s="29" t="s">
        <v>49</v>
      </c>
      <c r="S241" s="30">
        <v>77</v>
      </c>
      <c r="T241" s="204">
        <v>92</v>
      </c>
      <c r="U241" s="30"/>
      <c r="V241" s="29" t="s">
        <v>49</v>
      </c>
      <c r="W241" s="30">
        <v>53</v>
      </c>
      <c r="X241" s="204">
        <v>86</v>
      </c>
      <c r="Y241" s="30"/>
      <c r="Z241" s="29" t="s">
        <v>49</v>
      </c>
      <c r="AA241" s="30">
        <v>72</v>
      </c>
      <c r="AB241" s="204">
        <v>103</v>
      </c>
      <c r="AC241" s="30"/>
      <c r="AD241" s="29" t="s">
        <v>49</v>
      </c>
      <c r="AE241" s="30">
        <v>86</v>
      </c>
      <c r="AF241" s="204">
        <v>101</v>
      </c>
      <c r="AG241" s="30"/>
      <c r="AH241" s="29" t="s">
        <v>49</v>
      </c>
      <c r="AI241" s="30">
        <v>206</v>
      </c>
      <c r="AJ241" s="204">
        <v>265</v>
      </c>
      <c r="AK241" s="29"/>
      <c r="AL241" s="29" t="s">
        <v>49</v>
      </c>
      <c r="AM241" s="30">
        <v>136</v>
      </c>
      <c r="AN241" s="206">
        <v>175</v>
      </c>
    </row>
    <row r="242" spans="1:40" outlineLevel="1" x14ac:dyDescent="0.25">
      <c r="A242" s="42"/>
      <c r="B242" s="29" t="s">
        <v>51</v>
      </c>
      <c r="C242" s="30">
        <v>18</v>
      </c>
      <c r="D242" s="204">
        <v>70</v>
      </c>
      <c r="E242" s="30"/>
      <c r="F242" s="29" t="s">
        <v>51</v>
      </c>
      <c r="G242" s="30">
        <v>34</v>
      </c>
      <c r="H242" s="204">
        <v>60</v>
      </c>
      <c r="I242" s="30"/>
      <c r="J242" s="29" t="s">
        <v>51</v>
      </c>
      <c r="K242" s="30">
        <v>5</v>
      </c>
      <c r="L242" s="204">
        <v>23</v>
      </c>
      <c r="M242" s="30"/>
      <c r="N242" s="29" t="s">
        <v>51</v>
      </c>
      <c r="O242" s="30">
        <v>43</v>
      </c>
      <c r="P242" s="204">
        <v>88</v>
      </c>
      <c r="Q242" s="30"/>
      <c r="R242" s="29" t="s">
        <v>51</v>
      </c>
      <c r="S242" s="30">
        <v>23</v>
      </c>
      <c r="T242" s="204">
        <v>38</v>
      </c>
      <c r="U242" s="30"/>
      <c r="V242" s="29" t="s">
        <v>51</v>
      </c>
      <c r="W242" s="30">
        <v>22</v>
      </c>
      <c r="X242" s="204">
        <v>27</v>
      </c>
      <c r="Y242" s="30"/>
      <c r="Z242" s="29" t="s">
        <v>51</v>
      </c>
      <c r="AA242" s="30">
        <v>19</v>
      </c>
      <c r="AB242" s="204">
        <v>49</v>
      </c>
      <c r="AC242" s="30"/>
      <c r="AD242" s="29" t="s">
        <v>51</v>
      </c>
      <c r="AE242" s="30">
        <v>27</v>
      </c>
      <c r="AF242" s="204">
        <v>47</v>
      </c>
      <c r="AG242" s="30"/>
      <c r="AH242" s="29" t="s">
        <v>51</v>
      </c>
      <c r="AI242" s="30">
        <v>45</v>
      </c>
      <c r="AJ242" s="204">
        <v>84</v>
      </c>
      <c r="AK242" s="29"/>
      <c r="AL242" s="29" t="s">
        <v>51</v>
      </c>
      <c r="AM242" s="30">
        <v>49</v>
      </c>
      <c r="AN242" s="206">
        <v>61</v>
      </c>
    </row>
    <row r="243" spans="1:40" ht="19.5" outlineLevel="1" thickBot="1" x14ac:dyDescent="0.3">
      <c r="A243" s="43"/>
      <c r="B243" s="35" t="s">
        <v>53</v>
      </c>
      <c r="C243" s="36">
        <v>0</v>
      </c>
      <c r="D243" s="205">
        <v>9</v>
      </c>
      <c r="E243" s="36"/>
      <c r="F243" s="35" t="s">
        <v>53</v>
      </c>
      <c r="G243" s="36">
        <v>6</v>
      </c>
      <c r="H243" s="205">
        <v>13</v>
      </c>
      <c r="I243" s="36"/>
      <c r="J243" s="35" t="s">
        <v>53</v>
      </c>
      <c r="K243" s="36">
        <v>0</v>
      </c>
      <c r="L243" s="205">
        <v>2</v>
      </c>
      <c r="M243" s="36"/>
      <c r="N243" s="35" t="s">
        <v>53</v>
      </c>
      <c r="O243" s="36">
        <v>8</v>
      </c>
      <c r="P243" s="205">
        <v>21</v>
      </c>
      <c r="Q243" s="36"/>
      <c r="R243" s="35" t="s">
        <v>53</v>
      </c>
      <c r="S243" s="36">
        <v>2</v>
      </c>
      <c r="T243" s="205">
        <v>6</v>
      </c>
      <c r="U243" s="36"/>
      <c r="V243" s="35" t="s">
        <v>53</v>
      </c>
      <c r="W243" s="36">
        <v>4</v>
      </c>
      <c r="X243" s="205">
        <v>4</v>
      </c>
      <c r="Y243" s="36"/>
      <c r="Z243" s="35" t="s">
        <v>53</v>
      </c>
      <c r="AA243" s="36">
        <v>1</v>
      </c>
      <c r="AB243" s="205">
        <v>6</v>
      </c>
      <c r="AC243" s="36"/>
      <c r="AD243" s="35" t="s">
        <v>53</v>
      </c>
      <c r="AE243" s="36">
        <v>2</v>
      </c>
      <c r="AF243" s="205">
        <v>6</v>
      </c>
      <c r="AG243" s="36"/>
      <c r="AH243" s="35" t="s">
        <v>53</v>
      </c>
      <c r="AI243" s="36">
        <v>8</v>
      </c>
      <c r="AJ243" s="205">
        <v>14</v>
      </c>
      <c r="AK243" s="35"/>
      <c r="AL243" s="35" t="s">
        <v>53</v>
      </c>
      <c r="AM243" s="36">
        <v>12</v>
      </c>
      <c r="AN243" s="208">
        <v>15</v>
      </c>
    </row>
    <row r="244" spans="1:40" outlineLevel="1" x14ac:dyDescent="0.25">
      <c r="A244" s="44"/>
      <c r="B244" s="44" t="s">
        <v>79</v>
      </c>
      <c r="C244" s="45">
        <f>SUM(C213:C220,C236:C243)</f>
        <v>2093</v>
      </c>
      <c r="D244" s="45">
        <f>SUM(D213:D220,D236:D243)</f>
        <v>2167</v>
      </c>
      <c r="E244" s="45"/>
      <c r="F244" s="44" t="s">
        <v>79</v>
      </c>
      <c r="G244" s="45">
        <f>SUM(G213:G220,G236:G243)</f>
        <v>3030</v>
      </c>
      <c r="H244" s="45">
        <f>SUM(H213:H220,H236:H243)</f>
        <v>3112</v>
      </c>
      <c r="I244" s="45"/>
      <c r="J244" s="44" t="s">
        <v>79</v>
      </c>
      <c r="K244" s="45">
        <f>SUM(K213:K220,K236:K243)</f>
        <v>1225</v>
      </c>
      <c r="L244" s="45">
        <f>SUM(L213:L220,L236:L243)</f>
        <v>1235</v>
      </c>
      <c r="M244" s="45"/>
      <c r="N244" s="44" t="s">
        <v>79</v>
      </c>
      <c r="O244" s="45">
        <f>SUM(O213:O220,O236:O243)</f>
        <v>5155</v>
      </c>
      <c r="P244" s="45">
        <f>SUM(P213:P220,P236:P243)</f>
        <v>5444</v>
      </c>
      <c r="Q244" s="45"/>
      <c r="R244" s="44" t="s">
        <v>79</v>
      </c>
      <c r="S244" s="45">
        <f>SUM(S213:S220,S236:S243)</f>
        <v>1808</v>
      </c>
      <c r="T244" s="45">
        <f>SUM(T213:T220,T236:T243)</f>
        <v>2110</v>
      </c>
      <c r="U244" s="45"/>
      <c r="V244" s="44" t="s">
        <v>79</v>
      </c>
      <c r="W244" s="45">
        <f>SUM(W213:W220,W236:W243)</f>
        <v>1753</v>
      </c>
      <c r="X244" s="45">
        <f>SUM(X213:X220,X236:X243)</f>
        <v>2020</v>
      </c>
      <c r="Y244" s="45"/>
      <c r="Z244" s="44" t="s">
        <v>79</v>
      </c>
      <c r="AA244" s="45">
        <f>SUM(AA213:AA220,AA236:AA243)</f>
        <v>1920</v>
      </c>
      <c r="AB244" s="45">
        <f>SUM(AB213:AB220,AB236:AB243)</f>
        <v>2132</v>
      </c>
      <c r="AC244" s="45"/>
      <c r="AD244" s="44" t="s">
        <v>79</v>
      </c>
      <c r="AE244" s="45">
        <f>SUM(AE213:AE220,AE236:AE243)</f>
        <v>1885</v>
      </c>
      <c r="AF244" s="45">
        <f>SUM(AF213:AF220,AF236:AF243)</f>
        <v>1918</v>
      </c>
      <c r="AG244" s="45"/>
      <c r="AH244" s="44" t="s">
        <v>79</v>
      </c>
      <c r="AI244" s="45">
        <f>SUM(AI213:AI220,AI236:AI243)</f>
        <v>5189</v>
      </c>
      <c r="AJ244" s="45">
        <f>SUM(AJ213:AJ220,AJ236:AJ243)</f>
        <v>5962</v>
      </c>
      <c r="AK244" s="45"/>
      <c r="AL244" s="44" t="s">
        <v>79</v>
      </c>
      <c r="AM244" s="45">
        <f>SUM(AM213:AM220,AM236:AM243)</f>
        <v>3285</v>
      </c>
      <c r="AN244" s="45">
        <f>SUM(AN213:AN220,AN236:AN243)</f>
        <v>3474</v>
      </c>
    </row>
    <row r="245" spans="1:40" ht="19.5" thickBot="1" x14ac:dyDescent="0.3">
      <c r="A245" s="44"/>
      <c r="B245" s="44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</row>
    <row r="246" spans="1:40" outlineLevel="1" x14ac:dyDescent="0.25">
      <c r="A246" s="169" t="s">
        <v>255</v>
      </c>
      <c r="B246" s="25"/>
      <c r="C246" s="26" t="s">
        <v>1</v>
      </c>
      <c r="D246" s="211" t="s">
        <v>256</v>
      </c>
      <c r="E246" s="165" t="s">
        <v>257</v>
      </c>
      <c r="F246" s="25"/>
      <c r="G246" s="26" t="s">
        <v>1</v>
      </c>
      <c r="H246" s="26" t="s">
        <v>217</v>
      </c>
      <c r="I246" s="165" t="s">
        <v>258</v>
      </c>
      <c r="J246" s="25"/>
      <c r="K246" s="26" t="s">
        <v>1</v>
      </c>
      <c r="L246" s="26" t="s">
        <v>217</v>
      </c>
      <c r="M246" s="165" t="s">
        <v>259</v>
      </c>
      <c r="N246" s="25"/>
      <c r="O246" s="26" t="s">
        <v>1</v>
      </c>
      <c r="P246" s="26" t="s">
        <v>217</v>
      </c>
      <c r="Q246" s="165" t="s">
        <v>260</v>
      </c>
      <c r="R246" s="25"/>
      <c r="S246" s="26" t="s">
        <v>1</v>
      </c>
      <c r="T246" s="26" t="s">
        <v>217</v>
      </c>
      <c r="U246" s="165" t="s">
        <v>261</v>
      </c>
      <c r="V246" s="25"/>
      <c r="W246" s="26" t="s">
        <v>1</v>
      </c>
      <c r="X246" s="26" t="s">
        <v>217</v>
      </c>
      <c r="Y246" s="165" t="s">
        <v>262</v>
      </c>
      <c r="Z246" s="25"/>
      <c r="AA246" s="26" t="s">
        <v>1</v>
      </c>
      <c r="AB246" s="26" t="s">
        <v>217</v>
      </c>
      <c r="AC246" s="165" t="s">
        <v>263</v>
      </c>
      <c r="AD246" s="25"/>
      <c r="AE246" s="26" t="s">
        <v>1</v>
      </c>
      <c r="AF246" s="26" t="s">
        <v>217</v>
      </c>
      <c r="AG246" s="165" t="s">
        <v>264</v>
      </c>
      <c r="AH246" s="25"/>
      <c r="AI246" s="26" t="s">
        <v>1</v>
      </c>
      <c r="AJ246" s="26" t="s">
        <v>217</v>
      </c>
      <c r="AK246" s="165" t="s">
        <v>265</v>
      </c>
      <c r="AL246" s="25"/>
      <c r="AM246" s="26" t="s">
        <v>1</v>
      </c>
      <c r="AN246" s="27" t="s">
        <v>217</v>
      </c>
    </row>
    <row r="247" spans="1:40" customFormat="1" outlineLevel="1" x14ac:dyDescent="0.25">
      <c r="A247" s="202">
        <v>1440</v>
      </c>
      <c r="B247" s="172"/>
      <c r="C247" s="166" t="s">
        <v>13</v>
      </c>
      <c r="D247" s="166"/>
      <c r="E247" s="172">
        <v>1443</v>
      </c>
      <c r="F247" s="172"/>
      <c r="G247" s="166" t="s">
        <v>13</v>
      </c>
      <c r="H247" s="166"/>
      <c r="I247" s="172">
        <v>1446</v>
      </c>
      <c r="J247" s="172"/>
      <c r="K247" s="166" t="s">
        <v>13</v>
      </c>
      <c r="L247" s="166"/>
      <c r="M247" s="172">
        <v>1449</v>
      </c>
      <c r="N247" s="172"/>
      <c r="O247" s="166" t="s">
        <v>13</v>
      </c>
      <c r="P247" s="166"/>
      <c r="Q247" s="172">
        <v>1452</v>
      </c>
      <c r="R247" s="172"/>
      <c r="S247" s="166" t="s">
        <v>13</v>
      </c>
      <c r="T247" s="166"/>
      <c r="U247" s="172">
        <v>1455</v>
      </c>
      <c r="V247" s="172"/>
      <c r="W247" s="166" t="s">
        <v>13</v>
      </c>
      <c r="X247" s="166"/>
      <c r="Y247" s="172">
        <v>1458</v>
      </c>
      <c r="Z247" s="172"/>
      <c r="AA247" s="166" t="s">
        <v>13</v>
      </c>
      <c r="AB247" s="166"/>
      <c r="AC247" s="172">
        <v>1461</v>
      </c>
      <c r="AD247" s="172"/>
      <c r="AE247" s="166" t="s">
        <v>13</v>
      </c>
      <c r="AF247" s="166"/>
      <c r="AG247" s="172">
        <v>1467</v>
      </c>
      <c r="AH247" s="172"/>
      <c r="AI247" s="166" t="s">
        <v>13</v>
      </c>
      <c r="AJ247" s="166"/>
      <c r="AK247" s="172">
        <v>1470</v>
      </c>
      <c r="AL247" s="172"/>
      <c r="AM247" s="166" t="s">
        <v>13</v>
      </c>
      <c r="AN247" s="207"/>
    </row>
    <row r="248" spans="1:40" outlineLevel="1" x14ac:dyDescent="0.25">
      <c r="A248" s="28"/>
      <c r="B248" s="29" t="s">
        <v>18</v>
      </c>
      <c r="C248" s="30">
        <v>2586</v>
      </c>
      <c r="D248" s="204">
        <v>2380</v>
      </c>
      <c r="E248" s="29"/>
      <c r="F248" s="29" t="s">
        <v>18</v>
      </c>
      <c r="G248" s="30">
        <v>3615</v>
      </c>
      <c r="H248" s="204">
        <v>3257</v>
      </c>
      <c r="I248" s="29"/>
      <c r="J248" s="29" t="s">
        <v>18</v>
      </c>
      <c r="K248" s="30">
        <v>7053</v>
      </c>
      <c r="L248" s="204">
        <v>5777</v>
      </c>
      <c r="M248" s="29"/>
      <c r="N248" s="29" t="s">
        <v>18</v>
      </c>
      <c r="O248" s="30">
        <v>1385</v>
      </c>
      <c r="P248" s="204">
        <v>1098</v>
      </c>
      <c r="Q248" s="29"/>
      <c r="R248" s="29" t="s">
        <v>18</v>
      </c>
      <c r="S248" s="30">
        <v>5298</v>
      </c>
      <c r="T248" s="204">
        <v>4948</v>
      </c>
      <c r="U248" s="29"/>
      <c r="V248" s="29" t="s">
        <v>18</v>
      </c>
      <c r="W248" s="30">
        <v>3086</v>
      </c>
      <c r="X248" s="204">
        <v>2489</v>
      </c>
      <c r="Y248" s="29"/>
      <c r="Z248" s="29" t="s">
        <v>18</v>
      </c>
      <c r="AA248" s="30">
        <v>9300</v>
      </c>
      <c r="AB248" s="204">
        <v>7012</v>
      </c>
      <c r="AC248" s="29"/>
      <c r="AD248" s="29" t="s">
        <v>18</v>
      </c>
      <c r="AE248" s="30">
        <v>772</v>
      </c>
      <c r="AF248" s="204">
        <v>632</v>
      </c>
      <c r="AG248" s="29"/>
      <c r="AH248" s="29" t="s">
        <v>18</v>
      </c>
      <c r="AI248" s="30">
        <v>3962</v>
      </c>
      <c r="AJ248" s="204">
        <v>3654</v>
      </c>
      <c r="AK248" s="29"/>
      <c r="AL248" s="29" t="s">
        <v>18</v>
      </c>
      <c r="AM248" s="30">
        <v>3134</v>
      </c>
      <c r="AN248" s="206">
        <v>2214</v>
      </c>
    </row>
    <row r="249" spans="1:40" outlineLevel="1" x14ac:dyDescent="0.25">
      <c r="A249" s="28"/>
      <c r="B249" s="29" t="s">
        <v>20</v>
      </c>
      <c r="C249" s="30">
        <v>83</v>
      </c>
      <c r="D249" s="204">
        <v>40</v>
      </c>
      <c r="E249" s="29"/>
      <c r="F249" s="29" t="s">
        <v>20</v>
      </c>
      <c r="G249" s="30">
        <v>114</v>
      </c>
      <c r="H249" s="204">
        <v>59</v>
      </c>
      <c r="I249" s="29"/>
      <c r="J249" s="29" t="s">
        <v>20</v>
      </c>
      <c r="K249" s="30">
        <v>270</v>
      </c>
      <c r="L249" s="204">
        <v>90</v>
      </c>
      <c r="M249" s="29"/>
      <c r="N249" s="29" t="s">
        <v>20</v>
      </c>
      <c r="O249" s="30">
        <v>28</v>
      </c>
      <c r="P249" s="204">
        <v>14</v>
      </c>
      <c r="Q249" s="29"/>
      <c r="R249" s="29" t="s">
        <v>20</v>
      </c>
      <c r="S249" s="30">
        <v>268</v>
      </c>
      <c r="T249" s="204">
        <v>109</v>
      </c>
      <c r="U249" s="29"/>
      <c r="V249" s="29" t="s">
        <v>20</v>
      </c>
      <c r="W249" s="30">
        <v>106</v>
      </c>
      <c r="X249" s="204">
        <v>44</v>
      </c>
      <c r="Y249" s="29"/>
      <c r="Z249" s="29" t="s">
        <v>20</v>
      </c>
      <c r="AA249" s="30">
        <v>342</v>
      </c>
      <c r="AB249" s="204">
        <v>106</v>
      </c>
      <c r="AC249" s="29"/>
      <c r="AD249" s="29" t="s">
        <v>20</v>
      </c>
      <c r="AE249" s="30">
        <v>19</v>
      </c>
      <c r="AF249" s="204">
        <v>18</v>
      </c>
      <c r="AG249" s="29"/>
      <c r="AH249" s="29" t="s">
        <v>20</v>
      </c>
      <c r="AI249" s="30">
        <v>139</v>
      </c>
      <c r="AJ249" s="204">
        <v>102</v>
      </c>
      <c r="AK249" s="29"/>
      <c r="AL249" s="29" t="s">
        <v>20</v>
      </c>
      <c r="AM249" s="30">
        <v>114</v>
      </c>
      <c r="AN249" s="206">
        <v>16</v>
      </c>
    </row>
    <row r="250" spans="1:40" outlineLevel="1" x14ac:dyDescent="0.25">
      <c r="A250" s="28"/>
      <c r="B250" s="29" t="s">
        <v>22</v>
      </c>
      <c r="C250" s="30">
        <v>82</v>
      </c>
      <c r="D250" s="204">
        <v>55</v>
      </c>
      <c r="E250" s="29"/>
      <c r="F250" s="29" t="s">
        <v>22</v>
      </c>
      <c r="G250" s="30">
        <v>134</v>
      </c>
      <c r="H250" s="204">
        <v>105</v>
      </c>
      <c r="I250" s="29"/>
      <c r="J250" s="29" t="s">
        <v>22</v>
      </c>
      <c r="K250" s="30">
        <v>283</v>
      </c>
      <c r="L250" s="204">
        <v>135</v>
      </c>
      <c r="M250" s="29"/>
      <c r="N250" s="29" t="s">
        <v>22</v>
      </c>
      <c r="O250" s="30">
        <v>36</v>
      </c>
      <c r="P250" s="204">
        <v>26</v>
      </c>
      <c r="Q250" s="29"/>
      <c r="R250" s="29" t="s">
        <v>22</v>
      </c>
      <c r="S250" s="30">
        <v>298</v>
      </c>
      <c r="T250" s="204">
        <v>210</v>
      </c>
      <c r="U250" s="29"/>
      <c r="V250" s="29" t="s">
        <v>22</v>
      </c>
      <c r="W250" s="30">
        <v>156</v>
      </c>
      <c r="X250" s="204">
        <v>57</v>
      </c>
      <c r="Y250" s="29"/>
      <c r="Z250" s="29" t="s">
        <v>22</v>
      </c>
      <c r="AA250" s="30">
        <v>355</v>
      </c>
      <c r="AB250" s="204">
        <v>180</v>
      </c>
      <c r="AC250" s="29"/>
      <c r="AD250" s="29" t="s">
        <v>22</v>
      </c>
      <c r="AE250" s="30">
        <v>26</v>
      </c>
      <c r="AF250" s="204">
        <v>21</v>
      </c>
      <c r="AG250" s="29"/>
      <c r="AH250" s="29" t="s">
        <v>22</v>
      </c>
      <c r="AI250" s="30">
        <v>177</v>
      </c>
      <c r="AJ250" s="204">
        <v>151</v>
      </c>
      <c r="AK250" s="29"/>
      <c r="AL250" s="29" t="s">
        <v>22</v>
      </c>
      <c r="AM250" s="30">
        <v>118</v>
      </c>
      <c r="AN250" s="206">
        <v>50</v>
      </c>
    </row>
    <row r="251" spans="1:40" outlineLevel="1" x14ac:dyDescent="0.25">
      <c r="A251" s="28"/>
      <c r="B251" s="29" t="s">
        <v>23</v>
      </c>
      <c r="C251" s="30">
        <v>123</v>
      </c>
      <c r="D251" s="204">
        <v>137</v>
      </c>
      <c r="E251" s="29"/>
      <c r="F251" s="29" t="s">
        <v>23</v>
      </c>
      <c r="G251" s="30">
        <v>180</v>
      </c>
      <c r="H251" s="204">
        <v>100</v>
      </c>
      <c r="I251" s="29"/>
      <c r="J251" s="29" t="s">
        <v>23</v>
      </c>
      <c r="K251" s="30">
        <v>333</v>
      </c>
      <c r="L251" s="204">
        <v>198</v>
      </c>
      <c r="M251" s="29"/>
      <c r="N251" s="29" t="s">
        <v>23</v>
      </c>
      <c r="O251" s="30">
        <v>52</v>
      </c>
      <c r="P251" s="204">
        <v>26</v>
      </c>
      <c r="Q251" s="29"/>
      <c r="R251" s="29" t="s">
        <v>23</v>
      </c>
      <c r="S251" s="30">
        <v>293</v>
      </c>
      <c r="T251" s="204">
        <v>267</v>
      </c>
      <c r="U251" s="29"/>
      <c r="V251" s="29" t="s">
        <v>23</v>
      </c>
      <c r="W251" s="30">
        <v>143</v>
      </c>
      <c r="X251" s="204">
        <v>97</v>
      </c>
      <c r="Y251" s="29"/>
      <c r="Z251" s="29" t="s">
        <v>23</v>
      </c>
      <c r="AA251" s="30">
        <v>416</v>
      </c>
      <c r="AB251" s="204">
        <v>220</v>
      </c>
      <c r="AC251" s="29"/>
      <c r="AD251" s="29" t="s">
        <v>23</v>
      </c>
      <c r="AE251" s="30">
        <v>37</v>
      </c>
      <c r="AF251" s="204">
        <v>12</v>
      </c>
      <c r="AG251" s="29"/>
      <c r="AH251" s="29" t="s">
        <v>23</v>
      </c>
      <c r="AI251" s="30">
        <v>218</v>
      </c>
      <c r="AJ251" s="204">
        <v>178</v>
      </c>
      <c r="AK251" s="29"/>
      <c r="AL251" s="29" t="s">
        <v>23</v>
      </c>
      <c r="AM251" s="30">
        <v>139</v>
      </c>
      <c r="AN251" s="206">
        <v>57</v>
      </c>
    </row>
    <row r="252" spans="1:40" outlineLevel="1" x14ac:dyDescent="0.25">
      <c r="A252" s="28"/>
      <c r="B252" s="29" t="s">
        <v>24</v>
      </c>
      <c r="C252" s="30">
        <v>140</v>
      </c>
      <c r="D252" s="204">
        <v>156</v>
      </c>
      <c r="E252" s="29"/>
      <c r="F252" s="29" t="s">
        <v>24</v>
      </c>
      <c r="G252" s="30">
        <v>193</v>
      </c>
      <c r="H252" s="204">
        <v>100</v>
      </c>
      <c r="I252" s="29"/>
      <c r="J252" s="29" t="s">
        <v>24</v>
      </c>
      <c r="K252" s="30">
        <v>429</v>
      </c>
      <c r="L252" s="204">
        <v>195</v>
      </c>
      <c r="M252" s="29"/>
      <c r="N252" s="29" t="s">
        <v>24</v>
      </c>
      <c r="O252" s="30">
        <v>46</v>
      </c>
      <c r="P252" s="204">
        <v>33</v>
      </c>
      <c r="Q252" s="29"/>
      <c r="R252" s="29" t="s">
        <v>24</v>
      </c>
      <c r="S252" s="30">
        <v>269</v>
      </c>
      <c r="T252" s="204">
        <v>260</v>
      </c>
      <c r="U252" s="29"/>
      <c r="V252" s="29" t="s">
        <v>24</v>
      </c>
      <c r="W252" s="30">
        <v>150</v>
      </c>
      <c r="X252" s="204">
        <v>112</v>
      </c>
      <c r="Y252" s="29"/>
      <c r="Z252" s="29" t="s">
        <v>24</v>
      </c>
      <c r="AA252" s="30">
        <v>464</v>
      </c>
      <c r="AB252" s="204">
        <v>240</v>
      </c>
      <c r="AC252" s="29"/>
      <c r="AD252" s="29" t="s">
        <v>24</v>
      </c>
      <c r="AE252" s="30">
        <v>36</v>
      </c>
      <c r="AF252" s="204">
        <v>16</v>
      </c>
      <c r="AG252" s="29"/>
      <c r="AH252" s="29" t="s">
        <v>24</v>
      </c>
      <c r="AI252" s="30">
        <v>214</v>
      </c>
      <c r="AJ252" s="204">
        <v>171</v>
      </c>
      <c r="AK252" s="29"/>
      <c r="AL252" s="29" t="s">
        <v>24</v>
      </c>
      <c r="AM252" s="30">
        <v>141</v>
      </c>
      <c r="AN252" s="206">
        <v>67</v>
      </c>
    </row>
    <row r="253" spans="1:40" outlineLevel="1" x14ac:dyDescent="0.25">
      <c r="A253" s="28"/>
      <c r="B253" s="29" t="s">
        <v>25</v>
      </c>
      <c r="C253" s="30">
        <v>163</v>
      </c>
      <c r="D253" s="204">
        <v>104</v>
      </c>
      <c r="E253" s="29"/>
      <c r="F253" s="29" t="s">
        <v>25</v>
      </c>
      <c r="G253" s="30">
        <v>219</v>
      </c>
      <c r="H253" s="204">
        <v>161</v>
      </c>
      <c r="I253" s="29"/>
      <c r="J253" s="29" t="s">
        <v>25</v>
      </c>
      <c r="K253" s="30">
        <v>345</v>
      </c>
      <c r="L253" s="204">
        <v>207</v>
      </c>
      <c r="M253" s="29"/>
      <c r="N253" s="29" t="s">
        <v>25</v>
      </c>
      <c r="O253" s="30">
        <v>66</v>
      </c>
      <c r="P253" s="204">
        <v>54</v>
      </c>
      <c r="Q253" s="29"/>
      <c r="R253" s="29" t="s">
        <v>25</v>
      </c>
      <c r="S253" s="30">
        <v>272</v>
      </c>
      <c r="T253" s="204">
        <v>263</v>
      </c>
      <c r="U253" s="29"/>
      <c r="V253" s="29" t="s">
        <v>25</v>
      </c>
      <c r="W253" s="30">
        <v>138</v>
      </c>
      <c r="X253" s="204">
        <v>120</v>
      </c>
      <c r="Y253" s="29"/>
      <c r="Z253" s="29" t="s">
        <v>25</v>
      </c>
      <c r="AA253" s="30">
        <v>459</v>
      </c>
      <c r="AB253" s="204">
        <v>233</v>
      </c>
      <c r="AC253" s="29"/>
      <c r="AD253" s="29" t="s">
        <v>25</v>
      </c>
      <c r="AE253" s="30">
        <v>38</v>
      </c>
      <c r="AF253" s="204">
        <v>29</v>
      </c>
      <c r="AG253" s="29"/>
      <c r="AH253" s="29" t="s">
        <v>25</v>
      </c>
      <c r="AI253" s="30">
        <v>192</v>
      </c>
      <c r="AJ253" s="204">
        <v>168</v>
      </c>
      <c r="AK253" s="29"/>
      <c r="AL253" s="29" t="s">
        <v>25</v>
      </c>
      <c r="AM253" s="30">
        <v>144</v>
      </c>
      <c r="AN253" s="206">
        <v>78</v>
      </c>
    </row>
    <row r="254" spans="1:40" outlineLevel="1" x14ac:dyDescent="0.25">
      <c r="A254" s="28"/>
      <c r="B254" s="29" t="s">
        <v>26</v>
      </c>
      <c r="C254" s="30">
        <v>155</v>
      </c>
      <c r="D254" s="204">
        <v>147</v>
      </c>
      <c r="E254" s="29"/>
      <c r="F254" s="29" t="s">
        <v>26</v>
      </c>
      <c r="G254" s="30">
        <v>157</v>
      </c>
      <c r="H254" s="204">
        <v>217</v>
      </c>
      <c r="I254" s="29"/>
      <c r="J254" s="29" t="s">
        <v>26</v>
      </c>
      <c r="K254" s="30">
        <v>415</v>
      </c>
      <c r="L254" s="204">
        <v>317</v>
      </c>
      <c r="M254" s="29"/>
      <c r="N254" s="29" t="s">
        <v>26</v>
      </c>
      <c r="O254" s="30">
        <v>81</v>
      </c>
      <c r="P254" s="204">
        <v>42</v>
      </c>
      <c r="Q254" s="29"/>
      <c r="R254" s="29" t="s">
        <v>26</v>
      </c>
      <c r="S254" s="30">
        <v>307</v>
      </c>
      <c r="T254" s="204">
        <v>306</v>
      </c>
      <c r="U254" s="29"/>
      <c r="V254" s="29" t="s">
        <v>26</v>
      </c>
      <c r="W254" s="30">
        <v>158</v>
      </c>
      <c r="X254" s="204">
        <v>100</v>
      </c>
      <c r="Y254" s="29"/>
      <c r="Z254" s="29" t="s">
        <v>26</v>
      </c>
      <c r="AA254" s="30">
        <v>432</v>
      </c>
      <c r="AB254" s="204">
        <v>260</v>
      </c>
      <c r="AC254" s="29"/>
      <c r="AD254" s="29" t="s">
        <v>26</v>
      </c>
      <c r="AE254" s="30">
        <v>48</v>
      </c>
      <c r="AF254" s="204">
        <v>32</v>
      </c>
      <c r="AG254" s="29"/>
      <c r="AH254" s="29" t="s">
        <v>26</v>
      </c>
      <c r="AI254" s="30">
        <v>183</v>
      </c>
      <c r="AJ254" s="204">
        <v>162</v>
      </c>
      <c r="AK254" s="29"/>
      <c r="AL254" s="29" t="s">
        <v>26</v>
      </c>
      <c r="AM254" s="30">
        <v>170</v>
      </c>
      <c r="AN254" s="206">
        <v>65</v>
      </c>
    </row>
    <row r="255" spans="1:40" outlineLevel="1" x14ac:dyDescent="0.25">
      <c r="A255" s="28"/>
      <c r="B255" s="29" t="s">
        <v>27</v>
      </c>
      <c r="C255" s="30">
        <v>132</v>
      </c>
      <c r="D255" s="204">
        <v>136</v>
      </c>
      <c r="E255" s="29"/>
      <c r="F255" s="29" t="s">
        <v>27</v>
      </c>
      <c r="G255" s="30">
        <v>174</v>
      </c>
      <c r="H255" s="204">
        <v>176</v>
      </c>
      <c r="I255" s="29"/>
      <c r="J255" s="29" t="s">
        <v>27</v>
      </c>
      <c r="K255" s="30">
        <v>396</v>
      </c>
      <c r="L255" s="204">
        <v>270</v>
      </c>
      <c r="M255" s="29"/>
      <c r="N255" s="29" t="s">
        <v>27</v>
      </c>
      <c r="O255" s="30">
        <v>65</v>
      </c>
      <c r="P255" s="204">
        <v>34</v>
      </c>
      <c r="Q255" s="29"/>
      <c r="R255" s="29" t="s">
        <v>27</v>
      </c>
      <c r="S255" s="30">
        <v>375</v>
      </c>
      <c r="T255" s="204">
        <v>251</v>
      </c>
      <c r="U255" s="29"/>
      <c r="V255" s="29" t="s">
        <v>27</v>
      </c>
      <c r="W255" s="30">
        <v>194</v>
      </c>
      <c r="X255" s="204">
        <v>111</v>
      </c>
      <c r="Y255" s="29"/>
      <c r="Z255" s="29" t="s">
        <v>27</v>
      </c>
      <c r="AA255" s="30">
        <v>549</v>
      </c>
      <c r="AB255" s="204">
        <v>290</v>
      </c>
      <c r="AC255" s="29"/>
      <c r="AD255" s="29" t="s">
        <v>27</v>
      </c>
      <c r="AE255" s="30">
        <v>49</v>
      </c>
      <c r="AF255" s="204">
        <v>23</v>
      </c>
      <c r="AG255" s="29"/>
      <c r="AH255" s="29" t="s">
        <v>27</v>
      </c>
      <c r="AI255" s="30">
        <v>215</v>
      </c>
      <c r="AJ255" s="204">
        <v>159</v>
      </c>
      <c r="AK255" s="29"/>
      <c r="AL255" s="29" t="s">
        <v>27</v>
      </c>
      <c r="AM255" s="30">
        <v>190</v>
      </c>
      <c r="AN255" s="206">
        <v>77</v>
      </c>
    </row>
    <row r="256" spans="1:40" outlineLevel="1" x14ac:dyDescent="0.25">
      <c r="A256" s="28"/>
      <c r="B256" s="29" t="s">
        <v>28</v>
      </c>
      <c r="C256" s="30">
        <v>164</v>
      </c>
      <c r="D256" s="204">
        <v>137</v>
      </c>
      <c r="E256" s="29"/>
      <c r="F256" s="29" t="s">
        <v>28</v>
      </c>
      <c r="G256" s="30">
        <v>204</v>
      </c>
      <c r="H256" s="204">
        <v>165</v>
      </c>
      <c r="I256" s="29"/>
      <c r="J256" s="29" t="s">
        <v>28</v>
      </c>
      <c r="K256" s="30">
        <v>487</v>
      </c>
      <c r="L256" s="204">
        <v>327</v>
      </c>
      <c r="M256" s="29"/>
      <c r="N256" s="29" t="s">
        <v>28</v>
      </c>
      <c r="O256" s="30">
        <v>64</v>
      </c>
      <c r="P256" s="204">
        <v>55</v>
      </c>
      <c r="Q256" s="29"/>
      <c r="R256" s="29" t="s">
        <v>28</v>
      </c>
      <c r="S256" s="30">
        <v>368</v>
      </c>
      <c r="T256" s="204">
        <v>287</v>
      </c>
      <c r="U256" s="29"/>
      <c r="V256" s="29" t="s">
        <v>28</v>
      </c>
      <c r="W256" s="30">
        <v>199</v>
      </c>
      <c r="X256" s="204">
        <v>116</v>
      </c>
      <c r="Y256" s="29"/>
      <c r="Z256" s="29" t="s">
        <v>28</v>
      </c>
      <c r="AA256" s="30">
        <v>534</v>
      </c>
      <c r="AB256" s="204">
        <v>329</v>
      </c>
      <c r="AC256" s="29"/>
      <c r="AD256" s="29" t="s">
        <v>28</v>
      </c>
      <c r="AE256" s="30">
        <v>39</v>
      </c>
      <c r="AF256" s="204">
        <v>37</v>
      </c>
      <c r="AG256" s="29"/>
      <c r="AH256" s="29" t="s">
        <v>28</v>
      </c>
      <c r="AI256" s="30">
        <v>227</v>
      </c>
      <c r="AJ256" s="204">
        <v>191</v>
      </c>
      <c r="AK256" s="29"/>
      <c r="AL256" s="29" t="s">
        <v>28</v>
      </c>
      <c r="AM256" s="30">
        <v>171</v>
      </c>
      <c r="AN256" s="206">
        <v>97</v>
      </c>
    </row>
    <row r="257" spans="1:40" outlineLevel="1" x14ac:dyDescent="0.25">
      <c r="A257" s="28"/>
      <c r="B257" s="29" t="s">
        <v>29</v>
      </c>
      <c r="C257" s="30">
        <v>174</v>
      </c>
      <c r="D257" s="204">
        <v>119</v>
      </c>
      <c r="E257" s="29"/>
      <c r="F257" s="29" t="s">
        <v>29</v>
      </c>
      <c r="G257" s="30">
        <v>212</v>
      </c>
      <c r="H257" s="204">
        <v>177</v>
      </c>
      <c r="I257" s="29"/>
      <c r="J257" s="29" t="s">
        <v>29</v>
      </c>
      <c r="K257" s="30">
        <v>493</v>
      </c>
      <c r="L257" s="204">
        <v>341</v>
      </c>
      <c r="M257" s="29"/>
      <c r="N257" s="29" t="s">
        <v>29</v>
      </c>
      <c r="O257" s="30">
        <v>67</v>
      </c>
      <c r="P257" s="204">
        <v>51</v>
      </c>
      <c r="Q257" s="29"/>
      <c r="R257" s="29" t="s">
        <v>29</v>
      </c>
      <c r="S257" s="30">
        <v>358</v>
      </c>
      <c r="T257" s="204">
        <v>350</v>
      </c>
      <c r="U257" s="29"/>
      <c r="V257" s="29" t="s">
        <v>29</v>
      </c>
      <c r="W257" s="30">
        <v>164</v>
      </c>
      <c r="X257" s="204">
        <v>139</v>
      </c>
      <c r="Y257" s="29"/>
      <c r="Z257" s="29" t="s">
        <v>29</v>
      </c>
      <c r="AA257" s="30">
        <v>530</v>
      </c>
      <c r="AB257" s="204">
        <v>405</v>
      </c>
      <c r="AC257" s="29"/>
      <c r="AD257" s="29" t="s">
        <v>29</v>
      </c>
      <c r="AE257" s="30">
        <v>33</v>
      </c>
      <c r="AF257" s="204">
        <v>46</v>
      </c>
      <c r="AG257" s="29"/>
      <c r="AH257" s="29" t="s">
        <v>29</v>
      </c>
      <c r="AI257" s="30">
        <v>283</v>
      </c>
      <c r="AJ257" s="204">
        <v>250</v>
      </c>
      <c r="AK257" s="29"/>
      <c r="AL257" s="29" t="s">
        <v>29</v>
      </c>
      <c r="AM257" s="30">
        <v>171</v>
      </c>
      <c r="AN257" s="206">
        <v>131</v>
      </c>
    </row>
    <row r="258" spans="1:40" outlineLevel="1" x14ac:dyDescent="0.25">
      <c r="A258" s="28"/>
      <c r="B258" s="29" t="s">
        <v>31</v>
      </c>
      <c r="C258" s="30">
        <v>152</v>
      </c>
      <c r="D258" s="204">
        <v>142</v>
      </c>
      <c r="E258" s="29"/>
      <c r="F258" s="29" t="s">
        <v>31</v>
      </c>
      <c r="G258" s="30">
        <v>201</v>
      </c>
      <c r="H258" s="204">
        <v>208</v>
      </c>
      <c r="I258" s="29"/>
      <c r="J258" s="29" t="s">
        <v>31</v>
      </c>
      <c r="K258" s="30">
        <v>418</v>
      </c>
      <c r="L258" s="204">
        <v>408</v>
      </c>
      <c r="M258" s="29"/>
      <c r="N258" s="29" t="s">
        <v>31</v>
      </c>
      <c r="O258" s="30">
        <v>64</v>
      </c>
      <c r="P258" s="204">
        <v>57</v>
      </c>
      <c r="Q258" s="29"/>
      <c r="R258" s="29" t="s">
        <v>31</v>
      </c>
      <c r="S258" s="30">
        <v>288</v>
      </c>
      <c r="T258" s="204">
        <v>326</v>
      </c>
      <c r="U258" s="29"/>
      <c r="V258" s="29" t="s">
        <v>31</v>
      </c>
      <c r="W258" s="30">
        <v>160</v>
      </c>
      <c r="X258" s="204">
        <v>181</v>
      </c>
      <c r="Y258" s="29"/>
      <c r="Z258" s="29" t="s">
        <v>31</v>
      </c>
      <c r="AA258" s="30">
        <v>504</v>
      </c>
      <c r="AB258" s="204">
        <v>439</v>
      </c>
      <c r="AC258" s="29"/>
      <c r="AD258" s="29" t="s">
        <v>31</v>
      </c>
      <c r="AE258" s="30">
        <v>29</v>
      </c>
      <c r="AF258" s="204">
        <v>43</v>
      </c>
      <c r="AG258" s="29"/>
      <c r="AH258" s="29" t="s">
        <v>31</v>
      </c>
      <c r="AI258" s="30">
        <v>194</v>
      </c>
      <c r="AJ258" s="204">
        <v>244</v>
      </c>
      <c r="AK258" s="29"/>
      <c r="AL258" s="29" t="s">
        <v>31</v>
      </c>
      <c r="AM258" s="30">
        <v>133</v>
      </c>
      <c r="AN258" s="206">
        <v>131</v>
      </c>
    </row>
    <row r="259" spans="1:40" outlineLevel="1" x14ac:dyDescent="0.25">
      <c r="A259" s="28"/>
      <c r="B259" s="29" t="s">
        <v>33</v>
      </c>
      <c r="C259" s="30">
        <v>169</v>
      </c>
      <c r="D259" s="204">
        <v>150</v>
      </c>
      <c r="E259" s="29"/>
      <c r="F259" s="29" t="s">
        <v>33</v>
      </c>
      <c r="G259" s="30">
        <v>257</v>
      </c>
      <c r="H259" s="204">
        <v>230</v>
      </c>
      <c r="I259" s="29"/>
      <c r="J259" s="29" t="s">
        <v>33</v>
      </c>
      <c r="K259" s="30">
        <v>512</v>
      </c>
      <c r="L259" s="204">
        <v>485</v>
      </c>
      <c r="M259" s="29"/>
      <c r="N259" s="29" t="s">
        <v>33</v>
      </c>
      <c r="O259" s="30">
        <v>104</v>
      </c>
      <c r="P259" s="204">
        <v>69</v>
      </c>
      <c r="Q259" s="29"/>
      <c r="R259" s="29" t="s">
        <v>33</v>
      </c>
      <c r="S259" s="30">
        <v>344</v>
      </c>
      <c r="T259" s="204">
        <v>365</v>
      </c>
      <c r="U259" s="29"/>
      <c r="V259" s="29" t="s">
        <v>33</v>
      </c>
      <c r="W259" s="30">
        <v>198</v>
      </c>
      <c r="X259" s="204">
        <v>151</v>
      </c>
      <c r="Y259" s="29"/>
      <c r="Z259" s="29" t="s">
        <v>33</v>
      </c>
      <c r="AA259" s="30">
        <v>635</v>
      </c>
      <c r="AB259" s="204">
        <v>465</v>
      </c>
      <c r="AC259" s="29"/>
      <c r="AD259" s="29" t="s">
        <v>33</v>
      </c>
      <c r="AE259" s="30">
        <v>44</v>
      </c>
      <c r="AF259" s="204">
        <v>31</v>
      </c>
      <c r="AG259" s="29"/>
      <c r="AH259" s="29" t="s">
        <v>33</v>
      </c>
      <c r="AI259" s="30">
        <v>200</v>
      </c>
      <c r="AJ259" s="204">
        <v>288</v>
      </c>
      <c r="AK259" s="29"/>
      <c r="AL259" s="29" t="s">
        <v>33</v>
      </c>
      <c r="AM259" s="30">
        <v>212</v>
      </c>
      <c r="AN259" s="206">
        <v>143</v>
      </c>
    </row>
    <row r="260" spans="1:40" outlineLevel="1" x14ac:dyDescent="0.25">
      <c r="A260" s="28"/>
      <c r="B260" s="29" t="s">
        <v>35</v>
      </c>
      <c r="C260" s="30">
        <v>240</v>
      </c>
      <c r="D260" s="204">
        <v>154</v>
      </c>
      <c r="E260" s="29"/>
      <c r="F260" s="29" t="s">
        <v>35</v>
      </c>
      <c r="G260" s="30">
        <v>312</v>
      </c>
      <c r="H260" s="204">
        <v>202</v>
      </c>
      <c r="I260" s="29"/>
      <c r="J260" s="29" t="s">
        <v>35</v>
      </c>
      <c r="K260" s="30">
        <v>534</v>
      </c>
      <c r="L260" s="204">
        <v>439</v>
      </c>
      <c r="M260" s="29"/>
      <c r="N260" s="29" t="s">
        <v>35</v>
      </c>
      <c r="O260" s="30">
        <v>138</v>
      </c>
      <c r="P260" s="204">
        <v>53</v>
      </c>
      <c r="Q260" s="29"/>
      <c r="R260" s="29" t="s">
        <v>35</v>
      </c>
      <c r="S260" s="30">
        <v>391</v>
      </c>
      <c r="T260" s="204">
        <v>299</v>
      </c>
      <c r="U260" s="29"/>
      <c r="V260" s="29" t="s">
        <v>35</v>
      </c>
      <c r="W260" s="30">
        <v>241</v>
      </c>
      <c r="X260" s="204">
        <v>150</v>
      </c>
      <c r="Y260" s="29"/>
      <c r="Z260" s="29" t="s">
        <v>35</v>
      </c>
      <c r="AA260" s="30">
        <v>788</v>
      </c>
      <c r="AB260" s="204">
        <v>471</v>
      </c>
      <c r="AC260" s="29"/>
      <c r="AD260" s="29" t="s">
        <v>35</v>
      </c>
      <c r="AE260" s="30">
        <v>62</v>
      </c>
      <c r="AF260" s="204">
        <v>29</v>
      </c>
      <c r="AG260" s="29"/>
      <c r="AH260" s="29" t="s">
        <v>35</v>
      </c>
      <c r="AI260" s="30">
        <v>310</v>
      </c>
      <c r="AJ260" s="204">
        <v>199</v>
      </c>
      <c r="AK260" s="29"/>
      <c r="AL260" s="29" t="s">
        <v>35</v>
      </c>
      <c r="AM260" s="30">
        <v>280</v>
      </c>
      <c r="AN260" s="206">
        <v>114</v>
      </c>
    </row>
    <row r="261" spans="1:40" outlineLevel="1" x14ac:dyDescent="0.25">
      <c r="A261" s="28"/>
      <c r="B261" s="29" t="s">
        <v>37</v>
      </c>
      <c r="C261" s="30">
        <v>226</v>
      </c>
      <c r="D261" s="204">
        <v>169</v>
      </c>
      <c r="E261" s="29"/>
      <c r="F261" s="29" t="s">
        <v>37</v>
      </c>
      <c r="G261" s="30">
        <v>345</v>
      </c>
      <c r="H261" s="204">
        <v>269</v>
      </c>
      <c r="I261" s="29"/>
      <c r="J261" s="29" t="s">
        <v>37</v>
      </c>
      <c r="K261" s="30">
        <v>603</v>
      </c>
      <c r="L261" s="204">
        <v>479</v>
      </c>
      <c r="M261" s="29"/>
      <c r="N261" s="29" t="s">
        <v>37</v>
      </c>
      <c r="O261" s="30">
        <v>135</v>
      </c>
      <c r="P261" s="204">
        <v>92</v>
      </c>
      <c r="Q261" s="29"/>
      <c r="R261" s="29" t="s">
        <v>37</v>
      </c>
      <c r="S261" s="30">
        <v>433</v>
      </c>
      <c r="T261" s="204">
        <v>311</v>
      </c>
      <c r="U261" s="29"/>
      <c r="V261" s="29" t="s">
        <v>37</v>
      </c>
      <c r="W261" s="30">
        <v>298</v>
      </c>
      <c r="X261" s="204">
        <v>166</v>
      </c>
      <c r="Y261" s="29"/>
      <c r="Z261" s="29" t="s">
        <v>37</v>
      </c>
      <c r="AA261" s="30">
        <v>895</v>
      </c>
      <c r="AB261" s="204">
        <v>556</v>
      </c>
      <c r="AC261" s="29"/>
      <c r="AD261" s="29" t="s">
        <v>37</v>
      </c>
      <c r="AE261" s="30">
        <v>74</v>
      </c>
      <c r="AF261" s="204">
        <v>41</v>
      </c>
      <c r="AG261" s="29"/>
      <c r="AH261" s="29" t="s">
        <v>37</v>
      </c>
      <c r="AI261" s="30">
        <v>349</v>
      </c>
      <c r="AJ261" s="204">
        <v>182</v>
      </c>
      <c r="AK261" s="29"/>
      <c r="AL261" s="29" t="s">
        <v>37</v>
      </c>
      <c r="AM261" s="30">
        <v>328</v>
      </c>
      <c r="AN261" s="206">
        <v>187</v>
      </c>
    </row>
    <row r="262" spans="1:40" outlineLevel="1" x14ac:dyDescent="0.25">
      <c r="A262" s="28"/>
      <c r="B262" s="29" t="s">
        <v>39</v>
      </c>
      <c r="C262" s="30">
        <v>195</v>
      </c>
      <c r="D262" s="204">
        <v>198</v>
      </c>
      <c r="E262" s="29"/>
      <c r="F262" s="29" t="s">
        <v>39</v>
      </c>
      <c r="G262" s="30">
        <v>284</v>
      </c>
      <c r="H262" s="204">
        <v>268</v>
      </c>
      <c r="I262" s="29"/>
      <c r="J262" s="29" t="s">
        <v>39</v>
      </c>
      <c r="K262" s="30">
        <v>492</v>
      </c>
      <c r="L262" s="204">
        <v>477</v>
      </c>
      <c r="M262" s="29"/>
      <c r="N262" s="29" t="s">
        <v>39</v>
      </c>
      <c r="O262" s="30">
        <v>124</v>
      </c>
      <c r="P262" s="204">
        <v>116</v>
      </c>
      <c r="Q262" s="29"/>
      <c r="R262" s="29" t="s">
        <v>39</v>
      </c>
      <c r="S262" s="30">
        <v>355</v>
      </c>
      <c r="T262" s="204">
        <v>354</v>
      </c>
      <c r="U262" s="29"/>
      <c r="V262" s="29" t="s">
        <v>39</v>
      </c>
      <c r="W262" s="30">
        <v>232</v>
      </c>
      <c r="X262" s="204">
        <v>202</v>
      </c>
      <c r="Y262" s="29"/>
      <c r="Z262" s="29" t="s">
        <v>39</v>
      </c>
      <c r="AA262" s="30">
        <v>746</v>
      </c>
      <c r="AB262" s="204">
        <v>700</v>
      </c>
      <c r="AC262" s="29"/>
      <c r="AD262" s="29" t="s">
        <v>39</v>
      </c>
      <c r="AE262" s="30">
        <v>64</v>
      </c>
      <c r="AF262" s="204">
        <v>59</v>
      </c>
      <c r="AG262" s="29"/>
      <c r="AH262" s="29" t="s">
        <v>39</v>
      </c>
      <c r="AI262" s="30">
        <v>305</v>
      </c>
      <c r="AJ262" s="204">
        <v>287</v>
      </c>
      <c r="AK262" s="29"/>
      <c r="AL262" s="29" t="s">
        <v>39</v>
      </c>
      <c r="AM262" s="30">
        <v>237</v>
      </c>
      <c r="AN262" s="206">
        <v>254</v>
      </c>
    </row>
    <row r="263" spans="1:40" outlineLevel="1" x14ac:dyDescent="0.25">
      <c r="A263" s="28"/>
      <c r="B263" s="29" t="s">
        <v>41</v>
      </c>
      <c r="C263" s="30">
        <v>147</v>
      </c>
      <c r="D263" s="204">
        <v>209</v>
      </c>
      <c r="E263" s="29"/>
      <c r="F263" s="29" t="s">
        <v>41</v>
      </c>
      <c r="G263" s="30">
        <v>205</v>
      </c>
      <c r="H263" s="204">
        <v>303</v>
      </c>
      <c r="I263" s="29"/>
      <c r="J263" s="29" t="s">
        <v>41</v>
      </c>
      <c r="K263" s="30">
        <v>379</v>
      </c>
      <c r="L263" s="204">
        <v>516</v>
      </c>
      <c r="M263" s="29"/>
      <c r="N263" s="29" t="s">
        <v>41</v>
      </c>
      <c r="O263" s="30">
        <v>72</v>
      </c>
      <c r="P263" s="204">
        <v>128</v>
      </c>
      <c r="Q263" s="29"/>
      <c r="R263" s="29" t="s">
        <v>41</v>
      </c>
      <c r="S263" s="30">
        <v>242</v>
      </c>
      <c r="T263" s="204">
        <v>358</v>
      </c>
      <c r="U263" s="29"/>
      <c r="V263" s="29" t="s">
        <v>41</v>
      </c>
      <c r="W263" s="30">
        <v>186</v>
      </c>
      <c r="X263" s="204">
        <v>256</v>
      </c>
      <c r="Y263" s="29"/>
      <c r="Z263" s="29" t="s">
        <v>41</v>
      </c>
      <c r="AA263" s="30">
        <v>574</v>
      </c>
      <c r="AB263" s="204">
        <v>742</v>
      </c>
      <c r="AC263" s="29"/>
      <c r="AD263" s="29" t="s">
        <v>41</v>
      </c>
      <c r="AE263" s="30">
        <v>48</v>
      </c>
      <c r="AF263" s="204">
        <v>60</v>
      </c>
      <c r="AG263" s="29"/>
      <c r="AH263" s="29" t="s">
        <v>41</v>
      </c>
      <c r="AI263" s="30">
        <v>248</v>
      </c>
      <c r="AJ263" s="204">
        <v>283</v>
      </c>
      <c r="AK263" s="29"/>
      <c r="AL263" s="29" t="s">
        <v>41</v>
      </c>
      <c r="AM263" s="30">
        <v>157</v>
      </c>
      <c r="AN263" s="206">
        <v>286</v>
      </c>
    </row>
    <row r="264" spans="1:40" outlineLevel="1" x14ac:dyDescent="0.25">
      <c r="A264" s="28"/>
      <c r="B264" s="29" t="s">
        <v>43</v>
      </c>
      <c r="C264" s="30">
        <v>101</v>
      </c>
      <c r="D264" s="204">
        <v>169</v>
      </c>
      <c r="E264" s="29"/>
      <c r="F264" s="29" t="s">
        <v>43</v>
      </c>
      <c r="G264" s="30">
        <v>187</v>
      </c>
      <c r="H264" s="204">
        <v>251</v>
      </c>
      <c r="I264" s="29"/>
      <c r="J264" s="29" t="s">
        <v>43</v>
      </c>
      <c r="K264" s="30">
        <v>256</v>
      </c>
      <c r="L264" s="204">
        <v>426</v>
      </c>
      <c r="M264" s="29"/>
      <c r="N264" s="29" t="s">
        <v>43</v>
      </c>
      <c r="O264" s="30">
        <v>83</v>
      </c>
      <c r="P264" s="204">
        <v>111</v>
      </c>
      <c r="Q264" s="29"/>
      <c r="R264" s="29" t="s">
        <v>43</v>
      </c>
      <c r="S264" s="30">
        <v>179</v>
      </c>
      <c r="T264" s="204">
        <v>305</v>
      </c>
      <c r="U264" s="29"/>
      <c r="V264" s="29" t="s">
        <v>43</v>
      </c>
      <c r="W264" s="30">
        <v>140</v>
      </c>
      <c r="X264" s="204">
        <v>231</v>
      </c>
      <c r="Y264" s="29"/>
      <c r="Z264" s="29" t="s">
        <v>43</v>
      </c>
      <c r="AA264" s="30">
        <v>441</v>
      </c>
      <c r="AB264" s="204">
        <v>652</v>
      </c>
      <c r="AC264" s="29"/>
      <c r="AD264" s="29" t="s">
        <v>43</v>
      </c>
      <c r="AE264" s="30">
        <v>49</v>
      </c>
      <c r="AF264" s="204">
        <v>63</v>
      </c>
      <c r="AG264" s="29"/>
      <c r="AH264" s="29" t="s">
        <v>43</v>
      </c>
      <c r="AI264" s="30">
        <v>188</v>
      </c>
      <c r="AJ264" s="204">
        <v>312</v>
      </c>
      <c r="AK264" s="29"/>
      <c r="AL264" s="29" t="s">
        <v>43</v>
      </c>
      <c r="AM264" s="30">
        <v>161</v>
      </c>
      <c r="AN264" s="206">
        <v>233</v>
      </c>
    </row>
    <row r="265" spans="1:40" outlineLevel="1" x14ac:dyDescent="0.25">
      <c r="A265" s="28"/>
      <c r="B265" s="29" t="s">
        <v>45</v>
      </c>
      <c r="C265" s="30">
        <v>82</v>
      </c>
      <c r="D265" s="204">
        <v>86</v>
      </c>
      <c r="E265" s="29"/>
      <c r="F265" s="29" t="s">
        <v>45</v>
      </c>
      <c r="G265" s="30">
        <v>130</v>
      </c>
      <c r="H265" s="204">
        <v>125</v>
      </c>
      <c r="I265" s="29"/>
      <c r="J265" s="29" t="s">
        <v>45</v>
      </c>
      <c r="K265" s="30">
        <v>234</v>
      </c>
      <c r="L265" s="204">
        <v>236</v>
      </c>
      <c r="M265" s="29"/>
      <c r="N265" s="29" t="s">
        <v>45</v>
      </c>
      <c r="O265" s="30">
        <v>84</v>
      </c>
      <c r="P265" s="204">
        <v>55</v>
      </c>
      <c r="Q265" s="29"/>
      <c r="R265" s="29" t="s">
        <v>45</v>
      </c>
      <c r="S265" s="30">
        <v>135</v>
      </c>
      <c r="T265" s="204">
        <v>190</v>
      </c>
      <c r="U265" s="29"/>
      <c r="V265" s="29" t="s">
        <v>45</v>
      </c>
      <c r="W265" s="30">
        <v>115</v>
      </c>
      <c r="X265" s="204">
        <v>132</v>
      </c>
      <c r="Y265" s="29"/>
      <c r="Z265" s="29" t="s">
        <v>45</v>
      </c>
      <c r="AA265" s="30">
        <v>350</v>
      </c>
      <c r="AB265" s="204">
        <v>361</v>
      </c>
      <c r="AC265" s="29"/>
      <c r="AD265" s="29" t="s">
        <v>45</v>
      </c>
      <c r="AE265" s="30">
        <v>39</v>
      </c>
      <c r="AF265" s="204">
        <v>22</v>
      </c>
      <c r="AG265" s="29"/>
      <c r="AH265" s="29" t="s">
        <v>45</v>
      </c>
      <c r="AI265" s="30">
        <v>154</v>
      </c>
      <c r="AJ265" s="204">
        <v>159</v>
      </c>
      <c r="AK265" s="29"/>
      <c r="AL265" s="29" t="s">
        <v>45</v>
      </c>
      <c r="AM265" s="30">
        <v>153</v>
      </c>
      <c r="AN265" s="206">
        <v>96</v>
      </c>
    </row>
    <row r="266" spans="1:40" outlineLevel="1" x14ac:dyDescent="0.25">
      <c r="A266" s="28"/>
      <c r="B266" s="29" t="s">
        <v>47</v>
      </c>
      <c r="C266" s="30">
        <v>32</v>
      </c>
      <c r="D266" s="204">
        <v>49</v>
      </c>
      <c r="E266" s="29"/>
      <c r="F266" s="29" t="s">
        <v>47</v>
      </c>
      <c r="G266" s="30">
        <v>78</v>
      </c>
      <c r="H266" s="204">
        <v>85</v>
      </c>
      <c r="I266" s="29"/>
      <c r="J266" s="29" t="s">
        <v>47</v>
      </c>
      <c r="K266" s="30">
        <v>119</v>
      </c>
      <c r="L266" s="204">
        <v>150</v>
      </c>
      <c r="M266" s="29"/>
      <c r="N266" s="29" t="s">
        <v>47</v>
      </c>
      <c r="O266" s="30">
        <v>54</v>
      </c>
      <c r="P266" s="204">
        <v>45</v>
      </c>
      <c r="Q266" s="29"/>
      <c r="R266" s="29" t="s">
        <v>47</v>
      </c>
      <c r="S266" s="30">
        <v>82</v>
      </c>
      <c r="T266" s="204">
        <v>86</v>
      </c>
      <c r="U266" s="29"/>
      <c r="V266" s="29" t="s">
        <v>47</v>
      </c>
      <c r="W266" s="30">
        <v>74</v>
      </c>
      <c r="X266" s="204">
        <v>70</v>
      </c>
      <c r="Y266" s="29"/>
      <c r="Z266" s="29" t="s">
        <v>47</v>
      </c>
      <c r="AA266" s="30">
        <v>206</v>
      </c>
      <c r="AB266" s="204">
        <v>233</v>
      </c>
      <c r="AC266" s="29"/>
      <c r="AD266" s="29" t="s">
        <v>47</v>
      </c>
      <c r="AE266" s="30">
        <v>24</v>
      </c>
      <c r="AF266" s="204">
        <v>21</v>
      </c>
      <c r="AG266" s="29"/>
      <c r="AH266" s="29" t="s">
        <v>47</v>
      </c>
      <c r="AI266" s="30">
        <v>109</v>
      </c>
      <c r="AJ266" s="204">
        <v>108</v>
      </c>
      <c r="AK266" s="29"/>
      <c r="AL266" s="29" t="s">
        <v>47</v>
      </c>
      <c r="AM266" s="30">
        <v>81</v>
      </c>
      <c r="AN266" s="206">
        <v>74</v>
      </c>
    </row>
    <row r="267" spans="1:40" outlineLevel="1" x14ac:dyDescent="0.25">
      <c r="A267" s="28"/>
      <c r="B267" s="29" t="s">
        <v>49</v>
      </c>
      <c r="C267" s="30">
        <v>11</v>
      </c>
      <c r="D267" s="204">
        <v>22</v>
      </c>
      <c r="E267" s="29"/>
      <c r="F267" s="29" t="s">
        <v>49</v>
      </c>
      <c r="G267" s="30">
        <v>22</v>
      </c>
      <c r="H267" s="204">
        <v>46</v>
      </c>
      <c r="I267" s="29"/>
      <c r="J267" s="29" t="s">
        <v>49</v>
      </c>
      <c r="K267" s="30">
        <v>40</v>
      </c>
      <c r="L267" s="204">
        <v>64</v>
      </c>
      <c r="M267" s="29"/>
      <c r="N267" s="29" t="s">
        <v>49</v>
      </c>
      <c r="O267" s="30">
        <v>14</v>
      </c>
      <c r="P267" s="204">
        <v>22</v>
      </c>
      <c r="Q267" s="29"/>
      <c r="R267" s="29" t="s">
        <v>49</v>
      </c>
      <c r="S267" s="30">
        <v>25</v>
      </c>
      <c r="T267" s="204">
        <v>39</v>
      </c>
      <c r="U267" s="29"/>
      <c r="V267" s="29" t="s">
        <v>49</v>
      </c>
      <c r="W267" s="30">
        <v>24</v>
      </c>
      <c r="X267" s="204">
        <v>43</v>
      </c>
      <c r="Y267" s="29"/>
      <c r="Z267" s="29" t="s">
        <v>49</v>
      </c>
      <c r="AA267" s="30">
        <v>62</v>
      </c>
      <c r="AB267" s="204">
        <v>100</v>
      </c>
      <c r="AC267" s="29"/>
      <c r="AD267" s="29" t="s">
        <v>49</v>
      </c>
      <c r="AE267" s="30">
        <v>11</v>
      </c>
      <c r="AF267" s="204">
        <v>15</v>
      </c>
      <c r="AG267" s="29"/>
      <c r="AH267" s="29" t="s">
        <v>49</v>
      </c>
      <c r="AI267" s="30">
        <v>31</v>
      </c>
      <c r="AJ267" s="204">
        <v>48</v>
      </c>
      <c r="AK267" s="29"/>
      <c r="AL267" s="29" t="s">
        <v>49</v>
      </c>
      <c r="AM267" s="30">
        <v>26</v>
      </c>
      <c r="AN267" s="206">
        <v>43</v>
      </c>
    </row>
    <row r="268" spans="1:40" outlineLevel="1" x14ac:dyDescent="0.25">
      <c r="A268" s="28"/>
      <c r="B268" s="29" t="s">
        <v>51</v>
      </c>
      <c r="C268" s="30">
        <v>2</v>
      </c>
      <c r="D268" s="204">
        <v>1</v>
      </c>
      <c r="E268" s="29"/>
      <c r="F268" s="29" t="s">
        <v>51</v>
      </c>
      <c r="G268" s="30">
        <v>2</v>
      </c>
      <c r="H268" s="204">
        <v>8</v>
      </c>
      <c r="I268" s="29"/>
      <c r="J268" s="29" t="s">
        <v>51</v>
      </c>
      <c r="K268" s="30">
        <v>6</v>
      </c>
      <c r="L268" s="204">
        <v>15</v>
      </c>
      <c r="M268" s="29"/>
      <c r="N268" s="29" t="s">
        <v>51</v>
      </c>
      <c r="O268" s="30">
        <v>6</v>
      </c>
      <c r="P268" s="204">
        <v>7</v>
      </c>
      <c r="Q268" s="29"/>
      <c r="R268" s="29" t="s">
        <v>51</v>
      </c>
      <c r="S268" s="30">
        <v>2</v>
      </c>
      <c r="T268" s="204">
        <v>11</v>
      </c>
      <c r="U268" s="29"/>
      <c r="V268" s="29" t="s">
        <v>51</v>
      </c>
      <c r="W268" s="30">
        <v>6</v>
      </c>
      <c r="X268" s="204">
        <v>5</v>
      </c>
      <c r="Y268" s="29"/>
      <c r="Z268" s="29" t="s">
        <v>51</v>
      </c>
      <c r="AA268" s="30">
        <v>12</v>
      </c>
      <c r="AB268" s="204">
        <v>25</v>
      </c>
      <c r="AC268" s="29"/>
      <c r="AD268" s="29" t="s">
        <v>51</v>
      </c>
      <c r="AE268" s="30">
        <v>2</v>
      </c>
      <c r="AF268" s="204">
        <v>3</v>
      </c>
      <c r="AG268" s="29"/>
      <c r="AH268" s="29" t="s">
        <v>51</v>
      </c>
      <c r="AI268" s="30">
        <v>6</v>
      </c>
      <c r="AJ268" s="204">
        <v>12</v>
      </c>
      <c r="AK268" s="29"/>
      <c r="AL268" s="29" t="s">
        <v>51</v>
      </c>
      <c r="AM268" s="30">
        <v>5</v>
      </c>
      <c r="AN268" s="206">
        <v>7</v>
      </c>
    </row>
    <row r="269" spans="1:40" outlineLevel="1" x14ac:dyDescent="0.25">
      <c r="A269" s="28"/>
      <c r="B269" s="29" t="s">
        <v>53</v>
      </c>
      <c r="C269" s="30">
        <v>0</v>
      </c>
      <c r="D269" s="204">
        <v>0</v>
      </c>
      <c r="E269" s="29"/>
      <c r="F269" s="29" t="s">
        <v>53</v>
      </c>
      <c r="G269" s="30">
        <v>0</v>
      </c>
      <c r="H269" s="204">
        <v>2</v>
      </c>
      <c r="I269" s="29"/>
      <c r="J269" s="29" t="s">
        <v>53</v>
      </c>
      <c r="K269" s="30">
        <v>0</v>
      </c>
      <c r="L269" s="204">
        <v>2</v>
      </c>
      <c r="M269" s="29"/>
      <c r="N269" s="29" t="s">
        <v>53</v>
      </c>
      <c r="O269" s="30">
        <v>0</v>
      </c>
      <c r="P269" s="204">
        <v>2</v>
      </c>
      <c r="Q269" s="29"/>
      <c r="R269" s="29" t="s">
        <v>53</v>
      </c>
      <c r="S269" s="30">
        <v>2</v>
      </c>
      <c r="T269" s="204">
        <v>1</v>
      </c>
      <c r="U269" s="29"/>
      <c r="V269" s="29" t="s">
        <v>53</v>
      </c>
      <c r="W269" s="30">
        <v>0</v>
      </c>
      <c r="X269" s="204">
        <v>0</v>
      </c>
      <c r="Y269" s="29"/>
      <c r="Z269" s="29" t="s">
        <v>53</v>
      </c>
      <c r="AA269" s="30">
        <v>1</v>
      </c>
      <c r="AB269" s="204">
        <v>5</v>
      </c>
      <c r="AC269" s="29"/>
      <c r="AD269" s="29" t="s">
        <v>53</v>
      </c>
      <c r="AE269" s="30">
        <v>1</v>
      </c>
      <c r="AF269" s="204">
        <v>1</v>
      </c>
      <c r="AG269" s="29"/>
      <c r="AH269" s="29" t="s">
        <v>53</v>
      </c>
      <c r="AI269" s="30">
        <v>1</v>
      </c>
      <c r="AJ269" s="204">
        <v>0</v>
      </c>
      <c r="AK269" s="29"/>
      <c r="AL269" s="29" t="s">
        <v>53</v>
      </c>
      <c r="AM269" s="30">
        <v>2</v>
      </c>
      <c r="AN269" s="206">
        <v>1</v>
      </c>
    </row>
    <row r="270" spans="1:40" customFormat="1" outlineLevel="1" x14ac:dyDescent="0.25">
      <c r="A270" s="212"/>
      <c r="B270" s="166"/>
      <c r="C270" s="166" t="s">
        <v>55</v>
      </c>
      <c r="D270" s="166"/>
      <c r="E270" s="166"/>
      <c r="F270" s="166"/>
      <c r="G270" s="166" t="s">
        <v>55</v>
      </c>
      <c r="H270" s="166"/>
      <c r="I270" s="166"/>
      <c r="J270" s="166"/>
      <c r="K270" s="166" t="s">
        <v>55</v>
      </c>
      <c r="L270" s="166"/>
      <c r="M270" s="166"/>
      <c r="N270" s="166"/>
      <c r="O270" s="166" t="s">
        <v>55</v>
      </c>
      <c r="P270" s="166"/>
      <c r="Q270" s="166"/>
      <c r="R270" s="166"/>
      <c r="S270" s="166" t="s">
        <v>55</v>
      </c>
      <c r="T270" s="166"/>
      <c r="U270" s="166"/>
      <c r="V270" s="166"/>
      <c r="W270" s="166" t="s">
        <v>55</v>
      </c>
      <c r="X270" s="166"/>
      <c r="Y270" s="166"/>
      <c r="Z270" s="166"/>
      <c r="AA270" s="166" t="s">
        <v>55</v>
      </c>
      <c r="AB270" s="166"/>
      <c r="AC270" s="166"/>
      <c r="AD270" s="166"/>
      <c r="AE270" s="166" t="s">
        <v>55</v>
      </c>
      <c r="AF270" s="166"/>
      <c r="AG270" s="166"/>
      <c r="AH270" s="166"/>
      <c r="AI270" s="166" t="s">
        <v>55</v>
      </c>
      <c r="AJ270" s="166"/>
      <c r="AK270" s="172"/>
      <c r="AL270" s="172"/>
      <c r="AM270" s="166" t="s">
        <v>55</v>
      </c>
      <c r="AN270" s="207"/>
    </row>
    <row r="271" spans="1:40" outlineLevel="1" x14ac:dyDescent="0.25">
      <c r="A271" s="42"/>
      <c r="B271" s="29" t="s">
        <v>18</v>
      </c>
      <c r="C271" s="30">
        <v>2562</v>
      </c>
      <c r="D271" s="204">
        <v>2113</v>
      </c>
      <c r="E271" s="30"/>
      <c r="F271" s="29" t="s">
        <v>18</v>
      </c>
      <c r="G271" s="30">
        <v>3833</v>
      </c>
      <c r="H271" s="204">
        <v>3017</v>
      </c>
      <c r="I271" s="30"/>
      <c r="J271" s="29" t="s">
        <v>18</v>
      </c>
      <c r="K271" s="30">
        <v>7058</v>
      </c>
      <c r="L271" s="204">
        <v>5272</v>
      </c>
      <c r="M271" s="30"/>
      <c r="N271" s="29" t="s">
        <v>18</v>
      </c>
      <c r="O271" s="30">
        <v>1354</v>
      </c>
      <c r="P271" s="204">
        <v>1081</v>
      </c>
      <c r="Q271" s="30"/>
      <c r="R271" s="29" t="s">
        <v>18</v>
      </c>
      <c r="S271" s="30">
        <v>5551</v>
      </c>
      <c r="T271" s="204">
        <v>4855</v>
      </c>
      <c r="U271" s="30"/>
      <c r="V271" s="29" t="s">
        <v>18</v>
      </c>
      <c r="W271" s="30">
        <v>3268</v>
      </c>
      <c r="X271" s="204">
        <v>2601</v>
      </c>
      <c r="Y271" s="30"/>
      <c r="Z271" s="29" t="s">
        <v>18</v>
      </c>
      <c r="AA271" s="30">
        <v>9784</v>
      </c>
      <c r="AB271" s="204">
        <v>7094</v>
      </c>
      <c r="AC271" s="30"/>
      <c r="AD271" s="29" t="s">
        <v>18</v>
      </c>
      <c r="AE271" s="30">
        <v>717</v>
      </c>
      <c r="AF271" s="204">
        <v>585</v>
      </c>
      <c r="AG271" s="30"/>
      <c r="AH271" s="29" t="s">
        <v>18</v>
      </c>
      <c r="AI271" s="30">
        <v>4007</v>
      </c>
      <c r="AJ271" s="204">
        <v>3664</v>
      </c>
      <c r="AK271" s="29"/>
      <c r="AL271" s="29" t="s">
        <v>18</v>
      </c>
      <c r="AM271" s="30">
        <v>3183</v>
      </c>
      <c r="AN271" s="206">
        <v>2131</v>
      </c>
    </row>
    <row r="272" spans="1:40" outlineLevel="1" x14ac:dyDescent="0.25">
      <c r="A272" s="42"/>
      <c r="B272" s="29" t="s">
        <v>20</v>
      </c>
      <c r="C272" s="30">
        <v>81</v>
      </c>
      <c r="D272" s="204">
        <v>56</v>
      </c>
      <c r="E272" s="30"/>
      <c r="F272" s="29" t="s">
        <v>20</v>
      </c>
      <c r="G272" s="30">
        <v>138</v>
      </c>
      <c r="H272" s="204">
        <v>62</v>
      </c>
      <c r="I272" s="30"/>
      <c r="J272" s="29" t="s">
        <v>20</v>
      </c>
      <c r="K272" s="30">
        <v>283</v>
      </c>
      <c r="L272" s="204">
        <v>82</v>
      </c>
      <c r="M272" s="30"/>
      <c r="N272" s="29" t="s">
        <v>20</v>
      </c>
      <c r="O272" s="30">
        <v>31</v>
      </c>
      <c r="P272" s="204">
        <v>15</v>
      </c>
      <c r="Q272" s="30"/>
      <c r="R272" s="29" t="s">
        <v>20</v>
      </c>
      <c r="S272" s="30">
        <v>256</v>
      </c>
      <c r="T272" s="204">
        <v>107</v>
      </c>
      <c r="U272" s="30"/>
      <c r="V272" s="29" t="s">
        <v>20</v>
      </c>
      <c r="W272" s="30">
        <v>90</v>
      </c>
      <c r="X272" s="204">
        <v>41</v>
      </c>
      <c r="Y272" s="30"/>
      <c r="Z272" s="29" t="s">
        <v>20</v>
      </c>
      <c r="AA272" s="30">
        <v>306</v>
      </c>
      <c r="AB272" s="204">
        <v>105</v>
      </c>
      <c r="AC272" s="30"/>
      <c r="AD272" s="29" t="s">
        <v>20</v>
      </c>
      <c r="AE272" s="30">
        <v>25</v>
      </c>
      <c r="AF272" s="204">
        <v>11</v>
      </c>
      <c r="AG272" s="30"/>
      <c r="AH272" s="29" t="s">
        <v>20</v>
      </c>
      <c r="AI272" s="30">
        <v>137</v>
      </c>
      <c r="AJ272" s="204">
        <v>100</v>
      </c>
      <c r="AK272" s="29"/>
      <c r="AL272" s="29" t="s">
        <v>20</v>
      </c>
      <c r="AM272" s="30">
        <v>131</v>
      </c>
      <c r="AN272" s="206">
        <v>15</v>
      </c>
    </row>
    <row r="273" spans="1:40" outlineLevel="1" x14ac:dyDescent="0.25">
      <c r="A273" s="42"/>
      <c r="B273" s="29" t="s">
        <v>22</v>
      </c>
      <c r="C273" s="30">
        <v>91</v>
      </c>
      <c r="D273" s="204">
        <v>52</v>
      </c>
      <c r="E273" s="30"/>
      <c r="F273" s="29" t="s">
        <v>22</v>
      </c>
      <c r="G273" s="30">
        <v>128</v>
      </c>
      <c r="H273" s="204">
        <v>97</v>
      </c>
      <c r="I273" s="30"/>
      <c r="J273" s="29" t="s">
        <v>22</v>
      </c>
      <c r="K273" s="30">
        <v>260</v>
      </c>
      <c r="L273" s="204">
        <v>156</v>
      </c>
      <c r="M273" s="30"/>
      <c r="N273" s="29" t="s">
        <v>22</v>
      </c>
      <c r="O273" s="30">
        <v>29</v>
      </c>
      <c r="P273" s="204">
        <v>19</v>
      </c>
      <c r="Q273" s="30"/>
      <c r="R273" s="29" t="s">
        <v>22</v>
      </c>
      <c r="S273" s="30">
        <v>299</v>
      </c>
      <c r="T273" s="204">
        <v>181</v>
      </c>
      <c r="U273" s="30"/>
      <c r="V273" s="29" t="s">
        <v>22</v>
      </c>
      <c r="W273" s="30">
        <v>131</v>
      </c>
      <c r="X273" s="204">
        <v>89</v>
      </c>
      <c r="Y273" s="30"/>
      <c r="Z273" s="29" t="s">
        <v>22</v>
      </c>
      <c r="AA273" s="30">
        <v>355</v>
      </c>
      <c r="AB273" s="204">
        <v>151</v>
      </c>
      <c r="AC273" s="30"/>
      <c r="AD273" s="29" t="s">
        <v>22</v>
      </c>
      <c r="AE273" s="30">
        <v>19</v>
      </c>
      <c r="AF273" s="204">
        <v>19</v>
      </c>
      <c r="AG273" s="30"/>
      <c r="AH273" s="29" t="s">
        <v>22</v>
      </c>
      <c r="AI273" s="30">
        <v>152</v>
      </c>
      <c r="AJ273" s="204">
        <v>135</v>
      </c>
      <c r="AK273" s="29"/>
      <c r="AL273" s="29" t="s">
        <v>22</v>
      </c>
      <c r="AM273" s="30">
        <v>95</v>
      </c>
      <c r="AN273" s="206">
        <v>55</v>
      </c>
    </row>
    <row r="274" spans="1:40" outlineLevel="1" x14ac:dyDescent="0.25">
      <c r="A274" s="42"/>
      <c r="B274" s="29" t="s">
        <v>23</v>
      </c>
      <c r="C274" s="30">
        <v>103</v>
      </c>
      <c r="D274" s="204">
        <v>85</v>
      </c>
      <c r="E274" s="30"/>
      <c r="F274" s="29" t="s">
        <v>23</v>
      </c>
      <c r="G274" s="30">
        <v>163</v>
      </c>
      <c r="H274" s="204">
        <v>122</v>
      </c>
      <c r="I274" s="30"/>
      <c r="J274" s="29" t="s">
        <v>23</v>
      </c>
      <c r="K274" s="30">
        <v>324</v>
      </c>
      <c r="L274" s="204">
        <v>187</v>
      </c>
      <c r="M274" s="30"/>
      <c r="N274" s="29" t="s">
        <v>23</v>
      </c>
      <c r="O274" s="30">
        <v>36</v>
      </c>
      <c r="P274" s="204">
        <v>27</v>
      </c>
      <c r="Q274" s="30"/>
      <c r="R274" s="29" t="s">
        <v>23</v>
      </c>
      <c r="S274" s="30">
        <v>302</v>
      </c>
      <c r="T274" s="204">
        <v>219</v>
      </c>
      <c r="U274" s="30"/>
      <c r="V274" s="29" t="s">
        <v>23</v>
      </c>
      <c r="W274" s="30">
        <v>120</v>
      </c>
      <c r="X274" s="204">
        <v>72</v>
      </c>
      <c r="Y274" s="30"/>
      <c r="Z274" s="29" t="s">
        <v>23</v>
      </c>
      <c r="AA274" s="30">
        <v>402</v>
      </c>
      <c r="AB274" s="204">
        <v>183</v>
      </c>
      <c r="AC274" s="30"/>
      <c r="AD274" s="29" t="s">
        <v>23</v>
      </c>
      <c r="AE274" s="30">
        <v>25</v>
      </c>
      <c r="AF274" s="204">
        <v>26</v>
      </c>
      <c r="AG274" s="30"/>
      <c r="AH274" s="29" t="s">
        <v>23</v>
      </c>
      <c r="AI274" s="30">
        <v>181</v>
      </c>
      <c r="AJ274" s="204">
        <v>156</v>
      </c>
      <c r="AK274" s="29"/>
      <c r="AL274" s="29" t="s">
        <v>23</v>
      </c>
      <c r="AM274" s="30">
        <v>152</v>
      </c>
      <c r="AN274" s="206">
        <v>84</v>
      </c>
    </row>
    <row r="275" spans="1:40" outlineLevel="1" x14ac:dyDescent="0.25">
      <c r="A275" s="42"/>
      <c r="B275" s="29" t="s">
        <v>24</v>
      </c>
      <c r="C275" s="30">
        <v>151</v>
      </c>
      <c r="D275" s="204">
        <v>136</v>
      </c>
      <c r="E275" s="30"/>
      <c r="F275" s="29" t="s">
        <v>24</v>
      </c>
      <c r="G275" s="30">
        <v>185</v>
      </c>
      <c r="H275" s="204">
        <v>118</v>
      </c>
      <c r="I275" s="30"/>
      <c r="J275" s="29" t="s">
        <v>24</v>
      </c>
      <c r="K275" s="30">
        <v>369</v>
      </c>
      <c r="L275" s="204">
        <v>169</v>
      </c>
      <c r="M275" s="30"/>
      <c r="N275" s="29" t="s">
        <v>24</v>
      </c>
      <c r="O275" s="30">
        <v>34</v>
      </c>
      <c r="P275" s="204">
        <v>30</v>
      </c>
      <c r="Q275" s="30"/>
      <c r="R275" s="29" t="s">
        <v>24</v>
      </c>
      <c r="S275" s="30">
        <v>304</v>
      </c>
      <c r="T275" s="204">
        <v>249</v>
      </c>
      <c r="U275" s="30"/>
      <c r="V275" s="29" t="s">
        <v>24</v>
      </c>
      <c r="W275" s="30">
        <v>159</v>
      </c>
      <c r="X275" s="204">
        <v>96</v>
      </c>
      <c r="Y275" s="30"/>
      <c r="Z275" s="29" t="s">
        <v>24</v>
      </c>
      <c r="AA275" s="30">
        <v>454</v>
      </c>
      <c r="AB275" s="204">
        <v>230</v>
      </c>
      <c r="AC275" s="30"/>
      <c r="AD275" s="29" t="s">
        <v>24</v>
      </c>
      <c r="AE275" s="30">
        <v>25</v>
      </c>
      <c r="AF275" s="204">
        <v>20</v>
      </c>
      <c r="AG275" s="30"/>
      <c r="AH275" s="29" t="s">
        <v>24</v>
      </c>
      <c r="AI275" s="30">
        <v>177</v>
      </c>
      <c r="AJ275" s="204">
        <v>149</v>
      </c>
      <c r="AK275" s="29"/>
      <c r="AL275" s="29" t="s">
        <v>24</v>
      </c>
      <c r="AM275" s="30">
        <v>152</v>
      </c>
      <c r="AN275" s="206">
        <v>59</v>
      </c>
    </row>
    <row r="276" spans="1:40" outlineLevel="1" x14ac:dyDescent="0.25">
      <c r="A276" s="42"/>
      <c r="B276" s="29" t="s">
        <v>25</v>
      </c>
      <c r="C276" s="30">
        <v>124</v>
      </c>
      <c r="D276" s="204">
        <v>77</v>
      </c>
      <c r="E276" s="30"/>
      <c r="F276" s="29" t="s">
        <v>25</v>
      </c>
      <c r="G276" s="30">
        <v>187</v>
      </c>
      <c r="H276" s="204">
        <v>109</v>
      </c>
      <c r="I276" s="30"/>
      <c r="J276" s="29" t="s">
        <v>25</v>
      </c>
      <c r="K276" s="30">
        <v>366</v>
      </c>
      <c r="L276" s="204">
        <v>202</v>
      </c>
      <c r="M276" s="30"/>
      <c r="N276" s="29" t="s">
        <v>25</v>
      </c>
      <c r="O276" s="30">
        <v>56</v>
      </c>
      <c r="P276" s="204">
        <v>31</v>
      </c>
      <c r="Q276" s="30"/>
      <c r="R276" s="29" t="s">
        <v>25</v>
      </c>
      <c r="S276" s="30">
        <v>252</v>
      </c>
      <c r="T276" s="204">
        <v>227</v>
      </c>
      <c r="U276" s="30"/>
      <c r="V276" s="29" t="s">
        <v>25</v>
      </c>
      <c r="W276" s="30">
        <v>138</v>
      </c>
      <c r="X276" s="204">
        <v>86</v>
      </c>
      <c r="Y276" s="30"/>
      <c r="Z276" s="29" t="s">
        <v>25</v>
      </c>
      <c r="AA276" s="30">
        <v>465</v>
      </c>
      <c r="AB276" s="204">
        <v>217</v>
      </c>
      <c r="AC276" s="30"/>
      <c r="AD276" s="29" t="s">
        <v>25</v>
      </c>
      <c r="AE276" s="30">
        <v>34</v>
      </c>
      <c r="AF276" s="204">
        <v>23</v>
      </c>
      <c r="AG276" s="30"/>
      <c r="AH276" s="29" t="s">
        <v>25</v>
      </c>
      <c r="AI276" s="30">
        <v>144</v>
      </c>
      <c r="AJ276" s="204">
        <v>154</v>
      </c>
      <c r="AK276" s="29"/>
      <c r="AL276" s="29" t="s">
        <v>25</v>
      </c>
      <c r="AM276" s="30">
        <v>169</v>
      </c>
      <c r="AN276" s="206">
        <v>75</v>
      </c>
    </row>
    <row r="277" spans="1:40" outlineLevel="1" x14ac:dyDescent="0.25">
      <c r="A277" s="42"/>
      <c r="B277" s="29" t="s">
        <v>26</v>
      </c>
      <c r="C277" s="30">
        <v>111</v>
      </c>
      <c r="D277" s="204">
        <v>85</v>
      </c>
      <c r="E277" s="30"/>
      <c r="F277" s="29" t="s">
        <v>26</v>
      </c>
      <c r="G277" s="30">
        <v>186</v>
      </c>
      <c r="H277" s="204">
        <v>124</v>
      </c>
      <c r="I277" s="30"/>
      <c r="J277" s="29" t="s">
        <v>26</v>
      </c>
      <c r="K277" s="30">
        <v>309</v>
      </c>
      <c r="L277" s="204">
        <v>205</v>
      </c>
      <c r="M277" s="30"/>
      <c r="N277" s="29" t="s">
        <v>26</v>
      </c>
      <c r="O277" s="30">
        <v>51</v>
      </c>
      <c r="P277" s="204">
        <v>19</v>
      </c>
      <c r="Q277" s="30"/>
      <c r="R277" s="29" t="s">
        <v>26</v>
      </c>
      <c r="S277" s="30">
        <v>325</v>
      </c>
      <c r="T277" s="204">
        <v>223</v>
      </c>
      <c r="U277" s="30"/>
      <c r="V277" s="29" t="s">
        <v>26</v>
      </c>
      <c r="W277" s="30">
        <v>136</v>
      </c>
      <c r="X277" s="204">
        <v>84</v>
      </c>
      <c r="Y277" s="30"/>
      <c r="Z277" s="29" t="s">
        <v>26</v>
      </c>
      <c r="AA277" s="30">
        <v>418</v>
      </c>
      <c r="AB277" s="204">
        <v>249</v>
      </c>
      <c r="AC277" s="30"/>
      <c r="AD277" s="29" t="s">
        <v>26</v>
      </c>
      <c r="AE277" s="30">
        <v>35</v>
      </c>
      <c r="AF277" s="204">
        <v>17</v>
      </c>
      <c r="AG277" s="30"/>
      <c r="AH277" s="29" t="s">
        <v>26</v>
      </c>
      <c r="AI277" s="30">
        <v>154</v>
      </c>
      <c r="AJ277" s="204">
        <v>120</v>
      </c>
      <c r="AK277" s="29"/>
      <c r="AL277" s="29" t="s">
        <v>26</v>
      </c>
      <c r="AM277" s="30">
        <v>145</v>
      </c>
      <c r="AN277" s="206">
        <v>46</v>
      </c>
    </row>
    <row r="278" spans="1:40" outlineLevel="1" x14ac:dyDescent="0.25">
      <c r="A278" s="42"/>
      <c r="B278" s="29" t="s">
        <v>27</v>
      </c>
      <c r="C278" s="30">
        <v>103</v>
      </c>
      <c r="D278" s="204">
        <v>82</v>
      </c>
      <c r="E278" s="30"/>
      <c r="F278" s="29" t="s">
        <v>27</v>
      </c>
      <c r="G278" s="30">
        <v>170</v>
      </c>
      <c r="H278" s="204">
        <v>119</v>
      </c>
      <c r="I278" s="30"/>
      <c r="J278" s="29" t="s">
        <v>27</v>
      </c>
      <c r="K278" s="30">
        <v>338</v>
      </c>
      <c r="L278" s="204">
        <v>211</v>
      </c>
      <c r="M278" s="30"/>
      <c r="N278" s="29" t="s">
        <v>27</v>
      </c>
      <c r="O278" s="30">
        <v>45</v>
      </c>
      <c r="P278" s="204">
        <v>28</v>
      </c>
      <c r="Q278" s="30"/>
      <c r="R278" s="29" t="s">
        <v>27</v>
      </c>
      <c r="S278" s="30">
        <v>319</v>
      </c>
      <c r="T278" s="204">
        <v>249</v>
      </c>
      <c r="U278" s="30"/>
      <c r="V278" s="29" t="s">
        <v>27</v>
      </c>
      <c r="W278" s="30">
        <v>133</v>
      </c>
      <c r="X278" s="204">
        <v>112</v>
      </c>
      <c r="Y278" s="30"/>
      <c r="Z278" s="29" t="s">
        <v>27</v>
      </c>
      <c r="AA278" s="30">
        <v>459</v>
      </c>
      <c r="AB278" s="204">
        <v>248</v>
      </c>
      <c r="AC278" s="30"/>
      <c r="AD278" s="29" t="s">
        <v>27</v>
      </c>
      <c r="AE278" s="30">
        <v>28</v>
      </c>
      <c r="AF278" s="204">
        <v>15</v>
      </c>
      <c r="AG278" s="30"/>
      <c r="AH278" s="29" t="s">
        <v>27</v>
      </c>
      <c r="AI278" s="30">
        <v>198</v>
      </c>
      <c r="AJ278" s="204">
        <v>129</v>
      </c>
      <c r="AK278" s="29"/>
      <c r="AL278" s="29" t="s">
        <v>27</v>
      </c>
      <c r="AM278" s="30">
        <v>129</v>
      </c>
      <c r="AN278" s="206">
        <v>59</v>
      </c>
    </row>
    <row r="279" spans="1:40" outlineLevel="1" x14ac:dyDescent="0.25">
      <c r="A279" s="42"/>
      <c r="B279" s="29" t="s">
        <v>28</v>
      </c>
      <c r="C279" s="30">
        <v>130</v>
      </c>
      <c r="D279" s="204">
        <v>85</v>
      </c>
      <c r="E279" s="30"/>
      <c r="F279" s="29" t="s">
        <v>28</v>
      </c>
      <c r="G279" s="30">
        <v>182</v>
      </c>
      <c r="H279" s="204">
        <v>133</v>
      </c>
      <c r="I279" s="30"/>
      <c r="J279" s="29" t="s">
        <v>28</v>
      </c>
      <c r="K279" s="30">
        <v>403</v>
      </c>
      <c r="L279" s="204">
        <v>219</v>
      </c>
      <c r="M279" s="30"/>
      <c r="N279" s="29" t="s">
        <v>28</v>
      </c>
      <c r="O279" s="30">
        <v>46</v>
      </c>
      <c r="P279" s="204">
        <v>44</v>
      </c>
      <c r="Q279" s="30"/>
      <c r="R279" s="29" t="s">
        <v>28</v>
      </c>
      <c r="S279" s="30">
        <v>369</v>
      </c>
      <c r="T279" s="204">
        <v>257</v>
      </c>
      <c r="U279" s="30"/>
      <c r="V279" s="29" t="s">
        <v>28</v>
      </c>
      <c r="W279" s="30">
        <v>182</v>
      </c>
      <c r="X279" s="204">
        <v>103</v>
      </c>
      <c r="Y279" s="30"/>
      <c r="Z279" s="29" t="s">
        <v>28</v>
      </c>
      <c r="AA279" s="30">
        <v>448</v>
      </c>
      <c r="AB279" s="204">
        <v>272</v>
      </c>
      <c r="AC279" s="30"/>
      <c r="AD279" s="29" t="s">
        <v>28</v>
      </c>
      <c r="AE279" s="30">
        <v>28</v>
      </c>
      <c r="AF279" s="204">
        <v>22</v>
      </c>
      <c r="AG279" s="30"/>
      <c r="AH279" s="29" t="s">
        <v>28</v>
      </c>
      <c r="AI279" s="30">
        <v>225</v>
      </c>
      <c r="AJ279" s="204">
        <v>187</v>
      </c>
      <c r="AK279" s="29"/>
      <c r="AL279" s="29" t="s">
        <v>28</v>
      </c>
      <c r="AM279" s="30">
        <v>121</v>
      </c>
      <c r="AN279" s="206">
        <v>77</v>
      </c>
    </row>
    <row r="280" spans="1:40" outlineLevel="1" x14ac:dyDescent="0.25">
      <c r="A280" s="42"/>
      <c r="B280" s="29" t="s">
        <v>29</v>
      </c>
      <c r="C280" s="30">
        <v>125</v>
      </c>
      <c r="D280" s="204">
        <v>103</v>
      </c>
      <c r="E280" s="30"/>
      <c r="F280" s="29" t="s">
        <v>29</v>
      </c>
      <c r="G280" s="30">
        <v>198</v>
      </c>
      <c r="H280" s="204">
        <v>148</v>
      </c>
      <c r="I280" s="30"/>
      <c r="J280" s="29" t="s">
        <v>29</v>
      </c>
      <c r="K280" s="30">
        <v>447</v>
      </c>
      <c r="L280" s="204">
        <v>253</v>
      </c>
      <c r="M280" s="30"/>
      <c r="N280" s="29" t="s">
        <v>29</v>
      </c>
      <c r="O280" s="30">
        <v>51</v>
      </c>
      <c r="P280" s="204">
        <v>46</v>
      </c>
      <c r="Q280" s="30"/>
      <c r="R280" s="29" t="s">
        <v>29</v>
      </c>
      <c r="S280" s="30">
        <v>336</v>
      </c>
      <c r="T280" s="204">
        <v>304</v>
      </c>
      <c r="U280" s="30"/>
      <c r="V280" s="29" t="s">
        <v>29</v>
      </c>
      <c r="W280" s="30">
        <v>175</v>
      </c>
      <c r="X280" s="204">
        <v>109</v>
      </c>
      <c r="Y280" s="30"/>
      <c r="Z280" s="29" t="s">
        <v>29</v>
      </c>
      <c r="AA280" s="30">
        <v>493</v>
      </c>
      <c r="AB280" s="204">
        <v>355</v>
      </c>
      <c r="AC280" s="30"/>
      <c r="AD280" s="29" t="s">
        <v>29</v>
      </c>
      <c r="AE280" s="30">
        <v>30</v>
      </c>
      <c r="AF280" s="204">
        <v>28</v>
      </c>
      <c r="AG280" s="30"/>
      <c r="AH280" s="29" t="s">
        <v>29</v>
      </c>
      <c r="AI280" s="30">
        <v>255</v>
      </c>
      <c r="AJ280" s="204">
        <v>194</v>
      </c>
      <c r="AK280" s="29"/>
      <c r="AL280" s="29" t="s">
        <v>29</v>
      </c>
      <c r="AM280" s="30">
        <v>130</v>
      </c>
      <c r="AN280" s="206">
        <v>83</v>
      </c>
    </row>
    <row r="281" spans="1:40" outlineLevel="1" x14ac:dyDescent="0.25">
      <c r="A281" s="42"/>
      <c r="B281" s="29" t="s">
        <v>31</v>
      </c>
      <c r="C281" s="30">
        <v>140</v>
      </c>
      <c r="D281" s="204">
        <v>99</v>
      </c>
      <c r="E281" s="30"/>
      <c r="F281" s="29" t="s">
        <v>31</v>
      </c>
      <c r="G281" s="30">
        <v>194</v>
      </c>
      <c r="H281" s="204">
        <v>166</v>
      </c>
      <c r="I281" s="30"/>
      <c r="J281" s="29" t="s">
        <v>31</v>
      </c>
      <c r="K281" s="30">
        <v>437</v>
      </c>
      <c r="L281" s="204">
        <v>303</v>
      </c>
      <c r="M281" s="30"/>
      <c r="N281" s="29" t="s">
        <v>31</v>
      </c>
      <c r="O281" s="30">
        <v>59</v>
      </c>
      <c r="P281" s="204">
        <v>53</v>
      </c>
      <c r="Q281" s="30"/>
      <c r="R281" s="29" t="s">
        <v>31</v>
      </c>
      <c r="S281" s="30">
        <v>276</v>
      </c>
      <c r="T281" s="204">
        <v>334</v>
      </c>
      <c r="U281" s="30"/>
      <c r="V281" s="29" t="s">
        <v>31</v>
      </c>
      <c r="W281" s="30">
        <v>169</v>
      </c>
      <c r="X281" s="204">
        <v>156</v>
      </c>
      <c r="Y281" s="30"/>
      <c r="Z281" s="29" t="s">
        <v>31</v>
      </c>
      <c r="AA281" s="30">
        <v>534</v>
      </c>
      <c r="AB281" s="204">
        <v>350</v>
      </c>
      <c r="AC281" s="30"/>
      <c r="AD281" s="29" t="s">
        <v>31</v>
      </c>
      <c r="AE281" s="30">
        <v>26</v>
      </c>
      <c r="AF281" s="204">
        <v>35</v>
      </c>
      <c r="AG281" s="30"/>
      <c r="AH281" s="29" t="s">
        <v>31</v>
      </c>
      <c r="AI281" s="30">
        <v>183</v>
      </c>
      <c r="AJ281" s="204">
        <v>229</v>
      </c>
      <c r="AK281" s="29"/>
      <c r="AL281" s="29" t="s">
        <v>31</v>
      </c>
      <c r="AM281" s="30">
        <v>150</v>
      </c>
      <c r="AN281" s="206">
        <v>88</v>
      </c>
    </row>
    <row r="282" spans="1:40" outlineLevel="1" x14ac:dyDescent="0.25">
      <c r="A282" s="42"/>
      <c r="B282" s="29" t="s">
        <v>33</v>
      </c>
      <c r="C282" s="30">
        <v>178</v>
      </c>
      <c r="D282" s="204">
        <v>118</v>
      </c>
      <c r="E282" s="30"/>
      <c r="F282" s="29" t="s">
        <v>33</v>
      </c>
      <c r="G282" s="30">
        <v>264</v>
      </c>
      <c r="H282" s="204">
        <v>162</v>
      </c>
      <c r="I282" s="30"/>
      <c r="J282" s="29" t="s">
        <v>33</v>
      </c>
      <c r="K282" s="30">
        <v>448</v>
      </c>
      <c r="L282" s="204">
        <v>366</v>
      </c>
      <c r="M282" s="30"/>
      <c r="N282" s="29" t="s">
        <v>33</v>
      </c>
      <c r="O282" s="30">
        <v>83</v>
      </c>
      <c r="P282" s="204">
        <v>43</v>
      </c>
      <c r="Q282" s="30"/>
      <c r="R282" s="29" t="s">
        <v>33</v>
      </c>
      <c r="S282" s="30">
        <v>337</v>
      </c>
      <c r="T282" s="204">
        <v>344</v>
      </c>
      <c r="U282" s="30"/>
      <c r="V282" s="29" t="s">
        <v>33</v>
      </c>
      <c r="W282" s="30">
        <v>182</v>
      </c>
      <c r="X282" s="204">
        <v>168</v>
      </c>
      <c r="Y282" s="30"/>
      <c r="Z282" s="29" t="s">
        <v>33</v>
      </c>
      <c r="AA282" s="30">
        <v>614</v>
      </c>
      <c r="AB282" s="204">
        <v>381</v>
      </c>
      <c r="AC282" s="30"/>
      <c r="AD282" s="29" t="s">
        <v>33</v>
      </c>
      <c r="AE282" s="30">
        <v>40</v>
      </c>
      <c r="AF282" s="204">
        <v>22</v>
      </c>
      <c r="AG282" s="30"/>
      <c r="AH282" s="29" t="s">
        <v>33</v>
      </c>
      <c r="AI282" s="30">
        <v>226</v>
      </c>
      <c r="AJ282" s="204">
        <v>242</v>
      </c>
      <c r="AK282" s="29"/>
      <c r="AL282" s="29" t="s">
        <v>33</v>
      </c>
      <c r="AM282" s="30">
        <v>178</v>
      </c>
      <c r="AN282" s="206">
        <v>100</v>
      </c>
    </row>
    <row r="283" spans="1:40" outlineLevel="1" x14ac:dyDescent="0.25">
      <c r="A283" s="42"/>
      <c r="B283" s="29" t="s">
        <v>35</v>
      </c>
      <c r="C283" s="30">
        <v>185</v>
      </c>
      <c r="D283" s="204">
        <v>124</v>
      </c>
      <c r="E283" s="30"/>
      <c r="F283" s="29" t="s">
        <v>35</v>
      </c>
      <c r="G283" s="30">
        <v>272</v>
      </c>
      <c r="H283" s="204">
        <v>165</v>
      </c>
      <c r="I283" s="30"/>
      <c r="J283" s="29" t="s">
        <v>35</v>
      </c>
      <c r="K283" s="30">
        <v>483</v>
      </c>
      <c r="L283" s="204">
        <v>370</v>
      </c>
      <c r="M283" s="30"/>
      <c r="N283" s="29" t="s">
        <v>35</v>
      </c>
      <c r="O283" s="30">
        <v>89</v>
      </c>
      <c r="P283" s="204">
        <v>58</v>
      </c>
      <c r="Q283" s="30"/>
      <c r="R283" s="29" t="s">
        <v>35</v>
      </c>
      <c r="S283" s="30">
        <v>357</v>
      </c>
      <c r="T283" s="204">
        <v>269</v>
      </c>
      <c r="U283" s="30"/>
      <c r="V283" s="29" t="s">
        <v>35</v>
      </c>
      <c r="W283" s="30">
        <v>245</v>
      </c>
      <c r="X283" s="204">
        <v>154</v>
      </c>
      <c r="Y283" s="30"/>
      <c r="Z283" s="29" t="s">
        <v>35</v>
      </c>
      <c r="AA283" s="30">
        <v>782</v>
      </c>
      <c r="AB283" s="204">
        <v>442</v>
      </c>
      <c r="AC283" s="30"/>
      <c r="AD283" s="29" t="s">
        <v>35</v>
      </c>
      <c r="AE283" s="30">
        <v>62</v>
      </c>
      <c r="AF283" s="204">
        <v>25</v>
      </c>
      <c r="AG283" s="30"/>
      <c r="AH283" s="29" t="s">
        <v>35</v>
      </c>
      <c r="AI283" s="30">
        <v>312</v>
      </c>
      <c r="AJ283" s="204">
        <v>199</v>
      </c>
      <c r="AK283" s="29"/>
      <c r="AL283" s="29" t="s">
        <v>35</v>
      </c>
      <c r="AM283" s="30">
        <v>254</v>
      </c>
      <c r="AN283" s="206">
        <v>107</v>
      </c>
    </row>
    <row r="284" spans="1:40" outlineLevel="1" x14ac:dyDescent="0.25">
      <c r="A284" s="42"/>
      <c r="B284" s="29" t="s">
        <v>37</v>
      </c>
      <c r="C284" s="30">
        <v>244</v>
      </c>
      <c r="D284" s="204">
        <v>157</v>
      </c>
      <c r="E284" s="30"/>
      <c r="F284" s="29" t="s">
        <v>37</v>
      </c>
      <c r="G284" s="30">
        <v>302</v>
      </c>
      <c r="H284" s="204">
        <v>245</v>
      </c>
      <c r="I284" s="30"/>
      <c r="J284" s="29" t="s">
        <v>37</v>
      </c>
      <c r="K284" s="30">
        <v>558</v>
      </c>
      <c r="L284" s="204">
        <v>382</v>
      </c>
      <c r="M284" s="30"/>
      <c r="N284" s="29" t="s">
        <v>37</v>
      </c>
      <c r="O284" s="30">
        <v>145</v>
      </c>
      <c r="P284" s="204">
        <v>69</v>
      </c>
      <c r="Q284" s="30"/>
      <c r="R284" s="29" t="s">
        <v>37</v>
      </c>
      <c r="S284" s="30">
        <v>422</v>
      </c>
      <c r="T284" s="204">
        <v>300</v>
      </c>
      <c r="U284" s="30"/>
      <c r="V284" s="29" t="s">
        <v>37</v>
      </c>
      <c r="W284" s="30">
        <v>273</v>
      </c>
      <c r="X284" s="204">
        <v>177</v>
      </c>
      <c r="Y284" s="30"/>
      <c r="Z284" s="29" t="s">
        <v>37</v>
      </c>
      <c r="AA284" s="30">
        <v>797</v>
      </c>
      <c r="AB284" s="204">
        <v>574</v>
      </c>
      <c r="AC284" s="30"/>
      <c r="AD284" s="29" t="s">
        <v>37</v>
      </c>
      <c r="AE284" s="30">
        <v>62</v>
      </c>
      <c r="AF284" s="204">
        <v>41</v>
      </c>
      <c r="AG284" s="30"/>
      <c r="AH284" s="29" t="s">
        <v>37</v>
      </c>
      <c r="AI284" s="30">
        <v>314</v>
      </c>
      <c r="AJ284" s="204">
        <v>218</v>
      </c>
      <c r="AK284" s="29"/>
      <c r="AL284" s="29" t="s">
        <v>37</v>
      </c>
      <c r="AM284" s="30">
        <v>239</v>
      </c>
      <c r="AN284" s="206">
        <v>155</v>
      </c>
    </row>
    <row r="285" spans="1:40" outlineLevel="1" x14ac:dyDescent="0.25">
      <c r="A285" s="42"/>
      <c r="B285" s="29" t="s">
        <v>39</v>
      </c>
      <c r="C285" s="30">
        <v>187</v>
      </c>
      <c r="D285" s="204">
        <v>174</v>
      </c>
      <c r="E285" s="30"/>
      <c r="F285" s="29" t="s">
        <v>39</v>
      </c>
      <c r="G285" s="30">
        <v>272</v>
      </c>
      <c r="H285" s="204">
        <v>256</v>
      </c>
      <c r="I285" s="30"/>
      <c r="J285" s="29" t="s">
        <v>39</v>
      </c>
      <c r="K285" s="30">
        <v>483</v>
      </c>
      <c r="L285" s="204">
        <v>453</v>
      </c>
      <c r="M285" s="30"/>
      <c r="N285" s="29" t="s">
        <v>39</v>
      </c>
      <c r="O285" s="30">
        <v>84</v>
      </c>
      <c r="P285" s="204">
        <v>98</v>
      </c>
      <c r="Q285" s="30"/>
      <c r="R285" s="29" t="s">
        <v>39</v>
      </c>
      <c r="S285" s="30">
        <v>330</v>
      </c>
      <c r="T285" s="204">
        <v>356</v>
      </c>
      <c r="U285" s="30"/>
      <c r="V285" s="29" t="s">
        <v>39</v>
      </c>
      <c r="W285" s="30">
        <v>214</v>
      </c>
      <c r="X285" s="204">
        <v>217</v>
      </c>
      <c r="Y285" s="30"/>
      <c r="Z285" s="29" t="s">
        <v>39</v>
      </c>
      <c r="AA285" s="30">
        <v>671</v>
      </c>
      <c r="AB285" s="204">
        <v>683</v>
      </c>
      <c r="AC285" s="30"/>
      <c r="AD285" s="29" t="s">
        <v>39</v>
      </c>
      <c r="AE285" s="30">
        <v>44</v>
      </c>
      <c r="AF285" s="204">
        <v>55</v>
      </c>
      <c r="AG285" s="30"/>
      <c r="AH285" s="29" t="s">
        <v>39</v>
      </c>
      <c r="AI285" s="30">
        <v>307</v>
      </c>
      <c r="AJ285" s="204">
        <v>295</v>
      </c>
      <c r="AK285" s="29"/>
      <c r="AL285" s="29" t="s">
        <v>39</v>
      </c>
      <c r="AM285" s="30">
        <v>194</v>
      </c>
      <c r="AN285" s="206">
        <v>247</v>
      </c>
    </row>
    <row r="286" spans="1:40" outlineLevel="1" x14ac:dyDescent="0.25">
      <c r="A286" s="42"/>
      <c r="B286" s="29" t="s">
        <v>41</v>
      </c>
      <c r="C286" s="30">
        <v>139</v>
      </c>
      <c r="D286" s="204">
        <v>200</v>
      </c>
      <c r="E286" s="30"/>
      <c r="F286" s="29" t="s">
        <v>41</v>
      </c>
      <c r="G286" s="30">
        <v>228</v>
      </c>
      <c r="H286" s="204">
        <v>262</v>
      </c>
      <c r="I286" s="30"/>
      <c r="J286" s="29" t="s">
        <v>41</v>
      </c>
      <c r="K286" s="30">
        <v>407</v>
      </c>
      <c r="L286" s="204">
        <v>460</v>
      </c>
      <c r="M286" s="30"/>
      <c r="N286" s="29" t="s">
        <v>41</v>
      </c>
      <c r="O286" s="30">
        <v>98</v>
      </c>
      <c r="P286" s="204">
        <v>123</v>
      </c>
      <c r="Q286" s="30"/>
      <c r="R286" s="29" t="s">
        <v>41</v>
      </c>
      <c r="S286" s="30">
        <v>262</v>
      </c>
      <c r="T286" s="204">
        <v>378</v>
      </c>
      <c r="U286" s="30"/>
      <c r="V286" s="29" t="s">
        <v>41</v>
      </c>
      <c r="W286" s="30">
        <v>206</v>
      </c>
      <c r="X286" s="204">
        <v>256</v>
      </c>
      <c r="Y286" s="30"/>
      <c r="Z286" s="29" t="s">
        <v>41</v>
      </c>
      <c r="AA286" s="30">
        <v>611</v>
      </c>
      <c r="AB286" s="204">
        <v>729</v>
      </c>
      <c r="AC286" s="30"/>
      <c r="AD286" s="29" t="s">
        <v>41</v>
      </c>
      <c r="AE286" s="30">
        <v>37</v>
      </c>
      <c r="AF286" s="204">
        <v>52</v>
      </c>
      <c r="AG286" s="30"/>
      <c r="AH286" s="29" t="s">
        <v>41</v>
      </c>
      <c r="AI286" s="30">
        <v>214</v>
      </c>
      <c r="AJ286" s="204">
        <v>310</v>
      </c>
      <c r="AK286" s="29"/>
      <c r="AL286" s="29" t="s">
        <v>41</v>
      </c>
      <c r="AM286" s="30">
        <v>165</v>
      </c>
      <c r="AN286" s="206">
        <v>220</v>
      </c>
    </row>
    <row r="287" spans="1:40" outlineLevel="1" x14ac:dyDescent="0.25">
      <c r="A287" s="42"/>
      <c r="B287" s="29" t="s">
        <v>43</v>
      </c>
      <c r="C287" s="30">
        <v>134</v>
      </c>
      <c r="D287" s="204">
        <v>191</v>
      </c>
      <c r="E287" s="30"/>
      <c r="F287" s="29" t="s">
        <v>43</v>
      </c>
      <c r="G287" s="30">
        <v>225</v>
      </c>
      <c r="H287" s="204">
        <v>245</v>
      </c>
      <c r="I287" s="30"/>
      <c r="J287" s="29" t="s">
        <v>43</v>
      </c>
      <c r="K287" s="30">
        <v>356</v>
      </c>
      <c r="L287" s="204">
        <v>485</v>
      </c>
      <c r="M287" s="30"/>
      <c r="N287" s="29" t="s">
        <v>43</v>
      </c>
      <c r="O287" s="30">
        <v>100</v>
      </c>
      <c r="P287" s="204">
        <v>93</v>
      </c>
      <c r="Q287" s="30"/>
      <c r="R287" s="29" t="s">
        <v>43</v>
      </c>
      <c r="S287" s="30">
        <v>224</v>
      </c>
      <c r="T287" s="204">
        <v>344</v>
      </c>
      <c r="U287" s="30"/>
      <c r="V287" s="29" t="s">
        <v>43</v>
      </c>
      <c r="W287" s="30">
        <v>193</v>
      </c>
      <c r="X287" s="204">
        <v>209</v>
      </c>
      <c r="Y287" s="30"/>
      <c r="Z287" s="29" t="s">
        <v>43</v>
      </c>
      <c r="AA287" s="30">
        <v>591</v>
      </c>
      <c r="AB287" s="204">
        <v>644</v>
      </c>
      <c r="AC287" s="30"/>
      <c r="AD287" s="29" t="s">
        <v>43</v>
      </c>
      <c r="AE287" s="30">
        <v>57</v>
      </c>
      <c r="AF287" s="204">
        <v>48</v>
      </c>
      <c r="AG287" s="30"/>
      <c r="AH287" s="29" t="s">
        <v>43</v>
      </c>
      <c r="AI287" s="30">
        <v>213</v>
      </c>
      <c r="AJ287" s="204">
        <v>318</v>
      </c>
      <c r="AK287" s="29"/>
      <c r="AL287" s="29" t="s">
        <v>43</v>
      </c>
      <c r="AM287" s="30">
        <v>215</v>
      </c>
      <c r="AN287" s="206">
        <v>194</v>
      </c>
    </row>
    <row r="288" spans="1:40" outlineLevel="1" x14ac:dyDescent="0.25">
      <c r="A288" s="42"/>
      <c r="B288" s="29" t="s">
        <v>45</v>
      </c>
      <c r="C288" s="30">
        <v>139</v>
      </c>
      <c r="D288" s="204">
        <v>120</v>
      </c>
      <c r="E288" s="30"/>
      <c r="F288" s="29" t="s">
        <v>45</v>
      </c>
      <c r="G288" s="30">
        <v>237</v>
      </c>
      <c r="H288" s="204">
        <v>177</v>
      </c>
      <c r="I288" s="30"/>
      <c r="J288" s="29" t="s">
        <v>45</v>
      </c>
      <c r="K288" s="30">
        <v>354</v>
      </c>
      <c r="L288" s="204">
        <v>292</v>
      </c>
      <c r="M288" s="30"/>
      <c r="N288" s="29" t="s">
        <v>45</v>
      </c>
      <c r="O288" s="30">
        <v>133</v>
      </c>
      <c r="P288" s="204">
        <v>68</v>
      </c>
      <c r="Q288" s="30"/>
      <c r="R288" s="29" t="s">
        <v>45</v>
      </c>
      <c r="S288" s="30">
        <v>251</v>
      </c>
      <c r="T288" s="204">
        <v>193</v>
      </c>
      <c r="U288" s="30"/>
      <c r="V288" s="29" t="s">
        <v>45</v>
      </c>
      <c r="W288" s="30">
        <v>219</v>
      </c>
      <c r="X288" s="204">
        <v>153</v>
      </c>
      <c r="Y288" s="30"/>
      <c r="Z288" s="29" t="s">
        <v>45</v>
      </c>
      <c r="AA288" s="30">
        <v>581</v>
      </c>
      <c r="AB288" s="204">
        <v>443</v>
      </c>
      <c r="AC288" s="30"/>
      <c r="AD288" s="29" t="s">
        <v>45</v>
      </c>
      <c r="AE288" s="30">
        <v>55</v>
      </c>
      <c r="AF288" s="204">
        <v>24</v>
      </c>
      <c r="AG288" s="30"/>
      <c r="AH288" s="29" t="s">
        <v>45</v>
      </c>
      <c r="AI288" s="30">
        <v>243</v>
      </c>
      <c r="AJ288" s="204">
        <v>174</v>
      </c>
      <c r="AK288" s="29"/>
      <c r="AL288" s="29" t="s">
        <v>45</v>
      </c>
      <c r="AM288" s="30">
        <v>261</v>
      </c>
      <c r="AN288" s="206">
        <v>116</v>
      </c>
    </row>
    <row r="289" spans="1:40" outlineLevel="1" x14ac:dyDescent="0.25">
      <c r="A289" s="42"/>
      <c r="B289" s="29" t="s">
        <v>47</v>
      </c>
      <c r="C289" s="30">
        <v>117</v>
      </c>
      <c r="D289" s="204">
        <v>78</v>
      </c>
      <c r="E289" s="30"/>
      <c r="F289" s="29" t="s">
        <v>47</v>
      </c>
      <c r="G289" s="30">
        <v>180</v>
      </c>
      <c r="H289" s="204">
        <v>152</v>
      </c>
      <c r="I289" s="30"/>
      <c r="J289" s="29" t="s">
        <v>47</v>
      </c>
      <c r="K289" s="30">
        <v>253</v>
      </c>
      <c r="L289" s="204">
        <v>235</v>
      </c>
      <c r="M289" s="30"/>
      <c r="N289" s="29" t="s">
        <v>47</v>
      </c>
      <c r="O289" s="30">
        <v>93</v>
      </c>
      <c r="P289" s="204">
        <v>86</v>
      </c>
      <c r="Q289" s="30"/>
      <c r="R289" s="29" t="s">
        <v>47</v>
      </c>
      <c r="S289" s="30">
        <v>183</v>
      </c>
      <c r="T289" s="204">
        <v>159</v>
      </c>
      <c r="U289" s="30"/>
      <c r="V289" s="29" t="s">
        <v>47</v>
      </c>
      <c r="W289" s="30">
        <v>182</v>
      </c>
      <c r="X289" s="204">
        <v>138</v>
      </c>
      <c r="Y289" s="30"/>
      <c r="Z289" s="29" t="s">
        <v>47</v>
      </c>
      <c r="AA289" s="30">
        <v>503</v>
      </c>
      <c r="AB289" s="204">
        <v>427</v>
      </c>
      <c r="AC289" s="30"/>
      <c r="AD289" s="29" t="s">
        <v>47</v>
      </c>
      <c r="AE289" s="30">
        <v>52</v>
      </c>
      <c r="AF289" s="204">
        <v>42</v>
      </c>
      <c r="AG289" s="30"/>
      <c r="AH289" s="29" t="s">
        <v>47</v>
      </c>
      <c r="AI289" s="30">
        <v>215</v>
      </c>
      <c r="AJ289" s="204">
        <v>164</v>
      </c>
      <c r="AK289" s="29"/>
      <c r="AL289" s="29" t="s">
        <v>47</v>
      </c>
      <c r="AM289" s="30">
        <v>168</v>
      </c>
      <c r="AN289" s="206">
        <v>152</v>
      </c>
    </row>
    <row r="290" spans="1:40" outlineLevel="1" x14ac:dyDescent="0.25">
      <c r="A290" s="42"/>
      <c r="B290" s="29" t="s">
        <v>49</v>
      </c>
      <c r="C290" s="30">
        <v>51</v>
      </c>
      <c r="D290" s="204">
        <v>65</v>
      </c>
      <c r="E290" s="30"/>
      <c r="F290" s="29" t="s">
        <v>49</v>
      </c>
      <c r="G290" s="30">
        <v>70</v>
      </c>
      <c r="H290" s="204">
        <v>113</v>
      </c>
      <c r="I290" s="30"/>
      <c r="J290" s="29" t="s">
        <v>49</v>
      </c>
      <c r="K290" s="30">
        <v>103</v>
      </c>
      <c r="L290" s="204">
        <v>177</v>
      </c>
      <c r="M290" s="30"/>
      <c r="N290" s="29" t="s">
        <v>49</v>
      </c>
      <c r="O290" s="30">
        <v>44</v>
      </c>
      <c r="P290" s="204">
        <v>66</v>
      </c>
      <c r="Q290" s="30"/>
      <c r="R290" s="29" t="s">
        <v>49</v>
      </c>
      <c r="S290" s="30">
        <v>90</v>
      </c>
      <c r="T290" s="204">
        <v>112</v>
      </c>
      <c r="U290" s="30"/>
      <c r="V290" s="29" t="s">
        <v>49</v>
      </c>
      <c r="W290" s="30">
        <v>64</v>
      </c>
      <c r="X290" s="204">
        <v>94</v>
      </c>
      <c r="Y290" s="30"/>
      <c r="Z290" s="29" t="s">
        <v>49</v>
      </c>
      <c r="AA290" s="30">
        <v>194</v>
      </c>
      <c r="AB290" s="204">
        <v>276</v>
      </c>
      <c r="AC290" s="30"/>
      <c r="AD290" s="29" t="s">
        <v>49</v>
      </c>
      <c r="AE290" s="30">
        <v>21</v>
      </c>
      <c r="AF290" s="204">
        <v>32</v>
      </c>
      <c r="AG290" s="30"/>
      <c r="AH290" s="29" t="s">
        <v>49</v>
      </c>
      <c r="AI290" s="30">
        <v>97</v>
      </c>
      <c r="AJ290" s="204">
        <v>132</v>
      </c>
      <c r="AK290" s="29"/>
      <c r="AL290" s="29" t="s">
        <v>49</v>
      </c>
      <c r="AM290" s="30">
        <v>75</v>
      </c>
      <c r="AN290" s="206">
        <v>100</v>
      </c>
    </row>
    <row r="291" spans="1:40" outlineLevel="1" x14ac:dyDescent="0.25">
      <c r="A291" s="42"/>
      <c r="B291" s="29" t="s">
        <v>51</v>
      </c>
      <c r="C291" s="30">
        <v>14</v>
      </c>
      <c r="D291" s="204">
        <v>21</v>
      </c>
      <c r="E291" s="30"/>
      <c r="F291" s="29" t="s">
        <v>51</v>
      </c>
      <c r="G291" s="30">
        <v>29</v>
      </c>
      <c r="H291" s="204">
        <v>36</v>
      </c>
      <c r="I291" s="30"/>
      <c r="J291" s="29" t="s">
        <v>51</v>
      </c>
      <c r="K291" s="30">
        <v>27</v>
      </c>
      <c r="L291" s="204">
        <v>53</v>
      </c>
      <c r="M291" s="30"/>
      <c r="N291" s="29" t="s">
        <v>51</v>
      </c>
      <c r="O291" s="30">
        <v>13</v>
      </c>
      <c r="P291" s="204">
        <v>31</v>
      </c>
      <c r="Q291" s="30"/>
      <c r="R291" s="29" t="s">
        <v>51</v>
      </c>
      <c r="S291" s="30">
        <v>17</v>
      </c>
      <c r="T291" s="204">
        <v>42</v>
      </c>
      <c r="U291" s="30"/>
      <c r="V291" s="29" t="s">
        <v>51</v>
      </c>
      <c r="W291" s="30">
        <v>28</v>
      </c>
      <c r="X291" s="204">
        <v>59</v>
      </c>
      <c r="Y291" s="30"/>
      <c r="Z291" s="29" t="s">
        <v>51</v>
      </c>
      <c r="AA291" s="30">
        <v>54</v>
      </c>
      <c r="AB291" s="204">
        <v>114</v>
      </c>
      <c r="AC291" s="30"/>
      <c r="AD291" s="29" t="s">
        <v>51</v>
      </c>
      <c r="AE291" s="30">
        <v>6</v>
      </c>
      <c r="AF291" s="204">
        <v>13</v>
      </c>
      <c r="AG291" s="30"/>
      <c r="AH291" s="29" t="s">
        <v>51</v>
      </c>
      <c r="AI291" s="30">
        <v>31</v>
      </c>
      <c r="AJ291" s="204">
        <v>48</v>
      </c>
      <c r="AK291" s="29"/>
      <c r="AL291" s="29" t="s">
        <v>51</v>
      </c>
      <c r="AM291" s="30">
        <v>21</v>
      </c>
      <c r="AN291" s="206">
        <v>34</v>
      </c>
    </row>
    <row r="292" spans="1:40" ht="19.5" outlineLevel="1" thickBot="1" x14ac:dyDescent="0.3">
      <c r="A292" s="43"/>
      <c r="B292" s="35" t="s">
        <v>53</v>
      </c>
      <c r="C292" s="36">
        <v>2</v>
      </c>
      <c r="D292" s="205">
        <v>5</v>
      </c>
      <c r="E292" s="36"/>
      <c r="F292" s="35" t="s">
        <v>53</v>
      </c>
      <c r="G292" s="36">
        <v>2</v>
      </c>
      <c r="H292" s="205">
        <v>6</v>
      </c>
      <c r="I292" s="36"/>
      <c r="J292" s="35" t="s">
        <v>53</v>
      </c>
      <c r="K292" s="36">
        <v>4</v>
      </c>
      <c r="L292" s="205">
        <v>12</v>
      </c>
      <c r="M292" s="36"/>
      <c r="N292" s="35" t="s">
        <v>53</v>
      </c>
      <c r="O292" s="36">
        <v>3</v>
      </c>
      <c r="P292" s="205">
        <v>8</v>
      </c>
      <c r="Q292" s="36"/>
      <c r="R292" s="35" t="s">
        <v>53</v>
      </c>
      <c r="S292" s="36">
        <v>8</v>
      </c>
      <c r="T292" s="205">
        <v>8</v>
      </c>
      <c r="U292" s="36"/>
      <c r="V292" s="35" t="s">
        <v>53</v>
      </c>
      <c r="W292" s="36">
        <v>5</v>
      </c>
      <c r="X292" s="205">
        <v>4</v>
      </c>
      <c r="Y292" s="36"/>
      <c r="Z292" s="35" t="s">
        <v>53</v>
      </c>
      <c r="AA292" s="36">
        <v>11</v>
      </c>
      <c r="AB292" s="205">
        <v>21</v>
      </c>
      <c r="AC292" s="36"/>
      <c r="AD292" s="35" t="s">
        <v>53</v>
      </c>
      <c r="AE292" s="36">
        <v>0</v>
      </c>
      <c r="AF292" s="205">
        <v>0</v>
      </c>
      <c r="AG292" s="36"/>
      <c r="AH292" s="35" t="s">
        <v>53</v>
      </c>
      <c r="AI292" s="36">
        <v>9</v>
      </c>
      <c r="AJ292" s="205">
        <v>11</v>
      </c>
      <c r="AK292" s="35"/>
      <c r="AL292" s="35" t="s">
        <v>53</v>
      </c>
      <c r="AM292" s="36">
        <v>3</v>
      </c>
      <c r="AN292" s="208">
        <v>8</v>
      </c>
    </row>
    <row r="293" spans="1:40" outlineLevel="1" x14ac:dyDescent="0.25">
      <c r="A293" s="44"/>
      <c r="B293" s="44" t="s">
        <v>79</v>
      </c>
      <c r="C293" s="45">
        <f>SUM(C262:C269,C285:C292)</f>
        <v>1353</v>
      </c>
      <c r="D293" s="45">
        <f>SUM(D262:D269,D285:D292)</f>
        <v>1588</v>
      </c>
      <c r="E293" s="45"/>
      <c r="F293" s="44" t="s">
        <v>79</v>
      </c>
      <c r="G293" s="45">
        <f>SUM(G262:G269,G285:G292)</f>
        <v>2151</v>
      </c>
      <c r="H293" s="45">
        <f>SUM(H262:H269,H285:H292)</f>
        <v>2335</v>
      </c>
      <c r="I293" s="45"/>
      <c r="J293" s="44" t="s">
        <v>79</v>
      </c>
      <c r="K293" s="45">
        <f>SUM(K262:K269,K285:K292)</f>
        <v>3513</v>
      </c>
      <c r="L293" s="45">
        <f>SUM(L262:L269,L285:L292)</f>
        <v>4053</v>
      </c>
      <c r="M293" s="45"/>
      <c r="N293" s="44" t="s">
        <v>79</v>
      </c>
      <c r="O293" s="45">
        <f>SUM(O262:O269,O285:O292)</f>
        <v>1005</v>
      </c>
      <c r="P293" s="45">
        <f>SUM(P262:P269,P285:P292)</f>
        <v>1059</v>
      </c>
      <c r="Q293" s="45"/>
      <c r="R293" s="44" t="s">
        <v>79</v>
      </c>
      <c r="S293" s="45">
        <f>SUM(S262:S269,S285:S292)</f>
        <v>2387</v>
      </c>
      <c r="T293" s="45">
        <f>SUM(T262:T269,T285:T292)</f>
        <v>2936</v>
      </c>
      <c r="U293" s="45"/>
      <c r="V293" s="44" t="s">
        <v>79</v>
      </c>
      <c r="W293" s="45">
        <f>SUM(W262:W269,W285:W292)</f>
        <v>1888</v>
      </c>
      <c r="X293" s="45">
        <f>SUM(X262:X269,X285:X292)</f>
        <v>2069</v>
      </c>
      <c r="Y293" s="45"/>
      <c r="Z293" s="44" t="s">
        <v>79</v>
      </c>
      <c r="AA293" s="45">
        <f>SUM(AA262:AA269,AA285:AA292)</f>
        <v>5608</v>
      </c>
      <c r="AB293" s="45">
        <f>SUM(AB262:AB269,AB285:AB292)</f>
        <v>6155</v>
      </c>
      <c r="AC293" s="45"/>
      <c r="AD293" s="44" t="s">
        <v>79</v>
      </c>
      <c r="AE293" s="45">
        <f>SUM(AE262:AE269,AE285:AE292)</f>
        <v>510</v>
      </c>
      <c r="AF293" s="45">
        <f>SUM(AF262:AF269,AF285:AF292)</f>
        <v>510</v>
      </c>
      <c r="AG293" s="45"/>
      <c r="AH293" s="44" t="s">
        <v>79</v>
      </c>
      <c r="AI293" s="45">
        <f>SUM(AI262:AI269,AI285:AI292)</f>
        <v>2371</v>
      </c>
      <c r="AJ293" s="45">
        <f>SUM(AJ262:AJ269,AJ285:AJ292)</f>
        <v>2661</v>
      </c>
      <c r="AK293" s="45"/>
      <c r="AL293" s="44" t="s">
        <v>79</v>
      </c>
      <c r="AM293" s="45">
        <f>SUM(AM262:AM269,AM285:AM292)</f>
        <v>1924</v>
      </c>
      <c r="AN293" s="45">
        <f>SUM(AN262:AN269,AN285:AN292)</f>
        <v>2065</v>
      </c>
    </row>
  </sheetData>
  <mergeCells count="2">
    <mergeCell ref="AU1:AW1"/>
    <mergeCell ref="AP2:AQ2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5BF5-C84E-4E29-BF30-AEAB794254CE}">
  <sheetPr>
    <tabColor rgb="FFFFFF00"/>
  </sheetPr>
  <dimension ref="A2:AA68"/>
  <sheetViews>
    <sheetView zoomScale="80" zoomScaleNormal="80" workbookViewId="0">
      <selection activeCell="BA6" sqref="BA6:BE7"/>
    </sheetView>
  </sheetViews>
  <sheetFormatPr defaultRowHeight="18.75" x14ac:dyDescent="0.4"/>
  <cols>
    <col min="1" max="1" width="2" customWidth="1"/>
    <col min="2" max="2" width="11" bestFit="1" customWidth="1"/>
    <col min="3" max="3" width="11.25" bestFit="1" customWidth="1"/>
    <col min="4" max="4" width="9.25" bestFit="1" customWidth="1"/>
    <col min="5" max="5" width="9.125" bestFit="1" customWidth="1"/>
    <col min="6" max="6" width="9.25" style="50" bestFit="1" customWidth="1"/>
    <col min="7" max="7" width="11.25" bestFit="1" customWidth="1"/>
    <col min="8" max="8" width="9.25" bestFit="1" customWidth="1"/>
    <col min="9" max="9" width="9.125" bestFit="1" customWidth="1"/>
    <col min="10" max="10" width="9.25" style="50" bestFit="1" customWidth="1"/>
    <col min="11" max="11" width="11.25" bestFit="1" customWidth="1"/>
    <col min="12" max="12" width="9.25" bestFit="1" customWidth="1"/>
    <col min="13" max="13" width="9.125" bestFit="1" customWidth="1"/>
    <col min="14" max="14" width="9.625" style="50" bestFit="1" customWidth="1"/>
    <col min="15" max="15" width="11.25" bestFit="1" customWidth="1"/>
    <col min="16" max="16" width="9.25" bestFit="1" customWidth="1"/>
    <col min="17" max="17" width="9.125" bestFit="1" customWidth="1"/>
    <col min="18" max="18" width="9.625" style="50" bestFit="1" customWidth="1"/>
    <col min="19" max="19" width="11.25" bestFit="1" customWidth="1"/>
    <col min="20" max="20" width="9.25" bestFit="1" customWidth="1"/>
    <col min="21" max="21" width="9.125" bestFit="1" customWidth="1"/>
    <col min="22" max="22" width="9.625" style="50" bestFit="1" customWidth="1"/>
    <col min="23" max="24" width="11.375" style="56" bestFit="1" customWidth="1"/>
    <col min="25" max="25" width="9.625" style="56" bestFit="1" customWidth="1"/>
    <col min="26" max="27" width="11.375" customWidth="1"/>
  </cols>
  <sheetData>
    <row r="2" spans="1:27" ht="39.950000000000003" customHeight="1" x14ac:dyDescent="0.4">
      <c r="A2" s="54"/>
      <c r="B2" s="287" t="s">
        <v>266</v>
      </c>
      <c r="C2" s="287"/>
      <c r="D2" s="287"/>
      <c r="E2" s="287"/>
      <c r="F2" s="287"/>
      <c r="G2" s="287"/>
      <c r="H2" s="287"/>
      <c r="I2" s="287"/>
      <c r="J2" s="287"/>
      <c r="K2" s="56"/>
      <c r="L2" s="56"/>
      <c r="M2" s="56"/>
      <c r="N2"/>
      <c r="R2"/>
      <c r="V2"/>
      <c r="W2"/>
      <c r="X2"/>
      <c r="Y2"/>
    </row>
    <row r="3" spans="1:27" ht="18.75" customHeight="1" thickBot="1" x14ac:dyDescent="0.45">
      <c r="A3" s="54"/>
      <c r="B3" s="54"/>
      <c r="C3" s="54"/>
      <c r="D3" s="54"/>
      <c r="E3" s="54"/>
      <c r="F3" s="55"/>
      <c r="G3" s="54"/>
      <c r="H3" s="54"/>
      <c r="I3" s="54"/>
      <c r="J3" s="55"/>
      <c r="K3" s="54"/>
      <c r="L3" s="54"/>
      <c r="M3" s="54"/>
      <c r="N3" s="55"/>
      <c r="O3" s="54"/>
      <c r="P3" s="54"/>
      <c r="Q3" s="54"/>
      <c r="R3" s="55"/>
      <c r="S3" s="54"/>
      <c r="T3" s="54"/>
      <c r="U3" s="54"/>
      <c r="V3" s="55"/>
    </row>
    <row r="4" spans="1:27" ht="18.75" customHeight="1" x14ac:dyDescent="0.4">
      <c r="A4" s="54"/>
      <c r="B4" s="288" t="s">
        <v>267</v>
      </c>
      <c r="C4" s="291" t="s">
        <v>268</v>
      </c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3"/>
      <c r="O4" s="294" t="s">
        <v>269</v>
      </c>
      <c r="P4" s="295"/>
      <c r="Q4" s="295"/>
      <c r="R4" s="295"/>
      <c r="S4" s="295"/>
      <c r="T4" s="295"/>
      <c r="U4" s="295"/>
      <c r="V4" s="296"/>
      <c r="W4" s="297" t="s">
        <v>270</v>
      </c>
      <c r="X4" s="298"/>
      <c r="Y4" s="298"/>
      <c r="Z4" s="298"/>
      <c r="AA4" s="299"/>
    </row>
    <row r="5" spans="1:27" x14ac:dyDescent="0.4">
      <c r="A5" s="54"/>
      <c r="B5" s="289"/>
      <c r="C5" s="300" t="s">
        <v>207</v>
      </c>
      <c r="D5" s="301"/>
      <c r="E5" s="301"/>
      <c r="F5" s="301"/>
      <c r="G5" s="301" t="s">
        <v>208</v>
      </c>
      <c r="H5" s="301"/>
      <c r="I5" s="301"/>
      <c r="J5" s="301"/>
      <c r="K5" s="301" t="s">
        <v>271</v>
      </c>
      <c r="L5" s="301"/>
      <c r="M5" s="301"/>
      <c r="N5" s="302"/>
      <c r="O5" s="303" t="s">
        <v>272</v>
      </c>
      <c r="P5" s="304"/>
      <c r="Q5" s="304"/>
      <c r="R5" s="304"/>
      <c r="S5" s="304" t="s">
        <v>273</v>
      </c>
      <c r="T5" s="304"/>
      <c r="U5" s="304"/>
      <c r="V5" s="305"/>
      <c r="W5" s="284" t="s">
        <v>274</v>
      </c>
      <c r="X5" s="285"/>
      <c r="Y5" s="285"/>
      <c r="Z5" s="285" t="s">
        <v>275</v>
      </c>
      <c r="AA5" s="286"/>
    </row>
    <row r="6" spans="1:27" ht="32.25" thickBot="1" x14ac:dyDescent="0.45">
      <c r="A6" s="54"/>
      <c r="B6" s="290"/>
      <c r="C6" s="140" t="s">
        <v>276</v>
      </c>
      <c r="D6" s="141" t="s">
        <v>277</v>
      </c>
      <c r="E6" s="141" t="s">
        <v>278</v>
      </c>
      <c r="F6" s="142" t="s">
        <v>279</v>
      </c>
      <c r="G6" s="141" t="s">
        <v>276</v>
      </c>
      <c r="H6" s="141" t="s">
        <v>277</v>
      </c>
      <c r="I6" s="141" t="s">
        <v>278</v>
      </c>
      <c r="J6" s="142" t="s">
        <v>279</v>
      </c>
      <c r="K6" s="141" t="s">
        <v>276</v>
      </c>
      <c r="L6" s="141" t="s">
        <v>277</v>
      </c>
      <c r="M6" s="141" t="s">
        <v>278</v>
      </c>
      <c r="N6" s="143" t="s">
        <v>279</v>
      </c>
      <c r="O6" s="121" t="s">
        <v>276</v>
      </c>
      <c r="P6" s="122" t="s">
        <v>277</v>
      </c>
      <c r="Q6" s="122" t="s">
        <v>278</v>
      </c>
      <c r="R6" s="123" t="s">
        <v>279</v>
      </c>
      <c r="S6" s="122" t="s">
        <v>276</v>
      </c>
      <c r="T6" s="122" t="s">
        <v>277</v>
      </c>
      <c r="U6" s="122" t="s">
        <v>278</v>
      </c>
      <c r="V6" s="124" t="s">
        <v>279</v>
      </c>
      <c r="W6" s="109" t="s">
        <v>207</v>
      </c>
      <c r="X6" s="109" t="s">
        <v>208</v>
      </c>
      <c r="Y6" s="109" t="s">
        <v>271</v>
      </c>
      <c r="Z6" s="110" t="s">
        <v>210</v>
      </c>
      <c r="AA6" s="111" t="s">
        <v>211</v>
      </c>
    </row>
    <row r="7" spans="1:27" x14ac:dyDescent="0.4">
      <c r="A7" s="54"/>
      <c r="B7" s="106" t="s">
        <v>19</v>
      </c>
      <c r="C7" s="144">
        <v>36015</v>
      </c>
      <c r="D7" s="145">
        <v>36081</v>
      </c>
      <c r="E7" s="145">
        <f t="shared" ref="E7:E65" si="0">C7-D7</f>
        <v>-66</v>
      </c>
      <c r="F7" s="146">
        <f>E7/C7</f>
        <v>-1.8325697625989172E-3</v>
      </c>
      <c r="G7" s="147">
        <v>31757</v>
      </c>
      <c r="H7" s="145">
        <v>31792</v>
      </c>
      <c r="I7" s="145">
        <f t="shared" ref="I7:I65" si="1">G7-H7</f>
        <v>-35</v>
      </c>
      <c r="J7" s="146">
        <f t="shared" ref="J7:J65" si="2">I7/G7</f>
        <v>-1.1021192178102465E-3</v>
      </c>
      <c r="K7" s="147">
        <v>15685</v>
      </c>
      <c r="L7" s="145">
        <v>15714</v>
      </c>
      <c r="M7" s="145">
        <f t="shared" ref="M7:M65" si="3">K7-L7</f>
        <v>-29</v>
      </c>
      <c r="N7" s="148">
        <f t="shared" ref="N7:N65" si="4">M7/K7</f>
        <v>-1.8489002231431304E-3</v>
      </c>
      <c r="O7" s="125">
        <f>C7</f>
        <v>36015</v>
      </c>
      <c r="P7" s="126">
        <f>D7</f>
        <v>36081</v>
      </c>
      <c r="Q7" s="126">
        <f t="shared" ref="Q7:Q65" si="5">O7-P7</f>
        <v>-66</v>
      </c>
      <c r="R7" s="127">
        <f t="shared" ref="R7:R65" si="6">Q7/O7</f>
        <v>-1.8325697625989172E-3</v>
      </c>
      <c r="S7" s="128">
        <f>G7+K7</f>
        <v>47442</v>
      </c>
      <c r="T7" s="126">
        <f>H7+L7</f>
        <v>47506</v>
      </c>
      <c r="U7" s="126">
        <f t="shared" ref="U7:U65" si="7">S7-T7</f>
        <v>-64</v>
      </c>
      <c r="V7" s="129">
        <f t="shared" ref="V7:V65" si="8">U7/S7</f>
        <v>-1.349015640150078E-3</v>
      </c>
      <c r="W7" s="112">
        <v>-1.8325697625989172E-3</v>
      </c>
      <c r="X7" s="112">
        <v>-1.1021192178102465E-3</v>
      </c>
      <c r="Y7" s="112">
        <v>-1.8489002231431304E-3</v>
      </c>
      <c r="Z7" s="113">
        <v>-1.8325697625989172E-3</v>
      </c>
      <c r="AA7" s="114">
        <v>-1.349015640150078E-3</v>
      </c>
    </row>
    <row r="8" spans="1:27" x14ac:dyDescent="0.4">
      <c r="A8" s="54"/>
      <c r="B8" s="103" t="s">
        <v>21</v>
      </c>
      <c r="C8" s="149">
        <v>16295</v>
      </c>
      <c r="D8" s="150">
        <v>16314</v>
      </c>
      <c r="E8" s="150">
        <f t="shared" si="0"/>
        <v>-19</v>
      </c>
      <c r="F8" s="151">
        <f t="shared" ref="F8:F65" si="9">E8/C8</f>
        <v>-1.1660018410555384E-3</v>
      </c>
      <c r="G8" s="152">
        <v>13103</v>
      </c>
      <c r="H8" s="150">
        <v>13119</v>
      </c>
      <c r="I8" s="150">
        <f t="shared" si="1"/>
        <v>-16</v>
      </c>
      <c r="J8" s="151">
        <f t="shared" si="2"/>
        <v>-1.2210944058612531E-3</v>
      </c>
      <c r="K8" s="152">
        <v>7071</v>
      </c>
      <c r="L8" s="150">
        <v>7014</v>
      </c>
      <c r="M8" s="150">
        <f t="shared" si="3"/>
        <v>57</v>
      </c>
      <c r="N8" s="153">
        <f t="shared" si="4"/>
        <v>8.0610946117946544E-3</v>
      </c>
      <c r="O8" s="130">
        <f t="shared" ref="O8:P65" si="10">C8</f>
        <v>16295</v>
      </c>
      <c r="P8" s="131">
        <f t="shared" si="10"/>
        <v>16314</v>
      </c>
      <c r="Q8" s="131">
        <f t="shared" si="5"/>
        <v>-19</v>
      </c>
      <c r="R8" s="132">
        <f t="shared" si="6"/>
        <v>-1.1660018410555384E-3</v>
      </c>
      <c r="S8" s="133">
        <f t="shared" ref="S8:T65" si="11">G8+K8</f>
        <v>20174</v>
      </c>
      <c r="T8" s="131">
        <f t="shared" si="11"/>
        <v>20133</v>
      </c>
      <c r="U8" s="131">
        <f t="shared" si="7"/>
        <v>41</v>
      </c>
      <c r="V8" s="134">
        <f t="shared" si="8"/>
        <v>2.032318826211956E-3</v>
      </c>
      <c r="W8" s="115">
        <v>-1.1660018410555384E-3</v>
      </c>
      <c r="X8" s="115">
        <v>-1.2210944058612531E-3</v>
      </c>
      <c r="Y8" s="115">
        <v>8.0610946117946544E-3</v>
      </c>
      <c r="Z8" s="116">
        <v>-1.1660018410555384E-3</v>
      </c>
      <c r="AA8" s="117">
        <v>2.032318826211956E-3</v>
      </c>
    </row>
    <row r="9" spans="1:27" x14ac:dyDescent="0.4">
      <c r="A9" s="54"/>
      <c r="B9" s="103" t="s">
        <v>5</v>
      </c>
      <c r="C9" s="149">
        <v>41530</v>
      </c>
      <c r="D9" s="150">
        <v>41588</v>
      </c>
      <c r="E9" s="150">
        <f t="shared" si="0"/>
        <v>-58</v>
      </c>
      <c r="F9" s="151">
        <f t="shared" si="9"/>
        <v>-1.3965807849747171E-3</v>
      </c>
      <c r="G9" s="152">
        <v>32738</v>
      </c>
      <c r="H9" s="150">
        <v>32782</v>
      </c>
      <c r="I9" s="150">
        <f t="shared" si="1"/>
        <v>-44</v>
      </c>
      <c r="J9" s="151">
        <f t="shared" si="2"/>
        <v>-1.344003909829556E-3</v>
      </c>
      <c r="K9" s="152">
        <v>15029</v>
      </c>
      <c r="L9" s="150">
        <v>15040</v>
      </c>
      <c r="M9" s="150">
        <f t="shared" si="3"/>
        <v>-11</v>
      </c>
      <c r="N9" s="153">
        <f t="shared" si="4"/>
        <v>-7.3191829130347995E-4</v>
      </c>
      <c r="O9" s="130">
        <f t="shared" si="10"/>
        <v>41530</v>
      </c>
      <c r="P9" s="131">
        <f t="shared" si="10"/>
        <v>41588</v>
      </c>
      <c r="Q9" s="131">
        <f t="shared" si="5"/>
        <v>-58</v>
      </c>
      <c r="R9" s="132">
        <f t="shared" si="6"/>
        <v>-1.3965807849747171E-3</v>
      </c>
      <c r="S9" s="133">
        <f t="shared" si="11"/>
        <v>47767</v>
      </c>
      <c r="T9" s="131">
        <f t="shared" si="11"/>
        <v>47822</v>
      </c>
      <c r="U9" s="131">
        <f t="shared" si="7"/>
        <v>-55</v>
      </c>
      <c r="V9" s="134">
        <f t="shared" si="8"/>
        <v>-1.1514225301986728E-3</v>
      </c>
      <c r="W9" s="115">
        <v>-1.3965807849747171E-3</v>
      </c>
      <c r="X9" s="115">
        <v>-1.344003909829556E-3</v>
      </c>
      <c r="Y9" s="115">
        <v>-7.3191829130347995E-4</v>
      </c>
      <c r="Z9" s="116">
        <v>-1.3965807849747171E-3</v>
      </c>
      <c r="AA9" s="117">
        <v>-1.1514225301986728E-3</v>
      </c>
    </row>
    <row r="10" spans="1:27" x14ac:dyDescent="0.4">
      <c r="A10" s="54"/>
      <c r="B10" s="103" t="s">
        <v>6</v>
      </c>
      <c r="C10" s="149">
        <v>43521</v>
      </c>
      <c r="D10" s="150">
        <v>43597</v>
      </c>
      <c r="E10" s="150">
        <f t="shared" si="0"/>
        <v>-76</v>
      </c>
      <c r="F10" s="151">
        <f t="shared" si="9"/>
        <v>-1.7462834034144435E-3</v>
      </c>
      <c r="G10" s="152">
        <v>36913</v>
      </c>
      <c r="H10" s="150">
        <v>36946</v>
      </c>
      <c r="I10" s="150">
        <f t="shared" si="1"/>
        <v>-33</v>
      </c>
      <c r="J10" s="151">
        <f t="shared" si="2"/>
        <v>-8.9399398585864054E-4</v>
      </c>
      <c r="K10" s="152">
        <v>18015</v>
      </c>
      <c r="L10" s="150">
        <v>18005</v>
      </c>
      <c r="M10" s="150">
        <f t="shared" si="3"/>
        <v>10</v>
      </c>
      <c r="N10" s="153">
        <f t="shared" si="4"/>
        <v>5.5509297807382742E-4</v>
      </c>
      <c r="O10" s="130">
        <f t="shared" si="10"/>
        <v>43521</v>
      </c>
      <c r="P10" s="131">
        <f t="shared" si="10"/>
        <v>43597</v>
      </c>
      <c r="Q10" s="131">
        <f t="shared" si="5"/>
        <v>-76</v>
      </c>
      <c r="R10" s="132">
        <f t="shared" si="6"/>
        <v>-1.7462834034144435E-3</v>
      </c>
      <c r="S10" s="133">
        <f t="shared" si="11"/>
        <v>54928</v>
      </c>
      <c r="T10" s="131">
        <f t="shared" si="11"/>
        <v>54951</v>
      </c>
      <c r="U10" s="131">
        <f t="shared" si="7"/>
        <v>-23</v>
      </c>
      <c r="V10" s="134">
        <f t="shared" si="8"/>
        <v>-4.1872997378386253E-4</v>
      </c>
      <c r="W10" s="115">
        <v>-1.7462834034144435E-3</v>
      </c>
      <c r="X10" s="115">
        <v>-8.9399398585864054E-4</v>
      </c>
      <c r="Y10" s="115">
        <v>5.5509297807382742E-4</v>
      </c>
      <c r="Z10" s="116">
        <v>-1.7462834034144435E-3</v>
      </c>
      <c r="AA10" s="117">
        <v>-4.1872997378386253E-4</v>
      </c>
    </row>
    <row r="11" spans="1:27" x14ac:dyDescent="0.4">
      <c r="A11" s="54"/>
      <c r="B11" s="103" t="s">
        <v>7</v>
      </c>
      <c r="C11" s="149">
        <v>8636</v>
      </c>
      <c r="D11" s="150">
        <v>8636</v>
      </c>
      <c r="E11" s="150">
        <f t="shared" si="0"/>
        <v>0</v>
      </c>
      <c r="F11" s="151">
        <f t="shared" si="9"/>
        <v>0</v>
      </c>
      <c r="G11" s="152">
        <v>6447</v>
      </c>
      <c r="H11" s="150">
        <v>6425</v>
      </c>
      <c r="I11" s="150">
        <f t="shared" si="1"/>
        <v>22</v>
      </c>
      <c r="J11" s="151">
        <f t="shared" si="2"/>
        <v>3.4124398945245852E-3</v>
      </c>
      <c r="K11" s="152">
        <v>3399</v>
      </c>
      <c r="L11" s="150">
        <v>3277</v>
      </c>
      <c r="M11" s="150">
        <f t="shared" si="3"/>
        <v>122</v>
      </c>
      <c r="N11" s="153">
        <f t="shared" si="4"/>
        <v>3.5892909679317443E-2</v>
      </c>
      <c r="O11" s="130">
        <f t="shared" si="10"/>
        <v>8636</v>
      </c>
      <c r="P11" s="131">
        <f t="shared" si="10"/>
        <v>8636</v>
      </c>
      <c r="Q11" s="131">
        <f t="shared" si="5"/>
        <v>0</v>
      </c>
      <c r="R11" s="132">
        <f t="shared" si="6"/>
        <v>0</v>
      </c>
      <c r="S11" s="133">
        <f t="shared" si="11"/>
        <v>9846</v>
      </c>
      <c r="T11" s="131">
        <f t="shared" si="11"/>
        <v>9702</v>
      </c>
      <c r="U11" s="131">
        <f t="shared" si="7"/>
        <v>144</v>
      </c>
      <c r="V11" s="134">
        <f t="shared" si="8"/>
        <v>1.4625228519195612E-2</v>
      </c>
      <c r="W11" s="115">
        <v>0</v>
      </c>
      <c r="X11" s="115">
        <v>3.4124398945245852E-3</v>
      </c>
      <c r="Y11" s="115">
        <v>3.5892909679317443E-2</v>
      </c>
      <c r="Z11" s="116">
        <v>0</v>
      </c>
      <c r="AA11" s="117">
        <v>1.4625228519195612E-2</v>
      </c>
    </row>
    <row r="12" spans="1:27" x14ac:dyDescent="0.4">
      <c r="A12" s="54"/>
      <c r="B12" s="103" t="s">
        <v>8</v>
      </c>
      <c r="C12" s="149">
        <v>10685</v>
      </c>
      <c r="D12" s="150">
        <v>10690</v>
      </c>
      <c r="E12" s="150">
        <f t="shared" si="0"/>
        <v>-5</v>
      </c>
      <c r="F12" s="151">
        <f t="shared" si="9"/>
        <v>-4.6794571829667761E-4</v>
      </c>
      <c r="G12" s="152">
        <v>7905</v>
      </c>
      <c r="H12" s="150">
        <v>7885</v>
      </c>
      <c r="I12" s="150">
        <f t="shared" si="1"/>
        <v>20</v>
      </c>
      <c r="J12" s="151">
        <f t="shared" si="2"/>
        <v>2.5300442757748261E-3</v>
      </c>
      <c r="K12" s="152">
        <v>3782</v>
      </c>
      <c r="L12" s="150">
        <v>3741</v>
      </c>
      <c r="M12" s="150">
        <f t="shared" si="3"/>
        <v>41</v>
      </c>
      <c r="N12" s="153">
        <f t="shared" si="4"/>
        <v>1.0840824960338445E-2</v>
      </c>
      <c r="O12" s="130">
        <f t="shared" si="10"/>
        <v>10685</v>
      </c>
      <c r="P12" s="131">
        <f t="shared" si="10"/>
        <v>10690</v>
      </c>
      <c r="Q12" s="131">
        <f t="shared" si="5"/>
        <v>-5</v>
      </c>
      <c r="R12" s="132">
        <f t="shared" si="6"/>
        <v>-4.6794571829667761E-4</v>
      </c>
      <c r="S12" s="133">
        <f t="shared" si="11"/>
        <v>11687</v>
      </c>
      <c r="T12" s="131">
        <f t="shared" si="11"/>
        <v>11626</v>
      </c>
      <c r="U12" s="131">
        <f t="shared" si="7"/>
        <v>61</v>
      </c>
      <c r="V12" s="134">
        <f t="shared" si="8"/>
        <v>5.2194746299306918E-3</v>
      </c>
      <c r="W12" s="115">
        <v>-4.6794571829667761E-4</v>
      </c>
      <c r="X12" s="115">
        <v>2.5300442757748261E-3</v>
      </c>
      <c r="Y12" s="115">
        <v>1.0840824960338445E-2</v>
      </c>
      <c r="Z12" s="116">
        <v>-4.6794571829667761E-4</v>
      </c>
      <c r="AA12" s="117">
        <v>5.2194746299306918E-3</v>
      </c>
    </row>
    <row r="13" spans="1:27" x14ac:dyDescent="0.4">
      <c r="A13" s="54"/>
      <c r="B13" s="103" t="s">
        <v>9</v>
      </c>
      <c r="C13" s="149">
        <v>7049</v>
      </c>
      <c r="D13" s="150">
        <v>7080</v>
      </c>
      <c r="E13" s="150">
        <f t="shared" si="0"/>
        <v>-31</v>
      </c>
      <c r="F13" s="151">
        <f t="shared" si="9"/>
        <v>-4.3977869201305151E-3</v>
      </c>
      <c r="G13" s="152">
        <v>5444</v>
      </c>
      <c r="H13" s="150">
        <v>5477</v>
      </c>
      <c r="I13" s="150">
        <f t="shared" si="1"/>
        <v>-33</v>
      </c>
      <c r="J13" s="151">
        <f t="shared" si="2"/>
        <v>-6.0617193240264508E-3</v>
      </c>
      <c r="K13" s="152">
        <v>3666</v>
      </c>
      <c r="L13" s="150">
        <v>3748</v>
      </c>
      <c r="M13" s="150">
        <f t="shared" si="3"/>
        <v>-82</v>
      </c>
      <c r="N13" s="153">
        <f t="shared" si="4"/>
        <v>-2.2367703218767049E-2</v>
      </c>
      <c r="O13" s="130">
        <f t="shared" si="10"/>
        <v>7049</v>
      </c>
      <c r="P13" s="131">
        <f t="shared" si="10"/>
        <v>7080</v>
      </c>
      <c r="Q13" s="131">
        <f t="shared" si="5"/>
        <v>-31</v>
      </c>
      <c r="R13" s="132">
        <f t="shared" si="6"/>
        <v>-4.3977869201305151E-3</v>
      </c>
      <c r="S13" s="133">
        <f t="shared" si="11"/>
        <v>9110</v>
      </c>
      <c r="T13" s="131">
        <f t="shared" si="11"/>
        <v>9225</v>
      </c>
      <c r="U13" s="131">
        <f t="shared" si="7"/>
        <v>-115</v>
      </c>
      <c r="V13" s="134">
        <f t="shared" si="8"/>
        <v>-1.2623490669593854E-2</v>
      </c>
      <c r="W13" s="115">
        <v>-4.3977869201305151E-3</v>
      </c>
      <c r="X13" s="115">
        <v>-6.0617193240264508E-3</v>
      </c>
      <c r="Y13" s="115">
        <v>-2.2367703218767049E-2</v>
      </c>
      <c r="Z13" s="116">
        <v>-4.3977869201305151E-3</v>
      </c>
      <c r="AA13" s="117">
        <v>-1.2623490669593854E-2</v>
      </c>
    </row>
    <row r="14" spans="1:27" x14ac:dyDescent="0.4">
      <c r="A14" s="54"/>
      <c r="B14" s="103" t="s">
        <v>10</v>
      </c>
      <c r="C14" s="149">
        <v>4751</v>
      </c>
      <c r="D14" s="150">
        <v>4755</v>
      </c>
      <c r="E14" s="150">
        <f t="shared" si="0"/>
        <v>-4</v>
      </c>
      <c r="F14" s="151">
        <f t="shared" si="9"/>
        <v>-8.4192801515470424E-4</v>
      </c>
      <c r="G14" s="152">
        <v>4046</v>
      </c>
      <c r="H14" s="150">
        <v>4030</v>
      </c>
      <c r="I14" s="150">
        <f t="shared" si="1"/>
        <v>16</v>
      </c>
      <c r="J14" s="151">
        <f t="shared" si="2"/>
        <v>3.9545229856648538E-3</v>
      </c>
      <c r="K14" s="152">
        <v>2062</v>
      </c>
      <c r="L14" s="150">
        <v>1967</v>
      </c>
      <c r="M14" s="150">
        <f t="shared" si="3"/>
        <v>95</v>
      </c>
      <c r="N14" s="153">
        <f t="shared" si="4"/>
        <v>4.6071774975751698E-2</v>
      </c>
      <c r="O14" s="130">
        <f t="shared" si="10"/>
        <v>4751</v>
      </c>
      <c r="P14" s="131">
        <f t="shared" si="10"/>
        <v>4755</v>
      </c>
      <c r="Q14" s="131">
        <f t="shared" si="5"/>
        <v>-4</v>
      </c>
      <c r="R14" s="132">
        <f t="shared" si="6"/>
        <v>-8.4192801515470424E-4</v>
      </c>
      <c r="S14" s="133">
        <f t="shared" si="11"/>
        <v>6108</v>
      </c>
      <c r="T14" s="131">
        <f t="shared" si="11"/>
        <v>5997</v>
      </c>
      <c r="U14" s="131">
        <f t="shared" si="7"/>
        <v>111</v>
      </c>
      <c r="V14" s="134">
        <f t="shared" si="8"/>
        <v>1.8172888015717092E-2</v>
      </c>
      <c r="W14" s="115">
        <v>-8.4192801515470424E-4</v>
      </c>
      <c r="X14" s="115">
        <v>3.9545229856648538E-3</v>
      </c>
      <c r="Y14" s="115">
        <v>4.6071774975751698E-2</v>
      </c>
      <c r="Z14" s="116">
        <v>-8.4192801515470424E-4</v>
      </c>
      <c r="AA14" s="117">
        <v>1.8172888015717092E-2</v>
      </c>
    </row>
    <row r="15" spans="1:27" x14ac:dyDescent="0.4">
      <c r="A15" s="54"/>
      <c r="B15" s="103" t="s">
        <v>11</v>
      </c>
      <c r="C15" s="149">
        <v>8542</v>
      </c>
      <c r="D15" s="150">
        <v>8540</v>
      </c>
      <c r="E15" s="150">
        <f t="shared" si="0"/>
        <v>2</v>
      </c>
      <c r="F15" s="151">
        <f t="shared" si="9"/>
        <v>2.3413720440177945E-4</v>
      </c>
      <c r="G15" s="152">
        <v>6427</v>
      </c>
      <c r="H15" s="150">
        <v>6417</v>
      </c>
      <c r="I15" s="150">
        <f t="shared" si="1"/>
        <v>10</v>
      </c>
      <c r="J15" s="151">
        <f t="shared" si="2"/>
        <v>1.5559358954411078E-3</v>
      </c>
      <c r="K15" s="152">
        <v>3475</v>
      </c>
      <c r="L15" s="150">
        <v>3444</v>
      </c>
      <c r="M15" s="150">
        <f t="shared" si="3"/>
        <v>31</v>
      </c>
      <c r="N15" s="153">
        <f t="shared" si="4"/>
        <v>8.9208633093525187E-3</v>
      </c>
      <c r="O15" s="130">
        <f t="shared" si="10"/>
        <v>8542</v>
      </c>
      <c r="P15" s="131">
        <f t="shared" si="10"/>
        <v>8540</v>
      </c>
      <c r="Q15" s="131">
        <f t="shared" si="5"/>
        <v>2</v>
      </c>
      <c r="R15" s="132">
        <f>Q15/O15</f>
        <v>2.3413720440177945E-4</v>
      </c>
      <c r="S15" s="133">
        <f t="shared" si="11"/>
        <v>9902</v>
      </c>
      <c r="T15" s="131">
        <f t="shared" si="11"/>
        <v>9861</v>
      </c>
      <c r="U15" s="131">
        <f t="shared" si="7"/>
        <v>41</v>
      </c>
      <c r="V15" s="134">
        <f t="shared" si="8"/>
        <v>4.1405776610785698E-3</v>
      </c>
      <c r="W15" s="115">
        <v>2.3413720440177945E-4</v>
      </c>
      <c r="X15" s="115">
        <v>1.5559358954411078E-3</v>
      </c>
      <c r="Y15" s="115">
        <v>8.9208633093525187E-3</v>
      </c>
      <c r="Z15" s="116">
        <v>2.3413720440177945E-4</v>
      </c>
      <c r="AA15" s="117">
        <v>4.1405776610785698E-3</v>
      </c>
    </row>
    <row r="16" spans="1:27" x14ac:dyDescent="0.4">
      <c r="A16" s="54"/>
      <c r="B16" s="103" t="s">
        <v>30</v>
      </c>
      <c r="C16" s="149">
        <v>5927</v>
      </c>
      <c r="D16" s="150">
        <v>5940</v>
      </c>
      <c r="E16" s="150">
        <f t="shared" si="0"/>
        <v>-13</v>
      </c>
      <c r="F16" s="151">
        <f t="shared" si="9"/>
        <v>-2.1933524548675551E-3</v>
      </c>
      <c r="G16" s="152">
        <v>4113</v>
      </c>
      <c r="H16" s="150">
        <v>4120</v>
      </c>
      <c r="I16" s="150">
        <f t="shared" si="1"/>
        <v>-7</v>
      </c>
      <c r="J16" s="151">
        <f t="shared" si="2"/>
        <v>-1.7019207391198638E-3</v>
      </c>
      <c r="K16" s="152">
        <v>2687</v>
      </c>
      <c r="L16" s="150">
        <v>2691</v>
      </c>
      <c r="M16" s="150">
        <f t="shared" si="3"/>
        <v>-4</v>
      </c>
      <c r="N16" s="153">
        <f t="shared" si="4"/>
        <v>-1.4886490509862301E-3</v>
      </c>
      <c r="O16" s="130">
        <f t="shared" si="10"/>
        <v>5927</v>
      </c>
      <c r="P16" s="131">
        <f t="shared" si="10"/>
        <v>5940</v>
      </c>
      <c r="Q16" s="131">
        <f t="shared" si="5"/>
        <v>-13</v>
      </c>
      <c r="R16" s="132">
        <f t="shared" si="6"/>
        <v>-2.1933524548675551E-3</v>
      </c>
      <c r="S16" s="133">
        <f t="shared" si="11"/>
        <v>6800</v>
      </c>
      <c r="T16" s="131">
        <f t="shared" si="11"/>
        <v>6811</v>
      </c>
      <c r="U16" s="131">
        <f t="shared" si="7"/>
        <v>-11</v>
      </c>
      <c r="V16" s="134">
        <f t="shared" si="8"/>
        <v>-1.6176470588235294E-3</v>
      </c>
      <c r="W16" s="115">
        <v>-2.1933524548675551E-3</v>
      </c>
      <c r="X16" s="115">
        <v>-1.7019207391198638E-3</v>
      </c>
      <c r="Y16" s="115">
        <v>-1.4886490509862301E-3</v>
      </c>
      <c r="Z16" s="116">
        <v>-2.1933524548675551E-3</v>
      </c>
      <c r="AA16" s="117">
        <v>-1.6176470588235294E-3</v>
      </c>
    </row>
    <row r="17" spans="1:27" x14ac:dyDescent="0.4">
      <c r="A17" s="54"/>
      <c r="B17" s="103" t="s">
        <v>32</v>
      </c>
      <c r="C17" s="149">
        <v>9207</v>
      </c>
      <c r="D17" s="150">
        <v>9207</v>
      </c>
      <c r="E17" s="150">
        <f t="shared" si="0"/>
        <v>0</v>
      </c>
      <c r="F17" s="151">
        <f t="shared" si="9"/>
        <v>0</v>
      </c>
      <c r="G17" s="152">
        <v>7801</v>
      </c>
      <c r="H17" s="150">
        <v>7773</v>
      </c>
      <c r="I17" s="150">
        <f t="shared" si="1"/>
        <v>28</v>
      </c>
      <c r="J17" s="151">
        <f t="shared" si="2"/>
        <v>3.5892834252018971E-3</v>
      </c>
      <c r="K17" s="152">
        <v>4051</v>
      </c>
      <c r="L17" s="150">
        <v>3983</v>
      </c>
      <c r="M17" s="150">
        <f t="shared" si="3"/>
        <v>68</v>
      </c>
      <c r="N17" s="153">
        <f t="shared" si="4"/>
        <v>1.6785978770673907E-2</v>
      </c>
      <c r="O17" s="130">
        <f t="shared" si="10"/>
        <v>9207</v>
      </c>
      <c r="P17" s="131">
        <f t="shared" si="10"/>
        <v>9207</v>
      </c>
      <c r="Q17" s="131">
        <f t="shared" si="5"/>
        <v>0</v>
      </c>
      <c r="R17" s="132">
        <f t="shared" si="6"/>
        <v>0</v>
      </c>
      <c r="S17" s="133">
        <f t="shared" si="11"/>
        <v>11852</v>
      </c>
      <c r="T17" s="131">
        <f t="shared" si="11"/>
        <v>11756</v>
      </c>
      <c r="U17" s="131">
        <f t="shared" si="7"/>
        <v>96</v>
      </c>
      <c r="V17" s="134">
        <f t="shared" si="8"/>
        <v>8.09989875126561E-3</v>
      </c>
      <c r="W17" s="115">
        <v>0</v>
      </c>
      <c r="X17" s="115">
        <v>3.5892834252018971E-3</v>
      </c>
      <c r="Y17" s="115">
        <v>1.6785978770673907E-2</v>
      </c>
      <c r="Z17" s="116">
        <v>0</v>
      </c>
      <c r="AA17" s="117">
        <v>8.09989875126561E-3</v>
      </c>
    </row>
    <row r="18" spans="1:27" x14ac:dyDescent="0.4">
      <c r="A18" s="54"/>
      <c r="B18" s="103" t="s">
        <v>34</v>
      </c>
      <c r="C18" s="149">
        <v>8800</v>
      </c>
      <c r="D18" s="150">
        <v>8794</v>
      </c>
      <c r="E18" s="150">
        <f t="shared" si="0"/>
        <v>6</v>
      </c>
      <c r="F18" s="151">
        <f t="shared" si="9"/>
        <v>6.8181818181818187E-4</v>
      </c>
      <c r="G18" s="152">
        <v>7776</v>
      </c>
      <c r="H18" s="150">
        <v>7765</v>
      </c>
      <c r="I18" s="150">
        <f t="shared" si="1"/>
        <v>11</v>
      </c>
      <c r="J18" s="151">
        <f t="shared" si="2"/>
        <v>1.4146090534979425E-3</v>
      </c>
      <c r="K18" s="152">
        <v>4146</v>
      </c>
      <c r="L18" s="150">
        <v>4158</v>
      </c>
      <c r="M18" s="150">
        <f t="shared" si="3"/>
        <v>-12</v>
      </c>
      <c r="N18" s="153">
        <f t="shared" si="4"/>
        <v>-2.8943560057887118E-3</v>
      </c>
      <c r="O18" s="130">
        <f t="shared" si="10"/>
        <v>8800</v>
      </c>
      <c r="P18" s="131">
        <f t="shared" si="10"/>
        <v>8794</v>
      </c>
      <c r="Q18" s="131">
        <f t="shared" si="5"/>
        <v>6</v>
      </c>
      <c r="R18" s="132">
        <f t="shared" si="6"/>
        <v>6.8181818181818187E-4</v>
      </c>
      <c r="S18" s="133">
        <f t="shared" si="11"/>
        <v>11922</v>
      </c>
      <c r="T18" s="131">
        <f t="shared" si="11"/>
        <v>11923</v>
      </c>
      <c r="U18" s="131">
        <f t="shared" si="7"/>
        <v>-1</v>
      </c>
      <c r="V18" s="134">
        <f t="shared" si="8"/>
        <v>-8.3878543868478437E-5</v>
      </c>
      <c r="W18" s="115">
        <v>6.8181818181818187E-4</v>
      </c>
      <c r="X18" s="115">
        <v>1.4146090534979425E-3</v>
      </c>
      <c r="Y18" s="115">
        <v>-2.8943560057887118E-3</v>
      </c>
      <c r="Z18" s="116">
        <v>6.8181818181818187E-4</v>
      </c>
      <c r="AA18" s="117">
        <v>-8.3878543868478437E-5</v>
      </c>
    </row>
    <row r="19" spans="1:27" x14ac:dyDescent="0.4">
      <c r="A19" s="54"/>
      <c r="B19" s="103" t="s">
        <v>36</v>
      </c>
      <c r="C19" s="149">
        <v>4087</v>
      </c>
      <c r="D19" s="150">
        <v>4091</v>
      </c>
      <c r="E19" s="150">
        <f t="shared" si="0"/>
        <v>-4</v>
      </c>
      <c r="F19" s="151">
        <f t="shared" si="9"/>
        <v>-9.7871299241497427E-4</v>
      </c>
      <c r="G19" s="152">
        <v>2960</v>
      </c>
      <c r="H19" s="150">
        <v>2961</v>
      </c>
      <c r="I19" s="150">
        <f t="shared" si="1"/>
        <v>-1</v>
      </c>
      <c r="J19" s="151">
        <f t="shared" si="2"/>
        <v>-3.3783783783783786E-4</v>
      </c>
      <c r="K19" s="152">
        <v>1631</v>
      </c>
      <c r="L19" s="150">
        <v>1623</v>
      </c>
      <c r="M19" s="150">
        <f t="shared" si="3"/>
        <v>8</v>
      </c>
      <c r="N19" s="153">
        <f t="shared" si="4"/>
        <v>4.904966278356836E-3</v>
      </c>
      <c r="O19" s="130">
        <f t="shared" si="10"/>
        <v>4087</v>
      </c>
      <c r="P19" s="131">
        <f t="shared" si="10"/>
        <v>4091</v>
      </c>
      <c r="Q19" s="131">
        <f t="shared" si="5"/>
        <v>-4</v>
      </c>
      <c r="R19" s="132">
        <f t="shared" si="6"/>
        <v>-9.7871299241497427E-4</v>
      </c>
      <c r="S19" s="133">
        <f t="shared" si="11"/>
        <v>4591</v>
      </c>
      <c r="T19" s="131">
        <f t="shared" si="11"/>
        <v>4584</v>
      </c>
      <c r="U19" s="131">
        <f t="shared" si="7"/>
        <v>7</v>
      </c>
      <c r="V19" s="134">
        <f t="shared" si="8"/>
        <v>1.5247222827270747E-3</v>
      </c>
      <c r="W19" s="115">
        <v>-9.7871299241497427E-4</v>
      </c>
      <c r="X19" s="115">
        <v>-3.3783783783783786E-4</v>
      </c>
      <c r="Y19" s="115">
        <v>4.904966278356836E-3</v>
      </c>
      <c r="Z19" s="116">
        <v>-9.7871299241497427E-4</v>
      </c>
      <c r="AA19" s="117">
        <v>1.5247222827270747E-3</v>
      </c>
    </row>
    <row r="20" spans="1:27" x14ac:dyDescent="0.4">
      <c r="A20" s="54"/>
      <c r="B20" s="103" t="s">
        <v>38</v>
      </c>
      <c r="C20" s="149">
        <v>1631</v>
      </c>
      <c r="D20" s="150">
        <v>1649</v>
      </c>
      <c r="E20" s="150">
        <f t="shared" si="0"/>
        <v>-18</v>
      </c>
      <c r="F20" s="151">
        <f t="shared" si="9"/>
        <v>-1.1036174126302882E-2</v>
      </c>
      <c r="G20" s="152">
        <v>1579</v>
      </c>
      <c r="H20" s="150">
        <v>1635</v>
      </c>
      <c r="I20" s="150">
        <f t="shared" si="1"/>
        <v>-56</v>
      </c>
      <c r="J20" s="151">
        <f t="shared" si="2"/>
        <v>-3.5465484483850541E-2</v>
      </c>
      <c r="K20" s="152">
        <v>823</v>
      </c>
      <c r="L20" s="150">
        <v>866</v>
      </c>
      <c r="M20" s="150">
        <f t="shared" si="3"/>
        <v>-43</v>
      </c>
      <c r="N20" s="153">
        <f t="shared" si="4"/>
        <v>-5.2247873633049821E-2</v>
      </c>
      <c r="O20" s="130">
        <f t="shared" si="10"/>
        <v>1631</v>
      </c>
      <c r="P20" s="131">
        <f t="shared" si="10"/>
        <v>1649</v>
      </c>
      <c r="Q20" s="131">
        <f t="shared" si="5"/>
        <v>-18</v>
      </c>
      <c r="R20" s="132">
        <f t="shared" si="6"/>
        <v>-1.1036174126302882E-2</v>
      </c>
      <c r="S20" s="133">
        <f t="shared" si="11"/>
        <v>2402</v>
      </c>
      <c r="T20" s="131">
        <f t="shared" si="11"/>
        <v>2501</v>
      </c>
      <c r="U20" s="131">
        <f t="shared" si="7"/>
        <v>-99</v>
      </c>
      <c r="V20" s="134">
        <f t="shared" si="8"/>
        <v>-4.1215653621981679E-2</v>
      </c>
      <c r="W20" s="115">
        <v>-1.1036174126302882E-2</v>
      </c>
      <c r="X20" s="115">
        <v>-3.5465484483850541E-2</v>
      </c>
      <c r="Y20" s="115">
        <v>-5.2247873633049821E-2</v>
      </c>
      <c r="Z20" s="116">
        <v>-1.1036174126302882E-2</v>
      </c>
      <c r="AA20" s="117">
        <v>-4.1215653621981679E-2</v>
      </c>
    </row>
    <row r="21" spans="1:27" x14ac:dyDescent="0.4">
      <c r="A21" s="54"/>
      <c r="B21" s="103" t="s">
        <v>40</v>
      </c>
      <c r="C21" s="149">
        <v>1427</v>
      </c>
      <c r="D21" s="150">
        <v>1426</v>
      </c>
      <c r="E21" s="150">
        <f t="shared" si="0"/>
        <v>1</v>
      </c>
      <c r="F21" s="151">
        <f t="shared" si="9"/>
        <v>7.0077084793272596E-4</v>
      </c>
      <c r="G21" s="152">
        <v>1435</v>
      </c>
      <c r="H21" s="150">
        <v>1412</v>
      </c>
      <c r="I21" s="150">
        <f t="shared" si="1"/>
        <v>23</v>
      </c>
      <c r="J21" s="151">
        <f t="shared" si="2"/>
        <v>1.6027874564459931E-2</v>
      </c>
      <c r="K21" s="152">
        <v>692</v>
      </c>
      <c r="L21" s="150">
        <v>661</v>
      </c>
      <c r="M21" s="150">
        <f t="shared" si="3"/>
        <v>31</v>
      </c>
      <c r="N21" s="153">
        <f t="shared" si="4"/>
        <v>4.4797687861271675E-2</v>
      </c>
      <c r="O21" s="130">
        <f t="shared" si="10"/>
        <v>1427</v>
      </c>
      <c r="P21" s="131">
        <f t="shared" si="10"/>
        <v>1426</v>
      </c>
      <c r="Q21" s="131">
        <f t="shared" si="5"/>
        <v>1</v>
      </c>
      <c r="R21" s="132">
        <f t="shared" si="6"/>
        <v>7.0077084793272596E-4</v>
      </c>
      <c r="S21" s="133">
        <f t="shared" si="11"/>
        <v>2127</v>
      </c>
      <c r="T21" s="131">
        <f t="shared" si="11"/>
        <v>2073</v>
      </c>
      <c r="U21" s="131">
        <f t="shared" si="7"/>
        <v>54</v>
      </c>
      <c r="V21" s="134">
        <f t="shared" si="8"/>
        <v>2.5387870239774329E-2</v>
      </c>
      <c r="W21" s="115">
        <v>7.0077084793272596E-4</v>
      </c>
      <c r="X21" s="115">
        <v>1.6027874564459931E-2</v>
      </c>
      <c r="Y21" s="115">
        <v>4.4797687861271675E-2</v>
      </c>
      <c r="Z21" s="116">
        <v>7.0077084793272596E-4</v>
      </c>
      <c r="AA21" s="117">
        <v>2.5387870239774329E-2</v>
      </c>
    </row>
    <row r="22" spans="1:27" x14ac:dyDescent="0.4">
      <c r="A22" s="54"/>
      <c r="B22" s="103" t="s">
        <v>42</v>
      </c>
      <c r="C22" s="149">
        <v>2140</v>
      </c>
      <c r="D22" s="150">
        <v>2146</v>
      </c>
      <c r="E22" s="150">
        <f t="shared" si="0"/>
        <v>-6</v>
      </c>
      <c r="F22" s="151">
        <f t="shared" si="9"/>
        <v>-2.8037383177570091E-3</v>
      </c>
      <c r="G22" s="152">
        <v>1827</v>
      </c>
      <c r="H22" s="150">
        <v>1850</v>
      </c>
      <c r="I22" s="150">
        <f t="shared" si="1"/>
        <v>-23</v>
      </c>
      <c r="J22" s="151">
        <f t="shared" si="2"/>
        <v>-1.2588943623426382E-2</v>
      </c>
      <c r="K22" s="152">
        <v>1030</v>
      </c>
      <c r="L22" s="150">
        <v>1048</v>
      </c>
      <c r="M22" s="150">
        <f t="shared" si="3"/>
        <v>-18</v>
      </c>
      <c r="N22" s="153">
        <f t="shared" si="4"/>
        <v>-1.7475728155339806E-2</v>
      </c>
      <c r="O22" s="130">
        <f t="shared" si="10"/>
        <v>2140</v>
      </c>
      <c r="P22" s="131">
        <f t="shared" si="10"/>
        <v>2146</v>
      </c>
      <c r="Q22" s="131">
        <f t="shared" si="5"/>
        <v>-6</v>
      </c>
      <c r="R22" s="132">
        <f t="shared" si="6"/>
        <v>-2.8037383177570091E-3</v>
      </c>
      <c r="S22" s="133">
        <f t="shared" si="11"/>
        <v>2857</v>
      </c>
      <c r="T22" s="131">
        <f t="shared" si="11"/>
        <v>2898</v>
      </c>
      <c r="U22" s="131">
        <f t="shared" si="7"/>
        <v>-41</v>
      </c>
      <c r="V22" s="134">
        <f t="shared" si="8"/>
        <v>-1.4350717535876793E-2</v>
      </c>
      <c r="W22" s="115">
        <v>-2.8037383177570091E-3</v>
      </c>
      <c r="X22" s="115">
        <v>-1.2588943623426382E-2</v>
      </c>
      <c r="Y22" s="115">
        <v>-1.7475728155339806E-2</v>
      </c>
      <c r="Z22" s="116">
        <v>-2.8037383177570091E-3</v>
      </c>
      <c r="AA22" s="117">
        <v>-1.4350717535876793E-2</v>
      </c>
    </row>
    <row r="23" spans="1:27" x14ac:dyDescent="0.4">
      <c r="A23" s="54"/>
      <c r="B23" s="103" t="s">
        <v>44</v>
      </c>
      <c r="C23" s="149">
        <v>1260</v>
      </c>
      <c r="D23" s="150">
        <v>1259</v>
      </c>
      <c r="E23" s="150">
        <f t="shared" si="0"/>
        <v>1</v>
      </c>
      <c r="F23" s="151">
        <f t="shared" si="9"/>
        <v>7.9365079365079365E-4</v>
      </c>
      <c r="G23" s="152">
        <v>801</v>
      </c>
      <c r="H23" s="150">
        <v>795</v>
      </c>
      <c r="I23" s="150">
        <f t="shared" si="1"/>
        <v>6</v>
      </c>
      <c r="J23" s="151">
        <f t="shared" si="2"/>
        <v>7.4906367041198503E-3</v>
      </c>
      <c r="K23" s="152">
        <v>444</v>
      </c>
      <c r="L23" s="150">
        <v>437</v>
      </c>
      <c r="M23" s="150">
        <f t="shared" si="3"/>
        <v>7</v>
      </c>
      <c r="N23" s="153">
        <f t="shared" si="4"/>
        <v>1.5765765765765764E-2</v>
      </c>
      <c r="O23" s="130">
        <f t="shared" si="10"/>
        <v>1260</v>
      </c>
      <c r="P23" s="131">
        <f t="shared" si="10"/>
        <v>1259</v>
      </c>
      <c r="Q23" s="131">
        <f t="shared" si="5"/>
        <v>1</v>
      </c>
      <c r="R23" s="132">
        <f t="shared" si="6"/>
        <v>7.9365079365079365E-4</v>
      </c>
      <c r="S23" s="133">
        <f t="shared" si="11"/>
        <v>1245</v>
      </c>
      <c r="T23" s="131">
        <f t="shared" si="11"/>
        <v>1232</v>
      </c>
      <c r="U23" s="131">
        <f t="shared" si="7"/>
        <v>13</v>
      </c>
      <c r="V23" s="134">
        <f t="shared" si="8"/>
        <v>1.0441767068273093E-2</v>
      </c>
      <c r="W23" s="115">
        <v>7.9365079365079365E-4</v>
      </c>
      <c r="X23" s="115">
        <v>7.4906367041198503E-3</v>
      </c>
      <c r="Y23" s="115">
        <v>1.5765765765765764E-2</v>
      </c>
      <c r="Z23" s="116">
        <v>7.9365079365079365E-4</v>
      </c>
      <c r="AA23" s="117">
        <v>1.0441767068273093E-2</v>
      </c>
    </row>
    <row r="24" spans="1:27" x14ac:dyDescent="0.4">
      <c r="A24" s="54"/>
      <c r="B24" s="103" t="s">
        <v>46</v>
      </c>
      <c r="C24" s="149">
        <v>1673</v>
      </c>
      <c r="D24" s="150">
        <v>1669</v>
      </c>
      <c r="E24" s="150">
        <f t="shared" si="0"/>
        <v>4</v>
      </c>
      <c r="F24" s="151">
        <f t="shared" si="9"/>
        <v>2.390914524805738E-3</v>
      </c>
      <c r="G24" s="152">
        <v>1325</v>
      </c>
      <c r="H24" s="150">
        <v>1311</v>
      </c>
      <c r="I24" s="150">
        <f t="shared" si="1"/>
        <v>14</v>
      </c>
      <c r="J24" s="151">
        <f t="shared" si="2"/>
        <v>1.0566037735849057E-2</v>
      </c>
      <c r="K24" s="152">
        <v>619</v>
      </c>
      <c r="L24" s="150">
        <v>612</v>
      </c>
      <c r="M24" s="150">
        <f t="shared" si="3"/>
        <v>7</v>
      </c>
      <c r="N24" s="153">
        <f t="shared" si="4"/>
        <v>1.1308562197092083E-2</v>
      </c>
      <c r="O24" s="130">
        <f t="shared" si="10"/>
        <v>1673</v>
      </c>
      <c r="P24" s="131">
        <f t="shared" si="10"/>
        <v>1669</v>
      </c>
      <c r="Q24" s="131">
        <f t="shared" si="5"/>
        <v>4</v>
      </c>
      <c r="R24" s="132">
        <f t="shared" si="6"/>
        <v>2.390914524805738E-3</v>
      </c>
      <c r="S24" s="133">
        <f t="shared" si="11"/>
        <v>1944</v>
      </c>
      <c r="T24" s="131">
        <f t="shared" si="11"/>
        <v>1923</v>
      </c>
      <c r="U24" s="131">
        <f t="shared" si="7"/>
        <v>21</v>
      </c>
      <c r="V24" s="134">
        <f t="shared" si="8"/>
        <v>1.0802469135802469E-2</v>
      </c>
      <c r="W24" s="115">
        <v>2.390914524805738E-3</v>
      </c>
      <c r="X24" s="115">
        <v>1.0566037735849057E-2</v>
      </c>
      <c r="Y24" s="115">
        <v>1.1308562197092083E-2</v>
      </c>
      <c r="Z24" s="116">
        <v>2.390914524805738E-3</v>
      </c>
      <c r="AA24" s="117">
        <v>1.0802469135802469E-2</v>
      </c>
    </row>
    <row r="25" spans="1:27" x14ac:dyDescent="0.4">
      <c r="A25" s="54"/>
      <c r="B25" s="103" t="s">
        <v>48</v>
      </c>
      <c r="C25" s="149">
        <v>1017</v>
      </c>
      <c r="D25" s="150">
        <v>1025</v>
      </c>
      <c r="E25" s="150">
        <f t="shared" si="0"/>
        <v>-8</v>
      </c>
      <c r="F25" s="151">
        <f t="shared" si="9"/>
        <v>-7.8662733529990172E-3</v>
      </c>
      <c r="G25" s="152">
        <v>638</v>
      </c>
      <c r="H25" s="150">
        <v>645</v>
      </c>
      <c r="I25" s="150">
        <f t="shared" si="1"/>
        <v>-7</v>
      </c>
      <c r="J25" s="151">
        <f t="shared" si="2"/>
        <v>-1.0971786833855799E-2</v>
      </c>
      <c r="K25" s="152">
        <v>354</v>
      </c>
      <c r="L25" s="150">
        <v>357</v>
      </c>
      <c r="M25" s="150">
        <f t="shared" si="3"/>
        <v>-3</v>
      </c>
      <c r="N25" s="153">
        <f t="shared" si="4"/>
        <v>-8.4745762711864406E-3</v>
      </c>
      <c r="O25" s="130">
        <f t="shared" si="10"/>
        <v>1017</v>
      </c>
      <c r="P25" s="131">
        <f t="shared" si="10"/>
        <v>1025</v>
      </c>
      <c r="Q25" s="131">
        <f t="shared" si="5"/>
        <v>-8</v>
      </c>
      <c r="R25" s="132">
        <f t="shared" si="6"/>
        <v>-7.8662733529990172E-3</v>
      </c>
      <c r="S25" s="133">
        <f t="shared" si="11"/>
        <v>992</v>
      </c>
      <c r="T25" s="131">
        <f t="shared" si="11"/>
        <v>1002</v>
      </c>
      <c r="U25" s="131">
        <f t="shared" si="7"/>
        <v>-10</v>
      </c>
      <c r="V25" s="134">
        <f t="shared" si="8"/>
        <v>-1.0080645161290322E-2</v>
      </c>
      <c r="W25" s="115">
        <v>-7.8662733529990172E-3</v>
      </c>
      <c r="X25" s="115">
        <v>-1.0971786833855799E-2</v>
      </c>
      <c r="Y25" s="115">
        <v>-8.4745762711864406E-3</v>
      </c>
      <c r="Z25" s="116">
        <v>-7.8662733529990172E-3</v>
      </c>
      <c r="AA25" s="117">
        <v>-1.0080645161290322E-2</v>
      </c>
    </row>
    <row r="26" spans="1:27" x14ac:dyDescent="0.4">
      <c r="A26" s="54"/>
      <c r="B26" s="103" t="s">
        <v>50</v>
      </c>
      <c r="C26" s="149">
        <v>959</v>
      </c>
      <c r="D26" s="150">
        <v>958</v>
      </c>
      <c r="E26" s="150">
        <f t="shared" si="0"/>
        <v>1</v>
      </c>
      <c r="F26" s="151">
        <f t="shared" si="9"/>
        <v>1.0427528675703858E-3</v>
      </c>
      <c r="G26" s="152">
        <v>751</v>
      </c>
      <c r="H26" s="150">
        <v>743</v>
      </c>
      <c r="I26" s="150">
        <f t="shared" si="1"/>
        <v>8</v>
      </c>
      <c r="J26" s="151">
        <f t="shared" si="2"/>
        <v>1.0652463382157125E-2</v>
      </c>
      <c r="K26" s="152">
        <v>553</v>
      </c>
      <c r="L26" s="150">
        <v>564</v>
      </c>
      <c r="M26" s="150">
        <f t="shared" si="3"/>
        <v>-11</v>
      </c>
      <c r="N26" s="153">
        <f t="shared" si="4"/>
        <v>-1.9891500904159132E-2</v>
      </c>
      <c r="O26" s="130">
        <f t="shared" si="10"/>
        <v>959</v>
      </c>
      <c r="P26" s="131">
        <f t="shared" si="10"/>
        <v>958</v>
      </c>
      <c r="Q26" s="131">
        <f t="shared" si="5"/>
        <v>1</v>
      </c>
      <c r="R26" s="132">
        <f t="shared" si="6"/>
        <v>1.0427528675703858E-3</v>
      </c>
      <c r="S26" s="133">
        <f t="shared" si="11"/>
        <v>1304</v>
      </c>
      <c r="T26" s="131">
        <f t="shared" si="11"/>
        <v>1307</v>
      </c>
      <c r="U26" s="131">
        <f t="shared" si="7"/>
        <v>-3</v>
      </c>
      <c r="V26" s="134">
        <f t="shared" si="8"/>
        <v>-2.3006134969325155E-3</v>
      </c>
      <c r="W26" s="115">
        <v>1.0427528675703858E-3</v>
      </c>
      <c r="X26" s="115">
        <v>1.0652463382157125E-2</v>
      </c>
      <c r="Y26" s="115">
        <v>-1.9891500904159132E-2</v>
      </c>
      <c r="Z26" s="116">
        <v>1.0427528675703858E-3</v>
      </c>
      <c r="AA26" s="117">
        <v>-2.3006134969325155E-3</v>
      </c>
    </row>
    <row r="27" spans="1:27" x14ac:dyDescent="0.4">
      <c r="A27" s="54"/>
      <c r="B27" s="103" t="s">
        <v>52</v>
      </c>
      <c r="C27" s="149">
        <v>79</v>
      </c>
      <c r="D27" s="150">
        <v>79</v>
      </c>
      <c r="E27" s="150">
        <f t="shared" si="0"/>
        <v>0</v>
      </c>
      <c r="F27" s="151">
        <f t="shared" si="9"/>
        <v>0</v>
      </c>
      <c r="G27" s="152">
        <v>61</v>
      </c>
      <c r="H27" s="150">
        <v>59</v>
      </c>
      <c r="I27" s="150">
        <f t="shared" si="1"/>
        <v>2</v>
      </c>
      <c r="J27" s="151">
        <f t="shared" si="2"/>
        <v>3.2786885245901641E-2</v>
      </c>
      <c r="K27" s="152">
        <v>55</v>
      </c>
      <c r="L27" s="150">
        <v>51</v>
      </c>
      <c r="M27" s="150">
        <f t="shared" si="3"/>
        <v>4</v>
      </c>
      <c r="N27" s="153">
        <f t="shared" si="4"/>
        <v>7.2727272727272724E-2</v>
      </c>
      <c r="O27" s="130">
        <f t="shared" si="10"/>
        <v>79</v>
      </c>
      <c r="P27" s="131">
        <f t="shared" si="10"/>
        <v>79</v>
      </c>
      <c r="Q27" s="131">
        <f t="shared" si="5"/>
        <v>0</v>
      </c>
      <c r="R27" s="132">
        <f t="shared" si="6"/>
        <v>0</v>
      </c>
      <c r="S27" s="133">
        <f t="shared" si="11"/>
        <v>116</v>
      </c>
      <c r="T27" s="131">
        <f t="shared" si="11"/>
        <v>110</v>
      </c>
      <c r="U27" s="131">
        <f t="shared" si="7"/>
        <v>6</v>
      </c>
      <c r="V27" s="134">
        <f t="shared" si="8"/>
        <v>5.1724137931034482E-2</v>
      </c>
      <c r="W27" s="115">
        <v>0</v>
      </c>
      <c r="X27" s="115">
        <v>3.2786885245901641E-2</v>
      </c>
      <c r="Y27" s="115">
        <v>7.2727272727272724E-2</v>
      </c>
      <c r="Z27" s="116">
        <v>0</v>
      </c>
      <c r="AA27" s="117">
        <v>5.1724137931034482E-2</v>
      </c>
    </row>
    <row r="28" spans="1:27" x14ac:dyDescent="0.4">
      <c r="A28" s="54"/>
      <c r="B28" s="103" t="s">
        <v>54</v>
      </c>
      <c r="C28" s="149">
        <v>583</v>
      </c>
      <c r="D28" s="150">
        <v>580</v>
      </c>
      <c r="E28" s="150">
        <f t="shared" si="0"/>
        <v>3</v>
      </c>
      <c r="F28" s="151">
        <f t="shared" si="9"/>
        <v>5.1457975986277877E-3</v>
      </c>
      <c r="G28" s="152">
        <v>612</v>
      </c>
      <c r="H28" s="150">
        <v>607</v>
      </c>
      <c r="I28" s="150">
        <f t="shared" si="1"/>
        <v>5</v>
      </c>
      <c r="J28" s="151">
        <f t="shared" si="2"/>
        <v>8.1699346405228763E-3</v>
      </c>
      <c r="K28" s="152">
        <v>517</v>
      </c>
      <c r="L28" s="150">
        <v>503</v>
      </c>
      <c r="M28" s="150">
        <f t="shared" si="3"/>
        <v>14</v>
      </c>
      <c r="N28" s="153">
        <f t="shared" si="4"/>
        <v>2.7079303675048357E-2</v>
      </c>
      <c r="O28" s="130">
        <f t="shared" si="10"/>
        <v>583</v>
      </c>
      <c r="P28" s="131">
        <f t="shared" si="10"/>
        <v>580</v>
      </c>
      <c r="Q28" s="131">
        <f t="shared" si="5"/>
        <v>3</v>
      </c>
      <c r="R28" s="132">
        <f t="shared" si="6"/>
        <v>5.1457975986277877E-3</v>
      </c>
      <c r="S28" s="133">
        <f t="shared" si="11"/>
        <v>1129</v>
      </c>
      <c r="T28" s="131">
        <f t="shared" si="11"/>
        <v>1110</v>
      </c>
      <c r="U28" s="131">
        <f t="shared" si="7"/>
        <v>19</v>
      </c>
      <c r="V28" s="134">
        <f t="shared" si="8"/>
        <v>1.682905225863596E-2</v>
      </c>
      <c r="W28" s="115">
        <v>5.1457975986277877E-3</v>
      </c>
      <c r="X28" s="115">
        <v>8.1699346405228763E-3</v>
      </c>
      <c r="Y28" s="115">
        <v>2.7079303675048357E-2</v>
      </c>
      <c r="Z28" s="116">
        <v>5.1457975986277877E-3</v>
      </c>
      <c r="AA28" s="117">
        <v>1.682905225863596E-2</v>
      </c>
    </row>
    <row r="29" spans="1:27" x14ac:dyDescent="0.4">
      <c r="A29" s="54"/>
      <c r="B29" s="103" t="s">
        <v>56</v>
      </c>
      <c r="C29" s="149">
        <v>2407</v>
      </c>
      <c r="D29" s="150">
        <v>2409</v>
      </c>
      <c r="E29" s="150">
        <f t="shared" si="0"/>
        <v>-2</v>
      </c>
      <c r="F29" s="151">
        <f t="shared" si="9"/>
        <v>-8.3090984628167843E-4</v>
      </c>
      <c r="G29" s="152">
        <v>2011</v>
      </c>
      <c r="H29" s="150">
        <v>2007</v>
      </c>
      <c r="I29" s="150">
        <f t="shared" si="1"/>
        <v>4</v>
      </c>
      <c r="J29" s="151">
        <f t="shared" si="2"/>
        <v>1.9890601690701142E-3</v>
      </c>
      <c r="K29" s="152">
        <v>1483</v>
      </c>
      <c r="L29" s="150">
        <v>1471</v>
      </c>
      <c r="M29" s="150">
        <f t="shared" si="3"/>
        <v>12</v>
      </c>
      <c r="N29" s="153">
        <f t="shared" si="4"/>
        <v>8.091706001348618E-3</v>
      </c>
      <c r="O29" s="130">
        <f t="shared" si="10"/>
        <v>2407</v>
      </c>
      <c r="P29" s="131">
        <f t="shared" si="10"/>
        <v>2409</v>
      </c>
      <c r="Q29" s="131">
        <f t="shared" si="5"/>
        <v>-2</v>
      </c>
      <c r="R29" s="132">
        <f t="shared" si="6"/>
        <v>-8.3090984628167843E-4</v>
      </c>
      <c r="S29" s="133">
        <f t="shared" si="11"/>
        <v>3494</v>
      </c>
      <c r="T29" s="131">
        <f t="shared" si="11"/>
        <v>3478</v>
      </c>
      <c r="U29" s="131">
        <f t="shared" si="7"/>
        <v>16</v>
      </c>
      <c r="V29" s="134">
        <f t="shared" si="8"/>
        <v>4.5792787635947334E-3</v>
      </c>
      <c r="W29" s="115">
        <v>-8.3090984628167843E-4</v>
      </c>
      <c r="X29" s="115">
        <v>1.9890601690701142E-3</v>
      </c>
      <c r="Y29" s="115">
        <v>8.091706001348618E-3</v>
      </c>
      <c r="Z29" s="116">
        <v>-8.3090984628167843E-4</v>
      </c>
      <c r="AA29" s="117">
        <v>4.5792787635947334E-3</v>
      </c>
    </row>
    <row r="30" spans="1:27" x14ac:dyDescent="0.4">
      <c r="A30" s="54"/>
      <c r="B30" s="103" t="s">
        <v>57</v>
      </c>
      <c r="C30" s="149">
        <v>486</v>
      </c>
      <c r="D30" s="150">
        <v>484</v>
      </c>
      <c r="E30" s="150">
        <f t="shared" si="0"/>
        <v>2</v>
      </c>
      <c r="F30" s="151">
        <f t="shared" si="9"/>
        <v>4.11522633744856E-3</v>
      </c>
      <c r="G30" s="152">
        <v>326</v>
      </c>
      <c r="H30" s="150">
        <v>322</v>
      </c>
      <c r="I30" s="150">
        <f t="shared" si="1"/>
        <v>4</v>
      </c>
      <c r="J30" s="151">
        <f t="shared" si="2"/>
        <v>1.2269938650306749E-2</v>
      </c>
      <c r="K30" s="152">
        <v>200</v>
      </c>
      <c r="L30" s="150">
        <v>194</v>
      </c>
      <c r="M30" s="150">
        <f t="shared" si="3"/>
        <v>6</v>
      </c>
      <c r="N30" s="153">
        <f t="shared" si="4"/>
        <v>0.03</v>
      </c>
      <c r="O30" s="130">
        <f t="shared" si="10"/>
        <v>486</v>
      </c>
      <c r="P30" s="131">
        <f t="shared" si="10"/>
        <v>484</v>
      </c>
      <c r="Q30" s="131">
        <f t="shared" si="5"/>
        <v>2</v>
      </c>
      <c r="R30" s="132">
        <f t="shared" si="6"/>
        <v>4.11522633744856E-3</v>
      </c>
      <c r="S30" s="133">
        <f t="shared" si="11"/>
        <v>526</v>
      </c>
      <c r="T30" s="131">
        <f t="shared" si="11"/>
        <v>516</v>
      </c>
      <c r="U30" s="131">
        <f t="shared" si="7"/>
        <v>10</v>
      </c>
      <c r="V30" s="134">
        <f t="shared" si="8"/>
        <v>1.9011406844106463E-2</v>
      </c>
      <c r="W30" s="115">
        <v>4.11522633744856E-3</v>
      </c>
      <c r="X30" s="115">
        <v>1.2269938650306749E-2</v>
      </c>
      <c r="Y30" s="115">
        <v>0.03</v>
      </c>
      <c r="Z30" s="116">
        <v>4.11522633744856E-3</v>
      </c>
      <c r="AA30" s="117">
        <v>1.9011406844106463E-2</v>
      </c>
    </row>
    <row r="31" spans="1:27" x14ac:dyDescent="0.4">
      <c r="A31" s="54"/>
      <c r="B31" s="103" t="s">
        <v>58</v>
      </c>
      <c r="C31" s="149">
        <v>1056</v>
      </c>
      <c r="D31" s="150">
        <v>1052</v>
      </c>
      <c r="E31" s="150">
        <f t="shared" si="0"/>
        <v>4</v>
      </c>
      <c r="F31" s="151">
        <f t="shared" si="9"/>
        <v>3.787878787878788E-3</v>
      </c>
      <c r="G31" s="152">
        <v>867</v>
      </c>
      <c r="H31" s="150">
        <v>861</v>
      </c>
      <c r="I31" s="150">
        <f t="shared" si="1"/>
        <v>6</v>
      </c>
      <c r="J31" s="151">
        <f t="shared" si="2"/>
        <v>6.920415224913495E-3</v>
      </c>
      <c r="K31" s="152">
        <v>756</v>
      </c>
      <c r="L31" s="150">
        <v>742</v>
      </c>
      <c r="M31" s="150">
        <f t="shared" si="3"/>
        <v>14</v>
      </c>
      <c r="N31" s="153">
        <f t="shared" si="4"/>
        <v>1.8518518518518517E-2</v>
      </c>
      <c r="O31" s="130">
        <f t="shared" si="10"/>
        <v>1056</v>
      </c>
      <c r="P31" s="131">
        <f t="shared" si="10"/>
        <v>1052</v>
      </c>
      <c r="Q31" s="131">
        <f t="shared" si="5"/>
        <v>4</v>
      </c>
      <c r="R31" s="132">
        <f t="shared" si="6"/>
        <v>3.787878787878788E-3</v>
      </c>
      <c r="S31" s="133">
        <f t="shared" si="11"/>
        <v>1623</v>
      </c>
      <c r="T31" s="131">
        <f t="shared" si="11"/>
        <v>1603</v>
      </c>
      <c r="U31" s="131">
        <f t="shared" si="7"/>
        <v>20</v>
      </c>
      <c r="V31" s="134">
        <f t="shared" si="8"/>
        <v>1.2322858903265557E-2</v>
      </c>
      <c r="W31" s="115">
        <v>3.787878787878788E-3</v>
      </c>
      <c r="X31" s="115">
        <v>6.920415224913495E-3</v>
      </c>
      <c r="Y31" s="115">
        <v>1.8518518518518517E-2</v>
      </c>
      <c r="Z31" s="116">
        <v>3.787878787878788E-3</v>
      </c>
      <c r="AA31" s="117">
        <v>1.2322858903265557E-2</v>
      </c>
    </row>
    <row r="32" spans="1:27" x14ac:dyDescent="0.4">
      <c r="A32" s="54"/>
      <c r="B32" s="103" t="s">
        <v>59</v>
      </c>
      <c r="C32" s="149">
        <v>555</v>
      </c>
      <c r="D32" s="150">
        <v>553</v>
      </c>
      <c r="E32" s="150">
        <f t="shared" si="0"/>
        <v>2</v>
      </c>
      <c r="F32" s="151">
        <f t="shared" si="9"/>
        <v>3.6036036036036037E-3</v>
      </c>
      <c r="G32" s="152">
        <v>393</v>
      </c>
      <c r="H32" s="150">
        <v>388</v>
      </c>
      <c r="I32" s="150">
        <f t="shared" si="1"/>
        <v>5</v>
      </c>
      <c r="J32" s="151">
        <f t="shared" si="2"/>
        <v>1.2722646310432569E-2</v>
      </c>
      <c r="K32" s="152">
        <v>295</v>
      </c>
      <c r="L32" s="150">
        <v>281</v>
      </c>
      <c r="M32" s="150">
        <f t="shared" si="3"/>
        <v>14</v>
      </c>
      <c r="N32" s="153">
        <f t="shared" si="4"/>
        <v>4.7457627118644069E-2</v>
      </c>
      <c r="O32" s="130">
        <f t="shared" si="10"/>
        <v>555</v>
      </c>
      <c r="P32" s="131">
        <f t="shared" si="10"/>
        <v>553</v>
      </c>
      <c r="Q32" s="131">
        <f t="shared" si="5"/>
        <v>2</v>
      </c>
      <c r="R32" s="132">
        <f t="shared" si="6"/>
        <v>3.6036036036036037E-3</v>
      </c>
      <c r="S32" s="133">
        <f t="shared" si="11"/>
        <v>688</v>
      </c>
      <c r="T32" s="131">
        <f t="shared" si="11"/>
        <v>669</v>
      </c>
      <c r="U32" s="131">
        <f t="shared" si="7"/>
        <v>19</v>
      </c>
      <c r="V32" s="134">
        <f t="shared" si="8"/>
        <v>2.7616279069767442E-2</v>
      </c>
      <c r="W32" s="115">
        <v>3.6036036036036037E-3</v>
      </c>
      <c r="X32" s="115">
        <v>1.2722646310432569E-2</v>
      </c>
      <c r="Y32" s="115">
        <v>4.7457627118644069E-2</v>
      </c>
      <c r="Z32" s="116">
        <v>3.6036036036036037E-3</v>
      </c>
      <c r="AA32" s="117">
        <v>2.7616279069767442E-2</v>
      </c>
    </row>
    <row r="33" spans="1:27" x14ac:dyDescent="0.4">
      <c r="A33" s="54"/>
      <c r="B33" s="103" t="s">
        <v>60</v>
      </c>
      <c r="C33" s="149">
        <v>2258</v>
      </c>
      <c r="D33" s="150">
        <v>2264</v>
      </c>
      <c r="E33" s="150">
        <f t="shared" si="0"/>
        <v>-6</v>
      </c>
      <c r="F33" s="151">
        <f t="shared" si="9"/>
        <v>-2.6572187776793621E-3</v>
      </c>
      <c r="G33" s="152">
        <v>1768</v>
      </c>
      <c r="H33" s="150">
        <v>1774</v>
      </c>
      <c r="I33" s="150">
        <f t="shared" si="1"/>
        <v>-6</v>
      </c>
      <c r="J33" s="151">
        <f t="shared" si="2"/>
        <v>-3.3936651583710408E-3</v>
      </c>
      <c r="K33" s="152">
        <v>1107</v>
      </c>
      <c r="L33" s="150">
        <v>1122</v>
      </c>
      <c r="M33" s="150">
        <f t="shared" si="3"/>
        <v>-15</v>
      </c>
      <c r="N33" s="153">
        <f t="shared" si="4"/>
        <v>-1.3550135501355014E-2</v>
      </c>
      <c r="O33" s="130">
        <f t="shared" si="10"/>
        <v>2258</v>
      </c>
      <c r="P33" s="131">
        <f t="shared" si="10"/>
        <v>2264</v>
      </c>
      <c r="Q33" s="131">
        <f t="shared" si="5"/>
        <v>-6</v>
      </c>
      <c r="R33" s="132">
        <f t="shared" si="6"/>
        <v>-2.6572187776793621E-3</v>
      </c>
      <c r="S33" s="133">
        <f t="shared" si="11"/>
        <v>2875</v>
      </c>
      <c r="T33" s="131">
        <f t="shared" si="11"/>
        <v>2896</v>
      </c>
      <c r="U33" s="131">
        <f t="shared" si="7"/>
        <v>-21</v>
      </c>
      <c r="V33" s="134">
        <f t="shared" si="8"/>
        <v>-7.3043478260869567E-3</v>
      </c>
      <c r="W33" s="115">
        <v>-2.6572187776793621E-3</v>
      </c>
      <c r="X33" s="115">
        <v>-3.3936651583710408E-3</v>
      </c>
      <c r="Y33" s="115">
        <v>-1.3550135501355014E-2</v>
      </c>
      <c r="Z33" s="116">
        <v>-2.6572187776793621E-3</v>
      </c>
      <c r="AA33" s="117">
        <v>-7.3043478260869567E-3</v>
      </c>
    </row>
    <row r="34" spans="1:27" x14ac:dyDescent="0.4">
      <c r="A34" s="54"/>
      <c r="B34" s="103" t="s">
        <v>61</v>
      </c>
      <c r="C34" s="149">
        <v>2489</v>
      </c>
      <c r="D34" s="150">
        <v>2480</v>
      </c>
      <c r="E34" s="150">
        <f t="shared" si="0"/>
        <v>9</v>
      </c>
      <c r="F34" s="151">
        <f t="shared" si="9"/>
        <v>3.6159100040176776E-3</v>
      </c>
      <c r="G34" s="152">
        <v>1849</v>
      </c>
      <c r="H34" s="150">
        <v>1839</v>
      </c>
      <c r="I34" s="150">
        <f t="shared" si="1"/>
        <v>10</v>
      </c>
      <c r="J34" s="151">
        <f t="shared" si="2"/>
        <v>5.4083288263926449E-3</v>
      </c>
      <c r="K34" s="152">
        <v>1190</v>
      </c>
      <c r="L34" s="150">
        <v>1164</v>
      </c>
      <c r="M34" s="150">
        <f t="shared" si="3"/>
        <v>26</v>
      </c>
      <c r="N34" s="153">
        <f t="shared" si="4"/>
        <v>2.1848739495798318E-2</v>
      </c>
      <c r="O34" s="130">
        <f t="shared" si="10"/>
        <v>2489</v>
      </c>
      <c r="P34" s="131">
        <f t="shared" si="10"/>
        <v>2480</v>
      </c>
      <c r="Q34" s="131">
        <f t="shared" si="5"/>
        <v>9</v>
      </c>
      <c r="R34" s="132">
        <f t="shared" si="6"/>
        <v>3.6159100040176776E-3</v>
      </c>
      <c r="S34" s="133">
        <f t="shared" si="11"/>
        <v>3039</v>
      </c>
      <c r="T34" s="131">
        <f t="shared" si="11"/>
        <v>3003</v>
      </c>
      <c r="U34" s="131">
        <f t="shared" si="7"/>
        <v>36</v>
      </c>
      <c r="V34" s="134">
        <f t="shared" si="8"/>
        <v>1.1846001974333662E-2</v>
      </c>
      <c r="W34" s="115">
        <v>3.6159100040176776E-3</v>
      </c>
      <c r="X34" s="115">
        <v>5.4083288263926449E-3</v>
      </c>
      <c r="Y34" s="115">
        <v>2.1848739495798318E-2</v>
      </c>
      <c r="Z34" s="116">
        <v>3.6159100040176776E-3</v>
      </c>
      <c r="AA34" s="117">
        <v>1.1846001974333662E-2</v>
      </c>
    </row>
    <row r="35" spans="1:27" x14ac:dyDescent="0.4">
      <c r="A35" s="54"/>
      <c r="B35" s="103" t="s">
        <v>62</v>
      </c>
      <c r="C35" s="149">
        <v>508</v>
      </c>
      <c r="D35" s="150">
        <v>508</v>
      </c>
      <c r="E35" s="150">
        <f t="shared" si="0"/>
        <v>0</v>
      </c>
      <c r="F35" s="151">
        <f t="shared" si="9"/>
        <v>0</v>
      </c>
      <c r="G35" s="152">
        <v>361</v>
      </c>
      <c r="H35" s="150">
        <v>359</v>
      </c>
      <c r="I35" s="150">
        <f t="shared" si="1"/>
        <v>2</v>
      </c>
      <c r="J35" s="151">
        <f t="shared" si="2"/>
        <v>5.5401662049861496E-3</v>
      </c>
      <c r="K35" s="152">
        <v>207</v>
      </c>
      <c r="L35" s="150">
        <v>197</v>
      </c>
      <c r="M35" s="150">
        <f t="shared" si="3"/>
        <v>10</v>
      </c>
      <c r="N35" s="153">
        <f t="shared" si="4"/>
        <v>4.8309178743961352E-2</v>
      </c>
      <c r="O35" s="130">
        <f t="shared" si="10"/>
        <v>508</v>
      </c>
      <c r="P35" s="131">
        <f t="shared" si="10"/>
        <v>508</v>
      </c>
      <c r="Q35" s="131">
        <f t="shared" si="5"/>
        <v>0</v>
      </c>
      <c r="R35" s="132">
        <f t="shared" si="6"/>
        <v>0</v>
      </c>
      <c r="S35" s="133">
        <f t="shared" si="11"/>
        <v>568</v>
      </c>
      <c r="T35" s="131">
        <f t="shared" si="11"/>
        <v>556</v>
      </c>
      <c r="U35" s="131">
        <f t="shared" si="7"/>
        <v>12</v>
      </c>
      <c r="V35" s="134">
        <f t="shared" si="8"/>
        <v>2.1126760563380281E-2</v>
      </c>
      <c r="W35" s="115">
        <v>0</v>
      </c>
      <c r="X35" s="115">
        <v>5.5401662049861496E-3</v>
      </c>
      <c r="Y35" s="115">
        <v>4.8309178743961352E-2</v>
      </c>
      <c r="Z35" s="116">
        <v>0</v>
      </c>
      <c r="AA35" s="117">
        <v>2.1126760563380281E-2</v>
      </c>
    </row>
    <row r="36" spans="1:27" x14ac:dyDescent="0.4">
      <c r="A36" s="54"/>
      <c r="B36" s="103" t="s">
        <v>63</v>
      </c>
      <c r="C36" s="149">
        <v>511</v>
      </c>
      <c r="D36" s="150">
        <v>511</v>
      </c>
      <c r="E36" s="150">
        <f t="shared" si="0"/>
        <v>0</v>
      </c>
      <c r="F36" s="151">
        <f t="shared" si="9"/>
        <v>0</v>
      </c>
      <c r="G36" s="152">
        <v>448</v>
      </c>
      <c r="H36" s="150">
        <v>443</v>
      </c>
      <c r="I36" s="150">
        <f t="shared" si="1"/>
        <v>5</v>
      </c>
      <c r="J36" s="151">
        <f t="shared" si="2"/>
        <v>1.1160714285714286E-2</v>
      </c>
      <c r="K36" s="152">
        <v>349</v>
      </c>
      <c r="L36" s="150">
        <v>366</v>
      </c>
      <c r="M36" s="150">
        <f t="shared" si="3"/>
        <v>-17</v>
      </c>
      <c r="N36" s="153">
        <f t="shared" si="4"/>
        <v>-4.8710601719197708E-2</v>
      </c>
      <c r="O36" s="130">
        <f t="shared" si="10"/>
        <v>511</v>
      </c>
      <c r="P36" s="131">
        <f t="shared" si="10"/>
        <v>511</v>
      </c>
      <c r="Q36" s="131">
        <f t="shared" si="5"/>
        <v>0</v>
      </c>
      <c r="R36" s="132">
        <f t="shared" si="6"/>
        <v>0</v>
      </c>
      <c r="S36" s="133">
        <f t="shared" si="11"/>
        <v>797</v>
      </c>
      <c r="T36" s="131">
        <f t="shared" si="11"/>
        <v>809</v>
      </c>
      <c r="U36" s="131">
        <f t="shared" si="7"/>
        <v>-12</v>
      </c>
      <c r="V36" s="134">
        <f t="shared" si="8"/>
        <v>-1.5056461731493099E-2</v>
      </c>
      <c r="W36" s="115">
        <v>0</v>
      </c>
      <c r="X36" s="115">
        <v>1.1160714285714286E-2</v>
      </c>
      <c r="Y36" s="115">
        <v>-4.8710601719197708E-2</v>
      </c>
      <c r="Z36" s="116">
        <v>0</v>
      </c>
      <c r="AA36" s="117">
        <v>-1.5056461731493099E-2</v>
      </c>
    </row>
    <row r="37" spans="1:27" x14ac:dyDescent="0.4">
      <c r="A37" s="54"/>
      <c r="B37" s="103" t="s">
        <v>64</v>
      </c>
      <c r="C37" s="149">
        <v>233</v>
      </c>
      <c r="D37" s="150">
        <v>233</v>
      </c>
      <c r="E37" s="150">
        <f t="shared" si="0"/>
        <v>0</v>
      </c>
      <c r="F37" s="151">
        <f t="shared" si="9"/>
        <v>0</v>
      </c>
      <c r="G37" s="152">
        <v>283</v>
      </c>
      <c r="H37" s="150">
        <v>284</v>
      </c>
      <c r="I37" s="150">
        <f t="shared" si="1"/>
        <v>-1</v>
      </c>
      <c r="J37" s="151">
        <f t="shared" si="2"/>
        <v>-3.5335689045936395E-3</v>
      </c>
      <c r="K37" s="152">
        <v>207</v>
      </c>
      <c r="L37" s="150">
        <v>200</v>
      </c>
      <c r="M37" s="150">
        <f t="shared" si="3"/>
        <v>7</v>
      </c>
      <c r="N37" s="153">
        <f t="shared" si="4"/>
        <v>3.3816425120772944E-2</v>
      </c>
      <c r="O37" s="130">
        <f t="shared" si="10"/>
        <v>233</v>
      </c>
      <c r="P37" s="131">
        <f t="shared" si="10"/>
        <v>233</v>
      </c>
      <c r="Q37" s="131">
        <f t="shared" si="5"/>
        <v>0</v>
      </c>
      <c r="R37" s="132">
        <f t="shared" si="6"/>
        <v>0</v>
      </c>
      <c r="S37" s="133">
        <f t="shared" si="11"/>
        <v>490</v>
      </c>
      <c r="T37" s="131">
        <f t="shared" si="11"/>
        <v>484</v>
      </c>
      <c r="U37" s="131">
        <f t="shared" si="7"/>
        <v>6</v>
      </c>
      <c r="V37" s="134">
        <f t="shared" si="8"/>
        <v>1.2244897959183673E-2</v>
      </c>
      <c r="W37" s="115">
        <v>0</v>
      </c>
      <c r="X37" s="115">
        <v>-3.5335689045936395E-3</v>
      </c>
      <c r="Y37" s="115">
        <v>3.3816425120772944E-2</v>
      </c>
      <c r="Z37" s="116">
        <v>0</v>
      </c>
      <c r="AA37" s="117">
        <v>1.2244897959183673E-2</v>
      </c>
    </row>
    <row r="38" spans="1:27" x14ac:dyDescent="0.4">
      <c r="A38" s="54"/>
      <c r="B38" s="103" t="s">
        <v>65</v>
      </c>
      <c r="C38" s="149">
        <v>322</v>
      </c>
      <c r="D38" s="150">
        <v>320</v>
      </c>
      <c r="E38" s="150">
        <f t="shared" si="0"/>
        <v>2</v>
      </c>
      <c r="F38" s="151">
        <f t="shared" si="9"/>
        <v>6.2111801242236021E-3</v>
      </c>
      <c r="G38" s="152">
        <v>350</v>
      </c>
      <c r="H38" s="150">
        <v>350</v>
      </c>
      <c r="I38" s="150">
        <f t="shared" si="1"/>
        <v>0</v>
      </c>
      <c r="J38" s="151">
        <f t="shared" si="2"/>
        <v>0</v>
      </c>
      <c r="K38" s="152">
        <v>346</v>
      </c>
      <c r="L38" s="150">
        <v>355</v>
      </c>
      <c r="M38" s="150">
        <f t="shared" si="3"/>
        <v>-9</v>
      </c>
      <c r="N38" s="153">
        <f t="shared" si="4"/>
        <v>-2.6011560693641619E-2</v>
      </c>
      <c r="O38" s="130">
        <f t="shared" si="10"/>
        <v>322</v>
      </c>
      <c r="P38" s="131">
        <f t="shared" si="10"/>
        <v>320</v>
      </c>
      <c r="Q38" s="131">
        <f t="shared" si="5"/>
        <v>2</v>
      </c>
      <c r="R38" s="132">
        <f t="shared" si="6"/>
        <v>6.2111801242236021E-3</v>
      </c>
      <c r="S38" s="133">
        <f t="shared" si="11"/>
        <v>696</v>
      </c>
      <c r="T38" s="131">
        <f t="shared" si="11"/>
        <v>705</v>
      </c>
      <c r="U38" s="131">
        <f t="shared" si="7"/>
        <v>-9</v>
      </c>
      <c r="V38" s="134">
        <f t="shared" si="8"/>
        <v>-1.2931034482758621E-2</v>
      </c>
      <c r="W38" s="115">
        <v>6.2111801242236021E-3</v>
      </c>
      <c r="X38" s="115">
        <v>0</v>
      </c>
      <c r="Y38" s="115">
        <v>-2.6011560693641619E-2</v>
      </c>
      <c r="Z38" s="116">
        <v>6.2111801242236021E-3</v>
      </c>
      <c r="AA38" s="117">
        <v>-1.2931034482758621E-2</v>
      </c>
    </row>
    <row r="39" spans="1:27" x14ac:dyDescent="0.4">
      <c r="A39" s="54"/>
      <c r="B39" s="103" t="s">
        <v>66</v>
      </c>
      <c r="C39" s="149">
        <v>221</v>
      </c>
      <c r="D39" s="150">
        <v>215</v>
      </c>
      <c r="E39" s="150">
        <f t="shared" si="0"/>
        <v>6</v>
      </c>
      <c r="F39" s="151">
        <f t="shared" si="9"/>
        <v>2.7149321266968326E-2</v>
      </c>
      <c r="G39" s="152">
        <v>190</v>
      </c>
      <c r="H39" s="150">
        <v>191</v>
      </c>
      <c r="I39" s="150">
        <f t="shared" si="1"/>
        <v>-1</v>
      </c>
      <c r="J39" s="151">
        <f t="shared" si="2"/>
        <v>-5.263157894736842E-3</v>
      </c>
      <c r="K39" s="152">
        <v>200</v>
      </c>
      <c r="L39" s="150">
        <v>194</v>
      </c>
      <c r="M39" s="150">
        <f t="shared" si="3"/>
        <v>6</v>
      </c>
      <c r="N39" s="153">
        <f t="shared" si="4"/>
        <v>0.03</v>
      </c>
      <c r="O39" s="130">
        <f t="shared" si="10"/>
        <v>221</v>
      </c>
      <c r="P39" s="131">
        <f t="shared" si="10"/>
        <v>215</v>
      </c>
      <c r="Q39" s="131">
        <f t="shared" si="5"/>
        <v>6</v>
      </c>
      <c r="R39" s="132">
        <f t="shared" si="6"/>
        <v>2.7149321266968326E-2</v>
      </c>
      <c r="S39" s="133">
        <f t="shared" si="11"/>
        <v>390</v>
      </c>
      <c r="T39" s="131">
        <f t="shared" si="11"/>
        <v>385</v>
      </c>
      <c r="U39" s="131">
        <f t="shared" si="7"/>
        <v>5</v>
      </c>
      <c r="V39" s="134">
        <f t="shared" si="8"/>
        <v>1.282051282051282E-2</v>
      </c>
      <c r="W39" s="115">
        <v>2.7149321266968326E-2</v>
      </c>
      <c r="X39" s="115">
        <v>-5.263157894736842E-3</v>
      </c>
      <c r="Y39" s="115">
        <v>0.03</v>
      </c>
      <c r="Z39" s="116">
        <v>2.7149321266968326E-2</v>
      </c>
      <c r="AA39" s="117">
        <v>1.282051282051282E-2</v>
      </c>
    </row>
    <row r="40" spans="1:27" x14ac:dyDescent="0.4">
      <c r="A40" s="54"/>
      <c r="B40" s="103" t="s">
        <v>67</v>
      </c>
      <c r="C40" s="149">
        <v>3481</v>
      </c>
      <c r="D40" s="150">
        <v>3492</v>
      </c>
      <c r="E40" s="150">
        <f t="shared" si="0"/>
        <v>-11</v>
      </c>
      <c r="F40" s="151">
        <f t="shared" si="9"/>
        <v>-3.1600114909508762E-3</v>
      </c>
      <c r="G40" s="152">
        <v>2478</v>
      </c>
      <c r="H40" s="150">
        <v>2492</v>
      </c>
      <c r="I40" s="150">
        <f t="shared" si="1"/>
        <v>-14</v>
      </c>
      <c r="J40" s="151">
        <f t="shared" si="2"/>
        <v>-5.6497175141242938E-3</v>
      </c>
      <c r="K40" s="152">
        <v>1609</v>
      </c>
      <c r="L40" s="150">
        <v>1641</v>
      </c>
      <c r="M40" s="150">
        <f t="shared" si="3"/>
        <v>-32</v>
      </c>
      <c r="N40" s="153">
        <f t="shared" si="4"/>
        <v>-1.9888129272840272E-2</v>
      </c>
      <c r="O40" s="130">
        <f t="shared" si="10"/>
        <v>3481</v>
      </c>
      <c r="P40" s="131">
        <f t="shared" si="10"/>
        <v>3492</v>
      </c>
      <c r="Q40" s="131">
        <f t="shared" si="5"/>
        <v>-11</v>
      </c>
      <c r="R40" s="132">
        <f t="shared" si="6"/>
        <v>-3.1600114909508762E-3</v>
      </c>
      <c r="S40" s="133">
        <f t="shared" si="11"/>
        <v>4087</v>
      </c>
      <c r="T40" s="131">
        <f t="shared" si="11"/>
        <v>4133</v>
      </c>
      <c r="U40" s="131">
        <f t="shared" si="7"/>
        <v>-46</v>
      </c>
      <c r="V40" s="134">
        <f t="shared" si="8"/>
        <v>-1.1255199412772204E-2</v>
      </c>
      <c r="W40" s="115">
        <v>-3.1600114909508762E-3</v>
      </c>
      <c r="X40" s="115">
        <v>-5.6497175141242938E-3</v>
      </c>
      <c r="Y40" s="115">
        <v>-1.9888129272840272E-2</v>
      </c>
      <c r="Z40" s="116">
        <v>-3.1600114909508762E-3</v>
      </c>
      <c r="AA40" s="117">
        <v>-1.1255199412772204E-2</v>
      </c>
    </row>
    <row r="41" spans="1:27" x14ac:dyDescent="0.4">
      <c r="A41" s="54"/>
      <c r="B41" s="103" t="s">
        <v>68</v>
      </c>
      <c r="C41" s="149">
        <v>2634</v>
      </c>
      <c r="D41" s="150">
        <v>2791</v>
      </c>
      <c r="E41" s="150">
        <f t="shared" si="0"/>
        <v>-157</v>
      </c>
      <c r="F41" s="151">
        <f t="shared" si="9"/>
        <v>-5.9605163249810175E-2</v>
      </c>
      <c r="G41" s="152">
        <v>1756</v>
      </c>
      <c r="H41" s="150">
        <v>1841</v>
      </c>
      <c r="I41" s="150">
        <f t="shared" si="1"/>
        <v>-85</v>
      </c>
      <c r="J41" s="151">
        <f t="shared" si="2"/>
        <v>-4.8405466970387244E-2</v>
      </c>
      <c r="K41" s="152">
        <v>763</v>
      </c>
      <c r="L41" s="150">
        <v>885</v>
      </c>
      <c r="M41" s="150">
        <f t="shared" si="3"/>
        <v>-122</v>
      </c>
      <c r="N41" s="153">
        <f t="shared" si="4"/>
        <v>-0.15989515072083879</v>
      </c>
      <c r="O41" s="130">
        <f t="shared" si="10"/>
        <v>2634</v>
      </c>
      <c r="P41" s="131">
        <f t="shared" si="10"/>
        <v>2791</v>
      </c>
      <c r="Q41" s="131">
        <f t="shared" si="5"/>
        <v>-157</v>
      </c>
      <c r="R41" s="132">
        <f t="shared" si="6"/>
        <v>-5.9605163249810175E-2</v>
      </c>
      <c r="S41" s="133">
        <f t="shared" si="11"/>
        <v>2519</v>
      </c>
      <c r="T41" s="131">
        <f t="shared" si="11"/>
        <v>2726</v>
      </c>
      <c r="U41" s="131">
        <f t="shared" si="7"/>
        <v>-207</v>
      </c>
      <c r="V41" s="134">
        <f t="shared" si="8"/>
        <v>-8.2175466454942434E-2</v>
      </c>
      <c r="W41" s="115">
        <v>-5.9605163249810175E-2</v>
      </c>
      <c r="X41" s="115">
        <v>-4.8405466970387244E-2</v>
      </c>
      <c r="Y41" s="115">
        <v>-0.15989515072083879</v>
      </c>
      <c r="Z41" s="116">
        <v>-5.9605163249810175E-2</v>
      </c>
      <c r="AA41" s="117">
        <v>-8.2175466454942434E-2</v>
      </c>
    </row>
    <row r="42" spans="1:27" x14ac:dyDescent="0.4">
      <c r="A42" s="54"/>
      <c r="B42" s="103" t="s">
        <v>69</v>
      </c>
      <c r="C42" s="149">
        <v>1028</v>
      </c>
      <c r="D42" s="150">
        <v>1029</v>
      </c>
      <c r="E42" s="150">
        <f t="shared" si="0"/>
        <v>-1</v>
      </c>
      <c r="F42" s="151">
        <f t="shared" si="9"/>
        <v>-9.727626459143969E-4</v>
      </c>
      <c r="G42" s="152">
        <v>689</v>
      </c>
      <c r="H42" s="150">
        <v>689</v>
      </c>
      <c r="I42" s="150">
        <f t="shared" si="1"/>
        <v>0</v>
      </c>
      <c r="J42" s="151">
        <f t="shared" si="2"/>
        <v>0</v>
      </c>
      <c r="K42" s="152">
        <v>384</v>
      </c>
      <c r="L42" s="150">
        <v>384</v>
      </c>
      <c r="M42" s="150">
        <f t="shared" si="3"/>
        <v>0</v>
      </c>
      <c r="N42" s="153">
        <f t="shared" si="4"/>
        <v>0</v>
      </c>
      <c r="O42" s="130">
        <f t="shared" si="10"/>
        <v>1028</v>
      </c>
      <c r="P42" s="131">
        <f t="shared" si="10"/>
        <v>1029</v>
      </c>
      <c r="Q42" s="131">
        <f t="shared" si="5"/>
        <v>-1</v>
      </c>
      <c r="R42" s="132">
        <f t="shared" si="6"/>
        <v>-9.727626459143969E-4</v>
      </c>
      <c r="S42" s="133">
        <f t="shared" si="11"/>
        <v>1073</v>
      </c>
      <c r="T42" s="131">
        <f t="shared" si="11"/>
        <v>1073</v>
      </c>
      <c r="U42" s="131">
        <f t="shared" si="7"/>
        <v>0</v>
      </c>
      <c r="V42" s="134">
        <f t="shared" si="8"/>
        <v>0</v>
      </c>
      <c r="W42" s="115">
        <v>-9.727626459143969E-4</v>
      </c>
      <c r="X42" s="115">
        <v>0</v>
      </c>
      <c r="Y42" s="115">
        <v>0</v>
      </c>
      <c r="Z42" s="116">
        <v>-9.727626459143969E-4</v>
      </c>
      <c r="AA42" s="117">
        <v>0</v>
      </c>
    </row>
    <row r="43" spans="1:27" x14ac:dyDescent="0.4">
      <c r="A43" s="54"/>
      <c r="B43" s="103" t="s">
        <v>70</v>
      </c>
      <c r="C43" s="149">
        <v>761</v>
      </c>
      <c r="D43" s="150">
        <v>759</v>
      </c>
      <c r="E43" s="150">
        <f t="shared" si="0"/>
        <v>2</v>
      </c>
      <c r="F43" s="151">
        <f t="shared" si="9"/>
        <v>2.6281208935611039E-3</v>
      </c>
      <c r="G43" s="152">
        <v>483</v>
      </c>
      <c r="H43" s="150">
        <v>497</v>
      </c>
      <c r="I43" s="150">
        <f t="shared" si="1"/>
        <v>-14</v>
      </c>
      <c r="J43" s="151">
        <f t="shared" si="2"/>
        <v>-2.8985507246376812E-2</v>
      </c>
      <c r="K43" s="152">
        <v>299</v>
      </c>
      <c r="L43" s="150">
        <v>327</v>
      </c>
      <c r="M43" s="150">
        <f t="shared" si="3"/>
        <v>-28</v>
      </c>
      <c r="N43" s="153">
        <f t="shared" si="4"/>
        <v>-9.3645484949832769E-2</v>
      </c>
      <c r="O43" s="130">
        <f t="shared" si="10"/>
        <v>761</v>
      </c>
      <c r="P43" s="131">
        <f t="shared" si="10"/>
        <v>759</v>
      </c>
      <c r="Q43" s="131">
        <f t="shared" si="5"/>
        <v>2</v>
      </c>
      <c r="R43" s="132">
        <f t="shared" si="6"/>
        <v>2.6281208935611039E-3</v>
      </c>
      <c r="S43" s="133">
        <f t="shared" si="11"/>
        <v>782</v>
      </c>
      <c r="T43" s="131">
        <f t="shared" si="11"/>
        <v>824</v>
      </c>
      <c r="U43" s="131">
        <f t="shared" si="7"/>
        <v>-42</v>
      </c>
      <c r="V43" s="134">
        <f t="shared" si="8"/>
        <v>-5.3708439897698211E-2</v>
      </c>
      <c r="W43" s="115">
        <v>2.6281208935611039E-3</v>
      </c>
      <c r="X43" s="115">
        <v>-2.8985507246376812E-2</v>
      </c>
      <c r="Y43" s="115">
        <v>-9.3645484949832769E-2</v>
      </c>
      <c r="Z43" s="116">
        <v>2.6281208935611039E-3</v>
      </c>
      <c r="AA43" s="117">
        <v>-5.3708439897698211E-2</v>
      </c>
    </row>
    <row r="44" spans="1:27" x14ac:dyDescent="0.4">
      <c r="A44" s="54"/>
      <c r="B44" s="103" t="s">
        <v>71</v>
      </c>
      <c r="C44" s="149">
        <v>2451</v>
      </c>
      <c r="D44" s="150">
        <v>2486</v>
      </c>
      <c r="E44" s="150">
        <f t="shared" si="0"/>
        <v>-35</v>
      </c>
      <c r="F44" s="151">
        <f t="shared" si="9"/>
        <v>-1.4279885760913913E-2</v>
      </c>
      <c r="G44" s="152">
        <v>1960</v>
      </c>
      <c r="H44" s="150">
        <v>1978</v>
      </c>
      <c r="I44" s="150">
        <f t="shared" si="1"/>
        <v>-18</v>
      </c>
      <c r="J44" s="151">
        <f t="shared" si="2"/>
        <v>-9.1836734693877559E-3</v>
      </c>
      <c r="K44" s="152">
        <v>947</v>
      </c>
      <c r="L44" s="150">
        <v>949</v>
      </c>
      <c r="M44" s="150">
        <f t="shared" si="3"/>
        <v>-2</v>
      </c>
      <c r="N44" s="153">
        <f t="shared" si="4"/>
        <v>-2.1119324181626186E-3</v>
      </c>
      <c r="O44" s="130">
        <f t="shared" si="10"/>
        <v>2451</v>
      </c>
      <c r="P44" s="131">
        <f t="shared" si="10"/>
        <v>2486</v>
      </c>
      <c r="Q44" s="131">
        <f t="shared" si="5"/>
        <v>-35</v>
      </c>
      <c r="R44" s="132">
        <f t="shared" si="6"/>
        <v>-1.4279885760913913E-2</v>
      </c>
      <c r="S44" s="133">
        <f t="shared" si="11"/>
        <v>2907</v>
      </c>
      <c r="T44" s="131">
        <f t="shared" si="11"/>
        <v>2927</v>
      </c>
      <c r="U44" s="131">
        <f t="shared" si="7"/>
        <v>-20</v>
      </c>
      <c r="V44" s="134">
        <f t="shared" si="8"/>
        <v>-6.8799449604403165E-3</v>
      </c>
      <c r="W44" s="115">
        <v>-1.4279885760913913E-2</v>
      </c>
      <c r="X44" s="115">
        <v>-9.1836734693877559E-3</v>
      </c>
      <c r="Y44" s="115">
        <v>-2.1119324181626186E-3</v>
      </c>
      <c r="Z44" s="116">
        <v>-1.4279885760913913E-2</v>
      </c>
      <c r="AA44" s="117">
        <v>-6.8799449604403165E-3</v>
      </c>
    </row>
    <row r="45" spans="1:27" x14ac:dyDescent="0.4">
      <c r="A45" s="54"/>
      <c r="B45" s="103" t="s">
        <v>72</v>
      </c>
      <c r="C45" s="149">
        <v>2036</v>
      </c>
      <c r="D45" s="150">
        <v>2033</v>
      </c>
      <c r="E45" s="150">
        <f t="shared" si="0"/>
        <v>3</v>
      </c>
      <c r="F45" s="151">
        <f t="shared" si="9"/>
        <v>1.4734774066797642E-3</v>
      </c>
      <c r="G45" s="152">
        <v>1487</v>
      </c>
      <c r="H45" s="150">
        <v>1482</v>
      </c>
      <c r="I45" s="150">
        <f t="shared" si="1"/>
        <v>5</v>
      </c>
      <c r="J45" s="151">
        <f t="shared" si="2"/>
        <v>3.3624747814391394E-3</v>
      </c>
      <c r="K45" s="152">
        <v>858</v>
      </c>
      <c r="L45" s="150">
        <v>857</v>
      </c>
      <c r="M45" s="150">
        <f t="shared" si="3"/>
        <v>1</v>
      </c>
      <c r="N45" s="153">
        <f t="shared" si="4"/>
        <v>1.1655011655011655E-3</v>
      </c>
      <c r="O45" s="130">
        <f t="shared" si="10"/>
        <v>2036</v>
      </c>
      <c r="P45" s="131">
        <f t="shared" si="10"/>
        <v>2033</v>
      </c>
      <c r="Q45" s="131">
        <f t="shared" si="5"/>
        <v>3</v>
      </c>
      <c r="R45" s="132">
        <f t="shared" si="6"/>
        <v>1.4734774066797642E-3</v>
      </c>
      <c r="S45" s="133">
        <f t="shared" si="11"/>
        <v>2345</v>
      </c>
      <c r="T45" s="131">
        <f t="shared" si="11"/>
        <v>2339</v>
      </c>
      <c r="U45" s="131">
        <f t="shared" si="7"/>
        <v>6</v>
      </c>
      <c r="V45" s="134">
        <f t="shared" si="8"/>
        <v>2.5586353944562902E-3</v>
      </c>
      <c r="W45" s="115">
        <v>1.4734774066797642E-3</v>
      </c>
      <c r="X45" s="115">
        <v>3.3624747814391394E-3</v>
      </c>
      <c r="Y45" s="115">
        <v>1.1655011655011655E-3</v>
      </c>
      <c r="Z45" s="116">
        <v>1.4734774066797642E-3</v>
      </c>
      <c r="AA45" s="117">
        <v>2.5586353944562902E-3</v>
      </c>
    </row>
    <row r="46" spans="1:27" x14ac:dyDescent="0.4">
      <c r="A46" s="54"/>
      <c r="B46" s="103" t="s">
        <v>73</v>
      </c>
      <c r="C46" s="149">
        <v>971</v>
      </c>
      <c r="D46" s="150">
        <v>975</v>
      </c>
      <c r="E46" s="150">
        <f t="shared" si="0"/>
        <v>-4</v>
      </c>
      <c r="F46" s="151">
        <f t="shared" si="9"/>
        <v>-4.1194644696189494E-3</v>
      </c>
      <c r="G46" s="152">
        <v>695</v>
      </c>
      <c r="H46" s="150">
        <v>702</v>
      </c>
      <c r="I46" s="150">
        <f t="shared" si="1"/>
        <v>-7</v>
      </c>
      <c r="J46" s="151">
        <f t="shared" si="2"/>
        <v>-1.0071942446043165E-2</v>
      </c>
      <c r="K46" s="152">
        <v>429</v>
      </c>
      <c r="L46" s="150">
        <v>490</v>
      </c>
      <c r="M46" s="150">
        <f t="shared" si="3"/>
        <v>-61</v>
      </c>
      <c r="N46" s="153">
        <f t="shared" si="4"/>
        <v>-0.14219114219114218</v>
      </c>
      <c r="O46" s="130">
        <f t="shared" si="10"/>
        <v>971</v>
      </c>
      <c r="P46" s="131">
        <f t="shared" si="10"/>
        <v>975</v>
      </c>
      <c r="Q46" s="131">
        <f t="shared" si="5"/>
        <v>-4</v>
      </c>
      <c r="R46" s="132">
        <f t="shared" si="6"/>
        <v>-4.1194644696189494E-3</v>
      </c>
      <c r="S46" s="133">
        <f t="shared" si="11"/>
        <v>1124</v>
      </c>
      <c r="T46" s="131">
        <f t="shared" si="11"/>
        <v>1192</v>
      </c>
      <c r="U46" s="131">
        <f t="shared" si="7"/>
        <v>-68</v>
      </c>
      <c r="V46" s="134">
        <f t="shared" si="8"/>
        <v>-6.0498220640569395E-2</v>
      </c>
      <c r="W46" s="115">
        <v>-4.1194644696189494E-3</v>
      </c>
      <c r="X46" s="115">
        <v>-1.0071942446043165E-2</v>
      </c>
      <c r="Y46" s="115">
        <v>-0.14219114219114218</v>
      </c>
      <c r="Z46" s="116">
        <v>-4.1194644696189494E-3</v>
      </c>
      <c r="AA46" s="117">
        <v>-6.0498220640569395E-2</v>
      </c>
    </row>
    <row r="47" spans="1:27" x14ac:dyDescent="0.4">
      <c r="A47" s="54"/>
      <c r="B47" s="103" t="s">
        <v>74</v>
      </c>
      <c r="C47" s="149">
        <v>1420</v>
      </c>
      <c r="D47" s="150">
        <v>1424</v>
      </c>
      <c r="E47" s="150">
        <f t="shared" si="0"/>
        <v>-4</v>
      </c>
      <c r="F47" s="151">
        <f t="shared" si="9"/>
        <v>-2.8169014084507044E-3</v>
      </c>
      <c r="G47" s="152">
        <v>974</v>
      </c>
      <c r="H47" s="150">
        <v>975</v>
      </c>
      <c r="I47" s="150">
        <f t="shared" si="1"/>
        <v>-1</v>
      </c>
      <c r="J47" s="151">
        <f t="shared" si="2"/>
        <v>-1.026694045174538E-3</v>
      </c>
      <c r="K47" s="152">
        <v>742</v>
      </c>
      <c r="L47" s="150">
        <v>713</v>
      </c>
      <c r="M47" s="150">
        <f t="shared" si="3"/>
        <v>29</v>
      </c>
      <c r="N47" s="153">
        <f t="shared" si="4"/>
        <v>3.9083557951482481E-2</v>
      </c>
      <c r="O47" s="130">
        <f t="shared" si="10"/>
        <v>1420</v>
      </c>
      <c r="P47" s="131">
        <f t="shared" si="10"/>
        <v>1424</v>
      </c>
      <c r="Q47" s="131">
        <f t="shared" si="5"/>
        <v>-4</v>
      </c>
      <c r="R47" s="132">
        <f t="shared" si="6"/>
        <v>-2.8169014084507044E-3</v>
      </c>
      <c r="S47" s="133">
        <f t="shared" si="11"/>
        <v>1716</v>
      </c>
      <c r="T47" s="131">
        <f t="shared" si="11"/>
        <v>1688</v>
      </c>
      <c r="U47" s="131">
        <f t="shared" si="7"/>
        <v>28</v>
      </c>
      <c r="V47" s="134">
        <f t="shared" si="8"/>
        <v>1.6317016317016316E-2</v>
      </c>
      <c r="W47" s="115">
        <v>-2.8169014084507044E-3</v>
      </c>
      <c r="X47" s="115">
        <v>-1.026694045174538E-3</v>
      </c>
      <c r="Y47" s="115">
        <v>3.9083557951482481E-2</v>
      </c>
      <c r="Z47" s="116">
        <v>-2.8169014084507044E-3</v>
      </c>
      <c r="AA47" s="117">
        <v>1.6317016317016316E-2</v>
      </c>
    </row>
    <row r="48" spans="1:27" x14ac:dyDescent="0.4">
      <c r="A48" s="54"/>
      <c r="B48" s="103" t="s">
        <v>75</v>
      </c>
      <c r="C48" s="149">
        <v>619</v>
      </c>
      <c r="D48" s="150">
        <v>615</v>
      </c>
      <c r="E48" s="150">
        <f t="shared" si="0"/>
        <v>4</v>
      </c>
      <c r="F48" s="151">
        <f t="shared" si="9"/>
        <v>6.462035541195477E-3</v>
      </c>
      <c r="G48" s="152">
        <v>379</v>
      </c>
      <c r="H48" s="150">
        <v>372</v>
      </c>
      <c r="I48" s="150">
        <f t="shared" si="1"/>
        <v>7</v>
      </c>
      <c r="J48" s="151">
        <f t="shared" si="2"/>
        <v>1.8469656992084433E-2</v>
      </c>
      <c r="K48" s="152">
        <v>274</v>
      </c>
      <c r="L48" s="150">
        <v>248</v>
      </c>
      <c r="M48" s="150">
        <f t="shared" si="3"/>
        <v>26</v>
      </c>
      <c r="N48" s="153">
        <f t="shared" si="4"/>
        <v>9.4890510948905105E-2</v>
      </c>
      <c r="O48" s="130">
        <f t="shared" si="10"/>
        <v>619</v>
      </c>
      <c r="P48" s="131">
        <f t="shared" si="10"/>
        <v>615</v>
      </c>
      <c r="Q48" s="131">
        <f t="shared" si="5"/>
        <v>4</v>
      </c>
      <c r="R48" s="132">
        <f t="shared" si="6"/>
        <v>6.462035541195477E-3</v>
      </c>
      <c r="S48" s="133">
        <f t="shared" si="11"/>
        <v>653</v>
      </c>
      <c r="T48" s="131">
        <f t="shared" si="11"/>
        <v>620</v>
      </c>
      <c r="U48" s="131">
        <f t="shared" si="7"/>
        <v>33</v>
      </c>
      <c r="V48" s="134">
        <f t="shared" si="8"/>
        <v>5.0535987748851458E-2</v>
      </c>
      <c r="W48" s="115">
        <v>6.462035541195477E-3</v>
      </c>
      <c r="X48" s="115">
        <v>1.8469656992084433E-2</v>
      </c>
      <c r="Y48" s="115">
        <v>9.4890510948905105E-2</v>
      </c>
      <c r="Z48" s="116">
        <v>6.462035541195477E-3</v>
      </c>
      <c r="AA48" s="117">
        <v>5.0535987748851458E-2</v>
      </c>
    </row>
    <row r="49" spans="1:27" x14ac:dyDescent="0.4">
      <c r="A49" s="54"/>
      <c r="B49" s="103" t="s">
        <v>76</v>
      </c>
      <c r="C49" s="149">
        <v>2465</v>
      </c>
      <c r="D49" s="150">
        <v>2454</v>
      </c>
      <c r="E49" s="150">
        <f t="shared" si="0"/>
        <v>11</v>
      </c>
      <c r="F49" s="151">
        <f t="shared" si="9"/>
        <v>4.4624746450304259E-3</v>
      </c>
      <c r="G49" s="152">
        <v>1925</v>
      </c>
      <c r="H49" s="150">
        <v>1904</v>
      </c>
      <c r="I49" s="150">
        <f t="shared" si="1"/>
        <v>21</v>
      </c>
      <c r="J49" s="151">
        <f t="shared" si="2"/>
        <v>1.090909090909091E-2</v>
      </c>
      <c r="K49" s="152">
        <v>1133</v>
      </c>
      <c r="L49" s="150">
        <v>1086</v>
      </c>
      <c r="M49" s="150">
        <f t="shared" si="3"/>
        <v>47</v>
      </c>
      <c r="N49" s="153">
        <f t="shared" si="4"/>
        <v>4.1482789055604589E-2</v>
      </c>
      <c r="O49" s="130">
        <f t="shared" si="10"/>
        <v>2465</v>
      </c>
      <c r="P49" s="131">
        <f t="shared" si="10"/>
        <v>2454</v>
      </c>
      <c r="Q49" s="131">
        <f t="shared" si="5"/>
        <v>11</v>
      </c>
      <c r="R49" s="132">
        <f t="shared" si="6"/>
        <v>4.4624746450304259E-3</v>
      </c>
      <c r="S49" s="133">
        <f t="shared" si="11"/>
        <v>3058</v>
      </c>
      <c r="T49" s="131">
        <f t="shared" si="11"/>
        <v>2990</v>
      </c>
      <c r="U49" s="131">
        <f t="shared" si="7"/>
        <v>68</v>
      </c>
      <c r="V49" s="134">
        <f t="shared" si="8"/>
        <v>2.2236756049705691E-2</v>
      </c>
      <c r="W49" s="115">
        <v>4.4624746450304259E-3</v>
      </c>
      <c r="X49" s="115">
        <v>1.090909090909091E-2</v>
      </c>
      <c r="Y49" s="115">
        <v>4.1482789055604589E-2</v>
      </c>
      <c r="Z49" s="116">
        <v>4.4624746450304259E-3</v>
      </c>
      <c r="AA49" s="117">
        <v>2.2236756049705691E-2</v>
      </c>
    </row>
    <row r="50" spans="1:27" x14ac:dyDescent="0.4">
      <c r="A50" s="54"/>
      <c r="B50" s="103" t="s">
        <v>77</v>
      </c>
      <c r="C50" s="149">
        <v>1031</v>
      </c>
      <c r="D50" s="150">
        <v>1030</v>
      </c>
      <c r="E50" s="150">
        <f t="shared" si="0"/>
        <v>1</v>
      </c>
      <c r="F50" s="151">
        <f t="shared" si="9"/>
        <v>9.6993210475266732E-4</v>
      </c>
      <c r="G50" s="152">
        <v>709</v>
      </c>
      <c r="H50" s="150">
        <v>711</v>
      </c>
      <c r="I50" s="150">
        <f t="shared" si="1"/>
        <v>-2</v>
      </c>
      <c r="J50" s="151">
        <f t="shared" si="2"/>
        <v>-2.8208744710860366E-3</v>
      </c>
      <c r="K50" s="152">
        <v>373</v>
      </c>
      <c r="L50" s="150">
        <v>369</v>
      </c>
      <c r="M50" s="150">
        <f t="shared" si="3"/>
        <v>4</v>
      </c>
      <c r="N50" s="153">
        <f t="shared" si="4"/>
        <v>1.0723860589812333E-2</v>
      </c>
      <c r="O50" s="130">
        <f t="shared" si="10"/>
        <v>1031</v>
      </c>
      <c r="P50" s="131">
        <f t="shared" si="10"/>
        <v>1030</v>
      </c>
      <c r="Q50" s="131">
        <f t="shared" si="5"/>
        <v>1</v>
      </c>
      <c r="R50" s="132">
        <f t="shared" si="6"/>
        <v>9.6993210475266732E-4</v>
      </c>
      <c r="S50" s="133">
        <f t="shared" si="11"/>
        <v>1082</v>
      </c>
      <c r="T50" s="131">
        <f t="shared" si="11"/>
        <v>1080</v>
      </c>
      <c r="U50" s="131">
        <f t="shared" si="7"/>
        <v>2</v>
      </c>
      <c r="V50" s="134">
        <f t="shared" si="8"/>
        <v>1.8484288354898336E-3</v>
      </c>
      <c r="W50" s="115">
        <v>9.6993210475266732E-4</v>
      </c>
      <c r="X50" s="115">
        <v>-2.8208744710860366E-3</v>
      </c>
      <c r="Y50" s="115">
        <v>1.0723860589812333E-2</v>
      </c>
      <c r="Z50" s="116">
        <v>9.6993210475266732E-4</v>
      </c>
      <c r="AA50" s="117">
        <v>1.8484288354898336E-3</v>
      </c>
    </row>
    <row r="51" spans="1:27" x14ac:dyDescent="0.4">
      <c r="A51" s="54"/>
      <c r="B51" s="103" t="s">
        <v>78</v>
      </c>
      <c r="C51" s="149">
        <v>1080</v>
      </c>
      <c r="D51" s="150">
        <v>1078</v>
      </c>
      <c r="E51" s="150">
        <f t="shared" si="0"/>
        <v>2</v>
      </c>
      <c r="F51" s="151">
        <f t="shared" si="9"/>
        <v>1.8518518518518519E-3</v>
      </c>
      <c r="G51" s="152">
        <v>598</v>
      </c>
      <c r="H51" s="150">
        <v>598</v>
      </c>
      <c r="I51" s="150">
        <f t="shared" si="1"/>
        <v>0</v>
      </c>
      <c r="J51" s="151">
        <f t="shared" si="2"/>
        <v>0</v>
      </c>
      <c r="K51" s="152">
        <v>345</v>
      </c>
      <c r="L51" s="150">
        <v>344</v>
      </c>
      <c r="M51" s="150">
        <f t="shared" si="3"/>
        <v>1</v>
      </c>
      <c r="N51" s="153">
        <f t="shared" si="4"/>
        <v>2.8985507246376812E-3</v>
      </c>
      <c r="O51" s="130">
        <f t="shared" si="10"/>
        <v>1080</v>
      </c>
      <c r="P51" s="131">
        <f t="shared" si="10"/>
        <v>1078</v>
      </c>
      <c r="Q51" s="131">
        <f t="shared" si="5"/>
        <v>2</v>
      </c>
      <c r="R51" s="132">
        <f t="shared" si="6"/>
        <v>1.8518518518518519E-3</v>
      </c>
      <c r="S51" s="133">
        <f t="shared" si="11"/>
        <v>943</v>
      </c>
      <c r="T51" s="131">
        <f t="shared" si="11"/>
        <v>942</v>
      </c>
      <c r="U51" s="131">
        <f t="shared" si="7"/>
        <v>1</v>
      </c>
      <c r="V51" s="134">
        <f t="shared" si="8"/>
        <v>1.0604453870625664E-3</v>
      </c>
      <c r="W51" s="115">
        <v>1.8518518518518519E-3</v>
      </c>
      <c r="X51" s="115">
        <v>0</v>
      </c>
      <c r="Y51" s="115">
        <v>2.8985507246376812E-3</v>
      </c>
      <c r="Z51" s="116">
        <v>1.8518518518518519E-3</v>
      </c>
      <c r="AA51" s="117">
        <v>1.0604453870625664E-3</v>
      </c>
    </row>
    <row r="52" spans="1:27" x14ac:dyDescent="0.4">
      <c r="A52" s="54"/>
      <c r="B52" s="103" t="s">
        <v>80</v>
      </c>
      <c r="C52" s="149">
        <v>960</v>
      </c>
      <c r="D52" s="150">
        <v>964</v>
      </c>
      <c r="E52" s="150">
        <f t="shared" si="0"/>
        <v>-4</v>
      </c>
      <c r="F52" s="151">
        <f t="shared" si="9"/>
        <v>-4.1666666666666666E-3</v>
      </c>
      <c r="G52" s="152">
        <v>707</v>
      </c>
      <c r="H52" s="150">
        <v>708</v>
      </c>
      <c r="I52" s="150">
        <f t="shared" si="1"/>
        <v>-1</v>
      </c>
      <c r="J52" s="151">
        <f t="shared" si="2"/>
        <v>-1.4144271570014145E-3</v>
      </c>
      <c r="K52" s="152">
        <v>439</v>
      </c>
      <c r="L52" s="150">
        <v>460</v>
      </c>
      <c r="M52" s="150">
        <f t="shared" si="3"/>
        <v>-21</v>
      </c>
      <c r="N52" s="153">
        <f t="shared" si="4"/>
        <v>-4.7835990888382689E-2</v>
      </c>
      <c r="O52" s="130">
        <f t="shared" si="10"/>
        <v>960</v>
      </c>
      <c r="P52" s="131">
        <f t="shared" si="10"/>
        <v>964</v>
      </c>
      <c r="Q52" s="131">
        <f t="shared" si="5"/>
        <v>-4</v>
      </c>
      <c r="R52" s="132">
        <f t="shared" si="6"/>
        <v>-4.1666666666666666E-3</v>
      </c>
      <c r="S52" s="133">
        <f t="shared" si="11"/>
        <v>1146</v>
      </c>
      <c r="T52" s="131">
        <f t="shared" si="11"/>
        <v>1168</v>
      </c>
      <c r="U52" s="131">
        <f t="shared" si="7"/>
        <v>-22</v>
      </c>
      <c r="V52" s="134">
        <f t="shared" si="8"/>
        <v>-1.9197207678883072E-2</v>
      </c>
      <c r="W52" s="115">
        <v>-4.1666666666666666E-3</v>
      </c>
      <c r="X52" s="115">
        <v>-1.4144271570014145E-3</v>
      </c>
      <c r="Y52" s="115">
        <v>-4.7835990888382689E-2</v>
      </c>
      <c r="Z52" s="116">
        <v>-4.1666666666666666E-3</v>
      </c>
      <c r="AA52" s="117">
        <v>-1.9197207678883072E-2</v>
      </c>
    </row>
    <row r="53" spans="1:27" x14ac:dyDescent="0.4">
      <c r="A53" s="54"/>
      <c r="B53" s="103" t="s">
        <v>81</v>
      </c>
      <c r="C53" s="149">
        <v>941</v>
      </c>
      <c r="D53" s="150">
        <v>940</v>
      </c>
      <c r="E53" s="150">
        <f t="shared" si="0"/>
        <v>1</v>
      </c>
      <c r="F53" s="151">
        <f t="shared" si="9"/>
        <v>1.0626992561105207E-3</v>
      </c>
      <c r="G53" s="152">
        <v>567</v>
      </c>
      <c r="H53" s="150">
        <v>559</v>
      </c>
      <c r="I53" s="150">
        <f t="shared" si="1"/>
        <v>8</v>
      </c>
      <c r="J53" s="151">
        <f t="shared" si="2"/>
        <v>1.4109347442680775E-2</v>
      </c>
      <c r="K53" s="152">
        <v>433</v>
      </c>
      <c r="L53" s="150">
        <v>419</v>
      </c>
      <c r="M53" s="150">
        <f t="shared" si="3"/>
        <v>14</v>
      </c>
      <c r="N53" s="153">
        <f t="shared" si="4"/>
        <v>3.2332563510392612E-2</v>
      </c>
      <c r="O53" s="130">
        <f t="shared" si="10"/>
        <v>941</v>
      </c>
      <c r="P53" s="131">
        <f t="shared" si="10"/>
        <v>940</v>
      </c>
      <c r="Q53" s="131">
        <f t="shared" si="5"/>
        <v>1</v>
      </c>
      <c r="R53" s="132">
        <f t="shared" si="6"/>
        <v>1.0626992561105207E-3</v>
      </c>
      <c r="S53" s="133">
        <f t="shared" si="11"/>
        <v>1000</v>
      </c>
      <c r="T53" s="131">
        <f t="shared" si="11"/>
        <v>978</v>
      </c>
      <c r="U53" s="131">
        <f t="shared" si="7"/>
        <v>22</v>
      </c>
      <c r="V53" s="134">
        <f t="shared" si="8"/>
        <v>2.1999999999999999E-2</v>
      </c>
      <c r="W53" s="115">
        <v>1.0626992561105207E-3</v>
      </c>
      <c r="X53" s="115">
        <v>1.4109347442680775E-2</v>
      </c>
      <c r="Y53" s="115">
        <v>3.2332563510392612E-2</v>
      </c>
      <c r="Z53" s="116">
        <v>1.0626992561105207E-3</v>
      </c>
      <c r="AA53" s="117">
        <v>2.1999999999999999E-2</v>
      </c>
    </row>
    <row r="54" spans="1:27" x14ac:dyDescent="0.4">
      <c r="A54" s="54"/>
      <c r="B54" s="103" t="s">
        <v>88</v>
      </c>
      <c r="C54" s="149">
        <v>2781</v>
      </c>
      <c r="D54" s="150">
        <v>2786</v>
      </c>
      <c r="E54" s="150">
        <f t="shared" si="0"/>
        <v>-5</v>
      </c>
      <c r="F54" s="151">
        <f t="shared" si="9"/>
        <v>-1.7979144192736426E-3</v>
      </c>
      <c r="G54" s="152">
        <v>2067</v>
      </c>
      <c r="H54" s="150">
        <v>2074</v>
      </c>
      <c r="I54" s="150">
        <f t="shared" si="1"/>
        <v>-7</v>
      </c>
      <c r="J54" s="151">
        <f t="shared" si="2"/>
        <v>-3.386550556361877E-3</v>
      </c>
      <c r="K54" s="152">
        <v>1104</v>
      </c>
      <c r="L54" s="150">
        <v>1102</v>
      </c>
      <c r="M54" s="150">
        <f t="shared" si="3"/>
        <v>2</v>
      </c>
      <c r="N54" s="153">
        <f t="shared" si="4"/>
        <v>1.8115942028985507E-3</v>
      </c>
      <c r="O54" s="130">
        <f t="shared" si="10"/>
        <v>2781</v>
      </c>
      <c r="P54" s="131">
        <f t="shared" si="10"/>
        <v>2786</v>
      </c>
      <c r="Q54" s="131">
        <f t="shared" si="5"/>
        <v>-5</v>
      </c>
      <c r="R54" s="132">
        <f t="shared" si="6"/>
        <v>-1.7979144192736426E-3</v>
      </c>
      <c r="S54" s="133">
        <f t="shared" si="11"/>
        <v>3171</v>
      </c>
      <c r="T54" s="131">
        <f t="shared" si="11"/>
        <v>3176</v>
      </c>
      <c r="U54" s="131">
        <f t="shared" si="7"/>
        <v>-5</v>
      </c>
      <c r="V54" s="134">
        <f t="shared" si="8"/>
        <v>-1.5767896562598549E-3</v>
      </c>
      <c r="W54" s="115">
        <v>-1.7979144192736426E-3</v>
      </c>
      <c r="X54" s="115">
        <v>-3.386550556361877E-3</v>
      </c>
      <c r="Y54" s="115">
        <v>1.8115942028985507E-3</v>
      </c>
      <c r="Z54" s="116">
        <v>-1.7979144192736426E-3</v>
      </c>
      <c r="AA54" s="117">
        <v>-1.5767896562598549E-3</v>
      </c>
    </row>
    <row r="55" spans="1:27" x14ac:dyDescent="0.4">
      <c r="A55" s="54"/>
      <c r="B55" s="104" t="s">
        <v>89</v>
      </c>
      <c r="C55" s="149">
        <v>1657</v>
      </c>
      <c r="D55" s="150">
        <v>1660</v>
      </c>
      <c r="E55" s="150">
        <f t="shared" si="0"/>
        <v>-3</v>
      </c>
      <c r="F55" s="151">
        <f t="shared" si="9"/>
        <v>-1.8105009052504525E-3</v>
      </c>
      <c r="G55" s="152">
        <v>1071</v>
      </c>
      <c r="H55" s="150">
        <v>1068</v>
      </c>
      <c r="I55" s="150">
        <f t="shared" si="1"/>
        <v>3</v>
      </c>
      <c r="J55" s="151">
        <f t="shared" si="2"/>
        <v>2.8011204481792717E-3</v>
      </c>
      <c r="K55" s="152">
        <v>742</v>
      </c>
      <c r="L55" s="150">
        <v>746</v>
      </c>
      <c r="M55" s="150">
        <f t="shared" si="3"/>
        <v>-4</v>
      </c>
      <c r="N55" s="153">
        <f t="shared" si="4"/>
        <v>-5.3908355795148251E-3</v>
      </c>
      <c r="O55" s="130">
        <f t="shared" si="10"/>
        <v>1657</v>
      </c>
      <c r="P55" s="131">
        <f t="shared" si="10"/>
        <v>1660</v>
      </c>
      <c r="Q55" s="131">
        <f t="shared" si="5"/>
        <v>-3</v>
      </c>
      <c r="R55" s="132">
        <f t="shared" si="6"/>
        <v>-1.8105009052504525E-3</v>
      </c>
      <c r="S55" s="133">
        <f t="shared" si="11"/>
        <v>1813</v>
      </c>
      <c r="T55" s="131">
        <f t="shared" si="11"/>
        <v>1814</v>
      </c>
      <c r="U55" s="131">
        <f t="shared" si="7"/>
        <v>-1</v>
      </c>
      <c r="V55" s="134">
        <f t="shared" si="8"/>
        <v>-5.5157198014340876E-4</v>
      </c>
      <c r="W55" s="115">
        <v>-1.8105009052504525E-3</v>
      </c>
      <c r="X55" s="115">
        <v>2.8011204481792717E-3</v>
      </c>
      <c r="Y55" s="115">
        <v>-5.3908355795148251E-3</v>
      </c>
      <c r="Z55" s="116">
        <v>-1.8105009052504525E-3</v>
      </c>
      <c r="AA55" s="117">
        <v>-5.5157198014340876E-4</v>
      </c>
    </row>
    <row r="56" spans="1:27" x14ac:dyDescent="0.4">
      <c r="A56" s="54"/>
      <c r="B56" s="104" t="s">
        <v>90</v>
      </c>
      <c r="C56" s="149">
        <v>781</v>
      </c>
      <c r="D56" s="150">
        <v>781</v>
      </c>
      <c r="E56" s="150">
        <f t="shared" si="0"/>
        <v>0</v>
      </c>
      <c r="F56" s="151">
        <f t="shared" si="9"/>
        <v>0</v>
      </c>
      <c r="G56" s="152">
        <v>575</v>
      </c>
      <c r="H56" s="150">
        <v>566</v>
      </c>
      <c r="I56" s="150">
        <f t="shared" si="1"/>
        <v>9</v>
      </c>
      <c r="J56" s="151">
        <f t="shared" si="2"/>
        <v>1.5652173913043479E-2</v>
      </c>
      <c r="K56" s="152">
        <v>252</v>
      </c>
      <c r="L56" s="150">
        <v>241</v>
      </c>
      <c r="M56" s="150">
        <f t="shared" si="3"/>
        <v>11</v>
      </c>
      <c r="N56" s="153">
        <f t="shared" si="4"/>
        <v>4.3650793650793648E-2</v>
      </c>
      <c r="O56" s="130">
        <f t="shared" si="10"/>
        <v>781</v>
      </c>
      <c r="P56" s="131">
        <f t="shared" si="10"/>
        <v>781</v>
      </c>
      <c r="Q56" s="131">
        <f t="shared" si="5"/>
        <v>0</v>
      </c>
      <c r="R56" s="132">
        <f t="shared" si="6"/>
        <v>0</v>
      </c>
      <c r="S56" s="133">
        <f t="shared" si="11"/>
        <v>827</v>
      </c>
      <c r="T56" s="131">
        <f t="shared" si="11"/>
        <v>807</v>
      </c>
      <c r="U56" s="131">
        <f t="shared" si="7"/>
        <v>20</v>
      </c>
      <c r="V56" s="134">
        <f t="shared" si="8"/>
        <v>2.4183796856106408E-2</v>
      </c>
      <c r="W56" s="115">
        <v>0</v>
      </c>
      <c r="X56" s="115">
        <v>1.5652173913043479E-2</v>
      </c>
      <c r="Y56" s="115">
        <v>4.3650793650793648E-2</v>
      </c>
      <c r="Z56" s="116">
        <v>0</v>
      </c>
      <c r="AA56" s="117">
        <v>2.4183796856106408E-2</v>
      </c>
    </row>
    <row r="57" spans="1:27" x14ac:dyDescent="0.4">
      <c r="A57" s="54"/>
      <c r="B57" s="104" t="s">
        <v>91</v>
      </c>
      <c r="C57" s="149">
        <v>1094</v>
      </c>
      <c r="D57" s="150">
        <v>1089</v>
      </c>
      <c r="E57" s="150">
        <f t="shared" si="0"/>
        <v>5</v>
      </c>
      <c r="F57" s="151">
        <f t="shared" si="9"/>
        <v>4.570383912248629E-3</v>
      </c>
      <c r="G57" s="152">
        <v>791</v>
      </c>
      <c r="H57" s="150">
        <v>798</v>
      </c>
      <c r="I57" s="150">
        <f t="shared" si="1"/>
        <v>-7</v>
      </c>
      <c r="J57" s="151">
        <f t="shared" si="2"/>
        <v>-8.8495575221238937E-3</v>
      </c>
      <c r="K57" s="152">
        <v>443</v>
      </c>
      <c r="L57" s="150">
        <v>448</v>
      </c>
      <c r="M57" s="150">
        <f t="shared" si="3"/>
        <v>-5</v>
      </c>
      <c r="N57" s="153">
        <f t="shared" si="4"/>
        <v>-1.1286681715575621E-2</v>
      </c>
      <c r="O57" s="130">
        <f t="shared" si="10"/>
        <v>1094</v>
      </c>
      <c r="P57" s="131">
        <f t="shared" si="10"/>
        <v>1089</v>
      </c>
      <c r="Q57" s="131">
        <f t="shared" si="5"/>
        <v>5</v>
      </c>
      <c r="R57" s="132">
        <f t="shared" si="6"/>
        <v>4.570383912248629E-3</v>
      </c>
      <c r="S57" s="133">
        <f t="shared" si="11"/>
        <v>1234</v>
      </c>
      <c r="T57" s="131">
        <f t="shared" si="11"/>
        <v>1246</v>
      </c>
      <c r="U57" s="131">
        <f t="shared" si="7"/>
        <v>-12</v>
      </c>
      <c r="V57" s="134">
        <f t="shared" si="8"/>
        <v>-9.7244732576985422E-3</v>
      </c>
      <c r="W57" s="115">
        <v>4.570383912248629E-3</v>
      </c>
      <c r="X57" s="115">
        <v>-8.8495575221238937E-3</v>
      </c>
      <c r="Y57" s="115">
        <v>-1.1286681715575621E-2</v>
      </c>
      <c r="Z57" s="116">
        <v>4.570383912248629E-3</v>
      </c>
      <c r="AA57" s="117">
        <v>-9.7244732576985422E-3</v>
      </c>
    </row>
    <row r="58" spans="1:27" x14ac:dyDescent="0.4">
      <c r="A58" s="54"/>
      <c r="B58" s="104" t="s">
        <v>92</v>
      </c>
      <c r="C58" s="149">
        <v>1899</v>
      </c>
      <c r="D58" s="150">
        <v>1906</v>
      </c>
      <c r="E58" s="150">
        <f t="shared" si="0"/>
        <v>-7</v>
      </c>
      <c r="F58" s="151">
        <f t="shared" si="9"/>
        <v>-3.686150605581885E-3</v>
      </c>
      <c r="G58" s="152">
        <v>1446</v>
      </c>
      <c r="H58" s="150">
        <v>1439</v>
      </c>
      <c r="I58" s="150">
        <f t="shared" si="1"/>
        <v>7</v>
      </c>
      <c r="J58" s="151">
        <f t="shared" si="2"/>
        <v>4.8409405255878286E-3</v>
      </c>
      <c r="K58" s="152">
        <v>719</v>
      </c>
      <c r="L58" s="150">
        <v>708</v>
      </c>
      <c r="M58" s="150">
        <f t="shared" si="3"/>
        <v>11</v>
      </c>
      <c r="N58" s="153">
        <f t="shared" si="4"/>
        <v>1.5299026425591099E-2</v>
      </c>
      <c r="O58" s="130">
        <f t="shared" si="10"/>
        <v>1899</v>
      </c>
      <c r="P58" s="131">
        <f t="shared" si="10"/>
        <v>1906</v>
      </c>
      <c r="Q58" s="131">
        <f t="shared" si="5"/>
        <v>-7</v>
      </c>
      <c r="R58" s="132">
        <f t="shared" si="6"/>
        <v>-3.686150605581885E-3</v>
      </c>
      <c r="S58" s="133">
        <f t="shared" si="11"/>
        <v>2165</v>
      </c>
      <c r="T58" s="131">
        <f t="shared" si="11"/>
        <v>2147</v>
      </c>
      <c r="U58" s="131">
        <f t="shared" si="7"/>
        <v>18</v>
      </c>
      <c r="V58" s="134">
        <f t="shared" si="8"/>
        <v>8.3140877598152432E-3</v>
      </c>
      <c r="W58" s="115">
        <v>-3.686150605581885E-3</v>
      </c>
      <c r="X58" s="115">
        <v>4.8409405255878286E-3</v>
      </c>
      <c r="Y58" s="115">
        <v>1.5299026425591099E-2</v>
      </c>
      <c r="Z58" s="116">
        <v>-3.686150605581885E-3</v>
      </c>
      <c r="AA58" s="117">
        <v>8.3140877598152432E-3</v>
      </c>
    </row>
    <row r="59" spans="1:27" x14ac:dyDescent="0.4">
      <c r="A59" s="54"/>
      <c r="B59" s="104" t="s">
        <v>93</v>
      </c>
      <c r="C59" s="149">
        <v>459</v>
      </c>
      <c r="D59" s="150">
        <v>465</v>
      </c>
      <c r="E59" s="150">
        <f t="shared" si="0"/>
        <v>-6</v>
      </c>
      <c r="F59" s="151">
        <f t="shared" si="9"/>
        <v>-1.3071895424836602E-2</v>
      </c>
      <c r="G59" s="152">
        <v>317</v>
      </c>
      <c r="H59" s="150">
        <v>327</v>
      </c>
      <c r="I59" s="150">
        <f t="shared" si="1"/>
        <v>-10</v>
      </c>
      <c r="J59" s="151">
        <f t="shared" si="2"/>
        <v>-3.1545741324921134E-2</v>
      </c>
      <c r="K59" s="152">
        <v>249</v>
      </c>
      <c r="L59" s="150">
        <v>267</v>
      </c>
      <c r="M59" s="150">
        <f t="shared" si="3"/>
        <v>-18</v>
      </c>
      <c r="N59" s="153">
        <f t="shared" si="4"/>
        <v>-7.2289156626506021E-2</v>
      </c>
      <c r="O59" s="130">
        <f t="shared" si="10"/>
        <v>459</v>
      </c>
      <c r="P59" s="131">
        <f t="shared" si="10"/>
        <v>465</v>
      </c>
      <c r="Q59" s="131">
        <f t="shared" si="5"/>
        <v>-6</v>
      </c>
      <c r="R59" s="132">
        <f t="shared" si="6"/>
        <v>-1.3071895424836602E-2</v>
      </c>
      <c r="S59" s="133">
        <f t="shared" si="11"/>
        <v>566</v>
      </c>
      <c r="T59" s="131">
        <f t="shared" si="11"/>
        <v>594</v>
      </c>
      <c r="U59" s="131">
        <f t="shared" si="7"/>
        <v>-28</v>
      </c>
      <c r="V59" s="134">
        <f t="shared" si="8"/>
        <v>-4.9469964664310952E-2</v>
      </c>
      <c r="W59" s="115">
        <v>-1.3071895424836602E-2</v>
      </c>
      <c r="X59" s="115">
        <v>-3.1545741324921134E-2</v>
      </c>
      <c r="Y59" s="115">
        <v>-7.2289156626506021E-2</v>
      </c>
      <c r="Z59" s="116">
        <v>-1.3071895424836602E-2</v>
      </c>
      <c r="AA59" s="117">
        <v>-4.9469964664310952E-2</v>
      </c>
    </row>
    <row r="60" spans="1:27" x14ac:dyDescent="0.4">
      <c r="A60" s="54"/>
      <c r="B60" s="104" t="s">
        <v>94</v>
      </c>
      <c r="C60" s="149">
        <v>1445</v>
      </c>
      <c r="D60" s="150">
        <v>1446</v>
      </c>
      <c r="E60" s="150">
        <f t="shared" si="0"/>
        <v>-1</v>
      </c>
      <c r="F60" s="151">
        <f t="shared" si="9"/>
        <v>-6.9204152249134946E-4</v>
      </c>
      <c r="G60" s="152">
        <v>1034</v>
      </c>
      <c r="H60" s="150">
        <v>1032</v>
      </c>
      <c r="I60" s="150">
        <f t="shared" si="1"/>
        <v>2</v>
      </c>
      <c r="J60" s="151">
        <f t="shared" si="2"/>
        <v>1.9342359767891683E-3</v>
      </c>
      <c r="K60" s="152">
        <v>461</v>
      </c>
      <c r="L60" s="150">
        <v>458</v>
      </c>
      <c r="M60" s="150">
        <f t="shared" si="3"/>
        <v>3</v>
      </c>
      <c r="N60" s="153">
        <f t="shared" si="4"/>
        <v>6.5075921908893707E-3</v>
      </c>
      <c r="O60" s="130">
        <f t="shared" si="10"/>
        <v>1445</v>
      </c>
      <c r="P60" s="131">
        <f t="shared" si="10"/>
        <v>1446</v>
      </c>
      <c r="Q60" s="131">
        <f t="shared" si="5"/>
        <v>-1</v>
      </c>
      <c r="R60" s="132">
        <f t="shared" si="6"/>
        <v>-6.9204152249134946E-4</v>
      </c>
      <c r="S60" s="133">
        <f t="shared" si="11"/>
        <v>1495</v>
      </c>
      <c r="T60" s="131">
        <f t="shared" si="11"/>
        <v>1490</v>
      </c>
      <c r="U60" s="131">
        <f t="shared" si="7"/>
        <v>5</v>
      </c>
      <c r="V60" s="134">
        <f t="shared" si="8"/>
        <v>3.3444816053511705E-3</v>
      </c>
      <c r="W60" s="115">
        <v>-6.9204152249134946E-4</v>
      </c>
      <c r="X60" s="115">
        <v>1.9342359767891683E-3</v>
      </c>
      <c r="Y60" s="115">
        <v>6.5075921908893707E-3</v>
      </c>
      <c r="Z60" s="116">
        <v>-6.9204152249134946E-4</v>
      </c>
      <c r="AA60" s="117">
        <v>3.3444816053511705E-3</v>
      </c>
    </row>
    <row r="61" spans="1:27" x14ac:dyDescent="0.4">
      <c r="A61" s="54"/>
      <c r="B61" s="104" t="s">
        <v>95</v>
      </c>
      <c r="C61" s="149">
        <v>932</v>
      </c>
      <c r="D61" s="150">
        <v>931</v>
      </c>
      <c r="E61" s="150">
        <f t="shared" si="0"/>
        <v>1</v>
      </c>
      <c r="F61" s="151">
        <f t="shared" si="9"/>
        <v>1.0729613733905579E-3</v>
      </c>
      <c r="G61" s="152">
        <v>728</v>
      </c>
      <c r="H61" s="150">
        <v>725</v>
      </c>
      <c r="I61" s="150">
        <f t="shared" si="1"/>
        <v>3</v>
      </c>
      <c r="J61" s="151">
        <f t="shared" si="2"/>
        <v>4.120879120879121E-3</v>
      </c>
      <c r="K61" s="152">
        <v>417</v>
      </c>
      <c r="L61" s="150">
        <v>413</v>
      </c>
      <c r="M61" s="150">
        <f t="shared" si="3"/>
        <v>4</v>
      </c>
      <c r="N61" s="153">
        <f t="shared" si="4"/>
        <v>9.5923261390887284E-3</v>
      </c>
      <c r="O61" s="130">
        <f t="shared" si="10"/>
        <v>932</v>
      </c>
      <c r="P61" s="131">
        <f t="shared" si="10"/>
        <v>931</v>
      </c>
      <c r="Q61" s="131">
        <f t="shared" si="5"/>
        <v>1</v>
      </c>
      <c r="R61" s="132">
        <f t="shared" si="6"/>
        <v>1.0729613733905579E-3</v>
      </c>
      <c r="S61" s="133">
        <f t="shared" si="11"/>
        <v>1145</v>
      </c>
      <c r="T61" s="131">
        <f t="shared" si="11"/>
        <v>1138</v>
      </c>
      <c r="U61" s="131">
        <f t="shared" si="7"/>
        <v>7</v>
      </c>
      <c r="V61" s="134">
        <f t="shared" si="8"/>
        <v>6.1135371179039302E-3</v>
      </c>
      <c r="W61" s="115">
        <v>1.0729613733905579E-3</v>
      </c>
      <c r="X61" s="115">
        <v>4.120879120879121E-3</v>
      </c>
      <c r="Y61" s="115">
        <v>9.5923261390887284E-3</v>
      </c>
      <c r="Z61" s="116">
        <v>1.0729613733905579E-3</v>
      </c>
      <c r="AA61" s="117">
        <v>6.1135371179039302E-3</v>
      </c>
    </row>
    <row r="62" spans="1:27" x14ac:dyDescent="0.4">
      <c r="A62" s="54"/>
      <c r="B62" s="104" t="s">
        <v>96</v>
      </c>
      <c r="C62" s="149">
        <v>2856</v>
      </c>
      <c r="D62" s="150">
        <v>2854</v>
      </c>
      <c r="E62" s="150">
        <f t="shared" si="0"/>
        <v>2</v>
      </c>
      <c r="F62" s="151">
        <f t="shared" si="9"/>
        <v>7.0028011204481793E-4</v>
      </c>
      <c r="G62" s="152">
        <v>2094</v>
      </c>
      <c r="H62" s="150">
        <v>2100</v>
      </c>
      <c r="I62" s="150">
        <f t="shared" si="1"/>
        <v>-6</v>
      </c>
      <c r="J62" s="151">
        <f t="shared" si="2"/>
        <v>-2.8653295128939827E-3</v>
      </c>
      <c r="K62" s="152">
        <v>1213</v>
      </c>
      <c r="L62" s="150">
        <v>1201</v>
      </c>
      <c r="M62" s="150">
        <f t="shared" si="3"/>
        <v>12</v>
      </c>
      <c r="N62" s="153">
        <f t="shared" si="4"/>
        <v>9.8928276999175595E-3</v>
      </c>
      <c r="O62" s="130">
        <f t="shared" si="10"/>
        <v>2856</v>
      </c>
      <c r="P62" s="131">
        <f t="shared" si="10"/>
        <v>2854</v>
      </c>
      <c r="Q62" s="131">
        <f t="shared" si="5"/>
        <v>2</v>
      </c>
      <c r="R62" s="132">
        <f t="shared" si="6"/>
        <v>7.0028011204481793E-4</v>
      </c>
      <c r="S62" s="133">
        <f t="shared" si="11"/>
        <v>3307</v>
      </c>
      <c r="T62" s="131">
        <f t="shared" si="11"/>
        <v>3301</v>
      </c>
      <c r="U62" s="131">
        <f t="shared" si="7"/>
        <v>6</v>
      </c>
      <c r="V62" s="134">
        <f t="shared" si="8"/>
        <v>1.8143332325370426E-3</v>
      </c>
      <c r="W62" s="115">
        <v>7.0028011204481793E-4</v>
      </c>
      <c r="X62" s="115">
        <v>-2.8653295128939827E-3</v>
      </c>
      <c r="Y62" s="115">
        <v>9.8928276999175595E-3</v>
      </c>
      <c r="Z62" s="116">
        <v>7.0028011204481793E-4</v>
      </c>
      <c r="AA62" s="117">
        <v>1.8143332325370426E-3</v>
      </c>
    </row>
    <row r="63" spans="1:27" x14ac:dyDescent="0.4">
      <c r="A63" s="54"/>
      <c r="B63" s="104" t="s">
        <v>216</v>
      </c>
      <c r="C63" s="149">
        <v>227</v>
      </c>
      <c r="D63" s="150">
        <v>226</v>
      </c>
      <c r="E63" s="150">
        <f t="shared" si="0"/>
        <v>1</v>
      </c>
      <c r="F63" s="151">
        <f t="shared" si="9"/>
        <v>4.4052863436123352E-3</v>
      </c>
      <c r="G63" s="152">
        <v>157</v>
      </c>
      <c r="H63" s="150">
        <v>157</v>
      </c>
      <c r="I63" s="150">
        <f t="shared" si="1"/>
        <v>0</v>
      </c>
      <c r="J63" s="151">
        <f t="shared" si="2"/>
        <v>0</v>
      </c>
      <c r="K63" s="152">
        <v>129</v>
      </c>
      <c r="L63" s="150">
        <v>127</v>
      </c>
      <c r="M63" s="150">
        <f t="shared" si="3"/>
        <v>2</v>
      </c>
      <c r="N63" s="153">
        <f t="shared" si="4"/>
        <v>1.5503875968992248E-2</v>
      </c>
      <c r="O63" s="130">
        <f t="shared" si="10"/>
        <v>227</v>
      </c>
      <c r="P63" s="131">
        <f t="shared" si="10"/>
        <v>226</v>
      </c>
      <c r="Q63" s="131">
        <f t="shared" si="5"/>
        <v>1</v>
      </c>
      <c r="R63" s="132">
        <f t="shared" si="6"/>
        <v>4.4052863436123352E-3</v>
      </c>
      <c r="S63" s="133">
        <f t="shared" si="11"/>
        <v>286</v>
      </c>
      <c r="T63" s="131">
        <f t="shared" si="11"/>
        <v>284</v>
      </c>
      <c r="U63" s="131">
        <f t="shared" si="7"/>
        <v>2</v>
      </c>
      <c r="V63" s="134">
        <f t="shared" si="8"/>
        <v>6.993006993006993E-3</v>
      </c>
      <c r="W63" s="115">
        <v>4.4052863436123352E-3</v>
      </c>
      <c r="X63" s="115">
        <v>0</v>
      </c>
      <c r="Y63" s="115">
        <v>1.5503875968992248E-2</v>
      </c>
      <c r="Z63" s="116">
        <v>4.4052863436123352E-3</v>
      </c>
      <c r="AA63" s="117">
        <v>6.993006993006993E-3</v>
      </c>
    </row>
    <row r="64" spans="1:27" x14ac:dyDescent="0.4">
      <c r="A64" s="54"/>
      <c r="B64" s="104" t="s">
        <v>98</v>
      </c>
      <c r="C64" s="149">
        <v>1175</v>
      </c>
      <c r="D64" s="150">
        <v>1175</v>
      </c>
      <c r="E64" s="150">
        <f t="shared" si="0"/>
        <v>0</v>
      </c>
      <c r="F64" s="151">
        <f t="shared" si="9"/>
        <v>0</v>
      </c>
      <c r="G64" s="152">
        <v>963</v>
      </c>
      <c r="H64" s="150">
        <v>963</v>
      </c>
      <c r="I64" s="150">
        <f t="shared" si="1"/>
        <v>0</v>
      </c>
      <c r="J64" s="151">
        <f t="shared" si="2"/>
        <v>0</v>
      </c>
      <c r="K64" s="152">
        <v>480</v>
      </c>
      <c r="L64" s="150">
        <v>523</v>
      </c>
      <c r="M64" s="150">
        <f t="shared" si="3"/>
        <v>-43</v>
      </c>
      <c r="N64" s="153">
        <f t="shared" si="4"/>
        <v>-8.9583333333333334E-2</v>
      </c>
      <c r="O64" s="130">
        <f t="shared" si="10"/>
        <v>1175</v>
      </c>
      <c r="P64" s="131">
        <f t="shared" si="10"/>
        <v>1175</v>
      </c>
      <c r="Q64" s="131">
        <f t="shared" si="5"/>
        <v>0</v>
      </c>
      <c r="R64" s="132">
        <f t="shared" si="6"/>
        <v>0</v>
      </c>
      <c r="S64" s="133">
        <f t="shared" si="11"/>
        <v>1443</v>
      </c>
      <c r="T64" s="131">
        <f t="shared" si="11"/>
        <v>1486</v>
      </c>
      <c r="U64" s="131">
        <f t="shared" si="7"/>
        <v>-43</v>
      </c>
      <c r="V64" s="134">
        <f t="shared" si="8"/>
        <v>-2.9799029799029798E-2</v>
      </c>
      <c r="W64" s="115">
        <v>0</v>
      </c>
      <c r="X64" s="115">
        <v>0</v>
      </c>
      <c r="Y64" s="115">
        <v>-8.9583333333333334E-2</v>
      </c>
      <c r="Z64" s="116">
        <v>0</v>
      </c>
      <c r="AA64" s="117">
        <v>-2.9799029799029798E-2</v>
      </c>
    </row>
    <row r="65" spans="1:27" ht="19.5" thickBot="1" x14ac:dyDescent="0.45">
      <c r="A65" s="54"/>
      <c r="B65" s="105" t="s">
        <v>99</v>
      </c>
      <c r="C65" s="154">
        <v>1014</v>
      </c>
      <c r="D65" s="155">
        <v>1007</v>
      </c>
      <c r="E65" s="155">
        <f t="shared" si="0"/>
        <v>7</v>
      </c>
      <c r="F65" s="156">
        <f t="shared" si="9"/>
        <v>6.9033530571992107E-3</v>
      </c>
      <c r="G65" s="157">
        <v>645</v>
      </c>
      <c r="H65" s="155">
        <v>639</v>
      </c>
      <c r="I65" s="155">
        <f t="shared" si="1"/>
        <v>6</v>
      </c>
      <c r="J65" s="156">
        <f t="shared" si="2"/>
        <v>9.3023255813953487E-3</v>
      </c>
      <c r="K65" s="157">
        <v>440</v>
      </c>
      <c r="L65" s="155">
        <v>419</v>
      </c>
      <c r="M65" s="155">
        <f t="shared" si="3"/>
        <v>21</v>
      </c>
      <c r="N65" s="158">
        <f t="shared" si="4"/>
        <v>4.7727272727272729E-2</v>
      </c>
      <c r="O65" s="135">
        <f t="shared" si="10"/>
        <v>1014</v>
      </c>
      <c r="P65" s="136">
        <f t="shared" si="10"/>
        <v>1007</v>
      </c>
      <c r="Q65" s="136">
        <f t="shared" si="5"/>
        <v>7</v>
      </c>
      <c r="R65" s="137">
        <f t="shared" si="6"/>
        <v>6.9033530571992107E-3</v>
      </c>
      <c r="S65" s="138">
        <f t="shared" si="11"/>
        <v>1085</v>
      </c>
      <c r="T65" s="136">
        <f t="shared" si="11"/>
        <v>1058</v>
      </c>
      <c r="U65" s="136">
        <f t="shared" si="7"/>
        <v>27</v>
      </c>
      <c r="V65" s="139">
        <f t="shared" si="8"/>
        <v>2.488479262672811E-2</v>
      </c>
      <c r="W65" s="118">
        <v>6.9033530571992107E-3</v>
      </c>
      <c r="X65" s="118">
        <v>9.3023255813953487E-3</v>
      </c>
      <c r="Y65" s="118">
        <v>4.7727272727272729E-2</v>
      </c>
      <c r="Z65" s="119">
        <v>6.9033530571992107E-3</v>
      </c>
      <c r="AA65" s="120">
        <v>2.488479262672811E-2</v>
      </c>
    </row>
    <row r="66" spans="1:27" x14ac:dyDescent="0.4">
      <c r="B66" s="174" t="s">
        <v>280</v>
      </c>
    </row>
    <row r="67" spans="1:27" x14ac:dyDescent="0.4">
      <c r="B67" s="174" t="s">
        <v>281</v>
      </c>
    </row>
    <row r="68" spans="1:27" x14ac:dyDescent="0.4">
      <c r="B68" s="54" t="s">
        <v>282</v>
      </c>
    </row>
  </sheetData>
  <mergeCells count="12">
    <mergeCell ref="W5:Y5"/>
    <mergeCell ref="Z5:AA5"/>
    <mergeCell ref="B2:J2"/>
    <mergeCell ref="B4:B6"/>
    <mergeCell ref="C4:N4"/>
    <mergeCell ref="O4:V4"/>
    <mergeCell ref="W4:AA4"/>
    <mergeCell ref="C5:F5"/>
    <mergeCell ref="G5:J5"/>
    <mergeCell ref="K5:N5"/>
    <mergeCell ref="O5:R5"/>
    <mergeCell ref="S5:V5"/>
  </mergeCells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4A1E-5116-4D8A-B5DD-6D8575D780A3}">
  <sheetPr>
    <tabColor rgb="FFFFFF00"/>
  </sheetPr>
  <dimension ref="A1:F63"/>
  <sheetViews>
    <sheetView zoomScale="176" zoomScaleNormal="85" workbookViewId="0">
      <selection activeCell="J16" sqref="J16"/>
    </sheetView>
  </sheetViews>
  <sheetFormatPr defaultColWidth="9" defaultRowHeight="15.75" x14ac:dyDescent="0.4"/>
  <cols>
    <col min="1" max="1" width="0.75" style="54" customWidth="1"/>
    <col min="2" max="2" width="11" style="54" bestFit="1" customWidth="1"/>
    <col min="3" max="3" width="14.5" style="54" bestFit="1" customWidth="1"/>
    <col min="4" max="4" width="10" style="54" bestFit="1" customWidth="1"/>
    <col min="5" max="5" width="9" style="54"/>
    <col min="6" max="6" width="9" style="55"/>
    <col min="7" max="16384" width="9" style="54"/>
  </cols>
  <sheetData>
    <row r="1" spans="2:6" ht="31.5" x14ac:dyDescent="0.4">
      <c r="B1" s="30"/>
      <c r="C1" s="163" t="s">
        <v>283</v>
      </c>
      <c r="D1" s="163" t="s">
        <v>284</v>
      </c>
      <c r="E1" s="163" t="s">
        <v>278</v>
      </c>
      <c r="F1" s="164" t="s">
        <v>285</v>
      </c>
    </row>
    <row r="2" spans="2:6" x14ac:dyDescent="0.4">
      <c r="B2" s="107" t="s">
        <v>6</v>
      </c>
      <c r="C2" s="159">
        <v>98449</v>
      </c>
      <c r="D2" s="160">
        <v>98548</v>
      </c>
      <c r="E2" s="160">
        <f t="shared" ref="E2:E33" si="0">C2-D2</f>
        <v>-99</v>
      </c>
      <c r="F2" s="161">
        <f t="shared" ref="F2:F33" si="1">E2/C2</f>
        <v>-1.0055968064683236E-3</v>
      </c>
    </row>
    <row r="3" spans="2:6" x14ac:dyDescent="0.4">
      <c r="B3" s="107" t="s">
        <v>5</v>
      </c>
      <c r="C3" s="159">
        <v>89297</v>
      </c>
      <c r="D3" s="160">
        <v>89410</v>
      </c>
      <c r="E3" s="160">
        <f t="shared" si="0"/>
        <v>-113</v>
      </c>
      <c r="F3" s="161">
        <f t="shared" si="1"/>
        <v>-1.2654400483778851E-3</v>
      </c>
    </row>
    <row r="4" spans="2:6" x14ac:dyDescent="0.4">
      <c r="B4" s="107" t="s">
        <v>19</v>
      </c>
      <c r="C4" s="159">
        <v>83457</v>
      </c>
      <c r="D4" s="160">
        <v>83587</v>
      </c>
      <c r="E4" s="160">
        <f t="shared" si="0"/>
        <v>-130</v>
      </c>
      <c r="F4" s="161">
        <f t="shared" si="1"/>
        <v>-1.5576883904286039E-3</v>
      </c>
    </row>
    <row r="5" spans="2:6" x14ac:dyDescent="0.4">
      <c r="B5" s="107" t="s">
        <v>21</v>
      </c>
      <c r="C5" s="159">
        <v>36469</v>
      </c>
      <c r="D5" s="160">
        <v>36447</v>
      </c>
      <c r="E5" s="160">
        <f t="shared" si="0"/>
        <v>22</v>
      </c>
      <c r="F5" s="161">
        <f t="shared" si="1"/>
        <v>6.0325207710658368E-4</v>
      </c>
    </row>
    <row r="6" spans="2:6" x14ac:dyDescent="0.4">
      <c r="B6" s="107" t="s">
        <v>8</v>
      </c>
      <c r="C6" s="159">
        <v>22372</v>
      </c>
      <c r="D6" s="160">
        <v>22316</v>
      </c>
      <c r="E6" s="160">
        <f t="shared" si="0"/>
        <v>56</v>
      </c>
      <c r="F6" s="161">
        <f t="shared" si="1"/>
        <v>2.5031289111389237E-3</v>
      </c>
    </row>
    <row r="7" spans="2:6" x14ac:dyDescent="0.4">
      <c r="B7" s="107" t="s">
        <v>32</v>
      </c>
      <c r="C7" s="159">
        <v>21059</v>
      </c>
      <c r="D7" s="160">
        <v>20963</v>
      </c>
      <c r="E7" s="160">
        <f t="shared" si="0"/>
        <v>96</v>
      </c>
      <c r="F7" s="161">
        <f t="shared" si="1"/>
        <v>4.5586210171423142E-3</v>
      </c>
    </row>
    <row r="8" spans="2:6" x14ac:dyDescent="0.4">
      <c r="B8" s="107" t="s">
        <v>34</v>
      </c>
      <c r="C8" s="159">
        <v>20722</v>
      </c>
      <c r="D8" s="160">
        <v>20717</v>
      </c>
      <c r="E8" s="160">
        <f t="shared" si="0"/>
        <v>5</v>
      </c>
      <c r="F8" s="161">
        <f t="shared" si="1"/>
        <v>2.4128945082520993E-4</v>
      </c>
    </row>
    <row r="9" spans="2:6" x14ac:dyDescent="0.4">
      <c r="B9" s="107" t="s">
        <v>7</v>
      </c>
      <c r="C9" s="159">
        <v>18482</v>
      </c>
      <c r="D9" s="160">
        <v>18338</v>
      </c>
      <c r="E9" s="160">
        <f t="shared" si="0"/>
        <v>144</v>
      </c>
      <c r="F9" s="161">
        <f t="shared" si="1"/>
        <v>7.791364570933882E-3</v>
      </c>
    </row>
    <row r="10" spans="2:6" x14ac:dyDescent="0.4">
      <c r="B10" s="107" t="s">
        <v>11</v>
      </c>
      <c r="C10" s="159">
        <v>18444</v>
      </c>
      <c r="D10" s="160">
        <v>18401</v>
      </c>
      <c r="E10" s="160">
        <f t="shared" si="0"/>
        <v>43</v>
      </c>
      <c r="F10" s="161">
        <f t="shared" si="1"/>
        <v>2.3313814790717848E-3</v>
      </c>
    </row>
    <row r="11" spans="2:6" x14ac:dyDescent="0.4">
      <c r="B11" s="107" t="s">
        <v>9</v>
      </c>
      <c r="C11" s="159">
        <v>16159</v>
      </c>
      <c r="D11" s="160">
        <v>16305</v>
      </c>
      <c r="E11" s="160">
        <f t="shared" si="0"/>
        <v>-146</v>
      </c>
      <c r="F11" s="161">
        <f t="shared" si="1"/>
        <v>-9.0352125750355842E-3</v>
      </c>
    </row>
    <row r="12" spans="2:6" x14ac:dyDescent="0.4">
      <c r="B12" s="107" t="s">
        <v>30</v>
      </c>
      <c r="C12" s="159">
        <v>12727</v>
      </c>
      <c r="D12" s="160">
        <v>12751</v>
      </c>
      <c r="E12" s="160">
        <f t="shared" si="0"/>
        <v>-24</v>
      </c>
      <c r="F12" s="161">
        <f t="shared" si="1"/>
        <v>-1.8857546947434588E-3</v>
      </c>
    </row>
    <row r="13" spans="2:6" x14ac:dyDescent="0.4">
      <c r="B13" s="107" t="s">
        <v>10</v>
      </c>
      <c r="C13" s="159">
        <v>10859</v>
      </c>
      <c r="D13" s="160">
        <v>10752</v>
      </c>
      <c r="E13" s="160">
        <f t="shared" si="0"/>
        <v>107</v>
      </c>
      <c r="F13" s="161">
        <f t="shared" si="1"/>
        <v>9.853577677502532E-3</v>
      </c>
    </row>
    <row r="14" spans="2:6" x14ac:dyDescent="0.4">
      <c r="B14" s="107" t="s">
        <v>36</v>
      </c>
      <c r="C14" s="159">
        <v>8678</v>
      </c>
      <c r="D14" s="160">
        <v>8675</v>
      </c>
      <c r="E14" s="160">
        <f t="shared" si="0"/>
        <v>3</v>
      </c>
      <c r="F14" s="161">
        <f t="shared" si="1"/>
        <v>3.4570177460244297E-4</v>
      </c>
    </row>
    <row r="15" spans="2:6" x14ac:dyDescent="0.4">
      <c r="B15" s="107" t="s">
        <v>67</v>
      </c>
      <c r="C15" s="159">
        <v>7568</v>
      </c>
      <c r="D15" s="160">
        <v>7625</v>
      </c>
      <c r="E15" s="160">
        <f t="shared" si="0"/>
        <v>-57</v>
      </c>
      <c r="F15" s="161">
        <f t="shared" si="1"/>
        <v>-7.531712473572939E-3</v>
      </c>
    </row>
    <row r="16" spans="2:6" x14ac:dyDescent="0.4">
      <c r="B16" s="108" t="s">
        <v>96</v>
      </c>
      <c r="C16" s="162">
        <v>6163</v>
      </c>
      <c r="D16" s="160">
        <v>6155</v>
      </c>
      <c r="E16" s="160">
        <f t="shared" si="0"/>
        <v>8</v>
      </c>
      <c r="F16" s="161">
        <f t="shared" si="1"/>
        <v>1.2980691221807562E-3</v>
      </c>
    </row>
    <row r="17" spans="2:6" x14ac:dyDescent="0.4">
      <c r="B17" s="107" t="s">
        <v>88</v>
      </c>
      <c r="C17" s="159">
        <v>5952</v>
      </c>
      <c r="D17" s="160">
        <v>5962</v>
      </c>
      <c r="E17" s="160">
        <f t="shared" si="0"/>
        <v>-10</v>
      </c>
      <c r="F17" s="161">
        <f t="shared" si="1"/>
        <v>-1.6801075268817205E-3</v>
      </c>
    </row>
    <row r="18" spans="2:6" x14ac:dyDescent="0.4">
      <c r="B18" s="107" t="s">
        <v>56</v>
      </c>
      <c r="C18" s="159">
        <v>5901</v>
      </c>
      <c r="D18" s="160">
        <v>5887</v>
      </c>
      <c r="E18" s="160">
        <f t="shared" si="0"/>
        <v>14</v>
      </c>
      <c r="F18" s="161">
        <f t="shared" si="1"/>
        <v>2.3724792408066431E-3</v>
      </c>
    </row>
    <row r="19" spans="2:6" x14ac:dyDescent="0.4">
      <c r="B19" s="107" t="s">
        <v>61</v>
      </c>
      <c r="C19" s="159">
        <v>5528</v>
      </c>
      <c r="D19" s="160">
        <v>5483</v>
      </c>
      <c r="E19" s="160">
        <f t="shared" si="0"/>
        <v>45</v>
      </c>
      <c r="F19" s="161">
        <f t="shared" si="1"/>
        <v>8.1403762662807522E-3</v>
      </c>
    </row>
    <row r="20" spans="2:6" x14ac:dyDescent="0.4">
      <c r="B20" s="107" t="s">
        <v>76</v>
      </c>
      <c r="C20" s="159">
        <v>5523</v>
      </c>
      <c r="D20" s="160">
        <v>5444</v>
      </c>
      <c r="E20" s="160">
        <f t="shared" si="0"/>
        <v>79</v>
      </c>
      <c r="F20" s="161">
        <f t="shared" si="1"/>
        <v>1.4303820387470578E-2</v>
      </c>
    </row>
    <row r="21" spans="2:6" x14ac:dyDescent="0.4">
      <c r="B21" s="107" t="s">
        <v>71</v>
      </c>
      <c r="C21" s="159">
        <v>5358</v>
      </c>
      <c r="D21" s="160">
        <v>5413</v>
      </c>
      <c r="E21" s="160">
        <f t="shared" si="0"/>
        <v>-55</v>
      </c>
      <c r="F21" s="161">
        <f t="shared" si="1"/>
        <v>-1.0265024262784622E-2</v>
      </c>
    </row>
    <row r="22" spans="2:6" x14ac:dyDescent="0.4">
      <c r="B22" s="107" t="s">
        <v>68</v>
      </c>
      <c r="C22" s="159">
        <v>5153</v>
      </c>
      <c r="D22" s="160">
        <v>5517</v>
      </c>
      <c r="E22" s="160">
        <f t="shared" si="0"/>
        <v>-364</v>
      </c>
      <c r="F22" s="161">
        <f t="shared" si="1"/>
        <v>-7.0638463031243937E-2</v>
      </c>
    </row>
    <row r="23" spans="2:6" x14ac:dyDescent="0.4">
      <c r="B23" s="107" t="s">
        <v>60</v>
      </c>
      <c r="C23" s="159">
        <v>5133</v>
      </c>
      <c r="D23" s="160">
        <v>5160</v>
      </c>
      <c r="E23" s="160">
        <f t="shared" si="0"/>
        <v>-27</v>
      </c>
      <c r="F23" s="161">
        <f t="shared" si="1"/>
        <v>-5.2600818234950324E-3</v>
      </c>
    </row>
    <row r="24" spans="2:6" x14ac:dyDescent="0.4">
      <c r="B24" s="107" t="s">
        <v>42</v>
      </c>
      <c r="C24" s="159">
        <v>4997</v>
      </c>
      <c r="D24" s="160">
        <v>5044</v>
      </c>
      <c r="E24" s="160">
        <f t="shared" si="0"/>
        <v>-47</v>
      </c>
      <c r="F24" s="161">
        <f t="shared" si="1"/>
        <v>-9.4056433860316181E-3</v>
      </c>
    </row>
    <row r="25" spans="2:6" x14ac:dyDescent="0.4">
      <c r="B25" s="107" t="s">
        <v>72</v>
      </c>
      <c r="C25" s="159">
        <v>4381</v>
      </c>
      <c r="D25" s="160">
        <v>4372</v>
      </c>
      <c r="E25" s="160">
        <f t="shared" si="0"/>
        <v>9</v>
      </c>
      <c r="F25" s="161">
        <f t="shared" si="1"/>
        <v>2.0543254964619949E-3</v>
      </c>
    </row>
    <row r="26" spans="2:6" x14ac:dyDescent="0.4">
      <c r="B26" s="108" t="s">
        <v>92</v>
      </c>
      <c r="C26" s="162">
        <v>4064</v>
      </c>
      <c r="D26" s="160">
        <v>4053</v>
      </c>
      <c r="E26" s="160">
        <f t="shared" si="0"/>
        <v>11</v>
      </c>
      <c r="F26" s="161">
        <f t="shared" si="1"/>
        <v>2.7066929133858267E-3</v>
      </c>
    </row>
    <row r="27" spans="2:6" x14ac:dyDescent="0.4">
      <c r="B27" s="107" t="s">
        <v>38</v>
      </c>
      <c r="C27" s="159">
        <v>4033</v>
      </c>
      <c r="D27" s="160">
        <v>4150</v>
      </c>
      <c r="E27" s="160">
        <f t="shared" si="0"/>
        <v>-117</v>
      </c>
      <c r="F27" s="161">
        <f t="shared" si="1"/>
        <v>-2.9010662038184976E-2</v>
      </c>
    </row>
    <row r="28" spans="2:6" x14ac:dyDescent="0.4">
      <c r="B28" s="107" t="s">
        <v>46</v>
      </c>
      <c r="C28" s="159">
        <v>3617</v>
      </c>
      <c r="D28" s="160">
        <v>3592</v>
      </c>
      <c r="E28" s="160">
        <f t="shared" si="0"/>
        <v>25</v>
      </c>
      <c r="F28" s="161">
        <f t="shared" si="1"/>
        <v>6.9118053635609617E-3</v>
      </c>
    </row>
    <row r="29" spans="2:6" x14ac:dyDescent="0.4">
      <c r="B29" s="107" t="s">
        <v>40</v>
      </c>
      <c r="C29" s="159">
        <v>3554</v>
      </c>
      <c r="D29" s="160">
        <v>3499</v>
      </c>
      <c r="E29" s="160">
        <f t="shared" si="0"/>
        <v>55</v>
      </c>
      <c r="F29" s="161">
        <f t="shared" si="1"/>
        <v>1.5475520540236353E-2</v>
      </c>
    </row>
    <row r="30" spans="2:6" x14ac:dyDescent="0.4">
      <c r="B30" s="108" t="s">
        <v>89</v>
      </c>
      <c r="C30" s="159">
        <v>3470</v>
      </c>
      <c r="D30" s="160">
        <v>3474</v>
      </c>
      <c r="E30" s="160">
        <f t="shared" si="0"/>
        <v>-4</v>
      </c>
      <c r="F30" s="161">
        <f t="shared" si="1"/>
        <v>-1.1527377521613833E-3</v>
      </c>
    </row>
    <row r="31" spans="2:6" x14ac:dyDescent="0.4">
      <c r="B31" s="107" t="s">
        <v>74</v>
      </c>
      <c r="C31" s="159">
        <v>3136</v>
      </c>
      <c r="D31" s="160">
        <v>3112</v>
      </c>
      <c r="E31" s="160">
        <f t="shared" si="0"/>
        <v>24</v>
      </c>
      <c r="F31" s="161">
        <f t="shared" si="1"/>
        <v>7.6530612244897957E-3</v>
      </c>
    </row>
    <row r="32" spans="2:6" x14ac:dyDescent="0.4">
      <c r="B32" s="108" t="s">
        <v>94</v>
      </c>
      <c r="C32" s="162">
        <v>2940</v>
      </c>
      <c r="D32" s="160">
        <v>2936</v>
      </c>
      <c r="E32" s="160">
        <f t="shared" si="0"/>
        <v>4</v>
      </c>
      <c r="F32" s="161">
        <f t="shared" si="1"/>
        <v>1.3605442176870747E-3</v>
      </c>
    </row>
    <row r="33" spans="2:6" x14ac:dyDescent="0.4">
      <c r="B33" s="107" t="s">
        <v>58</v>
      </c>
      <c r="C33" s="159">
        <v>2679</v>
      </c>
      <c r="D33" s="160">
        <v>2655</v>
      </c>
      <c r="E33" s="160">
        <f t="shared" si="0"/>
        <v>24</v>
      </c>
      <c r="F33" s="161">
        <f t="shared" si="1"/>
        <v>8.9585666293393058E-3</v>
      </c>
    </row>
    <row r="34" spans="2:6" x14ac:dyDescent="0.4">
      <c r="B34" s="108" t="s">
        <v>98</v>
      </c>
      <c r="C34" s="162">
        <v>2618</v>
      </c>
      <c r="D34" s="160">
        <v>2661</v>
      </c>
      <c r="E34" s="160">
        <f t="shared" ref="E34:E60" si="2">C34-D34</f>
        <v>-43</v>
      </c>
      <c r="F34" s="161">
        <f t="shared" ref="F34:F60" si="3">E34/C34</f>
        <v>-1.6424751718869365E-2</v>
      </c>
    </row>
    <row r="35" spans="2:6" x14ac:dyDescent="0.4">
      <c r="B35" s="107" t="s">
        <v>44</v>
      </c>
      <c r="C35" s="159">
        <v>2505</v>
      </c>
      <c r="D35" s="160">
        <v>2491</v>
      </c>
      <c r="E35" s="160">
        <f t="shared" si="2"/>
        <v>14</v>
      </c>
      <c r="F35" s="161">
        <f t="shared" si="3"/>
        <v>5.5888223552894214E-3</v>
      </c>
    </row>
    <row r="36" spans="2:6" x14ac:dyDescent="0.4">
      <c r="B36" s="108" t="s">
        <v>91</v>
      </c>
      <c r="C36" s="162">
        <v>2328</v>
      </c>
      <c r="D36" s="160">
        <v>2335</v>
      </c>
      <c r="E36" s="160">
        <f t="shared" si="2"/>
        <v>-7</v>
      </c>
      <c r="F36" s="161">
        <f t="shared" si="3"/>
        <v>-3.0068728522336771E-3</v>
      </c>
    </row>
    <row r="37" spans="2:6" x14ac:dyDescent="0.4">
      <c r="B37" s="107" t="s">
        <v>50</v>
      </c>
      <c r="C37" s="159">
        <v>2263</v>
      </c>
      <c r="D37" s="160">
        <v>2265</v>
      </c>
      <c r="E37" s="160">
        <f t="shared" si="2"/>
        <v>-2</v>
      </c>
      <c r="F37" s="161">
        <f t="shared" si="3"/>
        <v>-8.8378258948298722E-4</v>
      </c>
    </row>
    <row r="38" spans="2:6" x14ac:dyDescent="0.4">
      <c r="B38" s="107" t="s">
        <v>77</v>
      </c>
      <c r="C38" s="159">
        <v>2113</v>
      </c>
      <c r="D38" s="160">
        <v>2110</v>
      </c>
      <c r="E38" s="160">
        <f t="shared" si="2"/>
        <v>3</v>
      </c>
      <c r="F38" s="161">
        <f t="shared" si="3"/>
        <v>1.419782300047326E-3</v>
      </c>
    </row>
    <row r="39" spans="2:6" x14ac:dyDescent="0.4">
      <c r="B39" s="107" t="s">
        <v>80</v>
      </c>
      <c r="C39" s="159">
        <v>2106</v>
      </c>
      <c r="D39" s="160">
        <v>2132</v>
      </c>
      <c r="E39" s="160">
        <f t="shared" si="2"/>
        <v>-26</v>
      </c>
      <c r="F39" s="161">
        <f t="shared" si="3"/>
        <v>-1.2345679012345678E-2</v>
      </c>
    </row>
    <row r="40" spans="2:6" x14ac:dyDescent="0.4">
      <c r="B40" s="107" t="s">
        <v>69</v>
      </c>
      <c r="C40" s="159">
        <v>2101</v>
      </c>
      <c r="D40" s="160">
        <v>2102</v>
      </c>
      <c r="E40" s="160">
        <f t="shared" si="2"/>
        <v>-1</v>
      </c>
      <c r="F40" s="161">
        <f t="shared" si="3"/>
        <v>-4.7596382674916705E-4</v>
      </c>
    </row>
    <row r="41" spans="2:6" x14ac:dyDescent="0.4">
      <c r="B41" s="107" t="s">
        <v>99</v>
      </c>
      <c r="C41" s="159">
        <v>2099</v>
      </c>
      <c r="D41" s="160">
        <v>2065</v>
      </c>
      <c r="E41" s="160">
        <f t="shared" si="2"/>
        <v>34</v>
      </c>
      <c r="F41" s="161">
        <f t="shared" si="3"/>
        <v>1.6198189614101955E-2</v>
      </c>
    </row>
    <row r="42" spans="2:6" x14ac:dyDescent="0.4">
      <c r="B42" s="107" t="s">
        <v>73</v>
      </c>
      <c r="C42" s="159">
        <v>2095</v>
      </c>
      <c r="D42" s="160">
        <v>2167</v>
      </c>
      <c r="E42" s="160">
        <f t="shared" si="2"/>
        <v>-72</v>
      </c>
      <c r="F42" s="161">
        <f t="shared" si="3"/>
        <v>-3.4367541766109788E-2</v>
      </c>
    </row>
    <row r="43" spans="2:6" x14ac:dyDescent="0.4">
      <c r="B43" s="108" t="s">
        <v>95</v>
      </c>
      <c r="C43" s="162">
        <v>2077</v>
      </c>
      <c r="D43" s="160">
        <v>2069</v>
      </c>
      <c r="E43" s="160">
        <f t="shared" si="2"/>
        <v>8</v>
      </c>
      <c r="F43" s="161">
        <f t="shared" si="3"/>
        <v>3.8517091959557053E-3</v>
      </c>
    </row>
    <row r="44" spans="2:6" x14ac:dyDescent="0.4">
      <c r="B44" s="107" t="s">
        <v>78</v>
      </c>
      <c r="C44" s="159">
        <v>2023</v>
      </c>
      <c r="D44" s="160">
        <v>2020</v>
      </c>
      <c r="E44" s="160">
        <f t="shared" si="2"/>
        <v>3</v>
      </c>
      <c r="F44" s="161">
        <f t="shared" si="3"/>
        <v>1.4829461196243204E-3</v>
      </c>
    </row>
    <row r="45" spans="2:6" x14ac:dyDescent="0.4">
      <c r="B45" s="107" t="s">
        <v>48</v>
      </c>
      <c r="C45" s="159">
        <v>2009</v>
      </c>
      <c r="D45" s="160">
        <v>2027</v>
      </c>
      <c r="E45" s="160">
        <f t="shared" si="2"/>
        <v>-18</v>
      </c>
      <c r="F45" s="161">
        <f t="shared" si="3"/>
        <v>-8.9596814335490289E-3</v>
      </c>
    </row>
    <row r="46" spans="2:6" x14ac:dyDescent="0.4">
      <c r="B46" s="107" t="s">
        <v>81</v>
      </c>
      <c r="C46" s="159">
        <v>1941</v>
      </c>
      <c r="D46" s="160">
        <v>1918</v>
      </c>
      <c r="E46" s="160">
        <f t="shared" si="2"/>
        <v>23</v>
      </c>
      <c r="F46" s="161">
        <f t="shared" si="3"/>
        <v>1.184956208140134E-2</v>
      </c>
    </row>
    <row r="47" spans="2:6" x14ac:dyDescent="0.4">
      <c r="B47" s="107" t="s">
        <v>54</v>
      </c>
      <c r="C47" s="159">
        <v>1712</v>
      </c>
      <c r="D47" s="160">
        <v>1690</v>
      </c>
      <c r="E47" s="160">
        <f t="shared" si="2"/>
        <v>22</v>
      </c>
      <c r="F47" s="161">
        <f t="shared" si="3"/>
        <v>1.2850467289719626E-2</v>
      </c>
    </row>
    <row r="48" spans="2:6" x14ac:dyDescent="0.4">
      <c r="B48" s="108" t="s">
        <v>90</v>
      </c>
      <c r="C48" s="162">
        <v>1608</v>
      </c>
      <c r="D48" s="160">
        <v>1588</v>
      </c>
      <c r="E48" s="160">
        <f t="shared" si="2"/>
        <v>20</v>
      </c>
      <c r="F48" s="161">
        <f t="shared" si="3"/>
        <v>1.2437810945273632E-2</v>
      </c>
    </row>
    <row r="49" spans="1:6" x14ac:dyDescent="0.4">
      <c r="B49" s="107" t="s">
        <v>70</v>
      </c>
      <c r="C49" s="159">
        <v>1543</v>
      </c>
      <c r="D49" s="160">
        <v>1583</v>
      </c>
      <c r="E49" s="160">
        <f t="shared" si="2"/>
        <v>-40</v>
      </c>
      <c r="F49" s="161">
        <f t="shared" si="3"/>
        <v>-2.592352559948153E-2</v>
      </c>
    </row>
    <row r="50" spans="1:6" x14ac:dyDescent="0.4">
      <c r="B50" s="107" t="s">
        <v>63</v>
      </c>
      <c r="C50" s="159">
        <v>1308</v>
      </c>
      <c r="D50" s="160">
        <v>1320</v>
      </c>
      <c r="E50" s="160">
        <f t="shared" si="2"/>
        <v>-12</v>
      </c>
      <c r="F50" s="161">
        <f t="shared" si="3"/>
        <v>-9.1743119266055051E-3</v>
      </c>
    </row>
    <row r="51" spans="1:6" x14ac:dyDescent="0.4">
      <c r="B51" s="107" t="s">
        <v>75</v>
      </c>
      <c r="C51" s="159">
        <v>1272</v>
      </c>
      <c r="D51" s="160">
        <v>1235</v>
      </c>
      <c r="E51" s="160">
        <f t="shared" si="2"/>
        <v>37</v>
      </c>
      <c r="F51" s="161">
        <f t="shared" si="3"/>
        <v>2.9088050314465409E-2</v>
      </c>
    </row>
    <row r="52" spans="1:6" x14ac:dyDescent="0.4">
      <c r="B52" s="107" t="s">
        <v>59</v>
      </c>
      <c r="C52" s="159">
        <v>1243</v>
      </c>
      <c r="D52" s="160">
        <v>1222</v>
      </c>
      <c r="E52" s="160">
        <f t="shared" si="2"/>
        <v>21</v>
      </c>
      <c r="F52" s="161">
        <f t="shared" si="3"/>
        <v>1.6894609814963796E-2</v>
      </c>
    </row>
    <row r="53" spans="1:6" x14ac:dyDescent="0.4">
      <c r="A53" s="54" t="s">
        <v>286</v>
      </c>
      <c r="B53" s="107" t="s">
        <v>62</v>
      </c>
      <c r="C53" s="159">
        <v>1076</v>
      </c>
      <c r="D53" s="160">
        <v>1064</v>
      </c>
      <c r="E53" s="160">
        <f t="shared" si="2"/>
        <v>12</v>
      </c>
      <c r="F53" s="161">
        <f t="shared" si="3"/>
        <v>1.1152416356877323E-2</v>
      </c>
    </row>
    <row r="54" spans="1:6" x14ac:dyDescent="0.4">
      <c r="B54" s="108" t="s">
        <v>93</v>
      </c>
      <c r="C54" s="162">
        <v>1025</v>
      </c>
      <c r="D54" s="160">
        <v>1059</v>
      </c>
      <c r="E54" s="160">
        <f t="shared" si="2"/>
        <v>-34</v>
      </c>
      <c r="F54" s="161">
        <f t="shared" si="3"/>
        <v>-3.3170731707317075E-2</v>
      </c>
    </row>
    <row r="55" spans="1:6" x14ac:dyDescent="0.4">
      <c r="A55" s="54" t="s">
        <v>286</v>
      </c>
      <c r="B55" s="107" t="s">
        <v>65</v>
      </c>
      <c r="C55" s="159">
        <v>1018</v>
      </c>
      <c r="D55" s="160">
        <v>1025</v>
      </c>
      <c r="E55" s="160">
        <f t="shared" si="2"/>
        <v>-7</v>
      </c>
      <c r="F55" s="161">
        <f t="shared" si="3"/>
        <v>-6.8762278978389E-3</v>
      </c>
    </row>
    <row r="56" spans="1:6" x14ac:dyDescent="0.4">
      <c r="A56" s="54" t="s">
        <v>286</v>
      </c>
      <c r="B56" s="107" t="s">
        <v>57</v>
      </c>
      <c r="C56" s="159">
        <v>1012</v>
      </c>
      <c r="D56" s="160">
        <v>1000</v>
      </c>
      <c r="E56" s="160">
        <f t="shared" si="2"/>
        <v>12</v>
      </c>
      <c r="F56" s="161">
        <f t="shared" si="3"/>
        <v>1.1857707509881422E-2</v>
      </c>
    </row>
    <row r="57" spans="1:6" x14ac:dyDescent="0.4">
      <c r="A57" s="54" t="s">
        <v>286</v>
      </c>
      <c r="B57" s="107" t="s">
        <v>64</v>
      </c>
      <c r="C57" s="159">
        <v>723</v>
      </c>
      <c r="D57" s="160">
        <v>717</v>
      </c>
      <c r="E57" s="160">
        <f t="shared" si="2"/>
        <v>6</v>
      </c>
      <c r="F57" s="161">
        <f t="shared" si="3"/>
        <v>8.2987551867219917E-3</v>
      </c>
    </row>
    <row r="58" spans="1:6" x14ac:dyDescent="0.4">
      <c r="A58" s="54" t="s">
        <v>286</v>
      </c>
      <c r="B58" s="107" t="s">
        <v>66</v>
      </c>
      <c r="C58" s="159">
        <v>611</v>
      </c>
      <c r="D58" s="160">
        <v>600</v>
      </c>
      <c r="E58" s="160">
        <f t="shared" si="2"/>
        <v>11</v>
      </c>
      <c r="F58" s="161">
        <f t="shared" si="3"/>
        <v>1.8003273322422259E-2</v>
      </c>
    </row>
    <row r="59" spans="1:6" x14ac:dyDescent="0.4">
      <c r="B59" s="108" t="s">
        <v>216</v>
      </c>
      <c r="C59" s="162">
        <v>513</v>
      </c>
      <c r="D59" s="160">
        <v>510</v>
      </c>
      <c r="E59" s="160">
        <f t="shared" si="2"/>
        <v>3</v>
      </c>
      <c r="F59" s="161">
        <f t="shared" si="3"/>
        <v>5.8479532163742687E-3</v>
      </c>
    </row>
    <row r="60" spans="1:6" x14ac:dyDescent="0.4">
      <c r="A60" s="54" t="s">
        <v>286</v>
      </c>
      <c r="B60" s="107" t="s">
        <v>52</v>
      </c>
      <c r="C60" s="159">
        <v>195</v>
      </c>
      <c r="D60" s="160">
        <v>189</v>
      </c>
      <c r="E60" s="160">
        <f t="shared" si="2"/>
        <v>6</v>
      </c>
      <c r="F60" s="161">
        <f t="shared" si="3"/>
        <v>3.0769230769230771E-2</v>
      </c>
    </row>
    <row r="61" spans="1:6" x14ac:dyDescent="0.4">
      <c r="B61" s="174" t="s">
        <v>280</v>
      </c>
    </row>
    <row r="62" spans="1:6" x14ac:dyDescent="0.4">
      <c r="B62" s="174" t="s">
        <v>281</v>
      </c>
    </row>
    <row r="63" spans="1:6" x14ac:dyDescent="0.4">
      <c r="B63" s="54" t="s">
        <v>287</v>
      </c>
    </row>
  </sheetData>
  <autoFilter ref="B1:F1" xr:uid="{2EE74A1E-5116-4D8A-B5DD-6D8575D780A3}">
    <sortState xmlns:xlrd2="http://schemas.microsoft.com/office/spreadsheetml/2017/richdata2" ref="B2:F63">
      <sortCondition descending="1" ref="C1"/>
    </sortState>
  </autoFilter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7CF894088108243B701015C07253644" ma:contentTypeVersion="15" ma:contentTypeDescription="新しいドキュメントを作成します。" ma:contentTypeScope="" ma:versionID="97d646433f40977ed08411ff89985142">
  <xsd:schema xmlns:xsd="http://www.w3.org/2001/XMLSchema" xmlns:xs="http://www.w3.org/2001/XMLSchema" xmlns:p="http://schemas.microsoft.com/office/2006/metadata/properties" xmlns:ns2="ba954db6-8e98-4c99-b32f-7e23d9ecf8c6" xmlns:ns3="263dbbe5-076b-4606-a03b-9598f5f2f35a" targetNamespace="http://schemas.microsoft.com/office/2006/metadata/properties" ma:root="true" ma:fieldsID="f2ed05dc5eded970bc776f78d1a8ee27" ns2:_="" ns3:_="">
    <xsd:import namespace="ba954db6-8e98-4c99-b32f-7e23d9ecf8c6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54db6-8e98-4c99-b32f-7e23d9ecf8c6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496a13e-9de0-4bbd-a855-856674f6718b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a954db6-8e98-4c99-b32f-7e23d9ecf8c6">
      <UserInfo>
        <DisplayName/>
        <AccountId xsi:nil="true"/>
        <AccountType/>
      </UserInfo>
    </Owner>
    <TaxCatchAll xmlns="263dbbe5-076b-4606-a03b-9598f5f2f35a" xsi:nil="true"/>
    <lcf76f155ced4ddcb4097134ff3c332f xmlns="ba954db6-8e98-4c99-b32f-7e23d9ecf8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78E5A-2E30-48B4-8DF7-B36A73671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54db6-8e98-4c99-b32f-7e23d9ecf8c6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D9FAA9-17F8-4FFE-B43F-2F558F1CD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A76DA-6EE8-4B21-9334-94F572C2FA7D}">
  <ds:schemaRefs>
    <ds:schemaRef ds:uri="http://schemas.microsoft.com/office/2006/metadata/properties"/>
    <ds:schemaRef ds:uri="http://schemas.microsoft.com/office/infopath/2007/PartnerControls"/>
    <ds:schemaRef ds:uri="ba954db6-8e98-4c99-b32f-7e23d9ecf8c6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住基による人口 (もと)</vt:lpstr>
      <vt:lpstr>07522_小野町</vt:lpstr>
      <vt:lpstr>住基による人口</vt:lpstr>
      <vt:lpstr>2026住基と被保数比較 (年齢階層別補正用）</vt:lpstr>
      <vt:lpstr>(参考 1号被保数と住基のずれ）</vt:lpstr>
      <vt:lpstr>'07522_小野町'!Print_Area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折笠裕之</cp:lastModifiedBy>
  <cp:revision/>
  <dcterms:created xsi:type="dcterms:W3CDTF">2020-06-17T00:14:32Z</dcterms:created>
  <dcterms:modified xsi:type="dcterms:W3CDTF">2026-08-28T08:12:45Z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0x01010087CF894088108243B701015C07253644</vt:lpwstr>
  </property>
  <property fmtid="{D5CDD505-2E9C-101B-9397-08002B2CF9AE}" pid="3" name="MediaServiceImageTags">
    <vt:lpwstr/>
  </property>
</Properties>
</file>