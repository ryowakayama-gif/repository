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\\10.152.26.11\令和8年度\6.保険年金\D.介護保険\1.事業計画\02_給付データ\新しいフォルダー\"/>
    </mc:Choice>
  </mc:AlternateContent>
  <xr:revisionPtr revIDLastSave="0" documentId="13_ncr:1_{419A8621-A46D-4FE2-BE11-DD621E193354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給付集計表" sheetId="6" r:id="rId1"/>
    <sheet name="特定入所" sheetId="7" r:id="rId2"/>
  </sheets>
  <externalReferences>
    <externalReference r:id="rId3"/>
  </externalReferences>
  <definedNames>
    <definedName name="CSV_HDRNUM2">[1]設定情報!#REF!</definedName>
    <definedName name="HDR_ITEM2">[1]設定情報!#REF!</definedName>
    <definedName name="HOSOKU_5">[1]設定情報!#REF!</definedName>
    <definedName name="HOSOKU_6">[1]設定情報!#REF!</definedName>
    <definedName name="_xlnm.Print_Area" localSheetId="0">給付集計表!$B$1:$R$107</definedName>
    <definedName name="_xlnm.Print_Area" localSheetId="1">特定入所!$B$1:$S$76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59" i="7" l="1"/>
  <c r="Q59" i="7"/>
  <c r="R59" i="7"/>
  <c r="S59" i="7"/>
  <c r="P60" i="7"/>
  <c r="Q60" i="7"/>
  <c r="R60" i="7"/>
  <c r="S60" i="7"/>
  <c r="P61" i="7"/>
  <c r="Q61" i="7"/>
  <c r="R61" i="7"/>
  <c r="S61" i="7"/>
  <c r="P62" i="7"/>
  <c r="Q62" i="7"/>
  <c r="R62" i="7"/>
  <c r="S62" i="7"/>
  <c r="P63" i="7"/>
  <c r="Q63" i="7"/>
  <c r="R63" i="7"/>
  <c r="S63" i="7"/>
  <c r="P64" i="7"/>
  <c r="Q64" i="7"/>
  <c r="R64" i="7"/>
  <c r="S64" i="7"/>
  <c r="P65" i="7"/>
  <c r="Q65" i="7"/>
  <c r="R65" i="7"/>
  <c r="S65" i="7"/>
  <c r="P66" i="7"/>
  <c r="Q66" i="7"/>
  <c r="R66" i="7"/>
  <c r="S66" i="7"/>
  <c r="P67" i="7"/>
  <c r="Q67" i="7"/>
  <c r="R67" i="7"/>
  <c r="S67" i="7"/>
  <c r="P70" i="7"/>
  <c r="Q70" i="7"/>
  <c r="R70" i="7"/>
  <c r="S70" i="7"/>
  <c r="P71" i="7"/>
  <c r="Q71" i="7"/>
  <c r="R71" i="7"/>
  <c r="S71" i="7"/>
  <c r="P72" i="7"/>
  <c r="Q72" i="7"/>
  <c r="R72" i="7"/>
  <c r="S72" i="7"/>
  <c r="P73" i="7"/>
  <c r="Q73" i="7"/>
  <c r="R73" i="7"/>
  <c r="S73" i="7"/>
  <c r="S76" i="7" s="1"/>
  <c r="P74" i="7"/>
  <c r="Q74" i="7"/>
  <c r="R74" i="7"/>
  <c r="S74" i="7"/>
  <c r="P75" i="7"/>
  <c r="P76" i="7" s="1"/>
  <c r="Q75" i="7"/>
  <c r="R75" i="7"/>
  <c r="S75" i="7"/>
  <c r="O101" i="6"/>
  <c r="P101" i="6"/>
  <c r="Q101" i="6"/>
  <c r="R101" i="6"/>
  <c r="O102" i="6"/>
  <c r="P102" i="6"/>
  <c r="Q102" i="6"/>
  <c r="R102" i="6"/>
  <c r="O103" i="6"/>
  <c r="P103" i="6"/>
  <c r="Q103" i="6"/>
  <c r="R103" i="6"/>
  <c r="O104" i="6"/>
  <c r="P104" i="6"/>
  <c r="Q104" i="6"/>
  <c r="R104" i="6"/>
  <c r="O105" i="6"/>
  <c r="P105" i="6"/>
  <c r="Q105" i="6"/>
  <c r="R105" i="6"/>
  <c r="O106" i="6"/>
  <c r="P106" i="6"/>
  <c r="Q106" i="6"/>
  <c r="R106" i="6"/>
  <c r="Q76" i="7" l="1"/>
  <c r="R76" i="7"/>
  <c r="H70" i="7"/>
  <c r="I70" i="7"/>
  <c r="J70" i="7"/>
  <c r="K70" i="7"/>
  <c r="L70" i="7"/>
  <c r="M70" i="7"/>
  <c r="N70" i="7"/>
  <c r="O70" i="7"/>
  <c r="H71" i="7"/>
  <c r="I71" i="7"/>
  <c r="J71" i="7"/>
  <c r="K71" i="7"/>
  <c r="L71" i="7"/>
  <c r="M71" i="7"/>
  <c r="N71" i="7"/>
  <c r="O71" i="7"/>
  <c r="H72" i="7"/>
  <c r="I72" i="7"/>
  <c r="J72" i="7"/>
  <c r="K72" i="7"/>
  <c r="L72" i="7"/>
  <c r="M72" i="7"/>
  <c r="N72" i="7"/>
  <c r="O72" i="7"/>
  <c r="H73" i="7"/>
  <c r="I73" i="7"/>
  <c r="J73" i="7"/>
  <c r="K73" i="7"/>
  <c r="L73" i="7"/>
  <c r="M73" i="7"/>
  <c r="N73" i="7"/>
  <c r="O73" i="7"/>
  <c r="H74" i="7"/>
  <c r="I74" i="7"/>
  <c r="J74" i="7"/>
  <c r="K74" i="7"/>
  <c r="L74" i="7"/>
  <c r="M74" i="7"/>
  <c r="N74" i="7"/>
  <c r="O74" i="7"/>
  <c r="H75" i="7"/>
  <c r="I75" i="7"/>
  <c r="J75" i="7"/>
  <c r="K75" i="7"/>
  <c r="L75" i="7"/>
  <c r="M75" i="7"/>
  <c r="N75" i="7"/>
  <c r="O75" i="7"/>
  <c r="H76" i="7"/>
  <c r="I76" i="7"/>
  <c r="J76" i="7"/>
  <c r="K76" i="7"/>
  <c r="L76" i="7"/>
  <c r="M76" i="7" l="1"/>
  <c r="O76" i="7"/>
  <c r="N76" i="7"/>
  <c r="H106" i="6"/>
  <c r="I106" i="6"/>
  <c r="J106" i="6"/>
  <c r="K106" i="6"/>
  <c r="L106" i="6"/>
  <c r="M106" i="6"/>
  <c r="N106" i="6"/>
  <c r="G106" i="6"/>
  <c r="H105" i="6"/>
  <c r="I105" i="6"/>
  <c r="J105" i="6"/>
  <c r="K105" i="6"/>
  <c r="L105" i="6"/>
  <c r="M105" i="6"/>
  <c r="N105" i="6"/>
  <c r="G105" i="6"/>
  <c r="I67" i="7"/>
  <c r="J67" i="7"/>
  <c r="K67" i="7"/>
  <c r="L67" i="7"/>
  <c r="M67" i="7"/>
  <c r="N67" i="7"/>
  <c r="O67" i="7"/>
  <c r="H67" i="7"/>
  <c r="I66" i="7"/>
  <c r="J66" i="7"/>
  <c r="K66" i="7"/>
  <c r="L66" i="7"/>
  <c r="M66" i="7"/>
  <c r="N66" i="7"/>
  <c r="O66" i="7"/>
  <c r="H66" i="7"/>
  <c r="I65" i="7"/>
  <c r="J65" i="7"/>
  <c r="K65" i="7"/>
  <c r="L65" i="7"/>
  <c r="M65" i="7"/>
  <c r="N65" i="7"/>
  <c r="O65" i="7"/>
  <c r="H65" i="7"/>
  <c r="I64" i="7"/>
  <c r="J64" i="7"/>
  <c r="K64" i="7"/>
  <c r="L64" i="7"/>
  <c r="M64" i="7"/>
  <c r="N64" i="7"/>
  <c r="O64" i="7"/>
  <c r="H64" i="7"/>
  <c r="I63" i="7"/>
  <c r="J63" i="7"/>
  <c r="K63" i="7"/>
  <c r="L63" i="7"/>
  <c r="M63" i="7"/>
  <c r="N63" i="7"/>
  <c r="O63" i="7"/>
  <c r="H63" i="7"/>
  <c r="I62" i="7"/>
  <c r="J62" i="7"/>
  <c r="K62" i="7"/>
  <c r="L62" i="7"/>
  <c r="M62" i="7"/>
  <c r="N62" i="7"/>
  <c r="O62" i="7"/>
  <c r="H62" i="7"/>
  <c r="I61" i="7"/>
  <c r="J61" i="7"/>
  <c r="K61" i="7"/>
  <c r="L61" i="7"/>
  <c r="M61" i="7"/>
  <c r="N61" i="7"/>
  <c r="O61" i="7"/>
  <c r="H61" i="7"/>
  <c r="H104" i="6"/>
  <c r="I104" i="6"/>
  <c r="J104" i="6"/>
  <c r="K104" i="6"/>
  <c r="L104" i="6"/>
  <c r="M104" i="6"/>
  <c r="N104" i="6"/>
  <c r="G104" i="6"/>
  <c r="H103" i="6"/>
  <c r="I103" i="6"/>
  <c r="J103" i="6"/>
  <c r="K103" i="6"/>
  <c r="L103" i="6"/>
  <c r="M103" i="6"/>
  <c r="N103" i="6"/>
  <c r="G103" i="6"/>
  <c r="H102" i="6"/>
  <c r="I102" i="6"/>
  <c r="J102" i="6"/>
  <c r="K102" i="6"/>
  <c r="L102" i="6"/>
  <c r="M102" i="6"/>
  <c r="N102" i="6"/>
  <c r="G102" i="6"/>
  <c r="H101" i="6"/>
  <c r="I101" i="6"/>
  <c r="J101" i="6"/>
  <c r="K101" i="6"/>
  <c r="L101" i="6"/>
  <c r="M101" i="6"/>
  <c r="N101" i="6"/>
  <c r="G101" i="6"/>
  <c r="I60" i="7"/>
  <c r="J60" i="7"/>
  <c r="K60" i="7"/>
  <c r="L60" i="7"/>
  <c r="M60" i="7"/>
  <c r="N60" i="7"/>
  <c r="O60" i="7"/>
  <c r="H60" i="7"/>
  <c r="I59" i="7"/>
  <c r="J59" i="7"/>
  <c r="K59" i="7"/>
  <c r="L59" i="7"/>
  <c r="M59" i="7"/>
  <c r="N59" i="7"/>
  <c r="O59" i="7"/>
  <c r="H59" i="7"/>
  <c r="G57" i="7" l="1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75" i="7" s="1"/>
  <c r="G21" i="7"/>
  <c r="G20" i="7"/>
  <c r="G19" i="7"/>
  <c r="G74" i="7" s="1"/>
  <c r="G18" i="7"/>
  <c r="G17" i="7"/>
  <c r="G16" i="7"/>
  <c r="G73" i="7" s="1"/>
  <c r="G15" i="7"/>
  <c r="G14" i="7"/>
  <c r="G13" i="7"/>
  <c r="G12" i="7"/>
  <c r="G11" i="7"/>
  <c r="G10" i="7"/>
  <c r="G9" i="7"/>
  <c r="G8" i="7"/>
  <c r="G7" i="7"/>
  <c r="G59" i="7" l="1"/>
  <c r="G66" i="7"/>
  <c r="G60" i="7"/>
  <c r="G67" i="7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G63" i="7" s="1"/>
  <c r="F74" i="6"/>
  <c r="F73" i="6"/>
  <c r="G62" i="7" s="1"/>
  <c r="F72" i="6"/>
  <c r="G61" i="7" s="1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G64" i="7" s="1"/>
  <c r="F29" i="6"/>
  <c r="G72" i="7" s="1"/>
  <c r="F28" i="6"/>
  <c r="G71" i="7" s="1"/>
  <c r="F27" i="6"/>
  <c r="G70" i="7" s="1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101" i="6" l="1"/>
  <c r="F103" i="6"/>
  <c r="F106" i="6"/>
  <c r="F104" i="6"/>
  <c r="G76" i="7"/>
  <c r="G65" i="7"/>
  <c r="F102" i="6"/>
  <c r="F105" i="6"/>
</calcChain>
</file>

<file path=xl/sharedStrings.xml><?xml version="1.0" encoding="utf-8"?>
<sst xmlns="http://schemas.openxmlformats.org/spreadsheetml/2006/main" count="212" uniqueCount="162">
  <si>
    <t>小規模多機能型居宅介護</t>
    <rPh sb="0" eb="3">
      <t>ショウキボ</t>
    </rPh>
    <rPh sb="3" eb="6">
      <t>タキノウ</t>
    </rPh>
    <rPh sb="6" eb="7">
      <t>ガタ</t>
    </rPh>
    <rPh sb="7" eb="9">
      <t>キョタク</t>
    </rPh>
    <rPh sb="9" eb="11">
      <t>カイゴ</t>
    </rPh>
    <phoneticPr fontId="1"/>
  </si>
  <si>
    <t>認知症対応型共同生活介護</t>
    <rPh sb="0" eb="3">
      <t>ニンチショウ</t>
    </rPh>
    <rPh sb="3" eb="6">
      <t>タイオウガタ</t>
    </rPh>
    <rPh sb="6" eb="8">
      <t>キョウドウ</t>
    </rPh>
    <rPh sb="8" eb="10">
      <t>セイカツ</t>
    </rPh>
    <rPh sb="10" eb="12">
      <t>カイゴ</t>
    </rPh>
    <phoneticPr fontId="1"/>
  </si>
  <si>
    <t>地域密着型特定施設入居者生活介護</t>
    <rPh sb="0" eb="2">
      <t>チイキ</t>
    </rPh>
    <rPh sb="2" eb="5">
      <t>ミッチャクガタ</t>
    </rPh>
    <rPh sb="5" eb="7">
      <t>トクテイ</t>
    </rPh>
    <rPh sb="7" eb="9">
      <t>シセツ</t>
    </rPh>
    <rPh sb="9" eb="12">
      <t>ニュウキョシャ</t>
    </rPh>
    <rPh sb="12" eb="14">
      <t>セイカツ</t>
    </rPh>
    <rPh sb="14" eb="16">
      <t>カイゴ</t>
    </rPh>
    <phoneticPr fontId="1"/>
  </si>
  <si>
    <t>介護老人福祉施設</t>
    <rPh sb="0" eb="2">
      <t>カイゴ</t>
    </rPh>
    <rPh sb="2" eb="4">
      <t>ロウジン</t>
    </rPh>
    <rPh sb="4" eb="6">
      <t>フクシ</t>
    </rPh>
    <rPh sb="6" eb="8">
      <t>シセツ</t>
    </rPh>
    <phoneticPr fontId="1"/>
  </si>
  <si>
    <t>介護予防短期入所生活介護</t>
    <rPh sb="0" eb="2">
      <t>カイゴ</t>
    </rPh>
    <rPh sb="2" eb="4">
      <t>ヨボウ</t>
    </rPh>
    <rPh sb="4" eb="6">
      <t>タンキ</t>
    </rPh>
    <rPh sb="6" eb="8">
      <t>ニュウショ</t>
    </rPh>
    <rPh sb="8" eb="10">
      <t>セイカツ</t>
    </rPh>
    <rPh sb="10" eb="12">
      <t>カイゴ</t>
    </rPh>
    <phoneticPr fontId="1"/>
  </si>
  <si>
    <t>特定入所者介護予防（食費）</t>
    <rPh sb="0" eb="2">
      <t>トクテイ</t>
    </rPh>
    <rPh sb="2" eb="5">
      <t>ニュウショシャ</t>
    </rPh>
    <rPh sb="5" eb="7">
      <t>カイゴ</t>
    </rPh>
    <rPh sb="7" eb="9">
      <t>ヨボウ</t>
    </rPh>
    <rPh sb="10" eb="12">
      <t>ショクヒ</t>
    </rPh>
    <phoneticPr fontId="1"/>
  </si>
  <si>
    <t>特定入所者介護予防（居住費）</t>
    <rPh sb="0" eb="2">
      <t>トクテイ</t>
    </rPh>
    <rPh sb="2" eb="5">
      <t>ニュウショシャ</t>
    </rPh>
    <rPh sb="5" eb="7">
      <t>カイゴ</t>
    </rPh>
    <rPh sb="7" eb="9">
      <t>ヨボウ</t>
    </rPh>
    <rPh sb="10" eb="12">
      <t>キョジュウ</t>
    </rPh>
    <rPh sb="12" eb="13">
      <t>ヒ</t>
    </rPh>
    <phoneticPr fontId="1"/>
  </si>
  <si>
    <t>介護予防小規模多機能型居宅介護</t>
    <rPh sb="0" eb="2">
      <t>カイゴ</t>
    </rPh>
    <rPh sb="2" eb="4">
      <t>ヨボウ</t>
    </rPh>
    <rPh sb="4" eb="7">
      <t>ショウキボ</t>
    </rPh>
    <rPh sb="7" eb="10">
      <t>タキノウ</t>
    </rPh>
    <rPh sb="10" eb="11">
      <t>ガタ</t>
    </rPh>
    <rPh sb="11" eb="13">
      <t>キョタク</t>
    </rPh>
    <rPh sb="13" eb="15">
      <t>カイゴ</t>
    </rPh>
    <phoneticPr fontId="1"/>
  </si>
  <si>
    <t>介護予防認知症対応型共同生活介護</t>
    <rPh sb="0" eb="2">
      <t>カイゴ</t>
    </rPh>
    <rPh sb="2" eb="4">
      <t>ヨボウ</t>
    </rPh>
    <rPh sb="4" eb="7">
      <t>ニンチショウ</t>
    </rPh>
    <rPh sb="7" eb="10">
      <t>タイオウガタ</t>
    </rPh>
    <rPh sb="10" eb="12">
      <t>キョウドウ</t>
    </rPh>
    <rPh sb="12" eb="14">
      <t>セイカツ</t>
    </rPh>
    <rPh sb="14" eb="16">
      <t>カイゴ</t>
    </rPh>
    <phoneticPr fontId="1"/>
  </si>
  <si>
    <t>複合型サービス</t>
    <rPh sb="0" eb="3">
      <t>フクゴウガタ</t>
    </rPh>
    <phoneticPr fontId="1"/>
  </si>
  <si>
    <t>保険者別　国保連合会業務統計表（確定給付統計）</t>
    <phoneticPr fontId="1"/>
  </si>
  <si>
    <t>保険者番号：075226　保険者名：小野町</t>
  </si>
  <si>
    <t>保険給付額</t>
    <phoneticPr fontId="1"/>
  </si>
  <si>
    <t>種別</t>
    <phoneticPr fontId="1"/>
  </si>
  <si>
    <t>合計</t>
    <rPh sb="0" eb="2">
      <t>ゴウケイ</t>
    </rPh>
    <phoneticPr fontId="1"/>
  </si>
  <si>
    <t>4月審査分</t>
    <rPh sb="1" eb="2">
      <t>ガツ</t>
    </rPh>
    <rPh sb="2" eb="4">
      <t>シンサ</t>
    </rPh>
    <rPh sb="4" eb="5">
      <t>ブン</t>
    </rPh>
    <phoneticPr fontId="1"/>
  </si>
  <si>
    <t>5月審査分</t>
    <rPh sb="1" eb="2">
      <t>ガツ</t>
    </rPh>
    <rPh sb="2" eb="4">
      <t>シンサ</t>
    </rPh>
    <rPh sb="4" eb="5">
      <t>ブン</t>
    </rPh>
    <phoneticPr fontId="1"/>
  </si>
  <si>
    <t>6月審査分</t>
    <rPh sb="1" eb="2">
      <t>ガツ</t>
    </rPh>
    <rPh sb="2" eb="4">
      <t>シンサ</t>
    </rPh>
    <rPh sb="4" eb="5">
      <t>ブン</t>
    </rPh>
    <phoneticPr fontId="1"/>
  </si>
  <si>
    <t>7月審査分</t>
    <rPh sb="1" eb="2">
      <t>ガツ</t>
    </rPh>
    <rPh sb="2" eb="4">
      <t>シンサ</t>
    </rPh>
    <rPh sb="4" eb="5">
      <t>ブン</t>
    </rPh>
    <phoneticPr fontId="1"/>
  </si>
  <si>
    <t>8月審査分</t>
    <rPh sb="1" eb="2">
      <t>ガツ</t>
    </rPh>
    <rPh sb="2" eb="4">
      <t>シンサ</t>
    </rPh>
    <rPh sb="4" eb="5">
      <t>ブン</t>
    </rPh>
    <phoneticPr fontId="1"/>
  </si>
  <si>
    <t>9月審査分</t>
    <rPh sb="1" eb="2">
      <t>ガツ</t>
    </rPh>
    <rPh sb="2" eb="4">
      <t>シンサ</t>
    </rPh>
    <rPh sb="4" eb="5">
      <t>ブン</t>
    </rPh>
    <phoneticPr fontId="1"/>
  </si>
  <si>
    <t>10月審査分</t>
    <rPh sb="2" eb="3">
      <t>ガツ</t>
    </rPh>
    <rPh sb="3" eb="5">
      <t>シンサ</t>
    </rPh>
    <rPh sb="5" eb="6">
      <t>ブン</t>
    </rPh>
    <phoneticPr fontId="1"/>
  </si>
  <si>
    <t>11月審査分</t>
    <rPh sb="2" eb="3">
      <t>ガツ</t>
    </rPh>
    <rPh sb="3" eb="5">
      <t>シンサ</t>
    </rPh>
    <rPh sb="5" eb="6">
      <t>ブン</t>
    </rPh>
    <phoneticPr fontId="1"/>
  </si>
  <si>
    <t>12月審査分</t>
    <rPh sb="2" eb="3">
      <t>ガツ</t>
    </rPh>
    <rPh sb="3" eb="5">
      <t>シンサ</t>
    </rPh>
    <rPh sb="5" eb="6">
      <t>ブン</t>
    </rPh>
    <phoneticPr fontId="1"/>
  </si>
  <si>
    <t>1月審査分</t>
    <rPh sb="1" eb="2">
      <t>ガツ</t>
    </rPh>
    <rPh sb="2" eb="4">
      <t>シンサ</t>
    </rPh>
    <rPh sb="4" eb="5">
      <t>ブン</t>
    </rPh>
    <phoneticPr fontId="1"/>
  </si>
  <si>
    <t>2月審査分</t>
    <rPh sb="1" eb="2">
      <t>ガツ</t>
    </rPh>
    <rPh sb="2" eb="4">
      <t>シンサ</t>
    </rPh>
    <rPh sb="4" eb="5">
      <t>ブン</t>
    </rPh>
    <phoneticPr fontId="1"/>
  </si>
  <si>
    <t>3月審査分</t>
    <rPh sb="1" eb="2">
      <t>ガツ</t>
    </rPh>
    <rPh sb="2" eb="4">
      <t>シンサ</t>
    </rPh>
    <rPh sb="4" eb="5">
      <t>ブン</t>
    </rPh>
    <phoneticPr fontId="1"/>
  </si>
  <si>
    <t>合計</t>
  </si>
  <si>
    <t>居宅サービス計</t>
  </si>
  <si>
    <t>訪問通所小計</t>
    <rPh sb="2" eb="3">
      <t>ツウ</t>
    </rPh>
    <rPh sb="3" eb="4">
      <t>ショ</t>
    </rPh>
    <rPh sb="4" eb="6">
      <t>ショウケイ</t>
    </rPh>
    <phoneticPr fontId="1"/>
  </si>
  <si>
    <t>11訪問介護</t>
  </si>
  <si>
    <t>12訪問入浴介護</t>
  </si>
  <si>
    <t>13訪問看護</t>
  </si>
  <si>
    <t>14訪問リハビリテーション</t>
  </si>
  <si>
    <t>15通所介護</t>
  </si>
  <si>
    <t>16通所リハビリテーション</t>
  </si>
  <si>
    <t>17福祉用具貸与</t>
  </si>
  <si>
    <t>61介護予防訪問介護</t>
  </si>
  <si>
    <t>62介護予防訪問入浴介護</t>
  </si>
  <si>
    <t>63介護予防訪問看護</t>
  </si>
  <si>
    <t>64介護予防訪問リハビリテーション</t>
  </si>
  <si>
    <t>65介護予防通所介護</t>
  </si>
  <si>
    <t>66介護予防通所リハビリテーション</t>
  </si>
  <si>
    <t>67介護予防福祉用具貸与</t>
  </si>
  <si>
    <t>短期入所小計</t>
    <phoneticPr fontId="1"/>
  </si>
  <si>
    <t>21短期入所生活介護</t>
  </si>
  <si>
    <t>22短期入所療養介護（老健）</t>
  </si>
  <si>
    <t>2A短期入所療養介護（介護医療院）</t>
    <phoneticPr fontId="1"/>
  </si>
  <si>
    <t>23短期入所療養介護（病院等）</t>
  </si>
  <si>
    <t>24介護予防短期入所生活介護</t>
  </si>
  <si>
    <t>25介護予防短期入所療養介護（老健）</t>
  </si>
  <si>
    <t>2B介護予防短期入所療養介護（介護医療院）</t>
    <phoneticPr fontId="1"/>
  </si>
  <si>
    <t>26介護予防短期入所療養介護（病院等）</t>
  </si>
  <si>
    <t xml:space="preserve">  22特定治療（再掲）</t>
  </si>
  <si>
    <t xml:space="preserve">  22特別療養費（再掲）</t>
    <phoneticPr fontId="1"/>
  </si>
  <si>
    <t xml:space="preserve">  2A特定治療（再掲）</t>
    <phoneticPr fontId="1"/>
  </si>
  <si>
    <t xml:space="preserve">  2A特別診療費（再掲）</t>
  </si>
  <si>
    <t xml:space="preserve">  23特定診療費（再掲）</t>
  </si>
  <si>
    <t xml:space="preserve">  25特定治療（再掲）</t>
  </si>
  <si>
    <t xml:space="preserve">  25特別療養費（再掲）</t>
    <phoneticPr fontId="1"/>
  </si>
  <si>
    <t xml:space="preserve">  2B特定治療（再掲）</t>
    <phoneticPr fontId="1"/>
  </si>
  <si>
    <t xml:space="preserve">  2B特別診療費（再掲）</t>
  </si>
  <si>
    <t xml:space="preserve">  26特定診療費（再掲）</t>
  </si>
  <si>
    <t>31居宅療養管理指導</t>
  </si>
  <si>
    <t>33特定施設入居者生活介護</t>
  </si>
  <si>
    <t>27特定施設入居者生活介護（短期）</t>
    <phoneticPr fontId="1"/>
  </si>
  <si>
    <t>34介護予防居宅療養管理指導</t>
  </si>
  <si>
    <t>35介護予防特定施設入居者生活介護</t>
  </si>
  <si>
    <t>43居宅介護支援</t>
    <phoneticPr fontId="1"/>
  </si>
  <si>
    <t>46介護予防支援</t>
  </si>
  <si>
    <t>81市町村特別給付</t>
    <rPh sb="2" eb="5">
      <t>シチョウソン</t>
    </rPh>
    <rPh sb="5" eb="7">
      <t>トクベツ</t>
    </rPh>
    <rPh sb="7" eb="9">
      <t>キュウフ</t>
    </rPh>
    <phoneticPr fontId="1"/>
  </si>
  <si>
    <t>地域密着型サービス計</t>
    <phoneticPr fontId="1"/>
  </si>
  <si>
    <t>76定期巡回・随時対応型訪問介護看護</t>
  </si>
  <si>
    <t>71夜間対応型訪問介護</t>
  </si>
  <si>
    <t>78地域密着型通所介護</t>
    <phoneticPr fontId="1"/>
  </si>
  <si>
    <t>72認知症対応型通所介護</t>
  </si>
  <si>
    <t>73小規模多機能型居宅介護</t>
  </si>
  <si>
    <t>68小規模多機能型居宅介護（短期）</t>
    <phoneticPr fontId="1"/>
  </si>
  <si>
    <t>32認知症対応型共同生活介護</t>
  </si>
  <si>
    <t>38認知症対応型共同生活介護(短期)</t>
  </si>
  <si>
    <t>36地域密着型特定施設入居者生活介護</t>
    <phoneticPr fontId="1"/>
  </si>
  <si>
    <t>28地域密着型特定施設入居者生活介護（短期）</t>
    <phoneticPr fontId="1"/>
  </si>
  <si>
    <t>54地域密着型介護老人福祉施設入所者生活介護</t>
  </si>
  <si>
    <t>77複合型サービス（看護小規模多機能型居宅介護）</t>
    <phoneticPr fontId="1"/>
  </si>
  <si>
    <t>79複合型サービス（看護小規模多機能型居宅介護・短期）</t>
    <phoneticPr fontId="1"/>
  </si>
  <si>
    <t>74介護予防認知症対応型通所介護</t>
  </si>
  <si>
    <t>75介護予防小規模多機能型居宅介護</t>
  </si>
  <si>
    <t>69介護予防小規模多機能型居宅介護（短期）</t>
    <phoneticPr fontId="1"/>
  </si>
  <si>
    <t>37介護予防認知症対応型共同生活介護</t>
  </si>
  <si>
    <t>39介護予防認知症型共同生活介護(短期)</t>
  </si>
  <si>
    <t>施設サービス計</t>
  </si>
  <si>
    <t>51介護福祉施設サービス</t>
  </si>
  <si>
    <t>52介護保健施設サービス</t>
  </si>
  <si>
    <t>55介護医療院サービス</t>
    <phoneticPr fontId="1"/>
  </si>
  <si>
    <t>53介護療養施設サービス</t>
  </si>
  <si>
    <t xml:space="preserve">  52特定治療（再掲）</t>
  </si>
  <si>
    <t xml:space="preserve">  52特別療養費（再掲）</t>
    <phoneticPr fontId="1"/>
  </si>
  <si>
    <t xml:space="preserve">  55特定治療（再掲）</t>
    <phoneticPr fontId="1"/>
  </si>
  <si>
    <t xml:space="preserve">  55特別診療費（再掲）</t>
  </si>
  <si>
    <t xml:space="preserve">  53特定診療費（再掲）</t>
  </si>
  <si>
    <t>総合事業計</t>
    <phoneticPr fontId="1"/>
  </si>
  <si>
    <t>訪問型サービス小計</t>
    <rPh sb="0" eb="2">
      <t>ホウモン</t>
    </rPh>
    <rPh sb="2" eb="3">
      <t>ガタ</t>
    </rPh>
    <rPh sb="7" eb="9">
      <t>ショウケイ</t>
    </rPh>
    <phoneticPr fontId="1"/>
  </si>
  <si>
    <t>A1訪問型サービス（みなし）</t>
    <phoneticPr fontId="1"/>
  </si>
  <si>
    <t>A2訪問型サービス（独自）</t>
    <phoneticPr fontId="1"/>
  </si>
  <si>
    <t>A3訪問型サービス（独自／定率）</t>
    <phoneticPr fontId="1"/>
  </si>
  <si>
    <t>A4訪問型サービス（独自／定額）</t>
    <phoneticPr fontId="1"/>
  </si>
  <si>
    <t>通所型サービス小計</t>
    <rPh sb="0" eb="2">
      <t>ツウショ</t>
    </rPh>
    <rPh sb="2" eb="3">
      <t>ガタ</t>
    </rPh>
    <rPh sb="7" eb="9">
      <t>ショウケイ</t>
    </rPh>
    <phoneticPr fontId="1"/>
  </si>
  <si>
    <t>A5通所型サービス（みなし）</t>
    <phoneticPr fontId="1"/>
  </si>
  <si>
    <t>A6通所型サービス（独自）</t>
    <phoneticPr fontId="1"/>
  </si>
  <si>
    <t>A7通所型サービス（独自／定率）</t>
    <phoneticPr fontId="1"/>
  </si>
  <si>
    <t>A8通所型サービス（独自／定額）</t>
    <phoneticPr fontId="1"/>
  </si>
  <si>
    <t>その他の生活支援サービス小計</t>
    <rPh sb="2" eb="3">
      <t>タ</t>
    </rPh>
    <rPh sb="4" eb="6">
      <t>セイカツ</t>
    </rPh>
    <rPh sb="6" eb="8">
      <t>シエン</t>
    </rPh>
    <rPh sb="12" eb="14">
      <t>ショウケイ</t>
    </rPh>
    <phoneticPr fontId="1"/>
  </si>
  <si>
    <t>A9その他の生活支援サービス（配食／定率）</t>
    <phoneticPr fontId="1"/>
  </si>
  <si>
    <t>AAその他の生活支援サービス（配食／定額）</t>
    <phoneticPr fontId="1"/>
  </si>
  <si>
    <t>ABその他の生活支援サービス（見守り／定率）</t>
    <phoneticPr fontId="1"/>
  </si>
  <si>
    <t>ACその他の生活支援サービス（見守り／定額）</t>
    <phoneticPr fontId="1"/>
  </si>
  <si>
    <t>ADその他の生活支援サービス（その他／定率）</t>
    <phoneticPr fontId="1"/>
  </si>
  <si>
    <t>AEその他の生活支援サービス（その他／定額）</t>
    <phoneticPr fontId="1"/>
  </si>
  <si>
    <t>AF介護予防ケアマネジメント</t>
    <phoneticPr fontId="1"/>
  </si>
  <si>
    <t>保険者別　国保連合会業務統計表（確定給付統計）</t>
    <phoneticPr fontId="1"/>
  </si>
  <si>
    <t>特定入所者介護サービス費の給付状況その３</t>
    <phoneticPr fontId="1"/>
  </si>
  <si>
    <t>種別</t>
    <rPh sb="0" eb="2">
      <t>シュベツ</t>
    </rPh>
    <phoneticPr fontId="1"/>
  </si>
  <si>
    <t>計</t>
  </si>
  <si>
    <t>保険給付額</t>
    <phoneticPr fontId="1"/>
  </si>
  <si>
    <t>合計</t>
    <phoneticPr fontId="1"/>
  </si>
  <si>
    <t>食費</t>
    <rPh sb="0" eb="2">
      <t>ショクヒ</t>
    </rPh>
    <phoneticPr fontId="1"/>
  </si>
  <si>
    <t>居住費</t>
    <rPh sb="0" eb="2">
      <t>キョジュウ</t>
    </rPh>
    <rPh sb="2" eb="3">
      <t>ヒ</t>
    </rPh>
    <phoneticPr fontId="1"/>
  </si>
  <si>
    <t>短期入所サービス計</t>
    <rPh sb="0" eb="2">
      <t>タンキ</t>
    </rPh>
    <rPh sb="2" eb="4">
      <t>ニュウショ</t>
    </rPh>
    <phoneticPr fontId="1"/>
  </si>
  <si>
    <t>滞在費</t>
    <rPh sb="0" eb="3">
      <t>タイザイヒ</t>
    </rPh>
    <phoneticPr fontId="1"/>
  </si>
  <si>
    <t>21短期入所生活介護</t>
    <phoneticPr fontId="1"/>
  </si>
  <si>
    <t>22短期入所療養介護（老健）</t>
    <phoneticPr fontId="1"/>
  </si>
  <si>
    <r>
      <t>2A</t>
    </r>
    <r>
      <rPr>
        <sz val="11"/>
        <rFont val="ＭＳ Ｐゴシック"/>
        <family val="3"/>
        <charset val="128"/>
      </rPr>
      <t>短期入所療養介護（介護医療院）</t>
    </r>
    <rPh sb="11" eb="13">
      <t>カイゴ</t>
    </rPh>
    <rPh sb="13" eb="15">
      <t>イリョウ</t>
    </rPh>
    <rPh sb="15" eb="16">
      <t>イン</t>
    </rPh>
    <phoneticPr fontId="1"/>
  </si>
  <si>
    <t>23短期入所療養介護（病院等）</t>
    <phoneticPr fontId="1"/>
  </si>
  <si>
    <t>24介護予防短期入所生活介護</t>
    <phoneticPr fontId="1"/>
  </si>
  <si>
    <t>25介護予防短期入所療養介護（老健）</t>
    <phoneticPr fontId="1"/>
  </si>
  <si>
    <r>
      <t>2</t>
    </r>
    <r>
      <rPr>
        <sz val="11"/>
        <rFont val="ＭＳ Ｐゴシック"/>
        <family val="3"/>
        <charset val="128"/>
      </rPr>
      <t>B介護予防短期入所療養介護（介護医療院）</t>
    </r>
    <rPh sb="15" eb="17">
      <t>カイゴ</t>
    </rPh>
    <rPh sb="17" eb="19">
      <t>イリョウ</t>
    </rPh>
    <rPh sb="19" eb="20">
      <t>イン</t>
    </rPh>
    <phoneticPr fontId="1"/>
  </si>
  <si>
    <t>26介護予防短期入所療養介護（病院等）</t>
    <phoneticPr fontId="1"/>
  </si>
  <si>
    <t>地域密着型サービス計</t>
    <rPh sb="0" eb="2">
      <t>チイキ</t>
    </rPh>
    <rPh sb="2" eb="5">
      <t>ミッチャクガタ</t>
    </rPh>
    <phoneticPr fontId="1"/>
  </si>
  <si>
    <t>54地域密着型介護老人福祉施設入所者生活介護</t>
    <phoneticPr fontId="1"/>
  </si>
  <si>
    <t>施設サービス計</t>
    <phoneticPr fontId="1"/>
  </si>
  <si>
    <r>
      <t>51介護福祉施設</t>
    </r>
    <r>
      <rPr>
        <sz val="11"/>
        <color theme="1"/>
        <rFont val="ＭＳ Ｐゴシック"/>
        <family val="3"/>
        <charset val="128"/>
      </rPr>
      <t>サービス</t>
    </r>
    <phoneticPr fontId="1"/>
  </si>
  <si>
    <r>
      <t>52介護保健施設</t>
    </r>
    <r>
      <rPr>
        <sz val="11"/>
        <color theme="1"/>
        <rFont val="ＭＳ Ｐゴシック"/>
        <family val="3"/>
        <charset val="128"/>
      </rPr>
      <t>サービス</t>
    </r>
    <phoneticPr fontId="1"/>
  </si>
  <si>
    <r>
      <t>5</t>
    </r>
    <r>
      <rPr>
        <sz val="11"/>
        <rFont val="ＭＳ Ｐゴシック"/>
        <family val="3"/>
        <charset val="128"/>
      </rPr>
      <t>5介護医療院サービス</t>
    </r>
    <rPh sb="2" eb="4">
      <t>カイゴ</t>
    </rPh>
    <rPh sb="4" eb="6">
      <t>イリョウ</t>
    </rPh>
    <rPh sb="6" eb="7">
      <t>イン</t>
    </rPh>
    <phoneticPr fontId="1"/>
  </si>
  <si>
    <r>
      <t>53介護療養施設</t>
    </r>
    <r>
      <rPr>
        <sz val="11"/>
        <color theme="1"/>
        <rFont val="ＭＳ Ｐゴシック"/>
        <family val="3"/>
        <charset val="128"/>
      </rPr>
      <t>サービス</t>
    </r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</si>
  <si>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</si>
  <si>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</si>
  <si>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6月</t>
  </si>
  <si>
    <t>7月</t>
  </si>
  <si>
    <t>8月</t>
  </si>
  <si>
    <t>9月</t>
  </si>
  <si>
    <t>10月</t>
  </si>
  <si>
    <t>11月</t>
  </si>
  <si>
    <t>転記＝短期入所療養介護</t>
    <rPh sb="0" eb="2">
      <t>テンキ</t>
    </rPh>
    <rPh sb="3" eb="5">
      <t>タンキ</t>
    </rPh>
    <rPh sb="5" eb="7">
      <t>ニュウショ</t>
    </rPh>
    <phoneticPr fontId="1"/>
  </si>
  <si>
    <t>特定入所者介護（食費）</t>
    <rPh sb="0" eb="2">
      <t>トクテイ</t>
    </rPh>
    <rPh sb="2" eb="5">
      <t>ニュウショシャ</t>
    </rPh>
    <rPh sb="5" eb="7">
      <t>カイゴ</t>
    </rPh>
    <rPh sb="8" eb="10">
      <t>ショクヒ</t>
    </rPh>
    <phoneticPr fontId="1"/>
  </si>
  <si>
    <t>特定入所者介護（居住費）</t>
    <rPh sb="0" eb="2">
      <t>トクテイ</t>
    </rPh>
    <rPh sb="2" eb="5">
      <t>ニュウショシャ</t>
    </rPh>
    <rPh sb="5" eb="7">
      <t>カイゴ</t>
    </rPh>
    <rPh sb="8" eb="10">
      <t>キョジュウ</t>
    </rPh>
    <rPh sb="10" eb="11">
      <t>ヒ</t>
    </rPh>
    <phoneticPr fontId="1"/>
  </si>
  <si>
    <t>介護老人保健施設（特定治療、特別療養費含む）</t>
    <rPh sb="0" eb="2">
      <t>カイゴ</t>
    </rPh>
    <rPh sb="2" eb="4">
      <t>ロウジン</t>
    </rPh>
    <rPh sb="4" eb="6">
      <t>ホケン</t>
    </rPh>
    <rPh sb="6" eb="8">
      <t>シセツ</t>
    </rPh>
    <rPh sb="9" eb="11">
      <t>トクテイ</t>
    </rPh>
    <rPh sb="11" eb="13">
      <t>チリョウ</t>
    </rPh>
    <rPh sb="14" eb="16">
      <t>トクベツ</t>
    </rPh>
    <rPh sb="16" eb="19">
      <t>リョウヨウヒ</t>
    </rPh>
    <rPh sb="19" eb="20">
      <t>フク</t>
    </rPh>
    <phoneticPr fontId="1"/>
  </si>
  <si>
    <r>
      <rPr>
        <sz val="10"/>
        <rFont val="ＭＳ Ｐゴシック"/>
        <family val="3"/>
        <charset val="128"/>
      </rPr>
      <t>介護療養型医療施設</t>
    </r>
    <r>
      <rPr>
        <sz val="11"/>
        <rFont val="ＭＳ Ｐゴシック"/>
        <family val="3"/>
        <charset val="128"/>
      </rPr>
      <t>（特定診療費含む）</t>
    </r>
    <rPh sb="0" eb="2">
      <t>カイゴ</t>
    </rPh>
    <rPh sb="2" eb="5">
      <t>リョウヨウガタ</t>
    </rPh>
    <rPh sb="5" eb="7">
      <t>イリョウ</t>
    </rPh>
    <rPh sb="7" eb="9">
      <t>シセツ</t>
    </rPh>
    <rPh sb="10" eb="12">
      <t>トクテイ</t>
    </rPh>
    <rPh sb="12" eb="15">
      <t>シンリョウヒ</t>
    </rPh>
    <rPh sb="15" eb="16">
      <t>フク</t>
    </rPh>
    <phoneticPr fontId="1"/>
  </si>
  <si>
    <t>介護予防短期入所療養介護（特別療養費、特定診療費含む）</t>
    <rPh sb="0" eb="2">
      <t>カイゴ</t>
    </rPh>
    <rPh sb="2" eb="4">
      <t>ヨボウ</t>
    </rPh>
    <rPh sb="4" eb="6">
      <t>タンキ</t>
    </rPh>
    <rPh sb="6" eb="8">
      <t>ニュウショ</t>
    </rPh>
    <phoneticPr fontId="1"/>
  </si>
  <si>
    <t>12月</t>
  </si>
  <si>
    <t>1月</t>
  </si>
  <si>
    <t>2月</t>
  </si>
  <si>
    <t>3月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</si>
</sst>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7" formatCode="#,##0_);[Red]\(#,##0\)"/>
    <numFmt numFmtId="180" formatCode="#,##0;&quot;△ &quot;#,##0"/>
    <numFmt numFmtId="181" formatCode="#,##0;[Red]\-#,##0;0;"/>
    <numFmt numFmtId="182" formatCode="#,##0_ ;[Red]\-#,##0\ "/>
  </numFmts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rgb="FF0000CC"/>
      <name val="ＭＳ Ｐゴシック"/>
      <family val="3"/>
      <charset val="128"/>
    </font>
    <font>
      <sz val="11"/>
      <color rgb="FF0000CC"/>
      <name val="ＭＳ Ｐゴシック"/>
      <family val="3"/>
      <charset val="128"/>
      <scheme val="minor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38" fontId="3" fillId="0" borderId="0" applyFont="0" applyFill="0" applyBorder="0" applyAlignment="0" applyProtection="0">
      <alignment vertical="center"/>
    </xf>
  </cellStyleXfs>
  <cellXfs count="122">
    <xf numFmtId="0" fontId="0" fillId="0" borderId="0" xfId="0">
      <alignment vertical="center"/>
    </xf>
    <xf numFmtId="177" fontId="0" fillId="0" borderId="1" xfId="0" applyNumberFormat="1" applyFill="1" applyBorder="1" applyAlignment="1" applyProtection="1">
      <alignment horizontal="center" vertical="center" wrapText="1"/>
    </xf>
    <xf numFmtId="180" fontId="0" fillId="0" borderId="1" xfId="1" applyNumberFormat="1" applyFont="1" applyFill="1" applyBorder="1" applyAlignment="1">
      <alignment vertical="center" shrinkToFit="1"/>
    </xf>
    <xf numFmtId="0" fontId="0" fillId="0" borderId="1" xfId="1" applyFont="1" applyFill="1" applyBorder="1" applyAlignment="1">
      <alignment vertical="center" shrinkToFit="1"/>
    </xf>
    <xf numFmtId="0" fontId="0" fillId="0" borderId="4" xfId="1" applyFont="1" applyFill="1" applyBorder="1" applyAlignment="1">
      <alignment horizontal="center" vertical="center"/>
    </xf>
    <xf numFmtId="0" fontId="0" fillId="0" borderId="4" xfId="1" applyFont="1" applyFill="1" applyBorder="1" applyAlignment="1">
      <alignment horizontal="left" vertical="center"/>
    </xf>
    <xf numFmtId="181" fontId="0" fillId="0" borderId="1" xfId="1" applyNumberFormat="1" applyFont="1" applyFill="1" applyBorder="1" applyAlignment="1">
      <alignment horizontal="right" vertical="center" shrinkToFit="1"/>
    </xf>
    <xf numFmtId="0" fontId="0" fillId="0" borderId="4" xfId="1" applyFont="1" applyFill="1" applyBorder="1" applyAlignment="1">
      <alignment horizontal="center" vertical="center" wrapText="1"/>
    </xf>
    <xf numFmtId="0" fontId="0" fillId="0" borderId="5" xfId="1" applyFont="1" applyFill="1" applyBorder="1" applyAlignment="1">
      <alignment horizontal="center" vertical="center"/>
    </xf>
    <xf numFmtId="0" fontId="0" fillId="0" borderId="0" xfId="1" applyFont="1" applyFill="1" applyAlignment="1">
      <alignment vertical="center"/>
    </xf>
    <xf numFmtId="0" fontId="0" fillId="0" borderId="14" xfId="1" applyFont="1" applyFill="1" applyBorder="1" applyAlignment="1">
      <alignment horizontal="left" vertical="center"/>
    </xf>
    <xf numFmtId="0" fontId="0" fillId="0" borderId="8" xfId="1" applyFont="1" applyFill="1" applyBorder="1" applyAlignment="1">
      <alignment horizontal="left" vertical="center"/>
    </xf>
    <xf numFmtId="0" fontId="0" fillId="0" borderId="6" xfId="1" applyFont="1" applyFill="1" applyBorder="1" applyAlignment="1">
      <alignment horizontal="right" vertical="center"/>
    </xf>
    <xf numFmtId="0" fontId="0" fillId="0" borderId="12" xfId="1" applyFont="1" applyFill="1" applyBorder="1" applyAlignment="1">
      <alignment horizontal="left" vertical="center"/>
    </xf>
    <xf numFmtId="0" fontId="0" fillId="0" borderId="1" xfId="1" applyFont="1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1" xfId="1" applyFont="1" applyBorder="1" applyAlignment="1">
      <alignment vertical="center"/>
    </xf>
    <xf numFmtId="177" fontId="0" fillId="0" borderId="1" xfId="0" applyNumberFormat="1" applyFont="1" applyFill="1" applyBorder="1" applyAlignment="1" applyProtection="1">
      <alignment horizontal="center" vertical="center" wrapText="1"/>
    </xf>
    <xf numFmtId="177" fontId="0" fillId="0" borderId="1" xfId="0" applyNumberFormat="1" applyFont="1" applyFill="1" applyBorder="1" applyAlignment="1" applyProtection="1">
      <alignment horizontal="center" vertical="center" shrinkToFit="1"/>
    </xf>
    <xf numFmtId="177" fontId="0" fillId="0" borderId="1" xfId="0" applyNumberFormat="1" applyFill="1" applyBorder="1" applyAlignment="1" applyProtection="1">
      <alignment horizontal="center" vertical="center" shrinkToFit="1"/>
    </xf>
    <xf numFmtId="0" fontId="0" fillId="0" borderId="9" xfId="1" applyFont="1" applyFill="1" applyBorder="1" applyAlignment="1">
      <alignment horizontal="left" vertical="center"/>
    </xf>
    <xf numFmtId="0" fontId="0" fillId="0" borderId="6" xfId="1" applyFont="1" applyFill="1" applyBorder="1" applyAlignment="1">
      <alignment vertical="center"/>
    </xf>
    <xf numFmtId="0" fontId="0" fillId="0" borderId="1" xfId="1" applyFont="1" applyFill="1" applyBorder="1" applyAlignment="1">
      <alignment horizontal="left" vertical="center"/>
    </xf>
    <xf numFmtId="0" fontId="0" fillId="0" borderId="7" xfId="1" applyFont="1" applyFill="1" applyBorder="1" applyAlignment="1">
      <alignment horizontal="left" vertical="center"/>
    </xf>
    <xf numFmtId="0" fontId="0" fillId="0" borderId="5" xfId="1" applyFont="1" applyFill="1" applyBorder="1" applyAlignment="1">
      <alignment horizontal="left" vertical="center"/>
    </xf>
    <xf numFmtId="0" fontId="0" fillId="0" borderId="6" xfId="1" applyFont="1" applyFill="1" applyBorder="1" applyAlignment="1">
      <alignment horizontal="left" vertical="center"/>
    </xf>
    <xf numFmtId="0" fontId="0" fillId="0" borderId="5" xfId="1" applyFont="1" applyFill="1" applyBorder="1" applyAlignment="1">
      <alignment vertical="center"/>
    </xf>
    <xf numFmtId="0" fontId="0" fillId="0" borderId="13" xfId="1" applyFont="1" applyFill="1" applyBorder="1" applyAlignment="1">
      <alignment horizontal="left" vertical="center"/>
    </xf>
    <xf numFmtId="0" fontId="0" fillId="0" borderId="10" xfId="1" applyFont="1" applyFill="1" applyBorder="1" applyAlignment="1">
      <alignment horizontal="left" vertical="center"/>
    </xf>
    <xf numFmtId="0" fontId="0" fillId="0" borderId="0" xfId="1" applyFont="1" applyFill="1" applyBorder="1" applyAlignment="1">
      <alignment horizontal="left" vertical="center"/>
    </xf>
    <xf numFmtId="0" fontId="0" fillId="0" borderId="2" xfId="1" applyFont="1" applyFill="1" applyBorder="1" applyAlignment="1">
      <alignment horizontal="left" vertical="center"/>
    </xf>
    <xf numFmtId="0" fontId="0" fillId="0" borderId="3" xfId="1" applyFont="1" applyFill="1" applyBorder="1" applyAlignment="1">
      <alignment horizontal="left" vertical="center"/>
    </xf>
    <xf numFmtId="177" fontId="0" fillId="0" borderId="1" xfId="0" applyNumberFormat="1" applyFill="1" applyBorder="1" applyAlignment="1" applyProtection="1">
      <alignment horizontal="center" vertical="center" wrapText="1"/>
    </xf>
    <xf numFmtId="0" fontId="0" fillId="0" borderId="0" xfId="1" applyFont="1" applyFill="1" applyAlignment="1">
      <alignment horizontal="left" vertical="center"/>
    </xf>
    <xf numFmtId="0" fontId="0" fillId="0" borderId="0" xfId="1" applyFont="1" applyFill="1"/>
    <xf numFmtId="14" fontId="0" fillId="0" borderId="4" xfId="1" applyNumberFormat="1" applyFont="1" applyFill="1" applyBorder="1" applyAlignment="1">
      <alignment vertical="center"/>
    </xf>
    <xf numFmtId="0" fontId="0" fillId="0" borderId="6" xfId="1" applyFont="1" applyFill="1" applyBorder="1" applyAlignment="1">
      <alignment horizontal="center" vertical="center"/>
    </xf>
    <xf numFmtId="0" fontId="0" fillId="0" borderId="6" xfId="1" applyFont="1" applyFill="1" applyBorder="1" applyAlignment="1">
      <alignment horizontal="center" vertical="center" shrinkToFit="1"/>
    </xf>
    <xf numFmtId="0" fontId="0" fillId="0" borderId="1" xfId="1" applyFont="1" applyFill="1" applyBorder="1" applyAlignment="1">
      <alignment horizontal="center" vertical="center" shrinkToFit="1"/>
    </xf>
    <xf numFmtId="180" fontId="0" fillId="0" borderId="1" xfId="1" applyNumberFormat="1" applyFont="1" applyFill="1" applyBorder="1" applyAlignment="1">
      <alignment vertical="center"/>
    </xf>
    <xf numFmtId="180" fontId="0" fillId="0" borderId="11" xfId="1" applyNumberFormat="1" applyFont="1" applyFill="1" applyBorder="1" applyAlignment="1">
      <alignment vertical="center"/>
    </xf>
    <xf numFmtId="180" fontId="0" fillId="0" borderId="6" xfId="1" applyNumberFormat="1" applyFont="1" applyFill="1" applyBorder="1" applyAlignment="1">
      <alignment vertical="center"/>
    </xf>
    <xf numFmtId="180" fontId="0" fillId="0" borderId="6" xfId="1" applyNumberFormat="1" applyFont="1" applyFill="1" applyBorder="1" applyAlignment="1">
      <alignment vertical="center" shrinkToFit="1"/>
    </xf>
    <xf numFmtId="182" fontId="0" fillId="0" borderId="0" xfId="1" applyNumberFormat="1" applyFont="1" applyFill="1" applyBorder="1" applyAlignment="1">
      <alignment horizontal="right" vertical="center"/>
    </xf>
    <xf numFmtId="0" fontId="4" fillId="0" borderId="0" xfId="1" applyFont="1" applyFill="1" applyAlignment="1">
      <alignment vertical="center"/>
    </xf>
    <xf numFmtId="0" fontId="0" fillId="0" borderId="0" xfId="1" applyNumberFormat="1" applyFont="1" applyFill="1" applyAlignment="1">
      <alignment vertical="center"/>
    </xf>
    <xf numFmtId="0" fontId="0" fillId="0" borderId="1" xfId="1" applyFont="1" applyFill="1" applyBorder="1" applyAlignment="1">
      <alignment horizontal="center" vertical="center"/>
    </xf>
    <xf numFmtId="180" fontId="0" fillId="0" borderId="1" xfId="1" applyNumberFormat="1" applyFont="1" applyFill="1" applyBorder="1" applyAlignment="1">
      <alignment horizontal="right" vertical="center"/>
    </xf>
    <xf numFmtId="182" fontId="0" fillId="0" borderId="1" xfId="1" applyNumberFormat="1" applyFont="1" applyFill="1" applyBorder="1" applyAlignment="1">
      <alignment horizontal="right" vertical="center"/>
    </xf>
    <xf numFmtId="182" fontId="4" fillId="0" borderId="1" xfId="1" applyNumberFormat="1" applyFont="1" applyFill="1" applyBorder="1" applyAlignment="1">
      <alignment horizontal="right" vertical="center"/>
    </xf>
    <xf numFmtId="182" fontId="0" fillId="0" borderId="0" xfId="1" applyNumberFormat="1" applyFont="1" applyFill="1" applyAlignment="1">
      <alignment horizontal="right" vertical="center"/>
    </xf>
    <xf numFmtId="182" fontId="4" fillId="0" borderId="0" xfId="1" applyNumberFormat="1" applyFont="1" applyFill="1" applyAlignment="1">
      <alignment horizontal="right" vertical="center"/>
    </xf>
    <xf numFmtId="0" fontId="0" fillId="0" borderId="4" xfId="1" applyFont="1" applyFill="1" applyBorder="1" applyAlignment="1">
      <alignment vertical="center"/>
    </xf>
    <xf numFmtId="0" fontId="0" fillId="0" borderId="4" xfId="1" applyFont="1" applyFill="1" applyBorder="1" applyAlignment="1">
      <alignment vertical="center" shrinkToFit="1"/>
    </xf>
    <xf numFmtId="0" fontId="0" fillId="0" borderId="4" xfId="0" applyBorder="1">
      <alignment vertical="center"/>
    </xf>
    <xf numFmtId="0" fontId="0" fillId="0" borderId="4" xfId="1" applyFont="1" applyBorder="1" applyAlignment="1">
      <alignment vertical="center"/>
    </xf>
    <xf numFmtId="177" fontId="0" fillId="0" borderId="4" xfId="0" applyNumberFormat="1" applyFill="1" applyBorder="1" applyAlignment="1" applyProtection="1">
      <alignment horizontal="center" vertical="center" wrapText="1"/>
    </xf>
    <xf numFmtId="180" fontId="6" fillId="0" borderId="0" xfId="1" applyNumberFormat="1" applyFont="1" applyFill="1" applyAlignment="1">
      <alignment vertical="center"/>
    </xf>
    <xf numFmtId="180" fontId="6" fillId="0" borderId="1" xfId="1" applyNumberFormat="1" applyFont="1" applyFill="1" applyBorder="1" applyAlignment="1">
      <alignment vertical="center"/>
    </xf>
    <xf numFmtId="180" fontId="6" fillId="0" borderId="6" xfId="1" applyNumberFormat="1" applyFont="1" applyFill="1" applyBorder="1" applyAlignment="1">
      <alignment vertical="center"/>
    </xf>
    <xf numFmtId="38" fontId="6" fillId="0" borderId="6" xfId="2" applyFont="1" applyFill="1" applyBorder="1" applyAlignment="1">
      <alignment vertical="center"/>
    </xf>
    <xf numFmtId="38" fontId="6" fillId="0" borderId="0" xfId="2" applyFont="1" applyFill="1" applyAlignment="1">
      <alignment vertical="center"/>
    </xf>
    <xf numFmtId="0" fontId="6" fillId="0" borderId="0" xfId="1" applyFont="1" applyFill="1" applyAlignment="1">
      <alignment vertical="center"/>
    </xf>
    <xf numFmtId="0" fontId="7" fillId="0" borderId="0" xfId="1" applyFont="1" applyFill="1" applyAlignment="1">
      <alignment vertical="center"/>
    </xf>
    <xf numFmtId="0" fontId="6" fillId="0" borderId="6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38" fontId="6" fillId="0" borderId="1" xfId="2" applyFont="1" applyFill="1" applyBorder="1" applyAlignment="1">
      <alignment vertical="center"/>
    </xf>
    <xf numFmtId="38" fontId="6" fillId="0" borderId="6" xfId="2" applyFont="1" applyBorder="1" applyAlignment="1">
      <alignment vertical="center"/>
    </xf>
    <xf numFmtId="38" fontId="6" fillId="0" borderId="1" xfId="2" applyFont="1" applyBorder="1" applyAlignment="1">
      <alignment vertical="center"/>
    </xf>
    <xf numFmtId="38" fontId="6" fillId="0" borderId="6" xfId="2" applyFont="1" applyFill="1" applyBorder="1" applyAlignment="1">
      <alignment vertical="center" shrinkToFit="1"/>
    </xf>
    <xf numFmtId="38" fontId="6" fillId="0" borderId="1" xfId="2" applyFont="1" applyFill="1" applyBorder="1" applyAlignment="1">
      <alignment vertical="center" shrinkToFit="1"/>
    </xf>
    <xf numFmtId="38" fontId="6" fillId="0" borderId="6" xfId="0" applyNumberFormat="1" applyFont="1" applyBorder="1">
      <alignment vertical="center"/>
    </xf>
    <xf numFmtId="38" fontId="6" fillId="0" borderId="1" xfId="0" applyNumberFormat="1" applyFont="1" applyBorder="1">
      <alignment vertical="center"/>
    </xf>
    <xf numFmtId="180" fontId="6" fillId="0" borderId="1" xfId="1" applyNumberFormat="1" applyFont="1" applyFill="1" applyBorder="1" applyAlignment="1">
      <alignment horizontal="right" vertical="center"/>
    </xf>
    <xf numFmtId="181" fontId="8" fillId="0" borderId="1" xfId="0" applyNumberFormat="1" applyFont="1" applyBorder="1" applyAlignment="1">
      <alignment horizontal="right" vertical="center" shrinkToFit="1"/>
    </xf>
    <xf numFmtId="181" fontId="8" fillId="0" borderId="1" xfId="0" applyNumberFormat="1" applyFont="1" applyFill="1" applyBorder="1" applyAlignment="1">
      <alignment horizontal="right" vertical="center" shrinkToFit="1"/>
    </xf>
    <xf numFmtId="0" fontId="0" fillId="0" borderId="4" xfId="1" applyFont="1" applyFill="1" applyBorder="1" applyAlignment="1">
      <alignment vertical="center"/>
    </xf>
    <xf numFmtId="0" fontId="0" fillId="0" borderId="6" xfId="1" applyFont="1" applyFill="1" applyBorder="1" applyAlignment="1">
      <alignment vertical="center"/>
    </xf>
    <xf numFmtId="0" fontId="0" fillId="0" borderId="9" xfId="1" applyFont="1" applyFill="1" applyBorder="1" applyAlignment="1">
      <alignment horizontal="left" vertical="center"/>
    </xf>
    <xf numFmtId="0" fontId="0" fillId="0" borderId="10" xfId="1" applyFont="1" applyFill="1" applyBorder="1" applyAlignment="1">
      <alignment vertical="center"/>
    </xf>
    <xf numFmtId="0" fontId="0" fillId="0" borderId="11" xfId="1" applyFont="1" applyFill="1" applyBorder="1" applyAlignment="1">
      <alignment vertical="center"/>
    </xf>
    <xf numFmtId="0" fontId="0" fillId="0" borderId="8" xfId="1" applyFont="1" applyFill="1" applyBorder="1" applyAlignment="1">
      <alignment horizontal="left" vertical="center"/>
    </xf>
    <xf numFmtId="0" fontId="0" fillId="0" borderId="12" xfId="1" applyFont="1" applyFill="1" applyBorder="1" applyAlignment="1">
      <alignment horizontal="left" vertical="center"/>
    </xf>
    <xf numFmtId="0" fontId="0" fillId="0" borderId="4" xfId="1" applyFont="1" applyFill="1" applyBorder="1" applyAlignment="1">
      <alignment vertical="center" shrinkToFit="1"/>
    </xf>
    <xf numFmtId="0" fontId="0" fillId="0" borderId="6" xfId="1" applyFont="1" applyFill="1" applyBorder="1" applyAlignment="1">
      <alignment vertical="center" shrinkToFit="1"/>
    </xf>
    <xf numFmtId="0" fontId="0" fillId="0" borderId="10" xfId="1" applyFont="1" applyFill="1" applyBorder="1" applyAlignment="1">
      <alignment horizontal="left" vertical="center"/>
    </xf>
    <xf numFmtId="0" fontId="0" fillId="0" borderId="11" xfId="1" applyFont="1" applyFill="1" applyBorder="1" applyAlignment="1">
      <alignment horizontal="left" vertical="center"/>
    </xf>
    <xf numFmtId="0" fontId="0" fillId="0" borderId="5" xfId="1" applyFont="1" applyFill="1" applyBorder="1" applyAlignment="1">
      <alignment vertical="center"/>
    </xf>
    <xf numFmtId="0" fontId="0" fillId="0" borderId="13" xfId="1" applyFont="1" applyFill="1" applyBorder="1" applyAlignment="1">
      <alignment horizontal="left" vertical="center"/>
    </xf>
    <xf numFmtId="0" fontId="0" fillId="0" borderId="5" xfId="1" applyFont="1" applyFill="1" applyBorder="1" applyAlignment="1">
      <alignment horizontal="left" vertical="center"/>
    </xf>
    <xf numFmtId="0" fontId="0" fillId="0" borderId="6" xfId="1" applyFont="1" applyFill="1" applyBorder="1" applyAlignment="1">
      <alignment horizontal="left" vertical="center"/>
    </xf>
    <xf numFmtId="0" fontId="0" fillId="0" borderId="12" xfId="1" applyFont="1" applyFill="1" applyBorder="1" applyAlignment="1">
      <alignment horizontal="center" vertical="center"/>
    </xf>
    <xf numFmtId="0" fontId="0" fillId="0" borderId="1" xfId="1" applyFont="1" applyFill="1" applyBorder="1" applyAlignment="1">
      <alignment horizontal="center" vertical="center"/>
    </xf>
    <xf numFmtId="0" fontId="0" fillId="0" borderId="5" xfId="1" applyFont="1" applyFill="1" applyBorder="1" applyAlignment="1">
      <alignment horizontal="left" vertical="center" shrinkToFit="1"/>
    </xf>
    <xf numFmtId="0" fontId="0" fillId="0" borderId="6" xfId="1" applyFont="1" applyFill="1" applyBorder="1" applyAlignment="1">
      <alignment horizontal="left" vertical="center" shrinkToFit="1"/>
    </xf>
    <xf numFmtId="0" fontId="0" fillId="0" borderId="5" xfId="1" applyFont="1" applyFill="1" applyBorder="1" applyAlignment="1">
      <alignment vertical="center" shrinkToFit="1"/>
    </xf>
    <xf numFmtId="0" fontId="0" fillId="0" borderId="7" xfId="1" applyFont="1" applyFill="1" applyBorder="1" applyAlignment="1">
      <alignment horizontal="left" vertical="center"/>
    </xf>
    <xf numFmtId="0" fontId="0" fillId="0" borderId="1" xfId="1" applyFont="1" applyFill="1" applyBorder="1" applyAlignment="1">
      <alignment horizontal="left" vertical="center"/>
    </xf>
    <xf numFmtId="0" fontId="0" fillId="0" borderId="13" xfId="1" applyFont="1" applyFill="1" applyBorder="1" applyAlignment="1">
      <alignment horizontal="center" vertical="center"/>
    </xf>
    <xf numFmtId="0" fontId="0" fillId="0" borderId="14" xfId="1" applyFont="1" applyFill="1" applyBorder="1" applyAlignment="1">
      <alignment horizontal="center" vertical="center"/>
    </xf>
    <xf numFmtId="0" fontId="0" fillId="0" borderId="2" xfId="1" applyFont="1" applyFill="1" applyBorder="1" applyAlignment="1">
      <alignment horizontal="center" vertical="center"/>
    </xf>
    <xf numFmtId="0" fontId="0" fillId="0" borderId="15" xfId="1" applyFont="1" applyFill="1" applyBorder="1" applyAlignment="1">
      <alignment horizontal="center" vertical="center"/>
    </xf>
    <xf numFmtId="0" fontId="0" fillId="0" borderId="1" xfId="1" applyFont="1" applyFill="1" applyBorder="1" applyAlignment="1">
      <alignment vertical="center" shrinkToFit="1"/>
    </xf>
    <xf numFmtId="0" fontId="0" fillId="0" borderId="8" xfId="1" applyFont="1" applyFill="1" applyBorder="1" applyAlignment="1">
      <alignment horizontal="center" vertical="center"/>
    </xf>
    <xf numFmtId="0" fontId="0" fillId="0" borderId="1" xfId="1" applyFont="1" applyFill="1" applyBorder="1" applyAlignment="1">
      <alignment horizontal="left" vertical="center" shrinkToFit="1"/>
    </xf>
    <xf numFmtId="0" fontId="0" fillId="0" borderId="4" xfId="1" applyFont="1" applyFill="1" applyBorder="1" applyAlignment="1">
      <alignment horizontal="center" vertical="center"/>
    </xf>
    <xf numFmtId="0" fontId="0" fillId="0" borderId="5" xfId="1" applyFont="1" applyFill="1" applyBorder="1" applyAlignment="1">
      <alignment horizontal="center" vertical="center"/>
    </xf>
    <xf numFmtId="0" fontId="0" fillId="0" borderId="6" xfId="1" applyFont="1" applyFill="1" applyBorder="1" applyAlignment="1">
      <alignment horizontal="center" vertical="center"/>
    </xf>
    <xf numFmtId="0" fontId="0" fillId="0" borderId="8" xfId="1" applyFont="1" applyFill="1" applyBorder="1" applyAlignment="1">
      <alignment horizontal="center" vertical="center" wrapText="1"/>
    </xf>
    <xf numFmtId="0" fontId="0" fillId="0" borderId="12" xfId="1" applyFont="1" applyFill="1" applyBorder="1" applyAlignment="1">
      <alignment horizontal="center" vertical="center" wrapText="1"/>
    </xf>
    <xf numFmtId="0" fontId="0" fillId="0" borderId="0" xfId="1" applyFont="1" applyFill="1" applyBorder="1" applyAlignment="1">
      <alignment horizontal="left" vertical="center"/>
    </xf>
    <xf numFmtId="0" fontId="0" fillId="0" borderId="2" xfId="1" applyFont="1" applyFill="1" applyBorder="1" applyAlignment="1">
      <alignment horizontal="left" vertical="center"/>
    </xf>
    <xf numFmtId="0" fontId="0" fillId="0" borderId="3" xfId="1" applyFont="1" applyFill="1" applyBorder="1" applyAlignment="1">
      <alignment horizontal="left" vertical="center"/>
    </xf>
    <xf numFmtId="14" fontId="0" fillId="0" borderId="7" xfId="1" applyNumberFormat="1" applyFont="1" applyFill="1" applyBorder="1" applyAlignment="1">
      <alignment horizontal="center" vertical="center" textRotation="255" wrapText="1"/>
    </xf>
    <xf numFmtId="0" fontId="0" fillId="0" borderId="8" xfId="1" applyFont="1" applyFill="1" applyBorder="1" applyAlignment="1">
      <alignment horizontal="center" vertical="center" textRotation="255" wrapText="1"/>
    </xf>
    <xf numFmtId="0" fontId="0" fillId="0" borderId="12" xfId="1" applyFont="1" applyFill="1" applyBorder="1" applyAlignment="1">
      <alignment horizontal="center" vertical="center" textRotation="255" wrapText="1"/>
    </xf>
    <xf numFmtId="0" fontId="0" fillId="0" borderId="9" xfId="1" applyFont="1" applyFill="1" applyBorder="1" applyAlignment="1">
      <alignment horizontal="left" vertical="center" shrinkToFit="1"/>
    </xf>
    <xf numFmtId="0" fontId="0" fillId="0" borderId="10" xfId="1" applyFont="1" applyFill="1" applyBorder="1" applyAlignment="1">
      <alignment horizontal="left" vertical="center" shrinkToFit="1"/>
    </xf>
    <xf numFmtId="0" fontId="0" fillId="0" borderId="13" xfId="1" applyFont="1" applyFill="1" applyBorder="1" applyAlignment="1">
      <alignment horizontal="left" vertical="center" shrinkToFit="1"/>
    </xf>
    <xf numFmtId="0" fontId="0" fillId="0" borderId="0" xfId="1" applyFont="1" applyFill="1" applyBorder="1" applyAlignment="1">
      <alignment horizontal="left" vertical="center" shrinkToFit="1"/>
    </xf>
    <xf numFmtId="0" fontId="0" fillId="0" borderId="2" xfId="1" applyFont="1" applyFill="1" applyBorder="1" applyAlignment="1">
      <alignment horizontal="left" vertical="center" shrinkToFit="1"/>
    </xf>
    <xf numFmtId="0" fontId="0" fillId="0" borderId="3" xfId="1" applyFont="1" applyFill="1" applyBorder="1" applyAlignment="1">
      <alignment horizontal="left" vertical="center" shrinkToFit="1"/>
    </xf>
  </cellXfs>
  <cellStyles count="3">
    <cellStyle name="桁区切り" xfId="2" builtinId="6"/>
    <cellStyle name="標準" xfId="0" builtinId="0"/>
    <cellStyle name="標準 2" xfId="1" xr:uid="{00000000-0005-0000-0000-000002000000}"/>
  </cellStyles>
  <dxfs count="9"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</dxfs>
  <tableStyles count="0" defaultTableStyle="TableStyleMedium9" defaultPivotStyle="PivotStyleLight16"/>
  <colors>
    <mruColors>
      <color rgb="FF0000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KPL01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印刷帳票1"/>
      <sheetName val="帳票"/>
      <sheetName val="設定情報"/>
      <sheetName val="ＣＳＶデータ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>
          <a:solidFill>
            <a:srgbClr val="FF0000"/>
          </a:solidFill>
        </a:ln>
      </a:spPr>
      <a:bodyPr rtlCol="0" anchor="ctr"/>
      <a:lstStyle>
        <a:defPPr algn="ctr">
          <a:defRPr kumimoji="1" sz="1100"/>
        </a:defPPr>
      </a:lstStyle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R125"/>
  <sheetViews>
    <sheetView view="pageBreakPreview" topLeftCell="A94" zoomScale="80" zoomScaleNormal="100" zoomScaleSheetLayoutView="80" workbookViewId="0">
      <selection activeCell="G8" sqref="G8"/>
    </sheetView>
  </sheetViews>
  <sheetFormatPr defaultRowHeight="13.5" customHeight="1" x14ac:dyDescent="0.15"/>
  <cols>
    <col min="1" max="1" width="3" style="9" customWidth="1"/>
    <col min="2" max="4" width="2.125" style="9" customWidth="1"/>
    <col min="5" max="5" width="45.625" style="9" customWidth="1"/>
    <col min="6" max="6" width="15.625" style="9" customWidth="1"/>
    <col min="7" max="8" width="10.625" style="9" customWidth="1"/>
    <col min="9" max="13" width="10.625" style="34" customWidth="1"/>
    <col min="14" max="18" width="10.625" style="9" customWidth="1"/>
    <col min="19" max="19" width="15.625" style="9" customWidth="1"/>
    <col min="20" max="16384" width="9" style="9"/>
  </cols>
  <sheetData>
    <row r="2" spans="2:18" ht="19.5" customHeight="1" x14ac:dyDescent="0.15">
      <c r="B2" s="33" t="s">
        <v>10</v>
      </c>
    </row>
    <row r="3" spans="2:18" ht="19.5" customHeight="1" x14ac:dyDescent="0.15"/>
    <row r="4" spans="2:18" ht="19.5" customHeight="1" x14ac:dyDescent="0.15">
      <c r="B4" s="9" t="s">
        <v>11</v>
      </c>
    </row>
    <row r="5" spans="2:18" ht="7.5" customHeight="1" x14ac:dyDescent="0.15"/>
    <row r="6" spans="2:18" ht="15.95" customHeight="1" x14ac:dyDescent="0.15">
      <c r="B6" s="35" t="s">
        <v>12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1"/>
    </row>
    <row r="7" spans="2:18" ht="15.95" customHeight="1" x14ac:dyDescent="0.15">
      <c r="B7" s="105" t="s">
        <v>13</v>
      </c>
      <c r="C7" s="106"/>
      <c r="D7" s="106"/>
      <c r="E7" s="107"/>
      <c r="F7" s="36" t="s">
        <v>14</v>
      </c>
      <c r="G7" s="37" t="s">
        <v>15</v>
      </c>
      <c r="H7" s="38" t="s">
        <v>16</v>
      </c>
      <c r="I7" s="38" t="s">
        <v>17</v>
      </c>
      <c r="J7" s="38" t="s">
        <v>18</v>
      </c>
      <c r="K7" s="38" t="s">
        <v>19</v>
      </c>
      <c r="L7" s="38" t="s">
        <v>20</v>
      </c>
      <c r="M7" s="38" t="s">
        <v>21</v>
      </c>
      <c r="N7" s="37" t="s">
        <v>22</v>
      </c>
      <c r="O7" s="37" t="s">
        <v>23</v>
      </c>
      <c r="P7" s="38" t="s">
        <v>24</v>
      </c>
      <c r="Q7" s="38" t="s">
        <v>25</v>
      </c>
      <c r="R7" s="38" t="s">
        <v>26</v>
      </c>
    </row>
    <row r="8" spans="2:18" ht="14.85" customHeight="1" x14ac:dyDescent="0.15">
      <c r="B8" s="97" t="s">
        <v>27</v>
      </c>
      <c r="C8" s="97"/>
      <c r="D8" s="97"/>
      <c r="E8" s="97"/>
      <c r="F8" s="58">
        <f>SUM(G8:R8)</f>
        <v>1121975667</v>
      </c>
      <c r="G8" s="39">
        <v>95134738</v>
      </c>
      <c r="H8" s="2">
        <v>93308010</v>
      </c>
      <c r="I8" s="6">
        <v>95374738</v>
      </c>
      <c r="J8" s="6">
        <v>91823359</v>
      </c>
      <c r="K8" s="6">
        <v>95244054</v>
      </c>
      <c r="L8" s="6">
        <v>88905785</v>
      </c>
      <c r="M8" s="74">
        <v>96297574</v>
      </c>
      <c r="N8" s="74">
        <v>98019249</v>
      </c>
      <c r="O8" s="74">
        <v>91922907</v>
      </c>
      <c r="P8" s="74">
        <v>95848394</v>
      </c>
      <c r="Q8" s="2">
        <v>90871425</v>
      </c>
      <c r="R8" s="2">
        <v>89225434</v>
      </c>
    </row>
    <row r="9" spans="2:18" ht="14.85" customHeight="1" x14ac:dyDescent="0.15">
      <c r="B9" s="96" t="s">
        <v>28</v>
      </c>
      <c r="C9" s="97"/>
      <c r="D9" s="97"/>
      <c r="E9" s="97"/>
      <c r="F9" s="58">
        <f t="shared" ref="F9:F72" si="0">SUM(G9:R9)</f>
        <v>375669202</v>
      </c>
      <c r="G9" s="39">
        <v>30242179</v>
      </c>
      <c r="H9" s="2">
        <v>31458117</v>
      </c>
      <c r="I9" s="6">
        <v>31525286</v>
      </c>
      <c r="J9" s="6">
        <v>30487150</v>
      </c>
      <c r="K9" s="6">
        <v>33469705</v>
      </c>
      <c r="L9" s="6">
        <v>32491144</v>
      </c>
      <c r="M9" s="74">
        <v>31921773</v>
      </c>
      <c r="N9" s="74">
        <v>32225681</v>
      </c>
      <c r="O9" s="74">
        <v>31129425</v>
      </c>
      <c r="P9" s="74">
        <v>31626379</v>
      </c>
      <c r="Q9" s="2">
        <v>28913940</v>
      </c>
      <c r="R9" s="2">
        <v>30178423</v>
      </c>
    </row>
    <row r="10" spans="2:18" ht="14.85" customHeight="1" x14ac:dyDescent="0.15">
      <c r="B10" s="108"/>
      <c r="C10" s="78" t="s">
        <v>29</v>
      </c>
      <c r="D10" s="79"/>
      <c r="E10" s="80"/>
      <c r="F10" s="58">
        <f t="shared" si="0"/>
        <v>303173639</v>
      </c>
      <c r="G10" s="40">
        <v>25166606</v>
      </c>
      <c r="H10" s="2">
        <v>26009449</v>
      </c>
      <c r="I10" s="6">
        <v>25712315</v>
      </c>
      <c r="J10" s="6">
        <v>25301546</v>
      </c>
      <c r="K10" s="6">
        <v>27586001</v>
      </c>
      <c r="L10" s="6">
        <v>25711787</v>
      </c>
      <c r="M10" s="74">
        <v>25275024</v>
      </c>
      <c r="N10" s="74">
        <v>25817909</v>
      </c>
      <c r="O10" s="74">
        <v>24533992</v>
      </c>
      <c r="P10" s="74">
        <v>25238395</v>
      </c>
      <c r="Q10" s="2">
        <v>22624034</v>
      </c>
      <c r="R10" s="2">
        <v>24196581</v>
      </c>
    </row>
    <row r="11" spans="2:18" ht="14.85" customHeight="1" x14ac:dyDescent="0.15">
      <c r="B11" s="108"/>
      <c r="C11" s="103"/>
      <c r="D11" s="76" t="s">
        <v>30</v>
      </c>
      <c r="E11" s="77"/>
      <c r="F11" s="58">
        <f t="shared" si="0"/>
        <v>25741921</v>
      </c>
      <c r="G11" s="41">
        <v>1948052</v>
      </c>
      <c r="H11" s="2">
        <v>2304852</v>
      </c>
      <c r="I11" s="6">
        <v>2128544</v>
      </c>
      <c r="J11" s="6">
        <v>1840649</v>
      </c>
      <c r="K11" s="6">
        <v>2502034</v>
      </c>
      <c r="L11" s="6">
        <v>2271709</v>
      </c>
      <c r="M11" s="74">
        <v>1996491</v>
      </c>
      <c r="N11" s="74">
        <v>2074915</v>
      </c>
      <c r="O11" s="74">
        <v>1992195</v>
      </c>
      <c r="P11" s="74">
        <v>2288467</v>
      </c>
      <c r="Q11" s="2">
        <v>2217585</v>
      </c>
      <c r="R11" s="2">
        <v>2176428</v>
      </c>
    </row>
    <row r="12" spans="2:18" ht="14.85" customHeight="1" x14ac:dyDescent="0.15">
      <c r="B12" s="108"/>
      <c r="C12" s="103"/>
      <c r="D12" s="76" t="s">
        <v>31</v>
      </c>
      <c r="E12" s="77"/>
      <c r="F12" s="58">
        <f t="shared" si="0"/>
        <v>2171358</v>
      </c>
      <c r="G12" s="41">
        <v>187101</v>
      </c>
      <c r="H12" s="2">
        <v>177894</v>
      </c>
      <c r="I12" s="6">
        <v>212301</v>
      </c>
      <c r="J12" s="6">
        <v>247347</v>
      </c>
      <c r="K12" s="6">
        <v>259911</v>
      </c>
      <c r="L12" s="6">
        <v>316809</v>
      </c>
      <c r="M12" s="74">
        <v>176589</v>
      </c>
      <c r="N12" s="74">
        <v>142209</v>
      </c>
      <c r="O12" s="74">
        <v>71109</v>
      </c>
      <c r="P12" s="74">
        <v>130248</v>
      </c>
      <c r="Q12" s="2">
        <v>106983</v>
      </c>
      <c r="R12" s="2">
        <v>142857</v>
      </c>
    </row>
    <row r="13" spans="2:18" ht="14.85" customHeight="1" x14ac:dyDescent="0.15">
      <c r="B13" s="108"/>
      <c r="C13" s="103"/>
      <c r="D13" s="76" t="s">
        <v>32</v>
      </c>
      <c r="E13" s="77"/>
      <c r="F13" s="58">
        <f t="shared" si="0"/>
        <v>18363579</v>
      </c>
      <c r="G13" s="41">
        <v>1625653</v>
      </c>
      <c r="H13" s="2">
        <v>1585396</v>
      </c>
      <c r="I13" s="6">
        <v>1531918</v>
      </c>
      <c r="J13" s="6">
        <v>1495656</v>
      </c>
      <c r="K13" s="6">
        <v>1648644</v>
      </c>
      <c r="L13" s="6">
        <v>1607261</v>
      </c>
      <c r="M13" s="74">
        <v>1499350</v>
      </c>
      <c r="N13" s="74">
        <v>1645356</v>
      </c>
      <c r="O13" s="74">
        <v>1445241</v>
      </c>
      <c r="P13" s="74">
        <v>1496514</v>
      </c>
      <c r="Q13" s="2">
        <v>1387443</v>
      </c>
      <c r="R13" s="2">
        <v>1395147</v>
      </c>
    </row>
    <row r="14" spans="2:18" ht="14.85" customHeight="1" x14ac:dyDescent="0.15">
      <c r="B14" s="108"/>
      <c r="C14" s="103"/>
      <c r="D14" s="76" t="s">
        <v>33</v>
      </c>
      <c r="E14" s="77"/>
      <c r="F14" s="58">
        <f t="shared" si="0"/>
        <v>23157</v>
      </c>
      <c r="G14" s="41">
        <v>23157</v>
      </c>
      <c r="H14" s="2">
        <v>0</v>
      </c>
      <c r="I14" s="6">
        <v>0</v>
      </c>
      <c r="J14" s="6">
        <v>0</v>
      </c>
      <c r="K14" s="6">
        <v>0</v>
      </c>
      <c r="L14" s="6">
        <v>0</v>
      </c>
      <c r="M14" s="74">
        <v>0</v>
      </c>
      <c r="N14" s="74">
        <v>0</v>
      </c>
      <c r="O14" s="74">
        <v>0</v>
      </c>
      <c r="P14" s="74">
        <v>0</v>
      </c>
      <c r="Q14" s="2">
        <v>0</v>
      </c>
      <c r="R14" s="2">
        <v>0</v>
      </c>
    </row>
    <row r="15" spans="2:18" ht="14.85" customHeight="1" x14ac:dyDescent="0.15">
      <c r="B15" s="108"/>
      <c r="C15" s="103"/>
      <c r="D15" s="76" t="s">
        <v>34</v>
      </c>
      <c r="E15" s="77"/>
      <c r="F15" s="58">
        <f t="shared" si="0"/>
        <v>201432713</v>
      </c>
      <c r="G15" s="41">
        <v>17054894</v>
      </c>
      <c r="H15" s="2">
        <v>17421799</v>
      </c>
      <c r="I15" s="6">
        <v>17498471</v>
      </c>
      <c r="J15" s="6">
        <v>16903868</v>
      </c>
      <c r="K15" s="6">
        <v>18089677</v>
      </c>
      <c r="L15" s="6">
        <v>16788297</v>
      </c>
      <c r="M15" s="74">
        <v>16873030</v>
      </c>
      <c r="N15" s="74">
        <v>17217561</v>
      </c>
      <c r="O15" s="74">
        <v>16410404</v>
      </c>
      <c r="P15" s="74">
        <v>16660620</v>
      </c>
      <c r="Q15" s="2">
        <v>14504861</v>
      </c>
      <c r="R15" s="2">
        <v>16009231</v>
      </c>
    </row>
    <row r="16" spans="2:18" ht="14.85" customHeight="1" x14ac:dyDescent="0.15">
      <c r="B16" s="108"/>
      <c r="C16" s="103"/>
      <c r="D16" s="76" t="s">
        <v>35</v>
      </c>
      <c r="E16" s="77"/>
      <c r="F16" s="58">
        <f t="shared" si="0"/>
        <v>22722207</v>
      </c>
      <c r="G16" s="41">
        <v>1701695</v>
      </c>
      <c r="H16" s="2">
        <v>1791784</v>
      </c>
      <c r="I16" s="6">
        <v>1746461</v>
      </c>
      <c r="J16" s="6">
        <v>2040295</v>
      </c>
      <c r="K16" s="6">
        <v>2200980</v>
      </c>
      <c r="L16" s="6">
        <v>1936333</v>
      </c>
      <c r="M16" s="74">
        <v>1895863</v>
      </c>
      <c r="N16" s="74">
        <v>2056285</v>
      </c>
      <c r="O16" s="74">
        <v>1868551</v>
      </c>
      <c r="P16" s="74">
        <v>1931516</v>
      </c>
      <c r="Q16" s="2">
        <v>1761470</v>
      </c>
      <c r="R16" s="2">
        <v>1790974</v>
      </c>
    </row>
    <row r="17" spans="2:18" ht="14.85" customHeight="1" x14ac:dyDescent="0.15">
      <c r="B17" s="108"/>
      <c r="C17" s="103"/>
      <c r="D17" s="76" t="s">
        <v>36</v>
      </c>
      <c r="E17" s="77"/>
      <c r="F17" s="58">
        <f t="shared" si="0"/>
        <v>23749913</v>
      </c>
      <c r="G17" s="41">
        <v>1875541</v>
      </c>
      <c r="H17" s="2">
        <v>1922368</v>
      </c>
      <c r="I17" s="6">
        <v>1862641</v>
      </c>
      <c r="J17" s="6">
        <v>1997724</v>
      </c>
      <c r="K17" s="6">
        <v>2096130</v>
      </c>
      <c r="L17" s="6">
        <v>2098594</v>
      </c>
      <c r="M17" s="74">
        <v>2081724</v>
      </c>
      <c r="N17" s="74">
        <v>1933593</v>
      </c>
      <c r="O17" s="74">
        <v>1986577</v>
      </c>
      <c r="P17" s="74">
        <v>1974175</v>
      </c>
      <c r="Q17" s="2">
        <v>1942495</v>
      </c>
      <c r="R17" s="2">
        <v>1978351</v>
      </c>
    </row>
    <row r="18" spans="2:18" ht="14.85" customHeight="1" x14ac:dyDescent="0.15">
      <c r="B18" s="108"/>
      <c r="C18" s="103"/>
      <c r="D18" s="102" t="s">
        <v>37</v>
      </c>
      <c r="E18" s="102"/>
      <c r="F18" s="58">
        <f t="shared" si="0"/>
        <v>0</v>
      </c>
      <c r="G18" s="2">
        <v>0</v>
      </c>
      <c r="H18" s="2">
        <v>0</v>
      </c>
      <c r="I18" s="6">
        <v>0</v>
      </c>
      <c r="J18" s="6">
        <v>0</v>
      </c>
      <c r="K18" s="6">
        <v>0</v>
      </c>
      <c r="L18" s="6">
        <v>0</v>
      </c>
      <c r="M18" s="74">
        <v>0</v>
      </c>
      <c r="N18" s="74">
        <v>0</v>
      </c>
      <c r="O18" s="74">
        <v>0</v>
      </c>
      <c r="P18" s="74">
        <v>0</v>
      </c>
      <c r="Q18" s="2">
        <v>0</v>
      </c>
      <c r="R18" s="2">
        <v>0</v>
      </c>
    </row>
    <row r="19" spans="2:18" ht="14.85" customHeight="1" x14ac:dyDescent="0.15">
      <c r="B19" s="108"/>
      <c r="C19" s="103"/>
      <c r="D19" s="83" t="s">
        <v>38</v>
      </c>
      <c r="E19" s="84"/>
      <c r="F19" s="58">
        <f t="shared" si="0"/>
        <v>0</v>
      </c>
      <c r="G19" s="42">
        <v>0</v>
      </c>
      <c r="H19" s="2">
        <v>0</v>
      </c>
      <c r="I19" s="6">
        <v>0</v>
      </c>
      <c r="J19" s="6">
        <v>0</v>
      </c>
      <c r="K19" s="6">
        <v>0</v>
      </c>
      <c r="L19" s="6">
        <v>0</v>
      </c>
      <c r="M19" s="74">
        <v>0</v>
      </c>
      <c r="N19" s="74">
        <v>0</v>
      </c>
      <c r="O19" s="74">
        <v>0</v>
      </c>
      <c r="P19" s="74">
        <v>0</v>
      </c>
      <c r="Q19" s="2">
        <v>0</v>
      </c>
      <c r="R19" s="2">
        <v>0</v>
      </c>
    </row>
    <row r="20" spans="2:18" ht="14.85" customHeight="1" x14ac:dyDescent="0.15">
      <c r="B20" s="108"/>
      <c r="C20" s="103"/>
      <c r="D20" s="83" t="s">
        <v>39</v>
      </c>
      <c r="E20" s="84"/>
      <c r="F20" s="58">
        <f t="shared" si="0"/>
        <v>1116963</v>
      </c>
      <c r="G20" s="42">
        <v>96039</v>
      </c>
      <c r="H20" s="2">
        <v>96750</v>
      </c>
      <c r="I20" s="6">
        <v>89667</v>
      </c>
      <c r="J20" s="6">
        <v>89667</v>
      </c>
      <c r="K20" s="6">
        <v>104598</v>
      </c>
      <c r="L20" s="6">
        <v>89613</v>
      </c>
      <c r="M20" s="74">
        <v>90378</v>
      </c>
      <c r="N20" s="74">
        <v>87687</v>
      </c>
      <c r="O20" s="74">
        <v>97812</v>
      </c>
      <c r="P20" s="74">
        <v>90702</v>
      </c>
      <c r="Q20" s="2">
        <v>90702</v>
      </c>
      <c r="R20" s="2">
        <v>93348</v>
      </c>
    </row>
    <row r="21" spans="2:18" ht="14.85" customHeight="1" x14ac:dyDescent="0.15">
      <c r="B21" s="108"/>
      <c r="C21" s="103"/>
      <c r="D21" s="83" t="s">
        <v>40</v>
      </c>
      <c r="E21" s="84"/>
      <c r="F21" s="58">
        <f t="shared" si="0"/>
        <v>0</v>
      </c>
      <c r="G21" s="42">
        <v>0</v>
      </c>
      <c r="H21" s="2">
        <v>0</v>
      </c>
      <c r="I21" s="6">
        <v>0</v>
      </c>
      <c r="J21" s="6">
        <v>0</v>
      </c>
      <c r="K21" s="6">
        <v>0</v>
      </c>
      <c r="L21" s="6">
        <v>0</v>
      </c>
      <c r="M21" s="74">
        <v>0</v>
      </c>
      <c r="N21" s="74">
        <v>0</v>
      </c>
      <c r="O21" s="74">
        <v>0</v>
      </c>
      <c r="P21" s="74">
        <v>0</v>
      </c>
      <c r="Q21" s="2">
        <v>0</v>
      </c>
      <c r="R21" s="2">
        <v>0</v>
      </c>
    </row>
    <row r="22" spans="2:18" ht="14.85" customHeight="1" x14ac:dyDescent="0.15">
      <c r="B22" s="108"/>
      <c r="C22" s="103"/>
      <c r="D22" s="83" t="s">
        <v>41</v>
      </c>
      <c r="E22" s="84"/>
      <c r="F22" s="58">
        <f t="shared" si="0"/>
        <v>0</v>
      </c>
      <c r="G22" s="42">
        <v>0</v>
      </c>
      <c r="H22" s="2">
        <v>0</v>
      </c>
      <c r="I22" s="6">
        <v>0</v>
      </c>
      <c r="J22" s="6">
        <v>0</v>
      </c>
      <c r="K22" s="6">
        <v>0</v>
      </c>
      <c r="L22" s="6">
        <v>0</v>
      </c>
      <c r="M22" s="74">
        <v>0</v>
      </c>
      <c r="N22" s="74">
        <v>0</v>
      </c>
      <c r="O22" s="74">
        <v>0</v>
      </c>
      <c r="P22" s="74">
        <v>0</v>
      </c>
      <c r="Q22" s="2">
        <v>0</v>
      </c>
      <c r="R22" s="2">
        <v>0</v>
      </c>
    </row>
    <row r="23" spans="2:18" ht="14.85" customHeight="1" x14ac:dyDescent="0.15">
      <c r="B23" s="108"/>
      <c r="C23" s="103"/>
      <c r="D23" s="102" t="s">
        <v>42</v>
      </c>
      <c r="E23" s="102"/>
      <c r="F23" s="58">
        <f t="shared" si="0"/>
        <v>6633864</v>
      </c>
      <c r="G23" s="2">
        <v>552627</v>
      </c>
      <c r="H23" s="2">
        <v>597609</v>
      </c>
      <c r="I23" s="6">
        <v>534690</v>
      </c>
      <c r="J23" s="6">
        <v>575118</v>
      </c>
      <c r="K23" s="6">
        <v>593955</v>
      </c>
      <c r="L23" s="6">
        <v>513099</v>
      </c>
      <c r="M23" s="74">
        <v>553527</v>
      </c>
      <c r="N23" s="74">
        <v>558891</v>
      </c>
      <c r="O23" s="74">
        <v>558891</v>
      </c>
      <c r="P23" s="74">
        <v>558891</v>
      </c>
      <c r="Q23" s="2">
        <v>518283</v>
      </c>
      <c r="R23" s="2">
        <v>518283</v>
      </c>
    </row>
    <row r="24" spans="2:18" ht="14.85" customHeight="1" x14ac:dyDescent="0.15">
      <c r="B24" s="108"/>
      <c r="C24" s="91"/>
      <c r="D24" s="83" t="s">
        <v>43</v>
      </c>
      <c r="E24" s="84"/>
      <c r="F24" s="58">
        <f t="shared" si="0"/>
        <v>1217964</v>
      </c>
      <c r="G24" s="42">
        <v>101847</v>
      </c>
      <c r="H24" s="2">
        <v>110997</v>
      </c>
      <c r="I24" s="6">
        <v>107622</v>
      </c>
      <c r="J24" s="6">
        <v>111222</v>
      </c>
      <c r="K24" s="6">
        <v>90072</v>
      </c>
      <c r="L24" s="6">
        <v>90072</v>
      </c>
      <c r="M24" s="74">
        <v>108072</v>
      </c>
      <c r="N24" s="74">
        <v>101412</v>
      </c>
      <c r="O24" s="74">
        <v>103212</v>
      </c>
      <c r="P24" s="74">
        <v>107262</v>
      </c>
      <c r="Q24" s="2">
        <v>94212</v>
      </c>
      <c r="R24" s="2">
        <v>91962</v>
      </c>
    </row>
    <row r="25" spans="2:18" ht="14.85" customHeight="1" x14ac:dyDescent="0.15">
      <c r="B25" s="108"/>
      <c r="C25" s="96" t="s">
        <v>44</v>
      </c>
      <c r="D25" s="97"/>
      <c r="E25" s="97"/>
      <c r="F25" s="58">
        <f t="shared" si="0"/>
        <v>58730876</v>
      </c>
      <c r="G25" s="39">
        <v>4138578</v>
      </c>
      <c r="H25" s="2">
        <v>4503375</v>
      </c>
      <c r="I25" s="6">
        <v>4751767</v>
      </c>
      <c r="J25" s="6">
        <v>4287201</v>
      </c>
      <c r="K25" s="6">
        <v>4863729</v>
      </c>
      <c r="L25" s="6">
        <v>5614208</v>
      </c>
      <c r="M25" s="74">
        <v>5673048</v>
      </c>
      <c r="N25" s="74">
        <v>5049581</v>
      </c>
      <c r="O25" s="74">
        <v>5372352</v>
      </c>
      <c r="P25" s="74">
        <v>4854452</v>
      </c>
      <c r="Q25" s="2">
        <v>4944510</v>
      </c>
      <c r="R25" s="2">
        <v>4678075</v>
      </c>
    </row>
    <row r="26" spans="2:18" ht="14.85" customHeight="1" x14ac:dyDescent="0.15">
      <c r="B26" s="108"/>
      <c r="C26" s="103"/>
      <c r="D26" s="97" t="s">
        <v>45</v>
      </c>
      <c r="E26" s="97"/>
      <c r="F26" s="58">
        <f t="shared" si="0"/>
        <v>56263296</v>
      </c>
      <c r="G26" s="39">
        <v>3974489</v>
      </c>
      <c r="H26" s="2">
        <v>4282428</v>
      </c>
      <c r="I26" s="6">
        <v>4433207</v>
      </c>
      <c r="J26" s="6">
        <v>4126788</v>
      </c>
      <c r="K26" s="6">
        <v>4627887</v>
      </c>
      <c r="L26" s="6">
        <v>5487461</v>
      </c>
      <c r="M26" s="74">
        <v>5500654</v>
      </c>
      <c r="N26" s="74">
        <v>4637967</v>
      </c>
      <c r="O26" s="74">
        <v>5186583</v>
      </c>
      <c r="P26" s="74">
        <v>4613211</v>
      </c>
      <c r="Q26" s="2">
        <v>4746658</v>
      </c>
      <c r="R26" s="2">
        <v>4645963</v>
      </c>
    </row>
    <row r="27" spans="2:18" ht="14.85" customHeight="1" x14ac:dyDescent="0.15">
      <c r="B27" s="108"/>
      <c r="C27" s="103"/>
      <c r="D27" s="97" t="s">
        <v>46</v>
      </c>
      <c r="E27" s="97"/>
      <c r="F27" s="58">
        <f t="shared" si="0"/>
        <v>2438060</v>
      </c>
      <c r="G27" s="39">
        <v>149329</v>
      </c>
      <c r="H27" s="2">
        <v>220947</v>
      </c>
      <c r="I27" s="6">
        <v>318560</v>
      </c>
      <c r="J27" s="6">
        <v>145653</v>
      </c>
      <c r="K27" s="6">
        <v>235842</v>
      </c>
      <c r="L27" s="6">
        <v>126747</v>
      </c>
      <c r="M27" s="74">
        <v>172394</v>
      </c>
      <c r="N27" s="74">
        <v>411614</v>
      </c>
      <c r="O27" s="74">
        <v>185769</v>
      </c>
      <c r="P27" s="74">
        <v>241241</v>
      </c>
      <c r="Q27" s="2">
        <v>197852</v>
      </c>
      <c r="R27" s="2">
        <v>32112</v>
      </c>
    </row>
    <row r="28" spans="2:18" ht="14.85" customHeight="1" x14ac:dyDescent="0.15">
      <c r="B28" s="108"/>
      <c r="C28" s="103"/>
      <c r="D28" s="97" t="s">
        <v>47</v>
      </c>
      <c r="E28" s="97"/>
      <c r="F28" s="58">
        <f t="shared" si="0"/>
        <v>0</v>
      </c>
      <c r="G28" s="39">
        <v>0</v>
      </c>
      <c r="H28" s="2">
        <v>0</v>
      </c>
      <c r="I28" s="6">
        <v>0</v>
      </c>
      <c r="J28" s="6">
        <v>0</v>
      </c>
      <c r="K28" s="6">
        <v>0</v>
      </c>
      <c r="L28" s="6">
        <v>0</v>
      </c>
      <c r="M28" s="74">
        <v>0</v>
      </c>
      <c r="N28" s="74">
        <v>0</v>
      </c>
      <c r="O28" s="74">
        <v>0</v>
      </c>
      <c r="P28" s="74">
        <v>0</v>
      </c>
      <c r="Q28" s="2">
        <v>0</v>
      </c>
      <c r="R28" s="2">
        <v>0</v>
      </c>
    </row>
    <row r="29" spans="2:18" ht="14.85" customHeight="1" x14ac:dyDescent="0.15">
      <c r="B29" s="108"/>
      <c r="C29" s="103"/>
      <c r="D29" s="97" t="s">
        <v>48</v>
      </c>
      <c r="E29" s="97"/>
      <c r="F29" s="58">
        <f t="shared" si="0"/>
        <v>0</v>
      </c>
      <c r="G29" s="39">
        <v>0</v>
      </c>
      <c r="H29" s="2">
        <v>0</v>
      </c>
      <c r="I29" s="6">
        <v>0</v>
      </c>
      <c r="J29" s="6">
        <v>0</v>
      </c>
      <c r="K29" s="6">
        <v>0</v>
      </c>
      <c r="L29" s="6">
        <v>0</v>
      </c>
      <c r="M29" s="74">
        <v>0</v>
      </c>
      <c r="N29" s="74">
        <v>0</v>
      </c>
      <c r="O29" s="74">
        <v>0</v>
      </c>
      <c r="P29" s="74">
        <v>0</v>
      </c>
      <c r="Q29" s="2">
        <v>0</v>
      </c>
      <c r="R29" s="2">
        <v>0</v>
      </c>
    </row>
    <row r="30" spans="2:18" ht="14.85" customHeight="1" x14ac:dyDescent="0.15">
      <c r="B30" s="108"/>
      <c r="C30" s="103"/>
      <c r="D30" s="104" t="s">
        <v>49</v>
      </c>
      <c r="E30" s="104"/>
      <c r="F30" s="58">
        <f t="shared" si="0"/>
        <v>29520</v>
      </c>
      <c r="G30" s="2">
        <v>14760</v>
      </c>
      <c r="H30" s="2">
        <v>0</v>
      </c>
      <c r="I30" s="6">
        <v>0</v>
      </c>
      <c r="J30" s="6">
        <v>14760</v>
      </c>
      <c r="K30" s="6">
        <v>0</v>
      </c>
      <c r="L30" s="6">
        <v>0</v>
      </c>
      <c r="M30" s="74">
        <v>0</v>
      </c>
      <c r="N30" s="74">
        <v>0</v>
      </c>
      <c r="O30" s="74">
        <v>0</v>
      </c>
      <c r="P30" s="74">
        <v>0</v>
      </c>
      <c r="Q30" s="2">
        <v>0</v>
      </c>
      <c r="R30" s="2">
        <v>0</v>
      </c>
    </row>
    <row r="31" spans="2:18" ht="14.85" customHeight="1" x14ac:dyDescent="0.15">
      <c r="B31" s="108"/>
      <c r="C31" s="103"/>
      <c r="D31" s="104" t="s">
        <v>50</v>
      </c>
      <c r="E31" s="104"/>
      <c r="F31" s="58">
        <f t="shared" si="0"/>
        <v>0</v>
      </c>
      <c r="G31" s="2">
        <v>0</v>
      </c>
      <c r="H31" s="2">
        <v>0</v>
      </c>
      <c r="I31" s="6">
        <v>0</v>
      </c>
      <c r="J31" s="6">
        <v>0</v>
      </c>
      <c r="K31" s="6">
        <v>0</v>
      </c>
      <c r="L31" s="6">
        <v>0</v>
      </c>
      <c r="M31" s="74">
        <v>0</v>
      </c>
      <c r="N31" s="74">
        <v>0</v>
      </c>
      <c r="O31" s="74">
        <v>0</v>
      </c>
      <c r="P31" s="74">
        <v>0</v>
      </c>
      <c r="Q31" s="2">
        <v>0</v>
      </c>
      <c r="R31" s="2">
        <v>0</v>
      </c>
    </row>
    <row r="32" spans="2:18" ht="14.85" customHeight="1" x14ac:dyDescent="0.15">
      <c r="B32" s="108"/>
      <c r="C32" s="103"/>
      <c r="D32" s="104" t="s">
        <v>51</v>
      </c>
      <c r="E32" s="104"/>
      <c r="F32" s="58">
        <f t="shared" si="0"/>
        <v>0</v>
      </c>
      <c r="G32" s="2">
        <v>0</v>
      </c>
      <c r="H32" s="2">
        <v>0</v>
      </c>
      <c r="I32" s="6">
        <v>0</v>
      </c>
      <c r="J32" s="6">
        <v>0</v>
      </c>
      <c r="K32" s="6">
        <v>0</v>
      </c>
      <c r="L32" s="6">
        <v>0</v>
      </c>
      <c r="M32" s="74">
        <v>0</v>
      </c>
      <c r="N32" s="74">
        <v>0</v>
      </c>
      <c r="O32" s="74">
        <v>0</v>
      </c>
      <c r="P32" s="74">
        <v>0</v>
      </c>
      <c r="Q32" s="2">
        <v>0</v>
      </c>
      <c r="R32" s="2">
        <v>0</v>
      </c>
    </row>
    <row r="33" spans="2:18" ht="14.85" customHeight="1" x14ac:dyDescent="0.15">
      <c r="B33" s="108"/>
      <c r="C33" s="103"/>
      <c r="D33" s="104" t="s">
        <v>52</v>
      </c>
      <c r="E33" s="104"/>
      <c r="F33" s="58">
        <f t="shared" si="0"/>
        <v>0</v>
      </c>
      <c r="G33" s="2">
        <v>0</v>
      </c>
      <c r="H33" s="2">
        <v>0</v>
      </c>
      <c r="I33" s="6">
        <v>0</v>
      </c>
      <c r="J33" s="6">
        <v>0</v>
      </c>
      <c r="K33" s="6">
        <v>0</v>
      </c>
      <c r="L33" s="6">
        <v>0</v>
      </c>
      <c r="M33" s="74">
        <v>0</v>
      </c>
      <c r="N33" s="74">
        <v>0</v>
      </c>
      <c r="O33" s="74">
        <v>0</v>
      </c>
      <c r="P33" s="74">
        <v>0</v>
      </c>
      <c r="Q33" s="2">
        <v>0</v>
      </c>
      <c r="R33" s="2">
        <v>0</v>
      </c>
    </row>
    <row r="34" spans="2:18" ht="14.85" customHeight="1" x14ac:dyDescent="0.15">
      <c r="B34" s="108"/>
      <c r="C34" s="103"/>
      <c r="D34" s="97" t="s">
        <v>53</v>
      </c>
      <c r="E34" s="97"/>
      <c r="F34" s="58">
        <f t="shared" si="0"/>
        <v>0</v>
      </c>
      <c r="G34" s="39">
        <v>0</v>
      </c>
      <c r="H34" s="2">
        <v>0</v>
      </c>
      <c r="I34" s="6">
        <v>0</v>
      </c>
      <c r="J34" s="6">
        <v>0</v>
      </c>
      <c r="K34" s="6">
        <v>0</v>
      </c>
      <c r="L34" s="6">
        <v>0</v>
      </c>
      <c r="M34" s="74">
        <v>0</v>
      </c>
      <c r="N34" s="74">
        <v>0</v>
      </c>
      <c r="O34" s="74">
        <v>0</v>
      </c>
      <c r="P34" s="74">
        <v>0</v>
      </c>
      <c r="Q34" s="2">
        <v>0</v>
      </c>
      <c r="R34" s="2">
        <v>0</v>
      </c>
    </row>
    <row r="35" spans="2:18" ht="14.85" customHeight="1" x14ac:dyDescent="0.15">
      <c r="B35" s="108"/>
      <c r="C35" s="103"/>
      <c r="D35" s="97" t="s">
        <v>54</v>
      </c>
      <c r="E35" s="97"/>
      <c r="F35" s="58">
        <f t="shared" si="0"/>
        <v>0</v>
      </c>
      <c r="G35" s="39">
        <v>0</v>
      </c>
      <c r="H35" s="2">
        <v>0</v>
      </c>
      <c r="I35" s="6">
        <v>0</v>
      </c>
      <c r="J35" s="6">
        <v>0</v>
      </c>
      <c r="K35" s="6">
        <v>0</v>
      </c>
      <c r="L35" s="6">
        <v>0</v>
      </c>
      <c r="M35" s="74">
        <v>0</v>
      </c>
      <c r="N35" s="74">
        <v>0</v>
      </c>
      <c r="O35" s="74">
        <v>0</v>
      </c>
      <c r="P35" s="74">
        <v>0</v>
      </c>
      <c r="Q35" s="2">
        <v>0</v>
      </c>
      <c r="R35" s="2">
        <v>0</v>
      </c>
    </row>
    <row r="36" spans="2:18" ht="14.85" customHeight="1" x14ac:dyDescent="0.15">
      <c r="B36" s="108"/>
      <c r="C36" s="103"/>
      <c r="D36" s="97" t="s">
        <v>55</v>
      </c>
      <c r="E36" s="97"/>
      <c r="F36" s="58">
        <f t="shared" si="0"/>
        <v>0</v>
      </c>
      <c r="G36" s="39">
        <v>0</v>
      </c>
      <c r="H36" s="2">
        <v>0</v>
      </c>
      <c r="I36" s="6">
        <v>0</v>
      </c>
      <c r="J36" s="6">
        <v>0</v>
      </c>
      <c r="K36" s="6">
        <v>0</v>
      </c>
      <c r="L36" s="6">
        <v>0</v>
      </c>
      <c r="M36" s="74">
        <v>0</v>
      </c>
      <c r="N36" s="74">
        <v>0</v>
      </c>
      <c r="O36" s="74">
        <v>0</v>
      </c>
      <c r="P36" s="74">
        <v>0</v>
      </c>
      <c r="Q36" s="2">
        <v>0</v>
      </c>
      <c r="R36" s="2">
        <v>0</v>
      </c>
    </row>
    <row r="37" spans="2:18" ht="14.85" customHeight="1" x14ac:dyDescent="0.15">
      <c r="B37" s="108"/>
      <c r="C37" s="103"/>
      <c r="D37" s="97" t="s">
        <v>56</v>
      </c>
      <c r="E37" s="97"/>
      <c r="F37" s="58">
        <f t="shared" si="0"/>
        <v>0</v>
      </c>
      <c r="G37" s="39">
        <v>0</v>
      </c>
      <c r="H37" s="2">
        <v>0</v>
      </c>
      <c r="I37" s="6">
        <v>0</v>
      </c>
      <c r="J37" s="6">
        <v>0</v>
      </c>
      <c r="K37" s="6">
        <v>0</v>
      </c>
      <c r="L37" s="6">
        <v>0</v>
      </c>
      <c r="M37" s="74">
        <v>0</v>
      </c>
      <c r="N37" s="74">
        <v>0</v>
      </c>
      <c r="O37" s="74">
        <v>0</v>
      </c>
      <c r="P37" s="74">
        <v>0</v>
      </c>
      <c r="Q37" s="2">
        <v>0</v>
      </c>
      <c r="R37" s="2">
        <v>0</v>
      </c>
    </row>
    <row r="38" spans="2:18" ht="14.85" customHeight="1" x14ac:dyDescent="0.15">
      <c r="B38" s="108"/>
      <c r="C38" s="103"/>
      <c r="D38" s="97" t="s">
        <v>57</v>
      </c>
      <c r="E38" s="97"/>
      <c r="F38" s="58">
        <f t="shared" si="0"/>
        <v>0</v>
      </c>
      <c r="G38" s="39">
        <v>0</v>
      </c>
      <c r="H38" s="2">
        <v>0</v>
      </c>
      <c r="I38" s="6">
        <v>0</v>
      </c>
      <c r="J38" s="6">
        <v>0</v>
      </c>
      <c r="K38" s="6">
        <v>0</v>
      </c>
      <c r="L38" s="6">
        <v>0</v>
      </c>
      <c r="M38" s="74">
        <v>0</v>
      </c>
      <c r="N38" s="74">
        <v>0</v>
      </c>
      <c r="O38" s="74">
        <v>0</v>
      </c>
      <c r="P38" s="74">
        <v>0</v>
      </c>
      <c r="Q38" s="2">
        <v>0</v>
      </c>
      <c r="R38" s="2">
        <v>0</v>
      </c>
    </row>
    <row r="39" spans="2:18" ht="14.85" customHeight="1" x14ac:dyDescent="0.15">
      <c r="B39" s="108"/>
      <c r="C39" s="103"/>
      <c r="D39" s="97" t="s">
        <v>58</v>
      </c>
      <c r="E39" s="97"/>
      <c r="F39" s="58">
        <f t="shared" si="0"/>
        <v>0</v>
      </c>
      <c r="G39" s="39">
        <v>0</v>
      </c>
      <c r="H39" s="2">
        <v>0</v>
      </c>
      <c r="I39" s="6">
        <v>0</v>
      </c>
      <c r="J39" s="6">
        <v>0</v>
      </c>
      <c r="K39" s="6">
        <v>0</v>
      </c>
      <c r="L39" s="6">
        <v>0</v>
      </c>
      <c r="M39" s="74">
        <v>0</v>
      </c>
      <c r="N39" s="74">
        <v>0</v>
      </c>
      <c r="O39" s="74">
        <v>0</v>
      </c>
      <c r="P39" s="74">
        <v>0</v>
      </c>
      <c r="Q39" s="2">
        <v>0</v>
      </c>
      <c r="R39" s="2">
        <v>0</v>
      </c>
    </row>
    <row r="40" spans="2:18" ht="14.85" customHeight="1" x14ac:dyDescent="0.15">
      <c r="B40" s="108"/>
      <c r="C40" s="103"/>
      <c r="D40" s="97" t="s">
        <v>59</v>
      </c>
      <c r="E40" s="97"/>
      <c r="F40" s="58">
        <f t="shared" si="0"/>
        <v>0</v>
      </c>
      <c r="G40" s="39">
        <v>0</v>
      </c>
      <c r="H40" s="2">
        <v>0</v>
      </c>
      <c r="I40" s="6">
        <v>0</v>
      </c>
      <c r="J40" s="6">
        <v>0</v>
      </c>
      <c r="K40" s="6">
        <v>0</v>
      </c>
      <c r="L40" s="6">
        <v>0</v>
      </c>
      <c r="M40" s="74">
        <v>0</v>
      </c>
      <c r="N40" s="74">
        <v>0</v>
      </c>
      <c r="O40" s="74">
        <v>0</v>
      </c>
      <c r="P40" s="74">
        <v>0</v>
      </c>
      <c r="Q40" s="2">
        <v>0</v>
      </c>
      <c r="R40" s="2">
        <v>0</v>
      </c>
    </row>
    <row r="41" spans="2:18" ht="14.85" customHeight="1" x14ac:dyDescent="0.15">
      <c r="B41" s="108"/>
      <c r="C41" s="103"/>
      <c r="D41" s="97" t="s">
        <v>60</v>
      </c>
      <c r="E41" s="97"/>
      <c r="F41" s="58">
        <f t="shared" si="0"/>
        <v>0</v>
      </c>
      <c r="G41" s="39">
        <v>0</v>
      </c>
      <c r="H41" s="2">
        <v>0</v>
      </c>
      <c r="I41" s="6">
        <v>0</v>
      </c>
      <c r="J41" s="6">
        <v>0</v>
      </c>
      <c r="K41" s="6">
        <v>0</v>
      </c>
      <c r="L41" s="6">
        <v>0</v>
      </c>
      <c r="M41" s="74">
        <v>0</v>
      </c>
      <c r="N41" s="74">
        <v>0</v>
      </c>
      <c r="O41" s="74">
        <v>0</v>
      </c>
      <c r="P41" s="74">
        <v>0</v>
      </c>
      <c r="Q41" s="2">
        <v>0</v>
      </c>
      <c r="R41" s="2">
        <v>0</v>
      </c>
    </row>
    <row r="42" spans="2:18" ht="14.85" customHeight="1" x14ac:dyDescent="0.15">
      <c r="B42" s="108"/>
      <c r="C42" s="103"/>
      <c r="D42" s="97" t="s">
        <v>61</v>
      </c>
      <c r="E42" s="97"/>
      <c r="F42" s="58">
        <f t="shared" si="0"/>
        <v>0</v>
      </c>
      <c r="G42" s="39">
        <v>0</v>
      </c>
      <c r="H42" s="2">
        <v>0</v>
      </c>
      <c r="I42" s="6">
        <v>0</v>
      </c>
      <c r="J42" s="6">
        <v>0</v>
      </c>
      <c r="K42" s="6">
        <v>0</v>
      </c>
      <c r="L42" s="6">
        <v>0</v>
      </c>
      <c r="M42" s="74">
        <v>0</v>
      </c>
      <c r="N42" s="74">
        <v>0</v>
      </c>
      <c r="O42" s="74">
        <v>0</v>
      </c>
      <c r="P42" s="74">
        <v>0</v>
      </c>
      <c r="Q42" s="2">
        <v>0</v>
      </c>
      <c r="R42" s="2">
        <v>0</v>
      </c>
    </row>
    <row r="43" spans="2:18" ht="14.85" customHeight="1" x14ac:dyDescent="0.15">
      <c r="B43" s="108"/>
      <c r="C43" s="91"/>
      <c r="D43" s="97" t="s">
        <v>62</v>
      </c>
      <c r="E43" s="97"/>
      <c r="F43" s="58">
        <f t="shared" si="0"/>
        <v>0</v>
      </c>
      <c r="G43" s="39">
        <v>0</v>
      </c>
      <c r="H43" s="2">
        <v>0</v>
      </c>
      <c r="I43" s="6">
        <v>0</v>
      </c>
      <c r="J43" s="6">
        <v>0</v>
      </c>
      <c r="K43" s="6">
        <v>0</v>
      </c>
      <c r="L43" s="6">
        <v>0</v>
      </c>
      <c r="M43" s="74">
        <v>0</v>
      </c>
      <c r="N43" s="74">
        <v>0</v>
      </c>
      <c r="O43" s="74">
        <v>0</v>
      </c>
      <c r="P43" s="74">
        <v>0</v>
      </c>
      <c r="Q43" s="2">
        <v>0</v>
      </c>
      <c r="R43" s="2">
        <v>0</v>
      </c>
    </row>
    <row r="44" spans="2:18" ht="14.85" customHeight="1" x14ac:dyDescent="0.15">
      <c r="B44" s="108"/>
      <c r="C44" s="4"/>
      <c r="D44" s="89" t="s">
        <v>63</v>
      </c>
      <c r="E44" s="90"/>
      <c r="F44" s="58">
        <f t="shared" si="0"/>
        <v>1458763</v>
      </c>
      <c r="G44" s="41">
        <v>166352</v>
      </c>
      <c r="H44" s="2">
        <v>66758</v>
      </c>
      <c r="I44" s="6">
        <v>153464</v>
      </c>
      <c r="J44" s="6">
        <v>77729</v>
      </c>
      <c r="K44" s="6">
        <v>172022</v>
      </c>
      <c r="L44" s="6">
        <v>118152</v>
      </c>
      <c r="M44" s="74">
        <v>67365</v>
      </c>
      <c r="N44" s="74">
        <v>160497</v>
      </c>
      <c r="O44" s="74">
        <v>70212</v>
      </c>
      <c r="P44" s="74">
        <v>173820</v>
      </c>
      <c r="Q44" s="2">
        <v>113448</v>
      </c>
      <c r="R44" s="2">
        <v>118944</v>
      </c>
    </row>
    <row r="45" spans="2:18" ht="14.85" customHeight="1" x14ac:dyDescent="0.15">
      <c r="B45" s="108"/>
      <c r="C45" s="5"/>
      <c r="D45" s="93" t="s">
        <v>64</v>
      </c>
      <c r="E45" s="94"/>
      <c r="F45" s="58">
        <f t="shared" si="0"/>
        <v>11586320</v>
      </c>
      <c r="G45" s="42">
        <v>710046</v>
      </c>
      <c r="H45" s="2">
        <v>819909</v>
      </c>
      <c r="I45" s="6">
        <v>847188</v>
      </c>
      <c r="J45" s="6">
        <v>820674</v>
      </c>
      <c r="K45" s="6">
        <v>847953</v>
      </c>
      <c r="L45" s="6">
        <v>867267</v>
      </c>
      <c r="M45" s="74">
        <v>847665</v>
      </c>
      <c r="N45" s="74">
        <v>1137799</v>
      </c>
      <c r="O45" s="74">
        <v>1092974</v>
      </c>
      <c r="P45" s="74">
        <v>1297855</v>
      </c>
      <c r="Q45" s="2">
        <v>1170091</v>
      </c>
      <c r="R45" s="2">
        <v>1126899</v>
      </c>
    </row>
    <row r="46" spans="2:18" ht="14.85" customHeight="1" x14ac:dyDescent="0.15">
      <c r="B46" s="108"/>
      <c r="C46" s="5"/>
      <c r="D46" s="93" t="s">
        <v>65</v>
      </c>
      <c r="E46" s="94"/>
      <c r="F46" s="58">
        <f t="shared" si="0"/>
        <v>0</v>
      </c>
      <c r="G46" s="42">
        <v>0</v>
      </c>
      <c r="H46" s="2">
        <v>0</v>
      </c>
      <c r="I46" s="6">
        <v>0</v>
      </c>
      <c r="J46" s="6">
        <v>0</v>
      </c>
      <c r="K46" s="6">
        <v>0</v>
      </c>
      <c r="L46" s="6">
        <v>0</v>
      </c>
      <c r="M46" s="75">
        <v>0</v>
      </c>
      <c r="N46" s="75">
        <v>0</v>
      </c>
      <c r="O46" s="75">
        <v>0</v>
      </c>
      <c r="P46" s="75">
        <v>0</v>
      </c>
      <c r="Q46" s="2">
        <v>0</v>
      </c>
      <c r="R46" s="2">
        <v>0</v>
      </c>
    </row>
    <row r="47" spans="2:18" ht="14.85" customHeight="1" x14ac:dyDescent="0.15">
      <c r="B47" s="108"/>
      <c r="C47" s="5"/>
      <c r="D47" s="93" t="s">
        <v>66</v>
      </c>
      <c r="E47" s="94"/>
      <c r="F47" s="58">
        <f t="shared" si="0"/>
        <v>0</v>
      </c>
      <c r="G47" s="42">
        <v>0</v>
      </c>
      <c r="H47" s="2">
        <v>0</v>
      </c>
      <c r="I47" s="6">
        <v>0</v>
      </c>
      <c r="J47" s="6">
        <v>0</v>
      </c>
      <c r="K47" s="6">
        <v>0</v>
      </c>
      <c r="L47" s="6">
        <v>0</v>
      </c>
      <c r="M47" s="74">
        <v>0</v>
      </c>
      <c r="N47" s="74">
        <v>0</v>
      </c>
      <c r="O47" s="74">
        <v>0</v>
      </c>
      <c r="P47" s="74">
        <v>0</v>
      </c>
      <c r="Q47" s="2">
        <v>0</v>
      </c>
      <c r="R47" s="2">
        <v>0</v>
      </c>
    </row>
    <row r="48" spans="2:18" ht="14.85" customHeight="1" x14ac:dyDescent="0.15">
      <c r="B48" s="109"/>
      <c r="C48" s="5"/>
      <c r="D48" s="93" t="s">
        <v>67</v>
      </c>
      <c r="E48" s="94"/>
      <c r="F48" s="58">
        <f t="shared" si="0"/>
        <v>719604</v>
      </c>
      <c r="G48" s="42">
        <v>60597</v>
      </c>
      <c r="H48" s="2">
        <v>58626</v>
      </c>
      <c r="I48" s="6">
        <v>60552</v>
      </c>
      <c r="J48" s="6">
        <v>0</v>
      </c>
      <c r="K48" s="6">
        <v>0</v>
      </c>
      <c r="L48" s="6">
        <v>179730</v>
      </c>
      <c r="M48" s="74">
        <v>58671</v>
      </c>
      <c r="N48" s="74">
        <v>59895</v>
      </c>
      <c r="O48" s="74">
        <v>59895</v>
      </c>
      <c r="P48" s="74">
        <v>61857</v>
      </c>
      <c r="Q48" s="2">
        <v>61857</v>
      </c>
      <c r="R48" s="2">
        <v>57924</v>
      </c>
    </row>
    <row r="49" spans="2:18" ht="14.85" customHeight="1" x14ac:dyDescent="0.15">
      <c r="B49" s="7"/>
      <c r="C49" s="8"/>
      <c r="D49" s="24" t="s">
        <v>68</v>
      </c>
      <c r="E49" s="25"/>
      <c r="F49" s="58">
        <f t="shared" si="0"/>
        <v>51885674</v>
      </c>
      <c r="G49" s="41">
        <v>4257186</v>
      </c>
      <c r="H49" s="2">
        <v>4416835</v>
      </c>
      <c r="I49" s="6">
        <v>4155265</v>
      </c>
      <c r="J49" s="6">
        <v>4390605</v>
      </c>
      <c r="K49" s="6">
        <v>4440055</v>
      </c>
      <c r="L49" s="6">
        <v>4362005</v>
      </c>
      <c r="M49" s="74">
        <v>4477465</v>
      </c>
      <c r="N49" s="74">
        <v>4304172</v>
      </c>
      <c r="O49" s="74">
        <v>4206420</v>
      </c>
      <c r="P49" s="74">
        <v>4363202</v>
      </c>
      <c r="Q49" s="2">
        <v>4239662</v>
      </c>
      <c r="R49" s="2">
        <v>4272802</v>
      </c>
    </row>
    <row r="50" spans="2:18" ht="14.85" customHeight="1" x14ac:dyDescent="0.15">
      <c r="B50" s="7"/>
      <c r="C50" s="8"/>
      <c r="D50" s="24" t="s">
        <v>69</v>
      </c>
      <c r="E50" s="25"/>
      <c r="F50" s="58">
        <f t="shared" si="0"/>
        <v>1623430</v>
      </c>
      <c r="G50" s="41">
        <v>141900</v>
      </c>
      <c r="H50" s="2">
        <v>144900</v>
      </c>
      <c r="I50" s="6">
        <v>132000</v>
      </c>
      <c r="J50" s="6">
        <v>143600</v>
      </c>
      <c r="K50" s="6">
        <v>136300</v>
      </c>
      <c r="L50" s="6">
        <v>124700</v>
      </c>
      <c r="M50" s="74">
        <v>140600</v>
      </c>
      <c r="N50" s="74">
        <v>133610</v>
      </c>
      <c r="O50" s="74">
        <v>133610</v>
      </c>
      <c r="P50" s="74">
        <v>137920</v>
      </c>
      <c r="Q50" s="2">
        <v>129300</v>
      </c>
      <c r="R50" s="2">
        <v>124990</v>
      </c>
    </row>
    <row r="51" spans="2:18" ht="14.85" customHeight="1" x14ac:dyDescent="0.15">
      <c r="B51" s="7"/>
      <c r="C51" s="24"/>
      <c r="D51" s="93" t="s">
        <v>70</v>
      </c>
      <c r="E51" s="94"/>
      <c r="F51" s="58">
        <f t="shared" si="0"/>
        <v>0</v>
      </c>
      <c r="G51" s="42">
        <v>0</v>
      </c>
      <c r="H51" s="2">
        <v>0</v>
      </c>
      <c r="I51" s="6">
        <v>0</v>
      </c>
      <c r="J51" s="6">
        <v>0</v>
      </c>
      <c r="K51" s="6">
        <v>0</v>
      </c>
      <c r="L51" s="6">
        <v>0</v>
      </c>
      <c r="M51" s="74">
        <v>0</v>
      </c>
      <c r="N51" s="74">
        <v>0</v>
      </c>
      <c r="O51" s="74">
        <v>0</v>
      </c>
      <c r="P51" s="74">
        <v>0</v>
      </c>
      <c r="Q51" s="2">
        <v>0</v>
      </c>
      <c r="R51" s="2">
        <v>0</v>
      </c>
    </row>
    <row r="52" spans="2:18" ht="14.85" customHeight="1" x14ac:dyDescent="0.15">
      <c r="B52" s="96" t="s">
        <v>71</v>
      </c>
      <c r="C52" s="96"/>
      <c r="D52" s="97"/>
      <c r="E52" s="97"/>
      <c r="F52" s="58">
        <f t="shared" si="0"/>
        <v>310106690</v>
      </c>
      <c r="G52" s="39">
        <v>24368929</v>
      </c>
      <c r="H52" s="2">
        <v>23347164</v>
      </c>
      <c r="I52" s="6">
        <v>24900977</v>
      </c>
      <c r="J52" s="6">
        <v>24024051</v>
      </c>
      <c r="K52" s="6">
        <v>24255485</v>
      </c>
      <c r="L52" s="6">
        <v>19127163</v>
      </c>
      <c r="M52" s="74">
        <v>27902954</v>
      </c>
      <c r="N52" s="74">
        <v>28998822</v>
      </c>
      <c r="O52" s="74">
        <v>26819215</v>
      </c>
      <c r="P52" s="74">
        <v>29505654</v>
      </c>
      <c r="Q52" s="2">
        <v>28884045</v>
      </c>
      <c r="R52" s="2">
        <v>27972231</v>
      </c>
    </row>
    <row r="53" spans="2:18" ht="14.85" customHeight="1" x14ac:dyDescent="0.15">
      <c r="B53" s="98"/>
      <c r="C53" s="99"/>
      <c r="D53" s="95" t="s">
        <v>72</v>
      </c>
      <c r="E53" s="84"/>
      <c r="F53" s="58">
        <f t="shared" si="0"/>
        <v>11789901</v>
      </c>
      <c r="G53" s="42">
        <v>1110366</v>
      </c>
      <c r="H53" s="2">
        <v>976392</v>
      </c>
      <c r="I53" s="6">
        <v>845253</v>
      </c>
      <c r="J53" s="6">
        <v>732753</v>
      </c>
      <c r="K53" s="6">
        <v>562041</v>
      </c>
      <c r="L53" s="6">
        <v>725328</v>
      </c>
      <c r="M53" s="75">
        <v>859266</v>
      </c>
      <c r="N53" s="75">
        <v>1109925</v>
      </c>
      <c r="O53" s="75">
        <v>1220598</v>
      </c>
      <c r="P53" s="75">
        <v>1172277</v>
      </c>
      <c r="Q53" s="2">
        <v>1160721</v>
      </c>
      <c r="R53" s="2">
        <v>1314981</v>
      </c>
    </row>
    <row r="54" spans="2:18" ht="14.85" customHeight="1" x14ac:dyDescent="0.15">
      <c r="B54" s="98"/>
      <c r="C54" s="99"/>
      <c r="D54" s="95" t="s">
        <v>73</v>
      </c>
      <c r="E54" s="84"/>
      <c r="F54" s="58">
        <f t="shared" si="0"/>
        <v>0</v>
      </c>
      <c r="G54" s="42">
        <v>0</v>
      </c>
      <c r="H54" s="2">
        <v>0</v>
      </c>
      <c r="I54" s="6">
        <v>0</v>
      </c>
      <c r="J54" s="6">
        <v>0</v>
      </c>
      <c r="K54" s="6">
        <v>0</v>
      </c>
      <c r="L54" s="6">
        <v>0</v>
      </c>
      <c r="M54" s="74">
        <v>0</v>
      </c>
      <c r="N54" s="74">
        <v>0</v>
      </c>
      <c r="O54" s="74">
        <v>0</v>
      </c>
      <c r="P54" s="74">
        <v>0</v>
      </c>
      <c r="Q54" s="2">
        <v>0</v>
      </c>
      <c r="R54" s="2">
        <v>0</v>
      </c>
    </row>
    <row r="55" spans="2:18" ht="14.85" customHeight="1" x14ac:dyDescent="0.15">
      <c r="B55" s="98"/>
      <c r="C55" s="99"/>
      <c r="D55" s="95" t="s">
        <v>74</v>
      </c>
      <c r="E55" s="84"/>
      <c r="F55" s="58">
        <f t="shared" si="0"/>
        <v>1306818</v>
      </c>
      <c r="G55" s="42">
        <v>104823</v>
      </c>
      <c r="H55" s="2">
        <v>67626</v>
      </c>
      <c r="I55" s="6">
        <v>0</v>
      </c>
      <c r="J55" s="6">
        <v>0</v>
      </c>
      <c r="K55" s="6">
        <v>0</v>
      </c>
      <c r="L55" s="6">
        <v>462501</v>
      </c>
      <c r="M55" s="74">
        <v>137322</v>
      </c>
      <c r="N55" s="74">
        <v>131958</v>
      </c>
      <c r="O55" s="74">
        <v>52308</v>
      </c>
      <c r="P55" s="74">
        <v>119556</v>
      </c>
      <c r="Q55" s="2">
        <v>118638</v>
      </c>
      <c r="R55" s="2">
        <v>112086</v>
      </c>
    </row>
    <row r="56" spans="2:18" ht="14.85" customHeight="1" x14ac:dyDescent="0.15">
      <c r="B56" s="98"/>
      <c r="C56" s="99"/>
      <c r="D56" s="95" t="s">
        <v>75</v>
      </c>
      <c r="E56" s="84"/>
      <c r="F56" s="58">
        <f t="shared" si="0"/>
        <v>20397672</v>
      </c>
      <c r="G56" s="42">
        <v>1551942</v>
      </c>
      <c r="H56" s="2">
        <v>1232280</v>
      </c>
      <c r="I56" s="6">
        <v>2029635</v>
      </c>
      <c r="J56" s="6">
        <v>1929852</v>
      </c>
      <c r="K56" s="6">
        <v>1832787</v>
      </c>
      <c r="L56" s="6">
        <v>1854297</v>
      </c>
      <c r="M56" s="74">
        <v>1870245</v>
      </c>
      <c r="N56" s="74">
        <v>1812996</v>
      </c>
      <c r="O56" s="74">
        <v>1682667</v>
      </c>
      <c r="P56" s="74">
        <v>1538865</v>
      </c>
      <c r="Q56" s="2">
        <v>1518273</v>
      </c>
      <c r="R56" s="2">
        <v>1543833</v>
      </c>
    </row>
    <row r="57" spans="2:18" ht="14.85" customHeight="1" x14ac:dyDescent="0.15">
      <c r="B57" s="98"/>
      <c r="C57" s="99"/>
      <c r="D57" s="95" t="s">
        <v>76</v>
      </c>
      <c r="E57" s="84"/>
      <c r="F57" s="58">
        <f t="shared" si="0"/>
        <v>48696597</v>
      </c>
      <c r="G57" s="42">
        <v>3926691</v>
      </c>
      <c r="H57" s="2">
        <v>4340241</v>
      </c>
      <c r="I57" s="6">
        <v>4338711</v>
      </c>
      <c r="J57" s="6">
        <v>4251285</v>
      </c>
      <c r="K57" s="6">
        <v>4235391</v>
      </c>
      <c r="L57" s="6">
        <v>3897711</v>
      </c>
      <c r="M57" s="74">
        <v>4047192</v>
      </c>
      <c r="N57" s="74">
        <v>4051026</v>
      </c>
      <c r="O57" s="74">
        <v>3759138</v>
      </c>
      <c r="P57" s="74">
        <v>4055400</v>
      </c>
      <c r="Q57" s="2">
        <v>4009923</v>
      </c>
      <c r="R57" s="2">
        <v>3783888</v>
      </c>
    </row>
    <row r="58" spans="2:18" ht="14.85" customHeight="1" x14ac:dyDescent="0.15">
      <c r="B58" s="98"/>
      <c r="C58" s="99"/>
      <c r="D58" s="95" t="s">
        <v>77</v>
      </c>
      <c r="E58" s="84"/>
      <c r="F58" s="58">
        <f t="shared" si="0"/>
        <v>0</v>
      </c>
      <c r="G58" s="42">
        <v>0</v>
      </c>
      <c r="H58" s="2">
        <v>0</v>
      </c>
      <c r="I58" s="6">
        <v>0</v>
      </c>
      <c r="J58" s="6">
        <v>0</v>
      </c>
      <c r="K58" s="6">
        <v>0</v>
      </c>
      <c r="L58" s="6">
        <v>0</v>
      </c>
      <c r="M58" s="74">
        <v>0</v>
      </c>
      <c r="N58" s="74">
        <v>0</v>
      </c>
      <c r="O58" s="74">
        <v>0</v>
      </c>
      <c r="P58" s="74">
        <v>0</v>
      </c>
      <c r="Q58" s="2">
        <v>0</v>
      </c>
      <c r="R58" s="2">
        <v>0</v>
      </c>
    </row>
    <row r="59" spans="2:18" ht="14.85" customHeight="1" x14ac:dyDescent="0.15">
      <c r="B59" s="98"/>
      <c r="C59" s="99"/>
      <c r="D59" s="25" t="s">
        <v>78</v>
      </c>
      <c r="E59" s="22"/>
      <c r="F59" s="58">
        <f t="shared" si="0"/>
        <v>120351105</v>
      </c>
      <c r="G59" s="39">
        <v>9868302</v>
      </c>
      <c r="H59" s="2">
        <v>9455841</v>
      </c>
      <c r="I59" s="6">
        <v>9506043</v>
      </c>
      <c r="J59" s="6">
        <v>9075573</v>
      </c>
      <c r="K59" s="6">
        <v>10216238</v>
      </c>
      <c r="L59" s="6">
        <v>5450463</v>
      </c>
      <c r="M59" s="74">
        <v>13876729</v>
      </c>
      <c r="N59" s="74">
        <v>10666553</v>
      </c>
      <c r="O59" s="74">
        <v>9471447</v>
      </c>
      <c r="P59" s="74">
        <v>10620804</v>
      </c>
      <c r="Q59" s="2">
        <v>11499564</v>
      </c>
      <c r="R59" s="2">
        <v>10643548</v>
      </c>
    </row>
    <row r="60" spans="2:18" ht="14.85" customHeight="1" x14ac:dyDescent="0.15">
      <c r="B60" s="98"/>
      <c r="C60" s="99"/>
      <c r="D60" s="93" t="s">
        <v>79</v>
      </c>
      <c r="E60" s="94"/>
      <c r="F60" s="58">
        <f t="shared" si="0"/>
        <v>0</v>
      </c>
      <c r="G60" s="42">
        <v>0</v>
      </c>
      <c r="H60" s="2">
        <v>0</v>
      </c>
      <c r="I60" s="6">
        <v>0</v>
      </c>
      <c r="J60" s="6">
        <v>0</v>
      </c>
      <c r="K60" s="6">
        <v>0</v>
      </c>
      <c r="L60" s="6">
        <v>0</v>
      </c>
      <c r="M60" s="74">
        <v>0</v>
      </c>
      <c r="N60" s="74">
        <v>0</v>
      </c>
      <c r="O60" s="74">
        <v>0</v>
      </c>
      <c r="P60" s="74">
        <v>0</v>
      </c>
      <c r="Q60" s="2">
        <v>0</v>
      </c>
      <c r="R60" s="2">
        <v>0</v>
      </c>
    </row>
    <row r="61" spans="2:18" ht="14.85" customHeight="1" x14ac:dyDescent="0.15">
      <c r="B61" s="98"/>
      <c r="C61" s="99"/>
      <c r="D61" s="93" t="s">
        <v>80</v>
      </c>
      <c r="E61" s="94"/>
      <c r="F61" s="58">
        <f t="shared" si="0"/>
        <v>0</v>
      </c>
      <c r="G61" s="42">
        <v>0</v>
      </c>
      <c r="H61" s="2">
        <v>0</v>
      </c>
      <c r="I61" s="6">
        <v>0</v>
      </c>
      <c r="J61" s="6">
        <v>0</v>
      </c>
      <c r="K61" s="6">
        <v>0</v>
      </c>
      <c r="L61" s="6">
        <v>0</v>
      </c>
      <c r="M61" s="74">
        <v>0</v>
      </c>
      <c r="N61" s="74">
        <v>0</v>
      </c>
      <c r="O61" s="74">
        <v>0</v>
      </c>
      <c r="P61" s="74">
        <v>0</v>
      </c>
      <c r="Q61" s="2">
        <v>0</v>
      </c>
      <c r="R61" s="2">
        <v>0</v>
      </c>
    </row>
    <row r="62" spans="2:18" ht="14.85" customHeight="1" x14ac:dyDescent="0.15">
      <c r="B62" s="98"/>
      <c r="C62" s="99"/>
      <c r="D62" s="93" t="s">
        <v>81</v>
      </c>
      <c r="E62" s="94"/>
      <c r="F62" s="58">
        <f t="shared" si="0"/>
        <v>0</v>
      </c>
      <c r="G62" s="42">
        <v>0</v>
      </c>
      <c r="H62" s="2">
        <v>0</v>
      </c>
      <c r="I62" s="6">
        <v>0</v>
      </c>
      <c r="J62" s="6">
        <v>0</v>
      </c>
      <c r="K62" s="6">
        <v>0</v>
      </c>
      <c r="L62" s="6">
        <v>0</v>
      </c>
      <c r="M62" s="75">
        <v>0</v>
      </c>
      <c r="N62" s="75">
        <v>0</v>
      </c>
      <c r="O62" s="75">
        <v>0</v>
      </c>
      <c r="P62" s="75">
        <v>0</v>
      </c>
      <c r="Q62" s="2">
        <v>0</v>
      </c>
      <c r="R62" s="2">
        <v>0</v>
      </c>
    </row>
    <row r="63" spans="2:18" ht="14.85" customHeight="1" x14ac:dyDescent="0.15">
      <c r="B63" s="98"/>
      <c r="C63" s="99"/>
      <c r="D63" s="25" t="s">
        <v>82</v>
      </c>
      <c r="E63" s="22"/>
      <c r="F63" s="58">
        <f t="shared" si="0"/>
        <v>102785309</v>
      </c>
      <c r="G63" s="39">
        <v>7514881</v>
      </c>
      <c r="H63" s="2">
        <v>6982860</v>
      </c>
      <c r="I63" s="6">
        <v>7804928</v>
      </c>
      <c r="J63" s="6">
        <v>7660476</v>
      </c>
      <c r="K63" s="6">
        <v>7035510</v>
      </c>
      <c r="L63" s="6">
        <v>6363345</v>
      </c>
      <c r="M63" s="74">
        <v>6738682</v>
      </c>
      <c r="N63" s="74">
        <v>10766896</v>
      </c>
      <c r="O63" s="74">
        <v>10109563</v>
      </c>
      <c r="P63" s="74">
        <v>11541966</v>
      </c>
      <c r="Q63" s="2">
        <v>10127862</v>
      </c>
      <c r="R63" s="2">
        <v>10138340</v>
      </c>
    </row>
    <row r="64" spans="2:18" ht="14.85" customHeight="1" x14ac:dyDescent="0.15">
      <c r="B64" s="98"/>
      <c r="C64" s="99"/>
      <c r="D64" s="95" t="s">
        <v>83</v>
      </c>
      <c r="E64" s="84"/>
      <c r="F64" s="58">
        <f t="shared" si="0"/>
        <v>0</v>
      </c>
      <c r="G64" s="42">
        <v>0</v>
      </c>
      <c r="H64" s="2">
        <v>0</v>
      </c>
      <c r="I64" s="6">
        <v>0</v>
      </c>
      <c r="J64" s="6">
        <v>0</v>
      </c>
      <c r="K64" s="6">
        <v>0</v>
      </c>
      <c r="L64" s="6">
        <v>0</v>
      </c>
      <c r="M64" s="75">
        <v>0</v>
      </c>
      <c r="N64" s="75">
        <v>0</v>
      </c>
      <c r="O64" s="75">
        <v>0</v>
      </c>
      <c r="P64" s="75">
        <v>0</v>
      </c>
      <c r="Q64" s="2">
        <v>0</v>
      </c>
      <c r="R64" s="2">
        <v>0</v>
      </c>
    </row>
    <row r="65" spans="2:18" ht="14.85" customHeight="1" x14ac:dyDescent="0.15">
      <c r="B65" s="98"/>
      <c r="C65" s="99"/>
      <c r="D65" s="95" t="s">
        <v>84</v>
      </c>
      <c r="E65" s="84"/>
      <c r="F65" s="58">
        <f t="shared" si="0"/>
        <v>0</v>
      </c>
      <c r="G65" s="42">
        <v>0</v>
      </c>
      <c r="H65" s="2">
        <v>0</v>
      </c>
      <c r="I65" s="6">
        <v>0</v>
      </c>
      <c r="J65" s="6">
        <v>0</v>
      </c>
      <c r="K65" s="6">
        <v>0</v>
      </c>
      <c r="L65" s="6">
        <v>0</v>
      </c>
      <c r="M65" s="75">
        <v>0</v>
      </c>
      <c r="N65" s="75">
        <v>0</v>
      </c>
      <c r="O65" s="75">
        <v>0</v>
      </c>
      <c r="P65" s="75">
        <v>0</v>
      </c>
      <c r="Q65" s="2">
        <v>0</v>
      </c>
      <c r="R65" s="2">
        <v>0</v>
      </c>
    </row>
    <row r="66" spans="2:18" ht="14.85" customHeight="1" x14ac:dyDescent="0.15">
      <c r="B66" s="98"/>
      <c r="C66" s="99"/>
      <c r="D66" s="95" t="s">
        <v>85</v>
      </c>
      <c r="E66" s="84"/>
      <c r="F66" s="58">
        <f t="shared" si="0"/>
        <v>0</v>
      </c>
      <c r="G66" s="42">
        <v>0</v>
      </c>
      <c r="H66" s="2">
        <v>0</v>
      </c>
      <c r="I66" s="6">
        <v>0</v>
      </c>
      <c r="J66" s="6">
        <v>0</v>
      </c>
      <c r="K66" s="6">
        <v>0</v>
      </c>
      <c r="L66" s="6">
        <v>0</v>
      </c>
      <c r="M66" s="74">
        <v>0</v>
      </c>
      <c r="N66" s="74">
        <v>0</v>
      </c>
      <c r="O66" s="74">
        <v>0</v>
      </c>
      <c r="P66" s="74">
        <v>0</v>
      </c>
      <c r="Q66" s="2">
        <v>0</v>
      </c>
      <c r="R66" s="2">
        <v>0</v>
      </c>
    </row>
    <row r="67" spans="2:18" ht="14.85" customHeight="1" x14ac:dyDescent="0.15">
      <c r="B67" s="98"/>
      <c r="C67" s="99"/>
      <c r="D67" s="95" t="s">
        <v>86</v>
      </c>
      <c r="E67" s="84"/>
      <c r="F67" s="58">
        <f t="shared" si="0"/>
        <v>4779288</v>
      </c>
      <c r="G67" s="42">
        <v>291924</v>
      </c>
      <c r="H67" s="2">
        <v>291924</v>
      </c>
      <c r="I67" s="6">
        <v>376407</v>
      </c>
      <c r="J67" s="6">
        <v>374112</v>
      </c>
      <c r="K67" s="6">
        <v>373518</v>
      </c>
      <c r="L67" s="6">
        <v>373518</v>
      </c>
      <c r="M67" s="74">
        <v>373518</v>
      </c>
      <c r="N67" s="74">
        <v>459468</v>
      </c>
      <c r="O67" s="74">
        <v>523494</v>
      </c>
      <c r="P67" s="74">
        <v>456786</v>
      </c>
      <c r="Q67" s="2">
        <v>449064</v>
      </c>
      <c r="R67" s="2">
        <v>435555</v>
      </c>
    </row>
    <row r="68" spans="2:18" ht="14.85" customHeight="1" x14ac:dyDescent="0.15">
      <c r="B68" s="98"/>
      <c r="C68" s="99"/>
      <c r="D68" s="95" t="s">
        <v>87</v>
      </c>
      <c r="E68" s="84"/>
      <c r="F68" s="58">
        <f t="shared" si="0"/>
        <v>0</v>
      </c>
      <c r="G68" s="42">
        <v>0</v>
      </c>
      <c r="H68" s="2">
        <v>0</v>
      </c>
      <c r="I68" s="6">
        <v>0</v>
      </c>
      <c r="J68" s="6">
        <v>0</v>
      </c>
      <c r="K68" s="6">
        <v>0</v>
      </c>
      <c r="L68" s="6">
        <v>0</v>
      </c>
      <c r="M68" s="74">
        <v>0</v>
      </c>
      <c r="N68" s="74">
        <v>0</v>
      </c>
      <c r="O68" s="74">
        <v>0</v>
      </c>
      <c r="P68" s="74">
        <v>0</v>
      </c>
      <c r="Q68" s="2">
        <v>0</v>
      </c>
      <c r="R68" s="2">
        <v>0</v>
      </c>
    </row>
    <row r="69" spans="2:18" ht="14.85" customHeight="1" x14ac:dyDescent="0.15">
      <c r="B69" s="98"/>
      <c r="C69" s="99"/>
      <c r="D69" s="93" t="s">
        <v>88</v>
      </c>
      <c r="E69" s="94"/>
      <c r="F69" s="58">
        <f t="shared" si="0"/>
        <v>0</v>
      </c>
      <c r="G69" s="42">
        <v>0</v>
      </c>
      <c r="H69" s="2">
        <v>0</v>
      </c>
      <c r="I69" s="6">
        <v>0</v>
      </c>
      <c r="J69" s="6">
        <v>0</v>
      </c>
      <c r="K69" s="6">
        <v>0</v>
      </c>
      <c r="L69" s="6">
        <v>0</v>
      </c>
      <c r="M69" s="74">
        <v>0</v>
      </c>
      <c r="N69" s="74">
        <v>0</v>
      </c>
      <c r="O69" s="74">
        <v>0</v>
      </c>
      <c r="P69" s="74">
        <v>0</v>
      </c>
      <c r="Q69" s="2">
        <v>0</v>
      </c>
      <c r="R69" s="2">
        <v>0</v>
      </c>
    </row>
    <row r="70" spans="2:18" ht="14.85" customHeight="1" x14ac:dyDescent="0.15">
      <c r="B70" s="100"/>
      <c r="C70" s="101"/>
      <c r="D70" s="93" t="s">
        <v>89</v>
      </c>
      <c r="E70" s="94"/>
      <c r="F70" s="58">
        <f t="shared" si="0"/>
        <v>0</v>
      </c>
      <c r="G70" s="42">
        <v>0</v>
      </c>
      <c r="H70" s="2">
        <v>0</v>
      </c>
      <c r="I70" s="6">
        <v>0</v>
      </c>
      <c r="J70" s="6">
        <v>0</v>
      </c>
      <c r="K70" s="6">
        <v>0</v>
      </c>
      <c r="L70" s="6">
        <v>0</v>
      </c>
      <c r="M70" s="74">
        <v>0</v>
      </c>
      <c r="N70" s="74">
        <v>0</v>
      </c>
      <c r="O70" s="74">
        <v>0</v>
      </c>
      <c r="P70" s="74">
        <v>0</v>
      </c>
      <c r="Q70" s="2">
        <v>0</v>
      </c>
      <c r="R70" s="2">
        <v>0</v>
      </c>
    </row>
    <row r="71" spans="2:18" ht="14.85" customHeight="1" x14ac:dyDescent="0.15">
      <c r="B71" s="96" t="s">
        <v>90</v>
      </c>
      <c r="C71" s="96"/>
      <c r="D71" s="97"/>
      <c r="E71" s="97"/>
      <c r="F71" s="58">
        <f t="shared" si="0"/>
        <v>361660223</v>
      </c>
      <c r="G71" s="39">
        <v>34265897</v>
      </c>
      <c r="H71" s="2">
        <v>32251988</v>
      </c>
      <c r="I71" s="6">
        <v>33048639</v>
      </c>
      <c r="J71" s="6">
        <v>31159267</v>
      </c>
      <c r="K71" s="6">
        <v>31481312</v>
      </c>
      <c r="L71" s="6">
        <v>31012327</v>
      </c>
      <c r="M71" s="74">
        <v>30016326</v>
      </c>
      <c r="N71" s="74">
        <v>30447132</v>
      </c>
      <c r="O71" s="74">
        <v>27781343</v>
      </c>
      <c r="P71" s="74">
        <v>28345552</v>
      </c>
      <c r="Q71" s="2">
        <v>26936718</v>
      </c>
      <c r="R71" s="2">
        <v>24913722</v>
      </c>
    </row>
    <row r="72" spans="2:18" ht="14.85" customHeight="1" x14ac:dyDescent="0.15">
      <c r="B72" s="91"/>
      <c r="C72" s="91"/>
      <c r="D72" s="22" t="s">
        <v>91</v>
      </c>
      <c r="E72" s="22"/>
      <c r="F72" s="58">
        <f t="shared" si="0"/>
        <v>228641447</v>
      </c>
      <c r="G72" s="39">
        <v>20472941</v>
      </c>
      <c r="H72" s="2">
        <v>19794050</v>
      </c>
      <c r="I72" s="6">
        <v>20671775</v>
      </c>
      <c r="J72" s="6">
        <v>19524629</v>
      </c>
      <c r="K72" s="6">
        <v>19745471</v>
      </c>
      <c r="L72" s="6">
        <v>19273588</v>
      </c>
      <c r="M72" s="74">
        <v>17962146</v>
      </c>
      <c r="N72" s="74">
        <v>19640667</v>
      </c>
      <c r="O72" s="74">
        <v>17994302</v>
      </c>
      <c r="P72" s="74">
        <v>18793221</v>
      </c>
      <c r="Q72" s="2">
        <v>18220979</v>
      </c>
      <c r="R72" s="2">
        <v>16547678</v>
      </c>
    </row>
    <row r="73" spans="2:18" ht="14.85" customHeight="1" x14ac:dyDescent="0.15">
      <c r="B73" s="92"/>
      <c r="C73" s="92"/>
      <c r="D73" s="22" t="s">
        <v>92</v>
      </c>
      <c r="E73" s="22"/>
      <c r="F73" s="58">
        <f t="shared" ref="F73:F99" si="1">SUM(G73:R73)</f>
        <v>120175985</v>
      </c>
      <c r="G73" s="39">
        <v>12993678</v>
      </c>
      <c r="H73" s="2">
        <v>11311645</v>
      </c>
      <c r="I73" s="6">
        <v>10732009</v>
      </c>
      <c r="J73" s="6">
        <v>10494060</v>
      </c>
      <c r="K73" s="6">
        <v>10536359</v>
      </c>
      <c r="L73" s="6">
        <v>10665676</v>
      </c>
      <c r="M73" s="74">
        <v>10904526</v>
      </c>
      <c r="N73" s="74">
        <v>9625589</v>
      </c>
      <c r="O73" s="74">
        <v>8655522</v>
      </c>
      <c r="P73" s="74">
        <v>8632859</v>
      </c>
      <c r="Q73" s="2">
        <v>7957798</v>
      </c>
      <c r="R73" s="2">
        <v>7666264</v>
      </c>
    </row>
    <row r="74" spans="2:18" ht="14.85" customHeight="1" x14ac:dyDescent="0.15">
      <c r="B74" s="92"/>
      <c r="C74" s="92"/>
      <c r="D74" s="22" t="s">
        <v>93</v>
      </c>
      <c r="E74" s="22"/>
      <c r="F74" s="58">
        <f t="shared" si="1"/>
        <v>0</v>
      </c>
      <c r="G74" s="39">
        <v>0</v>
      </c>
      <c r="H74" s="2">
        <v>0</v>
      </c>
      <c r="I74" s="6">
        <v>0</v>
      </c>
      <c r="J74" s="6">
        <v>0</v>
      </c>
      <c r="K74" s="6">
        <v>0</v>
      </c>
      <c r="L74" s="6">
        <v>0</v>
      </c>
      <c r="M74" s="74">
        <v>0</v>
      </c>
      <c r="N74" s="74">
        <v>0</v>
      </c>
      <c r="O74" s="74">
        <v>0</v>
      </c>
      <c r="P74" s="74">
        <v>0</v>
      </c>
      <c r="Q74" s="2">
        <v>0</v>
      </c>
      <c r="R74" s="2">
        <v>0</v>
      </c>
    </row>
    <row r="75" spans="2:18" ht="14.85" customHeight="1" x14ac:dyDescent="0.15">
      <c r="B75" s="92"/>
      <c r="C75" s="92"/>
      <c r="D75" s="22" t="s">
        <v>94</v>
      </c>
      <c r="E75" s="22"/>
      <c r="F75" s="58">
        <f t="shared" si="1"/>
        <v>12842791</v>
      </c>
      <c r="G75" s="39">
        <v>799278</v>
      </c>
      <c r="H75" s="2">
        <v>1146293</v>
      </c>
      <c r="I75" s="6">
        <v>1644855</v>
      </c>
      <c r="J75" s="6">
        <v>1140578</v>
      </c>
      <c r="K75" s="6">
        <v>1199482</v>
      </c>
      <c r="L75" s="6">
        <v>1073063</v>
      </c>
      <c r="M75" s="74">
        <v>1149654</v>
      </c>
      <c r="N75" s="74">
        <v>1180876</v>
      </c>
      <c r="O75" s="74">
        <v>1131519</v>
      </c>
      <c r="P75" s="74">
        <v>919472</v>
      </c>
      <c r="Q75" s="2">
        <v>757941</v>
      </c>
      <c r="R75" s="2">
        <v>699780</v>
      </c>
    </row>
    <row r="76" spans="2:18" ht="14.85" customHeight="1" x14ac:dyDescent="0.15">
      <c r="B76" s="92"/>
      <c r="C76" s="92"/>
      <c r="D76" s="22" t="s">
        <v>95</v>
      </c>
      <c r="E76" s="22"/>
      <c r="F76" s="58">
        <f t="shared" si="1"/>
        <v>0</v>
      </c>
      <c r="G76" s="39">
        <v>0</v>
      </c>
      <c r="H76" s="2">
        <v>0</v>
      </c>
      <c r="I76" s="6">
        <v>0</v>
      </c>
      <c r="J76" s="6">
        <v>0</v>
      </c>
      <c r="K76" s="6">
        <v>0</v>
      </c>
      <c r="L76" s="6">
        <v>0</v>
      </c>
      <c r="M76" s="74">
        <v>0</v>
      </c>
      <c r="N76" s="74">
        <v>0</v>
      </c>
      <c r="O76" s="74">
        <v>0</v>
      </c>
      <c r="P76" s="74">
        <v>0</v>
      </c>
      <c r="Q76" s="2">
        <v>0</v>
      </c>
      <c r="R76" s="2">
        <v>0</v>
      </c>
    </row>
    <row r="77" spans="2:18" ht="14.85" customHeight="1" x14ac:dyDescent="0.15">
      <c r="B77" s="92"/>
      <c r="C77" s="92"/>
      <c r="D77" s="22" t="s">
        <v>96</v>
      </c>
      <c r="E77" s="22"/>
      <c r="F77" s="58">
        <f t="shared" si="1"/>
        <v>0</v>
      </c>
      <c r="G77" s="39">
        <v>0</v>
      </c>
      <c r="H77" s="2">
        <v>0</v>
      </c>
      <c r="I77" s="6">
        <v>0</v>
      </c>
      <c r="J77" s="6">
        <v>0</v>
      </c>
      <c r="K77" s="6">
        <v>0</v>
      </c>
      <c r="L77" s="6">
        <v>0</v>
      </c>
      <c r="M77" s="74">
        <v>0</v>
      </c>
      <c r="N77" s="74">
        <v>0</v>
      </c>
      <c r="O77" s="74">
        <v>0</v>
      </c>
      <c r="P77" s="74">
        <v>0</v>
      </c>
      <c r="Q77" s="2">
        <v>0</v>
      </c>
      <c r="R77" s="2">
        <v>0</v>
      </c>
    </row>
    <row r="78" spans="2:18" ht="14.85" customHeight="1" x14ac:dyDescent="0.15">
      <c r="B78" s="92"/>
      <c r="C78" s="92"/>
      <c r="D78" s="22" t="s">
        <v>97</v>
      </c>
      <c r="E78" s="22"/>
      <c r="F78" s="58">
        <f t="shared" si="1"/>
        <v>0</v>
      </c>
      <c r="G78" s="39">
        <v>0</v>
      </c>
      <c r="H78" s="2">
        <v>0</v>
      </c>
      <c r="I78" s="6">
        <v>0</v>
      </c>
      <c r="J78" s="6">
        <v>0</v>
      </c>
      <c r="K78" s="6">
        <v>0</v>
      </c>
      <c r="L78" s="6">
        <v>0</v>
      </c>
      <c r="M78" s="74">
        <v>0</v>
      </c>
      <c r="N78" s="74">
        <v>0</v>
      </c>
      <c r="O78" s="74">
        <v>0</v>
      </c>
      <c r="P78" s="74">
        <v>0</v>
      </c>
      <c r="Q78" s="2">
        <v>0</v>
      </c>
      <c r="R78" s="2">
        <v>0</v>
      </c>
    </row>
    <row r="79" spans="2:18" ht="14.85" customHeight="1" x14ac:dyDescent="0.15">
      <c r="B79" s="92"/>
      <c r="C79" s="92"/>
      <c r="D79" s="22" t="s">
        <v>98</v>
      </c>
      <c r="E79" s="22"/>
      <c r="F79" s="58">
        <f t="shared" si="1"/>
        <v>0</v>
      </c>
      <c r="G79" s="39">
        <v>0</v>
      </c>
      <c r="H79" s="2">
        <v>0</v>
      </c>
      <c r="I79" s="6">
        <v>0</v>
      </c>
      <c r="J79" s="6">
        <v>0</v>
      </c>
      <c r="K79" s="6">
        <v>0</v>
      </c>
      <c r="L79" s="6">
        <v>0</v>
      </c>
      <c r="M79" s="74">
        <v>0</v>
      </c>
      <c r="N79" s="74">
        <v>0</v>
      </c>
      <c r="O79" s="74">
        <v>0</v>
      </c>
      <c r="P79" s="74">
        <v>0</v>
      </c>
      <c r="Q79" s="2">
        <v>0</v>
      </c>
      <c r="R79" s="2">
        <v>0</v>
      </c>
    </row>
    <row r="80" spans="2:18" ht="14.85" customHeight="1" x14ac:dyDescent="0.15">
      <c r="B80" s="92"/>
      <c r="C80" s="92"/>
      <c r="D80" s="22" t="s">
        <v>99</v>
      </c>
      <c r="E80" s="22"/>
      <c r="F80" s="58">
        <f t="shared" si="1"/>
        <v>622284</v>
      </c>
      <c r="G80" s="39">
        <v>15219</v>
      </c>
      <c r="H80" s="2">
        <v>56454</v>
      </c>
      <c r="I80" s="6">
        <v>117699</v>
      </c>
      <c r="J80" s="6">
        <v>52119</v>
      </c>
      <c r="K80" s="6">
        <v>72930</v>
      </c>
      <c r="L80" s="6">
        <v>42534</v>
      </c>
      <c r="M80" s="74">
        <v>70902</v>
      </c>
      <c r="N80" s="74">
        <v>60768</v>
      </c>
      <c r="O80" s="74">
        <v>46773</v>
      </c>
      <c r="P80" s="74">
        <v>48195</v>
      </c>
      <c r="Q80" s="2">
        <v>24489</v>
      </c>
      <c r="R80" s="2">
        <v>14202</v>
      </c>
    </row>
    <row r="81" spans="2:18" ht="14.85" customHeight="1" x14ac:dyDescent="0.15">
      <c r="B81" s="78" t="s">
        <v>100</v>
      </c>
      <c r="C81" s="85"/>
      <c r="D81" s="85"/>
      <c r="E81" s="86"/>
      <c r="F81" s="58">
        <f t="shared" si="1"/>
        <v>21030448</v>
      </c>
      <c r="G81" s="40">
        <v>1858647</v>
      </c>
      <c r="H81" s="2">
        <v>1689006</v>
      </c>
      <c r="I81" s="6">
        <v>1612571</v>
      </c>
      <c r="J81" s="6">
        <v>1618686</v>
      </c>
      <c r="K81" s="6">
        <v>1461197</v>
      </c>
      <c r="L81" s="6">
        <v>1788446</v>
      </c>
      <c r="M81" s="74">
        <v>1838456</v>
      </c>
      <c r="N81" s="74">
        <v>1909832</v>
      </c>
      <c r="O81" s="74">
        <v>1852894</v>
      </c>
      <c r="P81" s="74">
        <v>1869687</v>
      </c>
      <c r="Q81" s="2">
        <v>1767760</v>
      </c>
      <c r="R81" s="2">
        <v>1763266</v>
      </c>
    </row>
    <row r="82" spans="2:18" ht="14.85" customHeight="1" x14ac:dyDescent="0.15">
      <c r="B82" s="81"/>
      <c r="C82" s="78" t="s">
        <v>101</v>
      </c>
      <c r="D82" s="79"/>
      <c r="E82" s="80"/>
      <c r="F82" s="58">
        <f t="shared" si="1"/>
        <v>2870070</v>
      </c>
      <c r="G82" s="40">
        <v>258801</v>
      </c>
      <c r="H82" s="2">
        <v>236225</v>
      </c>
      <c r="I82" s="6">
        <v>248177</v>
      </c>
      <c r="J82" s="6">
        <v>238259</v>
      </c>
      <c r="K82" s="6">
        <v>248168</v>
      </c>
      <c r="L82" s="6">
        <v>262154</v>
      </c>
      <c r="M82" s="74">
        <v>260111</v>
      </c>
      <c r="N82" s="74">
        <v>237513</v>
      </c>
      <c r="O82" s="74">
        <v>213546</v>
      </c>
      <c r="P82" s="74">
        <v>240024</v>
      </c>
      <c r="Q82" s="2">
        <v>213546</v>
      </c>
      <c r="R82" s="2">
        <v>213546</v>
      </c>
    </row>
    <row r="83" spans="2:18" ht="14.85" customHeight="1" x14ac:dyDescent="0.15">
      <c r="B83" s="81"/>
      <c r="C83" s="81"/>
      <c r="D83" s="87" t="s">
        <v>102</v>
      </c>
      <c r="E83" s="77"/>
      <c r="F83" s="58">
        <f t="shared" si="1"/>
        <v>0</v>
      </c>
      <c r="G83" s="41">
        <v>0</v>
      </c>
      <c r="H83" s="2">
        <v>0</v>
      </c>
      <c r="I83" s="6">
        <v>0</v>
      </c>
      <c r="J83" s="6">
        <v>0</v>
      </c>
      <c r="K83" s="6">
        <v>0</v>
      </c>
      <c r="L83" s="6">
        <v>0</v>
      </c>
      <c r="M83" s="74">
        <v>0</v>
      </c>
      <c r="N83" s="74">
        <v>0</v>
      </c>
      <c r="O83" s="74">
        <v>0</v>
      </c>
      <c r="P83" s="74">
        <v>0</v>
      </c>
      <c r="Q83" s="2">
        <v>0</v>
      </c>
      <c r="R83" s="2">
        <v>0</v>
      </c>
    </row>
    <row r="84" spans="2:18" ht="14.85" customHeight="1" x14ac:dyDescent="0.15">
      <c r="B84" s="81"/>
      <c r="C84" s="81"/>
      <c r="D84" s="87" t="s">
        <v>103</v>
      </c>
      <c r="E84" s="77"/>
      <c r="F84" s="58">
        <f t="shared" si="1"/>
        <v>2870070</v>
      </c>
      <c r="G84" s="41">
        <v>258801</v>
      </c>
      <c r="H84" s="2">
        <v>236225</v>
      </c>
      <c r="I84" s="6">
        <v>248177</v>
      </c>
      <c r="J84" s="6">
        <v>238259</v>
      </c>
      <c r="K84" s="6">
        <v>248168</v>
      </c>
      <c r="L84" s="6">
        <v>262154</v>
      </c>
      <c r="M84" s="74">
        <v>260111</v>
      </c>
      <c r="N84" s="74">
        <v>237513</v>
      </c>
      <c r="O84" s="74">
        <v>213546</v>
      </c>
      <c r="P84" s="74">
        <v>240024</v>
      </c>
      <c r="Q84" s="2">
        <v>213546</v>
      </c>
      <c r="R84" s="2">
        <v>213546</v>
      </c>
    </row>
    <row r="85" spans="2:18" ht="14.85" customHeight="1" x14ac:dyDescent="0.15">
      <c r="B85" s="81"/>
      <c r="C85" s="81"/>
      <c r="D85" s="87" t="s">
        <v>104</v>
      </c>
      <c r="E85" s="77"/>
      <c r="F85" s="58">
        <f t="shared" si="1"/>
        <v>0</v>
      </c>
      <c r="G85" s="41">
        <v>0</v>
      </c>
      <c r="H85" s="2">
        <v>0</v>
      </c>
      <c r="I85" s="6">
        <v>0</v>
      </c>
      <c r="J85" s="6">
        <v>0</v>
      </c>
      <c r="K85" s="6">
        <v>0</v>
      </c>
      <c r="L85" s="6">
        <v>0</v>
      </c>
      <c r="M85" s="74">
        <v>0</v>
      </c>
      <c r="N85" s="74">
        <v>0</v>
      </c>
      <c r="O85" s="74">
        <v>0</v>
      </c>
      <c r="P85" s="74">
        <v>0</v>
      </c>
      <c r="Q85" s="2">
        <v>0</v>
      </c>
      <c r="R85" s="2">
        <v>0</v>
      </c>
    </row>
    <row r="86" spans="2:18" ht="14.85" customHeight="1" x14ac:dyDescent="0.15">
      <c r="B86" s="81"/>
      <c r="C86" s="82"/>
      <c r="D86" s="87" t="s">
        <v>105</v>
      </c>
      <c r="E86" s="77"/>
      <c r="F86" s="58">
        <f t="shared" si="1"/>
        <v>0</v>
      </c>
      <c r="G86" s="41">
        <v>0</v>
      </c>
      <c r="H86" s="2">
        <v>0</v>
      </c>
      <c r="I86" s="6">
        <v>0</v>
      </c>
      <c r="J86" s="6">
        <v>0</v>
      </c>
      <c r="K86" s="6">
        <v>0</v>
      </c>
      <c r="L86" s="6">
        <v>0</v>
      </c>
      <c r="M86" s="74">
        <v>0</v>
      </c>
      <c r="N86" s="74">
        <v>0</v>
      </c>
      <c r="O86" s="74">
        <v>0</v>
      </c>
      <c r="P86" s="74">
        <v>0</v>
      </c>
      <c r="Q86" s="2">
        <v>0</v>
      </c>
      <c r="R86" s="2">
        <v>0</v>
      </c>
    </row>
    <row r="87" spans="2:18" ht="14.85" customHeight="1" x14ac:dyDescent="0.15">
      <c r="B87" s="81"/>
      <c r="C87" s="88" t="s">
        <v>106</v>
      </c>
      <c r="D87" s="79"/>
      <c r="E87" s="80"/>
      <c r="F87" s="58">
        <f t="shared" si="1"/>
        <v>15657258</v>
      </c>
      <c r="G87" s="40">
        <v>1381446</v>
      </c>
      <c r="H87" s="2">
        <v>1251981</v>
      </c>
      <c r="I87" s="6">
        <v>1167894</v>
      </c>
      <c r="J87" s="6">
        <v>1192527</v>
      </c>
      <c r="K87" s="6">
        <v>1000629</v>
      </c>
      <c r="L87" s="6">
        <v>1313892</v>
      </c>
      <c r="M87" s="74">
        <v>1368945</v>
      </c>
      <c r="N87" s="74">
        <v>1449519</v>
      </c>
      <c r="O87" s="74">
        <v>1417848</v>
      </c>
      <c r="P87" s="74">
        <v>1419783</v>
      </c>
      <c r="Q87" s="2">
        <v>1351644</v>
      </c>
      <c r="R87" s="2">
        <v>1341150</v>
      </c>
    </row>
    <row r="88" spans="2:18" ht="14.85" customHeight="1" x14ac:dyDescent="0.15">
      <c r="B88" s="81"/>
      <c r="C88" s="81"/>
      <c r="D88" s="76" t="s">
        <v>107</v>
      </c>
      <c r="E88" s="77"/>
      <c r="F88" s="58">
        <f t="shared" si="1"/>
        <v>0</v>
      </c>
      <c r="G88" s="41">
        <v>0</v>
      </c>
      <c r="H88" s="2">
        <v>0</v>
      </c>
      <c r="I88" s="6">
        <v>0</v>
      </c>
      <c r="J88" s="6">
        <v>0</v>
      </c>
      <c r="K88" s="6">
        <v>0</v>
      </c>
      <c r="L88" s="6">
        <v>0</v>
      </c>
      <c r="M88" s="74">
        <v>0</v>
      </c>
      <c r="N88" s="74">
        <v>0</v>
      </c>
      <c r="O88" s="74">
        <v>0</v>
      </c>
      <c r="P88" s="74">
        <v>0</v>
      </c>
      <c r="Q88" s="2">
        <v>0</v>
      </c>
      <c r="R88" s="2">
        <v>0</v>
      </c>
    </row>
    <row r="89" spans="2:18" ht="14.85" customHeight="1" x14ac:dyDescent="0.15">
      <c r="B89" s="81"/>
      <c r="C89" s="81"/>
      <c r="D89" s="76" t="s">
        <v>108</v>
      </c>
      <c r="E89" s="77"/>
      <c r="F89" s="58">
        <f t="shared" si="1"/>
        <v>15657258</v>
      </c>
      <c r="G89" s="41">
        <v>1381446</v>
      </c>
      <c r="H89" s="2">
        <v>1251981</v>
      </c>
      <c r="I89" s="6">
        <v>1167894</v>
      </c>
      <c r="J89" s="6">
        <v>1192527</v>
      </c>
      <c r="K89" s="6">
        <v>1000629</v>
      </c>
      <c r="L89" s="6">
        <v>1313892</v>
      </c>
      <c r="M89" s="74">
        <v>1368945</v>
      </c>
      <c r="N89" s="74">
        <v>1449519</v>
      </c>
      <c r="O89" s="74">
        <v>1417848</v>
      </c>
      <c r="P89" s="74">
        <v>1419783</v>
      </c>
      <c r="Q89" s="2">
        <v>1351644</v>
      </c>
      <c r="R89" s="2">
        <v>1341150</v>
      </c>
    </row>
    <row r="90" spans="2:18" ht="14.85" customHeight="1" x14ac:dyDescent="0.15">
      <c r="B90" s="81"/>
      <c r="C90" s="81"/>
      <c r="D90" s="76" t="s">
        <v>109</v>
      </c>
      <c r="E90" s="77"/>
      <c r="F90" s="58">
        <f t="shared" si="1"/>
        <v>0</v>
      </c>
      <c r="G90" s="41">
        <v>0</v>
      </c>
      <c r="H90" s="2">
        <v>0</v>
      </c>
      <c r="I90" s="6">
        <v>0</v>
      </c>
      <c r="J90" s="6">
        <v>0</v>
      </c>
      <c r="K90" s="6">
        <v>0</v>
      </c>
      <c r="L90" s="6">
        <v>0</v>
      </c>
      <c r="M90" s="74">
        <v>0</v>
      </c>
      <c r="N90" s="74">
        <v>0</v>
      </c>
      <c r="O90" s="74">
        <v>0</v>
      </c>
      <c r="P90" s="74">
        <v>0</v>
      </c>
      <c r="Q90" s="2">
        <v>0</v>
      </c>
      <c r="R90" s="2">
        <v>0</v>
      </c>
    </row>
    <row r="91" spans="2:18" ht="14.85" customHeight="1" x14ac:dyDescent="0.15">
      <c r="B91" s="81"/>
      <c r="C91" s="82"/>
      <c r="D91" s="76" t="s">
        <v>110</v>
      </c>
      <c r="E91" s="77"/>
      <c r="F91" s="58">
        <f t="shared" si="1"/>
        <v>0</v>
      </c>
      <c r="G91" s="41">
        <v>0</v>
      </c>
      <c r="H91" s="2">
        <v>0</v>
      </c>
      <c r="I91" s="6">
        <v>0</v>
      </c>
      <c r="J91" s="6">
        <v>0</v>
      </c>
      <c r="K91" s="6">
        <v>0</v>
      </c>
      <c r="L91" s="6">
        <v>0</v>
      </c>
      <c r="M91" s="74">
        <v>0</v>
      </c>
      <c r="N91" s="74">
        <v>0</v>
      </c>
      <c r="O91" s="74">
        <v>0</v>
      </c>
      <c r="P91" s="74">
        <v>0</v>
      </c>
      <c r="Q91" s="2">
        <v>0</v>
      </c>
      <c r="R91" s="2">
        <v>0</v>
      </c>
    </row>
    <row r="92" spans="2:18" ht="14.85" customHeight="1" x14ac:dyDescent="0.15">
      <c r="B92" s="81"/>
      <c r="C92" s="78" t="s">
        <v>111</v>
      </c>
      <c r="D92" s="79"/>
      <c r="E92" s="80"/>
      <c r="F92" s="58">
        <f t="shared" si="1"/>
        <v>0</v>
      </c>
      <c r="G92" s="40">
        <v>0</v>
      </c>
      <c r="H92" s="2">
        <v>0</v>
      </c>
      <c r="I92" s="6">
        <v>0</v>
      </c>
      <c r="J92" s="6">
        <v>0</v>
      </c>
      <c r="K92" s="6">
        <v>0</v>
      </c>
      <c r="L92" s="6">
        <v>0</v>
      </c>
      <c r="M92" s="74">
        <v>0</v>
      </c>
      <c r="N92" s="74">
        <v>0</v>
      </c>
      <c r="O92" s="74">
        <v>0</v>
      </c>
      <c r="P92" s="74">
        <v>0</v>
      </c>
      <c r="Q92" s="2">
        <v>0</v>
      </c>
      <c r="R92" s="2">
        <v>0</v>
      </c>
    </row>
    <row r="93" spans="2:18" ht="14.85" customHeight="1" x14ac:dyDescent="0.15">
      <c r="B93" s="81"/>
      <c r="C93" s="81"/>
      <c r="D93" s="83" t="s">
        <v>112</v>
      </c>
      <c r="E93" s="84"/>
      <c r="F93" s="58">
        <f t="shared" si="1"/>
        <v>0</v>
      </c>
      <c r="G93" s="42">
        <v>0</v>
      </c>
      <c r="H93" s="2">
        <v>0</v>
      </c>
      <c r="I93" s="6">
        <v>0</v>
      </c>
      <c r="J93" s="6">
        <v>0</v>
      </c>
      <c r="K93" s="6">
        <v>0</v>
      </c>
      <c r="L93" s="6">
        <v>0</v>
      </c>
      <c r="M93" s="74">
        <v>0</v>
      </c>
      <c r="N93" s="74">
        <v>0</v>
      </c>
      <c r="O93" s="74">
        <v>0</v>
      </c>
      <c r="P93" s="74">
        <v>0</v>
      </c>
      <c r="Q93" s="2">
        <v>0</v>
      </c>
      <c r="R93" s="2">
        <v>0</v>
      </c>
    </row>
    <row r="94" spans="2:18" ht="14.85" customHeight="1" x14ac:dyDescent="0.15">
      <c r="B94" s="81"/>
      <c r="C94" s="81"/>
      <c r="D94" s="83" t="s">
        <v>113</v>
      </c>
      <c r="E94" s="84"/>
      <c r="F94" s="58">
        <f t="shared" si="1"/>
        <v>0</v>
      </c>
      <c r="G94" s="42">
        <v>0</v>
      </c>
      <c r="H94" s="2">
        <v>0</v>
      </c>
      <c r="I94" s="6">
        <v>0</v>
      </c>
      <c r="J94" s="6">
        <v>0</v>
      </c>
      <c r="K94" s="6">
        <v>0</v>
      </c>
      <c r="L94" s="6">
        <v>0</v>
      </c>
      <c r="M94" s="74">
        <v>0</v>
      </c>
      <c r="N94" s="74">
        <v>0</v>
      </c>
      <c r="O94" s="74">
        <v>0</v>
      </c>
      <c r="P94" s="74">
        <v>0</v>
      </c>
      <c r="Q94" s="2">
        <v>0</v>
      </c>
      <c r="R94" s="2">
        <v>0</v>
      </c>
    </row>
    <row r="95" spans="2:18" ht="14.85" customHeight="1" x14ac:dyDescent="0.15">
      <c r="B95" s="81"/>
      <c r="C95" s="81"/>
      <c r="D95" s="83" t="s">
        <v>114</v>
      </c>
      <c r="E95" s="84"/>
      <c r="F95" s="58">
        <f t="shared" si="1"/>
        <v>0</v>
      </c>
      <c r="G95" s="42">
        <v>0</v>
      </c>
      <c r="H95" s="2">
        <v>0</v>
      </c>
      <c r="I95" s="6">
        <v>0</v>
      </c>
      <c r="J95" s="6">
        <v>0</v>
      </c>
      <c r="K95" s="6">
        <v>0</v>
      </c>
      <c r="L95" s="6">
        <v>0</v>
      </c>
      <c r="M95" s="74">
        <v>0</v>
      </c>
      <c r="N95" s="74">
        <v>0</v>
      </c>
      <c r="O95" s="74">
        <v>0</v>
      </c>
      <c r="P95" s="74">
        <v>0</v>
      </c>
      <c r="Q95" s="2">
        <v>0</v>
      </c>
      <c r="R95" s="2">
        <v>0</v>
      </c>
    </row>
    <row r="96" spans="2:18" ht="14.85" customHeight="1" x14ac:dyDescent="0.15">
      <c r="B96" s="81"/>
      <c r="C96" s="81"/>
      <c r="D96" s="83" t="s">
        <v>115</v>
      </c>
      <c r="E96" s="84"/>
      <c r="F96" s="58">
        <f t="shared" si="1"/>
        <v>0</v>
      </c>
      <c r="G96" s="42">
        <v>0</v>
      </c>
      <c r="H96" s="2">
        <v>0</v>
      </c>
      <c r="I96" s="6">
        <v>0</v>
      </c>
      <c r="J96" s="6">
        <v>0</v>
      </c>
      <c r="K96" s="6">
        <v>0</v>
      </c>
      <c r="L96" s="6">
        <v>0</v>
      </c>
      <c r="M96" s="74">
        <v>0</v>
      </c>
      <c r="N96" s="74">
        <v>0</v>
      </c>
      <c r="O96" s="74">
        <v>0</v>
      </c>
      <c r="P96" s="74">
        <v>0</v>
      </c>
      <c r="Q96" s="2">
        <v>0</v>
      </c>
      <c r="R96" s="2">
        <v>0</v>
      </c>
    </row>
    <row r="97" spans="2:18" ht="14.85" customHeight="1" x14ac:dyDescent="0.15">
      <c r="B97" s="81"/>
      <c r="C97" s="81"/>
      <c r="D97" s="83" t="s">
        <v>116</v>
      </c>
      <c r="E97" s="84"/>
      <c r="F97" s="58">
        <f t="shared" si="1"/>
        <v>0</v>
      </c>
      <c r="G97" s="42">
        <v>0</v>
      </c>
      <c r="H97" s="2">
        <v>0</v>
      </c>
      <c r="I97" s="6">
        <v>0</v>
      </c>
      <c r="J97" s="6">
        <v>0</v>
      </c>
      <c r="K97" s="6">
        <v>0</v>
      </c>
      <c r="L97" s="6">
        <v>0</v>
      </c>
      <c r="M97" s="74">
        <v>0</v>
      </c>
      <c r="N97" s="74">
        <v>0</v>
      </c>
      <c r="O97" s="74">
        <v>0</v>
      </c>
      <c r="P97" s="74">
        <v>0</v>
      </c>
      <c r="Q97" s="2">
        <v>0</v>
      </c>
      <c r="R97" s="2">
        <v>0</v>
      </c>
    </row>
    <row r="98" spans="2:18" ht="14.85" customHeight="1" x14ac:dyDescent="0.15">
      <c r="B98" s="81"/>
      <c r="C98" s="82"/>
      <c r="D98" s="83" t="s">
        <v>117</v>
      </c>
      <c r="E98" s="84"/>
      <c r="F98" s="58">
        <f t="shared" si="1"/>
        <v>0</v>
      </c>
      <c r="G98" s="42">
        <v>0</v>
      </c>
      <c r="H98" s="2">
        <v>0</v>
      </c>
      <c r="I98" s="6">
        <v>0</v>
      </c>
      <c r="J98" s="6">
        <v>0</v>
      </c>
      <c r="K98" s="6">
        <v>0</v>
      </c>
      <c r="L98" s="6">
        <v>0</v>
      </c>
      <c r="M98" s="74">
        <v>0</v>
      </c>
      <c r="N98" s="74">
        <v>0</v>
      </c>
      <c r="O98" s="74">
        <v>0</v>
      </c>
      <c r="P98" s="74">
        <v>0</v>
      </c>
      <c r="Q98" s="2">
        <v>0</v>
      </c>
      <c r="R98" s="2">
        <v>0</v>
      </c>
    </row>
    <row r="99" spans="2:18" ht="14.85" customHeight="1" x14ac:dyDescent="0.15">
      <c r="B99" s="82"/>
      <c r="C99" s="4"/>
      <c r="D99" s="89" t="s">
        <v>118</v>
      </c>
      <c r="E99" s="90"/>
      <c r="F99" s="58">
        <f t="shared" si="1"/>
        <v>2503120</v>
      </c>
      <c r="G99" s="41">
        <v>218400</v>
      </c>
      <c r="H99" s="2">
        <v>200800</v>
      </c>
      <c r="I99" s="6">
        <v>196500</v>
      </c>
      <c r="J99" s="6">
        <v>187900</v>
      </c>
      <c r="K99" s="6">
        <v>212400</v>
      </c>
      <c r="L99" s="6">
        <v>212400</v>
      </c>
      <c r="M99" s="74">
        <v>209400</v>
      </c>
      <c r="N99" s="74">
        <v>222800</v>
      </c>
      <c r="O99" s="74">
        <v>221500</v>
      </c>
      <c r="P99" s="74">
        <v>209880</v>
      </c>
      <c r="Q99" s="2">
        <v>202570</v>
      </c>
      <c r="R99" s="2">
        <v>208570</v>
      </c>
    </row>
    <row r="100" spans="2:18" ht="15" customHeight="1" x14ac:dyDescent="0.15">
      <c r="B100" s="29"/>
      <c r="C100" s="29"/>
      <c r="D100" s="29"/>
      <c r="E100" s="29"/>
      <c r="F100" s="29"/>
      <c r="G100" s="29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</row>
    <row r="101" spans="2:18" ht="15" customHeight="1" x14ac:dyDescent="0.15">
      <c r="E101" s="32" t="s">
        <v>0</v>
      </c>
      <c r="F101" s="57">
        <f>SUM(F57:F58)</f>
        <v>48696597</v>
      </c>
      <c r="G101" s="57">
        <f>SUM(G57:G58)</f>
        <v>3926691</v>
      </c>
      <c r="H101" s="57">
        <f t="shared" ref="H101:N101" si="2">SUM(H57:H58)</f>
        <v>4340241</v>
      </c>
      <c r="I101" s="57">
        <f t="shared" si="2"/>
        <v>4338711</v>
      </c>
      <c r="J101" s="57">
        <f t="shared" si="2"/>
        <v>4251285</v>
      </c>
      <c r="K101" s="57">
        <f t="shared" si="2"/>
        <v>4235391</v>
      </c>
      <c r="L101" s="57">
        <f t="shared" si="2"/>
        <v>3897711</v>
      </c>
      <c r="M101" s="57">
        <f t="shared" si="2"/>
        <v>4047192</v>
      </c>
      <c r="N101" s="57">
        <f t="shared" si="2"/>
        <v>4051026</v>
      </c>
      <c r="O101" s="57">
        <f t="shared" ref="O101:R101" si="3">SUM(O57:O58)</f>
        <v>3759138</v>
      </c>
      <c r="P101" s="57">
        <f t="shared" si="3"/>
        <v>4055400</v>
      </c>
      <c r="Q101" s="57">
        <f t="shared" si="3"/>
        <v>4009923</v>
      </c>
      <c r="R101" s="57">
        <f t="shared" si="3"/>
        <v>3783888</v>
      </c>
    </row>
    <row r="102" spans="2:18" ht="15" customHeight="1" x14ac:dyDescent="0.15">
      <c r="E102" s="32" t="s">
        <v>1</v>
      </c>
      <c r="F102" s="57">
        <f>SUM(F59:F60)</f>
        <v>120351105</v>
      </c>
      <c r="G102" s="57">
        <f>SUM(G59:G60)</f>
        <v>9868302</v>
      </c>
      <c r="H102" s="57">
        <f t="shared" ref="H102:N102" si="4">SUM(H59:H60)</f>
        <v>9455841</v>
      </c>
      <c r="I102" s="57">
        <f t="shared" si="4"/>
        <v>9506043</v>
      </c>
      <c r="J102" s="57">
        <f t="shared" si="4"/>
        <v>9075573</v>
      </c>
      <c r="K102" s="57">
        <f t="shared" si="4"/>
        <v>10216238</v>
      </c>
      <c r="L102" s="57">
        <f t="shared" si="4"/>
        <v>5450463</v>
      </c>
      <c r="M102" s="57">
        <f t="shared" si="4"/>
        <v>13876729</v>
      </c>
      <c r="N102" s="57">
        <f t="shared" si="4"/>
        <v>10666553</v>
      </c>
      <c r="O102" s="57">
        <f t="shared" ref="O102:R102" si="5">SUM(O59:O60)</f>
        <v>9471447</v>
      </c>
      <c r="P102" s="57">
        <f t="shared" si="5"/>
        <v>10620804</v>
      </c>
      <c r="Q102" s="57">
        <f t="shared" si="5"/>
        <v>11499564</v>
      </c>
      <c r="R102" s="57">
        <f t="shared" si="5"/>
        <v>10643548</v>
      </c>
    </row>
    <row r="103" spans="2:18" ht="15" customHeight="1" x14ac:dyDescent="0.15">
      <c r="E103" s="32" t="s">
        <v>2</v>
      </c>
      <c r="F103" s="57">
        <f>SUM(F61:F62)</f>
        <v>0</v>
      </c>
      <c r="G103" s="57">
        <f>SUM(G61:G62)</f>
        <v>0</v>
      </c>
      <c r="H103" s="57">
        <f t="shared" ref="H103:N103" si="6">SUM(H61:H62)</f>
        <v>0</v>
      </c>
      <c r="I103" s="57">
        <f t="shared" si="6"/>
        <v>0</v>
      </c>
      <c r="J103" s="57">
        <f t="shared" si="6"/>
        <v>0</v>
      </c>
      <c r="K103" s="57">
        <f t="shared" si="6"/>
        <v>0</v>
      </c>
      <c r="L103" s="57">
        <f t="shared" si="6"/>
        <v>0</v>
      </c>
      <c r="M103" s="57">
        <f t="shared" si="6"/>
        <v>0</v>
      </c>
      <c r="N103" s="57">
        <f t="shared" si="6"/>
        <v>0</v>
      </c>
      <c r="O103" s="57">
        <f t="shared" ref="O103:R103" si="7">SUM(O61:O62)</f>
        <v>0</v>
      </c>
      <c r="P103" s="57">
        <f t="shared" si="7"/>
        <v>0</v>
      </c>
      <c r="Q103" s="57">
        <f t="shared" si="7"/>
        <v>0</v>
      </c>
      <c r="R103" s="57">
        <f t="shared" si="7"/>
        <v>0</v>
      </c>
    </row>
    <row r="104" spans="2:18" ht="15" customHeight="1" x14ac:dyDescent="0.15">
      <c r="E104" s="32" t="s">
        <v>9</v>
      </c>
      <c r="F104" s="57">
        <f>SUM(F64:F65)</f>
        <v>0</v>
      </c>
      <c r="G104" s="57">
        <f>SUM(G64:G65)</f>
        <v>0</v>
      </c>
      <c r="H104" s="57">
        <f t="shared" ref="H104:N104" si="8">SUM(H64:H65)</f>
        <v>0</v>
      </c>
      <c r="I104" s="57">
        <f t="shared" si="8"/>
        <v>0</v>
      </c>
      <c r="J104" s="57">
        <f t="shared" si="8"/>
        <v>0</v>
      </c>
      <c r="K104" s="57">
        <f t="shared" si="8"/>
        <v>0</v>
      </c>
      <c r="L104" s="57">
        <f t="shared" si="8"/>
        <v>0</v>
      </c>
      <c r="M104" s="57">
        <f t="shared" si="8"/>
        <v>0</v>
      </c>
      <c r="N104" s="57">
        <f t="shared" si="8"/>
        <v>0</v>
      </c>
      <c r="O104" s="57">
        <f t="shared" ref="O104:R104" si="9">SUM(O64:O65)</f>
        <v>0</v>
      </c>
      <c r="P104" s="57">
        <f t="shared" si="9"/>
        <v>0</v>
      </c>
      <c r="Q104" s="57">
        <f t="shared" si="9"/>
        <v>0</v>
      </c>
      <c r="R104" s="57">
        <f t="shared" si="9"/>
        <v>0</v>
      </c>
    </row>
    <row r="105" spans="2:18" ht="15" customHeight="1" x14ac:dyDescent="0.15">
      <c r="E105" s="32" t="s">
        <v>7</v>
      </c>
      <c r="F105" s="57">
        <f>SUM(F67:F68)</f>
        <v>4779288</v>
      </c>
      <c r="G105" s="57">
        <f>SUM(G67:G68)</f>
        <v>291924</v>
      </c>
      <c r="H105" s="57">
        <f t="shared" ref="H105:N105" si="10">SUM(H67:H68)</f>
        <v>291924</v>
      </c>
      <c r="I105" s="57">
        <f t="shared" si="10"/>
        <v>376407</v>
      </c>
      <c r="J105" s="57">
        <f t="shared" si="10"/>
        <v>374112</v>
      </c>
      <c r="K105" s="57">
        <f t="shared" si="10"/>
        <v>373518</v>
      </c>
      <c r="L105" s="57">
        <f t="shared" si="10"/>
        <v>373518</v>
      </c>
      <c r="M105" s="57">
        <f t="shared" si="10"/>
        <v>373518</v>
      </c>
      <c r="N105" s="57">
        <f t="shared" si="10"/>
        <v>459468</v>
      </c>
      <c r="O105" s="57">
        <f t="shared" ref="O105:R105" si="11">SUM(O67:O68)</f>
        <v>523494</v>
      </c>
      <c r="P105" s="57">
        <f t="shared" si="11"/>
        <v>456786</v>
      </c>
      <c r="Q105" s="57">
        <f t="shared" si="11"/>
        <v>449064</v>
      </c>
      <c r="R105" s="57">
        <f t="shared" si="11"/>
        <v>435555</v>
      </c>
    </row>
    <row r="106" spans="2:18" ht="15" customHeight="1" x14ac:dyDescent="0.15">
      <c r="E106" s="32" t="s">
        <v>8</v>
      </c>
      <c r="F106" s="57">
        <f>SUM(F69:F70)</f>
        <v>0</v>
      </c>
      <c r="G106" s="57">
        <f>SUM(G69:G70)</f>
        <v>0</v>
      </c>
      <c r="H106" s="57">
        <f t="shared" ref="H106:N106" si="12">SUM(H69:H70)</f>
        <v>0</v>
      </c>
      <c r="I106" s="57">
        <f t="shared" si="12"/>
        <v>0</v>
      </c>
      <c r="J106" s="57">
        <f t="shared" si="12"/>
        <v>0</v>
      </c>
      <c r="K106" s="57">
        <f t="shared" si="12"/>
        <v>0</v>
      </c>
      <c r="L106" s="57">
        <f t="shared" si="12"/>
        <v>0</v>
      </c>
      <c r="M106" s="57">
        <f t="shared" si="12"/>
        <v>0</v>
      </c>
      <c r="N106" s="57">
        <f t="shared" si="12"/>
        <v>0</v>
      </c>
      <c r="O106" s="57">
        <f t="shared" ref="O106:R106" si="13">SUM(O69:O70)</f>
        <v>0</v>
      </c>
      <c r="P106" s="57">
        <f t="shared" si="13"/>
        <v>0</v>
      </c>
      <c r="Q106" s="57">
        <f t="shared" si="13"/>
        <v>0</v>
      </c>
      <c r="R106" s="57">
        <f t="shared" si="13"/>
        <v>0</v>
      </c>
    </row>
    <row r="107" spans="2:18" ht="15" customHeight="1" x14ac:dyDescent="0.15"/>
    <row r="108" spans="2:18" ht="15" customHeight="1" x14ac:dyDescent="0.15"/>
    <row r="109" spans="2:18" ht="15" customHeight="1" x14ac:dyDescent="0.15"/>
    <row r="110" spans="2:18" ht="15" customHeight="1" x14ac:dyDescent="0.15"/>
    <row r="111" spans="2:18" ht="15" customHeight="1" x14ac:dyDescent="0.15"/>
    <row r="112" spans="2:18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</sheetData>
  <mergeCells count="89">
    <mergeCell ref="D20:E20"/>
    <mergeCell ref="B7:E7"/>
    <mergeCell ref="B8:E8"/>
    <mergeCell ref="B9:E9"/>
    <mergeCell ref="B10:B48"/>
    <mergeCell ref="C10:E10"/>
    <mergeCell ref="C11:C24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35:E35"/>
    <mergeCell ref="D21:E21"/>
    <mergeCell ref="D22:E22"/>
    <mergeCell ref="D23:E23"/>
    <mergeCell ref="D24:E24"/>
    <mergeCell ref="C25:E25"/>
    <mergeCell ref="C26:C43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47:E47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8:E48"/>
    <mergeCell ref="D51:E51"/>
    <mergeCell ref="B52:E52"/>
    <mergeCell ref="B53:C70"/>
    <mergeCell ref="D53:E53"/>
    <mergeCell ref="D54:E54"/>
    <mergeCell ref="D55:E55"/>
    <mergeCell ref="D56:E56"/>
    <mergeCell ref="D57:E57"/>
    <mergeCell ref="D58:E58"/>
    <mergeCell ref="B72:C80"/>
    <mergeCell ref="D60:E60"/>
    <mergeCell ref="D61:E61"/>
    <mergeCell ref="D62:E62"/>
    <mergeCell ref="D64:E64"/>
    <mergeCell ref="D65:E65"/>
    <mergeCell ref="D66:E66"/>
    <mergeCell ref="D67:E67"/>
    <mergeCell ref="D68:E68"/>
    <mergeCell ref="D69:E69"/>
    <mergeCell ref="D70:E70"/>
    <mergeCell ref="B71:E71"/>
    <mergeCell ref="B81:E81"/>
    <mergeCell ref="B82:B99"/>
    <mergeCell ref="C82:E82"/>
    <mergeCell ref="C83:C86"/>
    <mergeCell ref="D83:E83"/>
    <mergeCell ref="D84:E84"/>
    <mergeCell ref="D85:E85"/>
    <mergeCell ref="D86:E86"/>
    <mergeCell ref="C87:E87"/>
    <mergeCell ref="C88:C91"/>
    <mergeCell ref="D97:E97"/>
    <mergeCell ref="D98:E98"/>
    <mergeCell ref="D99:E99"/>
    <mergeCell ref="D88:E88"/>
    <mergeCell ref="D89:E89"/>
    <mergeCell ref="D90:E90"/>
    <mergeCell ref="D91:E91"/>
    <mergeCell ref="C92:E92"/>
    <mergeCell ref="C93:C98"/>
    <mergeCell ref="D93:E93"/>
    <mergeCell ref="D94:E94"/>
    <mergeCell ref="D95:E95"/>
    <mergeCell ref="D96:E96"/>
  </mergeCells>
  <phoneticPr fontId="1"/>
  <conditionalFormatting sqref="H26">
    <cfRule type="expression" dxfId="8" priority="10" stopIfTrue="1">
      <formula>""</formula>
    </cfRule>
  </conditionalFormatting>
  <conditionalFormatting sqref="I26">
    <cfRule type="expression" dxfId="7" priority="9" stopIfTrue="1">
      <formula>""</formula>
    </cfRule>
  </conditionalFormatting>
  <conditionalFormatting sqref="J26">
    <cfRule type="expression" dxfId="6" priority="8" stopIfTrue="1">
      <formula>""</formula>
    </cfRule>
  </conditionalFormatting>
  <conditionalFormatting sqref="K26">
    <cfRule type="expression" dxfId="5" priority="7" stopIfTrue="1">
      <formula>""</formula>
    </cfRule>
  </conditionalFormatting>
  <conditionalFormatting sqref="L26">
    <cfRule type="expression" dxfId="4" priority="6" stopIfTrue="1">
      <formula>""</formula>
    </cfRule>
  </conditionalFormatting>
  <conditionalFormatting sqref="M26">
    <cfRule type="expression" dxfId="3" priority="4" stopIfTrue="1">
      <formula>""</formula>
    </cfRule>
  </conditionalFormatting>
  <conditionalFormatting sqref="N26">
    <cfRule type="expression" dxfId="2" priority="3" stopIfTrue="1">
      <formula>""</formula>
    </cfRule>
  </conditionalFormatting>
  <conditionalFormatting sqref="O26">
    <cfRule type="expression" dxfId="1" priority="2" stopIfTrue="1">
      <formula>""</formula>
    </cfRule>
  </conditionalFormatting>
  <conditionalFormatting sqref="P26">
    <cfRule type="expression" dxfId="0" priority="1" stopIfTrue="1">
      <formula>""</formula>
    </cfRule>
  </conditionalFormatting>
  <pageMargins left="1.1811023622047245" right="0" top="0" bottom="0" header="0.31496062992125984" footer="0.31496062992125984"/>
  <pageSetup paperSize="9" scale="46" orientation="portrait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S100"/>
  <sheetViews>
    <sheetView tabSelected="1" view="pageBreakPreview" topLeftCell="F1" zoomScaleNormal="100" zoomScaleSheetLayoutView="100" workbookViewId="0">
      <selection activeCell="L17" sqref="L17"/>
    </sheetView>
  </sheetViews>
  <sheetFormatPr defaultRowHeight="13.5" customHeight="1" x14ac:dyDescent="0.15"/>
  <cols>
    <col min="1" max="1" width="3" style="9" customWidth="1"/>
    <col min="2" max="4" width="3.625" style="9" customWidth="1"/>
    <col min="5" max="5" width="36.625" style="9" customWidth="1"/>
    <col min="6" max="6" width="7.625" style="9" customWidth="1"/>
    <col min="7" max="7" width="12.625" style="9" customWidth="1"/>
    <col min="8" max="9" width="10.125" style="9" customWidth="1"/>
    <col min="10" max="10" width="11.875" style="9" bestFit="1" customWidth="1"/>
    <col min="11" max="12" width="11.875" style="44" bestFit="1" customWidth="1"/>
    <col min="13" max="14" width="11.875" style="9" bestFit="1" customWidth="1"/>
    <col min="15" max="19" width="10.125" style="9" customWidth="1"/>
    <col min="20" max="16384" width="9" style="9"/>
  </cols>
  <sheetData>
    <row r="2" spans="2:19" ht="19.5" customHeight="1" x14ac:dyDescent="0.15">
      <c r="B2" s="33" t="s">
        <v>119</v>
      </c>
    </row>
    <row r="3" spans="2:19" ht="19.5" customHeight="1" x14ac:dyDescent="0.15">
      <c r="B3" s="45" t="s">
        <v>120</v>
      </c>
      <c r="H3" s="45"/>
      <c r="I3" s="45"/>
      <c r="O3" s="45"/>
      <c r="P3" s="45"/>
      <c r="Q3" s="45"/>
      <c r="R3" s="45"/>
      <c r="S3" s="45"/>
    </row>
    <row r="4" spans="2:19" ht="19.5" customHeight="1" x14ac:dyDescent="0.15">
      <c r="B4" s="9" t="s">
        <v>11</v>
      </c>
    </row>
    <row r="5" spans="2:19" ht="7.5" customHeight="1" x14ac:dyDescent="0.15"/>
    <row r="6" spans="2:19" ht="18.75" customHeight="1" x14ac:dyDescent="0.15">
      <c r="B6" s="105" t="s">
        <v>121</v>
      </c>
      <c r="C6" s="106"/>
      <c r="D6" s="106"/>
      <c r="E6" s="106"/>
      <c r="F6" s="107"/>
      <c r="G6" s="46" t="s">
        <v>122</v>
      </c>
      <c r="H6" s="38" t="s">
        <v>15</v>
      </c>
      <c r="I6" s="38" t="s">
        <v>16</v>
      </c>
      <c r="J6" s="38" t="s">
        <v>17</v>
      </c>
      <c r="K6" s="38" t="s">
        <v>18</v>
      </c>
      <c r="L6" s="38" t="s">
        <v>19</v>
      </c>
      <c r="M6" s="38" t="s">
        <v>20</v>
      </c>
      <c r="N6" s="38" t="s">
        <v>21</v>
      </c>
      <c r="O6" s="38" t="s">
        <v>22</v>
      </c>
      <c r="P6" s="38" t="s">
        <v>23</v>
      </c>
      <c r="Q6" s="38" t="s">
        <v>24</v>
      </c>
      <c r="R6" s="38" t="s">
        <v>25</v>
      </c>
      <c r="S6" s="38" t="s">
        <v>26</v>
      </c>
    </row>
    <row r="7" spans="2:19" ht="15" customHeight="1" x14ac:dyDescent="0.15">
      <c r="B7" s="113" t="s">
        <v>123</v>
      </c>
      <c r="C7" s="96" t="s">
        <v>124</v>
      </c>
      <c r="D7" s="96"/>
      <c r="E7" s="96"/>
      <c r="F7" s="96"/>
      <c r="G7" s="73">
        <f>SUM(H7:S7)</f>
        <v>51692990</v>
      </c>
      <c r="H7" s="47">
        <v>4486470</v>
      </c>
      <c r="I7" s="47">
        <v>4220930</v>
      </c>
      <c r="J7" s="48">
        <v>4415340</v>
      </c>
      <c r="K7" s="49">
        <v>4296680</v>
      </c>
      <c r="L7" s="49">
        <v>4272100</v>
      </c>
      <c r="M7" s="48">
        <v>4081620</v>
      </c>
      <c r="N7" s="48">
        <v>4130930</v>
      </c>
      <c r="O7" s="47">
        <v>4556263</v>
      </c>
      <c r="P7" s="47">
        <v>4308169</v>
      </c>
      <c r="Q7" s="47">
        <v>4737010</v>
      </c>
      <c r="R7" s="47">
        <v>4191331</v>
      </c>
      <c r="S7" s="47">
        <v>3996147</v>
      </c>
    </row>
    <row r="8" spans="2:19" ht="15" customHeight="1" x14ac:dyDescent="0.15">
      <c r="B8" s="114"/>
      <c r="C8" s="27"/>
      <c r="D8" s="29"/>
      <c r="E8" s="29"/>
      <c r="F8" s="22" t="s">
        <v>125</v>
      </c>
      <c r="G8" s="73">
        <f t="shared" ref="G8:G57" si="0">SUM(H8:S8)</f>
        <v>34073911</v>
      </c>
      <c r="H8" s="47">
        <v>3024140</v>
      </c>
      <c r="I8" s="47">
        <v>2845510</v>
      </c>
      <c r="J8" s="48">
        <v>2908960</v>
      </c>
      <c r="K8" s="49">
        <v>2836630</v>
      </c>
      <c r="L8" s="49">
        <v>2828720</v>
      </c>
      <c r="M8" s="48">
        <v>2746120</v>
      </c>
      <c r="N8" s="48">
        <v>2758360</v>
      </c>
      <c r="O8" s="47">
        <v>2966885</v>
      </c>
      <c r="P8" s="47">
        <v>2793063</v>
      </c>
      <c r="Q8" s="47">
        <v>3048257</v>
      </c>
      <c r="R8" s="47">
        <v>2739222</v>
      </c>
      <c r="S8" s="47">
        <v>2578044</v>
      </c>
    </row>
    <row r="9" spans="2:19" ht="15" customHeight="1" x14ac:dyDescent="0.15">
      <c r="B9" s="114"/>
      <c r="C9" s="30"/>
      <c r="D9" s="31"/>
      <c r="E9" s="31"/>
      <c r="F9" s="22" t="s">
        <v>126</v>
      </c>
      <c r="G9" s="73">
        <f t="shared" si="0"/>
        <v>17619079</v>
      </c>
      <c r="H9" s="47">
        <v>1462330</v>
      </c>
      <c r="I9" s="47">
        <v>1375420</v>
      </c>
      <c r="J9" s="48">
        <v>1506380</v>
      </c>
      <c r="K9" s="49">
        <v>1460050</v>
      </c>
      <c r="L9" s="49">
        <v>1443380</v>
      </c>
      <c r="M9" s="48">
        <v>1335500</v>
      </c>
      <c r="N9" s="48">
        <v>1372570</v>
      </c>
      <c r="O9" s="47">
        <v>1589378</v>
      </c>
      <c r="P9" s="47">
        <v>1515106</v>
      </c>
      <c r="Q9" s="47">
        <v>1688753</v>
      </c>
      <c r="R9" s="47">
        <v>1452109</v>
      </c>
      <c r="S9" s="47">
        <v>1418103</v>
      </c>
    </row>
    <row r="10" spans="2:19" ht="15" customHeight="1" x14ac:dyDescent="0.15">
      <c r="B10" s="114"/>
      <c r="C10" s="20" t="s">
        <v>127</v>
      </c>
      <c r="D10" s="28"/>
      <c r="E10" s="28"/>
      <c r="F10" s="10"/>
      <c r="G10" s="73">
        <f t="shared" si="0"/>
        <v>2352168</v>
      </c>
      <c r="H10" s="47">
        <v>249180</v>
      </c>
      <c r="I10" s="47">
        <v>171630</v>
      </c>
      <c r="J10" s="48">
        <v>215920</v>
      </c>
      <c r="K10" s="49">
        <v>165780</v>
      </c>
      <c r="L10" s="49">
        <v>135700</v>
      </c>
      <c r="M10" s="48">
        <v>178010</v>
      </c>
      <c r="N10" s="48">
        <v>190900</v>
      </c>
      <c r="O10" s="47">
        <v>196063</v>
      </c>
      <c r="P10" s="47">
        <v>184140</v>
      </c>
      <c r="Q10" s="47">
        <v>274829</v>
      </c>
      <c r="R10" s="47">
        <v>204489</v>
      </c>
      <c r="S10" s="47">
        <v>185527</v>
      </c>
    </row>
    <row r="11" spans="2:19" ht="15" customHeight="1" x14ac:dyDescent="0.15">
      <c r="B11" s="114"/>
      <c r="C11" s="27"/>
      <c r="D11" s="29"/>
      <c r="E11" s="29"/>
      <c r="F11" s="22" t="s">
        <v>125</v>
      </c>
      <c r="G11" s="73">
        <f t="shared" si="0"/>
        <v>1361581</v>
      </c>
      <c r="H11" s="47">
        <v>137420</v>
      </c>
      <c r="I11" s="47">
        <v>95680</v>
      </c>
      <c r="J11" s="48">
        <v>124520</v>
      </c>
      <c r="K11" s="49">
        <v>92280</v>
      </c>
      <c r="L11" s="49">
        <v>71970</v>
      </c>
      <c r="M11" s="48">
        <v>128890</v>
      </c>
      <c r="N11" s="48">
        <v>108850</v>
      </c>
      <c r="O11" s="47">
        <v>116965</v>
      </c>
      <c r="P11" s="47">
        <v>98121</v>
      </c>
      <c r="Q11" s="47">
        <v>158143</v>
      </c>
      <c r="R11" s="47">
        <v>124104</v>
      </c>
      <c r="S11" s="47">
        <v>104638</v>
      </c>
    </row>
    <row r="12" spans="2:19" ht="15" customHeight="1" x14ac:dyDescent="0.15">
      <c r="B12" s="114"/>
      <c r="C12" s="27"/>
      <c r="D12" s="29"/>
      <c r="E12" s="29"/>
      <c r="F12" s="22" t="s">
        <v>128</v>
      </c>
      <c r="G12" s="73">
        <f t="shared" si="0"/>
        <v>990587</v>
      </c>
      <c r="H12" s="47">
        <v>111760</v>
      </c>
      <c r="I12" s="47">
        <v>75950</v>
      </c>
      <c r="J12" s="48">
        <v>91400</v>
      </c>
      <c r="K12" s="49">
        <v>73500</v>
      </c>
      <c r="L12" s="49">
        <v>63730</v>
      </c>
      <c r="M12" s="48">
        <v>49120</v>
      </c>
      <c r="N12" s="48">
        <v>82050</v>
      </c>
      <c r="O12" s="47">
        <v>79098</v>
      </c>
      <c r="P12" s="47">
        <v>86019</v>
      </c>
      <c r="Q12" s="47">
        <v>116686</v>
      </c>
      <c r="R12" s="47">
        <v>80385</v>
      </c>
      <c r="S12" s="47">
        <v>80889</v>
      </c>
    </row>
    <row r="13" spans="2:19" ht="15" customHeight="1" x14ac:dyDescent="0.15">
      <c r="B13" s="114"/>
      <c r="C13" s="11"/>
      <c r="D13" s="78" t="s">
        <v>129</v>
      </c>
      <c r="E13" s="85"/>
      <c r="F13" s="12"/>
      <c r="G13" s="73">
        <f t="shared" si="0"/>
        <v>2157259</v>
      </c>
      <c r="H13" s="47">
        <v>236300</v>
      </c>
      <c r="I13" s="47">
        <v>148170</v>
      </c>
      <c r="J13" s="48">
        <v>178790</v>
      </c>
      <c r="K13" s="49">
        <v>146460</v>
      </c>
      <c r="L13" s="49">
        <v>118990</v>
      </c>
      <c r="M13" s="48">
        <v>178010</v>
      </c>
      <c r="N13" s="48">
        <v>174980</v>
      </c>
      <c r="O13" s="47">
        <v>164384</v>
      </c>
      <c r="P13" s="47">
        <v>176598</v>
      </c>
      <c r="Q13" s="47">
        <v>258399</v>
      </c>
      <c r="R13" s="47">
        <v>190651</v>
      </c>
      <c r="S13" s="47">
        <v>185527</v>
      </c>
    </row>
    <row r="14" spans="2:19" ht="15" customHeight="1" x14ac:dyDescent="0.15">
      <c r="B14" s="114"/>
      <c r="C14" s="11"/>
      <c r="D14" s="88"/>
      <c r="E14" s="110"/>
      <c r="F14" s="22" t="s">
        <v>125</v>
      </c>
      <c r="G14" s="73">
        <f t="shared" si="0"/>
        <v>1197085</v>
      </c>
      <c r="H14" s="47">
        <v>124540</v>
      </c>
      <c r="I14" s="47">
        <v>78970</v>
      </c>
      <c r="J14" s="48">
        <v>98220</v>
      </c>
      <c r="K14" s="49">
        <v>78140</v>
      </c>
      <c r="L14" s="49">
        <v>58890</v>
      </c>
      <c r="M14" s="48">
        <v>128890</v>
      </c>
      <c r="N14" s="48">
        <v>94250</v>
      </c>
      <c r="O14" s="47">
        <v>86999</v>
      </c>
      <c r="P14" s="47">
        <v>91569</v>
      </c>
      <c r="Q14" s="47">
        <v>141713</v>
      </c>
      <c r="R14" s="47">
        <v>110266</v>
      </c>
      <c r="S14" s="47">
        <v>104638</v>
      </c>
    </row>
    <row r="15" spans="2:19" ht="15" customHeight="1" x14ac:dyDescent="0.15">
      <c r="B15" s="114"/>
      <c r="C15" s="11"/>
      <c r="D15" s="111"/>
      <c r="E15" s="112"/>
      <c r="F15" s="22" t="s">
        <v>128</v>
      </c>
      <c r="G15" s="73">
        <f t="shared" si="0"/>
        <v>960174</v>
      </c>
      <c r="H15" s="47">
        <v>111760</v>
      </c>
      <c r="I15" s="47">
        <v>69200</v>
      </c>
      <c r="J15" s="48">
        <v>80570</v>
      </c>
      <c r="K15" s="49">
        <v>68320</v>
      </c>
      <c r="L15" s="49">
        <v>60100</v>
      </c>
      <c r="M15" s="48">
        <v>49120</v>
      </c>
      <c r="N15" s="48">
        <v>80730</v>
      </c>
      <c r="O15" s="47">
        <v>77385</v>
      </c>
      <c r="P15" s="47">
        <v>85029</v>
      </c>
      <c r="Q15" s="47">
        <v>116686</v>
      </c>
      <c r="R15" s="47">
        <v>80385</v>
      </c>
      <c r="S15" s="47">
        <v>80889</v>
      </c>
    </row>
    <row r="16" spans="2:19" ht="15" customHeight="1" x14ac:dyDescent="0.15">
      <c r="B16" s="114"/>
      <c r="C16" s="11"/>
      <c r="D16" s="78" t="s">
        <v>130</v>
      </c>
      <c r="E16" s="85"/>
      <c r="F16" s="25"/>
      <c r="G16" s="73">
        <f t="shared" si="0"/>
        <v>194909</v>
      </c>
      <c r="H16" s="47">
        <v>12880</v>
      </c>
      <c r="I16" s="47">
        <v>23460</v>
      </c>
      <c r="J16" s="48">
        <v>37130</v>
      </c>
      <c r="K16" s="49">
        <v>19320</v>
      </c>
      <c r="L16" s="49">
        <v>16710</v>
      </c>
      <c r="M16" s="48">
        <v>0</v>
      </c>
      <c r="N16" s="48">
        <v>15920</v>
      </c>
      <c r="O16" s="47">
        <v>31679</v>
      </c>
      <c r="P16" s="47">
        <v>7542</v>
      </c>
      <c r="Q16" s="47">
        <v>16430</v>
      </c>
      <c r="R16" s="47">
        <v>13838</v>
      </c>
      <c r="S16" s="47">
        <v>0</v>
      </c>
    </row>
    <row r="17" spans="2:19" ht="15" customHeight="1" x14ac:dyDescent="0.15">
      <c r="B17" s="114"/>
      <c r="C17" s="11"/>
      <c r="D17" s="88"/>
      <c r="E17" s="110"/>
      <c r="F17" s="22" t="s">
        <v>125</v>
      </c>
      <c r="G17" s="73">
        <f t="shared" si="0"/>
        <v>164496</v>
      </c>
      <c r="H17" s="47">
        <v>12880</v>
      </c>
      <c r="I17" s="47">
        <v>16710</v>
      </c>
      <c r="J17" s="48">
        <v>26300</v>
      </c>
      <c r="K17" s="49">
        <v>14140</v>
      </c>
      <c r="L17" s="49">
        <v>13080</v>
      </c>
      <c r="M17" s="48">
        <v>0</v>
      </c>
      <c r="N17" s="48">
        <v>14600</v>
      </c>
      <c r="O17" s="47">
        <v>29966</v>
      </c>
      <c r="P17" s="47">
        <v>6552</v>
      </c>
      <c r="Q17" s="47">
        <v>16430</v>
      </c>
      <c r="R17" s="47">
        <v>13838</v>
      </c>
      <c r="S17" s="47">
        <v>0</v>
      </c>
    </row>
    <row r="18" spans="2:19" ht="15" customHeight="1" x14ac:dyDescent="0.15">
      <c r="B18" s="114"/>
      <c r="C18" s="11"/>
      <c r="D18" s="111"/>
      <c r="E18" s="112"/>
      <c r="F18" s="22" t="s">
        <v>128</v>
      </c>
      <c r="G18" s="73">
        <f t="shared" si="0"/>
        <v>30413</v>
      </c>
      <c r="H18" s="47">
        <v>0</v>
      </c>
      <c r="I18" s="47">
        <v>6750</v>
      </c>
      <c r="J18" s="48">
        <v>10830</v>
      </c>
      <c r="K18" s="49">
        <v>5180</v>
      </c>
      <c r="L18" s="49">
        <v>3630</v>
      </c>
      <c r="M18" s="48">
        <v>0</v>
      </c>
      <c r="N18" s="48">
        <v>1320</v>
      </c>
      <c r="O18" s="47">
        <v>1713</v>
      </c>
      <c r="P18" s="47">
        <v>990</v>
      </c>
      <c r="Q18" s="47">
        <v>0</v>
      </c>
      <c r="R18" s="47">
        <v>0</v>
      </c>
      <c r="S18" s="47">
        <v>0</v>
      </c>
    </row>
    <row r="19" spans="2:19" ht="15" customHeight="1" x14ac:dyDescent="0.15">
      <c r="B19" s="114"/>
      <c r="C19" s="11"/>
      <c r="D19" s="116" t="s">
        <v>131</v>
      </c>
      <c r="E19" s="117"/>
      <c r="F19" s="25"/>
      <c r="G19" s="73">
        <f t="shared" si="0"/>
        <v>0</v>
      </c>
      <c r="H19" s="47">
        <v>0</v>
      </c>
      <c r="I19" s="47">
        <v>0</v>
      </c>
      <c r="J19" s="48">
        <v>0</v>
      </c>
      <c r="K19" s="49">
        <v>0</v>
      </c>
      <c r="L19" s="49">
        <v>0</v>
      </c>
      <c r="M19" s="48">
        <v>0</v>
      </c>
      <c r="N19" s="48">
        <v>0</v>
      </c>
      <c r="O19" s="47">
        <v>0</v>
      </c>
      <c r="P19" s="47">
        <v>0</v>
      </c>
      <c r="Q19" s="47">
        <v>0</v>
      </c>
      <c r="R19" s="47">
        <v>0</v>
      </c>
      <c r="S19" s="47">
        <v>0</v>
      </c>
    </row>
    <row r="20" spans="2:19" ht="15" customHeight="1" x14ac:dyDescent="0.15">
      <c r="B20" s="114"/>
      <c r="C20" s="11"/>
      <c r="D20" s="118"/>
      <c r="E20" s="119"/>
      <c r="F20" s="22" t="s">
        <v>125</v>
      </c>
      <c r="G20" s="73">
        <f t="shared" si="0"/>
        <v>0</v>
      </c>
      <c r="H20" s="47">
        <v>0</v>
      </c>
      <c r="I20" s="47">
        <v>0</v>
      </c>
      <c r="J20" s="48">
        <v>0</v>
      </c>
      <c r="K20" s="49">
        <v>0</v>
      </c>
      <c r="L20" s="49">
        <v>0</v>
      </c>
      <c r="M20" s="48">
        <v>0</v>
      </c>
      <c r="N20" s="48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</row>
    <row r="21" spans="2:19" ht="15" customHeight="1" x14ac:dyDescent="0.15">
      <c r="B21" s="114"/>
      <c r="C21" s="11"/>
      <c r="D21" s="120"/>
      <c r="E21" s="121"/>
      <c r="F21" s="22" t="s">
        <v>128</v>
      </c>
      <c r="G21" s="73">
        <f t="shared" si="0"/>
        <v>0</v>
      </c>
      <c r="H21" s="47">
        <v>0</v>
      </c>
      <c r="I21" s="47">
        <v>0</v>
      </c>
      <c r="J21" s="48">
        <v>0</v>
      </c>
      <c r="K21" s="49">
        <v>0</v>
      </c>
      <c r="L21" s="49">
        <v>0</v>
      </c>
      <c r="M21" s="48">
        <v>0</v>
      </c>
      <c r="N21" s="48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</row>
    <row r="22" spans="2:19" ht="15" customHeight="1" x14ac:dyDescent="0.15">
      <c r="B22" s="114"/>
      <c r="C22" s="11"/>
      <c r="D22" s="78" t="s">
        <v>132</v>
      </c>
      <c r="E22" s="85"/>
      <c r="F22" s="25"/>
      <c r="G22" s="73">
        <f t="shared" si="0"/>
        <v>0</v>
      </c>
      <c r="H22" s="47">
        <v>0</v>
      </c>
      <c r="I22" s="47">
        <v>0</v>
      </c>
      <c r="J22" s="48">
        <v>0</v>
      </c>
      <c r="K22" s="49">
        <v>0</v>
      </c>
      <c r="L22" s="49">
        <v>0</v>
      </c>
      <c r="M22" s="48">
        <v>0</v>
      </c>
      <c r="N22" s="48">
        <v>0</v>
      </c>
      <c r="O22" s="47">
        <v>0</v>
      </c>
      <c r="P22" s="47">
        <v>0</v>
      </c>
      <c r="Q22" s="47">
        <v>0</v>
      </c>
      <c r="R22" s="47">
        <v>0</v>
      </c>
      <c r="S22" s="47">
        <v>0</v>
      </c>
    </row>
    <row r="23" spans="2:19" ht="15" customHeight="1" x14ac:dyDescent="0.15">
      <c r="B23" s="114"/>
      <c r="C23" s="11"/>
      <c r="D23" s="88"/>
      <c r="E23" s="110"/>
      <c r="F23" s="22" t="s">
        <v>125</v>
      </c>
      <c r="G23" s="73">
        <f t="shared" si="0"/>
        <v>0</v>
      </c>
      <c r="H23" s="47">
        <v>0</v>
      </c>
      <c r="I23" s="47">
        <v>0</v>
      </c>
      <c r="J23" s="48">
        <v>0</v>
      </c>
      <c r="K23" s="49">
        <v>0</v>
      </c>
      <c r="L23" s="49">
        <v>0</v>
      </c>
      <c r="M23" s="48">
        <v>0</v>
      </c>
      <c r="N23" s="48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</row>
    <row r="24" spans="2:19" ht="15" customHeight="1" x14ac:dyDescent="0.15">
      <c r="B24" s="114"/>
      <c r="C24" s="11"/>
      <c r="D24" s="111"/>
      <c r="E24" s="112"/>
      <c r="F24" s="22" t="s">
        <v>128</v>
      </c>
      <c r="G24" s="73">
        <f t="shared" si="0"/>
        <v>0</v>
      </c>
      <c r="H24" s="47">
        <v>0</v>
      </c>
      <c r="I24" s="47">
        <v>0</v>
      </c>
      <c r="J24" s="48">
        <v>0</v>
      </c>
      <c r="K24" s="49">
        <v>0</v>
      </c>
      <c r="L24" s="49">
        <v>0</v>
      </c>
      <c r="M24" s="48">
        <v>0</v>
      </c>
      <c r="N24" s="48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</row>
    <row r="25" spans="2:19" ht="15" customHeight="1" x14ac:dyDescent="0.15">
      <c r="B25" s="114"/>
      <c r="C25" s="11"/>
      <c r="D25" s="78" t="s">
        <v>133</v>
      </c>
      <c r="E25" s="85"/>
      <c r="F25" s="12"/>
      <c r="G25" s="73">
        <f t="shared" si="0"/>
        <v>0</v>
      </c>
      <c r="H25" s="47">
        <v>0</v>
      </c>
      <c r="I25" s="47">
        <v>0</v>
      </c>
      <c r="J25" s="48">
        <v>0</v>
      </c>
      <c r="K25" s="49">
        <v>0</v>
      </c>
      <c r="L25" s="49">
        <v>0</v>
      </c>
      <c r="M25" s="48">
        <v>0</v>
      </c>
      <c r="N25" s="48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</row>
    <row r="26" spans="2:19" ht="15" customHeight="1" x14ac:dyDescent="0.15">
      <c r="B26" s="114"/>
      <c r="C26" s="11"/>
      <c r="D26" s="88"/>
      <c r="E26" s="110"/>
      <c r="F26" s="22" t="s">
        <v>125</v>
      </c>
      <c r="G26" s="73">
        <f t="shared" si="0"/>
        <v>0</v>
      </c>
      <c r="H26" s="47">
        <v>0</v>
      </c>
      <c r="I26" s="47">
        <v>0</v>
      </c>
      <c r="J26" s="48">
        <v>0</v>
      </c>
      <c r="K26" s="49">
        <v>0</v>
      </c>
      <c r="L26" s="49">
        <v>0</v>
      </c>
      <c r="M26" s="48">
        <v>0</v>
      </c>
      <c r="N26" s="48">
        <v>0</v>
      </c>
      <c r="O26" s="47">
        <v>0</v>
      </c>
      <c r="P26" s="47">
        <v>0</v>
      </c>
      <c r="Q26" s="47">
        <v>0</v>
      </c>
      <c r="R26" s="47">
        <v>0</v>
      </c>
      <c r="S26" s="47">
        <v>0</v>
      </c>
    </row>
    <row r="27" spans="2:19" ht="15" customHeight="1" x14ac:dyDescent="0.15">
      <c r="B27" s="114"/>
      <c r="C27" s="11"/>
      <c r="D27" s="111"/>
      <c r="E27" s="112"/>
      <c r="F27" s="22" t="s">
        <v>128</v>
      </c>
      <c r="G27" s="73">
        <f t="shared" si="0"/>
        <v>0</v>
      </c>
      <c r="H27" s="47">
        <v>0</v>
      </c>
      <c r="I27" s="47">
        <v>0</v>
      </c>
      <c r="J27" s="48">
        <v>0</v>
      </c>
      <c r="K27" s="49">
        <v>0</v>
      </c>
      <c r="L27" s="49">
        <v>0</v>
      </c>
      <c r="M27" s="48">
        <v>0</v>
      </c>
      <c r="N27" s="48">
        <v>0</v>
      </c>
      <c r="O27" s="47">
        <v>0</v>
      </c>
      <c r="P27" s="47">
        <v>0</v>
      </c>
      <c r="Q27" s="47">
        <v>0</v>
      </c>
      <c r="R27" s="47">
        <v>0</v>
      </c>
      <c r="S27" s="47">
        <v>0</v>
      </c>
    </row>
    <row r="28" spans="2:19" ht="15" customHeight="1" x14ac:dyDescent="0.15">
      <c r="B28" s="114"/>
      <c r="C28" s="11"/>
      <c r="D28" s="116" t="s">
        <v>134</v>
      </c>
      <c r="E28" s="117"/>
      <c r="F28" s="25"/>
      <c r="G28" s="73">
        <f t="shared" si="0"/>
        <v>0</v>
      </c>
      <c r="H28" s="47">
        <v>0</v>
      </c>
      <c r="I28" s="47">
        <v>0</v>
      </c>
      <c r="J28" s="48">
        <v>0</v>
      </c>
      <c r="K28" s="49">
        <v>0</v>
      </c>
      <c r="L28" s="49">
        <v>0</v>
      </c>
      <c r="M28" s="48">
        <v>0</v>
      </c>
      <c r="N28" s="48">
        <v>0</v>
      </c>
      <c r="O28" s="47">
        <v>0</v>
      </c>
      <c r="P28" s="47">
        <v>0</v>
      </c>
      <c r="Q28" s="47">
        <v>0</v>
      </c>
      <c r="R28" s="47">
        <v>0</v>
      </c>
      <c r="S28" s="47">
        <v>0</v>
      </c>
    </row>
    <row r="29" spans="2:19" ht="15" customHeight="1" x14ac:dyDescent="0.15">
      <c r="B29" s="114"/>
      <c r="C29" s="11"/>
      <c r="D29" s="118"/>
      <c r="E29" s="119"/>
      <c r="F29" s="22" t="s">
        <v>125</v>
      </c>
      <c r="G29" s="73">
        <f t="shared" si="0"/>
        <v>0</v>
      </c>
      <c r="H29" s="47">
        <v>0</v>
      </c>
      <c r="I29" s="47">
        <v>0</v>
      </c>
      <c r="J29" s="48">
        <v>0</v>
      </c>
      <c r="K29" s="49">
        <v>0</v>
      </c>
      <c r="L29" s="49">
        <v>0</v>
      </c>
      <c r="M29" s="48">
        <v>0</v>
      </c>
      <c r="N29" s="48">
        <v>0</v>
      </c>
      <c r="O29" s="47">
        <v>0</v>
      </c>
      <c r="P29" s="47">
        <v>0</v>
      </c>
      <c r="Q29" s="47">
        <v>0</v>
      </c>
      <c r="R29" s="47">
        <v>0</v>
      </c>
      <c r="S29" s="47">
        <v>0</v>
      </c>
    </row>
    <row r="30" spans="2:19" ht="15" customHeight="1" x14ac:dyDescent="0.15">
      <c r="B30" s="114"/>
      <c r="C30" s="11"/>
      <c r="D30" s="120"/>
      <c r="E30" s="121"/>
      <c r="F30" s="22" t="s">
        <v>128</v>
      </c>
      <c r="G30" s="73">
        <f t="shared" si="0"/>
        <v>0</v>
      </c>
      <c r="H30" s="47">
        <v>0</v>
      </c>
      <c r="I30" s="47">
        <v>0</v>
      </c>
      <c r="J30" s="48">
        <v>0</v>
      </c>
      <c r="K30" s="49">
        <v>0</v>
      </c>
      <c r="L30" s="49">
        <v>0</v>
      </c>
      <c r="M30" s="48">
        <v>0</v>
      </c>
      <c r="N30" s="48">
        <v>0</v>
      </c>
      <c r="O30" s="47">
        <v>0</v>
      </c>
      <c r="P30" s="47">
        <v>0</v>
      </c>
      <c r="Q30" s="47">
        <v>0</v>
      </c>
      <c r="R30" s="47">
        <v>0</v>
      </c>
      <c r="S30" s="47">
        <v>0</v>
      </c>
    </row>
    <row r="31" spans="2:19" ht="15" customHeight="1" x14ac:dyDescent="0.15">
      <c r="B31" s="114"/>
      <c r="C31" s="11"/>
      <c r="D31" s="116" t="s">
        <v>135</v>
      </c>
      <c r="E31" s="117"/>
      <c r="F31" s="25"/>
      <c r="G31" s="73">
        <f t="shared" si="0"/>
        <v>0</v>
      </c>
      <c r="H31" s="47">
        <v>0</v>
      </c>
      <c r="I31" s="47">
        <v>0</v>
      </c>
      <c r="J31" s="48">
        <v>0</v>
      </c>
      <c r="K31" s="49">
        <v>0</v>
      </c>
      <c r="L31" s="49">
        <v>0</v>
      </c>
      <c r="M31" s="48">
        <v>0</v>
      </c>
      <c r="N31" s="48">
        <v>0</v>
      </c>
      <c r="O31" s="47">
        <v>0</v>
      </c>
      <c r="P31" s="47">
        <v>0</v>
      </c>
      <c r="Q31" s="47">
        <v>0</v>
      </c>
      <c r="R31" s="47">
        <v>0</v>
      </c>
      <c r="S31" s="47">
        <v>0</v>
      </c>
    </row>
    <row r="32" spans="2:19" ht="15" customHeight="1" x14ac:dyDescent="0.15">
      <c r="B32" s="114"/>
      <c r="C32" s="11"/>
      <c r="D32" s="118"/>
      <c r="E32" s="119"/>
      <c r="F32" s="22" t="s">
        <v>125</v>
      </c>
      <c r="G32" s="73">
        <f t="shared" si="0"/>
        <v>0</v>
      </c>
      <c r="H32" s="47">
        <v>0</v>
      </c>
      <c r="I32" s="47">
        <v>0</v>
      </c>
      <c r="J32" s="48">
        <v>0</v>
      </c>
      <c r="K32" s="49">
        <v>0</v>
      </c>
      <c r="L32" s="49">
        <v>0</v>
      </c>
      <c r="M32" s="48">
        <v>0</v>
      </c>
      <c r="N32" s="48">
        <v>0</v>
      </c>
      <c r="O32" s="47">
        <v>0</v>
      </c>
      <c r="P32" s="47">
        <v>0</v>
      </c>
      <c r="Q32" s="47">
        <v>0</v>
      </c>
      <c r="R32" s="47">
        <v>0</v>
      </c>
      <c r="S32" s="47">
        <v>0</v>
      </c>
    </row>
    <row r="33" spans="2:19" ht="15" customHeight="1" x14ac:dyDescent="0.15">
      <c r="B33" s="114"/>
      <c r="C33" s="11"/>
      <c r="D33" s="120"/>
      <c r="E33" s="121"/>
      <c r="F33" s="22" t="s">
        <v>128</v>
      </c>
      <c r="G33" s="73">
        <f t="shared" si="0"/>
        <v>0</v>
      </c>
      <c r="H33" s="47">
        <v>0</v>
      </c>
      <c r="I33" s="47">
        <v>0</v>
      </c>
      <c r="J33" s="48">
        <v>0</v>
      </c>
      <c r="K33" s="49">
        <v>0</v>
      </c>
      <c r="L33" s="49">
        <v>0</v>
      </c>
      <c r="M33" s="48">
        <v>0</v>
      </c>
      <c r="N33" s="48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</row>
    <row r="34" spans="2:19" ht="15" customHeight="1" x14ac:dyDescent="0.15">
      <c r="B34" s="114"/>
      <c r="C34" s="11"/>
      <c r="D34" s="116" t="s">
        <v>136</v>
      </c>
      <c r="E34" s="117"/>
      <c r="F34" s="25"/>
      <c r="G34" s="73">
        <f t="shared" si="0"/>
        <v>0</v>
      </c>
      <c r="H34" s="47">
        <v>0</v>
      </c>
      <c r="I34" s="47">
        <v>0</v>
      </c>
      <c r="J34" s="48">
        <v>0</v>
      </c>
      <c r="K34" s="49">
        <v>0</v>
      </c>
      <c r="L34" s="49">
        <v>0</v>
      </c>
      <c r="M34" s="48">
        <v>0</v>
      </c>
      <c r="N34" s="48">
        <v>0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</row>
    <row r="35" spans="2:19" ht="15" customHeight="1" x14ac:dyDescent="0.15">
      <c r="B35" s="114"/>
      <c r="C35" s="11"/>
      <c r="D35" s="118"/>
      <c r="E35" s="119"/>
      <c r="F35" s="22" t="s">
        <v>125</v>
      </c>
      <c r="G35" s="73">
        <f t="shared" si="0"/>
        <v>0</v>
      </c>
      <c r="H35" s="47">
        <v>0</v>
      </c>
      <c r="I35" s="47">
        <v>0</v>
      </c>
      <c r="J35" s="48">
        <v>0</v>
      </c>
      <c r="K35" s="49">
        <v>0</v>
      </c>
      <c r="L35" s="49">
        <v>0</v>
      </c>
      <c r="M35" s="48">
        <v>0</v>
      </c>
      <c r="N35" s="48">
        <v>0</v>
      </c>
      <c r="O35" s="47">
        <v>0</v>
      </c>
      <c r="P35" s="47">
        <v>0</v>
      </c>
      <c r="Q35" s="47">
        <v>0</v>
      </c>
      <c r="R35" s="47">
        <v>0</v>
      </c>
      <c r="S35" s="47">
        <v>0</v>
      </c>
    </row>
    <row r="36" spans="2:19" ht="15" customHeight="1" x14ac:dyDescent="0.15">
      <c r="B36" s="114"/>
      <c r="C36" s="13"/>
      <c r="D36" s="120"/>
      <c r="E36" s="121"/>
      <c r="F36" s="22" t="s">
        <v>128</v>
      </c>
      <c r="G36" s="73">
        <f t="shared" si="0"/>
        <v>0</v>
      </c>
      <c r="H36" s="47">
        <v>0</v>
      </c>
      <c r="I36" s="47">
        <v>0</v>
      </c>
      <c r="J36" s="48">
        <v>0</v>
      </c>
      <c r="K36" s="49">
        <v>0</v>
      </c>
      <c r="L36" s="49">
        <v>0</v>
      </c>
      <c r="M36" s="48">
        <v>0</v>
      </c>
      <c r="N36" s="48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</row>
    <row r="37" spans="2:19" ht="15" customHeight="1" x14ac:dyDescent="0.15">
      <c r="B37" s="114"/>
      <c r="C37" s="23" t="s">
        <v>137</v>
      </c>
      <c r="D37" s="20"/>
      <c r="E37" s="28"/>
      <c r="F37" s="25"/>
      <c r="G37" s="73">
        <f t="shared" si="0"/>
        <v>11525498</v>
      </c>
      <c r="H37" s="47">
        <v>858490</v>
      </c>
      <c r="I37" s="47">
        <v>777000</v>
      </c>
      <c r="J37" s="48">
        <v>885980</v>
      </c>
      <c r="K37" s="49">
        <v>876330</v>
      </c>
      <c r="L37" s="49">
        <v>823710</v>
      </c>
      <c r="M37" s="48">
        <v>762330</v>
      </c>
      <c r="N37" s="48">
        <v>801220</v>
      </c>
      <c r="O37" s="47">
        <v>1086640</v>
      </c>
      <c r="P37" s="47">
        <v>1107934</v>
      </c>
      <c r="Q37" s="47">
        <v>1331313</v>
      </c>
      <c r="R37" s="47">
        <v>1078083</v>
      </c>
      <c r="S37" s="47">
        <v>1136468</v>
      </c>
    </row>
    <row r="38" spans="2:19" ht="15" customHeight="1" x14ac:dyDescent="0.15">
      <c r="B38" s="114"/>
      <c r="C38" s="27"/>
      <c r="D38" s="29"/>
      <c r="E38" s="29"/>
      <c r="F38" s="22" t="s">
        <v>125</v>
      </c>
      <c r="G38" s="73">
        <f t="shared" si="0"/>
        <v>7169386</v>
      </c>
      <c r="H38" s="47">
        <v>552200</v>
      </c>
      <c r="I38" s="47">
        <v>504870</v>
      </c>
      <c r="J38" s="48">
        <v>580010</v>
      </c>
      <c r="K38" s="49">
        <v>570830</v>
      </c>
      <c r="L38" s="49">
        <v>535600</v>
      </c>
      <c r="M38" s="48">
        <v>493960</v>
      </c>
      <c r="N38" s="48">
        <v>522980</v>
      </c>
      <c r="O38" s="47">
        <v>670828</v>
      </c>
      <c r="P38" s="47">
        <v>665394</v>
      </c>
      <c r="Q38" s="47">
        <v>771198</v>
      </c>
      <c r="R38" s="47">
        <v>632950</v>
      </c>
      <c r="S38" s="47">
        <v>668566</v>
      </c>
    </row>
    <row r="39" spans="2:19" ht="15" customHeight="1" x14ac:dyDescent="0.15">
      <c r="B39" s="114"/>
      <c r="C39" s="27"/>
      <c r="D39" s="29"/>
      <c r="E39" s="29"/>
      <c r="F39" s="22" t="s">
        <v>126</v>
      </c>
      <c r="G39" s="73">
        <f t="shared" si="0"/>
        <v>4356112</v>
      </c>
      <c r="H39" s="47">
        <v>306290</v>
      </c>
      <c r="I39" s="47">
        <v>272130</v>
      </c>
      <c r="J39" s="48">
        <v>305970</v>
      </c>
      <c r="K39" s="49">
        <v>305500</v>
      </c>
      <c r="L39" s="49">
        <v>288110</v>
      </c>
      <c r="M39" s="48">
        <v>268370</v>
      </c>
      <c r="N39" s="48">
        <v>278240</v>
      </c>
      <c r="O39" s="47">
        <v>415812</v>
      </c>
      <c r="P39" s="47">
        <v>442540</v>
      </c>
      <c r="Q39" s="47">
        <v>560115</v>
      </c>
      <c r="R39" s="47">
        <v>445133</v>
      </c>
      <c r="S39" s="47">
        <v>467902</v>
      </c>
    </row>
    <row r="40" spans="2:19" ht="15" customHeight="1" x14ac:dyDescent="0.15">
      <c r="B40" s="114"/>
      <c r="C40" s="11"/>
      <c r="D40" s="116" t="s">
        <v>138</v>
      </c>
      <c r="E40" s="117"/>
      <c r="F40" s="25"/>
      <c r="G40" s="73">
        <f t="shared" si="0"/>
        <v>11525498</v>
      </c>
      <c r="H40" s="47">
        <v>858490</v>
      </c>
      <c r="I40" s="47">
        <v>777000</v>
      </c>
      <c r="J40" s="48">
        <v>885980</v>
      </c>
      <c r="K40" s="49">
        <v>876330</v>
      </c>
      <c r="L40" s="49">
        <v>823710</v>
      </c>
      <c r="M40" s="48">
        <v>762330</v>
      </c>
      <c r="N40" s="48">
        <v>801220</v>
      </c>
      <c r="O40" s="47">
        <v>1086640</v>
      </c>
      <c r="P40" s="47">
        <v>1107934</v>
      </c>
      <c r="Q40" s="47">
        <v>1331313</v>
      </c>
      <c r="R40" s="47">
        <v>1078083</v>
      </c>
      <c r="S40" s="47">
        <v>1136468</v>
      </c>
    </row>
    <row r="41" spans="2:19" ht="15" customHeight="1" x14ac:dyDescent="0.15">
      <c r="B41" s="114"/>
      <c r="C41" s="11"/>
      <c r="D41" s="118"/>
      <c r="E41" s="119"/>
      <c r="F41" s="22" t="s">
        <v>125</v>
      </c>
      <c r="G41" s="73">
        <f t="shared" si="0"/>
        <v>7169386</v>
      </c>
      <c r="H41" s="47">
        <v>552200</v>
      </c>
      <c r="I41" s="47">
        <v>504870</v>
      </c>
      <c r="J41" s="48">
        <v>580010</v>
      </c>
      <c r="K41" s="49">
        <v>570830</v>
      </c>
      <c r="L41" s="49">
        <v>535600</v>
      </c>
      <c r="M41" s="48">
        <v>493960</v>
      </c>
      <c r="N41" s="48">
        <v>522980</v>
      </c>
      <c r="O41" s="47">
        <v>670828</v>
      </c>
      <c r="P41" s="47">
        <v>665394</v>
      </c>
      <c r="Q41" s="47">
        <v>771198</v>
      </c>
      <c r="R41" s="47">
        <v>632950</v>
      </c>
      <c r="S41" s="47">
        <v>668566</v>
      </c>
    </row>
    <row r="42" spans="2:19" ht="15" customHeight="1" x14ac:dyDescent="0.15">
      <c r="B42" s="114"/>
      <c r="C42" s="11"/>
      <c r="D42" s="120"/>
      <c r="E42" s="121"/>
      <c r="F42" s="22" t="s">
        <v>126</v>
      </c>
      <c r="G42" s="73">
        <f t="shared" si="0"/>
        <v>4356112</v>
      </c>
      <c r="H42" s="47">
        <v>306290</v>
      </c>
      <c r="I42" s="47">
        <v>272130</v>
      </c>
      <c r="J42" s="48">
        <v>305970</v>
      </c>
      <c r="K42" s="49">
        <v>305500</v>
      </c>
      <c r="L42" s="49">
        <v>288110</v>
      </c>
      <c r="M42" s="48">
        <v>268370</v>
      </c>
      <c r="N42" s="48">
        <v>278240</v>
      </c>
      <c r="O42" s="47">
        <v>415812</v>
      </c>
      <c r="P42" s="47">
        <v>442540</v>
      </c>
      <c r="Q42" s="47">
        <v>560115</v>
      </c>
      <c r="R42" s="47">
        <v>445133</v>
      </c>
      <c r="S42" s="47">
        <v>467902</v>
      </c>
    </row>
    <row r="43" spans="2:19" ht="15" customHeight="1" x14ac:dyDescent="0.15">
      <c r="B43" s="114"/>
      <c r="C43" s="23" t="s">
        <v>139</v>
      </c>
      <c r="D43" s="20"/>
      <c r="E43" s="28"/>
      <c r="F43" s="25"/>
      <c r="G43" s="73">
        <f t="shared" si="0"/>
        <v>37815324</v>
      </c>
      <c r="H43" s="47">
        <v>3378800</v>
      </c>
      <c r="I43" s="47">
        <v>3272300</v>
      </c>
      <c r="J43" s="48">
        <v>3313440</v>
      </c>
      <c r="K43" s="49">
        <v>3254570</v>
      </c>
      <c r="L43" s="49">
        <v>3312690</v>
      </c>
      <c r="M43" s="48">
        <v>3141280</v>
      </c>
      <c r="N43" s="48">
        <v>3138810</v>
      </c>
      <c r="O43" s="47">
        <v>3273560</v>
      </c>
      <c r="P43" s="47">
        <v>3016095</v>
      </c>
      <c r="Q43" s="47">
        <v>3130868</v>
      </c>
      <c r="R43" s="47">
        <v>2908759</v>
      </c>
      <c r="S43" s="47">
        <v>2674152</v>
      </c>
    </row>
    <row r="44" spans="2:19" ht="15" customHeight="1" x14ac:dyDescent="0.15">
      <c r="B44" s="114"/>
      <c r="C44" s="27"/>
      <c r="D44" s="29"/>
      <c r="E44" s="29"/>
      <c r="F44" s="22" t="s">
        <v>125</v>
      </c>
      <c r="G44" s="73">
        <f t="shared" si="0"/>
        <v>25542944</v>
      </c>
      <c r="H44" s="47">
        <v>2334520</v>
      </c>
      <c r="I44" s="47">
        <v>2244960</v>
      </c>
      <c r="J44" s="48">
        <v>2204430</v>
      </c>
      <c r="K44" s="49">
        <v>2173520</v>
      </c>
      <c r="L44" s="49">
        <v>2221150</v>
      </c>
      <c r="M44" s="48">
        <v>2123270</v>
      </c>
      <c r="N44" s="48">
        <v>2126530</v>
      </c>
      <c r="O44" s="47">
        <v>2179092</v>
      </c>
      <c r="P44" s="47">
        <v>2029548</v>
      </c>
      <c r="Q44" s="47">
        <v>2118916</v>
      </c>
      <c r="R44" s="47">
        <v>1982168</v>
      </c>
      <c r="S44" s="47">
        <v>1804840</v>
      </c>
    </row>
    <row r="45" spans="2:19" ht="15" customHeight="1" x14ac:dyDescent="0.15">
      <c r="B45" s="114"/>
      <c r="C45" s="27"/>
      <c r="D45" s="29"/>
      <c r="E45" s="29"/>
      <c r="F45" s="22" t="s">
        <v>126</v>
      </c>
      <c r="G45" s="73">
        <f t="shared" si="0"/>
        <v>12272380</v>
      </c>
      <c r="H45" s="47">
        <v>1044280</v>
      </c>
      <c r="I45" s="47">
        <v>1027340</v>
      </c>
      <c r="J45" s="48">
        <v>1109010</v>
      </c>
      <c r="K45" s="49">
        <v>1081050</v>
      </c>
      <c r="L45" s="49">
        <v>1091540</v>
      </c>
      <c r="M45" s="48">
        <v>1018010</v>
      </c>
      <c r="N45" s="48">
        <v>1012280</v>
      </c>
      <c r="O45" s="47">
        <v>1094468</v>
      </c>
      <c r="P45" s="47">
        <v>986547</v>
      </c>
      <c r="Q45" s="47">
        <v>1011952</v>
      </c>
      <c r="R45" s="47">
        <v>926591</v>
      </c>
      <c r="S45" s="47">
        <v>869312</v>
      </c>
    </row>
    <row r="46" spans="2:19" ht="15" customHeight="1" x14ac:dyDescent="0.15">
      <c r="B46" s="114"/>
      <c r="C46" s="11"/>
      <c r="D46" s="78" t="s">
        <v>140</v>
      </c>
      <c r="E46" s="85"/>
      <c r="F46" s="25"/>
      <c r="G46" s="73">
        <f t="shared" si="0"/>
        <v>29742643</v>
      </c>
      <c r="H46" s="47">
        <v>2583310</v>
      </c>
      <c r="I46" s="47">
        <v>2527780</v>
      </c>
      <c r="J46" s="48">
        <v>2700550</v>
      </c>
      <c r="K46" s="49">
        <v>2573980</v>
      </c>
      <c r="L46" s="49">
        <v>2610220</v>
      </c>
      <c r="M46" s="48">
        <v>2443230</v>
      </c>
      <c r="N46" s="48">
        <v>2356260</v>
      </c>
      <c r="O46" s="47">
        <v>2565277</v>
      </c>
      <c r="P46" s="47">
        <v>2341995</v>
      </c>
      <c r="Q46" s="47">
        <v>2477377</v>
      </c>
      <c r="R46" s="47">
        <v>2369211</v>
      </c>
      <c r="S46" s="47">
        <v>2193453</v>
      </c>
    </row>
    <row r="47" spans="2:19" ht="15" customHeight="1" x14ac:dyDescent="0.15">
      <c r="B47" s="114"/>
      <c r="C47" s="11"/>
      <c r="D47" s="88"/>
      <c r="E47" s="110"/>
      <c r="F47" s="22" t="s">
        <v>125</v>
      </c>
      <c r="G47" s="73">
        <f t="shared" si="0"/>
        <v>18317310</v>
      </c>
      <c r="H47" s="47">
        <v>1606610</v>
      </c>
      <c r="I47" s="47">
        <v>1569290</v>
      </c>
      <c r="J47" s="48">
        <v>1653570</v>
      </c>
      <c r="K47" s="49">
        <v>1580900</v>
      </c>
      <c r="L47" s="49">
        <v>1602540</v>
      </c>
      <c r="M47" s="48">
        <v>1514620</v>
      </c>
      <c r="N47" s="48">
        <v>1454980</v>
      </c>
      <c r="O47" s="47">
        <v>1569786</v>
      </c>
      <c r="P47" s="47">
        <v>1435888</v>
      </c>
      <c r="Q47" s="47">
        <v>1529342</v>
      </c>
      <c r="R47" s="47">
        <v>1463296</v>
      </c>
      <c r="S47" s="47">
        <v>1336488</v>
      </c>
    </row>
    <row r="48" spans="2:19" ht="15" customHeight="1" x14ac:dyDescent="0.15">
      <c r="B48" s="114"/>
      <c r="C48" s="11"/>
      <c r="D48" s="111"/>
      <c r="E48" s="112"/>
      <c r="F48" s="22" t="s">
        <v>126</v>
      </c>
      <c r="G48" s="73">
        <f t="shared" si="0"/>
        <v>11425333</v>
      </c>
      <c r="H48" s="47">
        <v>976700</v>
      </c>
      <c r="I48" s="47">
        <v>958490</v>
      </c>
      <c r="J48" s="48">
        <v>1046980</v>
      </c>
      <c r="K48" s="49">
        <v>993080</v>
      </c>
      <c r="L48" s="49">
        <v>1007680</v>
      </c>
      <c r="M48" s="48">
        <v>928610</v>
      </c>
      <c r="N48" s="48">
        <v>901280</v>
      </c>
      <c r="O48" s="47">
        <v>995491</v>
      </c>
      <c r="P48" s="47">
        <v>906107</v>
      </c>
      <c r="Q48" s="47">
        <v>948035</v>
      </c>
      <c r="R48" s="47">
        <v>905915</v>
      </c>
      <c r="S48" s="47">
        <v>856965</v>
      </c>
    </row>
    <row r="49" spans="2:19" ht="15" customHeight="1" x14ac:dyDescent="0.15">
      <c r="B49" s="114"/>
      <c r="C49" s="11"/>
      <c r="D49" s="78" t="s">
        <v>141</v>
      </c>
      <c r="E49" s="85"/>
      <c r="F49" s="25"/>
      <c r="G49" s="73">
        <f t="shared" si="0"/>
        <v>7290875</v>
      </c>
      <c r="H49" s="47">
        <v>764800</v>
      </c>
      <c r="I49" s="47">
        <v>685120</v>
      </c>
      <c r="J49" s="48">
        <v>551510</v>
      </c>
      <c r="K49" s="49">
        <v>622180</v>
      </c>
      <c r="L49" s="49">
        <v>641090</v>
      </c>
      <c r="M49" s="48">
        <v>625720</v>
      </c>
      <c r="N49" s="48">
        <v>701250</v>
      </c>
      <c r="O49" s="47">
        <v>624273</v>
      </c>
      <c r="P49" s="47">
        <v>591720</v>
      </c>
      <c r="Q49" s="47">
        <v>583205</v>
      </c>
      <c r="R49" s="47">
        <v>477424</v>
      </c>
      <c r="S49" s="47">
        <v>422583</v>
      </c>
    </row>
    <row r="50" spans="2:19" ht="15" customHeight="1" x14ac:dyDescent="0.15">
      <c r="B50" s="114"/>
      <c r="C50" s="11"/>
      <c r="D50" s="88"/>
      <c r="E50" s="110"/>
      <c r="F50" s="22" t="s">
        <v>125</v>
      </c>
      <c r="G50" s="73">
        <f t="shared" si="0"/>
        <v>6443828</v>
      </c>
      <c r="H50" s="47">
        <v>697220</v>
      </c>
      <c r="I50" s="47">
        <v>616270</v>
      </c>
      <c r="J50" s="48">
        <v>489480</v>
      </c>
      <c r="K50" s="49">
        <v>534210</v>
      </c>
      <c r="L50" s="49">
        <v>557230</v>
      </c>
      <c r="M50" s="48">
        <v>536320</v>
      </c>
      <c r="N50" s="48">
        <v>590250</v>
      </c>
      <c r="O50" s="47">
        <v>525296</v>
      </c>
      <c r="P50" s="47">
        <v>511280</v>
      </c>
      <c r="Q50" s="47">
        <v>519288</v>
      </c>
      <c r="R50" s="47">
        <v>456748</v>
      </c>
      <c r="S50" s="47">
        <v>410236</v>
      </c>
    </row>
    <row r="51" spans="2:19" ht="15" customHeight="1" x14ac:dyDescent="0.15">
      <c r="B51" s="114"/>
      <c r="C51" s="11"/>
      <c r="D51" s="111"/>
      <c r="E51" s="112"/>
      <c r="F51" s="22" t="s">
        <v>126</v>
      </c>
      <c r="G51" s="73">
        <f t="shared" si="0"/>
        <v>847047</v>
      </c>
      <c r="H51" s="47">
        <v>67580</v>
      </c>
      <c r="I51" s="47">
        <v>68850</v>
      </c>
      <c r="J51" s="48">
        <v>62030</v>
      </c>
      <c r="K51" s="49">
        <v>87970</v>
      </c>
      <c r="L51" s="49">
        <v>83860</v>
      </c>
      <c r="M51" s="48">
        <v>89400</v>
      </c>
      <c r="N51" s="48">
        <v>111000</v>
      </c>
      <c r="O51" s="47">
        <v>98977</v>
      </c>
      <c r="P51" s="47">
        <v>80440</v>
      </c>
      <c r="Q51" s="47">
        <v>63917</v>
      </c>
      <c r="R51" s="47">
        <v>20676</v>
      </c>
      <c r="S51" s="47">
        <v>12347</v>
      </c>
    </row>
    <row r="52" spans="2:19" ht="15" customHeight="1" x14ac:dyDescent="0.15">
      <c r="B52" s="114"/>
      <c r="C52" s="11"/>
      <c r="D52" s="78" t="s">
        <v>142</v>
      </c>
      <c r="E52" s="85"/>
      <c r="F52" s="25"/>
      <c r="G52" s="73">
        <f t="shared" si="0"/>
        <v>0</v>
      </c>
      <c r="H52" s="47">
        <v>0</v>
      </c>
      <c r="I52" s="47">
        <v>0</v>
      </c>
      <c r="J52" s="48">
        <v>0</v>
      </c>
      <c r="K52" s="49">
        <v>0</v>
      </c>
      <c r="L52" s="49">
        <v>0</v>
      </c>
      <c r="M52" s="48">
        <v>0</v>
      </c>
      <c r="N52" s="48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</row>
    <row r="53" spans="2:19" ht="15" customHeight="1" x14ac:dyDescent="0.15">
      <c r="B53" s="114"/>
      <c r="C53" s="11"/>
      <c r="D53" s="88"/>
      <c r="E53" s="110"/>
      <c r="F53" s="22" t="s">
        <v>125</v>
      </c>
      <c r="G53" s="73">
        <f t="shared" si="0"/>
        <v>0</v>
      </c>
      <c r="H53" s="47">
        <v>0</v>
      </c>
      <c r="I53" s="47">
        <v>0</v>
      </c>
      <c r="J53" s="48">
        <v>0</v>
      </c>
      <c r="K53" s="49">
        <v>0</v>
      </c>
      <c r="L53" s="49">
        <v>0</v>
      </c>
      <c r="M53" s="48">
        <v>0</v>
      </c>
      <c r="N53" s="48">
        <v>0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</row>
    <row r="54" spans="2:19" ht="15" customHeight="1" x14ac:dyDescent="0.15">
      <c r="B54" s="114"/>
      <c r="C54" s="11"/>
      <c r="D54" s="111"/>
      <c r="E54" s="112"/>
      <c r="F54" s="22" t="s">
        <v>126</v>
      </c>
      <c r="G54" s="73">
        <f t="shared" si="0"/>
        <v>0</v>
      </c>
      <c r="H54" s="47">
        <v>0</v>
      </c>
      <c r="I54" s="47">
        <v>0</v>
      </c>
      <c r="J54" s="48">
        <v>0</v>
      </c>
      <c r="K54" s="49">
        <v>0</v>
      </c>
      <c r="L54" s="49">
        <v>0</v>
      </c>
      <c r="M54" s="48">
        <v>0</v>
      </c>
      <c r="N54" s="48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</row>
    <row r="55" spans="2:19" ht="15" customHeight="1" x14ac:dyDescent="0.15">
      <c r="B55" s="114"/>
      <c r="C55" s="11"/>
      <c r="D55" s="78" t="s">
        <v>143</v>
      </c>
      <c r="E55" s="85"/>
      <c r="F55" s="25"/>
      <c r="G55" s="73">
        <f t="shared" si="0"/>
        <v>781806</v>
      </c>
      <c r="H55" s="47">
        <v>30690</v>
      </c>
      <c r="I55" s="47">
        <v>59400</v>
      </c>
      <c r="J55" s="48">
        <v>61380</v>
      </c>
      <c r="K55" s="49">
        <v>58410</v>
      </c>
      <c r="L55" s="49">
        <v>61380</v>
      </c>
      <c r="M55" s="48">
        <v>72330</v>
      </c>
      <c r="N55" s="48">
        <v>81300</v>
      </c>
      <c r="O55" s="47">
        <v>84010</v>
      </c>
      <c r="P55" s="47">
        <v>82380</v>
      </c>
      <c r="Q55" s="47">
        <v>70286</v>
      </c>
      <c r="R55" s="47">
        <v>62124</v>
      </c>
      <c r="S55" s="47">
        <v>58116</v>
      </c>
    </row>
    <row r="56" spans="2:19" ht="15" customHeight="1" x14ac:dyDescent="0.15">
      <c r="B56" s="114"/>
      <c r="C56" s="11"/>
      <c r="D56" s="88"/>
      <c r="E56" s="110"/>
      <c r="F56" s="22" t="s">
        <v>125</v>
      </c>
      <c r="G56" s="73">
        <f t="shared" si="0"/>
        <v>781806</v>
      </c>
      <c r="H56" s="47">
        <v>30690</v>
      </c>
      <c r="I56" s="47">
        <v>59400</v>
      </c>
      <c r="J56" s="48">
        <v>61380</v>
      </c>
      <c r="K56" s="49">
        <v>58410</v>
      </c>
      <c r="L56" s="49">
        <v>61380</v>
      </c>
      <c r="M56" s="48">
        <v>72330</v>
      </c>
      <c r="N56" s="48">
        <v>81300</v>
      </c>
      <c r="O56" s="47">
        <v>84010</v>
      </c>
      <c r="P56" s="47">
        <v>82380</v>
      </c>
      <c r="Q56" s="47">
        <v>70286</v>
      </c>
      <c r="R56" s="47">
        <v>62124</v>
      </c>
      <c r="S56" s="47">
        <v>58116</v>
      </c>
    </row>
    <row r="57" spans="2:19" ht="15" customHeight="1" x14ac:dyDescent="0.15">
      <c r="B57" s="115"/>
      <c r="C57" s="13"/>
      <c r="D57" s="111"/>
      <c r="E57" s="112"/>
      <c r="F57" s="22" t="s">
        <v>126</v>
      </c>
      <c r="G57" s="73">
        <f t="shared" si="0"/>
        <v>0</v>
      </c>
      <c r="H57" s="47">
        <v>0</v>
      </c>
      <c r="I57" s="47">
        <v>0</v>
      </c>
      <c r="J57" s="48">
        <v>0</v>
      </c>
      <c r="K57" s="49">
        <v>0</v>
      </c>
      <c r="L57" s="49">
        <v>0</v>
      </c>
      <c r="M57" s="48">
        <v>0</v>
      </c>
      <c r="N57" s="48">
        <v>0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</row>
    <row r="58" spans="2:19" ht="15" customHeight="1" x14ac:dyDescent="0.15">
      <c r="G58" s="50"/>
      <c r="H58" s="50"/>
      <c r="I58" s="50"/>
      <c r="J58" s="50"/>
      <c r="K58" s="51"/>
      <c r="L58" s="51"/>
      <c r="M58" s="50"/>
      <c r="N58" s="50"/>
      <c r="O58" s="50"/>
      <c r="P58" s="50"/>
      <c r="Q58" s="50"/>
      <c r="R58" s="50"/>
      <c r="S58" s="50"/>
    </row>
    <row r="59" spans="2:19" ht="15" customHeight="1" x14ac:dyDescent="0.15">
      <c r="E59" s="32" t="s">
        <v>153</v>
      </c>
      <c r="F59" s="52"/>
      <c r="G59" s="59">
        <f>SUM(G14,G17,G20,G23)</f>
        <v>1361581</v>
      </c>
      <c r="H59" s="57">
        <f>SUM(H14,H17,H20,H23)</f>
        <v>137420</v>
      </c>
      <c r="I59" s="57">
        <f t="shared" ref="I59:O59" si="1">SUM(I14,I17,I20,I23)</f>
        <v>95680</v>
      </c>
      <c r="J59" s="57">
        <f t="shared" si="1"/>
        <v>124520</v>
      </c>
      <c r="K59" s="57">
        <f t="shared" si="1"/>
        <v>92280</v>
      </c>
      <c r="L59" s="57">
        <f t="shared" si="1"/>
        <v>71970</v>
      </c>
      <c r="M59" s="57">
        <f t="shared" si="1"/>
        <v>128890</v>
      </c>
      <c r="N59" s="57">
        <f t="shared" si="1"/>
        <v>108850</v>
      </c>
      <c r="O59" s="57">
        <f t="shared" si="1"/>
        <v>116965</v>
      </c>
      <c r="P59" s="57">
        <f t="shared" ref="P59:S59" si="2">SUM(P14,P17,P20,P23)</f>
        <v>98121</v>
      </c>
      <c r="Q59" s="57">
        <f t="shared" si="2"/>
        <v>158143</v>
      </c>
      <c r="R59" s="57">
        <f t="shared" si="2"/>
        <v>124104</v>
      </c>
      <c r="S59" s="57">
        <f t="shared" si="2"/>
        <v>104638</v>
      </c>
    </row>
    <row r="60" spans="2:19" ht="15" customHeight="1" x14ac:dyDescent="0.15">
      <c r="E60" s="32" t="s">
        <v>154</v>
      </c>
      <c r="F60" s="52"/>
      <c r="G60" s="59">
        <f>SUM(G15,G18,G21,G24)</f>
        <v>990587</v>
      </c>
      <c r="H60" s="57">
        <f>SUM(H15,H18,H21,H24)</f>
        <v>111760</v>
      </c>
      <c r="I60" s="57">
        <f t="shared" ref="I60:O60" si="3">SUM(I15,I18,I21,I24)</f>
        <v>75950</v>
      </c>
      <c r="J60" s="57">
        <f t="shared" si="3"/>
        <v>91400</v>
      </c>
      <c r="K60" s="57">
        <f t="shared" si="3"/>
        <v>73500</v>
      </c>
      <c r="L60" s="57">
        <f t="shared" si="3"/>
        <v>63730</v>
      </c>
      <c r="M60" s="57">
        <f t="shared" si="3"/>
        <v>49120</v>
      </c>
      <c r="N60" s="57">
        <f t="shared" si="3"/>
        <v>82050</v>
      </c>
      <c r="O60" s="57">
        <f t="shared" si="3"/>
        <v>79098</v>
      </c>
      <c r="P60" s="57">
        <f t="shared" ref="P60:S60" si="4">SUM(P15,P18,P21,P24)</f>
        <v>86019</v>
      </c>
      <c r="Q60" s="57">
        <f t="shared" si="4"/>
        <v>116686</v>
      </c>
      <c r="R60" s="57">
        <f t="shared" si="4"/>
        <v>80385</v>
      </c>
      <c r="S60" s="57">
        <f t="shared" si="4"/>
        <v>80889</v>
      </c>
    </row>
    <row r="61" spans="2:19" ht="15" customHeight="1" x14ac:dyDescent="0.15">
      <c r="E61" s="17" t="s">
        <v>3</v>
      </c>
      <c r="F61" s="52"/>
      <c r="G61" s="59">
        <f>給付集計表!F72-特定入所!G46</f>
        <v>198898804</v>
      </c>
      <c r="H61" s="57">
        <f>給付集計表!G72-特定入所!H46</f>
        <v>17889631</v>
      </c>
      <c r="I61" s="57">
        <f>給付集計表!H72-特定入所!I46</f>
        <v>17266270</v>
      </c>
      <c r="J61" s="57">
        <f>給付集計表!I72-特定入所!J46</f>
        <v>17971225</v>
      </c>
      <c r="K61" s="57">
        <f>給付集計表!J72-特定入所!K46</f>
        <v>16950649</v>
      </c>
      <c r="L61" s="57">
        <f>給付集計表!K72-特定入所!L46</f>
        <v>17135251</v>
      </c>
      <c r="M61" s="57">
        <f>給付集計表!L72-特定入所!M46</f>
        <v>16830358</v>
      </c>
      <c r="N61" s="57">
        <f>給付集計表!M72-特定入所!N46</f>
        <v>15605886</v>
      </c>
      <c r="O61" s="57">
        <f>給付集計表!N72-特定入所!O46</f>
        <v>17075390</v>
      </c>
      <c r="P61" s="57">
        <f>給付集計表!O72-特定入所!P46</f>
        <v>15652307</v>
      </c>
      <c r="Q61" s="57">
        <f>給付集計表!P72-特定入所!Q46</f>
        <v>16315844</v>
      </c>
      <c r="R61" s="57">
        <f>給付集計表!Q72-特定入所!R46</f>
        <v>15851768</v>
      </c>
      <c r="S61" s="57">
        <f>給付集計表!R72-特定入所!S46</f>
        <v>14354225</v>
      </c>
    </row>
    <row r="62" spans="2:19" ht="15" customHeight="1" x14ac:dyDescent="0.15">
      <c r="E62" s="18" t="s">
        <v>155</v>
      </c>
      <c r="F62" s="52"/>
      <c r="G62" s="60">
        <f>給付集計表!F73-特定入所!G49</f>
        <v>112885110</v>
      </c>
      <c r="H62" s="61">
        <f>給付集計表!G73-特定入所!H49</f>
        <v>12228878</v>
      </c>
      <c r="I62" s="61">
        <f>給付集計表!H73-特定入所!I49</f>
        <v>10626525</v>
      </c>
      <c r="J62" s="61">
        <f>給付集計表!I73-特定入所!J49</f>
        <v>10180499</v>
      </c>
      <c r="K62" s="61">
        <f>給付集計表!J73-特定入所!K49</f>
        <v>9871880</v>
      </c>
      <c r="L62" s="61">
        <f>給付集計表!K73-特定入所!L49</f>
        <v>9895269</v>
      </c>
      <c r="M62" s="61">
        <f>給付集計表!L73-特定入所!M49</f>
        <v>10039956</v>
      </c>
      <c r="N62" s="61">
        <f>給付集計表!M73-特定入所!N49</f>
        <v>10203276</v>
      </c>
      <c r="O62" s="61">
        <f>給付集計表!N73-特定入所!O49</f>
        <v>9001316</v>
      </c>
      <c r="P62" s="61">
        <f>給付集計表!O73-特定入所!P49</f>
        <v>8063802</v>
      </c>
      <c r="Q62" s="61">
        <f>給付集計表!P73-特定入所!Q49</f>
        <v>8049654</v>
      </c>
      <c r="R62" s="61">
        <f>給付集計表!Q73-特定入所!R49</f>
        <v>7480374</v>
      </c>
      <c r="S62" s="61">
        <f>給付集計表!R73-特定入所!S49</f>
        <v>7243681</v>
      </c>
    </row>
    <row r="63" spans="2:19" ht="15" customHeight="1" x14ac:dyDescent="0.15">
      <c r="E63" s="17" t="s">
        <v>156</v>
      </c>
      <c r="F63" s="52"/>
      <c r="G63" s="59">
        <f>給付集計表!F75-特定入所!G55</f>
        <v>12060985</v>
      </c>
      <c r="H63" s="57">
        <f>給付集計表!G75-特定入所!H55</f>
        <v>768588</v>
      </c>
      <c r="I63" s="57">
        <f>給付集計表!H75-特定入所!I55</f>
        <v>1086893</v>
      </c>
      <c r="J63" s="57">
        <f>給付集計表!I75-特定入所!J55</f>
        <v>1583475</v>
      </c>
      <c r="K63" s="57">
        <f>給付集計表!J75-特定入所!K55</f>
        <v>1082168</v>
      </c>
      <c r="L63" s="57">
        <f>給付集計表!K75-特定入所!L55</f>
        <v>1138102</v>
      </c>
      <c r="M63" s="57">
        <f>給付集計表!L75-特定入所!M55</f>
        <v>1000733</v>
      </c>
      <c r="N63" s="57">
        <f>給付集計表!M75-特定入所!N55</f>
        <v>1068354</v>
      </c>
      <c r="O63" s="57">
        <f>給付集計表!N75-特定入所!O55</f>
        <v>1096866</v>
      </c>
      <c r="P63" s="57">
        <f>給付集計表!O75-特定入所!P55</f>
        <v>1049139</v>
      </c>
      <c r="Q63" s="57">
        <f>給付集計表!P75-特定入所!Q55</f>
        <v>849186</v>
      </c>
      <c r="R63" s="57">
        <f>給付集計表!Q75-特定入所!R55</f>
        <v>695817</v>
      </c>
      <c r="S63" s="57">
        <f>給付集計表!R75-特定入所!S55</f>
        <v>641664</v>
      </c>
    </row>
    <row r="64" spans="2:19" ht="15" customHeight="1" x14ac:dyDescent="0.15">
      <c r="E64" s="32" t="s">
        <v>4</v>
      </c>
      <c r="F64" s="52"/>
      <c r="G64" s="59">
        <f>給付集計表!F30-特定入所!G25</f>
        <v>29520</v>
      </c>
      <c r="H64" s="57">
        <f>給付集計表!G30-特定入所!H25</f>
        <v>14760</v>
      </c>
      <c r="I64" s="57">
        <f>給付集計表!H30-特定入所!I25</f>
        <v>0</v>
      </c>
      <c r="J64" s="57">
        <f>給付集計表!I30-特定入所!J25</f>
        <v>0</v>
      </c>
      <c r="K64" s="57">
        <f>給付集計表!J30-特定入所!K25</f>
        <v>14760</v>
      </c>
      <c r="L64" s="57">
        <f>給付集計表!K30-特定入所!L25</f>
        <v>0</v>
      </c>
      <c r="M64" s="57">
        <f>給付集計表!L30-特定入所!M25</f>
        <v>0</v>
      </c>
      <c r="N64" s="57">
        <f>給付集計表!M30-特定入所!N25</f>
        <v>0</v>
      </c>
      <c r="O64" s="57">
        <f>給付集計表!N30-特定入所!O25</f>
        <v>0</v>
      </c>
      <c r="P64" s="57">
        <f>給付集計表!O30-特定入所!P25</f>
        <v>0</v>
      </c>
      <c r="Q64" s="57">
        <f>給付集計表!P30-特定入所!Q25</f>
        <v>0</v>
      </c>
      <c r="R64" s="57">
        <f>給付集計表!Q30-特定入所!R25</f>
        <v>0</v>
      </c>
      <c r="S64" s="57">
        <f>給付集計表!R30-特定入所!S25</f>
        <v>0</v>
      </c>
    </row>
    <row r="65" spans="5:19" ht="15" customHeight="1" x14ac:dyDescent="0.15">
      <c r="E65" s="19" t="s">
        <v>157</v>
      </c>
      <c r="F65" s="52"/>
      <c r="G65" s="59">
        <f>給付集計表!F31+給付集計表!F32+給付集計表!F33-特定入所!G28-特定入所!G31-特定入所!G34</f>
        <v>0</v>
      </c>
      <c r="H65" s="57">
        <f>給付集計表!G31+給付集計表!G32+給付集計表!G33-特定入所!H28-特定入所!H31-特定入所!H34</f>
        <v>0</v>
      </c>
      <c r="I65" s="57">
        <f>給付集計表!H31+給付集計表!H32+給付集計表!H33-特定入所!I28-特定入所!I31-特定入所!I34</f>
        <v>0</v>
      </c>
      <c r="J65" s="57">
        <f>給付集計表!I31+給付集計表!I32+給付集計表!I33-特定入所!J28-特定入所!J31-特定入所!J34</f>
        <v>0</v>
      </c>
      <c r="K65" s="57">
        <f>給付集計表!J31+給付集計表!J32+給付集計表!J33-特定入所!K28-特定入所!K31-特定入所!K34</f>
        <v>0</v>
      </c>
      <c r="L65" s="57">
        <f>給付集計表!K31+給付集計表!K32+給付集計表!K33-特定入所!L28-特定入所!L31-特定入所!L34</f>
        <v>0</v>
      </c>
      <c r="M65" s="57">
        <f>給付集計表!L31+給付集計表!L32+給付集計表!L33-特定入所!M28-特定入所!M31-特定入所!M34</f>
        <v>0</v>
      </c>
      <c r="N65" s="57">
        <f>給付集計表!M31+給付集計表!M32+給付集計表!M33-特定入所!N28-特定入所!N31-特定入所!N34</f>
        <v>0</v>
      </c>
      <c r="O65" s="57">
        <f>給付集計表!N31+給付集計表!N32+給付集計表!N33-特定入所!O28-特定入所!O31-特定入所!O34</f>
        <v>0</v>
      </c>
      <c r="P65" s="57">
        <f>給付集計表!O31+給付集計表!O32+給付集計表!O33-特定入所!P28-特定入所!P31-特定入所!P34</f>
        <v>0</v>
      </c>
      <c r="Q65" s="57">
        <f>給付集計表!P31+給付集計表!P32+給付集計表!P33-特定入所!Q28-特定入所!Q31-特定入所!Q34</f>
        <v>0</v>
      </c>
      <c r="R65" s="57">
        <f>給付集計表!Q31+給付集計表!Q32+給付集計表!Q33-特定入所!R28-特定入所!R31-特定入所!R34</f>
        <v>0</v>
      </c>
      <c r="S65" s="57">
        <f>給付集計表!R31+給付集計表!R32+給付集計表!R33-特定入所!S28-特定入所!S31-特定入所!S34</f>
        <v>0</v>
      </c>
    </row>
    <row r="66" spans="5:19" ht="15" customHeight="1" x14ac:dyDescent="0.15">
      <c r="E66" s="32" t="s">
        <v>5</v>
      </c>
      <c r="F66" s="52"/>
      <c r="G66" s="59">
        <f>SUM(G26,G29,G32,G35)</f>
        <v>0</v>
      </c>
      <c r="H66" s="57">
        <f>SUM(H26,H29,H32,H35)</f>
        <v>0</v>
      </c>
      <c r="I66" s="57">
        <f t="shared" ref="I66:O66" si="5">SUM(I26,I29,I32,I35)</f>
        <v>0</v>
      </c>
      <c r="J66" s="57">
        <f t="shared" si="5"/>
        <v>0</v>
      </c>
      <c r="K66" s="57">
        <f t="shared" si="5"/>
        <v>0</v>
      </c>
      <c r="L66" s="57">
        <f t="shared" si="5"/>
        <v>0</v>
      </c>
      <c r="M66" s="57">
        <f t="shared" si="5"/>
        <v>0</v>
      </c>
      <c r="N66" s="57">
        <f t="shared" si="5"/>
        <v>0</v>
      </c>
      <c r="O66" s="57">
        <f t="shared" si="5"/>
        <v>0</v>
      </c>
      <c r="P66" s="57">
        <f t="shared" ref="P66:S66" si="6">SUM(P26,P29,P32,P35)</f>
        <v>0</v>
      </c>
      <c r="Q66" s="57">
        <f t="shared" si="6"/>
        <v>0</v>
      </c>
      <c r="R66" s="57">
        <f t="shared" si="6"/>
        <v>0</v>
      </c>
      <c r="S66" s="57">
        <f t="shared" si="6"/>
        <v>0</v>
      </c>
    </row>
    <row r="67" spans="5:19" ht="15" customHeight="1" x14ac:dyDescent="0.15">
      <c r="E67" s="32" t="s">
        <v>6</v>
      </c>
      <c r="F67" s="52"/>
      <c r="G67" s="59">
        <f>SUM(G27,G30,G33,G36)</f>
        <v>0</v>
      </c>
      <c r="H67" s="57">
        <f>SUM(H27,H30,H33,H36)</f>
        <v>0</v>
      </c>
      <c r="I67" s="57">
        <f t="shared" ref="I67:O67" si="7">SUM(I27,I30,I33,I36)</f>
        <v>0</v>
      </c>
      <c r="J67" s="57">
        <f t="shared" si="7"/>
        <v>0</v>
      </c>
      <c r="K67" s="57">
        <f t="shared" si="7"/>
        <v>0</v>
      </c>
      <c r="L67" s="57">
        <f t="shared" si="7"/>
        <v>0</v>
      </c>
      <c r="M67" s="57">
        <f t="shared" si="7"/>
        <v>0</v>
      </c>
      <c r="N67" s="57">
        <f t="shared" si="7"/>
        <v>0</v>
      </c>
      <c r="O67" s="57">
        <f t="shared" si="7"/>
        <v>0</v>
      </c>
      <c r="P67" s="57">
        <f t="shared" ref="P67:S67" si="8">SUM(P27,P30,P33,P36)</f>
        <v>0</v>
      </c>
      <c r="Q67" s="57">
        <f t="shared" si="8"/>
        <v>0</v>
      </c>
      <c r="R67" s="57">
        <f t="shared" si="8"/>
        <v>0</v>
      </c>
      <c r="S67" s="57">
        <f t="shared" si="8"/>
        <v>0</v>
      </c>
    </row>
    <row r="68" spans="5:19" ht="15" customHeight="1" x14ac:dyDescent="0.15">
      <c r="G68" s="62"/>
      <c r="H68" s="62"/>
      <c r="I68" s="62"/>
      <c r="J68" s="62"/>
      <c r="K68" s="63"/>
      <c r="L68" s="63"/>
      <c r="M68" s="62"/>
      <c r="N68" s="62"/>
      <c r="O68" s="62"/>
      <c r="P68" s="62"/>
      <c r="Q68" s="62"/>
      <c r="R68" s="62"/>
      <c r="S68" s="62"/>
    </row>
    <row r="69" spans="5:19" ht="15" customHeight="1" x14ac:dyDescent="0.15">
      <c r="E69" s="15"/>
      <c r="F69" s="54"/>
      <c r="G69" s="64"/>
      <c r="H69" s="65" t="s">
        <v>144</v>
      </c>
      <c r="I69" s="65" t="s">
        <v>145</v>
      </c>
      <c r="J69" s="65" t="s">
        <v>146</v>
      </c>
      <c r="K69" s="65" t="s">
        <v>147</v>
      </c>
      <c r="L69" s="65" t="s">
        <v>148</v>
      </c>
      <c r="M69" s="65" t="s">
        <v>149</v>
      </c>
      <c r="N69" s="65" t="s">
        <v>150</v>
      </c>
      <c r="O69" s="65" t="s">
        <v>151</v>
      </c>
      <c r="P69" s="65" t="s">
        <v>158</v>
      </c>
      <c r="Q69" s="65" t="s">
        <v>159</v>
      </c>
      <c r="R69" s="65" t="s">
        <v>160</v>
      </c>
      <c r="S69" s="65" t="s">
        <v>161</v>
      </c>
    </row>
    <row r="70" spans="5:19" ht="15" customHeight="1" x14ac:dyDescent="0.15">
      <c r="E70" s="14" t="s">
        <v>46</v>
      </c>
      <c r="F70" s="52"/>
      <c r="G70" s="60">
        <f>給付集計表!F27</f>
        <v>2438060</v>
      </c>
      <c r="H70" s="66">
        <f>給付集計表!G27</f>
        <v>149329</v>
      </c>
      <c r="I70" s="66">
        <f>給付集計表!H27</f>
        <v>220947</v>
      </c>
      <c r="J70" s="66">
        <f>給付集計表!I27</f>
        <v>318560</v>
      </c>
      <c r="K70" s="66">
        <f>給付集計表!J27</f>
        <v>145653</v>
      </c>
      <c r="L70" s="66">
        <f>給付集計表!K27</f>
        <v>235842</v>
      </c>
      <c r="M70" s="66">
        <f>給付集計表!L27</f>
        <v>126747</v>
      </c>
      <c r="N70" s="66">
        <f>給付集計表!M27</f>
        <v>172394</v>
      </c>
      <c r="O70" s="66">
        <f>給付集計表!N27</f>
        <v>411614</v>
      </c>
      <c r="P70" s="66">
        <f>給付集計表!O27</f>
        <v>185769</v>
      </c>
      <c r="Q70" s="66">
        <f>給付集計表!P27</f>
        <v>241241</v>
      </c>
      <c r="R70" s="66">
        <f>給付集計表!Q27</f>
        <v>197852</v>
      </c>
      <c r="S70" s="66">
        <f>給付集計表!R27</f>
        <v>32112</v>
      </c>
    </row>
    <row r="71" spans="5:19" ht="15" customHeight="1" x14ac:dyDescent="0.15">
      <c r="E71" s="14" t="s">
        <v>47</v>
      </c>
      <c r="F71" s="52"/>
      <c r="G71" s="60">
        <f>給付集計表!F28</f>
        <v>0</v>
      </c>
      <c r="H71" s="66">
        <f>給付集計表!G28</f>
        <v>0</v>
      </c>
      <c r="I71" s="66">
        <f>給付集計表!H28</f>
        <v>0</v>
      </c>
      <c r="J71" s="66">
        <f>給付集計表!I28</f>
        <v>0</v>
      </c>
      <c r="K71" s="66">
        <f>給付集計表!J28</f>
        <v>0</v>
      </c>
      <c r="L71" s="66">
        <f>給付集計表!K28</f>
        <v>0</v>
      </c>
      <c r="M71" s="66">
        <f>給付集計表!L28</f>
        <v>0</v>
      </c>
      <c r="N71" s="66">
        <f>給付集計表!M28</f>
        <v>0</v>
      </c>
      <c r="O71" s="66">
        <f>給付集計表!N28</f>
        <v>0</v>
      </c>
      <c r="P71" s="66">
        <f>給付集計表!O28</f>
        <v>0</v>
      </c>
      <c r="Q71" s="66">
        <f>給付集計表!P28</f>
        <v>0</v>
      </c>
      <c r="R71" s="66">
        <f>給付集計表!Q28</f>
        <v>0</v>
      </c>
      <c r="S71" s="66">
        <f>給付集計表!R28</f>
        <v>0</v>
      </c>
    </row>
    <row r="72" spans="5:19" ht="15" customHeight="1" x14ac:dyDescent="0.15">
      <c r="E72" s="14" t="s">
        <v>48</v>
      </c>
      <c r="F72" s="52"/>
      <c r="G72" s="60">
        <f>給付集計表!F29</f>
        <v>0</v>
      </c>
      <c r="H72" s="66">
        <f>給付集計表!G29</f>
        <v>0</v>
      </c>
      <c r="I72" s="66">
        <f>給付集計表!H29</f>
        <v>0</v>
      </c>
      <c r="J72" s="66">
        <f>給付集計表!I29</f>
        <v>0</v>
      </c>
      <c r="K72" s="66">
        <f>給付集計表!J29</f>
        <v>0</v>
      </c>
      <c r="L72" s="66">
        <f>給付集計表!K29</f>
        <v>0</v>
      </c>
      <c r="M72" s="66">
        <f>給付集計表!L29</f>
        <v>0</v>
      </c>
      <c r="N72" s="66">
        <f>給付集計表!M29</f>
        <v>0</v>
      </c>
      <c r="O72" s="66">
        <f>給付集計表!N29</f>
        <v>0</v>
      </c>
      <c r="P72" s="66">
        <f>給付集計表!O29</f>
        <v>0</v>
      </c>
      <c r="Q72" s="66">
        <f>給付集計表!P29</f>
        <v>0</v>
      </c>
      <c r="R72" s="66">
        <f>給付集計表!Q29</f>
        <v>0</v>
      </c>
      <c r="S72" s="66">
        <f>給付集計表!R29</f>
        <v>0</v>
      </c>
    </row>
    <row r="73" spans="5:19" ht="15" customHeight="1" x14ac:dyDescent="0.15">
      <c r="E73" s="16" t="s">
        <v>130</v>
      </c>
      <c r="F73" s="55"/>
      <c r="G73" s="67">
        <f>特定入所!G16</f>
        <v>194909</v>
      </c>
      <c r="H73" s="68">
        <f>特定入所!H16</f>
        <v>12880</v>
      </c>
      <c r="I73" s="68">
        <f>特定入所!I16</f>
        <v>23460</v>
      </c>
      <c r="J73" s="68">
        <f>特定入所!J16</f>
        <v>37130</v>
      </c>
      <c r="K73" s="68">
        <f>特定入所!K16</f>
        <v>19320</v>
      </c>
      <c r="L73" s="68">
        <f>特定入所!L16</f>
        <v>16710</v>
      </c>
      <c r="M73" s="68">
        <f>特定入所!M16</f>
        <v>0</v>
      </c>
      <c r="N73" s="68">
        <f>特定入所!N16</f>
        <v>15920</v>
      </c>
      <c r="O73" s="68">
        <f>特定入所!O16</f>
        <v>31679</v>
      </c>
      <c r="P73" s="68">
        <f>特定入所!P16</f>
        <v>7542</v>
      </c>
      <c r="Q73" s="68">
        <f>特定入所!Q16</f>
        <v>16430</v>
      </c>
      <c r="R73" s="68">
        <f>特定入所!R16</f>
        <v>13838</v>
      </c>
      <c r="S73" s="68">
        <f>特定入所!S16</f>
        <v>0</v>
      </c>
    </row>
    <row r="74" spans="5:19" ht="15" customHeight="1" x14ac:dyDescent="0.15">
      <c r="E74" s="3" t="s">
        <v>131</v>
      </c>
      <c r="F74" s="53"/>
      <c r="G74" s="69">
        <f>特定入所!G19</f>
        <v>0</v>
      </c>
      <c r="H74" s="70">
        <f>特定入所!H19</f>
        <v>0</v>
      </c>
      <c r="I74" s="70">
        <f>特定入所!I19</f>
        <v>0</v>
      </c>
      <c r="J74" s="70">
        <f>特定入所!J19</f>
        <v>0</v>
      </c>
      <c r="K74" s="70">
        <f>特定入所!K19</f>
        <v>0</v>
      </c>
      <c r="L74" s="70">
        <f>特定入所!L19</f>
        <v>0</v>
      </c>
      <c r="M74" s="70">
        <f>特定入所!M19</f>
        <v>0</v>
      </c>
      <c r="N74" s="70">
        <f>特定入所!N19</f>
        <v>0</v>
      </c>
      <c r="O74" s="70">
        <f>特定入所!O19</f>
        <v>0</v>
      </c>
      <c r="P74" s="70">
        <f>特定入所!P19</f>
        <v>0</v>
      </c>
      <c r="Q74" s="70">
        <f>特定入所!Q19</f>
        <v>0</v>
      </c>
      <c r="R74" s="70">
        <f>特定入所!R19</f>
        <v>0</v>
      </c>
      <c r="S74" s="70">
        <f>特定入所!S19</f>
        <v>0</v>
      </c>
    </row>
    <row r="75" spans="5:19" ht="15" customHeight="1" x14ac:dyDescent="0.15">
      <c r="E75" s="14" t="s">
        <v>132</v>
      </c>
      <c r="F75" s="52"/>
      <c r="G75" s="60">
        <f>特定入所!G22</f>
        <v>0</v>
      </c>
      <c r="H75" s="66">
        <f>特定入所!H22</f>
        <v>0</v>
      </c>
      <c r="I75" s="66">
        <f>特定入所!I22</f>
        <v>0</v>
      </c>
      <c r="J75" s="66">
        <f>特定入所!J22</f>
        <v>0</v>
      </c>
      <c r="K75" s="66">
        <f>特定入所!K22</f>
        <v>0</v>
      </c>
      <c r="L75" s="66">
        <f>特定入所!L22</f>
        <v>0</v>
      </c>
      <c r="M75" s="66">
        <f>特定入所!M22</f>
        <v>0</v>
      </c>
      <c r="N75" s="66">
        <f>特定入所!N22</f>
        <v>0</v>
      </c>
      <c r="O75" s="66">
        <f>特定入所!O22</f>
        <v>0</v>
      </c>
      <c r="P75" s="66">
        <f>特定入所!P22</f>
        <v>0</v>
      </c>
      <c r="Q75" s="66">
        <f>特定入所!Q22</f>
        <v>0</v>
      </c>
      <c r="R75" s="66">
        <f>特定入所!R22</f>
        <v>0</v>
      </c>
      <c r="S75" s="66">
        <f>特定入所!S22</f>
        <v>0</v>
      </c>
    </row>
    <row r="76" spans="5:19" ht="15" customHeight="1" x14ac:dyDescent="0.15">
      <c r="E76" s="1" t="s">
        <v>152</v>
      </c>
      <c r="F76" s="56"/>
      <c r="G76" s="71">
        <f t="shared" ref="G76" si="9">G70+G71+G72-G73-G74-G75</f>
        <v>2243151</v>
      </c>
      <c r="H76" s="72">
        <f t="shared" ref="H76:O76" si="10">H70+H71+H72-H73-H74-H75</f>
        <v>136449</v>
      </c>
      <c r="I76" s="72">
        <f t="shared" si="10"/>
        <v>197487</v>
      </c>
      <c r="J76" s="72">
        <f t="shared" si="10"/>
        <v>281430</v>
      </c>
      <c r="K76" s="72">
        <f t="shared" si="10"/>
        <v>126333</v>
      </c>
      <c r="L76" s="72">
        <f t="shared" si="10"/>
        <v>219132</v>
      </c>
      <c r="M76" s="72">
        <f t="shared" si="10"/>
        <v>126747</v>
      </c>
      <c r="N76" s="72">
        <f t="shared" si="10"/>
        <v>156474</v>
      </c>
      <c r="O76" s="72">
        <f t="shared" si="10"/>
        <v>379935</v>
      </c>
      <c r="P76" s="72">
        <f t="shared" ref="P76:S76" si="11">P70+P71+P72-P73-P74-P75</f>
        <v>178227</v>
      </c>
      <c r="Q76" s="72">
        <f t="shared" si="11"/>
        <v>224811</v>
      </c>
      <c r="R76" s="72">
        <f t="shared" si="11"/>
        <v>184014</v>
      </c>
      <c r="S76" s="72">
        <f t="shared" si="11"/>
        <v>32112</v>
      </c>
    </row>
    <row r="77" spans="5:19" ht="15" customHeight="1" x14ac:dyDescent="0.15"/>
    <row r="78" spans="5:19" ht="15" customHeight="1" x14ac:dyDescent="0.15"/>
    <row r="79" spans="5:19" ht="15" customHeight="1" x14ac:dyDescent="0.15"/>
    <row r="80" spans="5:19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</sheetData>
  <mergeCells count="16">
    <mergeCell ref="D55:E57"/>
    <mergeCell ref="B6:F6"/>
    <mergeCell ref="B7:B57"/>
    <mergeCell ref="C7:F7"/>
    <mergeCell ref="D13:E15"/>
    <mergeCell ref="D16:E18"/>
    <mergeCell ref="D19:E21"/>
    <mergeCell ref="D22:E24"/>
    <mergeCell ref="D25:E27"/>
    <mergeCell ref="D28:E30"/>
    <mergeCell ref="D31:E33"/>
    <mergeCell ref="D34:E36"/>
    <mergeCell ref="D40:E42"/>
    <mergeCell ref="D46:E48"/>
    <mergeCell ref="D49:E51"/>
    <mergeCell ref="D52:E54"/>
  </mergeCells>
  <phoneticPr fontId="1"/>
  <pageMargins left="1.1811023622047245" right="0" top="0" bottom="0" header="0" footer="0"/>
  <pageSetup paperSize="9" scale="44" orientation="portrait" r:id="rId1"/>
  <headerFooter alignWithMargins="0"/>
  <rowBreaks count="1" manualBreakCount="1">
    <brk id="36" min="1" max="1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給付集計表</vt:lpstr>
      <vt:lpstr>特定入所</vt:lpstr>
      <vt:lpstr>給付集計表!Print_Area</vt:lpstr>
      <vt:lpstr>特定入所!Print_Area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折笠裕之</cp:lastModifiedBy>
  <cp:lastPrinted>2020-06-15T23:11:01Z</cp:lastPrinted>
  <dcterms:created xsi:type="dcterms:W3CDTF">2007-08-16T04:14:24Z</dcterms:created>
  <dcterms:modified xsi:type="dcterms:W3CDTF">2026-09-10T07:26:46Z</dcterms:modified>
</cp:coreProperties>
</file>