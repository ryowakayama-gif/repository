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10.152.26.11\令和8年度\6.保険年金\D.介護保険\1.事業計画\02_給付データ\新しいフォルダー\"/>
    </mc:Choice>
  </mc:AlternateContent>
  <xr:revisionPtr revIDLastSave="0" documentId="13_ncr:1_{9DCA8523-C97D-4DD5-8BFB-2D47754E71E5}" xr6:coauthVersionLast="45" xr6:coauthVersionMax="45" xr10:uidLastSave="{00000000-0000-0000-0000-000000000000}"/>
  <bookViews>
    <workbookView xWindow="-120" yWindow="-120" windowWidth="20730" windowHeight="11160" activeTab="1" xr2:uid="{00000000-000D-0000-FFFF-FFFF00000000}"/>
  </bookViews>
  <sheets>
    <sheet name="給付集計表" sheetId="6" r:id="rId1"/>
    <sheet name="特定入所" sheetId="7" r:id="rId2"/>
    <sheet name="試算シート" sheetId="5" r:id="rId3"/>
  </sheets>
  <externalReferences>
    <externalReference r:id="rId4"/>
  </externalReferences>
  <definedNames>
    <definedName name="CSV_HDRNUM2">[1]設定情報!#REF!</definedName>
    <definedName name="HDR_ITEM2">[1]設定情報!#REF!</definedName>
    <definedName name="HOSOKU_5">[1]設定情報!#REF!</definedName>
    <definedName name="HOSOKU_6">[1]設定情報!#REF!</definedName>
    <definedName name="_xlnm.Print_Area" localSheetId="0">給付集計表!$B$1:$S$107</definedName>
    <definedName name="_xlnm.Print_Area" localSheetId="2">試算シート!$A$1:$BK$23</definedName>
    <definedName name="_xlnm.Print_Area" localSheetId="1">特定入所!$B$1:$T$76</definedName>
    <definedName name="_xlnm.Print_Titles" localSheetId="2">試算シート!$A:$A</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8" i="7" l="1"/>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7" i="7"/>
  <c r="AW18" i="5" l="1"/>
  <c r="AW17" i="5"/>
  <c r="AW16" i="5"/>
  <c r="AW15" i="5"/>
  <c r="AV18" i="5"/>
  <c r="AV17" i="5"/>
  <c r="AV16" i="5"/>
  <c r="AV15" i="5"/>
  <c r="AS18" i="5"/>
  <c r="AS17" i="5"/>
  <c r="AS16" i="5"/>
  <c r="AS15" i="5"/>
  <c r="AR18" i="5"/>
  <c r="AR17" i="5"/>
  <c r="AR16" i="5"/>
  <c r="AR15" i="5"/>
  <c r="AQ18" i="5"/>
  <c r="AQ17" i="5"/>
  <c r="AQ16" i="5"/>
  <c r="AQ15" i="5"/>
  <c r="AP18" i="5"/>
  <c r="AP17" i="5"/>
  <c r="AP16" i="5"/>
  <c r="AP15" i="5"/>
  <c r="AO18" i="5"/>
  <c r="AO17" i="5"/>
  <c r="AO16" i="5"/>
  <c r="AO15" i="5"/>
  <c r="AO14" i="5"/>
  <c r="AO13" i="5"/>
  <c r="BJ15" i="5" l="1"/>
  <c r="BH15" i="5"/>
  <c r="AY15" i="5"/>
  <c r="AX15" i="5"/>
  <c r="AK15" i="5"/>
  <c r="AI15" i="5"/>
  <c r="AH15" i="5"/>
  <c r="AC15" i="5"/>
  <c r="AB15" i="5"/>
  <c r="Q15" i="5"/>
  <c r="P15" i="5"/>
  <c r="N15" i="5"/>
  <c r="M15" i="5"/>
  <c r="I59" i="7" l="1"/>
  <c r="I60" i="7"/>
  <c r="I61" i="7"/>
  <c r="I62" i="7"/>
  <c r="I63" i="7"/>
  <c r="I64" i="7"/>
  <c r="I65" i="7"/>
  <c r="I66" i="7"/>
  <c r="I67" i="7"/>
  <c r="I70" i="7"/>
  <c r="I71" i="7"/>
  <c r="I72" i="7"/>
  <c r="I73" i="7"/>
  <c r="I74" i="7"/>
  <c r="I75" i="7"/>
  <c r="I76" i="7" l="1"/>
  <c r="S101" i="6" l="1"/>
  <c r="S102" i="6"/>
  <c r="S103" i="6"/>
  <c r="S104" i="6"/>
  <c r="S105" i="6"/>
  <c r="S106" i="6"/>
  <c r="R101" i="6"/>
  <c r="N59" i="7" l="1"/>
  <c r="N60" i="7"/>
  <c r="N61" i="7"/>
  <c r="N62" i="7"/>
  <c r="N63" i="7"/>
  <c r="N64" i="7"/>
  <c r="N65" i="7"/>
  <c r="N66" i="7"/>
  <c r="N67" i="7"/>
  <c r="N70" i="7"/>
  <c r="N71" i="7"/>
  <c r="N72" i="7"/>
  <c r="N73" i="7"/>
  <c r="N74" i="7"/>
  <c r="N75" i="7"/>
  <c r="N76" i="7" l="1"/>
  <c r="P59" i="7"/>
  <c r="Q59" i="7"/>
  <c r="R59" i="7"/>
  <c r="S59" i="7"/>
  <c r="P60" i="7"/>
  <c r="Q60" i="7"/>
  <c r="R60" i="7"/>
  <c r="S60" i="7"/>
  <c r="P61" i="7"/>
  <c r="Q61" i="7"/>
  <c r="R61" i="7"/>
  <c r="S61" i="7"/>
  <c r="P62" i="7"/>
  <c r="Q62" i="7"/>
  <c r="R62" i="7"/>
  <c r="S62" i="7"/>
  <c r="P63" i="7"/>
  <c r="Q63" i="7"/>
  <c r="R63" i="7"/>
  <c r="S63" i="7"/>
  <c r="P64" i="7"/>
  <c r="AT15" i="5" s="1"/>
  <c r="Q64" i="7"/>
  <c r="AT16" i="5" s="1"/>
  <c r="R64" i="7"/>
  <c r="AT17" i="5" s="1"/>
  <c r="S64" i="7"/>
  <c r="AT18" i="5" s="1"/>
  <c r="P65" i="7"/>
  <c r="AU15" i="5" s="1"/>
  <c r="Q65" i="7"/>
  <c r="AU16" i="5" s="1"/>
  <c r="R65" i="7"/>
  <c r="AU17" i="5" s="1"/>
  <c r="S65" i="7"/>
  <c r="AU18" i="5" s="1"/>
  <c r="P66" i="7"/>
  <c r="Q66" i="7"/>
  <c r="R66" i="7"/>
  <c r="S66" i="7"/>
  <c r="P67" i="7"/>
  <c r="Q67" i="7"/>
  <c r="R67" i="7"/>
  <c r="S67" i="7"/>
  <c r="P70" i="7"/>
  <c r="Q70" i="7"/>
  <c r="R70" i="7"/>
  <c r="S70" i="7"/>
  <c r="P71" i="7"/>
  <c r="Q71" i="7"/>
  <c r="R71" i="7"/>
  <c r="S71" i="7"/>
  <c r="P72" i="7"/>
  <c r="Q72" i="7"/>
  <c r="R72" i="7"/>
  <c r="S72" i="7"/>
  <c r="P73" i="7"/>
  <c r="Q73" i="7"/>
  <c r="R73" i="7"/>
  <c r="S73" i="7"/>
  <c r="P74" i="7"/>
  <c r="Q74" i="7"/>
  <c r="R74" i="7"/>
  <c r="S74" i="7"/>
  <c r="P75" i="7"/>
  <c r="P76" i="7" s="1"/>
  <c r="Q75" i="7"/>
  <c r="R75" i="7"/>
  <c r="S75" i="7"/>
  <c r="O101" i="6"/>
  <c r="P101" i="6"/>
  <c r="Q101" i="6"/>
  <c r="O102" i="6"/>
  <c r="P102" i="6"/>
  <c r="Q102" i="6"/>
  <c r="R102" i="6"/>
  <c r="O103" i="6"/>
  <c r="P103" i="6"/>
  <c r="Q103" i="6"/>
  <c r="R103" i="6"/>
  <c r="O104" i="6"/>
  <c r="P104" i="6"/>
  <c r="Q104" i="6"/>
  <c r="R104" i="6"/>
  <c r="O105" i="6"/>
  <c r="P105" i="6"/>
  <c r="Q105" i="6"/>
  <c r="R105" i="6"/>
  <c r="O106" i="6"/>
  <c r="P106" i="6"/>
  <c r="Q106" i="6"/>
  <c r="R106" i="6"/>
  <c r="R76" i="7" l="1"/>
  <c r="Q76" i="7"/>
  <c r="S76" i="7"/>
  <c r="H70" i="7"/>
  <c r="J70" i="7"/>
  <c r="K70" i="7"/>
  <c r="L70" i="7"/>
  <c r="M70" i="7"/>
  <c r="O70" i="7"/>
  <c r="H71" i="7"/>
  <c r="J71" i="7"/>
  <c r="K71" i="7"/>
  <c r="L71" i="7"/>
  <c r="M71" i="7"/>
  <c r="O71" i="7"/>
  <c r="H72" i="7"/>
  <c r="J72" i="7"/>
  <c r="K72" i="7"/>
  <c r="L72" i="7"/>
  <c r="M72" i="7"/>
  <c r="O72" i="7"/>
  <c r="H73" i="7"/>
  <c r="J73" i="7"/>
  <c r="K73" i="7"/>
  <c r="L73" i="7"/>
  <c r="M73" i="7"/>
  <c r="O73" i="7"/>
  <c r="H74" i="7"/>
  <c r="J74" i="7"/>
  <c r="K74" i="7"/>
  <c r="L74" i="7"/>
  <c r="M74" i="7"/>
  <c r="O74" i="7"/>
  <c r="H75" i="7"/>
  <c r="J75" i="7"/>
  <c r="K75" i="7"/>
  <c r="L75" i="7"/>
  <c r="M75" i="7"/>
  <c r="O75" i="7"/>
  <c r="O76" i="7" l="1"/>
  <c r="J76" i="7"/>
  <c r="H76" i="7"/>
  <c r="M76" i="7"/>
  <c r="L76" i="7"/>
  <c r="K76" i="7"/>
  <c r="H106" i="6"/>
  <c r="BF8" i="5" s="1"/>
  <c r="I106" i="6"/>
  <c r="BF9" i="5" s="1"/>
  <c r="J106" i="6"/>
  <c r="BF10" i="5" s="1"/>
  <c r="K106" i="6"/>
  <c r="BF11" i="5" s="1"/>
  <c r="L106" i="6"/>
  <c r="BF12" i="5" s="1"/>
  <c r="M106" i="6"/>
  <c r="BF13" i="5" s="1"/>
  <c r="N106" i="6"/>
  <c r="BF14" i="5" s="1"/>
  <c r="G106" i="6"/>
  <c r="BF7" i="5" s="1"/>
  <c r="H105" i="6"/>
  <c r="BE8" i="5" s="1"/>
  <c r="I105" i="6"/>
  <c r="BE9" i="5" s="1"/>
  <c r="J105" i="6"/>
  <c r="BE10" i="5" s="1"/>
  <c r="K105" i="6"/>
  <c r="BE11" i="5" s="1"/>
  <c r="L105" i="6"/>
  <c r="BE12" i="5" s="1"/>
  <c r="M105" i="6"/>
  <c r="BE13" i="5" s="1"/>
  <c r="N105" i="6"/>
  <c r="BE14" i="5" s="1"/>
  <c r="G105" i="6"/>
  <c r="BE7" i="5" s="1"/>
  <c r="BD14" i="5"/>
  <c r="BD13" i="5"/>
  <c r="BD12" i="5"/>
  <c r="BD11" i="5"/>
  <c r="BD10" i="5"/>
  <c r="BD9" i="5"/>
  <c r="BD8" i="5"/>
  <c r="BD7" i="5"/>
  <c r="BB8" i="5"/>
  <c r="J67" i="7"/>
  <c r="BB9" i="5" s="1"/>
  <c r="K67" i="7"/>
  <c r="BB10" i="5" s="1"/>
  <c r="L67" i="7"/>
  <c r="BB11" i="5" s="1"/>
  <c r="M67" i="7"/>
  <c r="BB12" i="5" s="1"/>
  <c r="BB13" i="5"/>
  <c r="O67" i="7"/>
  <c r="BB14" i="5" s="1"/>
  <c r="H67" i="7"/>
  <c r="BB7" i="5" s="1"/>
  <c r="BA8" i="5"/>
  <c r="J66" i="7"/>
  <c r="BA9" i="5" s="1"/>
  <c r="K66" i="7"/>
  <c r="BA10" i="5" s="1"/>
  <c r="L66" i="7"/>
  <c r="BA11" i="5" s="1"/>
  <c r="M66" i="7"/>
  <c r="BA12" i="5" s="1"/>
  <c r="BA13" i="5"/>
  <c r="O66" i="7"/>
  <c r="BA14" i="5" s="1"/>
  <c r="H66" i="7"/>
  <c r="BA7" i="5" s="1"/>
  <c r="AZ14" i="5"/>
  <c r="AZ13" i="5"/>
  <c r="AZ12" i="5"/>
  <c r="AZ11" i="5"/>
  <c r="AZ10" i="5"/>
  <c r="AZ9" i="5"/>
  <c r="AZ8" i="5"/>
  <c r="AZ7" i="5"/>
  <c r="AW14" i="5"/>
  <c r="AW13" i="5"/>
  <c r="AW12" i="5"/>
  <c r="AW11" i="5"/>
  <c r="AW10" i="5"/>
  <c r="AW9" i="5"/>
  <c r="AW8" i="5"/>
  <c r="AW7" i="5"/>
  <c r="AV14" i="5"/>
  <c r="AV13" i="5"/>
  <c r="AV12" i="5"/>
  <c r="AV11" i="5"/>
  <c r="AV10" i="5"/>
  <c r="AV9" i="5"/>
  <c r="AV8" i="5"/>
  <c r="AV7" i="5"/>
  <c r="AU8" i="5"/>
  <c r="J65" i="7"/>
  <c r="AU9" i="5" s="1"/>
  <c r="K65" i="7"/>
  <c r="AU10" i="5" s="1"/>
  <c r="L65" i="7"/>
  <c r="AU11" i="5" s="1"/>
  <c r="M65" i="7"/>
  <c r="AU12" i="5" s="1"/>
  <c r="AU13" i="5"/>
  <c r="O65" i="7"/>
  <c r="AU14" i="5" s="1"/>
  <c r="H65" i="7"/>
  <c r="AU7" i="5" s="1"/>
  <c r="AT8" i="5"/>
  <c r="J64" i="7"/>
  <c r="AT9" i="5" s="1"/>
  <c r="K64" i="7"/>
  <c r="AT10" i="5" s="1"/>
  <c r="L64" i="7"/>
  <c r="AT11" i="5" s="1"/>
  <c r="M64" i="7"/>
  <c r="AT12" i="5" s="1"/>
  <c r="AT13" i="5"/>
  <c r="O64" i="7"/>
  <c r="AT14" i="5" s="1"/>
  <c r="H64" i="7"/>
  <c r="AT7" i="5" s="1"/>
  <c r="AS14" i="5"/>
  <c r="AS13" i="5"/>
  <c r="AS12" i="5"/>
  <c r="AS11" i="5"/>
  <c r="AS10" i="5"/>
  <c r="AS9" i="5"/>
  <c r="AS8" i="5"/>
  <c r="AS7" i="5"/>
  <c r="AR14" i="5"/>
  <c r="AR13" i="5"/>
  <c r="AR12" i="5"/>
  <c r="AR11" i="5"/>
  <c r="AR10" i="5"/>
  <c r="AR9" i="5"/>
  <c r="AR8" i="5"/>
  <c r="AR7" i="5"/>
  <c r="AQ14" i="5"/>
  <c r="AQ13" i="5"/>
  <c r="AQ12" i="5"/>
  <c r="AQ11" i="5"/>
  <c r="AQ10" i="5"/>
  <c r="AQ9" i="5"/>
  <c r="AQ8" i="5"/>
  <c r="AQ7" i="5"/>
  <c r="AP14" i="5"/>
  <c r="AP13" i="5"/>
  <c r="AP12" i="5"/>
  <c r="AP11" i="5"/>
  <c r="AP10" i="5"/>
  <c r="AP9" i="5"/>
  <c r="AP8" i="5"/>
  <c r="AP7" i="5"/>
  <c r="AO12" i="5"/>
  <c r="AO11" i="5"/>
  <c r="AO10" i="5"/>
  <c r="AO9" i="5"/>
  <c r="AO8" i="5"/>
  <c r="AO7" i="5"/>
  <c r="AO21" i="5" s="1"/>
  <c r="AN14" i="5"/>
  <c r="AN13" i="5"/>
  <c r="AN12" i="5"/>
  <c r="AN11" i="5"/>
  <c r="AN10" i="5"/>
  <c r="AN9" i="5"/>
  <c r="AN8" i="5"/>
  <c r="AN7" i="5"/>
  <c r="AM14" i="5"/>
  <c r="AM13" i="5"/>
  <c r="AM12" i="5"/>
  <c r="AM11" i="5"/>
  <c r="AM10" i="5"/>
  <c r="AM9" i="5"/>
  <c r="AM8" i="5"/>
  <c r="AM7" i="5"/>
  <c r="AI14" i="5"/>
  <c r="AI13" i="5"/>
  <c r="AI12" i="5"/>
  <c r="AI11" i="5"/>
  <c r="AI10" i="5"/>
  <c r="AI9" i="5"/>
  <c r="AI8" i="5"/>
  <c r="AI7" i="5"/>
  <c r="AH14" i="5"/>
  <c r="AH13" i="5"/>
  <c r="AH12" i="5"/>
  <c r="AH11" i="5"/>
  <c r="AH10" i="5"/>
  <c r="AH9" i="5"/>
  <c r="AH8" i="5"/>
  <c r="AH7" i="5"/>
  <c r="AG8" i="5"/>
  <c r="J63" i="7"/>
  <c r="AG9" i="5" s="1"/>
  <c r="K63" i="7"/>
  <c r="AG10" i="5" s="1"/>
  <c r="L63" i="7"/>
  <c r="AG11" i="5" s="1"/>
  <c r="M63" i="7"/>
  <c r="AG12" i="5" s="1"/>
  <c r="AG13" i="5"/>
  <c r="O63" i="7"/>
  <c r="AG14" i="5" s="1"/>
  <c r="H63" i="7"/>
  <c r="AG7" i="5" s="1"/>
  <c r="AG15" i="5" s="1"/>
  <c r="AF8" i="5"/>
  <c r="J62" i="7"/>
  <c r="AF9" i="5" s="1"/>
  <c r="K62" i="7"/>
  <c r="AF10" i="5" s="1"/>
  <c r="L62" i="7"/>
  <c r="AF11" i="5" s="1"/>
  <c r="M62" i="7"/>
  <c r="AF12" i="5" s="1"/>
  <c r="AF13" i="5"/>
  <c r="O62" i="7"/>
  <c r="AF14" i="5" s="1"/>
  <c r="H62" i="7"/>
  <c r="AF7" i="5" s="1"/>
  <c r="AF15" i="5" s="1"/>
  <c r="AE8" i="5"/>
  <c r="J61" i="7"/>
  <c r="AE9" i="5" s="1"/>
  <c r="K61" i="7"/>
  <c r="AE10" i="5" s="1"/>
  <c r="L61" i="7"/>
  <c r="AE11" i="5" s="1"/>
  <c r="M61" i="7"/>
  <c r="AE12" i="5" s="1"/>
  <c r="AE13" i="5"/>
  <c r="O61" i="7"/>
  <c r="AE14" i="5" s="1"/>
  <c r="H61" i="7"/>
  <c r="AE7" i="5" s="1"/>
  <c r="AE15" i="5" s="1"/>
  <c r="AC14" i="5"/>
  <c r="AC13" i="5"/>
  <c r="AC12" i="5"/>
  <c r="AC11" i="5"/>
  <c r="AC10" i="5"/>
  <c r="AC9" i="5"/>
  <c r="AC8" i="5"/>
  <c r="AC7" i="5"/>
  <c r="AB14" i="5"/>
  <c r="Z14" i="5" s="1"/>
  <c r="AB13" i="5"/>
  <c r="Z13" i="5" s="1"/>
  <c r="AB12" i="5"/>
  <c r="Z12" i="5" s="1"/>
  <c r="AB11" i="5"/>
  <c r="Z11" i="5" s="1"/>
  <c r="AB10" i="5"/>
  <c r="Z10" i="5" s="1"/>
  <c r="AB9" i="5"/>
  <c r="Z9" i="5" s="1"/>
  <c r="AB8" i="5"/>
  <c r="Z8" i="5" s="1"/>
  <c r="AB7" i="5"/>
  <c r="Z7" i="5" s="1"/>
  <c r="Z15" i="5" s="1"/>
  <c r="H104" i="6"/>
  <c r="AA8" i="5" s="1"/>
  <c r="I104" i="6"/>
  <c r="AA9" i="5" s="1"/>
  <c r="J104" i="6"/>
  <c r="AA10" i="5" s="1"/>
  <c r="K104" i="6"/>
  <c r="AA11" i="5" s="1"/>
  <c r="L104" i="6"/>
  <c r="AA12" i="5" s="1"/>
  <c r="M104" i="6"/>
  <c r="AA13" i="5" s="1"/>
  <c r="N104" i="6"/>
  <c r="AA14" i="5" s="1"/>
  <c r="G104" i="6"/>
  <c r="AA7" i="5" s="1"/>
  <c r="AA15" i="5" s="1"/>
  <c r="H103" i="6"/>
  <c r="Y8" i="5" s="1"/>
  <c r="I103" i="6"/>
  <c r="Y9" i="5" s="1"/>
  <c r="J103" i="6"/>
  <c r="Y10" i="5" s="1"/>
  <c r="K103" i="6"/>
  <c r="Y11" i="5" s="1"/>
  <c r="L103" i="6"/>
  <c r="Y12" i="5" s="1"/>
  <c r="M103" i="6"/>
  <c r="Y13" i="5" s="1"/>
  <c r="N103" i="6"/>
  <c r="Y14" i="5" s="1"/>
  <c r="G103" i="6"/>
  <c r="Y7" i="5" s="1"/>
  <c r="Y15" i="5" s="1"/>
  <c r="H102" i="6"/>
  <c r="X8" i="5" s="1"/>
  <c r="I102" i="6"/>
  <c r="X9" i="5" s="1"/>
  <c r="J102" i="6"/>
  <c r="X10" i="5" s="1"/>
  <c r="K102" i="6"/>
  <c r="X11" i="5" s="1"/>
  <c r="L102" i="6"/>
  <c r="X12" i="5" s="1"/>
  <c r="M102" i="6"/>
  <c r="X13" i="5" s="1"/>
  <c r="N102" i="6"/>
  <c r="X14" i="5" s="1"/>
  <c r="G102" i="6"/>
  <c r="X7" i="5" s="1"/>
  <c r="X15" i="5" s="1"/>
  <c r="H101" i="6"/>
  <c r="W8" i="5" s="1"/>
  <c r="I101" i="6"/>
  <c r="W9" i="5" s="1"/>
  <c r="J101" i="6"/>
  <c r="W10" i="5" s="1"/>
  <c r="K101" i="6"/>
  <c r="W11" i="5" s="1"/>
  <c r="L101" i="6"/>
  <c r="W12" i="5" s="1"/>
  <c r="M101" i="6"/>
  <c r="W13" i="5" s="1"/>
  <c r="N101" i="6"/>
  <c r="W14" i="5" s="1"/>
  <c r="G101" i="6"/>
  <c r="W7" i="5" s="1"/>
  <c r="W15" i="5" s="1"/>
  <c r="V14" i="5"/>
  <c r="V13" i="5"/>
  <c r="V12" i="5"/>
  <c r="V11" i="5"/>
  <c r="V10" i="5"/>
  <c r="V9" i="5"/>
  <c r="V8" i="5"/>
  <c r="V7" i="5"/>
  <c r="V15" i="5" s="1"/>
  <c r="U14" i="5"/>
  <c r="U13" i="5"/>
  <c r="U12" i="5"/>
  <c r="U11" i="5"/>
  <c r="U10" i="5"/>
  <c r="U9" i="5"/>
  <c r="U8" i="5"/>
  <c r="U7" i="5"/>
  <c r="U15" i="5" s="1"/>
  <c r="T14" i="5"/>
  <c r="T13" i="5"/>
  <c r="T12" i="5"/>
  <c r="T11" i="5"/>
  <c r="T10" i="5"/>
  <c r="T9" i="5"/>
  <c r="T8" i="5"/>
  <c r="T7" i="5"/>
  <c r="T15" i="5" s="1"/>
  <c r="S14" i="5"/>
  <c r="S13" i="5"/>
  <c r="S12" i="5"/>
  <c r="S11" i="5"/>
  <c r="S10" i="5"/>
  <c r="S9" i="5"/>
  <c r="S8" i="5"/>
  <c r="S7" i="5"/>
  <c r="S15" i="5" s="1"/>
  <c r="Q8" i="5"/>
  <c r="J60" i="7"/>
  <c r="Q9" i="5" s="1"/>
  <c r="K60" i="7"/>
  <c r="Q10" i="5" s="1"/>
  <c r="L60" i="7"/>
  <c r="Q11" i="5" s="1"/>
  <c r="M60" i="7"/>
  <c r="Q12" i="5" s="1"/>
  <c r="Q13" i="5"/>
  <c r="O60" i="7"/>
  <c r="Q14" i="5" s="1"/>
  <c r="H60" i="7"/>
  <c r="Q7" i="5" s="1"/>
  <c r="P8" i="5"/>
  <c r="J59" i="7"/>
  <c r="P9" i="5" s="1"/>
  <c r="K59" i="7"/>
  <c r="P10" i="5" s="1"/>
  <c r="L59" i="7"/>
  <c r="P11" i="5" s="1"/>
  <c r="M59" i="7"/>
  <c r="P12" i="5" s="1"/>
  <c r="P13" i="5"/>
  <c r="O59" i="7"/>
  <c r="P14" i="5" s="1"/>
  <c r="H59" i="7"/>
  <c r="P7" i="5" s="1"/>
  <c r="O14" i="5"/>
  <c r="O13" i="5"/>
  <c r="O12" i="5"/>
  <c r="O11" i="5"/>
  <c r="O10" i="5"/>
  <c r="O9" i="5"/>
  <c r="O8" i="5"/>
  <c r="O7" i="5"/>
  <c r="O15" i="5" s="1"/>
  <c r="L14" i="5"/>
  <c r="L13" i="5"/>
  <c r="L12" i="5"/>
  <c r="L11" i="5"/>
  <c r="L10" i="5"/>
  <c r="L9" i="5"/>
  <c r="L8" i="5"/>
  <c r="L7" i="5"/>
  <c r="L15" i="5" s="1"/>
  <c r="K14" i="5"/>
  <c r="K13" i="5"/>
  <c r="K12" i="5"/>
  <c r="K11" i="5"/>
  <c r="K10" i="5"/>
  <c r="K9" i="5"/>
  <c r="K8" i="5"/>
  <c r="K7" i="5"/>
  <c r="K15" i="5" s="1"/>
  <c r="I14" i="5"/>
  <c r="I13" i="5"/>
  <c r="I12" i="5"/>
  <c r="I11" i="5"/>
  <c r="I10" i="5"/>
  <c r="I9" i="5"/>
  <c r="I8" i="5"/>
  <c r="I7" i="5"/>
  <c r="I15" i="5" s="1"/>
  <c r="H14" i="5"/>
  <c r="H13" i="5"/>
  <c r="H12" i="5"/>
  <c r="H11" i="5"/>
  <c r="H10" i="5"/>
  <c r="H9" i="5"/>
  <c r="H8" i="5"/>
  <c r="H7" i="5"/>
  <c r="H15" i="5" s="1"/>
  <c r="G14" i="5"/>
  <c r="G13" i="5"/>
  <c r="G12" i="5"/>
  <c r="G11" i="5"/>
  <c r="G10" i="5"/>
  <c r="G9" i="5"/>
  <c r="G8" i="5"/>
  <c r="G7" i="5"/>
  <c r="G15" i="5" s="1"/>
  <c r="F14" i="5"/>
  <c r="F13" i="5"/>
  <c r="F12" i="5"/>
  <c r="F11" i="5"/>
  <c r="F10" i="5"/>
  <c r="F9" i="5"/>
  <c r="F8" i="5"/>
  <c r="F7" i="5"/>
  <c r="F15" i="5" s="1"/>
  <c r="E14" i="5"/>
  <c r="E13" i="5"/>
  <c r="E12" i="5"/>
  <c r="E11" i="5"/>
  <c r="E10" i="5"/>
  <c r="E9" i="5"/>
  <c r="E8" i="5"/>
  <c r="E7" i="5"/>
  <c r="E15" i="5" s="1"/>
  <c r="D14" i="5"/>
  <c r="D13" i="5"/>
  <c r="D12" i="5"/>
  <c r="D11" i="5"/>
  <c r="D10" i="5"/>
  <c r="D9" i="5"/>
  <c r="D8" i="5"/>
  <c r="D7" i="5"/>
  <c r="D15" i="5" s="1"/>
  <c r="C14" i="5"/>
  <c r="C13" i="5"/>
  <c r="C12" i="5"/>
  <c r="C11" i="5"/>
  <c r="C10" i="5"/>
  <c r="C9" i="5"/>
  <c r="C8" i="5"/>
  <c r="C7" i="5"/>
  <c r="C15" i="5" s="1"/>
  <c r="B14" i="5"/>
  <c r="B13" i="5"/>
  <c r="B12" i="5"/>
  <c r="B11" i="5"/>
  <c r="B10" i="5"/>
  <c r="B9" i="5"/>
  <c r="B8" i="5"/>
  <c r="B7" i="5"/>
  <c r="AP21" i="5" l="1"/>
  <c r="AQ21" i="5"/>
  <c r="AR21" i="5"/>
  <c r="AS21" i="5"/>
  <c r="AO23" i="5" s="1"/>
  <c r="AT21" i="5"/>
  <c r="AU21" i="5"/>
  <c r="AV21" i="5"/>
  <c r="AW21" i="5"/>
  <c r="AZ15" i="5"/>
  <c r="BD15" i="5"/>
  <c r="BE15" i="5"/>
  <c r="BF15" i="5"/>
  <c r="B15" i="5"/>
  <c r="AO22" i="5"/>
  <c r="AD15" i="5"/>
  <c r="J13" i="5"/>
  <c r="J9" i="5"/>
  <c r="J8" i="5"/>
  <c r="J11" i="5"/>
  <c r="J12" i="5"/>
  <c r="J14" i="5"/>
  <c r="J10" i="5"/>
  <c r="J7" i="5"/>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75" i="7" s="1"/>
  <c r="G21" i="7"/>
  <c r="G20" i="7"/>
  <c r="G19" i="7"/>
  <c r="G74" i="7" s="1"/>
  <c r="G18" i="7"/>
  <c r="G17" i="7"/>
  <c r="G16" i="7"/>
  <c r="G73" i="7" s="1"/>
  <c r="G15" i="7"/>
  <c r="G14" i="7"/>
  <c r="G13" i="7"/>
  <c r="G12" i="7"/>
  <c r="G11" i="7"/>
  <c r="G10" i="7"/>
  <c r="G9" i="7"/>
  <c r="G8" i="7"/>
  <c r="G7" i="7"/>
  <c r="J15" i="5" l="1"/>
  <c r="G59" i="7"/>
  <c r="G66" i="7"/>
  <c r="G60" i="7"/>
  <c r="G67" i="7"/>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G71" i="7" l="1"/>
  <c r="G61" i="7"/>
  <c r="G62" i="7"/>
  <c r="G72" i="7"/>
  <c r="G64" i="7"/>
  <c r="G70" i="7"/>
  <c r="G63" i="7"/>
  <c r="F101" i="6"/>
  <c r="F103" i="6"/>
  <c r="F106" i="6"/>
  <c r="F104" i="6"/>
  <c r="G65" i="7"/>
  <c r="F102" i="6"/>
  <c r="F105" i="6"/>
  <c r="BJ16" i="5"/>
  <c r="BH16" i="5"/>
  <c r="BF16" i="5"/>
  <c r="BE16" i="5"/>
  <c r="BD16" i="5"/>
  <c r="BB16" i="5"/>
  <c r="BA16" i="5"/>
  <c r="AZ16" i="5"/>
  <c r="AY16" i="5"/>
  <c r="AX16" i="5"/>
  <c r="AN16" i="5"/>
  <c r="AM16" i="5"/>
  <c r="BB15" i="5"/>
  <c r="BA15" i="5"/>
  <c r="AN15" i="5"/>
  <c r="AM15" i="5"/>
  <c r="AK16" i="5"/>
  <c r="AK17" i="5"/>
  <c r="AI16" i="5"/>
  <c r="AH16" i="5"/>
  <c r="AG16" i="5"/>
  <c r="AF16" i="5"/>
  <c r="AE16" i="5"/>
  <c r="Z16" i="5"/>
  <c r="AA16" i="5"/>
  <c r="AB16" i="5"/>
  <c r="AC16" i="5"/>
  <c r="T16" i="5"/>
  <c r="U16" i="5"/>
  <c r="V16" i="5"/>
  <c r="W16" i="5"/>
  <c r="X16" i="5"/>
  <c r="Y16" i="5"/>
  <c r="S16" i="5"/>
  <c r="C16" i="5"/>
  <c r="D16" i="5"/>
  <c r="E16" i="5"/>
  <c r="F16" i="5"/>
  <c r="G16" i="5"/>
  <c r="H16" i="5"/>
  <c r="I16" i="5"/>
  <c r="J16" i="5"/>
  <c r="K16" i="5"/>
  <c r="L16" i="5"/>
  <c r="M16" i="5"/>
  <c r="N16" i="5"/>
  <c r="O16" i="5"/>
  <c r="P16" i="5"/>
  <c r="Q16" i="5"/>
  <c r="B16" i="5"/>
  <c r="R8" i="5"/>
  <c r="R7" i="5"/>
  <c r="AJ7" i="5"/>
  <c r="AD7" i="5"/>
  <c r="BC7" i="5"/>
  <c r="BG7" i="5"/>
  <c r="AJ8" i="5"/>
  <c r="AD8" i="5"/>
  <c r="BC8" i="5"/>
  <c r="BG8" i="5"/>
  <c r="R9" i="5"/>
  <c r="AJ9" i="5"/>
  <c r="AD9" i="5"/>
  <c r="BC9" i="5"/>
  <c r="BG9" i="5"/>
  <c r="R10" i="5"/>
  <c r="AJ10" i="5"/>
  <c r="AD10" i="5"/>
  <c r="BC10" i="5"/>
  <c r="BG10" i="5"/>
  <c r="R11" i="5"/>
  <c r="AJ11" i="5"/>
  <c r="AD11" i="5"/>
  <c r="BC11" i="5"/>
  <c r="BG11" i="5"/>
  <c r="R12" i="5"/>
  <c r="AJ12" i="5"/>
  <c r="AD12" i="5"/>
  <c r="BC12" i="5"/>
  <c r="BG12" i="5"/>
  <c r="R13" i="5"/>
  <c r="AJ13" i="5"/>
  <c r="AD13" i="5"/>
  <c r="BC13" i="5"/>
  <c r="BG13" i="5"/>
  <c r="R14" i="5"/>
  <c r="AJ14" i="5"/>
  <c r="AD14" i="5"/>
  <c r="BC14" i="5"/>
  <c r="BG14" i="5"/>
  <c r="R18" i="5"/>
  <c r="AJ18" i="5"/>
  <c r="AL18" i="5" s="1"/>
  <c r="AD18" i="5"/>
  <c r="BC18" i="5"/>
  <c r="BG18" i="5"/>
  <c r="BB17" i="5" l="1"/>
  <c r="G76" i="7"/>
  <c r="BJ17" i="5"/>
  <c r="BJ19" i="5" s="1"/>
  <c r="BI18" i="5"/>
  <c r="BK18" i="5" s="1"/>
  <c r="BH17" i="5"/>
  <c r="BH19" i="5" s="1"/>
  <c r="BB19" i="5"/>
  <c r="BI8" i="5"/>
  <c r="W17" i="5"/>
  <c r="W19" i="5" s="1"/>
  <c r="AT19" i="5"/>
  <c r="AG17" i="5"/>
  <c r="AG19" i="5" s="1"/>
  <c r="H17" i="5"/>
  <c r="H19" i="5" s="1"/>
  <c r="AI17" i="5"/>
  <c r="AI19" i="5" s="1"/>
  <c r="AP19" i="5"/>
  <c r="BD17" i="5"/>
  <c r="BD19" i="5" s="1"/>
  <c r="AX17" i="5"/>
  <c r="AX19" i="5" s="1"/>
  <c r="N17" i="5"/>
  <c r="N19" i="5" s="1"/>
  <c r="M17" i="5"/>
  <c r="M19" i="5" s="1"/>
  <c r="BF17" i="5"/>
  <c r="BF19" i="5" s="1"/>
  <c r="BE17" i="5"/>
  <c r="BE19" i="5" s="1"/>
  <c r="BG16" i="5"/>
  <c r="BI14" i="5"/>
  <c r="BI12" i="5"/>
  <c r="BI10" i="5"/>
  <c r="BI9" i="5"/>
  <c r="BI7" i="5"/>
  <c r="BG15" i="5"/>
  <c r="BA17" i="5"/>
  <c r="BA19" i="5" s="1"/>
  <c r="AZ17" i="5"/>
  <c r="AZ19" i="5" s="1"/>
  <c r="AW19" i="5"/>
  <c r="AV19" i="5"/>
  <c r="AU19" i="5"/>
  <c r="AR19" i="5"/>
  <c r="BI11" i="5"/>
  <c r="AQ19" i="5"/>
  <c r="AO19" i="5"/>
  <c r="BC16" i="5"/>
  <c r="BC15" i="5"/>
  <c r="AN17" i="5"/>
  <c r="AN19" i="5" s="1"/>
  <c r="BI13" i="5"/>
  <c r="AM17" i="5"/>
  <c r="AM19" i="5" s="1"/>
  <c r="AH17" i="5"/>
  <c r="AH19" i="5" s="1"/>
  <c r="AJ15" i="5"/>
  <c r="AF17" i="5"/>
  <c r="AF19" i="5" s="1"/>
  <c r="AJ16" i="5"/>
  <c r="AE17" i="5"/>
  <c r="AC17" i="5"/>
  <c r="AC19" i="5" s="1"/>
  <c r="AB17" i="5"/>
  <c r="AB19" i="5" s="1"/>
  <c r="AA17" i="5"/>
  <c r="AA19" i="5" s="1"/>
  <c r="Z17" i="5"/>
  <c r="Z19" i="5" s="1"/>
  <c r="Y17" i="5"/>
  <c r="Y19" i="5" s="1"/>
  <c r="X17" i="5"/>
  <c r="X19" i="5" s="1"/>
  <c r="AL12" i="5"/>
  <c r="V17" i="5"/>
  <c r="V19" i="5" s="1"/>
  <c r="U17" i="5"/>
  <c r="T17" i="5"/>
  <c r="T19" i="5" s="1"/>
  <c r="AL10" i="5"/>
  <c r="AL9" i="5"/>
  <c r="AD16" i="5"/>
  <c r="AL7" i="5"/>
  <c r="Q17" i="5"/>
  <c r="Q19" i="5" s="1"/>
  <c r="O17" i="5"/>
  <c r="O19" i="5" s="1"/>
  <c r="L17" i="5"/>
  <c r="L19" i="5" s="1"/>
  <c r="K17" i="5"/>
  <c r="K19" i="5" s="1"/>
  <c r="I17" i="5"/>
  <c r="I19" i="5" s="1"/>
  <c r="AL13" i="5"/>
  <c r="J17" i="5"/>
  <c r="J19" i="5" s="1"/>
  <c r="G17" i="5"/>
  <c r="G19" i="5" s="1"/>
  <c r="F17" i="5"/>
  <c r="F19" i="5" s="1"/>
  <c r="E17" i="5"/>
  <c r="E19" i="5" s="1"/>
  <c r="R15" i="5"/>
  <c r="AL14" i="5"/>
  <c r="AL11" i="5"/>
  <c r="C17" i="5"/>
  <c r="C19" i="5" s="1"/>
  <c r="B17" i="5"/>
  <c r="B19" i="5" s="1"/>
  <c r="D17" i="5"/>
  <c r="D19" i="5" s="1"/>
  <c r="R16" i="5"/>
  <c r="AL8" i="5"/>
  <c r="P17" i="5"/>
  <c r="P19" i="5" s="1"/>
  <c r="AK19" i="5"/>
  <c r="AS19" i="5"/>
  <c r="AY17" i="5"/>
  <c r="AY19" i="5" s="1"/>
  <c r="S17" i="5"/>
  <c r="BI15" i="5" l="1"/>
  <c r="BK7" i="5"/>
  <c r="BK13" i="5"/>
  <c r="BK12" i="5"/>
  <c r="BK14" i="5"/>
  <c r="BK10" i="5"/>
  <c r="BG17" i="5"/>
  <c r="BG19" i="5" s="1"/>
  <c r="BI16" i="5"/>
  <c r="BK9" i="5"/>
  <c r="BK11" i="5"/>
  <c r="BC17" i="5"/>
  <c r="BC19" i="5" s="1"/>
  <c r="AJ17" i="5"/>
  <c r="AJ19" i="5" s="1"/>
  <c r="G21" i="5" s="1"/>
  <c r="L21" i="5" s="1"/>
  <c r="AE19" i="5"/>
  <c r="AL16" i="5"/>
  <c r="AL15" i="5"/>
  <c r="AD17" i="5"/>
  <c r="AD19" i="5" s="1"/>
  <c r="S19" i="5"/>
  <c r="BK8" i="5"/>
  <c r="R17" i="5"/>
  <c r="R19" i="5" s="1"/>
  <c r="BK15" i="5" l="1"/>
  <c r="BI17" i="5"/>
  <c r="BI19" i="5" s="1"/>
  <c r="BK16" i="5"/>
  <c r="AL17" i="5"/>
  <c r="BK17" i="5" l="1"/>
  <c r="BK19" i="5" s="1"/>
  <c r="G22" i="5" s="1"/>
  <c r="L22" i="5" s="1"/>
  <c r="AL19" i="5"/>
</calcChain>
</file>

<file path=xl/sharedStrings.xml><?xml version="1.0" encoding="utf-8"?>
<sst xmlns="http://schemas.openxmlformats.org/spreadsheetml/2006/main" count="311" uniqueCount="249">
  <si>
    <t>訪問介護</t>
    <rPh sb="0" eb="2">
      <t>ホウモン</t>
    </rPh>
    <rPh sb="2" eb="4">
      <t>カイゴ</t>
    </rPh>
    <phoneticPr fontId="1"/>
  </si>
  <si>
    <t>訪問入浴介護</t>
    <rPh sb="0" eb="2">
      <t>ホウモン</t>
    </rPh>
    <rPh sb="2" eb="4">
      <t>ニュウヨク</t>
    </rPh>
    <rPh sb="4" eb="6">
      <t>カイゴ</t>
    </rPh>
    <phoneticPr fontId="1"/>
  </si>
  <si>
    <t>訪問看護</t>
    <rPh sb="0" eb="2">
      <t>ホウモン</t>
    </rPh>
    <rPh sb="2" eb="4">
      <t>カンゴ</t>
    </rPh>
    <phoneticPr fontId="1"/>
  </si>
  <si>
    <t>訪問リハビリテーション</t>
    <rPh sb="0" eb="2">
      <t>ホウモン</t>
    </rPh>
    <phoneticPr fontId="1"/>
  </si>
  <si>
    <t>居宅療養管理指導</t>
    <rPh sb="0" eb="2">
      <t>キョタク</t>
    </rPh>
    <rPh sb="2" eb="4">
      <t>リョウヨウ</t>
    </rPh>
    <rPh sb="4" eb="6">
      <t>カンリ</t>
    </rPh>
    <rPh sb="6" eb="8">
      <t>シドウ</t>
    </rPh>
    <phoneticPr fontId="1"/>
  </si>
  <si>
    <t>区　分</t>
    <rPh sb="0" eb="1">
      <t>ク</t>
    </rPh>
    <rPh sb="2" eb="3">
      <t>ブン</t>
    </rPh>
    <phoneticPr fontId="1"/>
  </si>
  <si>
    <t>通所介護</t>
    <rPh sb="0" eb="2">
      <t>ツウショ</t>
    </rPh>
    <rPh sb="2" eb="4">
      <t>カイゴ</t>
    </rPh>
    <phoneticPr fontId="1"/>
  </si>
  <si>
    <t>通所リハビリテーション</t>
    <rPh sb="0" eb="2">
      <t>ツウショ</t>
    </rPh>
    <phoneticPr fontId="1"/>
  </si>
  <si>
    <t>短期入所生活介護</t>
    <rPh sb="0" eb="2">
      <t>タンキ</t>
    </rPh>
    <rPh sb="2" eb="4">
      <t>ニュウショ</t>
    </rPh>
    <rPh sb="4" eb="6">
      <t>セイカツ</t>
    </rPh>
    <rPh sb="6" eb="8">
      <t>カイゴ</t>
    </rPh>
    <phoneticPr fontId="1"/>
  </si>
  <si>
    <t>福祉用具貸与</t>
    <rPh sb="0" eb="2">
      <t>フクシ</t>
    </rPh>
    <rPh sb="2" eb="4">
      <t>ヨウグ</t>
    </rPh>
    <rPh sb="4" eb="6">
      <t>タイヨ</t>
    </rPh>
    <phoneticPr fontId="1"/>
  </si>
  <si>
    <t>福祉用具購入費</t>
    <rPh sb="0" eb="2">
      <t>フクシ</t>
    </rPh>
    <rPh sb="2" eb="4">
      <t>ヨウグ</t>
    </rPh>
    <rPh sb="4" eb="7">
      <t>コウニュウヒ</t>
    </rPh>
    <phoneticPr fontId="1"/>
  </si>
  <si>
    <t>住宅改修費</t>
    <rPh sb="0" eb="2">
      <t>ジュウタク</t>
    </rPh>
    <rPh sb="2" eb="5">
      <t>カイシュウヒ</t>
    </rPh>
    <phoneticPr fontId="1"/>
  </si>
  <si>
    <t>特定施設入居者生活介護</t>
    <rPh sb="0" eb="2">
      <t>トクテイ</t>
    </rPh>
    <rPh sb="2" eb="4">
      <t>シセツ</t>
    </rPh>
    <rPh sb="4" eb="7">
      <t>ニュウキョシャ</t>
    </rPh>
    <rPh sb="7" eb="9">
      <t>セイカツ</t>
    </rPh>
    <rPh sb="9" eb="11">
      <t>カイゴ</t>
    </rPh>
    <phoneticPr fontId="1"/>
  </si>
  <si>
    <t>認知症対応型通所介護</t>
    <rPh sb="0" eb="3">
      <t>ニンチショウ</t>
    </rPh>
    <rPh sb="3" eb="6">
      <t>タイオウガタ</t>
    </rPh>
    <rPh sb="6" eb="8">
      <t>ツウショ</t>
    </rPh>
    <rPh sb="8" eb="10">
      <t>カイゴ</t>
    </rPh>
    <phoneticPr fontId="1"/>
  </si>
  <si>
    <t>小規模多機能型居宅介護</t>
    <rPh sb="0" eb="3">
      <t>ショウキボ</t>
    </rPh>
    <rPh sb="3" eb="6">
      <t>タキノウ</t>
    </rPh>
    <rPh sb="6" eb="7">
      <t>ガタ</t>
    </rPh>
    <rPh sb="7" eb="9">
      <t>キョタク</t>
    </rPh>
    <rPh sb="9" eb="11">
      <t>カイゴ</t>
    </rPh>
    <phoneticPr fontId="1"/>
  </si>
  <si>
    <t>認知症対応型共同生活介護</t>
    <rPh sb="0" eb="3">
      <t>ニンチショウ</t>
    </rPh>
    <rPh sb="3" eb="6">
      <t>タイオウガタ</t>
    </rPh>
    <rPh sb="6" eb="8">
      <t>キョウドウ</t>
    </rPh>
    <rPh sb="8" eb="10">
      <t>セイカツ</t>
    </rPh>
    <rPh sb="10" eb="12">
      <t>カイゴ</t>
    </rPh>
    <phoneticPr fontId="1"/>
  </si>
  <si>
    <t>地域密着型特定施設入居者生活介護</t>
    <rPh sb="0" eb="2">
      <t>チイキ</t>
    </rPh>
    <rPh sb="2" eb="5">
      <t>ミッチャクガタ</t>
    </rPh>
    <rPh sb="5" eb="7">
      <t>トクテイ</t>
    </rPh>
    <rPh sb="7" eb="9">
      <t>シセツ</t>
    </rPh>
    <rPh sb="9" eb="12">
      <t>ニュウキョシャ</t>
    </rPh>
    <rPh sb="12" eb="14">
      <t>セイカツ</t>
    </rPh>
    <rPh sb="14" eb="16">
      <t>カイゴ</t>
    </rPh>
    <phoneticPr fontId="1"/>
  </si>
  <si>
    <t>施設サービス</t>
    <rPh sb="0" eb="2">
      <t>シセツ</t>
    </rPh>
    <phoneticPr fontId="1"/>
  </si>
  <si>
    <t>介護老人福祉施設</t>
    <rPh sb="0" eb="2">
      <t>カイゴ</t>
    </rPh>
    <rPh sb="2" eb="4">
      <t>ロウジン</t>
    </rPh>
    <rPh sb="4" eb="6">
      <t>フクシ</t>
    </rPh>
    <rPh sb="6" eb="8">
      <t>シセツ</t>
    </rPh>
    <phoneticPr fontId="1"/>
  </si>
  <si>
    <t>居宅サービス</t>
    <rPh sb="0" eb="2">
      <t>キョタク</t>
    </rPh>
    <phoneticPr fontId="1"/>
  </si>
  <si>
    <t>地域密着型サービス</t>
    <rPh sb="0" eb="2">
      <t>チイキ</t>
    </rPh>
    <rPh sb="2" eb="5">
      <t>ミッチャクガタ</t>
    </rPh>
    <phoneticPr fontId="1"/>
  </si>
  <si>
    <t>居宅介護支援</t>
    <rPh sb="0" eb="2">
      <t>キョタク</t>
    </rPh>
    <rPh sb="2" eb="4">
      <t>カイゴ</t>
    </rPh>
    <rPh sb="4" eb="6">
      <t>シエン</t>
    </rPh>
    <phoneticPr fontId="1"/>
  </si>
  <si>
    <t>介護予防居宅サービス</t>
    <rPh sb="0" eb="2">
      <t>カイゴ</t>
    </rPh>
    <rPh sb="2" eb="4">
      <t>ヨボウ</t>
    </rPh>
    <rPh sb="4" eb="6">
      <t>キョタク</t>
    </rPh>
    <phoneticPr fontId="1"/>
  </si>
  <si>
    <t>介護予防訪問介護</t>
    <rPh sb="0" eb="2">
      <t>カイゴ</t>
    </rPh>
    <rPh sb="2" eb="4">
      <t>ヨボウ</t>
    </rPh>
    <rPh sb="4" eb="6">
      <t>ホウモン</t>
    </rPh>
    <rPh sb="6" eb="8">
      <t>カイゴ</t>
    </rPh>
    <phoneticPr fontId="1"/>
  </si>
  <si>
    <t>介護予防訪問入浴介護</t>
    <rPh sb="0" eb="2">
      <t>カイゴ</t>
    </rPh>
    <rPh sb="2" eb="4">
      <t>ヨボウ</t>
    </rPh>
    <rPh sb="4" eb="6">
      <t>ホウモン</t>
    </rPh>
    <rPh sb="6" eb="8">
      <t>ニュウヨク</t>
    </rPh>
    <rPh sb="8" eb="10">
      <t>カイゴ</t>
    </rPh>
    <phoneticPr fontId="1"/>
  </si>
  <si>
    <t>介護予防訪問看護</t>
    <rPh sb="0" eb="2">
      <t>カイゴ</t>
    </rPh>
    <rPh sb="2" eb="4">
      <t>ヨボウ</t>
    </rPh>
    <rPh sb="4" eb="6">
      <t>ホウモン</t>
    </rPh>
    <rPh sb="6" eb="8">
      <t>カンゴ</t>
    </rPh>
    <phoneticPr fontId="1"/>
  </si>
  <si>
    <t>介護予防訪問リハビリテーション</t>
    <rPh sb="0" eb="2">
      <t>カイゴ</t>
    </rPh>
    <rPh sb="2" eb="4">
      <t>ヨボウ</t>
    </rPh>
    <rPh sb="4" eb="6">
      <t>ホウモン</t>
    </rPh>
    <phoneticPr fontId="1"/>
  </si>
  <si>
    <t>介護予防通所介護</t>
    <rPh sb="0" eb="2">
      <t>カイゴ</t>
    </rPh>
    <rPh sb="2" eb="4">
      <t>ヨボウ</t>
    </rPh>
    <rPh sb="4" eb="6">
      <t>ツウショ</t>
    </rPh>
    <rPh sb="6" eb="8">
      <t>カイゴ</t>
    </rPh>
    <phoneticPr fontId="1"/>
  </si>
  <si>
    <t>介護予防通所リハビリテーション</t>
    <rPh sb="0" eb="2">
      <t>カイゴ</t>
    </rPh>
    <rPh sb="2" eb="4">
      <t>ヨボウ</t>
    </rPh>
    <rPh sb="4" eb="6">
      <t>ツウショ</t>
    </rPh>
    <phoneticPr fontId="1"/>
  </si>
  <si>
    <t>介護予防福祉用具貸与</t>
    <rPh sb="0" eb="2">
      <t>カイゴ</t>
    </rPh>
    <rPh sb="2" eb="4">
      <t>ヨボウ</t>
    </rPh>
    <rPh sb="4" eb="6">
      <t>フクシ</t>
    </rPh>
    <rPh sb="6" eb="8">
      <t>ヨウグ</t>
    </rPh>
    <rPh sb="8" eb="10">
      <t>タイヨ</t>
    </rPh>
    <phoneticPr fontId="1"/>
  </si>
  <si>
    <t>介護予防短期入所生活介護</t>
    <rPh sb="0" eb="2">
      <t>カイゴ</t>
    </rPh>
    <rPh sb="2" eb="4">
      <t>ヨボウ</t>
    </rPh>
    <rPh sb="4" eb="6">
      <t>タンキ</t>
    </rPh>
    <rPh sb="6" eb="8">
      <t>ニュウショ</t>
    </rPh>
    <rPh sb="8" eb="10">
      <t>セイカツ</t>
    </rPh>
    <rPh sb="10" eb="12">
      <t>カイゴ</t>
    </rPh>
    <phoneticPr fontId="1"/>
  </si>
  <si>
    <t>介護予防居宅療養管理指導</t>
    <rPh sb="0" eb="2">
      <t>カイゴ</t>
    </rPh>
    <rPh sb="2" eb="4">
      <t>ヨボウ</t>
    </rPh>
    <rPh sb="4" eb="6">
      <t>キョタク</t>
    </rPh>
    <rPh sb="6" eb="8">
      <t>リョウヨウ</t>
    </rPh>
    <rPh sb="8" eb="10">
      <t>カンリ</t>
    </rPh>
    <rPh sb="10" eb="12">
      <t>シドウ</t>
    </rPh>
    <phoneticPr fontId="1"/>
  </si>
  <si>
    <t>介護予防福祉用具購入費</t>
    <rPh sb="0" eb="2">
      <t>カイゴ</t>
    </rPh>
    <rPh sb="2" eb="4">
      <t>ヨボウ</t>
    </rPh>
    <rPh sb="4" eb="6">
      <t>フクシ</t>
    </rPh>
    <rPh sb="6" eb="8">
      <t>ヨウグ</t>
    </rPh>
    <rPh sb="8" eb="11">
      <t>コウニュウヒ</t>
    </rPh>
    <phoneticPr fontId="1"/>
  </si>
  <si>
    <t>介護予防住宅改修費</t>
    <rPh sb="0" eb="2">
      <t>カイゴ</t>
    </rPh>
    <rPh sb="2" eb="4">
      <t>ヨボウ</t>
    </rPh>
    <rPh sb="4" eb="6">
      <t>ジュウタク</t>
    </rPh>
    <rPh sb="6" eb="9">
      <t>カイシュウヒ</t>
    </rPh>
    <phoneticPr fontId="1"/>
  </si>
  <si>
    <t>介護予防支援</t>
    <rPh sb="0" eb="2">
      <t>カイゴ</t>
    </rPh>
    <rPh sb="2" eb="4">
      <t>ヨボウ</t>
    </rPh>
    <rPh sb="4" eb="6">
      <t>シエン</t>
    </rPh>
    <phoneticPr fontId="1"/>
  </si>
  <si>
    <t>特定入所者介護予防（食費）</t>
    <rPh sb="0" eb="2">
      <t>トクテイ</t>
    </rPh>
    <rPh sb="2" eb="5">
      <t>ニュウショシャ</t>
    </rPh>
    <rPh sb="5" eb="7">
      <t>カイゴ</t>
    </rPh>
    <rPh sb="7" eb="9">
      <t>ヨボウ</t>
    </rPh>
    <rPh sb="10" eb="12">
      <t>ショクヒ</t>
    </rPh>
    <phoneticPr fontId="1"/>
  </si>
  <si>
    <t>特定入所者介護予防（居住費）</t>
    <rPh sb="0" eb="2">
      <t>トクテイ</t>
    </rPh>
    <rPh sb="2" eb="5">
      <t>ニュウショシャ</t>
    </rPh>
    <rPh sb="5" eb="7">
      <t>カイゴ</t>
    </rPh>
    <rPh sb="7" eb="9">
      <t>ヨボウ</t>
    </rPh>
    <rPh sb="10" eb="12">
      <t>キョジュウ</t>
    </rPh>
    <rPh sb="12" eb="13">
      <t>ヒ</t>
    </rPh>
    <phoneticPr fontId="1"/>
  </si>
  <si>
    <t>介護予防認知症対応型通所介護</t>
    <rPh sb="0" eb="2">
      <t>カイゴ</t>
    </rPh>
    <rPh sb="2" eb="4">
      <t>ヨボウ</t>
    </rPh>
    <rPh sb="4" eb="7">
      <t>ニンチショウ</t>
    </rPh>
    <rPh sb="7" eb="10">
      <t>タイオウガタ</t>
    </rPh>
    <rPh sb="10" eb="12">
      <t>ツウショ</t>
    </rPh>
    <rPh sb="12" eb="14">
      <t>カイゴ</t>
    </rPh>
    <phoneticPr fontId="1"/>
  </si>
  <si>
    <t>介護予防小規模多機能型居宅介護</t>
    <rPh sb="0" eb="2">
      <t>カイゴ</t>
    </rPh>
    <rPh sb="2" eb="4">
      <t>ヨボウ</t>
    </rPh>
    <rPh sb="4" eb="7">
      <t>ショウキボ</t>
    </rPh>
    <rPh sb="7" eb="10">
      <t>タキノウ</t>
    </rPh>
    <rPh sb="10" eb="11">
      <t>ガタ</t>
    </rPh>
    <rPh sb="11" eb="13">
      <t>キョタク</t>
    </rPh>
    <rPh sb="13" eb="15">
      <t>カイゴ</t>
    </rPh>
    <phoneticPr fontId="1"/>
  </si>
  <si>
    <t>介護予防認知症対応型共同生活介護</t>
    <rPh sb="0" eb="2">
      <t>カイゴ</t>
    </rPh>
    <rPh sb="2" eb="4">
      <t>ヨボウ</t>
    </rPh>
    <rPh sb="4" eb="7">
      <t>ニンチショウ</t>
    </rPh>
    <rPh sb="7" eb="10">
      <t>タイオウガタ</t>
    </rPh>
    <rPh sb="10" eb="12">
      <t>キョウドウ</t>
    </rPh>
    <rPh sb="12" eb="14">
      <t>セイカツ</t>
    </rPh>
    <rPh sb="14" eb="16">
      <t>カイゴ</t>
    </rPh>
    <phoneticPr fontId="1"/>
  </si>
  <si>
    <t>地域密着型介護予防サービス</t>
    <rPh sb="0" eb="2">
      <t>チイキ</t>
    </rPh>
    <rPh sb="2" eb="5">
      <t>ミッチャクガタ</t>
    </rPh>
    <rPh sb="5" eb="7">
      <t>カイゴ</t>
    </rPh>
    <rPh sb="7" eb="9">
      <t>ヨボウ</t>
    </rPh>
    <phoneticPr fontId="1"/>
  </si>
  <si>
    <t>地域密着型介護老人福祉施設</t>
    <rPh sb="0" eb="2">
      <t>チイキ</t>
    </rPh>
    <rPh sb="2" eb="5">
      <t>ミッチャクガタ</t>
    </rPh>
    <rPh sb="5" eb="7">
      <t>カイゴ</t>
    </rPh>
    <rPh sb="7" eb="9">
      <t>ロウジン</t>
    </rPh>
    <rPh sb="9" eb="11">
      <t>フクシ</t>
    </rPh>
    <rPh sb="11" eb="13">
      <t>シセツ</t>
    </rPh>
    <phoneticPr fontId="1"/>
  </si>
  <si>
    <t>特定入所者介護　　　　　（居住費）</t>
    <rPh sb="0" eb="2">
      <t>トクテイ</t>
    </rPh>
    <rPh sb="2" eb="5">
      <t>ニュウショシャ</t>
    </rPh>
    <rPh sb="5" eb="7">
      <t>カイゴ</t>
    </rPh>
    <rPh sb="13" eb="15">
      <t>キョジュウ</t>
    </rPh>
    <rPh sb="15" eb="16">
      <t>ヒ</t>
    </rPh>
    <phoneticPr fontId="1"/>
  </si>
  <si>
    <t>特定入所者介護　　　　　（食費）</t>
    <rPh sb="0" eb="2">
      <t>トクテイ</t>
    </rPh>
    <rPh sb="2" eb="5">
      <t>ニュウショシャ</t>
    </rPh>
    <rPh sb="5" eb="7">
      <t>カイゴ</t>
    </rPh>
    <rPh sb="13" eb="15">
      <t>ショクヒ</t>
    </rPh>
    <phoneticPr fontId="1"/>
  </si>
  <si>
    <t>介護予防特定施設入居者生活介護</t>
    <rPh sb="0" eb="2">
      <t>カイゴ</t>
    </rPh>
    <rPh sb="2" eb="4">
      <t>ヨボウ</t>
    </rPh>
    <rPh sb="4" eb="6">
      <t>トクテイ</t>
    </rPh>
    <rPh sb="6" eb="8">
      <t>シセツ</t>
    </rPh>
    <rPh sb="8" eb="11">
      <t>ニュウキョシャ</t>
    </rPh>
    <rPh sb="11" eb="13">
      <t>セイカツ</t>
    </rPh>
    <rPh sb="13" eb="15">
      <t>カイゴ</t>
    </rPh>
    <phoneticPr fontId="1"/>
  </si>
  <si>
    <t>（単位：円）</t>
    <rPh sb="1" eb="3">
      <t>タンイ</t>
    </rPh>
    <rPh sb="4" eb="5">
      <t>エン</t>
    </rPh>
    <phoneticPr fontId="1"/>
  </si>
  <si>
    <t>居宅サービス　　　　　　　　　　計（A)</t>
    <rPh sb="0" eb="2">
      <t>キョタク</t>
    </rPh>
    <rPh sb="16" eb="17">
      <t>ケイ</t>
    </rPh>
    <phoneticPr fontId="1"/>
  </si>
  <si>
    <t>地域密着型サービス　　　　　　　　　　　　　　　　　計（B)</t>
    <rPh sb="0" eb="2">
      <t>チイキ</t>
    </rPh>
    <rPh sb="2" eb="5">
      <t>ミッチャクガタ</t>
    </rPh>
    <rPh sb="26" eb="27">
      <t>ケイ</t>
    </rPh>
    <phoneticPr fontId="1"/>
  </si>
  <si>
    <t>施設サービス計（C)　　</t>
    <rPh sb="0" eb="2">
      <t>シセツ</t>
    </rPh>
    <rPh sb="6" eb="7">
      <t>ケイ</t>
    </rPh>
    <phoneticPr fontId="1"/>
  </si>
  <si>
    <t>介護給付計（E)＝（A+B+C+D)</t>
    <rPh sb="0" eb="2">
      <t>カイゴ</t>
    </rPh>
    <rPh sb="2" eb="4">
      <t>キュウフ</t>
    </rPh>
    <rPh sb="4" eb="5">
      <t>ケイ</t>
    </rPh>
    <phoneticPr fontId="1"/>
  </si>
  <si>
    <t>予防居宅サービス計（F)</t>
    <rPh sb="0" eb="2">
      <t>ヨボウ</t>
    </rPh>
    <rPh sb="2" eb="4">
      <t>キョタク</t>
    </rPh>
    <rPh sb="8" eb="9">
      <t>ケイ</t>
    </rPh>
    <phoneticPr fontId="1"/>
  </si>
  <si>
    <t>地域密着型予防　　　　　　　　　　　　　　　　計（G)</t>
    <rPh sb="0" eb="2">
      <t>チイキ</t>
    </rPh>
    <rPh sb="2" eb="5">
      <t>ミッチャクガタ</t>
    </rPh>
    <rPh sb="5" eb="7">
      <t>ヨボウ</t>
    </rPh>
    <rPh sb="23" eb="24">
      <t>ケイ</t>
    </rPh>
    <phoneticPr fontId="1"/>
  </si>
  <si>
    <t>予防給付計（I)＝（F+G+H）</t>
    <rPh sb="0" eb="2">
      <t>ヨボウ</t>
    </rPh>
    <rPh sb="2" eb="4">
      <t>キュウフ</t>
    </rPh>
    <rPh sb="4" eb="5">
      <t>ケイ</t>
    </rPh>
    <phoneticPr fontId="1"/>
  </si>
  <si>
    <t>審査支払手数料　　　（J)</t>
    <rPh sb="0" eb="2">
      <t>シンサ</t>
    </rPh>
    <rPh sb="2" eb="4">
      <t>シハライ</t>
    </rPh>
    <rPh sb="4" eb="7">
      <t>テスウリョウ</t>
    </rPh>
    <phoneticPr fontId="1"/>
  </si>
  <si>
    <t>合計（K)=(E+I+J)</t>
    <rPh sb="0" eb="2">
      <t>ゴウケイ</t>
    </rPh>
    <phoneticPr fontId="1"/>
  </si>
  <si>
    <t>合　計</t>
    <rPh sb="0" eb="1">
      <t>ゴウ</t>
    </rPh>
    <rPh sb="2" eb="3">
      <t>ケイ</t>
    </rPh>
    <phoneticPr fontId="1"/>
  </si>
  <si>
    <t>市町村名</t>
    <rPh sb="0" eb="4">
      <t>シチョウソンメイ</t>
    </rPh>
    <phoneticPr fontId="1"/>
  </si>
  <si>
    <t>①施設等分（施設サービス計＋特定施設入居者生活介護＋介護予防特定施設入居者生活介護）</t>
    <rPh sb="1" eb="3">
      <t>シセツ</t>
    </rPh>
    <rPh sb="3" eb="4">
      <t>トウ</t>
    </rPh>
    <rPh sb="4" eb="5">
      <t>ブン</t>
    </rPh>
    <rPh sb="6" eb="8">
      <t>シセツ</t>
    </rPh>
    <rPh sb="12" eb="13">
      <t>ケイ</t>
    </rPh>
    <rPh sb="14" eb="16">
      <t>トクテイ</t>
    </rPh>
    <rPh sb="16" eb="18">
      <t>シセツ</t>
    </rPh>
    <rPh sb="18" eb="21">
      <t>ニュウキョシャ</t>
    </rPh>
    <rPh sb="21" eb="23">
      <t>セイカツ</t>
    </rPh>
    <rPh sb="23" eb="25">
      <t>カイゴ</t>
    </rPh>
    <rPh sb="26" eb="28">
      <t>カイゴ</t>
    </rPh>
    <rPh sb="28" eb="30">
      <t>ヨボウ</t>
    </rPh>
    <rPh sb="30" eb="32">
      <t>トクテイ</t>
    </rPh>
    <rPh sb="32" eb="34">
      <t>シセツ</t>
    </rPh>
    <rPh sb="34" eb="37">
      <t>ニュウキョシャ</t>
    </rPh>
    <rPh sb="37" eb="39">
      <t>セイカツ</t>
    </rPh>
    <rPh sb="39" eb="41">
      <t>カイゴ</t>
    </rPh>
    <phoneticPr fontId="1"/>
  </si>
  <si>
    <t>②その他分</t>
    <rPh sb="3" eb="5">
      <t>タブン</t>
    </rPh>
    <phoneticPr fontId="1"/>
  </si>
  <si>
    <t>①×１７．５％</t>
    <phoneticPr fontId="1"/>
  </si>
  <si>
    <t>②×１２．５％</t>
    <phoneticPr fontId="1"/>
  </si>
  <si>
    <t>　記入上の注意事項　</t>
    <rPh sb="1" eb="4">
      <t>キニュウジョウ</t>
    </rPh>
    <rPh sb="5" eb="7">
      <t>チュウイ</t>
    </rPh>
    <rPh sb="7" eb="9">
      <t>ジコウ</t>
    </rPh>
    <phoneticPr fontId="1"/>
  </si>
  <si>
    <t>県費負担金の所要見込額</t>
    <rPh sb="0" eb="5">
      <t>ケンピフタンキン</t>
    </rPh>
    <rPh sb="6" eb="8">
      <t>ショヨウ</t>
    </rPh>
    <rPh sb="8" eb="11">
      <t>ミコミガク</t>
    </rPh>
    <phoneticPr fontId="1"/>
  </si>
  <si>
    <t>高額（医療合算）　　介護サービス（D)</t>
    <rPh sb="0" eb="2">
      <t>コウガク</t>
    </rPh>
    <rPh sb="3" eb="5">
      <t>イリョウ</t>
    </rPh>
    <rPh sb="5" eb="7">
      <t>ガッサン</t>
    </rPh>
    <rPh sb="10" eb="12">
      <t>カイゴ</t>
    </rPh>
    <phoneticPr fontId="1"/>
  </si>
  <si>
    <t>１　本表は、福島県国民健康保険団体連合会から提出される業務統計表等を基に作成すること。</t>
    <rPh sb="2" eb="4">
      <t>ホンピョウ</t>
    </rPh>
    <rPh sb="6" eb="9">
      <t>フクシマケン</t>
    </rPh>
    <rPh sb="9" eb="11">
      <t>コクミン</t>
    </rPh>
    <rPh sb="11" eb="13">
      <t>ケンコウ</t>
    </rPh>
    <rPh sb="13" eb="15">
      <t>ホケン</t>
    </rPh>
    <rPh sb="15" eb="17">
      <t>ダンタイ</t>
    </rPh>
    <rPh sb="17" eb="20">
      <t>レンゴウカイ</t>
    </rPh>
    <rPh sb="22" eb="24">
      <t>テイシュツ</t>
    </rPh>
    <rPh sb="27" eb="29">
      <t>ギョウム</t>
    </rPh>
    <rPh sb="29" eb="32">
      <t>トウケイヒョウ</t>
    </rPh>
    <rPh sb="32" eb="33">
      <t>ナド</t>
    </rPh>
    <rPh sb="34" eb="35">
      <t>モト</t>
    </rPh>
    <rPh sb="36" eb="38">
      <t>サクセイ</t>
    </rPh>
    <phoneticPr fontId="1"/>
  </si>
  <si>
    <t>４　本表に記入する数値のうち見込に係るもので関数を使用するときは、＠INT又は＠ROUNDを用い、小数点以下の計算がなされないようにすること。（単純に月数で除する計算式は入力しないこと）</t>
    <rPh sb="2" eb="4">
      <t>ホンピョウ</t>
    </rPh>
    <rPh sb="5" eb="7">
      <t>キニュウ</t>
    </rPh>
    <rPh sb="9" eb="11">
      <t>スウチ</t>
    </rPh>
    <rPh sb="14" eb="16">
      <t>ミコミ</t>
    </rPh>
    <rPh sb="17" eb="18">
      <t>カカ</t>
    </rPh>
    <rPh sb="22" eb="24">
      <t>カンスウ</t>
    </rPh>
    <rPh sb="25" eb="27">
      <t>シヨウ</t>
    </rPh>
    <rPh sb="37" eb="38">
      <t>マタ</t>
    </rPh>
    <rPh sb="46" eb="47">
      <t>モチ</t>
    </rPh>
    <rPh sb="49" eb="52">
      <t>ショウスウテン</t>
    </rPh>
    <rPh sb="52" eb="54">
      <t>イカ</t>
    </rPh>
    <rPh sb="55" eb="57">
      <t>ケイサン</t>
    </rPh>
    <rPh sb="72" eb="74">
      <t>タンジュン</t>
    </rPh>
    <rPh sb="75" eb="77">
      <t>ツキスウ</t>
    </rPh>
    <rPh sb="78" eb="79">
      <t>ジョ</t>
    </rPh>
    <rPh sb="81" eb="84">
      <t>ケイサンシキ</t>
    </rPh>
    <rPh sb="85" eb="87">
      <t>ニュウリョク</t>
    </rPh>
    <phoneticPr fontId="1"/>
  </si>
  <si>
    <t>複合型サービス</t>
    <rPh sb="0" eb="3">
      <t>フクゴウガタ</t>
    </rPh>
    <phoneticPr fontId="1"/>
  </si>
  <si>
    <t>短期入所療養介護
（特別療養費、特定診療費含む）</t>
    <rPh sb="0" eb="2">
      <t>タンキ</t>
    </rPh>
    <rPh sb="2" eb="4">
      <t>ニュウショ</t>
    </rPh>
    <rPh sb="10" eb="12">
      <t>トクベツ</t>
    </rPh>
    <rPh sb="12" eb="15">
      <t>リョウヨウヒ</t>
    </rPh>
    <rPh sb="16" eb="18">
      <t>トクテイ</t>
    </rPh>
    <rPh sb="18" eb="21">
      <t>シンリョウヒ</t>
    </rPh>
    <rPh sb="21" eb="22">
      <t>フク</t>
    </rPh>
    <phoneticPr fontId="1"/>
  </si>
  <si>
    <t>特定入所者介護　　　　　　（食費）</t>
    <rPh sb="0" eb="2">
      <t>トクテイ</t>
    </rPh>
    <rPh sb="2" eb="5">
      <t>ニュウショシャ</t>
    </rPh>
    <rPh sb="5" eb="7">
      <t>カイゴ</t>
    </rPh>
    <rPh sb="14" eb="16">
      <t>ショクヒ</t>
    </rPh>
    <phoneticPr fontId="1"/>
  </si>
  <si>
    <t>介護老人保健施設
（特定治療、特別療養費含む）</t>
    <rPh sb="0" eb="2">
      <t>カイゴ</t>
    </rPh>
    <rPh sb="2" eb="4">
      <t>ロウジン</t>
    </rPh>
    <rPh sb="4" eb="6">
      <t>ホケン</t>
    </rPh>
    <rPh sb="6" eb="8">
      <t>シセツ</t>
    </rPh>
    <rPh sb="10" eb="12">
      <t>トクテイ</t>
    </rPh>
    <rPh sb="12" eb="14">
      <t>チリョウ</t>
    </rPh>
    <rPh sb="15" eb="17">
      <t>トクベツ</t>
    </rPh>
    <rPh sb="17" eb="20">
      <t>リョウヨウヒ</t>
    </rPh>
    <rPh sb="20" eb="21">
      <t>フク</t>
    </rPh>
    <phoneticPr fontId="1"/>
  </si>
  <si>
    <t>特定入所者介護　　　　（食費）</t>
    <rPh sb="0" eb="2">
      <t>トクテイ</t>
    </rPh>
    <rPh sb="2" eb="5">
      <t>ニュウショシャ</t>
    </rPh>
    <rPh sb="5" eb="7">
      <t>カイゴ</t>
    </rPh>
    <rPh sb="12" eb="14">
      <t>ショクヒ</t>
    </rPh>
    <phoneticPr fontId="1"/>
  </si>
  <si>
    <t>介護予防短期入所療養介護
（特別療養費、特定診療費含む）</t>
    <rPh sb="0" eb="2">
      <t>カイゴ</t>
    </rPh>
    <rPh sb="2" eb="4">
      <t>ヨボウ</t>
    </rPh>
    <rPh sb="4" eb="6">
      <t>タンキ</t>
    </rPh>
    <rPh sb="6" eb="8">
      <t>ニュウショ</t>
    </rPh>
    <phoneticPr fontId="1"/>
  </si>
  <si>
    <t>高額（医療合算）　　介護予防サービス（Ｈ）</t>
    <rPh sb="0" eb="2">
      <t>コウガク</t>
    </rPh>
    <rPh sb="3" eb="5">
      <t>イリョウ</t>
    </rPh>
    <rPh sb="5" eb="7">
      <t>ガッサン</t>
    </rPh>
    <rPh sb="10" eb="12">
      <t>カイゴ</t>
    </rPh>
    <rPh sb="12" eb="14">
      <t>ヨボウ</t>
    </rPh>
    <phoneticPr fontId="1"/>
  </si>
  <si>
    <t>夜間対応型訪問介護</t>
    <phoneticPr fontId="1"/>
  </si>
  <si>
    <t>定期巡回・随時対応型訪問介護看護</t>
    <phoneticPr fontId="1"/>
  </si>
  <si>
    <r>
      <t>３　給付額には、特別調整交付金の交付対象となる額（</t>
    </r>
    <r>
      <rPr>
        <b/>
        <u/>
        <sz val="14"/>
        <color indexed="10"/>
        <rFont val="ＭＳ Ｐゴシック"/>
        <family val="3"/>
        <charset val="128"/>
      </rPr>
      <t>避難地域等以外に住所のある（あった）被保険者の利用料減免分</t>
    </r>
    <r>
      <rPr>
        <b/>
        <sz val="14"/>
        <color indexed="10"/>
        <rFont val="ＭＳ Ｐゴシック"/>
        <family val="3"/>
        <charset val="128"/>
      </rPr>
      <t>）を含めること。</t>
    </r>
    <rPh sb="2" eb="5">
      <t>キュウフガク</t>
    </rPh>
    <rPh sb="8" eb="10">
      <t>トクベツ</t>
    </rPh>
    <rPh sb="10" eb="12">
      <t>チョウセイ</t>
    </rPh>
    <rPh sb="12" eb="15">
      <t>コウフキン</t>
    </rPh>
    <rPh sb="16" eb="18">
      <t>コウフ</t>
    </rPh>
    <rPh sb="18" eb="20">
      <t>タイショウ</t>
    </rPh>
    <rPh sb="23" eb="24">
      <t>ガク</t>
    </rPh>
    <rPh sb="25" eb="27">
      <t>ヒナン</t>
    </rPh>
    <rPh sb="27" eb="29">
      <t>チイキ</t>
    </rPh>
    <rPh sb="29" eb="30">
      <t>ナド</t>
    </rPh>
    <rPh sb="30" eb="32">
      <t>イガイ</t>
    </rPh>
    <rPh sb="33" eb="35">
      <t>ジュウショ</t>
    </rPh>
    <rPh sb="43" eb="47">
      <t>ヒホケンシャ</t>
    </rPh>
    <rPh sb="48" eb="51">
      <t>リヨウリョウ</t>
    </rPh>
    <rPh sb="51" eb="53">
      <t>ゲンメン</t>
    </rPh>
    <rPh sb="53" eb="54">
      <t>ブン</t>
    </rPh>
    <rPh sb="56" eb="57">
      <t>フク</t>
    </rPh>
    <phoneticPr fontId="1"/>
  </si>
  <si>
    <t>２　給付額には、災害臨時特例補助金（災害臨時特例補助金および特別調整交付金）により支援される予定の額（原子力事故による避難地域等に住所のある（あった）被保険者の利用料減免分）は除くこと。</t>
    <rPh sb="2" eb="5">
      <t>キュウフガク</t>
    </rPh>
    <rPh sb="8" eb="10">
      <t>サイガイ</t>
    </rPh>
    <rPh sb="10" eb="12">
      <t>リンジ</t>
    </rPh>
    <rPh sb="12" eb="14">
      <t>トクレイ</t>
    </rPh>
    <rPh sb="14" eb="17">
      <t>ホジョキン</t>
    </rPh>
    <rPh sb="18" eb="20">
      <t>サイガイ</t>
    </rPh>
    <rPh sb="20" eb="22">
      <t>リンジ</t>
    </rPh>
    <rPh sb="22" eb="24">
      <t>トクレイ</t>
    </rPh>
    <rPh sb="24" eb="27">
      <t>ホジョキン</t>
    </rPh>
    <rPh sb="30" eb="32">
      <t>トクベツ</t>
    </rPh>
    <rPh sb="32" eb="34">
      <t>チョウセイ</t>
    </rPh>
    <rPh sb="34" eb="37">
      <t>コウフキン</t>
    </rPh>
    <rPh sb="41" eb="43">
      <t>シエン</t>
    </rPh>
    <rPh sb="46" eb="48">
      <t>ヨテイ</t>
    </rPh>
    <rPh sb="49" eb="50">
      <t>ガク</t>
    </rPh>
    <rPh sb="88" eb="89">
      <t>ノゾ</t>
    </rPh>
    <phoneticPr fontId="1"/>
  </si>
  <si>
    <t>地域密着型通所介護</t>
    <rPh sb="0" eb="2">
      <t>チイキ</t>
    </rPh>
    <rPh sb="2" eb="5">
      <t>ミッチャクガタ</t>
    </rPh>
    <rPh sb="5" eb="7">
      <t>ツウショ</t>
    </rPh>
    <rPh sb="7" eb="9">
      <t>カイゴ</t>
    </rPh>
    <phoneticPr fontId="1"/>
  </si>
  <si>
    <t>小野町</t>
    <rPh sb="0" eb="3">
      <t>オノマチ</t>
    </rPh>
    <phoneticPr fontId="1"/>
  </si>
  <si>
    <t>１０月までの平均値</t>
    <rPh sb="2" eb="3">
      <t>ガツ</t>
    </rPh>
    <rPh sb="6" eb="9">
      <t>ヘイキンチ</t>
    </rPh>
    <phoneticPr fontId="1"/>
  </si>
  <si>
    <t>最高値</t>
    <rPh sb="0" eb="2">
      <t>サイコウ</t>
    </rPh>
    <rPh sb="2" eb="3">
      <t>チ</t>
    </rPh>
    <phoneticPr fontId="1"/>
  </si>
  <si>
    <t>平均値と最高値の平均値</t>
    <rPh sb="0" eb="3">
      <t>ヘイキンチ</t>
    </rPh>
    <rPh sb="4" eb="6">
      <t>サイコウ</t>
    </rPh>
    <rPh sb="6" eb="7">
      <t>チ</t>
    </rPh>
    <rPh sb="8" eb="11">
      <t>ヘイキンチ</t>
    </rPh>
    <phoneticPr fontId="1"/>
  </si>
  <si>
    <t>３月サービス分</t>
    <rPh sb="1" eb="2">
      <t>ガツ</t>
    </rPh>
    <rPh sb="6" eb="7">
      <t>ブン</t>
    </rPh>
    <phoneticPr fontId="1"/>
  </si>
  <si>
    <t>４月サービス分</t>
    <rPh sb="1" eb="2">
      <t>ガツ</t>
    </rPh>
    <rPh sb="6" eb="7">
      <t>ブン</t>
    </rPh>
    <phoneticPr fontId="1"/>
  </si>
  <si>
    <t>５月サービス分</t>
    <rPh sb="1" eb="2">
      <t>ガツ</t>
    </rPh>
    <rPh sb="6" eb="7">
      <t>ブン</t>
    </rPh>
    <phoneticPr fontId="1"/>
  </si>
  <si>
    <t>６月サービス分</t>
    <rPh sb="1" eb="2">
      <t>ガツ</t>
    </rPh>
    <rPh sb="6" eb="7">
      <t>ブン</t>
    </rPh>
    <phoneticPr fontId="1"/>
  </si>
  <si>
    <t>７月サービス分</t>
    <rPh sb="1" eb="2">
      <t>ガツ</t>
    </rPh>
    <rPh sb="6" eb="7">
      <t>ブン</t>
    </rPh>
    <phoneticPr fontId="1"/>
  </si>
  <si>
    <t>８月サービス分</t>
    <rPh sb="1" eb="2">
      <t>ガツ</t>
    </rPh>
    <rPh sb="6" eb="7">
      <t>ブン</t>
    </rPh>
    <phoneticPr fontId="1"/>
  </si>
  <si>
    <t>９月サービス分</t>
    <rPh sb="1" eb="2">
      <t>ガツ</t>
    </rPh>
    <rPh sb="6" eb="7">
      <t>ブン</t>
    </rPh>
    <phoneticPr fontId="1"/>
  </si>
  <si>
    <t>１０月サービス分</t>
    <rPh sb="2" eb="3">
      <t>ガツ</t>
    </rPh>
    <rPh sb="7" eb="8">
      <t>ブン</t>
    </rPh>
    <phoneticPr fontId="1"/>
  </si>
  <si>
    <t>保険者別　国保連合会業務統計表（確定給付統計）</t>
    <phoneticPr fontId="1"/>
  </si>
  <si>
    <t>保険者番号：075226　保険者名：小野町</t>
  </si>
  <si>
    <t>保険給付額</t>
    <phoneticPr fontId="1"/>
  </si>
  <si>
    <t>種別</t>
    <phoneticPr fontId="1"/>
  </si>
  <si>
    <t>合計</t>
    <rPh sb="0" eb="2">
      <t>ゴウケイ</t>
    </rPh>
    <phoneticPr fontId="1"/>
  </si>
  <si>
    <t>4月審査分</t>
    <rPh sb="1" eb="2">
      <t>ガツ</t>
    </rPh>
    <rPh sb="2" eb="4">
      <t>シンサ</t>
    </rPh>
    <rPh sb="4" eb="5">
      <t>ブン</t>
    </rPh>
    <phoneticPr fontId="1"/>
  </si>
  <si>
    <t>5月審査分</t>
    <rPh sb="1" eb="2">
      <t>ガツ</t>
    </rPh>
    <rPh sb="2" eb="4">
      <t>シンサ</t>
    </rPh>
    <rPh sb="4" eb="5">
      <t>ブン</t>
    </rPh>
    <phoneticPr fontId="1"/>
  </si>
  <si>
    <t>6月審査分</t>
    <rPh sb="1" eb="2">
      <t>ガツ</t>
    </rPh>
    <rPh sb="2" eb="4">
      <t>シンサ</t>
    </rPh>
    <rPh sb="4" eb="5">
      <t>ブン</t>
    </rPh>
    <phoneticPr fontId="1"/>
  </si>
  <si>
    <t>7月審査分</t>
    <rPh sb="1" eb="2">
      <t>ガツ</t>
    </rPh>
    <rPh sb="2" eb="4">
      <t>シンサ</t>
    </rPh>
    <rPh sb="4" eb="5">
      <t>ブン</t>
    </rPh>
    <phoneticPr fontId="1"/>
  </si>
  <si>
    <t>8月審査分</t>
    <rPh sb="1" eb="2">
      <t>ガツ</t>
    </rPh>
    <rPh sb="2" eb="4">
      <t>シンサ</t>
    </rPh>
    <rPh sb="4" eb="5">
      <t>ブン</t>
    </rPh>
    <phoneticPr fontId="1"/>
  </si>
  <si>
    <t>9月審査分</t>
    <rPh sb="1" eb="2">
      <t>ガツ</t>
    </rPh>
    <rPh sb="2" eb="4">
      <t>シンサ</t>
    </rPh>
    <rPh sb="4" eb="5">
      <t>ブン</t>
    </rPh>
    <phoneticPr fontId="1"/>
  </si>
  <si>
    <t>10月審査分</t>
    <rPh sb="2" eb="3">
      <t>ガツ</t>
    </rPh>
    <rPh sb="3" eb="5">
      <t>シンサ</t>
    </rPh>
    <rPh sb="5" eb="6">
      <t>ブン</t>
    </rPh>
    <phoneticPr fontId="1"/>
  </si>
  <si>
    <t>11月審査分</t>
    <rPh sb="2" eb="3">
      <t>ガツ</t>
    </rPh>
    <rPh sb="3" eb="5">
      <t>シンサ</t>
    </rPh>
    <rPh sb="5" eb="6">
      <t>ブン</t>
    </rPh>
    <phoneticPr fontId="1"/>
  </si>
  <si>
    <t>12月審査分</t>
    <rPh sb="2" eb="3">
      <t>ガツ</t>
    </rPh>
    <rPh sb="3" eb="5">
      <t>シンサ</t>
    </rPh>
    <rPh sb="5" eb="6">
      <t>ブン</t>
    </rPh>
    <phoneticPr fontId="1"/>
  </si>
  <si>
    <t>1月審査分</t>
    <rPh sb="1" eb="2">
      <t>ガツ</t>
    </rPh>
    <rPh sb="2" eb="4">
      <t>シンサ</t>
    </rPh>
    <rPh sb="4" eb="5">
      <t>ブン</t>
    </rPh>
    <phoneticPr fontId="1"/>
  </si>
  <si>
    <t>2月審査分</t>
    <rPh sb="1" eb="2">
      <t>ガツ</t>
    </rPh>
    <rPh sb="2" eb="4">
      <t>シンサ</t>
    </rPh>
    <rPh sb="4" eb="5">
      <t>ブン</t>
    </rPh>
    <phoneticPr fontId="1"/>
  </si>
  <si>
    <t>3月審査分</t>
    <rPh sb="1" eb="2">
      <t>ガツ</t>
    </rPh>
    <rPh sb="2" eb="4">
      <t>シンサ</t>
    </rPh>
    <rPh sb="4" eb="5">
      <t>ブン</t>
    </rPh>
    <phoneticPr fontId="1"/>
  </si>
  <si>
    <t>合計</t>
  </si>
  <si>
    <t>居宅サービス計</t>
  </si>
  <si>
    <t>訪問通所小計</t>
    <rPh sb="2" eb="3">
      <t>ツウ</t>
    </rPh>
    <rPh sb="3" eb="4">
      <t>ショ</t>
    </rPh>
    <rPh sb="4" eb="6">
      <t>ショウケイ</t>
    </rPh>
    <phoneticPr fontId="1"/>
  </si>
  <si>
    <t>11訪問介護</t>
  </si>
  <si>
    <t>12訪問入浴介護</t>
  </si>
  <si>
    <t>13訪問看護</t>
  </si>
  <si>
    <t>14訪問リハビリテーション</t>
  </si>
  <si>
    <t>15通所介護</t>
  </si>
  <si>
    <t>16通所リハビリテーション</t>
  </si>
  <si>
    <t>17福祉用具貸与</t>
  </si>
  <si>
    <t>61介護予防訪問介護</t>
  </si>
  <si>
    <t>62介護予防訪問入浴介護</t>
  </si>
  <si>
    <t>63介護予防訪問看護</t>
  </si>
  <si>
    <t>64介護予防訪問リハビリテーション</t>
  </si>
  <si>
    <t>65介護予防通所介護</t>
  </si>
  <si>
    <t>66介護予防通所リハビリテーション</t>
  </si>
  <si>
    <t>67介護予防福祉用具貸与</t>
  </si>
  <si>
    <t>短期入所小計</t>
    <phoneticPr fontId="1"/>
  </si>
  <si>
    <t>21短期入所生活介護</t>
  </si>
  <si>
    <t>22短期入所療養介護（老健）</t>
  </si>
  <si>
    <t>2A短期入所療養介護（介護医療院）</t>
    <phoneticPr fontId="1"/>
  </si>
  <si>
    <t>23短期入所療養介護（病院等）</t>
  </si>
  <si>
    <t>24介護予防短期入所生活介護</t>
  </si>
  <si>
    <t>25介護予防短期入所療養介護（老健）</t>
  </si>
  <si>
    <t>2B介護予防短期入所療養介護（介護医療院）</t>
    <phoneticPr fontId="1"/>
  </si>
  <si>
    <t>26介護予防短期入所療養介護（病院等）</t>
  </si>
  <si>
    <t xml:space="preserve">  22特定治療（再掲）</t>
  </si>
  <si>
    <t xml:space="preserve">  22特別療養費（再掲）</t>
    <phoneticPr fontId="1"/>
  </si>
  <si>
    <t xml:space="preserve">  2A特定治療（再掲）</t>
    <phoneticPr fontId="1"/>
  </si>
  <si>
    <t xml:space="preserve">  2A特別診療費（再掲）</t>
  </si>
  <si>
    <t xml:space="preserve">  23特定診療費（再掲）</t>
  </si>
  <si>
    <t xml:space="preserve">  25特定治療（再掲）</t>
  </si>
  <si>
    <t xml:space="preserve">  25特別療養費（再掲）</t>
    <phoneticPr fontId="1"/>
  </si>
  <si>
    <t xml:space="preserve">  2B特定治療（再掲）</t>
    <phoneticPr fontId="1"/>
  </si>
  <si>
    <t xml:space="preserve">  2B特別診療費（再掲）</t>
  </si>
  <si>
    <t xml:space="preserve">  26特定診療費（再掲）</t>
  </si>
  <si>
    <t>31居宅療養管理指導</t>
  </si>
  <si>
    <t>33特定施設入居者生活介護</t>
  </si>
  <si>
    <t>27特定施設入居者生活介護（短期）</t>
    <phoneticPr fontId="1"/>
  </si>
  <si>
    <t>34介護予防居宅療養管理指導</t>
  </si>
  <si>
    <t>35介護予防特定施設入居者生活介護</t>
  </si>
  <si>
    <t>43居宅介護支援</t>
    <phoneticPr fontId="1"/>
  </si>
  <si>
    <t>46介護予防支援</t>
  </si>
  <si>
    <t>81市町村特別給付</t>
    <rPh sb="2" eb="5">
      <t>シチョウソン</t>
    </rPh>
    <rPh sb="5" eb="7">
      <t>トクベツ</t>
    </rPh>
    <rPh sb="7" eb="9">
      <t>キュウフ</t>
    </rPh>
    <phoneticPr fontId="1"/>
  </si>
  <si>
    <t>地域密着型サービス計</t>
    <phoneticPr fontId="1"/>
  </si>
  <si>
    <t>76定期巡回・随時対応型訪問介護看護</t>
  </si>
  <si>
    <t>71夜間対応型訪問介護</t>
  </si>
  <si>
    <t>78地域密着型通所介護</t>
    <phoneticPr fontId="1"/>
  </si>
  <si>
    <t>72認知症対応型通所介護</t>
  </si>
  <si>
    <t>73小規模多機能型居宅介護</t>
  </si>
  <si>
    <t>68小規模多機能型居宅介護（短期）</t>
    <phoneticPr fontId="1"/>
  </si>
  <si>
    <t>32認知症対応型共同生活介護</t>
  </si>
  <si>
    <t>38認知症対応型共同生活介護(短期)</t>
  </si>
  <si>
    <t>36地域密着型特定施設入居者生活介護</t>
    <phoneticPr fontId="1"/>
  </si>
  <si>
    <t>28地域密着型特定施設入居者生活介護（短期）</t>
    <phoneticPr fontId="1"/>
  </si>
  <si>
    <t>54地域密着型介護老人福祉施設入所者生活介護</t>
  </si>
  <si>
    <t>77複合型サービス（看護小規模多機能型居宅介護）</t>
    <phoneticPr fontId="1"/>
  </si>
  <si>
    <t>79複合型サービス（看護小規模多機能型居宅介護・短期）</t>
    <phoneticPr fontId="1"/>
  </si>
  <si>
    <t>74介護予防認知症対応型通所介護</t>
  </si>
  <si>
    <t>75介護予防小規模多機能型居宅介護</t>
  </si>
  <si>
    <t>69介護予防小規模多機能型居宅介護（短期）</t>
    <phoneticPr fontId="1"/>
  </si>
  <si>
    <t>37介護予防認知症対応型共同生活介護</t>
  </si>
  <si>
    <t>39介護予防認知症型共同生活介護(短期)</t>
  </si>
  <si>
    <t>施設サービス計</t>
  </si>
  <si>
    <t>51介護福祉施設サービス</t>
  </si>
  <si>
    <t>52介護保健施設サービス</t>
  </si>
  <si>
    <t>55介護医療院サービス</t>
    <phoneticPr fontId="1"/>
  </si>
  <si>
    <t>53介護療養施設サービス</t>
  </si>
  <si>
    <t xml:space="preserve">  52特定治療（再掲）</t>
  </si>
  <si>
    <t xml:space="preserve">  52特別療養費（再掲）</t>
    <phoneticPr fontId="1"/>
  </si>
  <si>
    <t xml:space="preserve">  55特定治療（再掲）</t>
    <phoneticPr fontId="1"/>
  </si>
  <si>
    <t xml:space="preserve">  55特別診療費（再掲）</t>
  </si>
  <si>
    <t xml:space="preserve">  53特定診療費（再掲）</t>
  </si>
  <si>
    <t>総合事業計</t>
    <phoneticPr fontId="1"/>
  </si>
  <si>
    <t>訪問型サービス小計</t>
    <rPh sb="0" eb="2">
      <t>ホウモン</t>
    </rPh>
    <rPh sb="2" eb="3">
      <t>ガタ</t>
    </rPh>
    <rPh sb="7" eb="9">
      <t>ショウケイ</t>
    </rPh>
    <phoneticPr fontId="1"/>
  </si>
  <si>
    <t>A1訪問型サービス（みなし）</t>
    <phoneticPr fontId="1"/>
  </si>
  <si>
    <t>A2訪問型サービス（独自）</t>
    <phoneticPr fontId="1"/>
  </si>
  <si>
    <t>A3訪問型サービス（独自／定率）</t>
    <phoneticPr fontId="1"/>
  </si>
  <si>
    <t>A4訪問型サービス（独自／定額）</t>
    <phoneticPr fontId="1"/>
  </si>
  <si>
    <t>通所型サービス小計</t>
    <rPh sb="0" eb="2">
      <t>ツウショ</t>
    </rPh>
    <rPh sb="2" eb="3">
      <t>ガタ</t>
    </rPh>
    <rPh sb="7" eb="9">
      <t>ショウケイ</t>
    </rPh>
    <phoneticPr fontId="1"/>
  </si>
  <si>
    <t>A5通所型サービス（みなし）</t>
    <phoneticPr fontId="1"/>
  </si>
  <si>
    <t>A6通所型サービス（独自）</t>
    <phoneticPr fontId="1"/>
  </si>
  <si>
    <t>A7通所型サービス（独自／定率）</t>
    <phoneticPr fontId="1"/>
  </si>
  <si>
    <t>A8通所型サービス（独自／定額）</t>
    <phoneticPr fontId="1"/>
  </si>
  <si>
    <t>その他の生活支援サービス小計</t>
    <rPh sb="2" eb="3">
      <t>タ</t>
    </rPh>
    <rPh sb="4" eb="6">
      <t>セイカツ</t>
    </rPh>
    <rPh sb="6" eb="8">
      <t>シエン</t>
    </rPh>
    <rPh sb="12" eb="14">
      <t>ショウケイ</t>
    </rPh>
    <phoneticPr fontId="1"/>
  </si>
  <si>
    <t>A9その他の生活支援サービス（配食／定率）</t>
    <phoneticPr fontId="1"/>
  </si>
  <si>
    <t>AAその他の生活支援サービス（配食／定額）</t>
    <phoneticPr fontId="1"/>
  </si>
  <si>
    <t>ABその他の生活支援サービス（見守り／定率）</t>
    <phoneticPr fontId="1"/>
  </si>
  <si>
    <t>ACその他の生活支援サービス（見守り／定額）</t>
    <phoneticPr fontId="1"/>
  </si>
  <si>
    <t>ADその他の生活支援サービス（その他／定率）</t>
    <phoneticPr fontId="1"/>
  </si>
  <si>
    <t>AEその他の生活支援サービス（その他／定額）</t>
    <phoneticPr fontId="1"/>
  </si>
  <si>
    <t>AF介護予防ケアマネジメント</t>
    <phoneticPr fontId="1"/>
  </si>
  <si>
    <t>保険者別　国保連合会業務統計表（確定給付統計）</t>
    <phoneticPr fontId="1"/>
  </si>
  <si>
    <t>特定入所者介護サービス費の給付状況その３</t>
    <phoneticPr fontId="1"/>
  </si>
  <si>
    <t>種別</t>
    <rPh sb="0" eb="2">
      <t>シュベツ</t>
    </rPh>
    <phoneticPr fontId="1"/>
  </si>
  <si>
    <t>計</t>
  </si>
  <si>
    <t>保険給付額</t>
    <phoneticPr fontId="1"/>
  </si>
  <si>
    <t>合計</t>
    <phoneticPr fontId="1"/>
  </si>
  <si>
    <t>食費</t>
    <rPh sb="0" eb="2">
      <t>ショクヒ</t>
    </rPh>
    <phoneticPr fontId="1"/>
  </si>
  <si>
    <t>居住費</t>
    <rPh sb="0" eb="2">
      <t>キョジュウ</t>
    </rPh>
    <rPh sb="2" eb="3">
      <t>ヒ</t>
    </rPh>
    <phoneticPr fontId="1"/>
  </si>
  <si>
    <t>短期入所サービス計</t>
    <rPh sb="0" eb="2">
      <t>タンキ</t>
    </rPh>
    <rPh sb="2" eb="4">
      <t>ニュウショ</t>
    </rPh>
    <phoneticPr fontId="1"/>
  </si>
  <si>
    <t>滞在費</t>
    <rPh sb="0" eb="3">
      <t>タイザイヒ</t>
    </rPh>
    <phoneticPr fontId="1"/>
  </si>
  <si>
    <t>21短期入所生活介護</t>
    <phoneticPr fontId="1"/>
  </si>
  <si>
    <t>22短期入所療養介護（老健）</t>
    <phoneticPr fontId="1"/>
  </si>
  <si>
    <r>
      <t>2A</t>
    </r>
    <r>
      <rPr>
        <sz val="11"/>
        <rFont val="ＭＳ Ｐゴシック"/>
        <family val="3"/>
        <charset val="128"/>
      </rPr>
      <t>短期入所療養介護（介護医療院）</t>
    </r>
    <rPh sb="11" eb="13">
      <t>カイゴ</t>
    </rPh>
    <rPh sb="13" eb="15">
      <t>イリョウ</t>
    </rPh>
    <rPh sb="15" eb="16">
      <t>イン</t>
    </rPh>
    <phoneticPr fontId="1"/>
  </si>
  <si>
    <t>23短期入所療養介護（病院等）</t>
    <phoneticPr fontId="1"/>
  </si>
  <si>
    <t>24介護予防短期入所生活介護</t>
    <phoneticPr fontId="1"/>
  </si>
  <si>
    <t>25介護予防短期入所療養介護（老健）</t>
    <phoneticPr fontId="1"/>
  </si>
  <si>
    <r>
      <t>2</t>
    </r>
    <r>
      <rPr>
        <sz val="11"/>
        <rFont val="ＭＳ Ｐゴシック"/>
        <family val="3"/>
        <charset val="128"/>
      </rPr>
      <t>B介護予防短期入所療養介護（介護医療院）</t>
    </r>
    <rPh sb="15" eb="17">
      <t>カイゴ</t>
    </rPh>
    <rPh sb="17" eb="19">
      <t>イリョウ</t>
    </rPh>
    <rPh sb="19" eb="20">
      <t>イン</t>
    </rPh>
    <phoneticPr fontId="1"/>
  </si>
  <si>
    <t>26介護予防短期入所療養介護（病院等）</t>
    <phoneticPr fontId="1"/>
  </si>
  <si>
    <t>地域密着型サービス計</t>
    <rPh sb="0" eb="2">
      <t>チイキ</t>
    </rPh>
    <rPh sb="2" eb="5">
      <t>ミッチャクガタ</t>
    </rPh>
    <phoneticPr fontId="1"/>
  </si>
  <si>
    <t>54地域密着型介護老人福祉施設入所者生活介護</t>
    <phoneticPr fontId="1"/>
  </si>
  <si>
    <t>施設サービス計</t>
    <phoneticPr fontId="1"/>
  </si>
  <si>
    <r>
      <t>51介護福祉施設</t>
    </r>
    <r>
      <rPr>
        <sz val="11"/>
        <color theme="1"/>
        <rFont val="ＭＳ Ｐゴシック"/>
        <family val="3"/>
        <charset val="128"/>
      </rPr>
      <t>サービス</t>
    </r>
    <phoneticPr fontId="1"/>
  </si>
  <si>
    <r>
      <t>52介護保健施設</t>
    </r>
    <r>
      <rPr>
        <sz val="11"/>
        <color theme="1"/>
        <rFont val="ＭＳ Ｐゴシック"/>
        <family val="3"/>
        <charset val="128"/>
      </rPr>
      <t>サービス</t>
    </r>
    <phoneticPr fontId="1"/>
  </si>
  <si>
    <r>
      <t>5</t>
    </r>
    <r>
      <rPr>
        <sz val="11"/>
        <rFont val="ＭＳ Ｐゴシック"/>
        <family val="3"/>
        <charset val="128"/>
      </rPr>
      <t>5介護医療院サービス</t>
    </r>
    <rPh sb="2" eb="4">
      <t>カイゴ</t>
    </rPh>
    <rPh sb="4" eb="6">
      <t>イリョウ</t>
    </rPh>
    <rPh sb="6" eb="7">
      <t>イン</t>
    </rPh>
    <phoneticPr fontId="1"/>
  </si>
  <si>
    <r>
      <t>53介護療養施設</t>
    </r>
    <r>
      <rPr>
        <sz val="11"/>
        <color theme="1"/>
        <rFont val="ＭＳ Ｐゴシック"/>
        <family val="3"/>
        <charset val="128"/>
      </rPr>
      <t>サービス</t>
    </r>
    <phoneticPr fontId="1"/>
  </si>
  <si>
    <t>4月</t>
    <rPh sb="1" eb="2">
      <t>ガツ</t>
    </rPh>
    <phoneticPr fontId="1"/>
  </si>
  <si>
    <t>5月</t>
    <rPh sb="1" eb="2">
      <t>ガツ</t>
    </rPh>
    <phoneticPr fontId="1"/>
  </si>
  <si>
    <t>6月</t>
  </si>
  <si>
    <t>7月</t>
  </si>
  <si>
    <t>8月</t>
  </si>
  <si>
    <t>9月</t>
  </si>
  <si>
    <t>10月</t>
  </si>
  <si>
    <t>11月</t>
  </si>
  <si>
    <t>転記＝短期入所療養介護</t>
    <rPh sb="0" eb="2">
      <t>テンキ</t>
    </rPh>
    <rPh sb="3" eb="5">
      <t>タンキ</t>
    </rPh>
    <rPh sb="5" eb="7">
      <t>ニュウショ</t>
    </rPh>
    <phoneticPr fontId="1"/>
  </si>
  <si>
    <t>特定入所者介護（食費）</t>
    <rPh sb="0" eb="2">
      <t>トクテイ</t>
    </rPh>
    <rPh sb="2" eb="5">
      <t>ニュウショシャ</t>
    </rPh>
    <rPh sb="5" eb="7">
      <t>カイゴ</t>
    </rPh>
    <rPh sb="8" eb="10">
      <t>ショクヒ</t>
    </rPh>
    <phoneticPr fontId="1"/>
  </si>
  <si>
    <t>特定入所者介護（居住費）</t>
    <rPh sb="0" eb="2">
      <t>トクテイ</t>
    </rPh>
    <rPh sb="2" eb="5">
      <t>ニュウショシャ</t>
    </rPh>
    <rPh sb="5" eb="7">
      <t>カイゴ</t>
    </rPh>
    <rPh sb="8" eb="10">
      <t>キョジュウ</t>
    </rPh>
    <rPh sb="10" eb="11">
      <t>ヒ</t>
    </rPh>
    <phoneticPr fontId="1"/>
  </si>
  <si>
    <r>
      <rPr>
        <sz val="10"/>
        <rFont val="ＭＳ Ｐゴシック"/>
        <family val="3"/>
        <charset val="128"/>
      </rPr>
      <t>介護療養型医療施設</t>
    </r>
    <r>
      <rPr>
        <sz val="11"/>
        <rFont val="ＭＳ Ｐゴシック"/>
        <family val="3"/>
        <charset val="128"/>
      </rPr>
      <t xml:space="preserve">
（特定診療費含む）</t>
    </r>
    <rPh sb="0" eb="2">
      <t>カイゴ</t>
    </rPh>
    <rPh sb="2" eb="5">
      <t>リョウヨウガタ</t>
    </rPh>
    <rPh sb="5" eb="7">
      <t>イリョウ</t>
    </rPh>
    <rPh sb="7" eb="9">
      <t>シセツ</t>
    </rPh>
    <rPh sb="11" eb="13">
      <t>トクテイ</t>
    </rPh>
    <rPh sb="13" eb="16">
      <t>シンリョウヒ</t>
    </rPh>
    <rPh sb="16" eb="17">
      <t>フク</t>
    </rPh>
    <phoneticPr fontId="1"/>
  </si>
  <si>
    <t>介護老人保健施設（特定治療、特別療養費含む）</t>
    <rPh sb="0" eb="2">
      <t>カイゴ</t>
    </rPh>
    <rPh sb="2" eb="4">
      <t>ロウジン</t>
    </rPh>
    <rPh sb="4" eb="6">
      <t>ホケン</t>
    </rPh>
    <rPh sb="6" eb="8">
      <t>シセツ</t>
    </rPh>
    <rPh sb="9" eb="11">
      <t>トクテイ</t>
    </rPh>
    <rPh sb="11" eb="13">
      <t>チリョウ</t>
    </rPh>
    <rPh sb="14" eb="16">
      <t>トクベツ</t>
    </rPh>
    <rPh sb="16" eb="19">
      <t>リョウヨウヒ</t>
    </rPh>
    <rPh sb="19" eb="20">
      <t>フク</t>
    </rPh>
    <phoneticPr fontId="1"/>
  </si>
  <si>
    <r>
      <rPr>
        <sz val="10"/>
        <rFont val="ＭＳ Ｐゴシック"/>
        <family val="3"/>
        <charset val="128"/>
      </rPr>
      <t>介護療養型医療施設</t>
    </r>
    <r>
      <rPr>
        <sz val="11"/>
        <rFont val="ＭＳ Ｐゴシック"/>
        <family val="3"/>
        <charset val="128"/>
      </rPr>
      <t>（特定診療費含む）</t>
    </r>
    <rPh sb="0" eb="2">
      <t>カイゴ</t>
    </rPh>
    <rPh sb="2" eb="5">
      <t>リョウヨウガタ</t>
    </rPh>
    <rPh sb="5" eb="7">
      <t>イリョウ</t>
    </rPh>
    <rPh sb="7" eb="9">
      <t>シセツ</t>
    </rPh>
    <rPh sb="10" eb="12">
      <t>トクテイ</t>
    </rPh>
    <rPh sb="12" eb="15">
      <t>シンリョウヒ</t>
    </rPh>
    <rPh sb="15" eb="16">
      <t>フク</t>
    </rPh>
    <phoneticPr fontId="1"/>
  </si>
  <si>
    <t>介護予防短期入所療養介護（特別療養費、特定診療費含む）</t>
    <rPh sb="0" eb="2">
      <t>カイゴ</t>
    </rPh>
    <rPh sb="2" eb="4">
      <t>ヨボウ</t>
    </rPh>
    <rPh sb="4" eb="6">
      <t>タンキ</t>
    </rPh>
    <rPh sb="6" eb="8">
      <t>ニュウショ</t>
    </rPh>
    <phoneticPr fontId="1"/>
  </si>
  <si>
    <t>12月</t>
  </si>
  <si>
    <t>1月</t>
  </si>
  <si>
    <t>2月</t>
  </si>
  <si>
    <t>3月</t>
  </si>
  <si>
    <r>
      <t>令和</t>
    </r>
    <r>
      <rPr>
        <sz val="22"/>
        <color rgb="FFFF0000"/>
        <rFont val="ＭＳ Ｐゴシック"/>
        <family val="3"/>
        <charset val="128"/>
      </rPr>
      <t>３</t>
    </r>
    <r>
      <rPr>
        <sz val="22"/>
        <rFont val="ＭＳ Ｐゴシック"/>
        <family val="3"/>
        <charset val="128"/>
      </rPr>
      <t>年度(令和</t>
    </r>
    <r>
      <rPr>
        <sz val="22"/>
        <color rgb="FFFF0000"/>
        <rFont val="ＭＳ Ｐゴシック"/>
        <family val="3"/>
        <charset val="128"/>
      </rPr>
      <t>3</t>
    </r>
    <r>
      <rPr>
        <sz val="22"/>
        <rFont val="ＭＳ Ｐゴシック"/>
        <family val="3"/>
        <charset val="128"/>
      </rPr>
      <t>年度4月～3月実績)</t>
    </r>
    <rPh sb="0" eb="2">
      <t>レイワ</t>
    </rPh>
    <rPh sb="3" eb="5">
      <t>ネンド</t>
    </rPh>
    <rPh sb="4" eb="5">
      <t>ド</t>
    </rPh>
    <rPh sb="6" eb="8">
      <t>レイワ</t>
    </rPh>
    <rPh sb="9" eb="11">
      <t>ネンド</t>
    </rPh>
    <rPh sb="12" eb="13">
      <t>ツキ</t>
    </rPh>
    <rPh sb="15" eb="16">
      <t>ツキ</t>
    </rPh>
    <rPh sb="16" eb="18">
      <t>ジッセキ</t>
    </rPh>
    <phoneticPr fontId="1"/>
  </si>
  <si>
    <t>合計</t>
    <rPh sb="0" eb="2">
      <t>ゴウケイ</t>
    </rPh>
    <phoneticPr fontId="1"/>
  </si>
  <si>
    <t>平均</t>
    <rPh sb="0" eb="2">
      <t>ヘイキン</t>
    </rPh>
    <phoneticPr fontId="1"/>
  </si>
  <si>
    <t>平均</t>
    <phoneticPr fontId="1"/>
  </si>
  <si>
    <t>令和３年度</t>
    <rPh sb="0" eb="2">
      <t>レイワ</t>
    </rPh>
    <rPh sb="3" eb="5">
      <t>ネンド</t>
    </rPh>
    <rPh sb="4" eb="5">
      <t>ド</t>
    </rPh>
    <phoneticPr fontId="1"/>
  </si>
  <si>
    <t>　令和３年度介護給付費サービス別給付額調査表　　試算シート</t>
    <rPh sb="1" eb="3">
      <t>レイワ</t>
    </rPh>
    <rPh sb="4" eb="6">
      <t>ネンド</t>
    </rPh>
    <rPh sb="6" eb="11">
      <t>カイゴキュウフヒ</t>
    </rPh>
    <rPh sb="15" eb="16">
      <t>ベツ</t>
    </rPh>
    <rPh sb="16" eb="19">
      <t>キュウフガク</t>
    </rPh>
    <rPh sb="19" eb="21">
      <t>チョウサ</t>
    </rPh>
    <rPh sb="21" eb="22">
      <t>ヒョウ</t>
    </rPh>
    <rPh sb="24" eb="26">
      <t>シサン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</si>
</sst>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 "/>
    <numFmt numFmtId="177" formatCode="#,##0_);[Red]\(#,##0\)"/>
    <numFmt numFmtId="178" formatCode="#,##0.0_ "/>
    <numFmt numFmtId="179" formatCode="#,##0.00_);[Red]\(#,##0.00\)"/>
    <numFmt numFmtId="180" formatCode="#,##0;&quot;△ &quot;#,##0"/>
    <numFmt numFmtId="181" formatCode="#,##0;[Red]\-#,##0;0;"/>
    <numFmt numFmtId="182" formatCode="#,##0_ ;[Red]\-#,##0\ "/>
  </numFmts>
  <fonts count="21" x14ac:knownFonts="1">
    <font>
      <sz val="11"/>
      <name val="ＭＳ Ｐゴシック"/>
      <family val="3"/>
      <charset val="128"/>
    </font>
    <font>
      <sz val="6"/>
      <name val="ＭＳ Ｐゴシック"/>
      <family val="3"/>
      <charset val="128"/>
    </font>
    <font>
      <u/>
      <sz val="20"/>
      <name val="ＭＳ Ｐゴシック"/>
      <family val="3"/>
      <charset val="128"/>
    </font>
    <font>
      <sz val="11"/>
      <color indexed="12"/>
      <name val="ＭＳ Ｐゴシック"/>
      <family val="3"/>
      <charset val="128"/>
    </font>
    <font>
      <sz val="14"/>
      <name val="ＭＳ Ｐゴシック"/>
      <family val="3"/>
      <charset val="128"/>
    </font>
    <font>
      <sz val="16"/>
      <name val="ＭＳ Ｐゴシック"/>
      <family val="3"/>
      <charset val="128"/>
    </font>
    <font>
      <u/>
      <sz val="14"/>
      <name val="ＭＳ Ｐゴシック"/>
      <family val="3"/>
      <charset val="128"/>
    </font>
    <font>
      <sz val="10"/>
      <name val="ＭＳ Ｐゴシック"/>
      <family val="3"/>
      <charset val="128"/>
    </font>
    <font>
      <b/>
      <sz val="14"/>
      <color indexed="10"/>
      <name val="ＭＳ Ｐゴシック"/>
      <family val="3"/>
      <charset val="128"/>
    </font>
    <font>
      <b/>
      <u/>
      <sz val="14"/>
      <color indexed="10"/>
      <name val="ＭＳ Ｐゴシック"/>
      <family val="3"/>
      <charset val="128"/>
    </font>
    <font>
      <sz val="11"/>
      <color rgb="FF0000FF"/>
      <name val="ＭＳ Ｐゴシック"/>
      <family val="3"/>
      <charset val="128"/>
    </font>
    <font>
      <b/>
      <sz val="14"/>
      <color rgb="FFFF0000"/>
      <name val="ＭＳ Ｐゴシック"/>
      <family val="3"/>
      <charset val="128"/>
    </font>
    <font>
      <sz val="11"/>
      <name val="ＭＳ Ｐゴシック"/>
      <family val="3"/>
      <charset val="128"/>
    </font>
    <font>
      <sz val="11"/>
      <name val="ＭＳ Ｐゴシック"/>
      <family val="3"/>
      <charset val="128"/>
      <scheme val="minor"/>
    </font>
    <font>
      <sz val="11"/>
      <color theme="1"/>
      <name val="ＭＳ Ｐゴシック"/>
      <family val="3"/>
      <charset val="128"/>
    </font>
    <font>
      <sz val="11"/>
      <color rgb="FF0000CC"/>
      <name val="ＭＳ Ｐゴシック"/>
      <family val="3"/>
      <charset val="128"/>
    </font>
    <font>
      <sz val="11"/>
      <color rgb="FF0000CC"/>
      <name val="ＭＳ Ｐゴシック"/>
      <family val="3"/>
      <charset val="128"/>
      <scheme val="minor"/>
    </font>
    <font>
      <sz val="10"/>
      <name val="ＭＳ ゴシック"/>
      <family val="3"/>
      <charset val="128"/>
    </font>
    <font>
      <sz val="22"/>
      <name val="ＭＳ Ｐゴシック"/>
      <family val="3"/>
      <charset val="128"/>
    </font>
    <font>
      <sz val="11"/>
      <name val="ＭＳ ゴシック"/>
      <family val="3"/>
      <charset val="128"/>
    </font>
    <font>
      <sz val="22"/>
      <color rgb="FFFF0000"/>
      <name val="ＭＳ Ｐゴシック"/>
      <family val="3"/>
      <charset val="128"/>
    </font>
  </fonts>
  <fills count="9">
    <fill>
      <patternFill patternType="none"/>
    </fill>
    <fill>
      <patternFill patternType="gray125"/>
    </fill>
    <fill>
      <patternFill patternType="solid">
        <fgColor rgb="FFFFFF00"/>
        <bgColor indexed="64"/>
      </patternFill>
    </fill>
    <fill>
      <patternFill patternType="solid">
        <fgColor rgb="FFFFFF66"/>
        <bgColor indexed="64"/>
      </patternFill>
    </fill>
    <fill>
      <patternFill patternType="solid">
        <fgColor theme="5" tint="0.79998168889431442"/>
        <bgColor indexed="64"/>
      </patternFill>
    </fill>
    <fill>
      <patternFill patternType="solid">
        <fgColor rgb="FFFF66CC"/>
        <bgColor indexed="64"/>
      </patternFill>
    </fill>
    <fill>
      <patternFill patternType="solid">
        <fgColor rgb="FF00B0F0"/>
        <bgColor indexed="64"/>
      </patternFill>
    </fill>
    <fill>
      <patternFill patternType="solid">
        <fgColor rgb="FFFFCC00"/>
        <bgColor indexed="64"/>
      </patternFill>
    </fill>
    <fill>
      <patternFill patternType="solid">
        <fgColor rgb="FFFF99FF"/>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12">
    <xf numFmtId="0" fontId="0" fillId="0" borderId="0">
      <alignment vertical="center"/>
    </xf>
    <xf numFmtId="0" fontId="12" fillId="0" borderId="0"/>
    <xf numFmtId="38" fontId="12" fillId="0" borderId="0" applyFont="0" applyFill="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204">
    <xf numFmtId="0" fontId="0" fillId="0" borderId="0" xfId="0">
      <alignment vertical="center"/>
    </xf>
    <xf numFmtId="177" fontId="0" fillId="0" borderId="0" xfId="0" applyNumberFormat="1" applyFill="1" applyProtection="1">
      <alignment vertical="center"/>
    </xf>
    <xf numFmtId="177" fontId="0" fillId="0" borderId="0" xfId="0" applyNumberFormat="1" applyFill="1" applyAlignment="1" applyProtection="1">
      <alignment vertical="center" wrapText="1"/>
    </xf>
    <xf numFmtId="177" fontId="0" fillId="0" borderId="1" xfId="0" applyNumberFormat="1" applyFill="1" applyBorder="1" applyAlignment="1" applyProtection="1">
      <alignment horizontal="center" vertical="center"/>
    </xf>
    <xf numFmtId="177" fontId="2" fillId="0" borderId="0" xfId="0" applyNumberFormat="1" applyFont="1" applyFill="1" applyAlignment="1" applyProtection="1">
      <alignment vertical="center"/>
    </xf>
    <xf numFmtId="177" fontId="0" fillId="0" borderId="0" xfId="0" applyNumberFormat="1" applyFill="1" applyAlignment="1" applyProtection="1">
      <alignment horizontal="right" vertical="center"/>
    </xf>
    <xf numFmtId="177" fontId="0" fillId="0" borderId="1" xfId="0" applyNumberFormat="1" applyFill="1" applyBorder="1" applyAlignment="1" applyProtection="1">
      <alignment horizontal="center" vertical="center" wrapText="1"/>
    </xf>
    <xf numFmtId="177" fontId="0" fillId="0" borderId="1" xfId="0" applyNumberFormat="1" applyFill="1" applyBorder="1" applyProtection="1">
      <alignment vertical="center"/>
    </xf>
    <xf numFmtId="177" fontId="4" fillId="0" borderId="0" xfId="0" applyNumberFormat="1" applyFont="1" applyFill="1" applyProtection="1">
      <alignment vertical="center"/>
    </xf>
    <xf numFmtId="177" fontId="0" fillId="0" borderId="2" xfId="0" applyNumberFormat="1" applyFill="1" applyBorder="1" applyAlignment="1" applyProtection="1">
      <alignment vertical="center"/>
    </xf>
    <xf numFmtId="177" fontId="0" fillId="0" borderId="3" xfId="0" applyNumberFormat="1" applyFill="1" applyBorder="1" applyAlignment="1" applyProtection="1">
      <alignment vertical="center"/>
    </xf>
    <xf numFmtId="177" fontId="7" fillId="0" borderId="1" xfId="0" applyNumberFormat="1" applyFont="1" applyFill="1" applyBorder="1" applyAlignment="1" applyProtection="1">
      <alignment horizontal="center" vertical="center" wrapText="1"/>
    </xf>
    <xf numFmtId="177" fontId="0" fillId="0" borderId="1" xfId="0" applyNumberFormat="1" applyFill="1" applyBorder="1" applyAlignment="1" applyProtection="1">
      <alignment vertical="center" shrinkToFit="1"/>
    </xf>
    <xf numFmtId="177" fontId="5" fillId="2" borderId="4" xfId="0" applyNumberFormat="1" applyFont="1" applyFill="1" applyBorder="1" applyAlignment="1" applyProtection="1">
      <alignment horizontal="center" vertical="center"/>
    </xf>
    <xf numFmtId="177" fontId="5" fillId="2" borderId="5" xfId="0" applyNumberFormat="1" applyFont="1" applyFill="1" applyBorder="1" applyAlignment="1" applyProtection="1">
      <alignment horizontal="center" vertical="center"/>
    </xf>
    <xf numFmtId="177" fontId="11" fillId="0" borderId="0" xfId="0" applyNumberFormat="1" applyFont="1" applyFill="1" applyProtection="1">
      <alignment vertical="center"/>
    </xf>
    <xf numFmtId="179" fontId="0" fillId="0" borderId="1" xfId="0" applyNumberFormat="1" applyFill="1" applyBorder="1" applyProtection="1">
      <alignment vertical="center"/>
    </xf>
    <xf numFmtId="179" fontId="10" fillId="0" borderId="1" xfId="0" applyNumberFormat="1" applyFont="1" applyFill="1" applyBorder="1" applyProtection="1">
      <alignment vertical="center"/>
    </xf>
    <xf numFmtId="177" fontId="6" fillId="0" borderId="0" xfId="0" applyNumberFormat="1" applyFont="1" applyFill="1" applyAlignment="1" applyProtection="1">
      <alignment horizontal="left" vertical="center"/>
    </xf>
    <xf numFmtId="177" fontId="0" fillId="3" borderId="1" xfId="0" applyNumberFormat="1" applyFill="1" applyBorder="1" applyProtection="1">
      <alignment vertical="center"/>
    </xf>
    <xf numFmtId="177" fontId="10" fillId="3" borderId="1" xfId="0" applyNumberFormat="1" applyFont="1" applyFill="1" applyBorder="1" applyProtection="1">
      <alignment vertical="center"/>
    </xf>
    <xf numFmtId="177" fontId="0" fillId="4" borderId="1" xfId="0" applyNumberFormat="1" applyFill="1" applyBorder="1" applyProtection="1">
      <alignment vertical="center"/>
    </xf>
    <xf numFmtId="177" fontId="0" fillId="0" borderId="1" xfId="0" applyNumberFormat="1" applyFill="1" applyBorder="1" applyAlignment="1" applyProtection="1">
      <alignment horizontal="center" vertical="center" wrapText="1"/>
    </xf>
    <xf numFmtId="0" fontId="0" fillId="0" borderId="1" xfId="1" applyFont="1" applyFill="1" applyBorder="1" applyAlignment="1">
      <alignment vertical="center" shrinkToFit="1"/>
    </xf>
    <xf numFmtId="0" fontId="0" fillId="0" borderId="6" xfId="1" applyFont="1" applyFill="1" applyBorder="1" applyAlignment="1">
      <alignment horizontal="center" vertical="center"/>
    </xf>
    <xf numFmtId="0" fontId="0" fillId="0" borderId="6" xfId="1" applyFont="1" applyFill="1" applyBorder="1" applyAlignment="1">
      <alignment horizontal="left" vertical="center"/>
    </xf>
    <xf numFmtId="0" fontId="0" fillId="0" borderId="6" xfId="1" applyFont="1" applyFill="1" applyBorder="1" applyAlignment="1">
      <alignment horizontal="center" vertical="center" wrapText="1"/>
    </xf>
    <xf numFmtId="0" fontId="0" fillId="0" borderId="7" xfId="1" applyFont="1" applyFill="1" applyBorder="1" applyAlignment="1">
      <alignment horizontal="center" vertical="center"/>
    </xf>
    <xf numFmtId="0" fontId="0" fillId="0" borderId="0" xfId="1" applyFont="1" applyFill="1" applyAlignment="1">
      <alignment vertical="center"/>
    </xf>
    <xf numFmtId="0" fontId="0" fillId="0" borderId="16" xfId="1" applyFont="1" applyFill="1" applyBorder="1" applyAlignment="1">
      <alignment horizontal="left" vertical="center"/>
    </xf>
    <xf numFmtId="0" fontId="0" fillId="0" borderId="10" xfId="1" applyFont="1" applyFill="1" applyBorder="1" applyAlignment="1">
      <alignment horizontal="left" vertical="center"/>
    </xf>
    <xf numFmtId="0" fontId="0" fillId="0" borderId="8" xfId="1" applyFont="1" applyFill="1" applyBorder="1" applyAlignment="1">
      <alignment horizontal="right" vertical="center"/>
    </xf>
    <xf numFmtId="0" fontId="0" fillId="0" borderId="14" xfId="1" applyFont="1" applyFill="1" applyBorder="1" applyAlignment="1">
      <alignment horizontal="left" vertical="center"/>
    </xf>
    <xf numFmtId="0" fontId="0" fillId="0" borderId="1" xfId="1" applyFont="1" applyFill="1" applyBorder="1" applyAlignment="1">
      <alignment vertical="center"/>
    </xf>
    <xf numFmtId="0" fontId="0" fillId="0" borderId="1" xfId="0" applyBorder="1">
      <alignment vertical="center"/>
    </xf>
    <xf numFmtId="0" fontId="0" fillId="0" borderId="1" xfId="1" applyFont="1" applyBorder="1" applyAlignment="1">
      <alignment vertical="center"/>
    </xf>
    <xf numFmtId="177" fontId="0" fillId="0" borderId="1" xfId="0" applyNumberFormat="1" applyFont="1" applyFill="1" applyBorder="1" applyAlignment="1" applyProtection="1">
      <alignment horizontal="center" vertical="center" wrapText="1"/>
    </xf>
    <xf numFmtId="177" fontId="0" fillId="3" borderId="1" xfId="0" applyNumberFormat="1" applyFont="1" applyFill="1" applyBorder="1" applyProtection="1">
      <alignment vertical="center"/>
    </xf>
    <xf numFmtId="177" fontId="15" fillId="0" borderId="1" xfId="0" applyNumberFormat="1" applyFont="1" applyFill="1" applyBorder="1" applyAlignment="1" applyProtection="1">
      <alignment horizontal="center" vertical="center" wrapText="1"/>
    </xf>
    <xf numFmtId="177" fontId="15" fillId="3" borderId="1" xfId="0" applyNumberFormat="1" applyFont="1" applyFill="1" applyBorder="1" applyProtection="1">
      <alignment vertical="center"/>
    </xf>
    <xf numFmtId="177" fontId="0" fillId="0" borderId="1" xfId="0" applyNumberFormat="1" applyFont="1" applyFill="1" applyBorder="1" applyProtection="1">
      <alignment vertical="center"/>
    </xf>
    <xf numFmtId="179" fontId="0" fillId="0" borderId="1" xfId="0" applyNumberFormat="1" applyFont="1" applyFill="1" applyBorder="1" applyProtection="1">
      <alignment vertical="center"/>
    </xf>
    <xf numFmtId="177" fontId="0" fillId="0" borderId="1" xfId="0" applyNumberFormat="1" applyFont="1" applyFill="1" applyBorder="1" applyAlignment="1" applyProtection="1">
      <alignment horizontal="center" vertical="center" shrinkToFit="1"/>
    </xf>
    <xf numFmtId="177" fontId="0" fillId="0" borderId="1" xfId="0" applyNumberFormat="1" applyFill="1" applyBorder="1" applyAlignment="1" applyProtection="1">
      <alignment horizontal="center" vertical="center" shrinkToFit="1"/>
    </xf>
    <xf numFmtId="0" fontId="0" fillId="0" borderId="11" xfId="1" applyFont="1" applyFill="1" applyBorder="1" applyAlignment="1">
      <alignment horizontal="left" vertical="center"/>
    </xf>
    <xf numFmtId="0" fontId="0" fillId="0" borderId="8" xfId="1" applyFont="1" applyFill="1" applyBorder="1" applyAlignment="1">
      <alignment vertical="center"/>
    </xf>
    <xf numFmtId="0" fontId="0" fillId="0" borderId="1" xfId="1" applyFont="1" applyFill="1" applyBorder="1" applyAlignment="1">
      <alignment horizontal="left" vertical="center"/>
    </xf>
    <xf numFmtId="0" fontId="0" fillId="0" borderId="9" xfId="1" applyFont="1" applyFill="1" applyBorder="1" applyAlignment="1">
      <alignment horizontal="left" vertical="center"/>
    </xf>
    <xf numFmtId="0" fontId="0" fillId="0" borderId="7" xfId="1" applyFont="1" applyFill="1" applyBorder="1" applyAlignment="1">
      <alignment horizontal="left" vertical="center"/>
    </xf>
    <xf numFmtId="0" fontId="0" fillId="0" borderId="8" xfId="1" applyFont="1" applyFill="1" applyBorder="1" applyAlignment="1">
      <alignment horizontal="left" vertical="center"/>
    </xf>
    <xf numFmtId="0" fontId="0" fillId="0" borderId="7" xfId="1" applyFont="1" applyFill="1" applyBorder="1" applyAlignment="1">
      <alignment vertical="center"/>
    </xf>
    <xf numFmtId="0" fontId="0" fillId="0" borderId="15" xfId="1" applyFont="1" applyFill="1" applyBorder="1" applyAlignment="1">
      <alignment horizontal="left" vertical="center"/>
    </xf>
    <xf numFmtId="0" fontId="0" fillId="0" borderId="12" xfId="1" applyFont="1" applyFill="1" applyBorder="1" applyAlignment="1">
      <alignment horizontal="left" vertical="center"/>
    </xf>
    <xf numFmtId="0" fontId="0" fillId="0" borderId="0" xfId="1" applyFont="1" applyFill="1" applyBorder="1" applyAlignment="1">
      <alignment horizontal="left" vertical="center"/>
    </xf>
    <xf numFmtId="0" fontId="0" fillId="0" borderId="2" xfId="1" applyFont="1" applyFill="1" applyBorder="1" applyAlignment="1">
      <alignment horizontal="left" vertical="center"/>
    </xf>
    <xf numFmtId="0" fontId="0" fillId="0" borderId="3" xfId="1" applyFont="1" applyFill="1" applyBorder="1" applyAlignment="1">
      <alignment horizontal="left" vertical="center"/>
    </xf>
    <xf numFmtId="177" fontId="0" fillId="0" borderId="1" xfId="0" applyNumberFormat="1" applyFill="1" applyBorder="1" applyAlignment="1" applyProtection="1">
      <alignment horizontal="center" vertical="center" wrapText="1"/>
    </xf>
    <xf numFmtId="0" fontId="0" fillId="0" borderId="0" xfId="1" applyFont="1" applyFill="1" applyAlignment="1">
      <alignment horizontal="left" vertical="center"/>
    </xf>
    <xf numFmtId="0" fontId="0" fillId="0" borderId="0" xfId="1" applyFont="1" applyFill="1"/>
    <xf numFmtId="14" fontId="0" fillId="0" borderId="6" xfId="1" applyNumberFormat="1" applyFont="1" applyFill="1" applyBorder="1" applyAlignment="1">
      <alignment vertical="center"/>
    </xf>
    <xf numFmtId="0" fontId="0" fillId="0" borderId="8" xfId="1" applyFont="1" applyFill="1" applyBorder="1" applyAlignment="1">
      <alignment horizontal="center" vertical="center"/>
    </xf>
    <xf numFmtId="0" fontId="0" fillId="0" borderId="8" xfId="1" applyFont="1" applyFill="1" applyBorder="1" applyAlignment="1">
      <alignment horizontal="center" vertical="center" shrinkToFit="1"/>
    </xf>
    <xf numFmtId="0" fontId="0" fillId="0" borderId="1" xfId="1" applyFont="1" applyFill="1" applyBorder="1" applyAlignment="1">
      <alignment horizontal="center" vertical="center" shrinkToFit="1"/>
    </xf>
    <xf numFmtId="182" fontId="0" fillId="0" borderId="0" xfId="1" applyNumberFormat="1" applyFont="1" applyFill="1" applyBorder="1" applyAlignment="1">
      <alignment horizontal="right" vertical="center"/>
    </xf>
    <xf numFmtId="0" fontId="13" fillId="0" borderId="0" xfId="1" applyFont="1" applyFill="1" applyAlignment="1">
      <alignment vertical="center"/>
    </xf>
    <xf numFmtId="0" fontId="0" fillId="0" borderId="0" xfId="1" applyNumberFormat="1" applyFont="1" applyFill="1" applyAlignment="1">
      <alignment vertical="center"/>
    </xf>
    <xf numFmtId="0" fontId="0" fillId="0" borderId="1" xfId="1" applyFont="1" applyFill="1" applyBorder="1" applyAlignment="1">
      <alignment horizontal="center" vertical="center"/>
    </xf>
    <xf numFmtId="182" fontId="0" fillId="0" borderId="0" xfId="1" applyNumberFormat="1" applyFont="1" applyFill="1" applyAlignment="1">
      <alignment horizontal="right" vertical="center"/>
    </xf>
    <xf numFmtId="182" fontId="13" fillId="0" borderId="0" xfId="1" applyNumberFormat="1" applyFont="1" applyFill="1" applyAlignment="1">
      <alignment horizontal="right" vertical="center"/>
    </xf>
    <xf numFmtId="0" fontId="0" fillId="0" borderId="6" xfId="1" applyFont="1" applyFill="1" applyBorder="1" applyAlignment="1">
      <alignment vertical="center"/>
    </xf>
    <xf numFmtId="0" fontId="0" fillId="0" borderId="6" xfId="1" applyFont="1" applyFill="1" applyBorder="1" applyAlignment="1">
      <alignment vertical="center" shrinkToFit="1"/>
    </xf>
    <xf numFmtId="0" fontId="0" fillId="0" borderId="6" xfId="0" applyBorder="1">
      <alignment vertical="center"/>
    </xf>
    <xf numFmtId="0" fontId="0" fillId="0" borderId="6" xfId="1" applyFont="1" applyBorder="1" applyAlignment="1">
      <alignment vertical="center"/>
    </xf>
    <xf numFmtId="177" fontId="0" fillId="0" borderId="6" xfId="0" applyNumberFormat="1" applyFill="1" applyBorder="1" applyAlignment="1" applyProtection="1">
      <alignment horizontal="center" vertical="center" wrapText="1"/>
    </xf>
    <xf numFmtId="180" fontId="15" fillId="0" borderId="0" xfId="1" applyNumberFormat="1" applyFont="1" applyFill="1" applyAlignment="1">
      <alignment vertical="center"/>
    </xf>
    <xf numFmtId="180" fontId="15" fillId="0" borderId="1" xfId="1" applyNumberFormat="1" applyFont="1" applyFill="1" applyBorder="1" applyAlignment="1">
      <alignment vertical="center"/>
    </xf>
    <xf numFmtId="180" fontId="15" fillId="0" borderId="8" xfId="1" applyNumberFormat="1" applyFont="1" applyFill="1" applyBorder="1" applyAlignment="1">
      <alignment vertical="center"/>
    </xf>
    <xf numFmtId="38" fontId="15" fillId="0" borderId="8" xfId="2" applyFont="1" applyFill="1" applyBorder="1" applyAlignment="1">
      <alignment vertical="center"/>
    </xf>
    <xf numFmtId="38" fontId="15" fillId="0" borderId="0" xfId="2" applyFont="1" applyFill="1" applyAlignment="1">
      <alignment vertical="center"/>
    </xf>
    <xf numFmtId="0" fontId="15" fillId="0" borderId="0" xfId="1" applyFont="1" applyFill="1" applyAlignment="1">
      <alignment vertical="center"/>
    </xf>
    <xf numFmtId="0" fontId="16" fillId="0" borderId="0" xfId="1" applyFont="1" applyFill="1" applyAlignment="1">
      <alignment vertical="center"/>
    </xf>
    <xf numFmtId="0" fontId="15" fillId="0" borderId="8" xfId="0" applyFont="1" applyBorder="1">
      <alignment vertical="center"/>
    </xf>
    <xf numFmtId="0" fontId="15" fillId="0" borderId="1" xfId="0" applyFont="1" applyBorder="1" applyAlignment="1">
      <alignment horizontal="center" vertical="center"/>
    </xf>
    <xf numFmtId="38" fontId="15" fillId="0" borderId="1" xfId="2" applyFont="1" applyFill="1" applyBorder="1" applyAlignment="1">
      <alignment vertical="center"/>
    </xf>
    <xf numFmtId="38" fontId="15" fillId="0" borderId="8" xfId="2" applyFont="1" applyBorder="1" applyAlignment="1">
      <alignment vertical="center"/>
    </xf>
    <xf numFmtId="38" fontId="15" fillId="0" borderId="1" xfId="2" applyFont="1" applyBorder="1" applyAlignment="1">
      <alignment vertical="center"/>
    </xf>
    <xf numFmtId="38" fontId="15" fillId="0" borderId="8" xfId="2" applyFont="1" applyFill="1" applyBorder="1" applyAlignment="1">
      <alignment vertical="center" shrinkToFit="1"/>
    </xf>
    <xf numFmtId="38" fontId="15" fillId="0" borderId="1" xfId="2" applyFont="1" applyFill="1" applyBorder="1" applyAlignment="1">
      <alignment vertical="center" shrinkToFit="1"/>
    </xf>
    <xf numFmtId="38" fontId="15" fillId="0" borderId="8" xfId="0" applyNumberFormat="1" applyFont="1" applyBorder="1">
      <alignment vertical="center"/>
    </xf>
    <xf numFmtId="38" fontId="15" fillId="0" borderId="1" xfId="0" applyNumberFormat="1" applyFont="1" applyBorder="1">
      <alignment vertical="center"/>
    </xf>
    <xf numFmtId="180" fontId="15" fillId="0" borderId="1" xfId="1" applyNumberFormat="1" applyFont="1" applyFill="1" applyBorder="1" applyAlignment="1">
      <alignment horizontal="right" vertical="center"/>
    </xf>
    <xf numFmtId="181" fontId="17" fillId="0" borderId="1" xfId="0" applyNumberFormat="1" applyFont="1" applyBorder="1" applyAlignment="1">
      <alignment horizontal="right" vertical="center" shrinkToFit="1"/>
    </xf>
    <xf numFmtId="0" fontId="0" fillId="0" borderId="0" xfId="0" applyAlignment="1">
      <alignment horizontal="center" vertical="center"/>
    </xf>
    <xf numFmtId="0" fontId="0" fillId="0" borderId="1" xfId="1" applyFont="1" applyFill="1" applyBorder="1" applyAlignment="1">
      <alignment horizontal="center" vertical="center"/>
    </xf>
    <xf numFmtId="0" fontId="0" fillId="0" borderId="0" xfId="1" applyFont="1" applyFill="1" applyAlignment="1">
      <alignment horizontal="center" vertical="center"/>
    </xf>
    <xf numFmtId="182" fontId="19" fillId="0" borderId="1" xfId="0" applyNumberFormat="1" applyFont="1" applyBorder="1" applyAlignment="1">
      <alignment horizontal="right" vertical="center"/>
    </xf>
    <xf numFmtId="177" fontId="0" fillId="5" borderId="1" xfId="0" applyNumberFormat="1" applyFill="1" applyBorder="1" applyProtection="1">
      <alignment vertical="center"/>
    </xf>
    <xf numFmtId="182" fontId="19" fillId="0" borderId="1" xfId="6" applyNumberFormat="1" applyFont="1" applyBorder="1" applyAlignment="1">
      <alignment horizontal="right" vertical="center"/>
    </xf>
    <xf numFmtId="182" fontId="19" fillId="0" borderId="1" xfId="7" applyNumberFormat="1" applyFont="1" applyBorder="1" applyAlignment="1">
      <alignment horizontal="right" vertical="center"/>
    </xf>
    <xf numFmtId="177" fontId="0" fillId="6" borderId="1" xfId="0" applyNumberFormat="1" applyFill="1" applyBorder="1" applyProtection="1">
      <alignment vertical="center"/>
    </xf>
    <xf numFmtId="0" fontId="0" fillId="0" borderId="1" xfId="1" applyFont="1" applyFill="1" applyBorder="1" applyAlignment="1">
      <alignment horizontal="center" vertical="center"/>
    </xf>
    <xf numFmtId="177" fontId="0" fillId="3" borderId="6" xfId="0" applyNumberFormat="1" applyFill="1" applyBorder="1" applyProtection="1">
      <alignment vertical="center"/>
    </xf>
    <xf numFmtId="177" fontId="0" fillId="4" borderId="6" xfId="0" applyNumberFormat="1" applyFill="1" applyBorder="1" applyProtection="1">
      <alignment vertical="center"/>
    </xf>
    <xf numFmtId="179" fontId="0" fillId="0" borderId="6" xfId="0" applyNumberFormat="1" applyFill="1" applyBorder="1" applyProtection="1">
      <alignment vertical="center"/>
    </xf>
    <xf numFmtId="177" fontId="15" fillId="0" borderId="8" xfId="0" applyNumberFormat="1" applyFont="1" applyFill="1" applyBorder="1" applyAlignment="1" applyProtection="1">
      <alignment horizontal="center" vertical="center" wrapText="1"/>
    </xf>
    <xf numFmtId="177" fontId="15" fillId="3" borderId="8" xfId="0" applyNumberFormat="1" applyFont="1" applyFill="1" applyBorder="1" applyProtection="1">
      <alignment vertical="center"/>
    </xf>
    <xf numFmtId="177" fontId="0" fillId="4" borderId="8" xfId="0" applyNumberFormat="1" applyFill="1" applyBorder="1" applyProtection="1">
      <alignment vertical="center"/>
    </xf>
    <xf numFmtId="177" fontId="0" fillId="3" borderId="8" xfId="0" applyNumberFormat="1" applyFill="1" applyBorder="1" applyProtection="1">
      <alignment vertical="center"/>
    </xf>
    <xf numFmtId="179" fontId="0" fillId="0" borderId="8" xfId="0" applyNumberFormat="1" applyFill="1" applyBorder="1" applyProtection="1">
      <alignment vertical="center"/>
    </xf>
    <xf numFmtId="177" fontId="0" fillId="0" borderId="18" xfId="0" applyNumberFormat="1" applyFill="1" applyBorder="1" applyAlignment="1" applyProtection="1">
      <alignment horizontal="center" vertical="center" wrapText="1"/>
    </xf>
    <xf numFmtId="177" fontId="0" fillId="0" borderId="19" xfId="0" applyNumberFormat="1" applyFill="1" applyBorder="1" applyAlignment="1" applyProtection="1">
      <alignment horizontal="center" vertical="center" wrapText="1"/>
    </xf>
    <xf numFmtId="177" fontId="0" fillId="0" borderId="20" xfId="0" applyNumberFormat="1" applyFont="1" applyFill="1" applyBorder="1" applyAlignment="1" applyProtection="1">
      <alignment horizontal="center" vertical="center" wrapText="1"/>
    </xf>
    <xf numFmtId="177" fontId="0" fillId="5" borderId="21" xfId="0" applyNumberFormat="1" applyFill="1" applyBorder="1" applyProtection="1">
      <alignment vertical="center"/>
    </xf>
    <xf numFmtId="177" fontId="0" fillId="5" borderId="22" xfId="0" applyNumberFormat="1" applyFont="1" applyFill="1" applyBorder="1" applyProtection="1">
      <alignment vertical="center"/>
    </xf>
    <xf numFmtId="177" fontId="0" fillId="3" borderId="21" xfId="0" applyNumberFormat="1" applyFill="1" applyBorder="1" applyProtection="1">
      <alignment vertical="center"/>
    </xf>
    <xf numFmtId="177" fontId="0" fillId="3" borderId="22" xfId="0" applyNumberFormat="1" applyFont="1" applyFill="1" applyBorder="1" applyProtection="1">
      <alignment vertical="center"/>
    </xf>
    <xf numFmtId="177" fontId="0" fillId="6" borderId="21" xfId="0" applyNumberFormat="1" applyFill="1" applyBorder="1" applyProtection="1">
      <alignment vertical="center"/>
    </xf>
    <xf numFmtId="177" fontId="0" fillId="6" borderId="22" xfId="0" applyNumberFormat="1" applyFont="1" applyFill="1" applyBorder="1" applyProtection="1">
      <alignment vertical="center"/>
    </xf>
    <xf numFmtId="177" fontId="0" fillId="0" borderId="23" xfId="0" applyNumberFormat="1" applyFill="1" applyBorder="1" applyProtection="1">
      <alignment vertical="center"/>
    </xf>
    <xf numFmtId="177" fontId="0" fillId="0" borderId="24" xfId="0" applyNumberFormat="1" applyFill="1" applyBorder="1" applyProtection="1">
      <alignment vertical="center"/>
    </xf>
    <xf numFmtId="177" fontId="10" fillId="0" borderId="25" xfId="0" applyNumberFormat="1" applyFont="1" applyFill="1" applyBorder="1" applyProtection="1">
      <alignment vertical="center"/>
    </xf>
    <xf numFmtId="182" fontId="0" fillId="0" borderId="1" xfId="1" applyNumberFormat="1" applyFont="1" applyFill="1" applyBorder="1" applyAlignment="1">
      <alignment vertical="center"/>
    </xf>
    <xf numFmtId="181" fontId="17" fillId="0" borderId="1" xfId="8" applyNumberFormat="1" applyFont="1" applyBorder="1" applyAlignment="1">
      <alignment horizontal="right" vertical="center" shrinkToFit="1"/>
    </xf>
    <xf numFmtId="181" fontId="17" fillId="0" borderId="1" xfId="8" applyNumberFormat="1" applyFont="1" applyFill="1" applyBorder="1" applyAlignment="1">
      <alignment horizontal="right" vertical="center" shrinkToFit="1"/>
    </xf>
    <xf numFmtId="181" fontId="17" fillId="0" borderId="1" xfId="9" applyNumberFormat="1" applyFont="1" applyBorder="1" applyAlignment="1">
      <alignment horizontal="right" vertical="center" shrinkToFit="1"/>
    </xf>
    <xf numFmtId="181" fontId="17" fillId="0" borderId="1" xfId="9" applyNumberFormat="1" applyFont="1" applyFill="1" applyBorder="1" applyAlignment="1">
      <alignment horizontal="right" vertical="center" shrinkToFit="1"/>
    </xf>
    <xf numFmtId="182" fontId="19" fillId="0" borderId="1" xfId="10" applyNumberFormat="1" applyFont="1" applyBorder="1" applyAlignment="1">
      <alignment horizontal="right" vertical="center"/>
    </xf>
    <xf numFmtId="182" fontId="19" fillId="0" borderId="1" xfId="11" applyNumberFormat="1" applyFont="1" applyBorder="1" applyAlignment="1">
      <alignment horizontal="right" vertical="center"/>
    </xf>
    <xf numFmtId="0" fontId="0" fillId="0" borderId="6" xfId="1" applyFont="1" applyFill="1" applyBorder="1" applyAlignment="1">
      <alignment vertical="center"/>
    </xf>
    <xf numFmtId="0" fontId="0" fillId="0" borderId="8" xfId="1" applyFont="1" applyFill="1" applyBorder="1" applyAlignment="1">
      <alignment vertical="center"/>
    </xf>
    <xf numFmtId="0" fontId="0" fillId="0" borderId="11" xfId="1" applyFont="1" applyFill="1" applyBorder="1" applyAlignment="1">
      <alignment horizontal="left" vertical="center"/>
    </xf>
    <xf numFmtId="0" fontId="0" fillId="0" borderId="12" xfId="1" applyFont="1" applyFill="1" applyBorder="1" applyAlignment="1">
      <alignment vertical="center"/>
    </xf>
    <xf numFmtId="0" fontId="0" fillId="0" borderId="13" xfId="1" applyFont="1" applyFill="1" applyBorder="1" applyAlignment="1">
      <alignment vertical="center"/>
    </xf>
    <xf numFmtId="0" fontId="0" fillId="0" borderId="10" xfId="1" applyFont="1" applyFill="1" applyBorder="1" applyAlignment="1">
      <alignment horizontal="left" vertical="center"/>
    </xf>
    <xf numFmtId="0" fontId="0" fillId="0" borderId="14" xfId="1" applyFont="1" applyFill="1" applyBorder="1" applyAlignment="1">
      <alignment horizontal="left" vertical="center"/>
    </xf>
    <xf numFmtId="0" fontId="0" fillId="0" borderId="6" xfId="1" applyFont="1" applyFill="1" applyBorder="1" applyAlignment="1">
      <alignment vertical="center" shrinkToFit="1"/>
    </xf>
    <xf numFmtId="0" fontId="0" fillId="0" borderId="8" xfId="1" applyFont="1" applyFill="1" applyBorder="1" applyAlignment="1">
      <alignment vertical="center" shrinkToFit="1"/>
    </xf>
    <xf numFmtId="0" fontId="0" fillId="0" borderId="12" xfId="1" applyFont="1" applyFill="1" applyBorder="1" applyAlignment="1">
      <alignment horizontal="left" vertical="center"/>
    </xf>
    <xf numFmtId="0" fontId="0" fillId="0" borderId="13" xfId="1" applyFont="1" applyFill="1" applyBorder="1" applyAlignment="1">
      <alignment horizontal="left" vertical="center"/>
    </xf>
    <xf numFmtId="0" fontId="0" fillId="0" borderId="7" xfId="1" applyFont="1" applyFill="1" applyBorder="1" applyAlignment="1">
      <alignment vertical="center"/>
    </xf>
    <xf numFmtId="0" fontId="0" fillId="0" borderId="15" xfId="1" applyFont="1" applyFill="1" applyBorder="1" applyAlignment="1">
      <alignment horizontal="left" vertical="center"/>
    </xf>
    <xf numFmtId="0" fontId="0" fillId="0" borderId="7" xfId="1" applyFont="1" applyFill="1" applyBorder="1" applyAlignment="1">
      <alignment horizontal="left" vertical="center"/>
    </xf>
    <xf numFmtId="0" fontId="0" fillId="0" borderId="8" xfId="1" applyFont="1" applyFill="1" applyBorder="1" applyAlignment="1">
      <alignment horizontal="left" vertical="center"/>
    </xf>
    <xf numFmtId="0" fontId="0" fillId="0" borderId="14" xfId="1" applyFont="1" applyFill="1" applyBorder="1" applyAlignment="1">
      <alignment horizontal="center" vertical="center"/>
    </xf>
    <xf numFmtId="0" fontId="0" fillId="0" borderId="1" xfId="1" applyFont="1" applyFill="1" applyBorder="1" applyAlignment="1">
      <alignment horizontal="center" vertical="center"/>
    </xf>
    <xf numFmtId="0" fontId="0" fillId="0" borderId="7" xfId="1" applyFont="1" applyFill="1" applyBorder="1" applyAlignment="1">
      <alignment horizontal="left" vertical="center" shrinkToFit="1"/>
    </xf>
    <xf numFmtId="0" fontId="0" fillId="0" borderId="8" xfId="1" applyFont="1" applyFill="1" applyBorder="1" applyAlignment="1">
      <alignment horizontal="left" vertical="center" shrinkToFit="1"/>
    </xf>
    <xf numFmtId="0" fontId="0" fillId="0" borderId="7" xfId="1" applyFont="1" applyFill="1" applyBorder="1" applyAlignment="1">
      <alignment vertical="center" shrinkToFit="1"/>
    </xf>
    <xf numFmtId="0" fontId="0" fillId="7" borderId="7" xfId="1" applyFont="1" applyFill="1" applyBorder="1" applyAlignment="1">
      <alignment vertical="center" shrinkToFit="1"/>
    </xf>
    <xf numFmtId="0" fontId="0" fillId="7" borderId="8" xfId="1" applyFont="1" applyFill="1" applyBorder="1" applyAlignment="1">
      <alignment vertical="center" shrinkToFit="1"/>
    </xf>
    <xf numFmtId="0" fontId="0" fillId="7" borderId="7" xfId="1" applyFont="1" applyFill="1" applyBorder="1" applyAlignment="1">
      <alignment horizontal="left" vertical="center" shrinkToFit="1"/>
    </xf>
    <xf numFmtId="0" fontId="0" fillId="7" borderId="8" xfId="1" applyFont="1" applyFill="1" applyBorder="1" applyAlignment="1">
      <alignment horizontal="left" vertical="center" shrinkToFit="1"/>
    </xf>
    <xf numFmtId="0" fontId="0" fillId="0" borderId="9" xfId="1" applyFont="1" applyFill="1" applyBorder="1" applyAlignment="1">
      <alignment horizontal="left" vertical="center"/>
    </xf>
    <xf numFmtId="0" fontId="0" fillId="0" borderId="1" xfId="1" applyFont="1" applyFill="1" applyBorder="1" applyAlignment="1">
      <alignment horizontal="left" vertical="center"/>
    </xf>
    <xf numFmtId="0" fontId="0" fillId="0" borderId="15" xfId="1" applyFont="1" applyFill="1" applyBorder="1" applyAlignment="1">
      <alignment horizontal="center" vertical="center"/>
    </xf>
    <xf numFmtId="0" fontId="0" fillId="0" borderId="16" xfId="1" applyFont="1" applyFill="1" applyBorder="1" applyAlignment="1">
      <alignment horizontal="center" vertical="center"/>
    </xf>
    <xf numFmtId="0" fontId="0" fillId="0" borderId="2" xfId="1" applyFont="1" applyFill="1" applyBorder="1" applyAlignment="1">
      <alignment horizontal="center" vertical="center"/>
    </xf>
    <xf numFmtId="0" fontId="0" fillId="0" borderId="17" xfId="1" applyFont="1" applyFill="1" applyBorder="1" applyAlignment="1">
      <alignment horizontal="center" vertical="center"/>
    </xf>
    <xf numFmtId="0" fontId="0" fillId="8" borderId="7" xfId="1" applyFont="1" applyFill="1" applyBorder="1" applyAlignment="1">
      <alignment vertical="center" shrinkToFit="1"/>
    </xf>
    <xf numFmtId="0" fontId="0" fillId="8" borderId="8" xfId="1" applyFont="1" applyFill="1" applyBorder="1" applyAlignment="1">
      <alignment vertical="center" shrinkToFit="1"/>
    </xf>
    <xf numFmtId="0" fontId="0" fillId="2" borderId="7" xfId="1" applyFont="1" applyFill="1" applyBorder="1" applyAlignment="1">
      <alignment horizontal="left" vertical="center"/>
    </xf>
    <xf numFmtId="0" fontId="0" fillId="2" borderId="8" xfId="1" applyFont="1" applyFill="1" applyBorder="1" applyAlignment="1">
      <alignment horizontal="left" vertical="center"/>
    </xf>
    <xf numFmtId="0" fontId="0" fillId="0" borderId="1" xfId="1" applyFont="1" applyFill="1" applyBorder="1" applyAlignment="1">
      <alignment vertical="center" shrinkToFit="1"/>
    </xf>
    <xf numFmtId="0" fontId="0" fillId="0" borderId="10" xfId="1" applyFont="1" applyFill="1" applyBorder="1" applyAlignment="1">
      <alignment horizontal="center" vertical="center"/>
    </xf>
    <xf numFmtId="0" fontId="0" fillId="2" borderId="1" xfId="1" applyFont="1" applyFill="1" applyBorder="1" applyAlignment="1">
      <alignment horizontal="left" vertical="center"/>
    </xf>
    <xf numFmtId="0" fontId="0" fillId="0" borderId="1" xfId="1" applyFont="1" applyFill="1" applyBorder="1" applyAlignment="1">
      <alignment horizontal="left" vertical="center" shrinkToFit="1"/>
    </xf>
    <xf numFmtId="0" fontId="18" fillId="0" borderId="0" xfId="1" applyFont="1" applyFill="1" applyAlignment="1">
      <alignment horizontal="center" vertical="center" shrinkToFit="1"/>
    </xf>
    <xf numFmtId="0" fontId="18" fillId="0" borderId="0" xfId="0" applyFont="1" applyAlignment="1">
      <alignment horizontal="center" vertical="center" shrinkToFit="1"/>
    </xf>
    <xf numFmtId="0" fontId="0" fillId="0" borderId="6" xfId="1" applyFont="1" applyFill="1" applyBorder="1" applyAlignment="1">
      <alignment horizontal="center" vertical="center"/>
    </xf>
    <xf numFmtId="0" fontId="0" fillId="0" borderId="7" xfId="1" applyFont="1" applyFill="1" applyBorder="1" applyAlignment="1">
      <alignment horizontal="center" vertical="center"/>
    </xf>
    <xf numFmtId="0" fontId="0" fillId="0" borderId="8" xfId="1" applyFont="1" applyFill="1" applyBorder="1" applyAlignment="1">
      <alignment horizontal="center" vertical="center"/>
    </xf>
    <xf numFmtId="0" fontId="0" fillId="0" borderId="10" xfId="1" applyFont="1" applyFill="1" applyBorder="1" applyAlignment="1">
      <alignment horizontal="center" vertical="center" wrapText="1"/>
    </xf>
    <xf numFmtId="0" fontId="0" fillId="0" borderId="14" xfId="1" applyFont="1" applyFill="1" applyBorder="1" applyAlignment="1">
      <alignment horizontal="center" vertical="center" wrapText="1"/>
    </xf>
    <xf numFmtId="0" fontId="0" fillId="2" borderId="6" xfId="1" applyFont="1" applyFill="1" applyBorder="1" applyAlignment="1">
      <alignment vertical="center"/>
    </xf>
    <xf numFmtId="0" fontId="0" fillId="2" borderId="8" xfId="1" applyFont="1" applyFill="1" applyBorder="1" applyAlignment="1">
      <alignment vertical="center"/>
    </xf>
    <xf numFmtId="0" fontId="0" fillId="0" borderId="0" xfId="1" applyFont="1" applyFill="1" applyBorder="1" applyAlignment="1">
      <alignment horizontal="left" vertical="center"/>
    </xf>
    <xf numFmtId="0" fontId="0" fillId="0" borderId="2" xfId="1" applyFont="1" applyFill="1" applyBorder="1" applyAlignment="1">
      <alignment horizontal="left" vertical="center"/>
    </xf>
    <xf numFmtId="0" fontId="0" fillId="0" borderId="3" xfId="1" applyFont="1" applyFill="1" applyBorder="1" applyAlignment="1">
      <alignment horizontal="left" vertical="center"/>
    </xf>
    <xf numFmtId="0" fontId="0" fillId="0" borderId="0" xfId="1" applyFont="1" applyFill="1" applyAlignment="1">
      <alignment horizontal="center" vertical="center" shrinkToFit="1"/>
    </xf>
    <xf numFmtId="0" fontId="0" fillId="0" borderId="0" xfId="0" applyAlignment="1">
      <alignment horizontal="center" vertical="center" shrinkToFit="1"/>
    </xf>
    <xf numFmtId="14" fontId="0" fillId="0" borderId="9" xfId="1" applyNumberFormat="1" applyFont="1" applyFill="1" applyBorder="1" applyAlignment="1">
      <alignment horizontal="center" vertical="center" textRotation="255" wrapText="1"/>
    </xf>
    <xf numFmtId="0" fontId="0" fillId="0" borderId="10" xfId="1" applyFont="1" applyFill="1" applyBorder="1" applyAlignment="1">
      <alignment horizontal="center" vertical="center" textRotation="255" wrapText="1"/>
    </xf>
    <xf numFmtId="0" fontId="0" fillId="0" borderId="14" xfId="1" applyFont="1" applyFill="1" applyBorder="1" applyAlignment="1">
      <alignment horizontal="center" vertical="center" textRotation="255" wrapText="1"/>
    </xf>
    <xf numFmtId="0" fontId="0" fillId="0" borderId="11" xfId="1" applyFont="1" applyFill="1" applyBorder="1" applyAlignment="1">
      <alignment horizontal="left" vertical="center" shrinkToFit="1"/>
    </xf>
    <xf numFmtId="0" fontId="0" fillId="0" borderId="12" xfId="1" applyFont="1" applyFill="1" applyBorder="1" applyAlignment="1">
      <alignment horizontal="left" vertical="center" shrinkToFit="1"/>
    </xf>
    <xf numFmtId="0" fontId="0" fillId="0" borderId="15" xfId="1" applyFont="1" applyFill="1" applyBorder="1" applyAlignment="1">
      <alignment horizontal="left" vertical="center" shrinkToFit="1"/>
    </xf>
    <xf numFmtId="0" fontId="0" fillId="0" borderId="0" xfId="1" applyFont="1" applyFill="1" applyBorder="1" applyAlignment="1">
      <alignment horizontal="left" vertical="center" shrinkToFit="1"/>
    </xf>
    <xf numFmtId="0" fontId="0" fillId="0" borderId="2" xfId="1" applyFont="1" applyFill="1" applyBorder="1" applyAlignment="1">
      <alignment horizontal="left" vertical="center" shrinkToFit="1"/>
    </xf>
    <xf numFmtId="0" fontId="0" fillId="0" borderId="3" xfId="1" applyFont="1" applyFill="1" applyBorder="1" applyAlignment="1">
      <alignment horizontal="left" vertical="center" shrinkToFit="1"/>
    </xf>
    <xf numFmtId="177" fontId="5" fillId="0" borderId="0" xfId="0" applyNumberFormat="1" applyFont="1" applyFill="1" applyAlignment="1" applyProtection="1">
      <alignment horizontal="center" vertical="center" shrinkToFit="1"/>
    </xf>
    <xf numFmtId="0" fontId="5" fillId="0" borderId="0" xfId="0" applyFont="1" applyAlignment="1">
      <alignment horizontal="center" vertical="center" shrinkToFit="1"/>
    </xf>
    <xf numFmtId="177" fontId="0" fillId="0" borderId="1" xfId="0" applyNumberFormat="1" applyFill="1" applyBorder="1" applyAlignment="1" applyProtection="1">
      <alignment horizontal="center" vertical="center" wrapText="1"/>
    </xf>
    <xf numFmtId="177" fontId="0" fillId="0" borderId="1" xfId="0" applyNumberFormat="1" applyFill="1" applyBorder="1" applyAlignment="1" applyProtection="1">
      <alignment horizontal="center" vertical="center"/>
    </xf>
    <xf numFmtId="177" fontId="15" fillId="0" borderId="1" xfId="0" applyNumberFormat="1" applyFont="1" applyFill="1" applyBorder="1" applyAlignment="1" applyProtection="1">
      <alignment horizontal="center" vertical="center" wrapText="1"/>
    </xf>
    <xf numFmtId="177" fontId="0" fillId="0" borderId="9" xfId="0" applyNumberFormat="1" applyFill="1" applyBorder="1" applyAlignment="1" applyProtection="1">
      <alignment horizontal="center" vertical="center"/>
    </xf>
    <xf numFmtId="177" fontId="0" fillId="0" borderId="1" xfId="0" applyNumberFormat="1" applyFill="1" applyBorder="1" applyAlignment="1" applyProtection="1">
      <alignment vertical="center"/>
    </xf>
    <xf numFmtId="176" fontId="10" fillId="0" borderId="1" xfId="0" applyNumberFormat="1" applyFont="1" applyFill="1" applyBorder="1" applyAlignment="1" applyProtection="1">
      <alignment vertical="center"/>
    </xf>
    <xf numFmtId="176" fontId="0" fillId="0" borderId="1" xfId="0" applyNumberFormat="1" applyFill="1" applyBorder="1" applyAlignment="1" applyProtection="1">
      <alignment vertical="center"/>
    </xf>
    <xf numFmtId="178" fontId="3" fillId="0" borderId="1" xfId="0" applyNumberFormat="1" applyFont="1" applyFill="1" applyBorder="1" applyAlignment="1" applyProtection="1">
      <alignment vertical="center"/>
    </xf>
    <xf numFmtId="178" fontId="0" fillId="0" borderId="1" xfId="0" applyNumberFormat="1" applyFill="1" applyBorder="1" applyAlignment="1" applyProtection="1">
      <alignment vertical="center"/>
    </xf>
    <xf numFmtId="177" fontId="3" fillId="0" borderId="6" xfId="0" applyNumberFormat="1" applyFont="1" applyFill="1" applyBorder="1" applyAlignment="1" applyProtection="1">
      <alignment horizontal="center" vertical="center" shrinkToFit="1"/>
    </xf>
    <xf numFmtId="177" fontId="3" fillId="0" borderId="7" xfId="0" applyNumberFormat="1" applyFont="1" applyFill="1" applyBorder="1" applyAlignment="1" applyProtection="1">
      <alignment horizontal="center" vertical="center" shrinkToFit="1"/>
    </xf>
    <xf numFmtId="177" fontId="3" fillId="0" borderId="8" xfId="0" applyNumberFormat="1" applyFont="1" applyFill="1" applyBorder="1" applyAlignment="1" applyProtection="1">
      <alignment horizontal="center" vertical="center" shrinkToFit="1"/>
    </xf>
    <xf numFmtId="177" fontId="0" fillId="0" borderId="1" xfId="0" applyNumberFormat="1" applyFont="1" applyFill="1" applyBorder="1" applyAlignment="1" applyProtection="1">
      <alignment horizontal="center" vertical="center"/>
    </xf>
  </cellXfs>
  <cellStyles count="12">
    <cellStyle name="桁区切り" xfId="2" builtinId="6"/>
    <cellStyle name="標準" xfId="0" builtinId="0"/>
    <cellStyle name="標準 10" xfId="10" xr:uid="{32FA1667-DF3F-459A-8733-DCC6DD8DB0E4}"/>
    <cellStyle name="標準 11" xfId="11" xr:uid="{8AB8B68D-99ED-4E98-8A58-63D16E887EB0}"/>
    <cellStyle name="標準 2" xfId="1" xr:uid="{00000000-0005-0000-0000-000002000000}"/>
    <cellStyle name="標準 3" xfId="3" xr:uid="{00000000-0005-0000-0000-000003000000}"/>
    <cellStyle name="標準 4" xfId="4" xr:uid="{00000000-0005-0000-0000-000004000000}"/>
    <cellStyle name="標準 5" xfId="5" xr:uid="{974B6F8F-696C-4D58-871D-A3E829A9E27B}"/>
    <cellStyle name="標準 6" xfId="6" xr:uid="{9D6B0B93-1C00-4450-B2CC-961C70C28199}"/>
    <cellStyle name="標準 7" xfId="7" xr:uid="{7E7C634E-4506-4AE8-A7FD-460927B6A3EB}"/>
    <cellStyle name="標準 8" xfId="8" xr:uid="{9E830ED8-1A45-4360-B941-CB7AB2322486}"/>
    <cellStyle name="標準 9" xfId="9" xr:uid="{24581B06-D699-40A7-B542-E90697D24E5F}"/>
  </cellStyles>
  <dxfs count="12">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s>
  <tableStyles count="0" defaultTableStyle="TableStyleMedium9" defaultPivotStyle="PivotStyleLight16"/>
  <colors>
    <mruColors>
      <color rgb="FFFFFF00"/>
      <color rgb="FFFF99FF"/>
      <color rgb="FFFFCC00"/>
      <color rgb="FFFF9900"/>
      <color rgb="FFFD9203"/>
      <color rgb="FFFB8605"/>
      <color rgb="FFF0A010"/>
      <color rgb="FFFF66CC"/>
      <color rgb="FF0000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8</xdr:col>
      <xdr:colOff>326571</xdr:colOff>
      <xdr:row>20</xdr:row>
      <xdr:rowOff>13608</xdr:rowOff>
    </xdr:from>
    <xdr:to>
      <xdr:col>8</xdr:col>
      <xdr:colOff>1046571</xdr:colOff>
      <xdr:row>21</xdr:row>
      <xdr:rowOff>352608</xdr:rowOff>
    </xdr:to>
    <xdr:sp macro="" textlink="">
      <xdr:nvSpPr>
        <xdr:cNvPr id="2" name="右中かっこ 1">
          <a:extLst>
            <a:ext uri="{FF2B5EF4-FFF2-40B4-BE49-F238E27FC236}">
              <a16:creationId xmlns:a16="http://schemas.microsoft.com/office/drawing/2014/main" id="{00000000-0008-0000-0200-000002000000}"/>
            </a:ext>
          </a:extLst>
        </xdr:cNvPr>
        <xdr:cNvSpPr/>
      </xdr:nvSpPr>
      <xdr:spPr>
        <a:xfrm>
          <a:off x="10314214" y="7429501"/>
          <a:ext cx="720000" cy="720000"/>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rtlCol="0" anchor="ctr"/>
        <a:lstStyle/>
        <a:p>
          <a:endParaRPr lang="ja-JP" altLang="en-US"/>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KPL01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印刷帳票1"/>
      <sheetName val="帳票"/>
      <sheetName val="設定情報"/>
      <sheetName val="ＣＳＶデータ"/>
    </sheetNames>
    <sheetDataSet>
      <sheetData sheetId="0"/>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rgbClr val="FF0000"/>
          </a:solidFill>
        </a:ln>
      </a:spPr>
      <a:bodyPr rtlCol="0" anchor="ctr"/>
      <a:lstStyle>
        <a:defPPr algn="ctr">
          <a:defRPr kumimoji="1" sz="1100"/>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114"/>
  <sheetViews>
    <sheetView view="pageBreakPreview" topLeftCell="A94" zoomScaleNormal="100" zoomScaleSheetLayoutView="100" workbookViewId="0">
      <selection activeCell="T1" sqref="T1:AA1048576"/>
    </sheetView>
  </sheetViews>
  <sheetFormatPr defaultRowHeight="21" customHeight="1" x14ac:dyDescent="0.15"/>
  <cols>
    <col min="1" max="1" width="3" style="28" customWidth="1"/>
    <col min="2" max="4" width="2.125" style="28" customWidth="1"/>
    <col min="5" max="5" width="45.625" style="28" customWidth="1"/>
    <col min="6" max="6" width="15.625" style="28" customWidth="1"/>
    <col min="7" max="8" width="10.625" style="28" customWidth="1"/>
    <col min="9" max="13" width="10.625" style="58" customWidth="1"/>
    <col min="14" max="18" width="10.625" style="28" customWidth="1"/>
    <col min="19" max="19" width="2.875" style="94" customWidth="1"/>
    <col min="20" max="16384" width="9" style="28"/>
  </cols>
  <sheetData>
    <row r="1" spans="2:19" ht="31.5" customHeight="1" x14ac:dyDescent="0.15">
      <c r="B1" s="166" t="s">
        <v>243</v>
      </c>
      <c r="C1" s="167"/>
      <c r="D1" s="167"/>
      <c r="E1" s="167"/>
      <c r="F1" s="167"/>
      <c r="G1" s="167"/>
      <c r="H1" s="167"/>
      <c r="I1" s="167"/>
      <c r="J1" s="167"/>
      <c r="K1" s="167"/>
      <c r="L1" s="167"/>
      <c r="M1" s="167"/>
      <c r="N1" s="167"/>
      <c r="O1" s="167"/>
      <c r="P1" s="167"/>
      <c r="Q1" s="167"/>
      <c r="R1" s="167"/>
    </row>
    <row r="2" spans="2:19" ht="21" customHeight="1" x14ac:dyDescent="0.15">
      <c r="B2" s="57" t="s">
        <v>90</v>
      </c>
    </row>
    <row r="4" spans="2:19" ht="21" customHeight="1" x14ac:dyDescent="0.15">
      <c r="B4" s="28" t="s">
        <v>91</v>
      </c>
    </row>
    <row r="6" spans="2:19" ht="21" customHeight="1" x14ac:dyDescent="0.15">
      <c r="B6" s="59" t="s">
        <v>92</v>
      </c>
      <c r="C6" s="50"/>
      <c r="D6" s="50"/>
      <c r="E6" s="50"/>
      <c r="F6" s="50"/>
      <c r="G6" s="50"/>
      <c r="H6" s="50"/>
      <c r="I6" s="50"/>
      <c r="J6" s="50"/>
      <c r="K6" s="50"/>
      <c r="L6" s="50"/>
      <c r="M6" s="50"/>
      <c r="N6" s="50"/>
      <c r="O6" s="50"/>
      <c r="P6" s="50"/>
      <c r="Q6" s="50"/>
      <c r="R6" s="45"/>
      <c r="S6" s="93"/>
    </row>
    <row r="7" spans="2:19" ht="21" customHeight="1" x14ac:dyDescent="0.15">
      <c r="B7" s="168" t="s">
        <v>93</v>
      </c>
      <c r="C7" s="169"/>
      <c r="D7" s="169"/>
      <c r="E7" s="170"/>
      <c r="F7" s="60" t="s">
        <v>94</v>
      </c>
      <c r="G7" s="61" t="s">
        <v>95</v>
      </c>
      <c r="H7" s="62" t="s">
        <v>96</v>
      </c>
      <c r="I7" s="62" t="s">
        <v>97</v>
      </c>
      <c r="J7" s="62" t="s">
        <v>98</v>
      </c>
      <c r="K7" s="62" t="s">
        <v>99</v>
      </c>
      <c r="L7" s="62" t="s">
        <v>100</v>
      </c>
      <c r="M7" s="62" t="s">
        <v>101</v>
      </c>
      <c r="N7" s="61" t="s">
        <v>102</v>
      </c>
      <c r="O7" s="61" t="s">
        <v>103</v>
      </c>
      <c r="P7" s="62" t="s">
        <v>104</v>
      </c>
      <c r="Q7" s="62" t="s">
        <v>105</v>
      </c>
      <c r="R7" s="62" t="s">
        <v>106</v>
      </c>
      <c r="S7" s="93"/>
    </row>
    <row r="8" spans="2:19" ht="21" customHeight="1" x14ac:dyDescent="0.15">
      <c r="B8" s="153" t="s">
        <v>107</v>
      </c>
      <c r="C8" s="153"/>
      <c r="D8" s="153"/>
      <c r="E8" s="153"/>
      <c r="F8" s="75">
        <f>SUM(G8:R8)</f>
        <v>1132820019</v>
      </c>
      <c r="G8" s="91">
        <v>96591402</v>
      </c>
      <c r="H8" s="91">
        <v>75359537</v>
      </c>
      <c r="I8" s="91">
        <v>111188543</v>
      </c>
      <c r="J8" s="91">
        <v>97717191</v>
      </c>
      <c r="K8" s="91">
        <v>98043777</v>
      </c>
      <c r="L8" s="91">
        <v>92327066</v>
      </c>
      <c r="M8" s="91">
        <v>95412939</v>
      </c>
      <c r="N8" s="91">
        <v>94169161</v>
      </c>
      <c r="O8" s="91">
        <v>99048819</v>
      </c>
      <c r="P8" s="122">
        <v>94960577</v>
      </c>
      <c r="Q8" s="91">
        <v>91871335</v>
      </c>
      <c r="R8" s="124">
        <v>86129672</v>
      </c>
      <c r="S8" s="93"/>
    </row>
    <row r="9" spans="2:19" ht="21" customHeight="1" x14ac:dyDescent="0.15">
      <c r="B9" s="152" t="s">
        <v>108</v>
      </c>
      <c r="C9" s="153"/>
      <c r="D9" s="153"/>
      <c r="E9" s="153"/>
      <c r="F9" s="75">
        <f t="shared" ref="F9:F72" si="0">SUM(G9:R9)</f>
        <v>343075198</v>
      </c>
      <c r="G9" s="91">
        <v>30935574</v>
      </c>
      <c r="H9" s="91">
        <v>24936042</v>
      </c>
      <c r="I9" s="91">
        <v>32800578</v>
      </c>
      <c r="J9" s="91">
        <v>29691128</v>
      </c>
      <c r="K9" s="91">
        <v>30379498</v>
      </c>
      <c r="L9" s="91">
        <v>27795639</v>
      </c>
      <c r="M9" s="91">
        <v>30272251</v>
      </c>
      <c r="N9" s="91">
        <v>29922968</v>
      </c>
      <c r="O9" s="91">
        <v>29118373</v>
      </c>
      <c r="P9" s="122">
        <v>27842370</v>
      </c>
      <c r="Q9" s="91">
        <v>24739422</v>
      </c>
      <c r="R9" s="124">
        <v>24641355</v>
      </c>
      <c r="S9" s="93"/>
    </row>
    <row r="10" spans="2:19" ht="21" customHeight="1" x14ac:dyDescent="0.15">
      <c r="B10" s="171"/>
      <c r="C10" s="130" t="s">
        <v>109</v>
      </c>
      <c r="D10" s="131"/>
      <c r="E10" s="132"/>
      <c r="F10" s="75">
        <f t="shared" si="0"/>
        <v>283807637</v>
      </c>
      <c r="G10" s="91">
        <v>23493874</v>
      </c>
      <c r="H10" s="91">
        <v>19427347</v>
      </c>
      <c r="I10" s="91">
        <v>26977293</v>
      </c>
      <c r="J10" s="91">
        <v>24452264</v>
      </c>
      <c r="K10" s="91">
        <v>24393270</v>
      </c>
      <c r="L10" s="91">
        <v>22734253</v>
      </c>
      <c r="M10" s="91">
        <v>24458263</v>
      </c>
      <c r="N10" s="91">
        <v>25136112</v>
      </c>
      <c r="O10" s="91">
        <v>25336859</v>
      </c>
      <c r="P10" s="122">
        <v>24427232</v>
      </c>
      <c r="Q10" s="91">
        <v>21556327</v>
      </c>
      <c r="R10" s="124">
        <v>21414543</v>
      </c>
      <c r="S10" s="93"/>
    </row>
    <row r="11" spans="2:19" ht="21" customHeight="1" x14ac:dyDescent="0.15">
      <c r="B11" s="171"/>
      <c r="C11" s="163"/>
      <c r="D11" s="173" t="s">
        <v>110</v>
      </c>
      <c r="E11" s="174"/>
      <c r="F11" s="75">
        <f t="shared" si="0"/>
        <v>29881789</v>
      </c>
      <c r="G11" s="91">
        <v>2537800</v>
      </c>
      <c r="H11" s="91">
        <v>2614875</v>
      </c>
      <c r="I11" s="91">
        <v>2458056</v>
      </c>
      <c r="J11" s="91">
        <v>2197580</v>
      </c>
      <c r="K11" s="91">
        <v>2214058</v>
      </c>
      <c r="L11" s="91">
        <v>2102258</v>
      </c>
      <c r="M11" s="91">
        <v>2304188</v>
      </c>
      <c r="N11" s="91">
        <v>2459167</v>
      </c>
      <c r="O11" s="91">
        <v>2666309</v>
      </c>
      <c r="P11" s="122">
        <v>2832952</v>
      </c>
      <c r="Q11" s="91">
        <v>2913158</v>
      </c>
      <c r="R11" s="124">
        <v>2581388</v>
      </c>
      <c r="S11" s="93"/>
    </row>
    <row r="12" spans="2:19" ht="21" customHeight="1" x14ac:dyDescent="0.15">
      <c r="B12" s="171"/>
      <c r="C12" s="163"/>
      <c r="D12" s="173" t="s">
        <v>111</v>
      </c>
      <c r="E12" s="174"/>
      <c r="F12" s="75">
        <f t="shared" si="0"/>
        <v>2412189</v>
      </c>
      <c r="G12" s="91">
        <v>107640</v>
      </c>
      <c r="H12" s="91">
        <v>292734</v>
      </c>
      <c r="I12" s="91">
        <v>206946</v>
      </c>
      <c r="J12" s="91">
        <v>206757</v>
      </c>
      <c r="K12" s="91">
        <v>232155</v>
      </c>
      <c r="L12" s="91">
        <v>240201</v>
      </c>
      <c r="M12" s="91">
        <v>292239</v>
      </c>
      <c r="N12" s="91">
        <v>217854</v>
      </c>
      <c r="O12" s="91">
        <v>179955</v>
      </c>
      <c r="P12" s="122">
        <v>143964</v>
      </c>
      <c r="Q12" s="91">
        <v>157869</v>
      </c>
      <c r="R12" s="124">
        <v>133875</v>
      </c>
      <c r="S12" s="93"/>
    </row>
    <row r="13" spans="2:19" ht="21" customHeight="1" x14ac:dyDescent="0.15">
      <c r="B13" s="171"/>
      <c r="C13" s="163"/>
      <c r="D13" s="173" t="s">
        <v>112</v>
      </c>
      <c r="E13" s="174"/>
      <c r="F13" s="75">
        <f t="shared" si="0"/>
        <v>23321027</v>
      </c>
      <c r="G13" s="91">
        <v>1719641</v>
      </c>
      <c r="H13" s="91">
        <v>1813758</v>
      </c>
      <c r="I13" s="91">
        <v>1771836</v>
      </c>
      <c r="J13" s="91">
        <v>2012050</v>
      </c>
      <c r="K13" s="91">
        <v>2065963</v>
      </c>
      <c r="L13" s="91">
        <v>1986025</v>
      </c>
      <c r="M13" s="91">
        <v>2105968</v>
      </c>
      <c r="N13" s="91">
        <v>2001612</v>
      </c>
      <c r="O13" s="91">
        <v>1968874</v>
      </c>
      <c r="P13" s="122">
        <v>1989580</v>
      </c>
      <c r="Q13" s="91">
        <v>1915223</v>
      </c>
      <c r="R13" s="124">
        <v>1970497</v>
      </c>
      <c r="S13" s="93"/>
    </row>
    <row r="14" spans="2:19" ht="21" customHeight="1" x14ac:dyDescent="0.15">
      <c r="B14" s="171"/>
      <c r="C14" s="163"/>
      <c r="D14" s="173" t="s">
        <v>113</v>
      </c>
      <c r="E14" s="174"/>
      <c r="F14" s="75">
        <f t="shared" si="0"/>
        <v>0</v>
      </c>
      <c r="G14" s="91">
        <v>0</v>
      </c>
      <c r="H14" s="91">
        <v>0</v>
      </c>
      <c r="I14" s="91">
        <v>0</v>
      </c>
      <c r="J14" s="91">
        <v>0</v>
      </c>
      <c r="K14" s="91">
        <v>0</v>
      </c>
      <c r="L14" s="91">
        <v>0</v>
      </c>
      <c r="M14" s="91">
        <v>0</v>
      </c>
      <c r="N14" s="91">
        <v>0</v>
      </c>
      <c r="O14" s="91">
        <v>0</v>
      </c>
      <c r="P14" s="122">
        <v>0</v>
      </c>
      <c r="Q14" s="91">
        <v>0</v>
      </c>
      <c r="R14" s="124">
        <v>0</v>
      </c>
      <c r="S14" s="93"/>
    </row>
    <row r="15" spans="2:19" ht="21" customHeight="1" x14ac:dyDescent="0.15">
      <c r="B15" s="171"/>
      <c r="C15" s="163"/>
      <c r="D15" s="173" t="s">
        <v>114</v>
      </c>
      <c r="E15" s="174"/>
      <c r="F15" s="75">
        <f t="shared" si="0"/>
        <v>172155079</v>
      </c>
      <c r="G15" s="91">
        <v>14134762</v>
      </c>
      <c r="H15" s="91">
        <v>9917486</v>
      </c>
      <c r="I15" s="91">
        <v>17727023</v>
      </c>
      <c r="J15" s="91">
        <v>15329830</v>
      </c>
      <c r="K15" s="91">
        <v>15289300</v>
      </c>
      <c r="L15" s="91">
        <v>13701154</v>
      </c>
      <c r="M15" s="91">
        <v>14788164</v>
      </c>
      <c r="N15" s="91">
        <v>15448673</v>
      </c>
      <c r="O15" s="91">
        <v>15614772</v>
      </c>
      <c r="P15" s="122">
        <v>15106164</v>
      </c>
      <c r="Q15" s="91">
        <v>12521334</v>
      </c>
      <c r="R15" s="124">
        <v>12576417</v>
      </c>
      <c r="S15" s="93"/>
    </row>
    <row r="16" spans="2:19" ht="21" customHeight="1" x14ac:dyDescent="0.15">
      <c r="B16" s="171"/>
      <c r="C16" s="163"/>
      <c r="D16" s="173" t="s">
        <v>115</v>
      </c>
      <c r="E16" s="174"/>
      <c r="F16" s="75">
        <f t="shared" si="0"/>
        <v>17145749</v>
      </c>
      <c r="G16" s="91">
        <v>1886819</v>
      </c>
      <c r="H16" s="91">
        <v>1663205</v>
      </c>
      <c r="I16" s="91">
        <v>1585293</v>
      </c>
      <c r="J16" s="91">
        <v>1461075</v>
      </c>
      <c r="K16" s="91">
        <v>1355952</v>
      </c>
      <c r="L16" s="91">
        <v>1386366</v>
      </c>
      <c r="M16" s="91">
        <v>1574522</v>
      </c>
      <c r="N16" s="91">
        <v>1703326</v>
      </c>
      <c r="O16" s="91">
        <v>1469875</v>
      </c>
      <c r="P16" s="122">
        <v>1138419</v>
      </c>
      <c r="Q16" s="91">
        <v>937777</v>
      </c>
      <c r="R16" s="124">
        <v>983120</v>
      </c>
      <c r="S16" s="93"/>
    </row>
    <row r="17" spans="2:19" ht="21" customHeight="1" x14ac:dyDescent="0.15">
      <c r="B17" s="171"/>
      <c r="C17" s="163"/>
      <c r="D17" s="173" t="s">
        <v>116</v>
      </c>
      <c r="E17" s="174"/>
      <c r="F17" s="75">
        <f t="shared" si="0"/>
        <v>28071122</v>
      </c>
      <c r="G17" s="91">
        <v>2147191</v>
      </c>
      <c r="H17" s="91">
        <v>2278407</v>
      </c>
      <c r="I17" s="91">
        <v>2379817</v>
      </c>
      <c r="J17" s="91">
        <v>2373871</v>
      </c>
      <c r="K17" s="91">
        <v>2334960</v>
      </c>
      <c r="L17" s="91">
        <v>2414199</v>
      </c>
      <c r="M17" s="91">
        <v>2439128</v>
      </c>
      <c r="N17" s="91">
        <v>2421086</v>
      </c>
      <c r="O17" s="91">
        <v>2432179</v>
      </c>
      <c r="P17" s="122">
        <v>2298369</v>
      </c>
      <c r="Q17" s="91">
        <v>2219507</v>
      </c>
      <c r="R17" s="124">
        <v>2332408</v>
      </c>
      <c r="S17" s="93"/>
    </row>
    <row r="18" spans="2:19" ht="21" customHeight="1" x14ac:dyDescent="0.15">
      <c r="B18" s="171"/>
      <c r="C18" s="163"/>
      <c r="D18" s="162" t="s">
        <v>117</v>
      </c>
      <c r="E18" s="162"/>
      <c r="F18" s="75">
        <f t="shared" si="0"/>
        <v>0</v>
      </c>
      <c r="G18" s="91">
        <v>0</v>
      </c>
      <c r="H18" s="91">
        <v>0</v>
      </c>
      <c r="I18" s="91">
        <v>0</v>
      </c>
      <c r="J18" s="91">
        <v>0</v>
      </c>
      <c r="K18" s="91">
        <v>0</v>
      </c>
      <c r="L18" s="91">
        <v>0</v>
      </c>
      <c r="M18" s="91">
        <v>0</v>
      </c>
      <c r="N18" s="91">
        <v>0</v>
      </c>
      <c r="O18" s="91">
        <v>0</v>
      </c>
      <c r="P18" s="122">
        <v>0</v>
      </c>
      <c r="Q18" s="91">
        <v>0</v>
      </c>
      <c r="R18" s="124">
        <v>0</v>
      </c>
      <c r="S18" s="93"/>
    </row>
    <row r="19" spans="2:19" ht="21" customHeight="1" x14ac:dyDescent="0.15">
      <c r="B19" s="171"/>
      <c r="C19" s="163"/>
      <c r="D19" s="135" t="s">
        <v>118</v>
      </c>
      <c r="E19" s="136"/>
      <c r="F19" s="75">
        <f t="shared" si="0"/>
        <v>0</v>
      </c>
      <c r="G19" s="91">
        <v>0</v>
      </c>
      <c r="H19" s="91">
        <v>0</v>
      </c>
      <c r="I19" s="91">
        <v>0</v>
      </c>
      <c r="J19" s="91">
        <v>0</v>
      </c>
      <c r="K19" s="91">
        <v>0</v>
      </c>
      <c r="L19" s="91">
        <v>0</v>
      </c>
      <c r="M19" s="91">
        <v>0</v>
      </c>
      <c r="N19" s="91">
        <v>0</v>
      </c>
      <c r="O19" s="91">
        <v>0</v>
      </c>
      <c r="P19" s="122">
        <v>0</v>
      </c>
      <c r="Q19" s="91">
        <v>0</v>
      </c>
      <c r="R19" s="124">
        <v>0</v>
      </c>
      <c r="S19" s="93"/>
    </row>
    <row r="20" spans="2:19" ht="21" customHeight="1" x14ac:dyDescent="0.15">
      <c r="B20" s="171"/>
      <c r="C20" s="163"/>
      <c r="D20" s="135" t="s">
        <v>119</v>
      </c>
      <c r="E20" s="136"/>
      <c r="F20" s="75">
        <f t="shared" si="0"/>
        <v>1244052</v>
      </c>
      <c r="G20" s="91">
        <v>171252</v>
      </c>
      <c r="H20" s="91">
        <v>92637</v>
      </c>
      <c r="I20" s="91">
        <v>81387</v>
      </c>
      <c r="J20" s="91">
        <v>102906</v>
      </c>
      <c r="K20" s="91">
        <v>93888</v>
      </c>
      <c r="L20" s="91">
        <v>86751</v>
      </c>
      <c r="M20" s="91">
        <v>110826</v>
      </c>
      <c r="N20" s="91">
        <v>112086</v>
      </c>
      <c r="O20" s="91">
        <v>114399</v>
      </c>
      <c r="P20" s="122">
        <v>108036</v>
      </c>
      <c r="Q20" s="91">
        <v>81378</v>
      </c>
      <c r="R20" s="124">
        <v>88506</v>
      </c>
      <c r="S20" s="93"/>
    </row>
    <row r="21" spans="2:19" ht="21" customHeight="1" x14ac:dyDescent="0.15">
      <c r="B21" s="171"/>
      <c r="C21" s="163"/>
      <c r="D21" s="135" t="s">
        <v>120</v>
      </c>
      <c r="E21" s="136"/>
      <c r="F21" s="75">
        <f t="shared" si="0"/>
        <v>0</v>
      </c>
      <c r="G21" s="91">
        <v>0</v>
      </c>
      <c r="H21" s="91">
        <v>0</v>
      </c>
      <c r="I21" s="91">
        <v>0</v>
      </c>
      <c r="J21" s="91">
        <v>0</v>
      </c>
      <c r="K21" s="91">
        <v>0</v>
      </c>
      <c r="L21" s="91">
        <v>0</v>
      </c>
      <c r="M21" s="91">
        <v>0</v>
      </c>
      <c r="N21" s="91">
        <v>0</v>
      </c>
      <c r="O21" s="91">
        <v>0</v>
      </c>
      <c r="P21" s="122">
        <v>0</v>
      </c>
      <c r="Q21" s="91">
        <v>0</v>
      </c>
      <c r="R21" s="124">
        <v>0</v>
      </c>
      <c r="S21" s="93"/>
    </row>
    <row r="22" spans="2:19" ht="21" customHeight="1" x14ac:dyDescent="0.15">
      <c r="B22" s="171"/>
      <c r="C22" s="163"/>
      <c r="D22" s="135" t="s">
        <v>121</v>
      </c>
      <c r="E22" s="136"/>
      <c r="F22" s="75">
        <f t="shared" si="0"/>
        <v>0</v>
      </c>
      <c r="G22" s="91">
        <v>0</v>
      </c>
      <c r="H22" s="91">
        <v>0</v>
      </c>
      <c r="I22" s="91">
        <v>0</v>
      </c>
      <c r="J22" s="91">
        <v>0</v>
      </c>
      <c r="K22" s="91">
        <v>0</v>
      </c>
      <c r="L22" s="91">
        <v>0</v>
      </c>
      <c r="M22" s="91">
        <v>0</v>
      </c>
      <c r="N22" s="91">
        <v>0</v>
      </c>
      <c r="O22" s="91">
        <v>0</v>
      </c>
      <c r="P22" s="122">
        <v>0</v>
      </c>
      <c r="Q22" s="91">
        <v>0</v>
      </c>
      <c r="R22" s="124">
        <v>0</v>
      </c>
      <c r="S22" s="93"/>
    </row>
    <row r="23" spans="2:19" ht="21" customHeight="1" x14ac:dyDescent="0.15">
      <c r="B23" s="171"/>
      <c r="C23" s="163"/>
      <c r="D23" s="162" t="s">
        <v>122</v>
      </c>
      <c r="E23" s="162"/>
      <c r="F23" s="75">
        <f t="shared" si="0"/>
        <v>6211512</v>
      </c>
      <c r="G23" s="91">
        <v>541008</v>
      </c>
      <c r="H23" s="91">
        <v>495405</v>
      </c>
      <c r="I23" s="91">
        <v>495405</v>
      </c>
      <c r="J23" s="91">
        <v>495405</v>
      </c>
      <c r="K23" s="91">
        <v>536904</v>
      </c>
      <c r="L23" s="91">
        <v>536904</v>
      </c>
      <c r="M23" s="91">
        <v>536904</v>
      </c>
      <c r="N23" s="91">
        <v>496629</v>
      </c>
      <c r="O23" s="91">
        <v>571869</v>
      </c>
      <c r="P23" s="122">
        <v>525348</v>
      </c>
      <c r="Q23" s="91">
        <v>510597</v>
      </c>
      <c r="R23" s="124">
        <v>469134</v>
      </c>
      <c r="S23" s="93"/>
    </row>
    <row r="24" spans="2:19" ht="21" customHeight="1" x14ac:dyDescent="0.15">
      <c r="B24" s="171"/>
      <c r="C24" s="143"/>
      <c r="D24" s="135" t="s">
        <v>123</v>
      </c>
      <c r="E24" s="136"/>
      <c r="F24" s="75">
        <f t="shared" si="0"/>
        <v>3365118</v>
      </c>
      <c r="G24" s="91">
        <v>247761</v>
      </c>
      <c r="H24" s="91">
        <v>258840</v>
      </c>
      <c r="I24" s="91">
        <v>271530</v>
      </c>
      <c r="J24" s="91">
        <v>272790</v>
      </c>
      <c r="K24" s="91">
        <v>270090</v>
      </c>
      <c r="L24" s="91">
        <v>280395</v>
      </c>
      <c r="M24" s="91">
        <v>306324</v>
      </c>
      <c r="N24" s="91">
        <v>275679</v>
      </c>
      <c r="O24" s="91">
        <v>318627</v>
      </c>
      <c r="P24" s="122">
        <v>284400</v>
      </c>
      <c r="Q24" s="91">
        <v>299484</v>
      </c>
      <c r="R24" s="124">
        <v>279198</v>
      </c>
      <c r="S24" s="93"/>
    </row>
    <row r="25" spans="2:19" ht="21" customHeight="1" x14ac:dyDescent="0.15">
      <c r="B25" s="171"/>
      <c r="C25" s="152" t="s">
        <v>124</v>
      </c>
      <c r="D25" s="153"/>
      <c r="E25" s="153"/>
      <c r="F25" s="75">
        <f t="shared" si="0"/>
        <v>49144012</v>
      </c>
      <c r="G25" s="91">
        <v>6418637</v>
      </c>
      <c r="H25" s="91">
        <v>4518755</v>
      </c>
      <c r="I25" s="91">
        <v>4513431</v>
      </c>
      <c r="J25" s="91">
        <v>4393302</v>
      </c>
      <c r="K25" s="91">
        <v>5121433</v>
      </c>
      <c r="L25" s="91">
        <v>4202477</v>
      </c>
      <c r="M25" s="91">
        <v>4951911</v>
      </c>
      <c r="N25" s="91">
        <v>4028647</v>
      </c>
      <c r="O25" s="91">
        <v>3172561</v>
      </c>
      <c r="P25" s="122">
        <v>2665974</v>
      </c>
      <c r="Q25" s="91">
        <v>2522829</v>
      </c>
      <c r="R25" s="124">
        <v>2634055</v>
      </c>
      <c r="S25" s="93"/>
    </row>
    <row r="26" spans="2:19" ht="21" customHeight="1" x14ac:dyDescent="0.15">
      <c r="B26" s="171"/>
      <c r="C26" s="163"/>
      <c r="D26" s="164" t="s">
        <v>125</v>
      </c>
      <c r="E26" s="164"/>
      <c r="F26" s="75">
        <f t="shared" si="0"/>
        <v>43747121</v>
      </c>
      <c r="G26" s="91">
        <v>5931325</v>
      </c>
      <c r="H26" s="91">
        <v>4127467</v>
      </c>
      <c r="I26" s="91">
        <v>4093145</v>
      </c>
      <c r="J26" s="91">
        <v>3881404</v>
      </c>
      <c r="K26" s="91">
        <v>4626370</v>
      </c>
      <c r="L26" s="91">
        <v>3713126</v>
      </c>
      <c r="M26" s="91">
        <v>4430703</v>
      </c>
      <c r="N26" s="91">
        <v>3167246</v>
      </c>
      <c r="O26" s="91">
        <v>2593879</v>
      </c>
      <c r="P26" s="122">
        <v>2402454</v>
      </c>
      <c r="Q26" s="91">
        <v>2247267</v>
      </c>
      <c r="R26" s="124">
        <v>2532735</v>
      </c>
      <c r="S26" s="93"/>
    </row>
    <row r="27" spans="2:19" ht="21" customHeight="1" x14ac:dyDescent="0.15">
      <c r="B27" s="171"/>
      <c r="C27" s="163"/>
      <c r="D27" s="164" t="s">
        <v>126</v>
      </c>
      <c r="E27" s="164"/>
      <c r="F27" s="75">
        <f t="shared" si="0"/>
        <v>5094932</v>
      </c>
      <c r="G27" s="91">
        <v>450457</v>
      </c>
      <c r="H27" s="91">
        <v>362826</v>
      </c>
      <c r="I27" s="91">
        <v>400686</v>
      </c>
      <c r="J27" s="91">
        <v>511898</v>
      </c>
      <c r="K27" s="91">
        <v>495063</v>
      </c>
      <c r="L27" s="91">
        <v>460551</v>
      </c>
      <c r="M27" s="91">
        <v>521208</v>
      </c>
      <c r="N27" s="91">
        <v>861401</v>
      </c>
      <c r="O27" s="91">
        <v>578682</v>
      </c>
      <c r="P27" s="122">
        <v>217197</v>
      </c>
      <c r="Q27" s="91">
        <v>195579</v>
      </c>
      <c r="R27" s="124">
        <v>39384</v>
      </c>
      <c r="S27" s="93"/>
    </row>
    <row r="28" spans="2:19" ht="21" customHeight="1" x14ac:dyDescent="0.15">
      <c r="B28" s="171"/>
      <c r="C28" s="163"/>
      <c r="D28" s="153" t="s">
        <v>127</v>
      </c>
      <c r="E28" s="153"/>
      <c r="F28" s="75">
        <f t="shared" si="0"/>
        <v>0</v>
      </c>
      <c r="G28" s="91">
        <v>0</v>
      </c>
      <c r="H28" s="91">
        <v>0</v>
      </c>
      <c r="I28" s="91">
        <v>0</v>
      </c>
      <c r="J28" s="91">
        <v>0</v>
      </c>
      <c r="K28" s="91">
        <v>0</v>
      </c>
      <c r="L28" s="91">
        <v>0</v>
      </c>
      <c r="M28" s="91">
        <v>0</v>
      </c>
      <c r="N28" s="91">
        <v>0</v>
      </c>
      <c r="O28" s="91">
        <v>0</v>
      </c>
      <c r="P28" s="122">
        <v>0</v>
      </c>
      <c r="Q28" s="91">
        <v>0</v>
      </c>
      <c r="R28" s="124">
        <v>0</v>
      </c>
      <c r="S28" s="93"/>
    </row>
    <row r="29" spans="2:19" ht="21" customHeight="1" x14ac:dyDescent="0.15">
      <c r="B29" s="171"/>
      <c r="C29" s="163"/>
      <c r="D29" s="153" t="s">
        <v>128</v>
      </c>
      <c r="E29" s="153"/>
      <c r="F29" s="75">
        <f t="shared" si="0"/>
        <v>0</v>
      </c>
      <c r="G29" s="91">
        <v>0</v>
      </c>
      <c r="H29" s="91">
        <v>0</v>
      </c>
      <c r="I29" s="91">
        <v>0</v>
      </c>
      <c r="J29" s="91">
        <v>0</v>
      </c>
      <c r="K29" s="91">
        <v>0</v>
      </c>
      <c r="L29" s="91">
        <v>0</v>
      </c>
      <c r="M29" s="91">
        <v>0</v>
      </c>
      <c r="N29" s="91">
        <v>0</v>
      </c>
      <c r="O29" s="91">
        <v>0</v>
      </c>
      <c r="P29" s="122">
        <v>0</v>
      </c>
      <c r="Q29" s="91">
        <v>0</v>
      </c>
      <c r="R29" s="124">
        <v>0</v>
      </c>
      <c r="S29" s="93"/>
    </row>
    <row r="30" spans="2:19" ht="21" customHeight="1" x14ac:dyDescent="0.15">
      <c r="B30" s="171"/>
      <c r="C30" s="163"/>
      <c r="D30" s="165" t="s">
        <v>129</v>
      </c>
      <c r="E30" s="165"/>
      <c r="F30" s="75">
        <f t="shared" si="0"/>
        <v>255636</v>
      </c>
      <c r="G30" s="91">
        <v>36855</v>
      </c>
      <c r="H30" s="91">
        <v>28462</v>
      </c>
      <c r="I30" s="91">
        <v>19600</v>
      </c>
      <c r="J30" s="91">
        <v>0</v>
      </c>
      <c r="K30" s="91">
        <v>0</v>
      </c>
      <c r="L30" s="91">
        <v>28800</v>
      </c>
      <c r="M30" s="91">
        <v>0</v>
      </c>
      <c r="N30" s="91">
        <v>0</v>
      </c>
      <c r="O30" s="91">
        <v>0</v>
      </c>
      <c r="P30" s="122">
        <v>0</v>
      </c>
      <c r="Q30" s="91">
        <v>79983</v>
      </c>
      <c r="R30" s="124">
        <v>61936</v>
      </c>
      <c r="S30" s="93"/>
    </row>
    <row r="31" spans="2:19" ht="21" customHeight="1" x14ac:dyDescent="0.15">
      <c r="B31" s="171"/>
      <c r="C31" s="163"/>
      <c r="D31" s="165" t="s">
        <v>130</v>
      </c>
      <c r="E31" s="165"/>
      <c r="F31" s="75">
        <f t="shared" si="0"/>
        <v>46323</v>
      </c>
      <c r="G31" s="91">
        <v>0</v>
      </c>
      <c r="H31" s="91">
        <v>0</v>
      </c>
      <c r="I31" s="91">
        <v>0</v>
      </c>
      <c r="J31" s="91">
        <v>0</v>
      </c>
      <c r="K31" s="91">
        <v>0</v>
      </c>
      <c r="L31" s="91">
        <v>0</v>
      </c>
      <c r="M31" s="91">
        <v>0</v>
      </c>
      <c r="N31" s="91">
        <v>0</v>
      </c>
      <c r="O31" s="91">
        <v>0</v>
      </c>
      <c r="P31" s="122">
        <v>46323</v>
      </c>
      <c r="Q31" s="91">
        <v>0</v>
      </c>
      <c r="R31" s="124">
        <v>0</v>
      </c>
      <c r="S31" s="93"/>
    </row>
    <row r="32" spans="2:19" ht="21" customHeight="1" x14ac:dyDescent="0.15">
      <c r="B32" s="171"/>
      <c r="C32" s="163"/>
      <c r="D32" s="165" t="s">
        <v>131</v>
      </c>
      <c r="E32" s="165"/>
      <c r="F32" s="75">
        <f t="shared" si="0"/>
        <v>0</v>
      </c>
      <c r="G32" s="91">
        <v>0</v>
      </c>
      <c r="H32" s="91">
        <v>0</v>
      </c>
      <c r="I32" s="91">
        <v>0</v>
      </c>
      <c r="J32" s="91">
        <v>0</v>
      </c>
      <c r="K32" s="91">
        <v>0</v>
      </c>
      <c r="L32" s="91">
        <v>0</v>
      </c>
      <c r="M32" s="91">
        <v>0</v>
      </c>
      <c r="N32" s="91">
        <v>0</v>
      </c>
      <c r="O32" s="91">
        <v>0</v>
      </c>
      <c r="P32" s="122">
        <v>0</v>
      </c>
      <c r="Q32" s="91">
        <v>0</v>
      </c>
      <c r="R32" s="124">
        <v>0</v>
      </c>
      <c r="S32" s="93"/>
    </row>
    <row r="33" spans="2:19" ht="21" customHeight="1" x14ac:dyDescent="0.15">
      <c r="B33" s="171"/>
      <c r="C33" s="163"/>
      <c r="D33" s="165" t="s">
        <v>132</v>
      </c>
      <c r="E33" s="165"/>
      <c r="F33" s="75">
        <f t="shared" si="0"/>
        <v>0</v>
      </c>
      <c r="G33" s="91">
        <v>0</v>
      </c>
      <c r="H33" s="91">
        <v>0</v>
      </c>
      <c r="I33" s="91">
        <v>0</v>
      </c>
      <c r="J33" s="91">
        <v>0</v>
      </c>
      <c r="K33" s="91">
        <v>0</v>
      </c>
      <c r="L33" s="91">
        <v>0</v>
      </c>
      <c r="M33" s="91">
        <v>0</v>
      </c>
      <c r="N33" s="91">
        <v>0</v>
      </c>
      <c r="O33" s="91">
        <v>0</v>
      </c>
      <c r="P33" s="122">
        <v>0</v>
      </c>
      <c r="Q33" s="91">
        <v>0</v>
      </c>
      <c r="R33" s="124">
        <v>0</v>
      </c>
      <c r="S33" s="93"/>
    </row>
    <row r="34" spans="2:19" ht="21" customHeight="1" x14ac:dyDescent="0.15">
      <c r="B34" s="171"/>
      <c r="C34" s="163"/>
      <c r="D34" s="153" t="s">
        <v>133</v>
      </c>
      <c r="E34" s="153"/>
      <c r="F34" s="75">
        <f t="shared" si="0"/>
        <v>0</v>
      </c>
      <c r="G34" s="91">
        <v>0</v>
      </c>
      <c r="H34" s="91">
        <v>0</v>
      </c>
      <c r="I34" s="91">
        <v>0</v>
      </c>
      <c r="J34" s="91">
        <v>0</v>
      </c>
      <c r="K34" s="91">
        <v>0</v>
      </c>
      <c r="L34" s="91">
        <v>0</v>
      </c>
      <c r="M34" s="91">
        <v>0</v>
      </c>
      <c r="N34" s="91">
        <v>0</v>
      </c>
      <c r="O34" s="91">
        <v>0</v>
      </c>
      <c r="P34" s="122">
        <v>0</v>
      </c>
      <c r="Q34" s="91">
        <v>0</v>
      </c>
      <c r="R34" s="124">
        <v>0</v>
      </c>
      <c r="S34" s="93"/>
    </row>
    <row r="35" spans="2:19" ht="21" customHeight="1" x14ac:dyDescent="0.15">
      <c r="B35" s="171"/>
      <c r="C35" s="163"/>
      <c r="D35" s="153" t="s">
        <v>134</v>
      </c>
      <c r="E35" s="153"/>
      <c r="F35" s="75">
        <f t="shared" si="0"/>
        <v>0</v>
      </c>
      <c r="G35" s="91">
        <v>0</v>
      </c>
      <c r="H35" s="91">
        <v>0</v>
      </c>
      <c r="I35" s="91">
        <v>0</v>
      </c>
      <c r="J35" s="91">
        <v>0</v>
      </c>
      <c r="K35" s="91">
        <v>0</v>
      </c>
      <c r="L35" s="91">
        <v>0</v>
      </c>
      <c r="M35" s="91">
        <v>0</v>
      </c>
      <c r="N35" s="91">
        <v>0</v>
      </c>
      <c r="O35" s="91">
        <v>0</v>
      </c>
      <c r="P35" s="122">
        <v>0</v>
      </c>
      <c r="Q35" s="91">
        <v>0</v>
      </c>
      <c r="R35" s="124">
        <v>0</v>
      </c>
      <c r="S35" s="93"/>
    </row>
    <row r="36" spans="2:19" ht="21" customHeight="1" x14ac:dyDescent="0.15">
      <c r="B36" s="171"/>
      <c r="C36" s="163"/>
      <c r="D36" s="153" t="s">
        <v>135</v>
      </c>
      <c r="E36" s="153"/>
      <c r="F36" s="75">
        <f t="shared" si="0"/>
        <v>0</v>
      </c>
      <c r="G36" s="91">
        <v>0</v>
      </c>
      <c r="H36" s="91">
        <v>0</v>
      </c>
      <c r="I36" s="91">
        <v>0</v>
      </c>
      <c r="J36" s="91">
        <v>0</v>
      </c>
      <c r="K36" s="91">
        <v>0</v>
      </c>
      <c r="L36" s="91">
        <v>0</v>
      </c>
      <c r="M36" s="91">
        <v>0</v>
      </c>
      <c r="N36" s="91">
        <v>0</v>
      </c>
      <c r="O36" s="91">
        <v>0</v>
      </c>
      <c r="P36" s="122">
        <v>0</v>
      </c>
      <c r="Q36" s="91">
        <v>0</v>
      </c>
      <c r="R36" s="124">
        <v>0</v>
      </c>
      <c r="S36" s="93"/>
    </row>
    <row r="37" spans="2:19" ht="21" customHeight="1" x14ac:dyDescent="0.15">
      <c r="B37" s="171"/>
      <c r="C37" s="163"/>
      <c r="D37" s="153" t="s">
        <v>136</v>
      </c>
      <c r="E37" s="153"/>
      <c r="F37" s="75">
        <f t="shared" si="0"/>
        <v>0</v>
      </c>
      <c r="G37" s="91">
        <v>0</v>
      </c>
      <c r="H37" s="91">
        <v>0</v>
      </c>
      <c r="I37" s="91">
        <v>0</v>
      </c>
      <c r="J37" s="91">
        <v>0</v>
      </c>
      <c r="K37" s="91">
        <v>0</v>
      </c>
      <c r="L37" s="91">
        <v>0</v>
      </c>
      <c r="M37" s="91">
        <v>0</v>
      </c>
      <c r="N37" s="91">
        <v>0</v>
      </c>
      <c r="O37" s="91">
        <v>0</v>
      </c>
      <c r="P37" s="122">
        <v>0</v>
      </c>
      <c r="Q37" s="91">
        <v>0</v>
      </c>
      <c r="R37" s="124">
        <v>0</v>
      </c>
      <c r="S37" s="93"/>
    </row>
    <row r="38" spans="2:19" ht="21" customHeight="1" x14ac:dyDescent="0.15">
      <c r="B38" s="171"/>
      <c r="C38" s="163"/>
      <c r="D38" s="153" t="s">
        <v>137</v>
      </c>
      <c r="E38" s="153"/>
      <c r="F38" s="75">
        <f t="shared" si="0"/>
        <v>0</v>
      </c>
      <c r="G38" s="91">
        <v>0</v>
      </c>
      <c r="H38" s="91">
        <v>0</v>
      </c>
      <c r="I38" s="91">
        <v>0</v>
      </c>
      <c r="J38" s="91">
        <v>0</v>
      </c>
      <c r="K38" s="91">
        <v>0</v>
      </c>
      <c r="L38" s="91">
        <v>0</v>
      </c>
      <c r="M38" s="91">
        <v>0</v>
      </c>
      <c r="N38" s="91">
        <v>0</v>
      </c>
      <c r="O38" s="91">
        <v>0</v>
      </c>
      <c r="P38" s="122">
        <v>0</v>
      </c>
      <c r="Q38" s="91">
        <v>0</v>
      </c>
      <c r="R38" s="124">
        <v>0</v>
      </c>
      <c r="S38" s="93"/>
    </row>
    <row r="39" spans="2:19" ht="21" customHeight="1" x14ac:dyDescent="0.15">
      <c r="B39" s="171"/>
      <c r="C39" s="163"/>
      <c r="D39" s="153" t="s">
        <v>138</v>
      </c>
      <c r="E39" s="153"/>
      <c r="F39" s="75">
        <f t="shared" si="0"/>
        <v>0</v>
      </c>
      <c r="G39" s="91">
        <v>0</v>
      </c>
      <c r="H39" s="91">
        <v>0</v>
      </c>
      <c r="I39" s="91">
        <v>0</v>
      </c>
      <c r="J39" s="91">
        <v>0</v>
      </c>
      <c r="K39" s="91">
        <v>0</v>
      </c>
      <c r="L39" s="91">
        <v>0</v>
      </c>
      <c r="M39" s="91">
        <v>0</v>
      </c>
      <c r="N39" s="91">
        <v>0</v>
      </c>
      <c r="O39" s="91">
        <v>0</v>
      </c>
      <c r="P39" s="122">
        <v>0</v>
      </c>
      <c r="Q39" s="91">
        <v>0</v>
      </c>
      <c r="R39" s="124">
        <v>0</v>
      </c>
      <c r="S39" s="93"/>
    </row>
    <row r="40" spans="2:19" ht="21" customHeight="1" x14ac:dyDescent="0.15">
      <c r="B40" s="171"/>
      <c r="C40" s="163"/>
      <c r="D40" s="153" t="s">
        <v>139</v>
      </c>
      <c r="E40" s="153"/>
      <c r="F40" s="75">
        <f t="shared" si="0"/>
        <v>0</v>
      </c>
      <c r="G40" s="91">
        <v>0</v>
      </c>
      <c r="H40" s="91">
        <v>0</v>
      </c>
      <c r="I40" s="91">
        <v>0</v>
      </c>
      <c r="J40" s="91">
        <v>0</v>
      </c>
      <c r="K40" s="91">
        <v>0</v>
      </c>
      <c r="L40" s="91">
        <v>0</v>
      </c>
      <c r="M40" s="91">
        <v>0</v>
      </c>
      <c r="N40" s="91">
        <v>0</v>
      </c>
      <c r="O40" s="91">
        <v>0</v>
      </c>
      <c r="P40" s="122">
        <v>0</v>
      </c>
      <c r="Q40" s="91">
        <v>0</v>
      </c>
      <c r="R40" s="124">
        <v>0</v>
      </c>
      <c r="S40" s="93"/>
    </row>
    <row r="41" spans="2:19" ht="21" customHeight="1" x14ac:dyDescent="0.15">
      <c r="B41" s="171"/>
      <c r="C41" s="163"/>
      <c r="D41" s="153" t="s">
        <v>140</v>
      </c>
      <c r="E41" s="153"/>
      <c r="F41" s="75">
        <f t="shared" si="0"/>
        <v>0</v>
      </c>
      <c r="G41" s="91">
        <v>0</v>
      </c>
      <c r="H41" s="91">
        <v>0</v>
      </c>
      <c r="I41" s="91">
        <v>0</v>
      </c>
      <c r="J41" s="91">
        <v>0</v>
      </c>
      <c r="K41" s="91">
        <v>0</v>
      </c>
      <c r="L41" s="91">
        <v>0</v>
      </c>
      <c r="M41" s="91">
        <v>0</v>
      </c>
      <c r="N41" s="91">
        <v>0</v>
      </c>
      <c r="O41" s="91">
        <v>0</v>
      </c>
      <c r="P41" s="122">
        <v>0</v>
      </c>
      <c r="Q41" s="91">
        <v>0</v>
      </c>
      <c r="R41" s="124">
        <v>0</v>
      </c>
      <c r="S41" s="93"/>
    </row>
    <row r="42" spans="2:19" ht="21" customHeight="1" x14ac:dyDescent="0.15">
      <c r="B42" s="171"/>
      <c r="C42" s="163"/>
      <c r="D42" s="153" t="s">
        <v>141</v>
      </c>
      <c r="E42" s="153"/>
      <c r="F42" s="75">
        <f t="shared" si="0"/>
        <v>0</v>
      </c>
      <c r="G42" s="91">
        <v>0</v>
      </c>
      <c r="H42" s="91">
        <v>0</v>
      </c>
      <c r="I42" s="91">
        <v>0</v>
      </c>
      <c r="J42" s="91">
        <v>0</v>
      </c>
      <c r="K42" s="91">
        <v>0</v>
      </c>
      <c r="L42" s="91">
        <v>0</v>
      </c>
      <c r="M42" s="91">
        <v>0</v>
      </c>
      <c r="N42" s="91">
        <v>0</v>
      </c>
      <c r="O42" s="91">
        <v>0</v>
      </c>
      <c r="P42" s="122">
        <v>0</v>
      </c>
      <c r="Q42" s="91">
        <v>0</v>
      </c>
      <c r="R42" s="124">
        <v>0</v>
      </c>
      <c r="S42" s="93"/>
    </row>
    <row r="43" spans="2:19" ht="21" customHeight="1" x14ac:dyDescent="0.15">
      <c r="B43" s="171"/>
      <c r="C43" s="143"/>
      <c r="D43" s="153" t="s">
        <v>142</v>
      </c>
      <c r="E43" s="153"/>
      <c r="F43" s="75">
        <f t="shared" si="0"/>
        <v>0</v>
      </c>
      <c r="G43" s="91">
        <v>0</v>
      </c>
      <c r="H43" s="91">
        <v>0</v>
      </c>
      <c r="I43" s="91">
        <v>0</v>
      </c>
      <c r="J43" s="91">
        <v>0</v>
      </c>
      <c r="K43" s="91">
        <v>0</v>
      </c>
      <c r="L43" s="91">
        <v>0</v>
      </c>
      <c r="M43" s="91">
        <v>0</v>
      </c>
      <c r="N43" s="91">
        <v>0</v>
      </c>
      <c r="O43" s="91">
        <v>0</v>
      </c>
      <c r="P43" s="122">
        <v>0</v>
      </c>
      <c r="Q43" s="91">
        <v>0</v>
      </c>
      <c r="R43" s="124">
        <v>0</v>
      </c>
      <c r="S43" s="93"/>
    </row>
    <row r="44" spans="2:19" ht="21" customHeight="1" x14ac:dyDescent="0.15">
      <c r="B44" s="171"/>
      <c r="C44" s="24"/>
      <c r="D44" s="160" t="s">
        <v>143</v>
      </c>
      <c r="E44" s="161"/>
      <c r="F44" s="75">
        <f t="shared" si="0"/>
        <v>1081087</v>
      </c>
      <c r="G44" s="91">
        <v>151503</v>
      </c>
      <c r="H44" s="91">
        <v>61779</v>
      </c>
      <c r="I44" s="91">
        <v>75099</v>
      </c>
      <c r="J44" s="91">
        <v>78168</v>
      </c>
      <c r="K44" s="91">
        <v>71877</v>
      </c>
      <c r="L44" s="91">
        <v>44787</v>
      </c>
      <c r="M44" s="91">
        <v>73965</v>
      </c>
      <c r="N44" s="91">
        <v>70141</v>
      </c>
      <c r="O44" s="91">
        <v>61906</v>
      </c>
      <c r="P44" s="122">
        <v>194539</v>
      </c>
      <c r="Q44" s="91">
        <v>105641</v>
      </c>
      <c r="R44" s="124">
        <v>91682</v>
      </c>
      <c r="S44" s="93"/>
    </row>
    <row r="45" spans="2:19" ht="21" customHeight="1" x14ac:dyDescent="0.15">
      <c r="B45" s="171"/>
      <c r="C45" s="25"/>
      <c r="D45" s="145" t="s">
        <v>144</v>
      </c>
      <c r="E45" s="146"/>
      <c r="F45" s="75">
        <f t="shared" si="0"/>
        <v>9012123</v>
      </c>
      <c r="G45" s="91">
        <v>871560</v>
      </c>
      <c r="H45" s="91">
        <v>928161</v>
      </c>
      <c r="I45" s="91">
        <v>1204416</v>
      </c>
      <c r="J45" s="91">
        <v>767394</v>
      </c>
      <c r="K45" s="91">
        <v>792918</v>
      </c>
      <c r="L45" s="91">
        <v>814122</v>
      </c>
      <c r="M45" s="91">
        <v>788112</v>
      </c>
      <c r="N45" s="91">
        <v>688068</v>
      </c>
      <c r="O45" s="91">
        <v>547047</v>
      </c>
      <c r="P45" s="122">
        <v>554625</v>
      </c>
      <c r="Q45" s="91">
        <v>554625</v>
      </c>
      <c r="R45" s="124">
        <v>501075</v>
      </c>
      <c r="S45" s="93"/>
    </row>
    <row r="46" spans="2:19" ht="21" customHeight="1" x14ac:dyDescent="0.15">
      <c r="B46" s="171"/>
      <c r="C46" s="25"/>
      <c r="D46" s="145" t="s">
        <v>145</v>
      </c>
      <c r="E46" s="146"/>
      <c r="F46" s="75">
        <f t="shared" si="0"/>
        <v>0</v>
      </c>
      <c r="G46" s="91">
        <v>0</v>
      </c>
      <c r="H46" s="91">
        <v>0</v>
      </c>
      <c r="I46" s="91">
        <v>0</v>
      </c>
      <c r="J46" s="91">
        <v>0</v>
      </c>
      <c r="K46" s="91">
        <v>0</v>
      </c>
      <c r="L46" s="91">
        <v>0</v>
      </c>
      <c r="M46" s="91">
        <v>0</v>
      </c>
      <c r="N46" s="91">
        <v>0</v>
      </c>
      <c r="O46" s="91">
        <v>0</v>
      </c>
      <c r="P46" s="123">
        <v>0</v>
      </c>
      <c r="Q46" s="91">
        <v>0</v>
      </c>
      <c r="R46" s="125">
        <v>0</v>
      </c>
      <c r="S46" s="93"/>
    </row>
    <row r="47" spans="2:19" ht="21" customHeight="1" x14ac:dyDescent="0.15">
      <c r="B47" s="171"/>
      <c r="C47" s="25"/>
      <c r="D47" s="145" t="s">
        <v>146</v>
      </c>
      <c r="E47" s="146"/>
      <c r="F47" s="75">
        <f t="shared" si="0"/>
        <v>0</v>
      </c>
      <c r="G47" s="91">
        <v>0</v>
      </c>
      <c r="H47" s="91">
        <v>0</v>
      </c>
      <c r="I47" s="91">
        <v>0</v>
      </c>
      <c r="J47" s="91">
        <v>0</v>
      </c>
      <c r="K47" s="91">
        <v>0</v>
      </c>
      <c r="L47" s="91">
        <v>0</v>
      </c>
      <c r="M47" s="91">
        <v>0</v>
      </c>
      <c r="N47" s="91">
        <v>0</v>
      </c>
      <c r="O47" s="91">
        <v>0</v>
      </c>
      <c r="P47" s="122">
        <v>0</v>
      </c>
      <c r="Q47" s="91">
        <v>0</v>
      </c>
      <c r="R47" s="124">
        <v>0</v>
      </c>
      <c r="S47" s="93"/>
    </row>
    <row r="48" spans="2:19" ht="21" customHeight="1" x14ac:dyDescent="0.15">
      <c r="B48" s="172"/>
      <c r="C48" s="25"/>
      <c r="D48" s="145" t="s">
        <v>147</v>
      </c>
      <c r="E48" s="146"/>
      <c r="F48" s="75">
        <f t="shared" si="0"/>
        <v>30339</v>
      </c>
      <c r="G48" s="91">
        <v>0</v>
      </c>
      <c r="H48" s="91">
        <v>0</v>
      </c>
      <c r="I48" s="91">
        <v>30339</v>
      </c>
      <c r="J48" s="91">
        <v>0</v>
      </c>
      <c r="K48" s="91">
        <v>0</v>
      </c>
      <c r="L48" s="91">
        <v>0</v>
      </c>
      <c r="M48" s="91">
        <v>0</v>
      </c>
      <c r="N48" s="91">
        <v>0</v>
      </c>
      <c r="O48" s="91">
        <v>0</v>
      </c>
      <c r="P48" s="122">
        <v>0</v>
      </c>
      <c r="Q48" s="91">
        <v>0</v>
      </c>
      <c r="R48" s="124">
        <v>0</v>
      </c>
      <c r="S48" s="93"/>
    </row>
    <row r="49" spans="2:19" ht="21" customHeight="1" x14ac:dyDescent="0.15">
      <c r="B49" s="26"/>
      <c r="C49" s="27"/>
      <c r="D49" s="48" t="s">
        <v>148</v>
      </c>
      <c r="E49" s="49"/>
      <c r="F49" s="75">
        <f t="shared" si="0"/>
        <v>51550120</v>
      </c>
      <c r="G49" s="91">
        <v>4265429</v>
      </c>
      <c r="H49" s="91">
        <v>2159791</v>
      </c>
      <c r="I49" s="91">
        <v>6523351</v>
      </c>
      <c r="J49" s="91">
        <v>4403701</v>
      </c>
      <c r="K49" s="91">
        <v>4257841</v>
      </c>
      <c r="L49" s="91">
        <v>4320471</v>
      </c>
      <c r="M49" s="91">
        <v>4301711</v>
      </c>
      <c r="N49" s="91">
        <v>4313791</v>
      </c>
      <c r="O49" s="91">
        <v>4432513</v>
      </c>
      <c r="P49" s="122">
        <v>4229281</v>
      </c>
      <c r="Q49" s="91">
        <v>4228071</v>
      </c>
      <c r="R49" s="124">
        <v>4114169</v>
      </c>
      <c r="S49" s="93"/>
    </row>
    <row r="50" spans="2:19" ht="21" customHeight="1" x14ac:dyDescent="0.15">
      <c r="B50" s="26"/>
      <c r="C50" s="27"/>
      <c r="D50" s="48" t="s">
        <v>149</v>
      </c>
      <c r="E50" s="49"/>
      <c r="F50" s="75">
        <f t="shared" si="0"/>
        <v>2545330</v>
      </c>
      <c r="G50" s="91">
        <v>201260</v>
      </c>
      <c r="H50" s="91">
        <v>201940</v>
      </c>
      <c r="I50" s="91">
        <v>204940</v>
      </c>
      <c r="J50" s="91">
        <v>200550</v>
      </c>
      <c r="K50" s="91">
        <v>207940</v>
      </c>
      <c r="L50" s="91">
        <v>209330</v>
      </c>
      <c r="M50" s="91">
        <v>225500</v>
      </c>
      <c r="N50" s="91">
        <v>213240</v>
      </c>
      <c r="O50" s="91">
        <v>245530</v>
      </c>
      <c r="P50" s="122">
        <v>201480</v>
      </c>
      <c r="Q50" s="91">
        <v>223380</v>
      </c>
      <c r="R50" s="124">
        <v>210240</v>
      </c>
      <c r="S50" s="93"/>
    </row>
    <row r="51" spans="2:19" ht="21" customHeight="1" x14ac:dyDescent="0.15">
      <c r="B51" s="26"/>
      <c r="C51" s="48"/>
      <c r="D51" s="145" t="s">
        <v>150</v>
      </c>
      <c r="E51" s="146"/>
      <c r="F51" s="75">
        <f t="shared" si="0"/>
        <v>0</v>
      </c>
      <c r="G51" s="91">
        <v>0</v>
      </c>
      <c r="H51" s="91">
        <v>0</v>
      </c>
      <c r="I51" s="91">
        <v>0</v>
      </c>
      <c r="J51" s="91">
        <v>0</v>
      </c>
      <c r="K51" s="91">
        <v>0</v>
      </c>
      <c r="L51" s="91">
        <v>0</v>
      </c>
      <c r="M51" s="91">
        <v>0</v>
      </c>
      <c r="N51" s="91">
        <v>0</v>
      </c>
      <c r="O51" s="91">
        <v>0</v>
      </c>
      <c r="P51" s="122">
        <v>0</v>
      </c>
      <c r="Q51" s="91">
        <v>0</v>
      </c>
      <c r="R51" s="124">
        <v>0</v>
      </c>
      <c r="S51" s="93"/>
    </row>
    <row r="52" spans="2:19" ht="21" customHeight="1" x14ac:dyDescent="0.15">
      <c r="B52" s="152" t="s">
        <v>151</v>
      </c>
      <c r="C52" s="152"/>
      <c r="D52" s="153"/>
      <c r="E52" s="153"/>
      <c r="F52" s="75">
        <f t="shared" si="0"/>
        <v>394128624</v>
      </c>
      <c r="G52" s="91">
        <v>33302377</v>
      </c>
      <c r="H52" s="91">
        <v>23266806</v>
      </c>
      <c r="I52" s="91">
        <v>40279271</v>
      </c>
      <c r="J52" s="91">
        <v>35258972</v>
      </c>
      <c r="K52" s="91">
        <v>34232912</v>
      </c>
      <c r="L52" s="91">
        <v>32327222</v>
      </c>
      <c r="M52" s="91">
        <v>31507974</v>
      </c>
      <c r="N52" s="91">
        <v>29697003</v>
      </c>
      <c r="O52" s="91">
        <v>37003775</v>
      </c>
      <c r="P52" s="122">
        <v>33368557</v>
      </c>
      <c r="Q52" s="91">
        <v>33346113</v>
      </c>
      <c r="R52" s="124">
        <v>30537642</v>
      </c>
      <c r="S52" s="93"/>
    </row>
    <row r="53" spans="2:19" ht="21" customHeight="1" x14ac:dyDescent="0.15">
      <c r="B53" s="154"/>
      <c r="C53" s="155"/>
      <c r="D53" s="158" t="s">
        <v>152</v>
      </c>
      <c r="E53" s="159"/>
      <c r="F53" s="75">
        <f t="shared" si="0"/>
        <v>9632988</v>
      </c>
      <c r="G53" s="91">
        <v>1032768</v>
      </c>
      <c r="H53" s="91">
        <v>997596</v>
      </c>
      <c r="I53" s="91">
        <v>1086246</v>
      </c>
      <c r="J53" s="91">
        <v>1089099</v>
      </c>
      <c r="K53" s="91">
        <v>978003</v>
      </c>
      <c r="L53" s="91">
        <v>905004</v>
      </c>
      <c r="M53" s="91">
        <v>556353</v>
      </c>
      <c r="N53" s="91">
        <v>1048338</v>
      </c>
      <c r="O53" s="91">
        <v>862272</v>
      </c>
      <c r="P53" s="123">
        <v>282294</v>
      </c>
      <c r="Q53" s="91">
        <v>491085</v>
      </c>
      <c r="R53" s="125">
        <v>303930</v>
      </c>
      <c r="S53" s="93"/>
    </row>
    <row r="54" spans="2:19" ht="21" customHeight="1" x14ac:dyDescent="0.15">
      <c r="B54" s="154"/>
      <c r="C54" s="155"/>
      <c r="D54" s="158" t="s">
        <v>153</v>
      </c>
      <c r="E54" s="159"/>
      <c r="F54" s="75">
        <f t="shared" si="0"/>
        <v>0</v>
      </c>
      <c r="G54" s="91">
        <v>0</v>
      </c>
      <c r="H54" s="91">
        <v>0</v>
      </c>
      <c r="I54" s="91">
        <v>0</v>
      </c>
      <c r="J54" s="91">
        <v>0</v>
      </c>
      <c r="K54" s="91">
        <v>0</v>
      </c>
      <c r="L54" s="91">
        <v>0</v>
      </c>
      <c r="M54" s="91">
        <v>0</v>
      </c>
      <c r="N54" s="91">
        <v>0</v>
      </c>
      <c r="O54" s="91">
        <v>0</v>
      </c>
      <c r="P54" s="122">
        <v>0</v>
      </c>
      <c r="Q54" s="91">
        <v>0</v>
      </c>
      <c r="R54" s="124">
        <v>0</v>
      </c>
      <c r="S54" s="93"/>
    </row>
    <row r="55" spans="2:19" ht="21" customHeight="1" x14ac:dyDescent="0.15">
      <c r="B55" s="154"/>
      <c r="C55" s="155"/>
      <c r="D55" s="147" t="s">
        <v>154</v>
      </c>
      <c r="E55" s="136"/>
      <c r="F55" s="75">
        <f t="shared" si="0"/>
        <v>1159839</v>
      </c>
      <c r="G55" s="91">
        <v>150957</v>
      </c>
      <c r="H55" s="91">
        <v>29331</v>
      </c>
      <c r="I55" s="91">
        <v>179910</v>
      </c>
      <c r="J55" s="91">
        <v>81414</v>
      </c>
      <c r="K55" s="91">
        <v>96147</v>
      </c>
      <c r="L55" s="91">
        <v>91467</v>
      </c>
      <c r="M55" s="91">
        <v>91467</v>
      </c>
      <c r="N55" s="91">
        <v>90711</v>
      </c>
      <c r="O55" s="91">
        <v>91377</v>
      </c>
      <c r="P55" s="122">
        <v>88362</v>
      </c>
      <c r="Q55" s="91">
        <v>84348</v>
      </c>
      <c r="R55" s="124">
        <v>84348</v>
      </c>
      <c r="S55" s="93"/>
    </row>
    <row r="56" spans="2:19" ht="21" customHeight="1" x14ac:dyDescent="0.15">
      <c r="B56" s="154"/>
      <c r="C56" s="155"/>
      <c r="D56" s="158" t="s">
        <v>155</v>
      </c>
      <c r="E56" s="159"/>
      <c r="F56" s="75">
        <f t="shared" si="0"/>
        <v>20971566</v>
      </c>
      <c r="G56" s="91">
        <v>1737450</v>
      </c>
      <c r="H56" s="91">
        <v>448605</v>
      </c>
      <c r="I56" s="91">
        <v>0</v>
      </c>
      <c r="J56" s="91">
        <v>4826277</v>
      </c>
      <c r="K56" s="91">
        <v>1571805</v>
      </c>
      <c r="L56" s="91">
        <v>1323189</v>
      </c>
      <c r="M56" s="91">
        <v>1655325</v>
      </c>
      <c r="N56" s="91">
        <v>1769706</v>
      </c>
      <c r="O56" s="91">
        <v>2298411</v>
      </c>
      <c r="P56" s="122">
        <v>2007450</v>
      </c>
      <c r="Q56" s="91">
        <v>1902681</v>
      </c>
      <c r="R56" s="124">
        <v>1430667</v>
      </c>
      <c r="S56" s="93"/>
    </row>
    <row r="57" spans="2:19" ht="21" customHeight="1" x14ac:dyDescent="0.15">
      <c r="B57" s="154"/>
      <c r="C57" s="155"/>
      <c r="D57" s="147" t="s">
        <v>156</v>
      </c>
      <c r="E57" s="136"/>
      <c r="F57" s="75">
        <f t="shared" si="0"/>
        <v>61660961</v>
      </c>
      <c r="G57" s="91">
        <v>5537751</v>
      </c>
      <c r="H57" s="91">
        <v>4943549</v>
      </c>
      <c r="I57" s="91">
        <v>6244443</v>
      </c>
      <c r="J57" s="91">
        <v>5063013</v>
      </c>
      <c r="K57" s="91">
        <v>5928507</v>
      </c>
      <c r="L57" s="91">
        <v>5697666</v>
      </c>
      <c r="M57" s="91">
        <v>5349762</v>
      </c>
      <c r="N57" s="91">
        <v>4884354</v>
      </c>
      <c r="O57" s="91">
        <v>4988817</v>
      </c>
      <c r="P57" s="122">
        <v>4788369</v>
      </c>
      <c r="Q57" s="91">
        <v>3864078</v>
      </c>
      <c r="R57" s="124">
        <v>4370652</v>
      </c>
      <c r="S57" s="93"/>
    </row>
    <row r="58" spans="2:19" ht="21" customHeight="1" x14ac:dyDescent="0.15">
      <c r="B58" s="154"/>
      <c r="C58" s="155"/>
      <c r="D58" s="147" t="s">
        <v>157</v>
      </c>
      <c r="E58" s="136"/>
      <c r="F58" s="75">
        <f t="shared" si="0"/>
        <v>0</v>
      </c>
      <c r="G58" s="91">
        <v>0</v>
      </c>
      <c r="H58" s="91">
        <v>0</v>
      </c>
      <c r="I58" s="91">
        <v>0</v>
      </c>
      <c r="J58" s="91">
        <v>0</v>
      </c>
      <c r="K58" s="91">
        <v>0</v>
      </c>
      <c r="L58" s="91">
        <v>0</v>
      </c>
      <c r="M58" s="91">
        <v>0</v>
      </c>
      <c r="N58" s="91">
        <v>0</v>
      </c>
      <c r="O58" s="91">
        <v>0</v>
      </c>
      <c r="P58" s="122">
        <v>0</v>
      </c>
      <c r="Q58" s="91">
        <v>0</v>
      </c>
      <c r="R58" s="124">
        <v>0</v>
      </c>
      <c r="S58" s="93"/>
    </row>
    <row r="59" spans="2:19" ht="21" customHeight="1" x14ac:dyDescent="0.15">
      <c r="B59" s="154"/>
      <c r="C59" s="155"/>
      <c r="D59" s="49" t="s">
        <v>158</v>
      </c>
      <c r="E59" s="46"/>
      <c r="F59" s="75">
        <f t="shared" si="0"/>
        <v>143993183</v>
      </c>
      <c r="G59" s="91">
        <v>11554185</v>
      </c>
      <c r="H59" s="91">
        <v>11138126</v>
      </c>
      <c r="I59" s="91">
        <v>11824422</v>
      </c>
      <c r="J59" s="91">
        <v>11828498</v>
      </c>
      <c r="K59" s="91">
        <v>11897099</v>
      </c>
      <c r="L59" s="91">
        <v>11005590</v>
      </c>
      <c r="M59" s="91">
        <v>10870570</v>
      </c>
      <c r="N59" s="91">
        <v>9064172</v>
      </c>
      <c r="O59" s="91">
        <v>15605833</v>
      </c>
      <c r="P59" s="122">
        <v>13066741</v>
      </c>
      <c r="Q59" s="91">
        <v>13687119</v>
      </c>
      <c r="R59" s="124">
        <v>12450828</v>
      </c>
      <c r="S59" s="93"/>
    </row>
    <row r="60" spans="2:19" ht="21" customHeight="1" x14ac:dyDescent="0.15">
      <c r="B60" s="154"/>
      <c r="C60" s="155"/>
      <c r="D60" s="145" t="s">
        <v>159</v>
      </c>
      <c r="E60" s="146"/>
      <c r="F60" s="75">
        <f t="shared" si="0"/>
        <v>0</v>
      </c>
      <c r="G60" s="91">
        <v>0</v>
      </c>
      <c r="H60" s="91">
        <v>0</v>
      </c>
      <c r="I60" s="91">
        <v>0</v>
      </c>
      <c r="J60" s="91">
        <v>0</v>
      </c>
      <c r="K60" s="91">
        <v>0</v>
      </c>
      <c r="L60" s="91">
        <v>0</v>
      </c>
      <c r="M60" s="91">
        <v>0</v>
      </c>
      <c r="N60" s="91">
        <v>0</v>
      </c>
      <c r="O60" s="91">
        <v>0</v>
      </c>
      <c r="P60" s="122">
        <v>0</v>
      </c>
      <c r="Q60" s="91">
        <v>0</v>
      </c>
      <c r="R60" s="124">
        <v>0</v>
      </c>
      <c r="S60" s="93"/>
    </row>
    <row r="61" spans="2:19" ht="21" customHeight="1" x14ac:dyDescent="0.15">
      <c r="B61" s="154"/>
      <c r="C61" s="155"/>
      <c r="D61" s="145" t="s">
        <v>160</v>
      </c>
      <c r="E61" s="146"/>
      <c r="F61" s="75">
        <f t="shared" si="0"/>
        <v>0</v>
      </c>
      <c r="G61" s="91">
        <v>0</v>
      </c>
      <c r="H61" s="91">
        <v>0</v>
      </c>
      <c r="I61" s="91">
        <v>0</v>
      </c>
      <c r="J61" s="91">
        <v>0</v>
      </c>
      <c r="K61" s="91">
        <v>0</v>
      </c>
      <c r="L61" s="91">
        <v>0</v>
      </c>
      <c r="M61" s="91">
        <v>0</v>
      </c>
      <c r="N61" s="91">
        <v>0</v>
      </c>
      <c r="O61" s="91">
        <v>0</v>
      </c>
      <c r="P61" s="122">
        <v>0</v>
      </c>
      <c r="Q61" s="91">
        <v>0</v>
      </c>
      <c r="R61" s="124">
        <v>0</v>
      </c>
      <c r="S61" s="93"/>
    </row>
    <row r="62" spans="2:19" ht="21" customHeight="1" x14ac:dyDescent="0.15">
      <c r="B62" s="154"/>
      <c r="C62" s="155"/>
      <c r="D62" s="145" t="s">
        <v>161</v>
      </c>
      <c r="E62" s="146"/>
      <c r="F62" s="75">
        <f t="shared" si="0"/>
        <v>0</v>
      </c>
      <c r="G62" s="91">
        <v>0</v>
      </c>
      <c r="H62" s="91">
        <v>0</v>
      </c>
      <c r="I62" s="91">
        <v>0</v>
      </c>
      <c r="J62" s="91">
        <v>0</v>
      </c>
      <c r="K62" s="91">
        <v>0</v>
      </c>
      <c r="L62" s="91">
        <v>0</v>
      </c>
      <c r="M62" s="91">
        <v>0</v>
      </c>
      <c r="N62" s="91">
        <v>0</v>
      </c>
      <c r="O62" s="91">
        <v>0</v>
      </c>
      <c r="P62" s="123">
        <v>0</v>
      </c>
      <c r="Q62" s="91">
        <v>0</v>
      </c>
      <c r="R62" s="125">
        <v>0</v>
      </c>
      <c r="S62" s="93"/>
    </row>
    <row r="63" spans="2:19" ht="21" customHeight="1" x14ac:dyDescent="0.15">
      <c r="B63" s="154"/>
      <c r="C63" s="155"/>
      <c r="D63" s="49" t="s">
        <v>162</v>
      </c>
      <c r="E63" s="46"/>
      <c r="F63" s="75">
        <f t="shared" si="0"/>
        <v>151700723</v>
      </c>
      <c r="G63" s="91">
        <v>12879766</v>
      </c>
      <c r="H63" s="91">
        <v>5297759</v>
      </c>
      <c r="I63" s="91">
        <v>20532410</v>
      </c>
      <c r="J63" s="91">
        <v>11958831</v>
      </c>
      <c r="K63" s="91">
        <v>13349511</v>
      </c>
      <c r="L63" s="91">
        <v>12931886</v>
      </c>
      <c r="M63" s="91">
        <v>12606146</v>
      </c>
      <c r="N63" s="91">
        <v>12543856</v>
      </c>
      <c r="O63" s="91">
        <v>12630772</v>
      </c>
      <c r="P63" s="122">
        <v>12673695</v>
      </c>
      <c r="Q63" s="91">
        <v>12857838</v>
      </c>
      <c r="R63" s="124">
        <v>11438253</v>
      </c>
      <c r="S63" s="93"/>
    </row>
    <row r="64" spans="2:19" ht="21" customHeight="1" x14ac:dyDescent="0.15">
      <c r="B64" s="154"/>
      <c r="C64" s="155"/>
      <c r="D64" s="147" t="s">
        <v>163</v>
      </c>
      <c r="E64" s="136"/>
      <c r="F64" s="75">
        <f t="shared" si="0"/>
        <v>0</v>
      </c>
      <c r="G64" s="91">
        <v>0</v>
      </c>
      <c r="H64" s="91">
        <v>0</v>
      </c>
      <c r="I64" s="91">
        <v>0</v>
      </c>
      <c r="J64" s="91">
        <v>0</v>
      </c>
      <c r="K64" s="91">
        <v>0</v>
      </c>
      <c r="L64" s="91">
        <v>0</v>
      </c>
      <c r="M64" s="91">
        <v>0</v>
      </c>
      <c r="N64" s="91">
        <v>0</v>
      </c>
      <c r="O64" s="91">
        <v>0</v>
      </c>
      <c r="P64" s="123">
        <v>0</v>
      </c>
      <c r="Q64" s="91">
        <v>0</v>
      </c>
      <c r="R64" s="125">
        <v>0</v>
      </c>
      <c r="S64" s="93"/>
    </row>
    <row r="65" spans="2:19" ht="21" customHeight="1" x14ac:dyDescent="0.15">
      <c r="B65" s="154"/>
      <c r="C65" s="155"/>
      <c r="D65" s="147" t="s">
        <v>164</v>
      </c>
      <c r="E65" s="136"/>
      <c r="F65" s="75">
        <f t="shared" si="0"/>
        <v>0</v>
      </c>
      <c r="G65" s="91">
        <v>0</v>
      </c>
      <c r="H65" s="91">
        <v>0</v>
      </c>
      <c r="I65" s="91">
        <v>0</v>
      </c>
      <c r="J65" s="91">
        <v>0</v>
      </c>
      <c r="K65" s="91">
        <v>0</v>
      </c>
      <c r="L65" s="91">
        <v>0</v>
      </c>
      <c r="M65" s="91">
        <v>0</v>
      </c>
      <c r="N65" s="91">
        <v>0</v>
      </c>
      <c r="O65" s="91">
        <v>0</v>
      </c>
      <c r="P65" s="123">
        <v>0</v>
      </c>
      <c r="Q65" s="91">
        <v>0</v>
      </c>
      <c r="R65" s="125">
        <v>0</v>
      </c>
      <c r="S65" s="93"/>
    </row>
    <row r="66" spans="2:19" ht="21" customHeight="1" x14ac:dyDescent="0.15">
      <c r="B66" s="154"/>
      <c r="C66" s="155"/>
      <c r="D66" s="147" t="s">
        <v>165</v>
      </c>
      <c r="E66" s="136"/>
      <c r="F66" s="75">
        <f t="shared" si="0"/>
        <v>0</v>
      </c>
      <c r="G66" s="91">
        <v>0</v>
      </c>
      <c r="H66" s="91">
        <v>0</v>
      </c>
      <c r="I66" s="91">
        <v>0</v>
      </c>
      <c r="J66" s="91">
        <v>0</v>
      </c>
      <c r="K66" s="91">
        <v>0</v>
      </c>
      <c r="L66" s="91">
        <v>0</v>
      </c>
      <c r="M66" s="91">
        <v>0</v>
      </c>
      <c r="N66" s="91">
        <v>0</v>
      </c>
      <c r="O66" s="91">
        <v>0</v>
      </c>
      <c r="P66" s="122">
        <v>0</v>
      </c>
      <c r="Q66" s="91">
        <v>0</v>
      </c>
      <c r="R66" s="124">
        <v>0</v>
      </c>
      <c r="S66" s="93"/>
    </row>
    <row r="67" spans="2:19" ht="21" customHeight="1" x14ac:dyDescent="0.15">
      <c r="B67" s="154"/>
      <c r="C67" s="155"/>
      <c r="D67" s="148" t="s">
        <v>166</v>
      </c>
      <c r="E67" s="149"/>
      <c r="F67" s="75">
        <f t="shared" si="0"/>
        <v>5009364</v>
      </c>
      <c r="G67" s="91">
        <v>409500</v>
      </c>
      <c r="H67" s="91">
        <v>411840</v>
      </c>
      <c r="I67" s="91">
        <v>411840</v>
      </c>
      <c r="J67" s="91">
        <v>411840</v>
      </c>
      <c r="K67" s="91">
        <v>411840</v>
      </c>
      <c r="L67" s="91">
        <v>372420</v>
      </c>
      <c r="M67" s="91">
        <v>378351</v>
      </c>
      <c r="N67" s="91">
        <v>295866</v>
      </c>
      <c r="O67" s="91">
        <v>526293</v>
      </c>
      <c r="P67" s="122">
        <v>461646</v>
      </c>
      <c r="Q67" s="91">
        <v>458964</v>
      </c>
      <c r="R67" s="124">
        <v>458964</v>
      </c>
      <c r="S67" s="93"/>
    </row>
    <row r="68" spans="2:19" ht="21" customHeight="1" x14ac:dyDescent="0.15">
      <c r="B68" s="154"/>
      <c r="C68" s="155"/>
      <c r="D68" s="147" t="s">
        <v>167</v>
      </c>
      <c r="E68" s="136"/>
      <c r="F68" s="75">
        <f t="shared" si="0"/>
        <v>0</v>
      </c>
      <c r="G68" s="91">
        <v>0</v>
      </c>
      <c r="H68" s="91">
        <v>0</v>
      </c>
      <c r="I68" s="91">
        <v>0</v>
      </c>
      <c r="J68" s="91">
        <v>0</v>
      </c>
      <c r="K68" s="91">
        <v>0</v>
      </c>
      <c r="L68" s="91">
        <v>0</v>
      </c>
      <c r="M68" s="91">
        <v>0</v>
      </c>
      <c r="N68" s="91">
        <v>0</v>
      </c>
      <c r="O68" s="91">
        <v>0</v>
      </c>
      <c r="P68" s="122">
        <v>0</v>
      </c>
      <c r="Q68" s="91">
        <v>0</v>
      </c>
      <c r="R68" s="124">
        <v>0</v>
      </c>
      <c r="S68" s="93"/>
    </row>
    <row r="69" spans="2:19" ht="21" customHeight="1" x14ac:dyDescent="0.15">
      <c r="B69" s="154"/>
      <c r="C69" s="155"/>
      <c r="D69" s="150" t="s">
        <v>168</v>
      </c>
      <c r="E69" s="151"/>
      <c r="F69" s="75">
        <f t="shared" si="0"/>
        <v>0</v>
      </c>
      <c r="G69" s="91">
        <v>0</v>
      </c>
      <c r="H69" s="91">
        <v>0</v>
      </c>
      <c r="I69" s="91">
        <v>0</v>
      </c>
      <c r="J69" s="91">
        <v>0</v>
      </c>
      <c r="K69" s="91">
        <v>0</v>
      </c>
      <c r="L69" s="91">
        <v>0</v>
      </c>
      <c r="M69" s="91">
        <v>0</v>
      </c>
      <c r="N69" s="91">
        <v>0</v>
      </c>
      <c r="O69" s="91">
        <v>0</v>
      </c>
      <c r="P69" s="122">
        <v>0</v>
      </c>
      <c r="Q69" s="91">
        <v>0</v>
      </c>
      <c r="R69" s="124">
        <v>0</v>
      </c>
      <c r="S69" s="93"/>
    </row>
    <row r="70" spans="2:19" ht="21" customHeight="1" x14ac:dyDescent="0.15">
      <c r="B70" s="156"/>
      <c r="C70" s="157"/>
      <c r="D70" s="145" t="s">
        <v>169</v>
      </c>
      <c r="E70" s="146"/>
      <c r="F70" s="75">
        <f t="shared" si="0"/>
        <v>0</v>
      </c>
      <c r="G70" s="91">
        <v>0</v>
      </c>
      <c r="H70" s="91">
        <v>0</v>
      </c>
      <c r="I70" s="91">
        <v>0</v>
      </c>
      <c r="J70" s="91">
        <v>0</v>
      </c>
      <c r="K70" s="91">
        <v>0</v>
      </c>
      <c r="L70" s="91">
        <v>0</v>
      </c>
      <c r="M70" s="91">
        <v>0</v>
      </c>
      <c r="N70" s="91">
        <v>0</v>
      </c>
      <c r="O70" s="91">
        <v>0</v>
      </c>
      <c r="P70" s="122">
        <v>0</v>
      </c>
      <c r="Q70" s="91">
        <v>0</v>
      </c>
      <c r="R70" s="124">
        <v>0</v>
      </c>
      <c r="S70" s="93"/>
    </row>
    <row r="71" spans="2:19" ht="21" customHeight="1" x14ac:dyDescent="0.15">
      <c r="B71" s="152" t="s">
        <v>170</v>
      </c>
      <c r="C71" s="152"/>
      <c r="D71" s="153"/>
      <c r="E71" s="153"/>
      <c r="F71" s="75">
        <f t="shared" si="0"/>
        <v>313530591</v>
      </c>
      <c r="G71" s="91">
        <v>25682994</v>
      </c>
      <c r="H71" s="91">
        <v>22656306</v>
      </c>
      <c r="I71" s="91">
        <v>29187343</v>
      </c>
      <c r="J71" s="91">
        <v>25904163</v>
      </c>
      <c r="K71" s="91">
        <v>26589957</v>
      </c>
      <c r="L71" s="91">
        <v>26040165</v>
      </c>
      <c r="M71" s="91">
        <v>25901786</v>
      </c>
      <c r="N71" s="91">
        <v>27551708</v>
      </c>
      <c r="O71" s="91">
        <v>25731912</v>
      </c>
      <c r="P71" s="122">
        <v>27006860</v>
      </c>
      <c r="Q71" s="91">
        <v>26790727</v>
      </c>
      <c r="R71" s="124">
        <v>24486670</v>
      </c>
      <c r="S71" s="93"/>
    </row>
    <row r="72" spans="2:19" ht="21" customHeight="1" x14ac:dyDescent="0.15">
      <c r="B72" s="143"/>
      <c r="C72" s="143"/>
      <c r="D72" s="46" t="s">
        <v>171</v>
      </c>
      <c r="E72" s="46"/>
      <c r="F72" s="75">
        <f t="shared" si="0"/>
        <v>207977359</v>
      </c>
      <c r="G72" s="91">
        <v>16643327</v>
      </c>
      <c r="H72" s="91">
        <v>14815928</v>
      </c>
      <c r="I72" s="91">
        <v>19397587</v>
      </c>
      <c r="J72" s="91">
        <v>17875621</v>
      </c>
      <c r="K72" s="91">
        <v>18648180</v>
      </c>
      <c r="L72" s="91">
        <v>17209987</v>
      </c>
      <c r="M72" s="91">
        <v>17447096</v>
      </c>
      <c r="N72" s="91">
        <v>17621662</v>
      </c>
      <c r="O72" s="91">
        <v>16734885</v>
      </c>
      <c r="P72" s="122">
        <v>17155067</v>
      </c>
      <c r="Q72" s="91">
        <v>18443982</v>
      </c>
      <c r="R72" s="124">
        <v>15984037</v>
      </c>
      <c r="S72" s="93"/>
    </row>
    <row r="73" spans="2:19" ht="21" customHeight="1" x14ac:dyDescent="0.15">
      <c r="B73" s="144"/>
      <c r="C73" s="144"/>
      <c r="D73" s="46" t="s">
        <v>172</v>
      </c>
      <c r="E73" s="46"/>
      <c r="F73" s="75">
        <f t="shared" ref="F73:F99" si="1">SUM(G73:R73)</f>
        <v>101448907</v>
      </c>
      <c r="G73" s="91">
        <v>8466677</v>
      </c>
      <c r="H73" s="91">
        <v>7840378</v>
      </c>
      <c r="I73" s="91">
        <v>9155766</v>
      </c>
      <c r="J73" s="91">
        <v>7716746</v>
      </c>
      <c r="K73" s="91">
        <v>7490946</v>
      </c>
      <c r="L73" s="91">
        <v>8111638</v>
      </c>
      <c r="M73" s="91">
        <v>7758681</v>
      </c>
      <c r="N73" s="91">
        <v>9209877</v>
      </c>
      <c r="O73" s="91">
        <v>8997027</v>
      </c>
      <c r="P73" s="122">
        <v>9851793</v>
      </c>
      <c r="Q73" s="91">
        <v>8346745</v>
      </c>
      <c r="R73" s="124">
        <v>8502633</v>
      </c>
      <c r="S73" s="93"/>
    </row>
    <row r="74" spans="2:19" ht="21" customHeight="1" x14ac:dyDescent="0.15">
      <c r="B74" s="144"/>
      <c r="C74" s="144"/>
      <c r="D74" s="46" t="s">
        <v>173</v>
      </c>
      <c r="E74" s="46"/>
      <c r="F74" s="75">
        <f t="shared" si="1"/>
        <v>186176</v>
      </c>
      <c r="G74" s="91">
        <v>186176</v>
      </c>
      <c r="H74" s="91">
        <v>0</v>
      </c>
      <c r="I74" s="91">
        <v>0</v>
      </c>
      <c r="J74" s="91">
        <v>0</v>
      </c>
      <c r="K74" s="91">
        <v>0</v>
      </c>
      <c r="L74" s="91">
        <v>0</v>
      </c>
      <c r="M74" s="91">
        <v>0</v>
      </c>
      <c r="N74" s="91">
        <v>0</v>
      </c>
      <c r="O74" s="91">
        <v>0</v>
      </c>
      <c r="P74" s="122">
        <v>0</v>
      </c>
      <c r="Q74" s="91">
        <v>0</v>
      </c>
      <c r="R74" s="124">
        <v>0</v>
      </c>
      <c r="S74" s="93"/>
    </row>
    <row r="75" spans="2:19" ht="21" customHeight="1" x14ac:dyDescent="0.15">
      <c r="B75" s="144"/>
      <c r="C75" s="144"/>
      <c r="D75" s="46" t="s">
        <v>174</v>
      </c>
      <c r="E75" s="46"/>
      <c r="F75" s="75">
        <f t="shared" si="1"/>
        <v>3918149</v>
      </c>
      <c r="G75" s="91">
        <v>386814</v>
      </c>
      <c r="H75" s="91">
        <v>0</v>
      </c>
      <c r="I75" s="91">
        <v>633990</v>
      </c>
      <c r="J75" s="91">
        <v>311796</v>
      </c>
      <c r="K75" s="91">
        <v>450831</v>
      </c>
      <c r="L75" s="91">
        <v>718540</v>
      </c>
      <c r="M75" s="91">
        <v>696009</v>
      </c>
      <c r="N75" s="91">
        <v>720169</v>
      </c>
      <c r="O75" s="91">
        <v>0</v>
      </c>
      <c r="P75" s="122">
        <v>0</v>
      </c>
      <c r="Q75" s="91">
        <v>0</v>
      </c>
      <c r="R75" s="124">
        <v>0</v>
      </c>
      <c r="S75" s="93"/>
    </row>
    <row r="76" spans="2:19" ht="21" customHeight="1" x14ac:dyDescent="0.15">
      <c r="B76" s="144"/>
      <c r="C76" s="144"/>
      <c r="D76" s="46" t="s">
        <v>175</v>
      </c>
      <c r="E76" s="46"/>
      <c r="F76" s="75">
        <f t="shared" si="1"/>
        <v>0</v>
      </c>
      <c r="G76" s="91">
        <v>0</v>
      </c>
      <c r="H76" s="91">
        <v>0</v>
      </c>
      <c r="I76" s="91">
        <v>0</v>
      </c>
      <c r="J76" s="91">
        <v>0</v>
      </c>
      <c r="K76" s="91">
        <v>0</v>
      </c>
      <c r="L76" s="91">
        <v>0</v>
      </c>
      <c r="M76" s="91">
        <v>0</v>
      </c>
      <c r="N76" s="91">
        <v>0</v>
      </c>
      <c r="O76" s="91">
        <v>0</v>
      </c>
      <c r="P76" s="122">
        <v>0</v>
      </c>
      <c r="Q76" s="91">
        <v>0</v>
      </c>
      <c r="R76" s="124">
        <v>0</v>
      </c>
      <c r="S76" s="93"/>
    </row>
    <row r="77" spans="2:19" ht="21" customHeight="1" x14ac:dyDescent="0.15">
      <c r="B77" s="144"/>
      <c r="C77" s="144"/>
      <c r="D77" s="46" t="s">
        <v>176</v>
      </c>
      <c r="E77" s="46"/>
      <c r="F77" s="75">
        <f t="shared" si="1"/>
        <v>0</v>
      </c>
      <c r="G77" s="91">
        <v>0</v>
      </c>
      <c r="H77" s="91">
        <v>0</v>
      </c>
      <c r="I77" s="91">
        <v>0</v>
      </c>
      <c r="J77" s="91">
        <v>0</v>
      </c>
      <c r="K77" s="91">
        <v>0</v>
      </c>
      <c r="L77" s="91">
        <v>0</v>
      </c>
      <c r="M77" s="91">
        <v>0</v>
      </c>
      <c r="N77" s="91">
        <v>0</v>
      </c>
      <c r="O77" s="91">
        <v>0</v>
      </c>
      <c r="P77" s="122">
        <v>0</v>
      </c>
      <c r="Q77" s="91">
        <v>0</v>
      </c>
      <c r="R77" s="124">
        <v>0</v>
      </c>
      <c r="S77" s="93"/>
    </row>
    <row r="78" spans="2:19" ht="21" customHeight="1" x14ac:dyDescent="0.15">
      <c r="B78" s="144"/>
      <c r="C78" s="144"/>
      <c r="D78" s="46" t="s">
        <v>177</v>
      </c>
      <c r="E78" s="46"/>
      <c r="F78" s="75">
        <f t="shared" si="1"/>
        <v>0</v>
      </c>
      <c r="G78" s="91">
        <v>0</v>
      </c>
      <c r="H78" s="91">
        <v>0</v>
      </c>
      <c r="I78" s="91">
        <v>0</v>
      </c>
      <c r="J78" s="91">
        <v>0</v>
      </c>
      <c r="K78" s="91">
        <v>0</v>
      </c>
      <c r="L78" s="91">
        <v>0</v>
      </c>
      <c r="M78" s="91">
        <v>0</v>
      </c>
      <c r="N78" s="91">
        <v>0</v>
      </c>
      <c r="O78" s="91">
        <v>0</v>
      </c>
      <c r="P78" s="122">
        <v>0</v>
      </c>
      <c r="Q78" s="91">
        <v>0</v>
      </c>
      <c r="R78" s="124">
        <v>0</v>
      </c>
      <c r="S78" s="93"/>
    </row>
    <row r="79" spans="2:19" ht="21" customHeight="1" x14ac:dyDescent="0.15">
      <c r="B79" s="144"/>
      <c r="C79" s="144"/>
      <c r="D79" s="46" t="s">
        <v>178</v>
      </c>
      <c r="E79" s="46"/>
      <c r="F79" s="75">
        <f t="shared" si="1"/>
        <v>12704</v>
      </c>
      <c r="G79" s="91">
        <v>12704</v>
      </c>
      <c r="H79" s="91">
        <v>0</v>
      </c>
      <c r="I79" s="91">
        <v>0</v>
      </c>
      <c r="J79" s="91">
        <v>0</v>
      </c>
      <c r="K79" s="91">
        <v>0</v>
      </c>
      <c r="L79" s="91">
        <v>0</v>
      </c>
      <c r="M79" s="91">
        <v>0</v>
      </c>
      <c r="N79" s="91">
        <v>0</v>
      </c>
      <c r="O79" s="91">
        <v>0</v>
      </c>
      <c r="P79" s="122">
        <v>0</v>
      </c>
      <c r="Q79" s="91">
        <v>0</v>
      </c>
      <c r="R79" s="124">
        <v>0</v>
      </c>
      <c r="S79" s="93"/>
    </row>
    <row r="80" spans="2:19" ht="21" customHeight="1" x14ac:dyDescent="0.15">
      <c r="B80" s="144"/>
      <c r="C80" s="144"/>
      <c r="D80" s="46" t="s">
        <v>179</v>
      </c>
      <c r="E80" s="46"/>
      <c r="F80" s="75">
        <f t="shared" si="1"/>
        <v>106974</v>
      </c>
      <c r="G80" s="91">
        <v>15840</v>
      </c>
      <c r="H80" s="91">
        <v>0</v>
      </c>
      <c r="I80" s="91">
        <v>0</v>
      </c>
      <c r="J80" s="91">
        <v>0</v>
      </c>
      <c r="K80" s="91">
        <v>19206</v>
      </c>
      <c r="L80" s="91">
        <v>23274</v>
      </c>
      <c r="M80" s="91">
        <v>23166</v>
      </c>
      <c r="N80" s="91">
        <v>25488</v>
      </c>
      <c r="O80" s="91">
        <v>0</v>
      </c>
      <c r="P80" s="122">
        <v>0</v>
      </c>
      <c r="Q80" s="91">
        <v>0</v>
      </c>
      <c r="R80" s="124">
        <v>0</v>
      </c>
      <c r="S80" s="93"/>
    </row>
    <row r="81" spans="2:19" ht="21" customHeight="1" x14ac:dyDescent="0.15">
      <c r="B81" s="130" t="s">
        <v>180</v>
      </c>
      <c r="C81" s="137"/>
      <c r="D81" s="137"/>
      <c r="E81" s="138"/>
      <c r="F81" s="75">
        <f t="shared" si="1"/>
        <v>27990156</v>
      </c>
      <c r="G81" s="91">
        <v>2203768</v>
      </c>
      <c r="H81" s="91">
        <v>2138652</v>
      </c>
      <c r="I81" s="91">
        <v>2193060</v>
      </c>
      <c r="J81" s="91">
        <v>2258677</v>
      </c>
      <c r="K81" s="91">
        <v>2375629</v>
      </c>
      <c r="L81" s="91">
        <v>1634239</v>
      </c>
      <c r="M81" s="91">
        <v>3203717</v>
      </c>
      <c r="N81" s="91">
        <v>2470451</v>
      </c>
      <c r="O81" s="91">
        <v>2516716</v>
      </c>
      <c r="P81" s="122">
        <v>2312029</v>
      </c>
      <c r="Q81" s="91">
        <v>2543622</v>
      </c>
      <c r="R81" s="124">
        <v>2139596</v>
      </c>
      <c r="S81" s="93"/>
    </row>
    <row r="82" spans="2:19" ht="21" customHeight="1" x14ac:dyDescent="0.15">
      <c r="B82" s="133"/>
      <c r="C82" s="130" t="s">
        <v>181</v>
      </c>
      <c r="D82" s="131"/>
      <c r="E82" s="132"/>
      <c r="F82" s="75">
        <f t="shared" si="1"/>
        <v>3315222</v>
      </c>
      <c r="G82" s="91">
        <v>208485</v>
      </c>
      <c r="H82" s="91">
        <v>256824</v>
      </c>
      <c r="I82" s="91">
        <v>304866</v>
      </c>
      <c r="J82" s="91">
        <v>268857</v>
      </c>
      <c r="K82" s="91">
        <v>280908</v>
      </c>
      <c r="L82" s="91">
        <v>290898</v>
      </c>
      <c r="M82" s="91">
        <v>292950</v>
      </c>
      <c r="N82" s="91">
        <v>330840</v>
      </c>
      <c r="O82" s="91">
        <v>278640</v>
      </c>
      <c r="P82" s="122">
        <v>230562</v>
      </c>
      <c r="Q82" s="91">
        <v>316791</v>
      </c>
      <c r="R82" s="124">
        <v>254601</v>
      </c>
      <c r="S82" s="93"/>
    </row>
    <row r="83" spans="2:19" ht="21" customHeight="1" x14ac:dyDescent="0.15">
      <c r="B83" s="133"/>
      <c r="C83" s="133"/>
      <c r="D83" s="139" t="s">
        <v>182</v>
      </c>
      <c r="E83" s="129"/>
      <c r="F83" s="75">
        <f t="shared" si="1"/>
        <v>0</v>
      </c>
      <c r="G83" s="91">
        <v>0</v>
      </c>
      <c r="H83" s="91">
        <v>0</v>
      </c>
      <c r="I83" s="91">
        <v>0</v>
      </c>
      <c r="J83" s="91">
        <v>0</v>
      </c>
      <c r="K83" s="91">
        <v>0</v>
      </c>
      <c r="L83" s="91">
        <v>0</v>
      </c>
      <c r="M83" s="91">
        <v>0</v>
      </c>
      <c r="N83" s="91">
        <v>0</v>
      </c>
      <c r="O83" s="91">
        <v>0</v>
      </c>
      <c r="P83" s="122">
        <v>0</v>
      </c>
      <c r="Q83" s="91">
        <v>0</v>
      </c>
      <c r="R83" s="124">
        <v>0</v>
      </c>
      <c r="S83" s="93"/>
    </row>
    <row r="84" spans="2:19" ht="21" customHeight="1" x14ac:dyDescent="0.15">
      <c r="B84" s="133"/>
      <c r="C84" s="133"/>
      <c r="D84" s="139" t="s">
        <v>183</v>
      </c>
      <c r="E84" s="129"/>
      <c r="F84" s="75">
        <f t="shared" si="1"/>
        <v>3315222</v>
      </c>
      <c r="G84" s="91">
        <v>208485</v>
      </c>
      <c r="H84" s="91">
        <v>256824</v>
      </c>
      <c r="I84" s="91">
        <v>304866</v>
      </c>
      <c r="J84" s="91">
        <v>268857</v>
      </c>
      <c r="K84" s="91">
        <v>280908</v>
      </c>
      <c r="L84" s="91">
        <v>290898</v>
      </c>
      <c r="M84" s="91">
        <v>292950</v>
      </c>
      <c r="N84" s="91">
        <v>330840</v>
      </c>
      <c r="O84" s="91">
        <v>278640</v>
      </c>
      <c r="P84" s="122">
        <v>230562</v>
      </c>
      <c r="Q84" s="91">
        <v>316791</v>
      </c>
      <c r="R84" s="124">
        <v>254601</v>
      </c>
      <c r="S84" s="93"/>
    </row>
    <row r="85" spans="2:19" ht="21" customHeight="1" x14ac:dyDescent="0.15">
      <c r="B85" s="133"/>
      <c r="C85" s="133"/>
      <c r="D85" s="139" t="s">
        <v>184</v>
      </c>
      <c r="E85" s="129"/>
      <c r="F85" s="75">
        <f t="shared" si="1"/>
        <v>0</v>
      </c>
      <c r="G85" s="91">
        <v>0</v>
      </c>
      <c r="H85" s="91">
        <v>0</v>
      </c>
      <c r="I85" s="91">
        <v>0</v>
      </c>
      <c r="J85" s="91">
        <v>0</v>
      </c>
      <c r="K85" s="91">
        <v>0</v>
      </c>
      <c r="L85" s="91">
        <v>0</v>
      </c>
      <c r="M85" s="91">
        <v>0</v>
      </c>
      <c r="N85" s="91">
        <v>0</v>
      </c>
      <c r="O85" s="91">
        <v>0</v>
      </c>
      <c r="P85" s="122">
        <v>0</v>
      </c>
      <c r="Q85" s="91">
        <v>0</v>
      </c>
      <c r="R85" s="124">
        <v>0</v>
      </c>
      <c r="S85" s="93"/>
    </row>
    <row r="86" spans="2:19" ht="21" customHeight="1" x14ac:dyDescent="0.15">
      <c r="B86" s="133"/>
      <c r="C86" s="134"/>
      <c r="D86" s="139" t="s">
        <v>185</v>
      </c>
      <c r="E86" s="129"/>
      <c r="F86" s="75">
        <f t="shared" si="1"/>
        <v>0</v>
      </c>
      <c r="G86" s="91">
        <v>0</v>
      </c>
      <c r="H86" s="91">
        <v>0</v>
      </c>
      <c r="I86" s="91">
        <v>0</v>
      </c>
      <c r="J86" s="91">
        <v>0</v>
      </c>
      <c r="K86" s="91">
        <v>0</v>
      </c>
      <c r="L86" s="91">
        <v>0</v>
      </c>
      <c r="M86" s="91">
        <v>0</v>
      </c>
      <c r="N86" s="91">
        <v>0</v>
      </c>
      <c r="O86" s="91">
        <v>0</v>
      </c>
      <c r="P86" s="122">
        <v>0</v>
      </c>
      <c r="Q86" s="91">
        <v>0</v>
      </c>
      <c r="R86" s="124">
        <v>0</v>
      </c>
      <c r="S86" s="93"/>
    </row>
    <row r="87" spans="2:19" ht="21" customHeight="1" x14ac:dyDescent="0.15">
      <c r="B87" s="133"/>
      <c r="C87" s="140" t="s">
        <v>186</v>
      </c>
      <c r="D87" s="131"/>
      <c r="E87" s="132"/>
      <c r="F87" s="75">
        <f t="shared" si="1"/>
        <v>21847484</v>
      </c>
      <c r="G87" s="91">
        <v>1759163</v>
      </c>
      <c r="H87" s="91">
        <v>1667208</v>
      </c>
      <c r="I87" s="91">
        <v>1666264</v>
      </c>
      <c r="J87" s="91">
        <v>1756060</v>
      </c>
      <c r="K87" s="91">
        <v>1834441</v>
      </c>
      <c r="L87" s="91">
        <v>1093441</v>
      </c>
      <c r="M87" s="91">
        <v>2666867</v>
      </c>
      <c r="N87" s="91">
        <v>1880951</v>
      </c>
      <c r="O87" s="91">
        <v>1994176</v>
      </c>
      <c r="P87" s="122">
        <v>1850707</v>
      </c>
      <c r="Q87" s="91">
        <v>1990311</v>
      </c>
      <c r="R87" s="124">
        <v>1687895</v>
      </c>
      <c r="S87" s="93"/>
    </row>
    <row r="88" spans="2:19" ht="21" customHeight="1" x14ac:dyDescent="0.15">
      <c r="B88" s="133"/>
      <c r="C88" s="133"/>
      <c r="D88" s="128" t="s">
        <v>187</v>
      </c>
      <c r="E88" s="129"/>
      <c r="F88" s="75">
        <f t="shared" si="1"/>
        <v>0</v>
      </c>
      <c r="G88" s="91">
        <v>0</v>
      </c>
      <c r="H88" s="91">
        <v>0</v>
      </c>
      <c r="I88" s="91">
        <v>0</v>
      </c>
      <c r="J88" s="91">
        <v>0</v>
      </c>
      <c r="K88" s="91">
        <v>0</v>
      </c>
      <c r="L88" s="91">
        <v>0</v>
      </c>
      <c r="M88" s="91">
        <v>0</v>
      </c>
      <c r="N88" s="91">
        <v>0</v>
      </c>
      <c r="O88" s="91">
        <v>0</v>
      </c>
      <c r="P88" s="122">
        <v>0</v>
      </c>
      <c r="Q88" s="91">
        <v>0</v>
      </c>
      <c r="R88" s="124">
        <v>0</v>
      </c>
      <c r="S88" s="93"/>
    </row>
    <row r="89" spans="2:19" ht="21" customHeight="1" x14ac:dyDescent="0.15">
      <c r="B89" s="133"/>
      <c r="C89" s="133"/>
      <c r="D89" s="128" t="s">
        <v>188</v>
      </c>
      <c r="E89" s="129"/>
      <c r="F89" s="75">
        <f t="shared" si="1"/>
        <v>21847484</v>
      </c>
      <c r="G89" s="91">
        <v>1759163</v>
      </c>
      <c r="H89" s="91">
        <v>1667208</v>
      </c>
      <c r="I89" s="91">
        <v>1666264</v>
      </c>
      <c r="J89" s="91">
        <v>1756060</v>
      </c>
      <c r="K89" s="91">
        <v>1834441</v>
      </c>
      <c r="L89" s="91">
        <v>1093441</v>
      </c>
      <c r="M89" s="91">
        <v>2666867</v>
      </c>
      <c r="N89" s="91">
        <v>1880951</v>
      </c>
      <c r="O89" s="91">
        <v>1994176</v>
      </c>
      <c r="P89" s="122">
        <v>1850707</v>
      </c>
      <c r="Q89" s="91">
        <v>1990311</v>
      </c>
      <c r="R89" s="124">
        <v>1687895</v>
      </c>
      <c r="S89" s="93"/>
    </row>
    <row r="90" spans="2:19" ht="21" customHeight="1" x14ac:dyDescent="0.15">
      <c r="B90" s="133"/>
      <c r="C90" s="133"/>
      <c r="D90" s="128" t="s">
        <v>189</v>
      </c>
      <c r="E90" s="129"/>
      <c r="F90" s="75">
        <f t="shared" si="1"/>
        <v>0</v>
      </c>
      <c r="G90" s="91">
        <v>0</v>
      </c>
      <c r="H90" s="91">
        <v>0</v>
      </c>
      <c r="I90" s="91">
        <v>0</v>
      </c>
      <c r="J90" s="91">
        <v>0</v>
      </c>
      <c r="K90" s="91">
        <v>0</v>
      </c>
      <c r="L90" s="91">
        <v>0</v>
      </c>
      <c r="M90" s="91">
        <v>0</v>
      </c>
      <c r="N90" s="91">
        <v>0</v>
      </c>
      <c r="O90" s="91">
        <v>0</v>
      </c>
      <c r="P90" s="122">
        <v>0</v>
      </c>
      <c r="Q90" s="91">
        <v>0</v>
      </c>
      <c r="R90" s="124">
        <v>0</v>
      </c>
      <c r="S90" s="93"/>
    </row>
    <row r="91" spans="2:19" ht="21" customHeight="1" x14ac:dyDescent="0.15">
      <c r="B91" s="133"/>
      <c r="C91" s="134"/>
      <c r="D91" s="128" t="s">
        <v>190</v>
      </c>
      <c r="E91" s="129"/>
      <c r="F91" s="75">
        <f t="shared" si="1"/>
        <v>0</v>
      </c>
      <c r="G91" s="91">
        <v>0</v>
      </c>
      <c r="H91" s="91">
        <v>0</v>
      </c>
      <c r="I91" s="91">
        <v>0</v>
      </c>
      <c r="J91" s="91">
        <v>0</v>
      </c>
      <c r="K91" s="91">
        <v>0</v>
      </c>
      <c r="L91" s="91">
        <v>0</v>
      </c>
      <c r="M91" s="91">
        <v>0</v>
      </c>
      <c r="N91" s="91">
        <v>0</v>
      </c>
      <c r="O91" s="91">
        <v>0</v>
      </c>
      <c r="P91" s="122">
        <v>0</v>
      </c>
      <c r="Q91" s="91">
        <v>0</v>
      </c>
      <c r="R91" s="124">
        <v>0</v>
      </c>
      <c r="S91" s="93"/>
    </row>
    <row r="92" spans="2:19" ht="21" customHeight="1" x14ac:dyDescent="0.15">
      <c r="B92" s="133"/>
      <c r="C92" s="130" t="s">
        <v>191</v>
      </c>
      <c r="D92" s="131"/>
      <c r="E92" s="132"/>
      <c r="F92" s="75">
        <f t="shared" si="1"/>
        <v>0</v>
      </c>
      <c r="G92" s="91">
        <v>0</v>
      </c>
      <c r="H92" s="91">
        <v>0</v>
      </c>
      <c r="I92" s="91">
        <v>0</v>
      </c>
      <c r="J92" s="91">
        <v>0</v>
      </c>
      <c r="K92" s="91">
        <v>0</v>
      </c>
      <c r="L92" s="91">
        <v>0</v>
      </c>
      <c r="M92" s="91">
        <v>0</v>
      </c>
      <c r="N92" s="91">
        <v>0</v>
      </c>
      <c r="O92" s="91">
        <v>0</v>
      </c>
      <c r="P92" s="122">
        <v>0</v>
      </c>
      <c r="Q92" s="91">
        <v>0</v>
      </c>
      <c r="R92" s="124">
        <v>0</v>
      </c>
      <c r="S92" s="93"/>
    </row>
    <row r="93" spans="2:19" ht="21" customHeight="1" x14ac:dyDescent="0.15">
      <c r="B93" s="133"/>
      <c r="C93" s="133"/>
      <c r="D93" s="135" t="s">
        <v>192</v>
      </c>
      <c r="E93" s="136"/>
      <c r="F93" s="75">
        <f t="shared" si="1"/>
        <v>0</v>
      </c>
      <c r="G93" s="91">
        <v>0</v>
      </c>
      <c r="H93" s="91">
        <v>0</v>
      </c>
      <c r="I93" s="91">
        <v>0</v>
      </c>
      <c r="J93" s="91">
        <v>0</v>
      </c>
      <c r="K93" s="91">
        <v>0</v>
      </c>
      <c r="L93" s="91">
        <v>0</v>
      </c>
      <c r="M93" s="91">
        <v>0</v>
      </c>
      <c r="N93" s="91">
        <v>0</v>
      </c>
      <c r="O93" s="91">
        <v>0</v>
      </c>
      <c r="P93" s="122">
        <v>0</v>
      </c>
      <c r="Q93" s="91">
        <v>0</v>
      </c>
      <c r="R93" s="124">
        <v>0</v>
      </c>
      <c r="S93" s="93"/>
    </row>
    <row r="94" spans="2:19" ht="21" customHeight="1" x14ac:dyDescent="0.15">
      <c r="B94" s="133"/>
      <c r="C94" s="133"/>
      <c r="D94" s="135" t="s">
        <v>193</v>
      </c>
      <c r="E94" s="136"/>
      <c r="F94" s="75">
        <f t="shared" si="1"/>
        <v>0</v>
      </c>
      <c r="G94" s="91">
        <v>0</v>
      </c>
      <c r="H94" s="91">
        <v>0</v>
      </c>
      <c r="I94" s="91">
        <v>0</v>
      </c>
      <c r="J94" s="91">
        <v>0</v>
      </c>
      <c r="K94" s="91">
        <v>0</v>
      </c>
      <c r="L94" s="91">
        <v>0</v>
      </c>
      <c r="M94" s="91">
        <v>0</v>
      </c>
      <c r="N94" s="91">
        <v>0</v>
      </c>
      <c r="O94" s="91">
        <v>0</v>
      </c>
      <c r="P94" s="122">
        <v>0</v>
      </c>
      <c r="Q94" s="91">
        <v>0</v>
      </c>
      <c r="R94" s="124">
        <v>0</v>
      </c>
      <c r="S94" s="93"/>
    </row>
    <row r="95" spans="2:19" ht="21" customHeight="1" x14ac:dyDescent="0.15">
      <c r="B95" s="133"/>
      <c r="C95" s="133"/>
      <c r="D95" s="135" t="s">
        <v>194</v>
      </c>
      <c r="E95" s="136"/>
      <c r="F95" s="75">
        <f t="shared" si="1"/>
        <v>0</v>
      </c>
      <c r="G95" s="91">
        <v>0</v>
      </c>
      <c r="H95" s="91">
        <v>0</v>
      </c>
      <c r="I95" s="91">
        <v>0</v>
      </c>
      <c r="J95" s="91">
        <v>0</v>
      </c>
      <c r="K95" s="91">
        <v>0</v>
      </c>
      <c r="L95" s="91">
        <v>0</v>
      </c>
      <c r="M95" s="91">
        <v>0</v>
      </c>
      <c r="N95" s="91">
        <v>0</v>
      </c>
      <c r="O95" s="91">
        <v>0</v>
      </c>
      <c r="P95" s="122">
        <v>0</v>
      </c>
      <c r="Q95" s="91">
        <v>0</v>
      </c>
      <c r="R95" s="124">
        <v>0</v>
      </c>
      <c r="S95" s="93"/>
    </row>
    <row r="96" spans="2:19" ht="21" customHeight="1" x14ac:dyDescent="0.15">
      <c r="B96" s="133"/>
      <c r="C96" s="133"/>
      <c r="D96" s="135" t="s">
        <v>195</v>
      </c>
      <c r="E96" s="136"/>
      <c r="F96" s="75">
        <f t="shared" si="1"/>
        <v>0</v>
      </c>
      <c r="G96" s="91">
        <v>0</v>
      </c>
      <c r="H96" s="91">
        <v>0</v>
      </c>
      <c r="I96" s="91">
        <v>0</v>
      </c>
      <c r="J96" s="91">
        <v>0</v>
      </c>
      <c r="K96" s="91">
        <v>0</v>
      </c>
      <c r="L96" s="91">
        <v>0</v>
      </c>
      <c r="M96" s="91">
        <v>0</v>
      </c>
      <c r="N96" s="91">
        <v>0</v>
      </c>
      <c r="O96" s="91">
        <v>0</v>
      </c>
      <c r="P96" s="122">
        <v>0</v>
      </c>
      <c r="Q96" s="91">
        <v>0</v>
      </c>
      <c r="R96" s="124">
        <v>0</v>
      </c>
      <c r="S96" s="93"/>
    </row>
    <row r="97" spans="2:19" ht="21" customHeight="1" x14ac:dyDescent="0.15">
      <c r="B97" s="133"/>
      <c r="C97" s="133"/>
      <c r="D97" s="135" t="s">
        <v>196</v>
      </c>
      <c r="E97" s="136"/>
      <c r="F97" s="75">
        <f t="shared" si="1"/>
        <v>0</v>
      </c>
      <c r="G97" s="91">
        <v>0</v>
      </c>
      <c r="H97" s="91">
        <v>0</v>
      </c>
      <c r="I97" s="91">
        <v>0</v>
      </c>
      <c r="J97" s="91">
        <v>0</v>
      </c>
      <c r="K97" s="91">
        <v>0</v>
      </c>
      <c r="L97" s="91">
        <v>0</v>
      </c>
      <c r="M97" s="91">
        <v>0</v>
      </c>
      <c r="N97" s="91">
        <v>0</v>
      </c>
      <c r="O97" s="91">
        <v>0</v>
      </c>
      <c r="P97" s="122">
        <v>0</v>
      </c>
      <c r="Q97" s="91">
        <v>0</v>
      </c>
      <c r="R97" s="124">
        <v>0</v>
      </c>
      <c r="S97" s="93"/>
    </row>
    <row r="98" spans="2:19" ht="21" customHeight="1" x14ac:dyDescent="0.15">
      <c r="B98" s="133"/>
      <c r="C98" s="134"/>
      <c r="D98" s="135" t="s">
        <v>197</v>
      </c>
      <c r="E98" s="136"/>
      <c r="F98" s="75">
        <f t="shared" si="1"/>
        <v>0</v>
      </c>
      <c r="G98" s="91">
        <v>0</v>
      </c>
      <c r="H98" s="91">
        <v>0</v>
      </c>
      <c r="I98" s="91">
        <v>0</v>
      </c>
      <c r="J98" s="91">
        <v>0</v>
      </c>
      <c r="K98" s="91">
        <v>0</v>
      </c>
      <c r="L98" s="91">
        <v>0</v>
      </c>
      <c r="M98" s="91">
        <v>0</v>
      </c>
      <c r="N98" s="91">
        <v>0</v>
      </c>
      <c r="O98" s="91">
        <v>0</v>
      </c>
      <c r="P98" s="122">
        <v>0</v>
      </c>
      <c r="Q98" s="91">
        <v>0</v>
      </c>
      <c r="R98" s="124">
        <v>0</v>
      </c>
      <c r="S98" s="93"/>
    </row>
    <row r="99" spans="2:19" ht="21" customHeight="1" x14ac:dyDescent="0.15">
      <c r="B99" s="134"/>
      <c r="C99" s="24"/>
      <c r="D99" s="141" t="s">
        <v>198</v>
      </c>
      <c r="E99" s="142"/>
      <c r="F99" s="75">
        <f t="shared" si="1"/>
        <v>2827450</v>
      </c>
      <c r="G99" s="91">
        <v>236120</v>
      </c>
      <c r="H99" s="91">
        <v>214620</v>
      </c>
      <c r="I99" s="91">
        <v>221930</v>
      </c>
      <c r="J99" s="91">
        <v>233760</v>
      </c>
      <c r="K99" s="91">
        <v>260280</v>
      </c>
      <c r="L99" s="91">
        <v>249900</v>
      </c>
      <c r="M99" s="91">
        <v>243900</v>
      </c>
      <c r="N99" s="91">
        <v>258660</v>
      </c>
      <c r="O99" s="91">
        <v>243900</v>
      </c>
      <c r="P99" s="122">
        <v>230760</v>
      </c>
      <c r="Q99" s="91">
        <v>236520</v>
      </c>
      <c r="R99" s="124">
        <v>197100</v>
      </c>
      <c r="S99" s="93"/>
    </row>
    <row r="100" spans="2:19" ht="21" customHeight="1" x14ac:dyDescent="0.15">
      <c r="B100" s="53"/>
      <c r="C100" s="53"/>
      <c r="D100" s="53"/>
      <c r="E100" s="53"/>
      <c r="F100" s="53"/>
      <c r="G100" s="53"/>
      <c r="H100" s="63"/>
      <c r="I100" s="63"/>
      <c r="J100" s="63"/>
      <c r="K100" s="63"/>
      <c r="L100" s="63"/>
      <c r="M100" s="63"/>
      <c r="N100" s="63"/>
      <c r="O100" s="63"/>
      <c r="P100" s="63"/>
      <c r="Q100" s="63"/>
      <c r="R100" s="63"/>
    </row>
    <row r="101" spans="2:19" ht="21" customHeight="1" x14ac:dyDescent="0.15">
      <c r="E101" s="56" t="s">
        <v>14</v>
      </c>
      <c r="F101" s="74">
        <f>SUM(F57:F58)</f>
        <v>61660961</v>
      </c>
      <c r="G101" s="74">
        <f>SUM(G57:G58)</f>
        <v>5537751</v>
      </c>
      <c r="H101" s="74">
        <f t="shared" ref="H101:N101" si="2">SUM(H57:H58)</f>
        <v>4943549</v>
      </c>
      <c r="I101" s="74">
        <f>SUM(I57:I58)</f>
        <v>6244443</v>
      </c>
      <c r="J101" s="74">
        <f>SUM(J57:J58)</f>
        <v>5063013</v>
      </c>
      <c r="K101" s="74">
        <f t="shared" si="2"/>
        <v>5928507</v>
      </c>
      <c r="L101" s="74">
        <f t="shared" si="2"/>
        <v>5697666</v>
      </c>
      <c r="M101" s="74">
        <f t="shared" si="2"/>
        <v>5349762</v>
      </c>
      <c r="N101" s="74">
        <f t="shared" si="2"/>
        <v>4884354</v>
      </c>
      <c r="O101" s="74">
        <f t="shared" ref="O101:Q101" si="3">SUM(O57:O58)</f>
        <v>4988817</v>
      </c>
      <c r="P101" s="74">
        <f t="shared" si="3"/>
        <v>4788369</v>
      </c>
      <c r="Q101" s="74">
        <f t="shared" si="3"/>
        <v>3864078</v>
      </c>
      <c r="R101" s="74">
        <f>SUM(R57:R58)</f>
        <v>4370652</v>
      </c>
      <c r="S101" s="74">
        <f t="shared" ref="S101" si="4">SUM(S57:S58)</f>
        <v>0</v>
      </c>
    </row>
    <row r="102" spans="2:19" ht="21" customHeight="1" x14ac:dyDescent="0.15">
      <c r="E102" s="56" t="s">
        <v>15</v>
      </c>
      <c r="F102" s="74">
        <f>SUM(F59:F60)</f>
        <v>143993183</v>
      </c>
      <c r="G102" s="74">
        <f>SUM(G59:G60)</f>
        <v>11554185</v>
      </c>
      <c r="H102" s="74">
        <f t="shared" ref="H102:N102" si="5">SUM(H59:H60)</f>
        <v>11138126</v>
      </c>
      <c r="I102" s="74">
        <f>SUM(I59:I60)</f>
        <v>11824422</v>
      </c>
      <c r="J102" s="74">
        <f>SUM(J59:J60)</f>
        <v>11828498</v>
      </c>
      <c r="K102" s="74">
        <f t="shared" si="5"/>
        <v>11897099</v>
      </c>
      <c r="L102" s="74">
        <f t="shared" si="5"/>
        <v>11005590</v>
      </c>
      <c r="M102" s="74">
        <f t="shared" si="5"/>
        <v>10870570</v>
      </c>
      <c r="N102" s="74">
        <f t="shared" si="5"/>
        <v>9064172</v>
      </c>
      <c r="O102" s="74">
        <f t="shared" ref="O102:R102" si="6">SUM(O59:O60)</f>
        <v>15605833</v>
      </c>
      <c r="P102" s="74">
        <f t="shared" si="6"/>
        <v>13066741</v>
      </c>
      <c r="Q102" s="74">
        <f t="shared" si="6"/>
        <v>13687119</v>
      </c>
      <c r="R102" s="74">
        <f t="shared" si="6"/>
        <v>12450828</v>
      </c>
      <c r="S102" s="74">
        <f t="shared" ref="S102" si="7">SUM(S59:S60)</f>
        <v>0</v>
      </c>
    </row>
    <row r="103" spans="2:19" ht="21" customHeight="1" x14ac:dyDescent="0.15">
      <c r="E103" s="56" t="s">
        <v>16</v>
      </c>
      <c r="F103" s="74">
        <f>SUM(F61:F62)</f>
        <v>0</v>
      </c>
      <c r="G103" s="74">
        <f>SUM(G61:G62)</f>
        <v>0</v>
      </c>
      <c r="H103" s="74">
        <f t="shared" ref="H103:N103" si="8">SUM(H61:H62)</f>
        <v>0</v>
      </c>
      <c r="I103" s="74">
        <f>SUM(I61:I62)</f>
        <v>0</v>
      </c>
      <c r="J103" s="74">
        <f>SUM(J61:J62)</f>
        <v>0</v>
      </c>
      <c r="K103" s="74">
        <f t="shared" si="8"/>
        <v>0</v>
      </c>
      <c r="L103" s="74">
        <f t="shared" si="8"/>
        <v>0</v>
      </c>
      <c r="M103" s="74">
        <f t="shared" si="8"/>
        <v>0</v>
      </c>
      <c r="N103" s="74">
        <f t="shared" si="8"/>
        <v>0</v>
      </c>
      <c r="O103" s="74">
        <f t="shared" ref="O103:R103" si="9">SUM(O61:O62)</f>
        <v>0</v>
      </c>
      <c r="P103" s="74">
        <f t="shared" si="9"/>
        <v>0</v>
      </c>
      <c r="Q103" s="74">
        <f t="shared" si="9"/>
        <v>0</v>
      </c>
      <c r="R103" s="74">
        <f t="shared" si="9"/>
        <v>0</v>
      </c>
      <c r="S103" s="74">
        <f t="shared" ref="S103" si="10">SUM(S61:S62)</f>
        <v>0</v>
      </c>
    </row>
    <row r="104" spans="2:19" ht="21" customHeight="1" x14ac:dyDescent="0.15">
      <c r="E104" s="56" t="s">
        <v>66</v>
      </c>
      <c r="F104" s="74">
        <f>SUM(F64:F65)</f>
        <v>0</v>
      </c>
      <c r="G104" s="74">
        <f>SUM(G64:G65)</f>
        <v>0</v>
      </c>
      <c r="H104" s="74">
        <f t="shared" ref="H104:N104" si="11">SUM(H64:H65)</f>
        <v>0</v>
      </c>
      <c r="I104" s="74">
        <f>SUM(I64:I65)</f>
        <v>0</v>
      </c>
      <c r="J104" s="74">
        <f>SUM(J64:J65)</f>
        <v>0</v>
      </c>
      <c r="K104" s="74">
        <f t="shared" si="11"/>
        <v>0</v>
      </c>
      <c r="L104" s="74">
        <f t="shared" si="11"/>
        <v>0</v>
      </c>
      <c r="M104" s="74">
        <f t="shared" si="11"/>
        <v>0</v>
      </c>
      <c r="N104" s="74">
        <f t="shared" si="11"/>
        <v>0</v>
      </c>
      <c r="O104" s="74">
        <f t="shared" ref="O104:R104" si="12">SUM(O64:O65)</f>
        <v>0</v>
      </c>
      <c r="P104" s="74">
        <f t="shared" si="12"/>
        <v>0</v>
      </c>
      <c r="Q104" s="74">
        <f t="shared" si="12"/>
        <v>0</v>
      </c>
      <c r="R104" s="74">
        <f t="shared" si="12"/>
        <v>0</v>
      </c>
      <c r="S104" s="74">
        <f t="shared" ref="S104" si="13">SUM(S64:S65)</f>
        <v>0</v>
      </c>
    </row>
    <row r="105" spans="2:19" ht="21" customHeight="1" x14ac:dyDescent="0.15">
      <c r="E105" s="56" t="s">
        <v>38</v>
      </c>
      <c r="F105" s="74">
        <f>SUM(F67:F68)</f>
        <v>5009364</v>
      </c>
      <c r="G105" s="74">
        <f>SUM(G67:G68)</f>
        <v>409500</v>
      </c>
      <c r="H105" s="74">
        <f t="shared" ref="H105:N105" si="14">SUM(H67:H68)</f>
        <v>411840</v>
      </c>
      <c r="I105" s="74">
        <f>SUM(I67:I68)</f>
        <v>411840</v>
      </c>
      <c r="J105" s="74">
        <f>SUM(J67:J68)</f>
        <v>411840</v>
      </c>
      <c r="K105" s="74">
        <f t="shared" si="14"/>
        <v>411840</v>
      </c>
      <c r="L105" s="74">
        <f t="shared" si="14"/>
        <v>372420</v>
      </c>
      <c r="M105" s="74">
        <f t="shared" si="14"/>
        <v>378351</v>
      </c>
      <c r="N105" s="74">
        <f t="shared" si="14"/>
        <v>295866</v>
      </c>
      <c r="O105" s="74">
        <f t="shared" ref="O105:R105" si="15">SUM(O67:O68)</f>
        <v>526293</v>
      </c>
      <c r="P105" s="74">
        <f t="shared" si="15"/>
        <v>461646</v>
      </c>
      <c r="Q105" s="74">
        <f t="shared" si="15"/>
        <v>458964</v>
      </c>
      <c r="R105" s="74">
        <f t="shared" si="15"/>
        <v>458964</v>
      </c>
      <c r="S105" s="74">
        <f t="shared" ref="S105" si="16">SUM(S67:S68)</f>
        <v>0</v>
      </c>
    </row>
    <row r="106" spans="2:19" ht="21" customHeight="1" x14ac:dyDescent="0.15">
      <c r="E106" s="56" t="s">
        <v>39</v>
      </c>
      <c r="F106" s="74">
        <f>SUM(F69:F70)</f>
        <v>0</v>
      </c>
      <c r="G106" s="74">
        <f>SUM(G69:G70)</f>
        <v>0</v>
      </c>
      <c r="H106" s="74">
        <f t="shared" ref="H106:N106" si="17">SUM(H69:H70)</f>
        <v>0</v>
      </c>
      <c r="I106" s="74">
        <f>SUM(I69:I70)</f>
        <v>0</v>
      </c>
      <c r="J106" s="74">
        <f>SUM(J69:J70)</f>
        <v>0</v>
      </c>
      <c r="K106" s="74">
        <f t="shared" si="17"/>
        <v>0</v>
      </c>
      <c r="L106" s="74">
        <f t="shared" si="17"/>
        <v>0</v>
      </c>
      <c r="M106" s="74">
        <f t="shared" si="17"/>
        <v>0</v>
      </c>
      <c r="N106" s="74">
        <f t="shared" si="17"/>
        <v>0</v>
      </c>
      <c r="O106" s="74">
        <f t="shared" ref="O106:R106" si="18">SUM(O69:O70)</f>
        <v>0</v>
      </c>
      <c r="P106" s="74">
        <f t="shared" si="18"/>
        <v>0</v>
      </c>
      <c r="Q106" s="74">
        <f t="shared" si="18"/>
        <v>0</v>
      </c>
      <c r="R106" s="74">
        <f t="shared" si="18"/>
        <v>0</v>
      </c>
      <c r="S106" s="74">
        <f t="shared" ref="S106" si="19">SUM(S69:S70)</f>
        <v>0</v>
      </c>
    </row>
    <row r="114" spans="8:8" ht="21" customHeight="1" x14ac:dyDescent="0.15">
      <c r="H114" s="28">
        <v>352</v>
      </c>
    </row>
  </sheetData>
  <mergeCells count="90">
    <mergeCell ref="B1:R1"/>
    <mergeCell ref="D20:E20"/>
    <mergeCell ref="B7:E7"/>
    <mergeCell ref="B8:E8"/>
    <mergeCell ref="B9:E9"/>
    <mergeCell ref="B10:B48"/>
    <mergeCell ref="C10:E10"/>
    <mergeCell ref="C11:C24"/>
    <mergeCell ref="D11:E11"/>
    <mergeCell ref="D12:E12"/>
    <mergeCell ref="D13:E13"/>
    <mergeCell ref="D14:E14"/>
    <mergeCell ref="D15:E15"/>
    <mergeCell ref="D16:E16"/>
    <mergeCell ref="D17:E17"/>
    <mergeCell ref="D18:E18"/>
    <mergeCell ref="D19:E19"/>
    <mergeCell ref="D35:E35"/>
    <mergeCell ref="D21:E21"/>
    <mergeCell ref="D22:E22"/>
    <mergeCell ref="D23:E23"/>
    <mergeCell ref="D24:E24"/>
    <mergeCell ref="C25:E25"/>
    <mergeCell ref="C26:C43"/>
    <mergeCell ref="D26:E26"/>
    <mergeCell ref="D27:E27"/>
    <mergeCell ref="D28:E28"/>
    <mergeCell ref="D29:E29"/>
    <mergeCell ref="D30:E30"/>
    <mergeCell ref="D31:E31"/>
    <mergeCell ref="D32:E32"/>
    <mergeCell ref="D33:E33"/>
    <mergeCell ref="D34:E34"/>
    <mergeCell ref="D47:E47"/>
    <mergeCell ref="D36:E36"/>
    <mergeCell ref="D37:E37"/>
    <mergeCell ref="D38:E38"/>
    <mergeCell ref="D39:E39"/>
    <mergeCell ref="D40:E40"/>
    <mergeCell ref="D41:E41"/>
    <mergeCell ref="D42:E42"/>
    <mergeCell ref="D43:E43"/>
    <mergeCell ref="D44:E44"/>
    <mergeCell ref="D45:E45"/>
    <mergeCell ref="D46:E46"/>
    <mergeCell ref="D48:E48"/>
    <mergeCell ref="D51:E51"/>
    <mergeCell ref="B52:E52"/>
    <mergeCell ref="B53:C70"/>
    <mergeCell ref="D53:E53"/>
    <mergeCell ref="D54:E54"/>
    <mergeCell ref="D55:E55"/>
    <mergeCell ref="D56:E56"/>
    <mergeCell ref="D57:E57"/>
    <mergeCell ref="D58:E58"/>
    <mergeCell ref="B72:C80"/>
    <mergeCell ref="D60:E60"/>
    <mergeCell ref="D61:E61"/>
    <mergeCell ref="D62:E62"/>
    <mergeCell ref="D64:E64"/>
    <mergeCell ref="D65:E65"/>
    <mergeCell ref="D66:E66"/>
    <mergeCell ref="D67:E67"/>
    <mergeCell ref="D68:E68"/>
    <mergeCell ref="D69:E69"/>
    <mergeCell ref="D70:E70"/>
    <mergeCell ref="B71:E71"/>
    <mergeCell ref="B81:E81"/>
    <mergeCell ref="B82:B99"/>
    <mergeCell ref="C82:E82"/>
    <mergeCell ref="C83:C86"/>
    <mergeCell ref="D83:E83"/>
    <mergeCell ref="D84:E84"/>
    <mergeCell ref="D85:E85"/>
    <mergeCell ref="D86:E86"/>
    <mergeCell ref="C87:E87"/>
    <mergeCell ref="C88:C91"/>
    <mergeCell ref="D97:E97"/>
    <mergeCell ref="D98:E98"/>
    <mergeCell ref="D99:E99"/>
    <mergeCell ref="D88:E88"/>
    <mergeCell ref="D89:E89"/>
    <mergeCell ref="D90:E90"/>
    <mergeCell ref="D91:E91"/>
    <mergeCell ref="C92:E92"/>
    <mergeCell ref="C93:C98"/>
    <mergeCell ref="D93:E93"/>
    <mergeCell ref="D94:E94"/>
    <mergeCell ref="D95:E95"/>
    <mergeCell ref="D96:E96"/>
  </mergeCells>
  <phoneticPr fontId="1"/>
  <conditionalFormatting sqref="R26">
    <cfRule type="expression" dxfId="11" priority="14" stopIfTrue="1">
      <formula>""</formula>
    </cfRule>
  </conditionalFormatting>
  <conditionalFormatting sqref="P26">
    <cfRule type="expression" dxfId="10" priority="12" stopIfTrue="1">
      <formula>""</formula>
    </cfRule>
  </conditionalFormatting>
  <conditionalFormatting sqref="G26">
    <cfRule type="expression" dxfId="9" priority="10" stopIfTrue="1">
      <formula>""</formula>
    </cfRule>
  </conditionalFormatting>
  <conditionalFormatting sqref="H26">
    <cfRule type="expression" dxfId="8" priority="9" stopIfTrue="1">
      <formula>""</formula>
    </cfRule>
  </conditionalFormatting>
  <conditionalFormatting sqref="I26">
    <cfRule type="expression" dxfId="7" priority="8" stopIfTrue="1">
      <formula>""</formula>
    </cfRule>
  </conditionalFormatting>
  <conditionalFormatting sqref="J26">
    <cfRule type="expression" dxfId="6" priority="7" stopIfTrue="1">
      <formula>""</formula>
    </cfRule>
  </conditionalFormatting>
  <conditionalFormatting sqref="K26">
    <cfRule type="expression" dxfId="5" priority="6" stopIfTrue="1">
      <formula>""</formula>
    </cfRule>
  </conditionalFormatting>
  <conditionalFormatting sqref="L26">
    <cfRule type="expression" dxfId="4" priority="5" stopIfTrue="1">
      <formula>""</formula>
    </cfRule>
  </conditionalFormatting>
  <conditionalFormatting sqref="M26">
    <cfRule type="expression" dxfId="3" priority="4" stopIfTrue="1">
      <formula>""</formula>
    </cfRule>
  </conditionalFormatting>
  <conditionalFormatting sqref="N26">
    <cfRule type="expression" dxfId="2" priority="3" stopIfTrue="1">
      <formula>""</formula>
    </cfRule>
  </conditionalFormatting>
  <conditionalFormatting sqref="O26">
    <cfRule type="expression" dxfId="1" priority="2" stopIfTrue="1">
      <formula>""</formula>
    </cfRule>
  </conditionalFormatting>
  <conditionalFormatting sqref="Q26">
    <cfRule type="expression" dxfId="0" priority="1" stopIfTrue="1">
      <formula>""</formula>
    </cfRule>
  </conditionalFormatting>
  <pageMargins left="0.39370078740157483" right="0" top="0" bottom="0" header="0.31496062992125984" footer="0.31496062992125984"/>
  <pageSetup paperSize="9" scale="39" orientation="portrait" r:id="rId1"/>
  <headerFooter scaleWithDoc="0" alignWithMargins="0">
    <oddFooter>&amp;R&amp;D&amp;Z&amp;F&amp;F&amp;T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V100"/>
  <sheetViews>
    <sheetView tabSelected="1" view="pageBreakPreview" topLeftCell="A55" zoomScaleNormal="100" zoomScaleSheetLayoutView="100" workbookViewId="0">
      <selection activeCell="E65" sqref="E65"/>
    </sheetView>
  </sheetViews>
  <sheetFormatPr defaultRowHeight="13.5" customHeight="1" x14ac:dyDescent="0.15"/>
  <cols>
    <col min="1" max="1" width="3" style="28" customWidth="1"/>
    <col min="2" max="4" width="3.625" style="28" customWidth="1"/>
    <col min="5" max="5" width="36.625" style="28" customWidth="1"/>
    <col min="6" max="6" width="7.625" style="28" customWidth="1"/>
    <col min="7" max="7" width="12.625" style="28" customWidth="1"/>
    <col min="8" max="8" width="11.125" style="28" customWidth="1"/>
    <col min="9" max="10" width="11" style="28" customWidth="1"/>
    <col min="11" max="12" width="11" style="64" customWidth="1"/>
    <col min="13" max="16" width="11" style="28" customWidth="1"/>
    <col min="17" max="19" width="10.875" style="28" customWidth="1"/>
    <col min="20" max="20" width="9.875" style="28" bestFit="1" customWidth="1"/>
    <col min="21" max="16384" width="9" style="28"/>
  </cols>
  <sheetData>
    <row r="1" spans="2:22" ht="13.5" customHeight="1" x14ac:dyDescent="0.15">
      <c r="F1" s="178" t="s">
        <v>247</v>
      </c>
      <c r="G1" s="179"/>
      <c r="H1" s="179"/>
      <c r="I1" s="179"/>
      <c r="J1" s="179"/>
      <c r="K1" s="179"/>
      <c r="L1" s="179"/>
      <c r="M1" s="179"/>
      <c r="N1" s="179"/>
      <c r="O1" s="179"/>
      <c r="P1" s="179"/>
      <c r="Q1" s="179"/>
      <c r="R1" s="179"/>
      <c r="S1" s="179"/>
      <c r="T1" s="92"/>
      <c r="U1" s="92"/>
      <c r="V1" s="92"/>
    </row>
    <row r="2" spans="2:22" ht="19.5" customHeight="1" x14ac:dyDescent="0.15">
      <c r="B2" s="57" t="s">
        <v>199</v>
      </c>
    </row>
    <row r="3" spans="2:22" ht="19.5" customHeight="1" x14ac:dyDescent="0.15">
      <c r="B3" s="65" t="s">
        <v>200</v>
      </c>
      <c r="H3" s="65"/>
      <c r="I3" s="65"/>
      <c r="O3" s="65"/>
      <c r="P3" s="65"/>
      <c r="Q3" s="65"/>
      <c r="R3" s="65"/>
      <c r="S3" s="65"/>
    </row>
    <row r="4" spans="2:22" ht="19.5" customHeight="1" x14ac:dyDescent="0.15">
      <c r="B4" s="28" t="s">
        <v>91</v>
      </c>
    </row>
    <row r="5" spans="2:22" ht="7.5" customHeight="1" x14ac:dyDescent="0.15"/>
    <row r="6" spans="2:22" ht="18.75" customHeight="1" x14ac:dyDescent="0.15">
      <c r="B6" s="168" t="s">
        <v>201</v>
      </c>
      <c r="C6" s="169"/>
      <c r="D6" s="169"/>
      <c r="E6" s="169"/>
      <c r="F6" s="170"/>
      <c r="G6" s="66" t="s">
        <v>202</v>
      </c>
      <c r="H6" s="62" t="s">
        <v>95</v>
      </c>
      <c r="I6" s="62" t="s">
        <v>96</v>
      </c>
      <c r="J6" s="62" t="s">
        <v>97</v>
      </c>
      <c r="K6" s="62" t="s">
        <v>98</v>
      </c>
      <c r="L6" s="62" t="s">
        <v>99</v>
      </c>
      <c r="M6" s="62" t="s">
        <v>100</v>
      </c>
      <c r="N6" s="62" t="s">
        <v>101</v>
      </c>
      <c r="O6" s="62" t="s">
        <v>102</v>
      </c>
      <c r="P6" s="62" t="s">
        <v>103</v>
      </c>
      <c r="Q6" s="62" t="s">
        <v>104</v>
      </c>
      <c r="R6" s="62" t="s">
        <v>105</v>
      </c>
      <c r="S6" s="62" t="s">
        <v>106</v>
      </c>
      <c r="T6" s="100" t="s">
        <v>246</v>
      </c>
    </row>
    <row r="7" spans="2:22" ht="15" customHeight="1" x14ac:dyDescent="0.15">
      <c r="B7" s="180" t="s">
        <v>203</v>
      </c>
      <c r="C7" s="152" t="s">
        <v>204</v>
      </c>
      <c r="D7" s="152"/>
      <c r="E7" s="152"/>
      <c r="F7" s="152"/>
      <c r="G7" s="90">
        <f t="shared" ref="G7:G38" si="0">SUM(H7:S7)</f>
        <v>49127526</v>
      </c>
      <c r="H7" s="95">
        <v>4324614</v>
      </c>
      <c r="I7" s="95">
        <v>3189535</v>
      </c>
      <c r="J7" s="95">
        <v>5404624</v>
      </c>
      <c r="K7" s="97">
        <v>4230446</v>
      </c>
      <c r="L7" s="98">
        <v>4617344</v>
      </c>
      <c r="M7" s="95">
        <v>3978231</v>
      </c>
      <c r="N7" s="95">
        <v>4197952</v>
      </c>
      <c r="O7" s="95">
        <v>4027966</v>
      </c>
      <c r="P7" s="95">
        <v>3699330</v>
      </c>
      <c r="Q7" s="126">
        <v>3843504</v>
      </c>
      <c r="R7" s="127">
        <v>4034510</v>
      </c>
      <c r="S7" s="95">
        <v>3579470</v>
      </c>
      <c r="T7" s="121">
        <f>AVERAGE(H7:M7)</f>
        <v>4290799</v>
      </c>
    </row>
    <row r="8" spans="2:22" ht="15" customHeight="1" x14ac:dyDescent="0.15">
      <c r="B8" s="181"/>
      <c r="C8" s="51"/>
      <c r="D8" s="53"/>
      <c r="E8" s="53"/>
      <c r="F8" s="46" t="s">
        <v>205</v>
      </c>
      <c r="G8" s="90">
        <f t="shared" si="0"/>
        <v>30375904</v>
      </c>
      <c r="H8" s="95">
        <v>2738345</v>
      </c>
      <c r="I8" s="95">
        <v>1971421</v>
      </c>
      <c r="J8" s="95">
        <v>3444635</v>
      </c>
      <c r="K8" s="97">
        <v>2680041</v>
      </c>
      <c r="L8" s="98">
        <v>2922930</v>
      </c>
      <c r="M8" s="95">
        <v>2434087</v>
      </c>
      <c r="N8" s="95">
        <v>2534820</v>
      </c>
      <c r="O8" s="95">
        <v>2453503</v>
      </c>
      <c r="P8" s="95">
        <v>2234671</v>
      </c>
      <c r="Q8" s="126">
        <v>2358893</v>
      </c>
      <c r="R8" s="127">
        <v>2429871</v>
      </c>
      <c r="S8" s="95">
        <v>2172687</v>
      </c>
      <c r="T8" s="121">
        <f t="shared" ref="T8:T57" si="1">AVERAGE(H8:M8)</f>
        <v>2698576.5</v>
      </c>
    </row>
    <row r="9" spans="2:22" ht="15" customHeight="1" x14ac:dyDescent="0.15">
      <c r="B9" s="181"/>
      <c r="C9" s="54"/>
      <c r="D9" s="55"/>
      <c r="E9" s="55"/>
      <c r="F9" s="46" t="s">
        <v>206</v>
      </c>
      <c r="G9" s="90">
        <f t="shared" si="0"/>
        <v>18751622</v>
      </c>
      <c r="H9" s="95">
        <v>1586269</v>
      </c>
      <c r="I9" s="95">
        <v>1218114</v>
      </c>
      <c r="J9" s="95">
        <v>1959989</v>
      </c>
      <c r="K9" s="97">
        <v>1550405</v>
      </c>
      <c r="L9" s="98">
        <v>1694414</v>
      </c>
      <c r="M9" s="95">
        <v>1544144</v>
      </c>
      <c r="N9" s="95">
        <v>1663132</v>
      </c>
      <c r="O9" s="95">
        <v>1574463</v>
      </c>
      <c r="P9" s="95">
        <v>1464659</v>
      </c>
      <c r="Q9" s="126">
        <v>1484611</v>
      </c>
      <c r="R9" s="127">
        <v>1604639</v>
      </c>
      <c r="S9" s="95">
        <v>1406783</v>
      </c>
      <c r="T9" s="121">
        <f t="shared" si="1"/>
        <v>1592222.5</v>
      </c>
    </row>
    <row r="10" spans="2:22" ht="15" customHeight="1" x14ac:dyDescent="0.15">
      <c r="B10" s="181"/>
      <c r="C10" s="44" t="s">
        <v>207</v>
      </c>
      <c r="D10" s="52"/>
      <c r="E10" s="52"/>
      <c r="F10" s="29"/>
      <c r="G10" s="90">
        <f t="shared" si="0"/>
        <v>1850831</v>
      </c>
      <c r="H10" s="95">
        <v>279838</v>
      </c>
      <c r="I10" s="95">
        <v>217561</v>
      </c>
      <c r="J10" s="95">
        <v>117887</v>
      </c>
      <c r="K10" s="97">
        <v>205102</v>
      </c>
      <c r="L10" s="98">
        <v>244107</v>
      </c>
      <c r="M10" s="95">
        <v>92297</v>
      </c>
      <c r="N10" s="95">
        <v>250727</v>
      </c>
      <c r="O10" s="95">
        <v>166990</v>
      </c>
      <c r="P10" s="95">
        <v>38477</v>
      </c>
      <c r="Q10" s="126">
        <v>76642</v>
      </c>
      <c r="R10" s="127">
        <v>70769</v>
      </c>
      <c r="S10" s="95">
        <v>90434</v>
      </c>
      <c r="T10" s="121">
        <f t="shared" si="1"/>
        <v>192798.66666666666</v>
      </c>
    </row>
    <row r="11" spans="2:22" ht="15" customHeight="1" x14ac:dyDescent="0.15">
      <c r="B11" s="181"/>
      <c r="C11" s="51"/>
      <c r="D11" s="53"/>
      <c r="E11" s="53"/>
      <c r="F11" s="46" t="s">
        <v>205</v>
      </c>
      <c r="G11" s="90">
        <f t="shared" si="0"/>
        <v>1010310</v>
      </c>
      <c r="H11" s="95">
        <v>163823</v>
      </c>
      <c r="I11" s="95">
        <v>124549</v>
      </c>
      <c r="J11" s="95">
        <v>74091</v>
      </c>
      <c r="K11" s="97">
        <v>133537</v>
      </c>
      <c r="L11" s="98">
        <v>159466</v>
      </c>
      <c r="M11" s="95">
        <v>42684</v>
      </c>
      <c r="N11" s="95">
        <v>121915</v>
      </c>
      <c r="O11" s="95">
        <v>79233</v>
      </c>
      <c r="P11" s="95">
        <v>11876</v>
      </c>
      <c r="Q11" s="126">
        <v>38448</v>
      </c>
      <c r="R11" s="127">
        <v>26776</v>
      </c>
      <c r="S11" s="95">
        <v>33912</v>
      </c>
      <c r="T11" s="121">
        <f t="shared" si="1"/>
        <v>116358.33333333333</v>
      </c>
    </row>
    <row r="12" spans="2:22" ht="15" customHeight="1" x14ac:dyDescent="0.15">
      <c r="B12" s="181"/>
      <c r="C12" s="51"/>
      <c r="D12" s="53"/>
      <c r="E12" s="53"/>
      <c r="F12" s="46" t="s">
        <v>208</v>
      </c>
      <c r="G12" s="90">
        <f t="shared" si="0"/>
        <v>840521</v>
      </c>
      <c r="H12" s="95">
        <v>116015</v>
      </c>
      <c r="I12" s="95">
        <v>93012</v>
      </c>
      <c r="J12" s="95">
        <v>43796</v>
      </c>
      <c r="K12" s="97">
        <v>71565</v>
      </c>
      <c r="L12" s="98">
        <v>84641</v>
      </c>
      <c r="M12" s="95">
        <v>49613</v>
      </c>
      <c r="N12" s="95">
        <v>128812</v>
      </c>
      <c r="O12" s="95">
        <v>87757</v>
      </c>
      <c r="P12" s="95">
        <v>26601</v>
      </c>
      <c r="Q12" s="126">
        <v>38194</v>
      </c>
      <c r="R12" s="127">
        <v>43993</v>
      </c>
      <c r="S12" s="95">
        <v>56522</v>
      </c>
      <c r="T12" s="121">
        <f t="shared" si="1"/>
        <v>76440.333333333328</v>
      </c>
    </row>
    <row r="13" spans="2:22" ht="15" customHeight="1" x14ac:dyDescent="0.15">
      <c r="B13" s="181"/>
      <c r="C13" s="30"/>
      <c r="D13" s="130" t="s">
        <v>209</v>
      </c>
      <c r="E13" s="137"/>
      <c r="F13" s="31"/>
      <c r="G13" s="90">
        <f t="shared" si="0"/>
        <v>1762457</v>
      </c>
      <c r="H13" s="95">
        <v>268914</v>
      </c>
      <c r="I13" s="95">
        <v>217561</v>
      </c>
      <c r="J13" s="95">
        <v>114128</v>
      </c>
      <c r="K13" s="97">
        <v>184451</v>
      </c>
      <c r="L13" s="98">
        <v>225090</v>
      </c>
      <c r="M13" s="95">
        <v>80990</v>
      </c>
      <c r="N13" s="95">
        <v>238523</v>
      </c>
      <c r="O13" s="95">
        <v>158402</v>
      </c>
      <c r="P13" s="95">
        <v>38477</v>
      </c>
      <c r="Q13" s="126">
        <v>76642</v>
      </c>
      <c r="R13" s="127">
        <v>70769</v>
      </c>
      <c r="S13" s="95">
        <v>88510</v>
      </c>
      <c r="T13" s="121">
        <f t="shared" si="1"/>
        <v>181855.66666666666</v>
      </c>
    </row>
    <row r="14" spans="2:22" ht="15" customHeight="1" x14ac:dyDescent="0.15">
      <c r="B14" s="181"/>
      <c r="C14" s="30"/>
      <c r="D14" s="140"/>
      <c r="E14" s="175"/>
      <c r="F14" s="46" t="s">
        <v>205</v>
      </c>
      <c r="G14" s="90">
        <f t="shared" si="0"/>
        <v>927980</v>
      </c>
      <c r="H14" s="95">
        <v>156529</v>
      </c>
      <c r="I14" s="95">
        <v>124549</v>
      </c>
      <c r="J14" s="95">
        <v>70381</v>
      </c>
      <c r="K14" s="97">
        <v>113103</v>
      </c>
      <c r="L14" s="98">
        <v>140638</v>
      </c>
      <c r="M14" s="95">
        <v>31559</v>
      </c>
      <c r="N14" s="95">
        <v>109900</v>
      </c>
      <c r="O14" s="95">
        <v>70778</v>
      </c>
      <c r="P14" s="95">
        <v>11876</v>
      </c>
      <c r="Q14" s="126">
        <v>38448</v>
      </c>
      <c r="R14" s="127">
        <v>26776</v>
      </c>
      <c r="S14" s="95">
        <v>33443</v>
      </c>
      <c r="T14" s="121">
        <f t="shared" si="1"/>
        <v>106126.5</v>
      </c>
    </row>
    <row r="15" spans="2:22" ht="15" customHeight="1" x14ac:dyDescent="0.15">
      <c r="B15" s="181"/>
      <c r="C15" s="30"/>
      <c r="D15" s="176"/>
      <c r="E15" s="177"/>
      <c r="F15" s="46" t="s">
        <v>208</v>
      </c>
      <c r="G15" s="90">
        <f t="shared" si="0"/>
        <v>834477</v>
      </c>
      <c r="H15" s="95">
        <v>112385</v>
      </c>
      <c r="I15" s="95">
        <v>93012</v>
      </c>
      <c r="J15" s="95">
        <v>43747</v>
      </c>
      <c r="K15" s="97">
        <v>71348</v>
      </c>
      <c r="L15" s="98">
        <v>84452</v>
      </c>
      <c r="M15" s="95">
        <v>49431</v>
      </c>
      <c r="N15" s="95">
        <v>128623</v>
      </c>
      <c r="O15" s="95">
        <v>87624</v>
      </c>
      <c r="P15" s="95">
        <v>26601</v>
      </c>
      <c r="Q15" s="126">
        <v>38194</v>
      </c>
      <c r="R15" s="127">
        <v>43993</v>
      </c>
      <c r="S15" s="95">
        <v>55067</v>
      </c>
      <c r="T15" s="121">
        <f t="shared" si="1"/>
        <v>75729.166666666672</v>
      </c>
    </row>
    <row r="16" spans="2:22" ht="15" customHeight="1" x14ac:dyDescent="0.15">
      <c r="B16" s="181"/>
      <c r="C16" s="30"/>
      <c r="D16" s="130" t="s">
        <v>210</v>
      </c>
      <c r="E16" s="137"/>
      <c r="F16" s="49"/>
      <c r="G16" s="90">
        <f t="shared" si="0"/>
        <v>86450</v>
      </c>
      <c r="H16" s="95">
        <v>10924</v>
      </c>
      <c r="I16" s="95">
        <v>0</v>
      </c>
      <c r="J16" s="95">
        <v>3759</v>
      </c>
      <c r="K16" s="97">
        <v>20651</v>
      </c>
      <c r="L16" s="98">
        <v>19017</v>
      </c>
      <c r="M16" s="95">
        <v>11307</v>
      </c>
      <c r="N16" s="95">
        <v>12204</v>
      </c>
      <c r="O16" s="95">
        <v>8588</v>
      </c>
      <c r="P16" s="95">
        <v>0</v>
      </c>
      <c r="Q16" s="126">
        <v>0</v>
      </c>
      <c r="R16" s="127">
        <v>0</v>
      </c>
      <c r="S16" s="95">
        <v>0</v>
      </c>
      <c r="T16" s="121">
        <f t="shared" si="1"/>
        <v>10943</v>
      </c>
    </row>
    <row r="17" spans="2:20" ht="15" customHeight="1" x14ac:dyDescent="0.15">
      <c r="B17" s="181"/>
      <c r="C17" s="30"/>
      <c r="D17" s="140"/>
      <c r="E17" s="175"/>
      <c r="F17" s="46" t="s">
        <v>205</v>
      </c>
      <c r="G17" s="90">
        <f t="shared" si="0"/>
        <v>81861</v>
      </c>
      <c r="H17" s="95">
        <v>7294</v>
      </c>
      <c r="I17" s="95">
        <v>0</v>
      </c>
      <c r="J17" s="95">
        <v>3710</v>
      </c>
      <c r="K17" s="97">
        <v>20434</v>
      </c>
      <c r="L17" s="98">
        <v>18828</v>
      </c>
      <c r="M17" s="95">
        <v>11125</v>
      </c>
      <c r="N17" s="95">
        <v>12015</v>
      </c>
      <c r="O17" s="95">
        <v>8455</v>
      </c>
      <c r="P17" s="95">
        <v>0</v>
      </c>
      <c r="Q17" s="126">
        <v>0</v>
      </c>
      <c r="R17" s="127">
        <v>0</v>
      </c>
      <c r="S17" s="95">
        <v>0</v>
      </c>
      <c r="T17" s="121">
        <f t="shared" si="1"/>
        <v>10231.833333333334</v>
      </c>
    </row>
    <row r="18" spans="2:20" ht="15" customHeight="1" x14ac:dyDescent="0.15">
      <c r="B18" s="181"/>
      <c r="C18" s="30"/>
      <c r="D18" s="176"/>
      <c r="E18" s="177"/>
      <c r="F18" s="46" t="s">
        <v>208</v>
      </c>
      <c r="G18" s="90">
        <f t="shared" si="0"/>
        <v>4589</v>
      </c>
      <c r="H18" s="95">
        <v>3630</v>
      </c>
      <c r="I18" s="95">
        <v>0</v>
      </c>
      <c r="J18" s="95">
        <v>49</v>
      </c>
      <c r="K18" s="97">
        <v>217</v>
      </c>
      <c r="L18" s="98">
        <v>189</v>
      </c>
      <c r="M18" s="95">
        <v>182</v>
      </c>
      <c r="N18" s="95">
        <v>189</v>
      </c>
      <c r="O18" s="95">
        <v>133</v>
      </c>
      <c r="P18" s="95">
        <v>0</v>
      </c>
      <c r="Q18" s="126">
        <v>0</v>
      </c>
      <c r="R18" s="127">
        <v>0</v>
      </c>
      <c r="S18" s="95">
        <v>0</v>
      </c>
      <c r="T18" s="121">
        <f t="shared" si="1"/>
        <v>711.16666666666663</v>
      </c>
    </row>
    <row r="19" spans="2:20" ht="15" customHeight="1" x14ac:dyDescent="0.15">
      <c r="B19" s="181"/>
      <c r="C19" s="30"/>
      <c r="D19" s="183" t="s">
        <v>211</v>
      </c>
      <c r="E19" s="184"/>
      <c r="F19" s="49"/>
      <c r="G19" s="90">
        <f t="shared" si="0"/>
        <v>0</v>
      </c>
      <c r="H19" s="95">
        <v>0</v>
      </c>
      <c r="I19" s="95">
        <v>0</v>
      </c>
      <c r="J19" s="95">
        <v>0</v>
      </c>
      <c r="K19" s="97">
        <v>0</v>
      </c>
      <c r="L19" s="98">
        <v>0</v>
      </c>
      <c r="M19" s="95">
        <v>0</v>
      </c>
      <c r="N19" s="95">
        <v>0</v>
      </c>
      <c r="O19" s="95">
        <v>0</v>
      </c>
      <c r="P19" s="95">
        <v>0</v>
      </c>
      <c r="Q19" s="126">
        <v>0</v>
      </c>
      <c r="R19" s="127">
        <v>0</v>
      </c>
      <c r="S19" s="95">
        <v>0</v>
      </c>
      <c r="T19" s="121">
        <f t="shared" si="1"/>
        <v>0</v>
      </c>
    </row>
    <row r="20" spans="2:20" ht="15" customHeight="1" x14ac:dyDescent="0.15">
      <c r="B20" s="181"/>
      <c r="C20" s="30"/>
      <c r="D20" s="185"/>
      <c r="E20" s="186"/>
      <c r="F20" s="46" t="s">
        <v>205</v>
      </c>
      <c r="G20" s="90">
        <f t="shared" si="0"/>
        <v>0</v>
      </c>
      <c r="H20" s="95">
        <v>0</v>
      </c>
      <c r="I20" s="95">
        <v>0</v>
      </c>
      <c r="J20" s="95">
        <v>0</v>
      </c>
      <c r="K20" s="97">
        <v>0</v>
      </c>
      <c r="L20" s="98">
        <v>0</v>
      </c>
      <c r="M20" s="95">
        <v>0</v>
      </c>
      <c r="N20" s="95">
        <v>0</v>
      </c>
      <c r="O20" s="95">
        <v>0</v>
      </c>
      <c r="P20" s="95">
        <v>0</v>
      </c>
      <c r="Q20" s="126">
        <v>0</v>
      </c>
      <c r="R20" s="127">
        <v>0</v>
      </c>
      <c r="S20" s="95">
        <v>0</v>
      </c>
      <c r="T20" s="121">
        <f t="shared" si="1"/>
        <v>0</v>
      </c>
    </row>
    <row r="21" spans="2:20" ht="15" customHeight="1" x14ac:dyDescent="0.15">
      <c r="B21" s="181"/>
      <c r="C21" s="30"/>
      <c r="D21" s="187"/>
      <c r="E21" s="188"/>
      <c r="F21" s="46" t="s">
        <v>208</v>
      </c>
      <c r="G21" s="90">
        <f t="shared" si="0"/>
        <v>0</v>
      </c>
      <c r="H21" s="95">
        <v>0</v>
      </c>
      <c r="I21" s="95">
        <v>0</v>
      </c>
      <c r="J21" s="95">
        <v>0</v>
      </c>
      <c r="K21" s="97">
        <v>0</v>
      </c>
      <c r="L21" s="98">
        <v>0</v>
      </c>
      <c r="M21" s="95">
        <v>0</v>
      </c>
      <c r="N21" s="95">
        <v>0</v>
      </c>
      <c r="O21" s="95">
        <v>0</v>
      </c>
      <c r="P21" s="95">
        <v>0</v>
      </c>
      <c r="Q21" s="126">
        <v>0</v>
      </c>
      <c r="R21" s="127">
        <v>0</v>
      </c>
      <c r="S21" s="95">
        <v>0</v>
      </c>
      <c r="T21" s="121">
        <f t="shared" si="1"/>
        <v>0</v>
      </c>
    </row>
    <row r="22" spans="2:20" ht="15" customHeight="1" x14ac:dyDescent="0.15">
      <c r="B22" s="181"/>
      <c r="C22" s="30"/>
      <c r="D22" s="130" t="s">
        <v>212</v>
      </c>
      <c r="E22" s="137"/>
      <c r="F22" s="49"/>
      <c r="G22" s="90">
        <f t="shared" si="0"/>
        <v>0</v>
      </c>
      <c r="H22" s="95">
        <v>0</v>
      </c>
      <c r="I22" s="95">
        <v>0</v>
      </c>
      <c r="J22" s="95">
        <v>0</v>
      </c>
      <c r="K22" s="97">
        <v>0</v>
      </c>
      <c r="L22" s="98">
        <v>0</v>
      </c>
      <c r="M22" s="95">
        <v>0</v>
      </c>
      <c r="N22" s="95">
        <v>0</v>
      </c>
      <c r="O22" s="95">
        <v>0</v>
      </c>
      <c r="P22" s="95">
        <v>0</v>
      </c>
      <c r="Q22" s="126">
        <v>0</v>
      </c>
      <c r="R22" s="127">
        <v>0</v>
      </c>
      <c r="S22" s="95">
        <v>0</v>
      </c>
      <c r="T22" s="121">
        <f t="shared" si="1"/>
        <v>0</v>
      </c>
    </row>
    <row r="23" spans="2:20" ht="15" customHeight="1" x14ac:dyDescent="0.15">
      <c r="B23" s="181"/>
      <c r="C23" s="30"/>
      <c r="D23" s="140"/>
      <c r="E23" s="175"/>
      <c r="F23" s="46" t="s">
        <v>205</v>
      </c>
      <c r="G23" s="90">
        <f t="shared" si="0"/>
        <v>0</v>
      </c>
      <c r="H23" s="95">
        <v>0</v>
      </c>
      <c r="I23" s="95">
        <v>0</v>
      </c>
      <c r="J23" s="95">
        <v>0</v>
      </c>
      <c r="K23" s="97">
        <v>0</v>
      </c>
      <c r="L23" s="98">
        <v>0</v>
      </c>
      <c r="M23" s="95">
        <v>0</v>
      </c>
      <c r="N23" s="95">
        <v>0</v>
      </c>
      <c r="O23" s="95">
        <v>0</v>
      </c>
      <c r="P23" s="95">
        <v>0</v>
      </c>
      <c r="Q23" s="126">
        <v>0</v>
      </c>
      <c r="R23" s="127">
        <v>0</v>
      </c>
      <c r="S23" s="95">
        <v>0</v>
      </c>
      <c r="T23" s="121">
        <f t="shared" si="1"/>
        <v>0</v>
      </c>
    </row>
    <row r="24" spans="2:20" ht="15" customHeight="1" x14ac:dyDescent="0.15">
      <c r="B24" s="181"/>
      <c r="C24" s="30"/>
      <c r="D24" s="176"/>
      <c r="E24" s="177"/>
      <c r="F24" s="46" t="s">
        <v>208</v>
      </c>
      <c r="G24" s="90">
        <f t="shared" si="0"/>
        <v>0</v>
      </c>
      <c r="H24" s="95">
        <v>0</v>
      </c>
      <c r="I24" s="95">
        <v>0</v>
      </c>
      <c r="J24" s="95">
        <v>0</v>
      </c>
      <c r="K24" s="97">
        <v>0</v>
      </c>
      <c r="L24" s="98">
        <v>0</v>
      </c>
      <c r="M24" s="95">
        <v>0</v>
      </c>
      <c r="N24" s="95">
        <v>0</v>
      </c>
      <c r="O24" s="95">
        <v>0</v>
      </c>
      <c r="P24" s="95">
        <v>0</v>
      </c>
      <c r="Q24" s="126">
        <v>0</v>
      </c>
      <c r="R24" s="127">
        <v>0</v>
      </c>
      <c r="S24" s="95">
        <v>0</v>
      </c>
      <c r="T24" s="121">
        <f t="shared" si="1"/>
        <v>0</v>
      </c>
    </row>
    <row r="25" spans="2:20" ht="15" customHeight="1" x14ac:dyDescent="0.15">
      <c r="B25" s="181"/>
      <c r="C25" s="30"/>
      <c r="D25" s="130" t="s">
        <v>213</v>
      </c>
      <c r="E25" s="137"/>
      <c r="F25" s="31"/>
      <c r="G25" s="90">
        <f t="shared" si="0"/>
        <v>1924</v>
      </c>
      <c r="H25" s="95">
        <v>0</v>
      </c>
      <c r="I25" s="95">
        <v>0</v>
      </c>
      <c r="J25" s="95">
        <v>0</v>
      </c>
      <c r="K25" s="97">
        <v>0</v>
      </c>
      <c r="L25" s="98">
        <v>0</v>
      </c>
      <c r="M25" s="95">
        <v>0</v>
      </c>
      <c r="N25" s="95">
        <v>0</v>
      </c>
      <c r="O25" s="95">
        <v>0</v>
      </c>
      <c r="P25" s="95">
        <v>0</v>
      </c>
      <c r="Q25" s="126">
        <v>0</v>
      </c>
      <c r="R25" s="127">
        <v>0</v>
      </c>
      <c r="S25" s="95">
        <v>1924</v>
      </c>
      <c r="T25" s="121">
        <f t="shared" si="1"/>
        <v>0</v>
      </c>
    </row>
    <row r="26" spans="2:20" ht="15" customHeight="1" x14ac:dyDescent="0.15">
      <c r="B26" s="181"/>
      <c r="C26" s="30"/>
      <c r="D26" s="140"/>
      <c r="E26" s="175"/>
      <c r="F26" s="46" t="s">
        <v>205</v>
      </c>
      <c r="G26" s="90">
        <f t="shared" si="0"/>
        <v>469</v>
      </c>
      <c r="H26" s="95">
        <v>0</v>
      </c>
      <c r="I26" s="95">
        <v>0</v>
      </c>
      <c r="J26" s="95">
        <v>0</v>
      </c>
      <c r="K26" s="97">
        <v>0</v>
      </c>
      <c r="L26" s="98">
        <v>0</v>
      </c>
      <c r="M26" s="95">
        <v>0</v>
      </c>
      <c r="N26" s="95">
        <v>0</v>
      </c>
      <c r="O26" s="95">
        <v>0</v>
      </c>
      <c r="P26" s="95">
        <v>0</v>
      </c>
      <c r="Q26" s="126">
        <v>0</v>
      </c>
      <c r="R26" s="127">
        <v>0</v>
      </c>
      <c r="S26" s="95">
        <v>469</v>
      </c>
      <c r="T26" s="121">
        <f t="shared" si="1"/>
        <v>0</v>
      </c>
    </row>
    <row r="27" spans="2:20" ht="15" customHeight="1" x14ac:dyDescent="0.15">
      <c r="B27" s="181"/>
      <c r="C27" s="30"/>
      <c r="D27" s="176"/>
      <c r="E27" s="177"/>
      <c r="F27" s="46" t="s">
        <v>208</v>
      </c>
      <c r="G27" s="90">
        <f t="shared" si="0"/>
        <v>1455</v>
      </c>
      <c r="H27" s="95">
        <v>0</v>
      </c>
      <c r="I27" s="95">
        <v>0</v>
      </c>
      <c r="J27" s="95">
        <v>0</v>
      </c>
      <c r="K27" s="97">
        <v>0</v>
      </c>
      <c r="L27" s="98">
        <v>0</v>
      </c>
      <c r="M27" s="95">
        <v>0</v>
      </c>
      <c r="N27" s="95">
        <v>0</v>
      </c>
      <c r="O27" s="95">
        <v>0</v>
      </c>
      <c r="P27" s="95">
        <v>0</v>
      </c>
      <c r="Q27" s="126">
        <v>0</v>
      </c>
      <c r="R27" s="127">
        <v>0</v>
      </c>
      <c r="S27" s="95">
        <v>1455</v>
      </c>
      <c r="T27" s="121">
        <f t="shared" si="1"/>
        <v>0</v>
      </c>
    </row>
    <row r="28" spans="2:20" ht="15" customHeight="1" x14ac:dyDescent="0.15">
      <c r="B28" s="181"/>
      <c r="C28" s="30"/>
      <c r="D28" s="183" t="s">
        <v>214</v>
      </c>
      <c r="E28" s="184"/>
      <c r="F28" s="49"/>
      <c r="G28" s="90">
        <f t="shared" si="0"/>
        <v>0</v>
      </c>
      <c r="H28" s="95">
        <v>0</v>
      </c>
      <c r="I28" s="95">
        <v>0</v>
      </c>
      <c r="J28" s="95">
        <v>0</v>
      </c>
      <c r="K28" s="97">
        <v>0</v>
      </c>
      <c r="L28" s="98">
        <v>0</v>
      </c>
      <c r="M28" s="95">
        <v>0</v>
      </c>
      <c r="N28" s="95">
        <v>0</v>
      </c>
      <c r="O28" s="95">
        <v>0</v>
      </c>
      <c r="P28" s="95">
        <v>0</v>
      </c>
      <c r="Q28" s="126">
        <v>0</v>
      </c>
      <c r="R28" s="127">
        <v>0</v>
      </c>
      <c r="S28" s="95">
        <v>0</v>
      </c>
      <c r="T28" s="121">
        <f t="shared" si="1"/>
        <v>0</v>
      </c>
    </row>
    <row r="29" spans="2:20" ht="15" customHeight="1" x14ac:dyDescent="0.15">
      <c r="B29" s="181"/>
      <c r="C29" s="30"/>
      <c r="D29" s="185"/>
      <c r="E29" s="186"/>
      <c r="F29" s="46" t="s">
        <v>205</v>
      </c>
      <c r="G29" s="90">
        <f t="shared" si="0"/>
        <v>0</v>
      </c>
      <c r="H29" s="95">
        <v>0</v>
      </c>
      <c r="I29" s="95">
        <v>0</v>
      </c>
      <c r="J29" s="95">
        <v>0</v>
      </c>
      <c r="K29" s="97">
        <v>0</v>
      </c>
      <c r="L29" s="98">
        <v>0</v>
      </c>
      <c r="M29" s="95">
        <v>0</v>
      </c>
      <c r="N29" s="95">
        <v>0</v>
      </c>
      <c r="O29" s="95">
        <v>0</v>
      </c>
      <c r="P29" s="95">
        <v>0</v>
      </c>
      <c r="Q29" s="126">
        <v>0</v>
      </c>
      <c r="R29" s="127">
        <v>0</v>
      </c>
      <c r="S29" s="95">
        <v>0</v>
      </c>
      <c r="T29" s="121">
        <f t="shared" si="1"/>
        <v>0</v>
      </c>
    </row>
    <row r="30" spans="2:20" ht="15" customHeight="1" x14ac:dyDescent="0.15">
      <c r="B30" s="181"/>
      <c r="C30" s="30"/>
      <c r="D30" s="187"/>
      <c r="E30" s="188"/>
      <c r="F30" s="46" t="s">
        <v>208</v>
      </c>
      <c r="G30" s="90">
        <f t="shared" si="0"/>
        <v>0</v>
      </c>
      <c r="H30" s="95">
        <v>0</v>
      </c>
      <c r="I30" s="95">
        <v>0</v>
      </c>
      <c r="J30" s="95">
        <v>0</v>
      </c>
      <c r="K30" s="97">
        <v>0</v>
      </c>
      <c r="L30" s="98">
        <v>0</v>
      </c>
      <c r="M30" s="95">
        <v>0</v>
      </c>
      <c r="N30" s="95">
        <v>0</v>
      </c>
      <c r="O30" s="95">
        <v>0</v>
      </c>
      <c r="P30" s="95">
        <v>0</v>
      </c>
      <c r="Q30" s="126">
        <v>0</v>
      </c>
      <c r="R30" s="127">
        <v>0</v>
      </c>
      <c r="S30" s="95">
        <v>0</v>
      </c>
      <c r="T30" s="121">
        <f t="shared" si="1"/>
        <v>0</v>
      </c>
    </row>
    <row r="31" spans="2:20" ht="15" customHeight="1" x14ac:dyDescent="0.15">
      <c r="B31" s="181"/>
      <c r="C31" s="30"/>
      <c r="D31" s="183" t="s">
        <v>215</v>
      </c>
      <c r="E31" s="184"/>
      <c r="F31" s="49"/>
      <c r="G31" s="90">
        <f t="shared" si="0"/>
        <v>0</v>
      </c>
      <c r="H31" s="95">
        <v>0</v>
      </c>
      <c r="I31" s="95">
        <v>0</v>
      </c>
      <c r="J31" s="95">
        <v>0</v>
      </c>
      <c r="K31" s="97">
        <v>0</v>
      </c>
      <c r="L31" s="98">
        <v>0</v>
      </c>
      <c r="M31" s="95">
        <v>0</v>
      </c>
      <c r="N31" s="95">
        <v>0</v>
      </c>
      <c r="O31" s="95">
        <v>0</v>
      </c>
      <c r="P31" s="95">
        <v>0</v>
      </c>
      <c r="Q31" s="126">
        <v>0</v>
      </c>
      <c r="R31" s="127">
        <v>0</v>
      </c>
      <c r="S31" s="95">
        <v>0</v>
      </c>
      <c r="T31" s="121">
        <f t="shared" si="1"/>
        <v>0</v>
      </c>
    </row>
    <row r="32" spans="2:20" ht="15" customHeight="1" x14ac:dyDescent="0.15">
      <c r="B32" s="181"/>
      <c r="C32" s="30"/>
      <c r="D32" s="185"/>
      <c r="E32" s="186"/>
      <c r="F32" s="46" t="s">
        <v>205</v>
      </c>
      <c r="G32" s="90">
        <f t="shared" si="0"/>
        <v>0</v>
      </c>
      <c r="H32" s="95">
        <v>0</v>
      </c>
      <c r="I32" s="95">
        <v>0</v>
      </c>
      <c r="J32" s="95">
        <v>0</v>
      </c>
      <c r="K32" s="97">
        <v>0</v>
      </c>
      <c r="L32" s="98">
        <v>0</v>
      </c>
      <c r="M32" s="95">
        <v>0</v>
      </c>
      <c r="N32" s="95">
        <v>0</v>
      </c>
      <c r="O32" s="95">
        <v>0</v>
      </c>
      <c r="P32" s="95">
        <v>0</v>
      </c>
      <c r="Q32" s="126">
        <v>0</v>
      </c>
      <c r="R32" s="127">
        <v>0</v>
      </c>
      <c r="S32" s="95">
        <v>0</v>
      </c>
      <c r="T32" s="121">
        <f t="shared" si="1"/>
        <v>0</v>
      </c>
    </row>
    <row r="33" spans="2:20" ht="15" customHeight="1" x14ac:dyDescent="0.15">
      <c r="B33" s="181"/>
      <c r="C33" s="30"/>
      <c r="D33" s="187"/>
      <c r="E33" s="188"/>
      <c r="F33" s="46" t="s">
        <v>208</v>
      </c>
      <c r="G33" s="90">
        <f t="shared" si="0"/>
        <v>0</v>
      </c>
      <c r="H33" s="95">
        <v>0</v>
      </c>
      <c r="I33" s="95">
        <v>0</v>
      </c>
      <c r="J33" s="95">
        <v>0</v>
      </c>
      <c r="K33" s="97">
        <v>0</v>
      </c>
      <c r="L33" s="98">
        <v>0</v>
      </c>
      <c r="M33" s="95">
        <v>0</v>
      </c>
      <c r="N33" s="95">
        <v>0</v>
      </c>
      <c r="O33" s="95">
        <v>0</v>
      </c>
      <c r="P33" s="95">
        <v>0</v>
      </c>
      <c r="Q33" s="126">
        <v>0</v>
      </c>
      <c r="R33" s="127">
        <v>0</v>
      </c>
      <c r="S33" s="95">
        <v>0</v>
      </c>
      <c r="T33" s="121">
        <f t="shared" si="1"/>
        <v>0</v>
      </c>
    </row>
    <row r="34" spans="2:20" ht="15" customHeight="1" x14ac:dyDescent="0.15">
      <c r="B34" s="181"/>
      <c r="C34" s="30"/>
      <c r="D34" s="183" t="s">
        <v>216</v>
      </c>
      <c r="E34" s="184"/>
      <c r="F34" s="49"/>
      <c r="G34" s="90">
        <f t="shared" si="0"/>
        <v>0</v>
      </c>
      <c r="H34" s="95">
        <v>0</v>
      </c>
      <c r="I34" s="95">
        <v>0</v>
      </c>
      <c r="J34" s="95">
        <v>0</v>
      </c>
      <c r="K34" s="97">
        <v>0</v>
      </c>
      <c r="L34" s="98">
        <v>0</v>
      </c>
      <c r="M34" s="95">
        <v>0</v>
      </c>
      <c r="N34" s="95">
        <v>0</v>
      </c>
      <c r="O34" s="95">
        <v>0</v>
      </c>
      <c r="P34" s="95">
        <v>0</v>
      </c>
      <c r="Q34" s="126">
        <v>0</v>
      </c>
      <c r="R34" s="127">
        <v>0</v>
      </c>
      <c r="S34" s="95">
        <v>0</v>
      </c>
      <c r="T34" s="121">
        <f t="shared" si="1"/>
        <v>0</v>
      </c>
    </row>
    <row r="35" spans="2:20" ht="15" customHeight="1" x14ac:dyDescent="0.15">
      <c r="B35" s="181"/>
      <c r="C35" s="30"/>
      <c r="D35" s="185"/>
      <c r="E35" s="186"/>
      <c r="F35" s="46" t="s">
        <v>205</v>
      </c>
      <c r="G35" s="90">
        <f t="shared" si="0"/>
        <v>0</v>
      </c>
      <c r="H35" s="95">
        <v>0</v>
      </c>
      <c r="I35" s="95">
        <v>0</v>
      </c>
      <c r="J35" s="95">
        <v>0</v>
      </c>
      <c r="K35" s="97">
        <v>0</v>
      </c>
      <c r="L35" s="98">
        <v>0</v>
      </c>
      <c r="M35" s="95">
        <v>0</v>
      </c>
      <c r="N35" s="95">
        <v>0</v>
      </c>
      <c r="O35" s="95">
        <v>0</v>
      </c>
      <c r="P35" s="95">
        <v>0</v>
      </c>
      <c r="Q35" s="126">
        <v>0</v>
      </c>
      <c r="R35" s="127">
        <v>0</v>
      </c>
      <c r="S35" s="95">
        <v>0</v>
      </c>
      <c r="T35" s="121">
        <f t="shared" si="1"/>
        <v>0</v>
      </c>
    </row>
    <row r="36" spans="2:20" ht="15" customHeight="1" x14ac:dyDescent="0.15">
      <c r="B36" s="181"/>
      <c r="C36" s="32"/>
      <c r="D36" s="187"/>
      <c r="E36" s="188"/>
      <c r="F36" s="46" t="s">
        <v>208</v>
      </c>
      <c r="G36" s="90">
        <f t="shared" si="0"/>
        <v>0</v>
      </c>
      <c r="H36" s="95">
        <v>0</v>
      </c>
      <c r="I36" s="95">
        <v>0</v>
      </c>
      <c r="J36" s="95">
        <v>0</v>
      </c>
      <c r="K36" s="97">
        <v>0</v>
      </c>
      <c r="L36" s="98">
        <v>0</v>
      </c>
      <c r="M36" s="95">
        <v>0</v>
      </c>
      <c r="N36" s="95">
        <v>0</v>
      </c>
      <c r="O36" s="95">
        <v>0</v>
      </c>
      <c r="P36" s="95">
        <v>0</v>
      </c>
      <c r="Q36" s="126">
        <v>0</v>
      </c>
      <c r="R36" s="127">
        <v>0</v>
      </c>
      <c r="S36" s="95">
        <v>0</v>
      </c>
      <c r="T36" s="121">
        <f t="shared" si="1"/>
        <v>0</v>
      </c>
    </row>
    <row r="37" spans="2:20" ht="15" customHeight="1" x14ac:dyDescent="0.15">
      <c r="B37" s="181"/>
      <c r="C37" s="47" t="s">
        <v>217</v>
      </c>
      <c r="D37" s="44"/>
      <c r="E37" s="52"/>
      <c r="F37" s="49"/>
      <c r="G37" s="90">
        <f t="shared" si="0"/>
        <v>17678526</v>
      </c>
      <c r="H37" s="95">
        <v>1594350</v>
      </c>
      <c r="I37" s="95">
        <v>695366</v>
      </c>
      <c r="J37" s="95">
        <v>2513367</v>
      </c>
      <c r="K37" s="97">
        <v>1454634</v>
      </c>
      <c r="L37" s="98">
        <v>1641640</v>
      </c>
      <c r="M37" s="95">
        <v>1503565</v>
      </c>
      <c r="N37" s="95">
        <v>1465119</v>
      </c>
      <c r="O37" s="95">
        <v>1372156</v>
      </c>
      <c r="P37" s="95">
        <v>1376270</v>
      </c>
      <c r="Q37" s="126">
        <v>1334739</v>
      </c>
      <c r="R37" s="127">
        <v>1431464</v>
      </c>
      <c r="S37" s="95">
        <v>1295856</v>
      </c>
      <c r="T37" s="121">
        <f t="shared" si="1"/>
        <v>1567153.6666666667</v>
      </c>
    </row>
    <row r="38" spans="2:20" ht="15" customHeight="1" x14ac:dyDescent="0.15">
      <c r="B38" s="181"/>
      <c r="C38" s="51"/>
      <c r="D38" s="53"/>
      <c r="E38" s="53"/>
      <c r="F38" s="46" t="s">
        <v>205</v>
      </c>
      <c r="G38" s="90">
        <f t="shared" si="0"/>
        <v>9918966</v>
      </c>
      <c r="H38" s="95">
        <v>923228</v>
      </c>
      <c r="I38" s="95">
        <v>335726</v>
      </c>
      <c r="J38" s="95">
        <v>1517336</v>
      </c>
      <c r="K38" s="97">
        <v>838604</v>
      </c>
      <c r="L38" s="98">
        <v>943338</v>
      </c>
      <c r="M38" s="95">
        <v>837529</v>
      </c>
      <c r="N38" s="95">
        <v>818030</v>
      </c>
      <c r="O38" s="95">
        <v>749285</v>
      </c>
      <c r="P38" s="95">
        <v>747020</v>
      </c>
      <c r="Q38" s="126">
        <v>733150</v>
      </c>
      <c r="R38" s="127">
        <v>770690</v>
      </c>
      <c r="S38" s="95">
        <v>705030</v>
      </c>
      <c r="T38" s="121">
        <f t="shared" si="1"/>
        <v>899293.5</v>
      </c>
    </row>
    <row r="39" spans="2:20" ht="15" customHeight="1" x14ac:dyDescent="0.15">
      <c r="B39" s="181"/>
      <c r="C39" s="51"/>
      <c r="D39" s="53"/>
      <c r="E39" s="53"/>
      <c r="F39" s="46" t="s">
        <v>206</v>
      </c>
      <c r="G39" s="90">
        <f t="shared" ref="G39:G57" si="2">SUM(H39:S39)</f>
        <v>7759560</v>
      </c>
      <c r="H39" s="95">
        <v>671122</v>
      </c>
      <c r="I39" s="95">
        <v>359640</v>
      </c>
      <c r="J39" s="95">
        <v>996031</v>
      </c>
      <c r="K39" s="97">
        <v>616030</v>
      </c>
      <c r="L39" s="98">
        <v>698302</v>
      </c>
      <c r="M39" s="95">
        <v>666036</v>
      </c>
      <c r="N39" s="95">
        <v>647089</v>
      </c>
      <c r="O39" s="95">
        <v>622871</v>
      </c>
      <c r="P39" s="95">
        <v>629250</v>
      </c>
      <c r="Q39" s="126">
        <v>601589</v>
      </c>
      <c r="R39" s="127">
        <v>660774</v>
      </c>
      <c r="S39" s="95">
        <v>590826</v>
      </c>
      <c r="T39" s="121">
        <f t="shared" si="1"/>
        <v>667860.16666666663</v>
      </c>
    </row>
    <row r="40" spans="2:20" ht="15" customHeight="1" x14ac:dyDescent="0.15">
      <c r="B40" s="181"/>
      <c r="C40" s="30"/>
      <c r="D40" s="183" t="s">
        <v>218</v>
      </c>
      <c r="E40" s="184"/>
      <c r="F40" s="49"/>
      <c r="G40" s="90">
        <f t="shared" si="2"/>
        <v>17678526</v>
      </c>
      <c r="H40" s="95">
        <v>1594350</v>
      </c>
      <c r="I40" s="95">
        <v>695366</v>
      </c>
      <c r="J40" s="95">
        <v>2513367</v>
      </c>
      <c r="K40" s="97">
        <v>1454634</v>
      </c>
      <c r="L40" s="98">
        <v>1641640</v>
      </c>
      <c r="M40" s="95">
        <v>1503565</v>
      </c>
      <c r="N40" s="95">
        <v>1465119</v>
      </c>
      <c r="O40" s="95">
        <v>1372156</v>
      </c>
      <c r="P40" s="95">
        <v>1376270</v>
      </c>
      <c r="Q40" s="126">
        <v>1334739</v>
      </c>
      <c r="R40" s="127">
        <v>1431464</v>
      </c>
      <c r="S40" s="95">
        <v>1295856</v>
      </c>
      <c r="T40" s="121">
        <f t="shared" si="1"/>
        <v>1567153.6666666667</v>
      </c>
    </row>
    <row r="41" spans="2:20" ht="15" customHeight="1" x14ac:dyDescent="0.15">
      <c r="B41" s="181"/>
      <c r="C41" s="30"/>
      <c r="D41" s="185"/>
      <c r="E41" s="186"/>
      <c r="F41" s="46" t="s">
        <v>205</v>
      </c>
      <c r="G41" s="90">
        <f t="shared" si="2"/>
        <v>9918966</v>
      </c>
      <c r="H41" s="95">
        <v>923228</v>
      </c>
      <c r="I41" s="95">
        <v>335726</v>
      </c>
      <c r="J41" s="95">
        <v>1517336</v>
      </c>
      <c r="K41" s="97">
        <v>838604</v>
      </c>
      <c r="L41" s="98">
        <v>943338</v>
      </c>
      <c r="M41" s="95">
        <v>837529</v>
      </c>
      <c r="N41" s="95">
        <v>818030</v>
      </c>
      <c r="O41" s="95">
        <v>749285</v>
      </c>
      <c r="P41" s="95">
        <v>747020</v>
      </c>
      <c r="Q41" s="126">
        <v>733150</v>
      </c>
      <c r="R41" s="127">
        <v>770690</v>
      </c>
      <c r="S41" s="95">
        <v>705030</v>
      </c>
      <c r="T41" s="121">
        <f t="shared" si="1"/>
        <v>899293.5</v>
      </c>
    </row>
    <row r="42" spans="2:20" ht="15" customHeight="1" x14ac:dyDescent="0.15">
      <c r="B42" s="181"/>
      <c r="C42" s="30"/>
      <c r="D42" s="187"/>
      <c r="E42" s="188"/>
      <c r="F42" s="46" t="s">
        <v>206</v>
      </c>
      <c r="G42" s="90">
        <f t="shared" si="2"/>
        <v>7759560</v>
      </c>
      <c r="H42" s="95">
        <v>671122</v>
      </c>
      <c r="I42" s="95">
        <v>359640</v>
      </c>
      <c r="J42" s="95">
        <v>996031</v>
      </c>
      <c r="K42" s="97">
        <v>616030</v>
      </c>
      <c r="L42" s="98">
        <v>698302</v>
      </c>
      <c r="M42" s="95">
        <v>666036</v>
      </c>
      <c r="N42" s="95">
        <v>647089</v>
      </c>
      <c r="O42" s="95">
        <v>622871</v>
      </c>
      <c r="P42" s="95">
        <v>629250</v>
      </c>
      <c r="Q42" s="126">
        <v>601589</v>
      </c>
      <c r="R42" s="127">
        <v>660774</v>
      </c>
      <c r="S42" s="95">
        <v>590826</v>
      </c>
      <c r="T42" s="121">
        <f t="shared" si="1"/>
        <v>667860.16666666663</v>
      </c>
    </row>
    <row r="43" spans="2:20" ht="15" customHeight="1" x14ac:dyDescent="0.15">
      <c r="B43" s="181"/>
      <c r="C43" s="47" t="s">
        <v>219</v>
      </c>
      <c r="D43" s="44"/>
      <c r="E43" s="52"/>
      <c r="F43" s="49"/>
      <c r="G43" s="90">
        <f t="shared" si="2"/>
        <v>29598169</v>
      </c>
      <c r="H43" s="95">
        <v>2450426</v>
      </c>
      <c r="I43" s="95">
        <v>2276608</v>
      </c>
      <c r="J43" s="95">
        <v>2773370</v>
      </c>
      <c r="K43" s="97">
        <v>2570710</v>
      </c>
      <c r="L43" s="98">
        <v>2731597</v>
      </c>
      <c r="M43" s="95">
        <v>2382369</v>
      </c>
      <c r="N43" s="95">
        <v>2482106</v>
      </c>
      <c r="O43" s="95">
        <v>2488820</v>
      </c>
      <c r="P43" s="95">
        <v>2284583</v>
      </c>
      <c r="Q43" s="126">
        <v>2432123</v>
      </c>
      <c r="R43" s="127">
        <v>2532277</v>
      </c>
      <c r="S43" s="95">
        <v>2193180</v>
      </c>
      <c r="T43" s="121">
        <f t="shared" si="1"/>
        <v>2530846.6666666665</v>
      </c>
    </row>
    <row r="44" spans="2:20" ht="15" customHeight="1" x14ac:dyDescent="0.15">
      <c r="B44" s="181"/>
      <c r="C44" s="51"/>
      <c r="D44" s="53"/>
      <c r="E44" s="53"/>
      <c r="F44" s="46" t="s">
        <v>205</v>
      </c>
      <c r="G44" s="90">
        <f t="shared" si="2"/>
        <v>19446628</v>
      </c>
      <c r="H44" s="95">
        <v>1651294</v>
      </c>
      <c r="I44" s="95">
        <v>1511146</v>
      </c>
      <c r="J44" s="95">
        <v>1853208</v>
      </c>
      <c r="K44" s="97">
        <v>1707900</v>
      </c>
      <c r="L44" s="98">
        <v>1820126</v>
      </c>
      <c r="M44" s="95">
        <v>1553874</v>
      </c>
      <c r="N44" s="95">
        <v>1594875</v>
      </c>
      <c r="O44" s="95">
        <v>1624985</v>
      </c>
      <c r="P44" s="95">
        <v>1475775</v>
      </c>
      <c r="Q44" s="126">
        <v>1587295</v>
      </c>
      <c r="R44" s="127">
        <v>1632405</v>
      </c>
      <c r="S44" s="95">
        <v>1433745</v>
      </c>
      <c r="T44" s="121">
        <f t="shared" si="1"/>
        <v>1682924.6666666667</v>
      </c>
    </row>
    <row r="45" spans="2:20" ht="15" customHeight="1" x14ac:dyDescent="0.15">
      <c r="B45" s="181"/>
      <c r="C45" s="51"/>
      <c r="D45" s="53"/>
      <c r="E45" s="53"/>
      <c r="F45" s="46" t="s">
        <v>206</v>
      </c>
      <c r="G45" s="90">
        <f t="shared" si="2"/>
        <v>10151541</v>
      </c>
      <c r="H45" s="95">
        <v>799132</v>
      </c>
      <c r="I45" s="95">
        <v>765462</v>
      </c>
      <c r="J45" s="95">
        <v>920162</v>
      </c>
      <c r="K45" s="97">
        <v>862810</v>
      </c>
      <c r="L45" s="98">
        <v>911471</v>
      </c>
      <c r="M45" s="95">
        <v>828495</v>
      </c>
      <c r="N45" s="95">
        <v>887231</v>
      </c>
      <c r="O45" s="95">
        <v>863835</v>
      </c>
      <c r="P45" s="95">
        <v>808808</v>
      </c>
      <c r="Q45" s="126">
        <v>844828</v>
      </c>
      <c r="R45" s="127">
        <v>899872</v>
      </c>
      <c r="S45" s="95">
        <v>759435</v>
      </c>
      <c r="T45" s="121">
        <f t="shared" si="1"/>
        <v>847922</v>
      </c>
    </row>
    <row r="46" spans="2:20" ht="15" customHeight="1" x14ac:dyDescent="0.15">
      <c r="B46" s="181"/>
      <c r="C46" s="30"/>
      <c r="D46" s="130" t="s">
        <v>220</v>
      </c>
      <c r="E46" s="137"/>
      <c r="F46" s="49"/>
      <c r="G46" s="90">
        <f t="shared" si="2"/>
        <v>25011026</v>
      </c>
      <c r="H46" s="95">
        <v>2035326</v>
      </c>
      <c r="I46" s="95">
        <v>1958123</v>
      </c>
      <c r="J46" s="95">
        <v>2263148</v>
      </c>
      <c r="K46" s="97">
        <v>2196650</v>
      </c>
      <c r="L46" s="98">
        <v>2321199</v>
      </c>
      <c r="M46" s="95">
        <v>2028706</v>
      </c>
      <c r="N46" s="95">
        <v>2134472</v>
      </c>
      <c r="O46" s="95">
        <v>2094517</v>
      </c>
      <c r="P46" s="95">
        <v>1933280</v>
      </c>
      <c r="Q46" s="126">
        <v>2011556</v>
      </c>
      <c r="R46" s="127">
        <v>2175741</v>
      </c>
      <c r="S46" s="95">
        <v>1858308</v>
      </c>
      <c r="T46" s="121">
        <f t="shared" si="1"/>
        <v>2133858.6666666665</v>
      </c>
    </row>
    <row r="47" spans="2:20" ht="15" customHeight="1" x14ac:dyDescent="0.15">
      <c r="B47" s="181"/>
      <c r="C47" s="30"/>
      <c r="D47" s="140"/>
      <c r="E47" s="175"/>
      <c r="F47" s="46" t="s">
        <v>205</v>
      </c>
      <c r="G47" s="90">
        <f t="shared" si="2"/>
        <v>15029400</v>
      </c>
      <c r="H47" s="95">
        <v>1247516</v>
      </c>
      <c r="I47" s="95">
        <v>1203408</v>
      </c>
      <c r="J47" s="95">
        <v>1377408</v>
      </c>
      <c r="K47" s="97">
        <v>1348440</v>
      </c>
      <c r="L47" s="98">
        <v>1423514</v>
      </c>
      <c r="M47" s="95">
        <v>1213864</v>
      </c>
      <c r="N47" s="95">
        <v>1260340</v>
      </c>
      <c r="O47" s="95">
        <v>1244685</v>
      </c>
      <c r="P47" s="95">
        <v>1138075</v>
      </c>
      <c r="Q47" s="126">
        <v>1185075</v>
      </c>
      <c r="R47" s="127">
        <v>1281625</v>
      </c>
      <c r="S47" s="95">
        <v>1105450</v>
      </c>
      <c r="T47" s="121">
        <f t="shared" si="1"/>
        <v>1302358.3333333333</v>
      </c>
    </row>
    <row r="48" spans="2:20" ht="15" customHeight="1" x14ac:dyDescent="0.15">
      <c r="B48" s="181"/>
      <c r="C48" s="30"/>
      <c r="D48" s="176"/>
      <c r="E48" s="177"/>
      <c r="F48" s="46" t="s">
        <v>206</v>
      </c>
      <c r="G48" s="90">
        <f t="shared" si="2"/>
        <v>9981626</v>
      </c>
      <c r="H48" s="95">
        <v>787810</v>
      </c>
      <c r="I48" s="95">
        <v>754715</v>
      </c>
      <c r="J48" s="95">
        <v>885740</v>
      </c>
      <c r="K48" s="97">
        <v>848210</v>
      </c>
      <c r="L48" s="98">
        <v>897685</v>
      </c>
      <c r="M48" s="95">
        <v>814842</v>
      </c>
      <c r="N48" s="95">
        <v>874132</v>
      </c>
      <c r="O48" s="95">
        <v>849832</v>
      </c>
      <c r="P48" s="95">
        <v>795205</v>
      </c>
      <c r="Q48" s="126">
        <v>826481</v>
      </c>
      <c r="R48" s="127">
        <v>894116</v>
      </c>
      <c r="S48" s="95">
        <v>752858</v>
      </c>
      <c r="T48" s="121">
        <f t="shared" si="1"/>
        <v>831500.33333333337</v>
      </c>
    </row>
    <row r="49" spans="2:20" ht="15" customHeight="1" x14ac:dyDescent="0.15">
      <c r="B49" s="181"/>
      <c r="C49" s="30"/>
      <c r="D49" s="130" t="s">
        <v>221</v>
      </c>
      <c r="E49" s="137"/>
      <c r="F49" s="49"/>
      <c r="G49" s="90">
        <f t="shared" si="2"/>
        <v>4239717</v>
      </c>
      <c r="H49" s="95">
        <v>384038</v>
      </c>
      <c r="I49" s="95">
        <v>318485</v>
      </c>
      <c r="J49" s="95">
        <v>449100</v>
      </c>
      <c r="K49" s="97">
        <v>344000</v>
      </c>
      <c r="L49" s="98">
        <v>379336</v>
      </c>
      <c r="M49" s="95">
        <v>288253</v>
      </c>
      <c r="N49" s="95">
        <v>284334</v>
      </c>
      <c r="O49" s="95">
        <v>328893</v>
      </c>
      <c r="P49" s="95">
        <v>351303</v>
      </c>
      <c r="Q49" s="126">
        <v>420567</v>
      </c>
      <c r="R49" s="127">
        <v>356536</v>
      </c>
      <c r="S49" s="95">
        <v>334872</v>
      </c>
      <c r="T49" s="121">
        <f t="shared" si="1"/>
        <v>360535.33333333331</v>
      </c>
    </row>
    <row r="50" spans="2:20" ht="15" customHeight="1" x14ac:dyDescent="0.15">
      <c r="B50" s="181"/>
      <c r="C50" s="30"/>
      <c r="D50" s="140"/>
      <c r="E50" s="175"/>
      <c r="F50" s="46" t="s">
        <v>205</v>
      </c>
      <c r="G50" s="90">
        <f t="shared" si="2"/>
        <v>4069802</v>
      </c>
      <c r="H50" s="95">
        <v>372716</v>
      </c>
      <c r="I50" s="95">
        <v>307738</v>
      </c>
      <c r="J50" s="95">
        <v>414678</v>
      </c>
      <c r="K50" s="97">
        <v>329400</v>
      </c>
      <c r="L50" s="98">
        <v>365550</v>
      </c>
      <c r="M50" s="95">
        <v>274600</v>
      </c>
      <c r="N50" s="95">
        <v>271235</v>
      </c>
      <c r="O50" s="95">
        <v>314890</v>
      </c>
      <c r="P50" s="95">
        <v>337700</v>
      </c>
      <c r="Q50" s="126">
        <v>402220</v>
      </c>
      <c r="R50" s="127">
        <v>350780</v>
      </c>
      <c r="S50" s="95">
        <v>328295</v>
      </c>
      <c r="T50" s="121">
        <f t="shared" si="1"/>
        <v>344113.66666666669</v>
      </c>
    </row>
    <row r="51" spans="2:20" ht="15" customHeight="1" x14ac:dyDescent="0.15">
      <c r="B51" s="181"/>
      <c r="C51" s="30"/>
      <c r="D51" s="176"/>
      <c r="E51" s="177"/>
      <c r="F51" s="46" t="s">
        <v>206</v>
      </c>
      <c r="G51" s="90">
        <f t="shared" si="2"/>
        <v>169915</v>
      </c>
      <c r="H51" s="95">
        <v>11322</v>
      </c>
      <c r="I51" s="95">
        <v>10747</v>
      </c>
      <c r="J51" s="95">
        <v>34422</v>
      </c>
      <c r="K51" s="97">
        <v>14600</v>
      </c>
      <c r="L51" s="98">
        <v>13786</v>
      </c>
      <c r="M51" s="95">
        <v>13653</v>
      </c>
      <c r="N51" s="95">
        <v>13099</v>
      </c>
      <c r="O51" s="95">
        <v>14003</v>
      </c>
      <c r="P51" s="95">
        <v>13603</v>
      </c>
      <c r="Q51" s="126">
        <v>18347</v>
      </c>
      <c r="R51" s="127">
        <v>5756</v>
      </c>
      <c r="S51" s="95">
        <v>6577</v>
      </c>
      <c r="T51" s="121">
        <f t="shared" si="1"/>
        <v>16421.666666666668</v>
      </c>
    </row>
    <row r="52" spans="2:20" ht="15" customHeight="1" x14ac:dyDescent="0.15">
      <c r="B52" s="181"/>
      <c r="C52" s="30"/>
      <c r="D52" s="130" t="s">
        <v>222</v>
      </c>
      <c r="E52" s="137"/>
      <c r="F52" s="49"/>
      <c r="G52" s="90">
        <f t="shared" si="2"/>
        <v>0</v>
      </c>
      <c r="H52" s="95">
        <v>0</v>
      </c>
      <c r="I52" s="95">
        <v>0</v>
      </c>
      <c r="J52" s="95">
        <v>0</v>
      </c>
      <c r="K52" s="97">
        <v>0</v>
      </c>
      <c r="L52" s="98">
        <v>0</v>
      </c>
      <c r="M52" s="95">
        <v>0</v>
      </c>
      <c r="N52" s="95">
        <v>0</v>
      </c>
      <c r="O52" s="95">
        <v>0</v>
      </c>
      <c r="P52" s="95">
        <v>0</v>
      </c>
      <c r="Q52" s="126">
        <v>0</v>
      </c>
      <c r="R52" s="127">
        <v>0</v>
      </c>
      <c r="S52" s="95">
        <v>0</v>
      </c>
      <c r="T52" s="121">
        <f t="shared" si="1"/>
        <v>0</v>
      </c>
    </row>
    <row r="53" spans="2:20" ht="15" customHeight="1" x14ac:dyDescent="0.15">
      <c r="B53" s="181"/>
      <c r="C53" s="30"/>
      <c r="D53" s="140"/>
      <c r="E53" s="175"/>
      <c r="F53" s="46" t="s">
        <v>205</v>
      </c>
      <c r="G53" s="90">
        <f t="shared" si="2"/>
        <v>0</v>
      </c>
      <c r="H53" s="95">
        <v>0</v>
      </c>
      <c r="I53" s="95">
        <v>0</v>
      </c>
      <c r="J53" s="95">
        <v>0</v>
      </c>
      <c r="K53" s="97">
        <v>0</v>
      </c>
      <c r="L53" s="98">
        <v>0</v>
      </c>
      <c r="M53" s="95">
        <v>0</v>
      </c>
      <c r="N53" s="95">
        <v>0</v>
      </c>
      <c r="O53" s="95">
        <v>0</v>
      </c>
      <c r="P53" s="95">
        <v>0</v>
      </c>
      <c r="Q53" s="126">
        <v>0</v>
      </c>
      <c r="R53" s="127">
        <v>0</v>
      </c>
      <c r="S53" s="95">
        <v>0</v>
      </c>
      <c r="T53" s="121">
        <f t="shared" si="1"/>
        <v>0</v>
      </c>
    </row>
    <row r="54" spans="2:20" ht="15" customHeight="1" x14ac:dyDescent="0.15">
      <c r="B54" s="181"/>
      <c r="C54" s="30"/>
      <c r="D54" s="176"/>
      <c r="E54" s="177"/>
      <c r="F54" s="46" t="s">
        <v>206</v>
      </c>
      <c r="G54" s="90">
        <f t="shared" si="2"/>
        <v>0</v>
      </c>
      <c r="H54" s="95">
        <v>0</v>
      </c>
      <c r="I54" s="95">
        <v>0</v>
      </c>
      <c r="J54" s="95">
        <v>0</v>
      </c>
      <c r="K54" s="97">
        <v>0</v>
      </c>
      <c r="L54" s="98">
        <v>0</v>
      </c>
      <c r="M54" s="95">
        <v>0</v>
      </c>
      <c r="N54" s="95">
        <v>0</v>
      </c>
      <c r="O54" s="95">
        <v>0</v>
      </c>
      <c r="P54" s="95">
        <v>0</v>
      </c>
      <c r="Q54" s="126">
        <v>0</v>
      </c>
      <c r="R54" s="127">
        <v>0</v>
      </c>
      <c r="S54" s="95">
        <v>0</v>
      </c>
      <c r="T54" s="121">
        <f t="shared" si="1"/>
        <v>0</v>
      </c>
    </row>
    <row r="55" spans="2:20" ht="15" customHeight="1" x14ac:dyDescent="0.15">
      <c r="B55" s="181"/>
      <c r="C55" s="30"/>
      <c r="D55" s="130" t="s">
        <v>223</v>
      </c>
      <c r="E55" s="137"/>
      <c r="F55" s="49"/>
      <c r="G55" s="90">
        <f t="shared" si="2"/>
        <v>347426</v>
      </c>
      <c r="H55" s="95">
        <v>31062</v>
      </c>
      <c r="I55" s="95">
        <v>0</v>
      </c>
      <c r="J55" s="95">
        <v>61122</v>
      </c>
      <c r="K55" s="97">
        <v>30060</v>
      </c>
      <c r="L55" s="98">
        <v>31062</v>
      </c>
      <c r="M55" s="95">
        <v>65410</v>
      </c>
      <c r="N55" s="95">
        <v>63300</v>
      </c>
      <c r="O55" s="95">
        <v>65410</v>
      </c>
      <c r="P55" s="95">
        <v>0</v>
      </c>
      <c r="Q55" s="126">
        <v>0</v>
      </c>
      <c r="R55" s="127">
        <v>0</v>
      </c>
      <c r="S55" s="95">
        <v>0</v>
      </c>
      <c r="T55" s="121">
        <f t="shared" si="1"/>
        <v>36452.666666666664</v>
      </c>
    </row>
    <row r="56" spans="2:20" ht="15" customHeight="1" x14ac:dyDescent="0.15">
      <c r="B56" s="181"/>
      <c r="C56" s="30"/>
      <c r="D56" s="140"/>
      <c r="E56" s="175"/>
      <c r="F56" s="46" t="s">
        <v>205</v>
      </c>
      <c r="G56" s="90">
        <f t="shared" si="2"/>
        <v>347426</v>
      </c>
      <c r="H56" s="95">
        <v>31062</v>
      </c>
      <c r="I56" s="95">
        <v>0</v>
      </c>
      <c r="J56" s="95">
        <v>61122</v>
      </c>
      <c r="K56" s="97">
        <v>30060</v>
      </c>
      <c r="L56" s="98">
        <v>31062</v>
      </c>
      <c r="M56" s="95">
        <v>65410</v>
      </c>
      <c r="N56" s="95">
        <v>63300</v>
      </c>
      <c r="O56" s="95">
        <v>65410</v>
      </c>
      <c r="P56" s="95">
        <v>0</v>
      </c>
      <c r="Q56" s="126">
        <v>0</v>
      </c>
      <c r="R56" s="127">
        <v>0</v>
      </c>
      <c r="S56" s="95">
        <v>0</v>
      </c>
      <c r="T56" s="121">
        <f t="shared" si="1"/>
        <v>36452.666666666664</v>
      </c>
    </row>
    <row r="57" spans="2:20" ht="15" customHeight="1" x14ac:dyDescent="0.15">
      <c r="B57" s="182"/>
      <c r="C57" s="32"/>
      <c r="D57" s="176"/>
      <c r="E57" s="177"/>
      <c r="F57" s="46" t="s">
        <v>206</v>
      </c>
      <c r="G57" s="90">
        <f t="shared" si="2"/>
        <v>0</v>
      </c>
      <c r="H57" s="95">
        <v>0</v>
      </c>
      <c r="I57" s="95">
        <v>0</v>
      </c>
      <c r="J57" s="95">
        <v>0</v>
      </c>
      <c r="K57" s="97">
        <v>0</v>
      </c>
      <c r="L57" s="98">
        <v>0</v>
      </c>
      <c r="M57" s="95">
        <v>0</v>
      </c>
      <c r="N57" s="95">
        <v>0</v>
      </c>
      <c r="O57" s="95">
        <v>0</v>
      </c>
      <c r="P57" s="95">
        <v>0</v>
      </c>
      <c r="Q57" s="126">
        <v>0</v>
      </c>
      <c r="R57" s="127">
        <v>0</v>
      </c>
      <c r="S57" s="95">
        <v>0</v>
      </c>
      <c r="T57" s="121">
        <f t="shared" si="1"/>
        <v>0</v>
      </c>
    </row>
    <row r="58" spans="2:20" ht="15" customHeight="1" x14ac:dyDescent="0.15">
      <c r="G58" s="67"/>
      <c r="H58" s="67"/>
      <c r="I58" s="67"/>
      <c r="J58" s="67"/>
      <c r="K58" s="68"/>
      <c r="L58" s="68"/>
      <c r="M58" s="67"/>
      <c r="N58" s="67"/>
      <c r="O58" s="67"/>
      <c r="P58" s="67"/>
      <c r="Q58" s="67"/>
      <c r="R58" s="67"/>
      <c r="S58" s="67"/>
    </row>
    <row r="59" spans="2:20" ht="15" customHeight="1" x14ac:dyDescent="0.15">
      <c r="E59" s="56" t="s">
        <v>233</v>
      </c>
      <c r="F59" s="69"/>
      <c r="G59" s="76">
        <f>SUM(G14,G17,G20,G23)</f>
        <v>1009841</v>
      </c>
      <c r="H59" s="74">
        <f>SUM(H14,H17,H20,H23)</f>
        <v>163823</v>
      </c>
      <c r="I59" s="74">
        <f t="shared" ref="I59:O59" si="3">SUM(I14,I17,I20,I23)</f>
        <v>124549</v>
      </c>
      <c r="J59" s="74">
        <f t="shared" si="3"/>
        <v>74091</v>
      </c>
      <c r="K59" s="74">
        <f>SUM(K14,K17,K20,K23)</f>
        <v>133537</v>
      </c>
      <c r="L59" s="74">
        <f t="shared" si="3"/>
        <v>159466</v>
      </c>
      <c r="M59" s="74">
        <f t="shared" si="3"/>
        <v>42684</v>
      </c>
      <c r="N59" s="74">
        <f t="shared" si="3"/>
        <v>121915</v>
      </c>
      <c r="O59" s="74">
        <f t="shared" si="3"/>
        <v>79233</v>
      </c>
      <c r="P59" s="74">
        <f t="shared" ref="P59:S59" si="4">SUM(P14,P17,P20,P23)</f>
        <v>11876</v>
      </c>
      <c r="Q59" s="74">
        <f t="shared" si="4"/>
        <v>38448</v>
      </c>
      <c r="R59" s="74">
        <f t="shared" si="4"/>
        <v>26776</v>
      </c>
      <c r="S59" s="74">
        <f t="shared" si="4"/>
        <v>33443</v>
      </c>
    </row>
    <row r="60" spans="2:20" ht="15" customHeight="1" x14ac:dyDescent="0.15">
      <c r="E60" s="56" t="s">
        <v>234</v>
      </c>
      <c r="F60" s="69"/>
      <c r="G60" s="76">
        <f>SUM(G15,G18,G21,G24)</f>
        <v>839066</v>
      </c>
      <c r="H60" s="74">
        <f>SUM(H15,H18,H21,H24)</f>
        <v>116015</v>
      </c>
      <c r="I60" s="74">
        <f t="shared" ref="I60:O60" si="5">SUM(I15,I18,I21,I24)</f>
        <v>93012</v>
      </c>
      <c r="J60" s="74">
        <f t="shared" si="5"/>
        <v>43796</v>
      </c>
      <c r="K60" s="74">
        <f>SUM(K15,K18,K21,K24)</f>
        <v>71565</v>
      </c>
      <c r="L60" s="74">
        <f t="shared" si="5"/>
        <v>84641</v>
      </c>
      <c r="M60" s="74">
        <f t="shared" si="5"/>
        <v>49613</v>
      </c>
      <c r="N60" s="74">
        <f t="shared" si="5"/>
        <v>128812</v>
      </c>
      <c r="O60" s="74">
        <f t="shared" si="5"/>
        <v>87757</v>
      </c>
      <c r="P60" s="74">
        <f t="shared" ref="P60:S60" si="6">SUM(P15,P18,P21,P24)</f>
        <v>26601</v>
      </c>
      <c r="Q60" s="74">
        <f t="shared" si="6"/>
        <v>38194</v>
      </c>
      <c r="R60" s="74">
        <f t="shared" si="6"/>
        <v>43993</v>
      </c>
      <c r="S60" s="74">
        <f t="shared" si="6"/>
        <v>55067</v>
      </c>
    </row>
    <row r="61" spans="2:20" ht="15" customHeight="1" x14ac:dyDescent="0.15">
      <c r="E61" s="36" t="s">
        <v>18</v>
      </c>
      <c r="F61" s="69"/>
      <c r="G61" s="76">
        <f>給付集計表!F72-特定入所!G46</f>
        <v>182966333</v>
      </c>
      <c r="H61" s="74">
        <f>給付集計表!G72-特定入所!H46</f>
        <v>14608001</v>
      </c>
      <c r="I61" s="74">
        <f>給付集計表!H72-特定入所!I46</f>
        <v>12857805</v>
      </c>
      <c r="J61" s="74">
        <f>給付集計表!I72-特定入所!J46</f>
        <v>17134439</v>
      </c>
      <c r="K61" s="74">
        <f>給付集計表!J72-特定入所!K46</f>
        <v>15678971</v>
      </c>
      <c r="L61" s="74">
        <f>給付集計表!K72-特定入所!L46</f>
        <v>16326981</v>
      </c>
      <c r="M61" s="74">
        <f>給付集計表!L72-特定入所!M46</f>
        <v>15181281</v>
      </c>
      <c r="N61" s="74">
        <f>給付集計表!M72-特定入所!N46</f>
        <v>15312624</v>
      </c>
      <c r="O61" s="74">
        <f>給付集計表!N72-特定入所!O46</f>
        <v>15527145</v>
      </c>
      <c r="P61" s="74">
        <f>給付集計表!O72-特定入所!P46</f>
        <v>14801605</v>
      </c>
      <c r="Q61" s="74">
        <f>給付集計表!P72-特定入所!Q46</f>
        <v>15143511</v>
      </c>
      <c r="R61" s="74">
        <f>給付集計表!Q72-特定入所!R46</f>
        <v>16268241</v>
      </c>
      <c r="S61" s="74">
        <f>給付集計表!R72-特定入所!S46</f>
        <v>14125729</v>
      </c>
    </row>
    <row r="62" spans="2:20" ht="15" customHeight="1" x14ac:dyDescent="0.15">
      <c r="E62" s="42" t="s">
        <v>236</v>
      </c>
      <c r="F62" s="69"/>
      <c r="G62" s="77">
        <f>給付集計表!F73-特定入所!G49</f>
        <v>97209190</v>
      </c>
      <c r="H62" s="78">
        <f>給付集計表!G73-特定入所!H49</f>
        <v>8082639</v>
      </c>
      <c r="I62" s="78">
        <f>給付集計表!H73-特定入所!I49</f>
        <v>7521893</v>
      </c>
      <c r="J62" s="78">
        <f>給付集計表!I73-特定入所!J49</f>
        <v>8706666</v>
      </c>
      <c r="K62" s="78">
        <f>給付集計表!J73-特定入所!K49</f>
        <v>7372746</v>
      </c>
      <c r="L62" s="78">
        <f>給付集計表!K73-特定入所!L49</f>
        <v>7111610</v>
      </c>
      <c r="M62" s="78">
        <f>給付集計表!L73-特定入所!M49</f>
        <v>7823385</v>
      </c>
      <c r="N62" s="78">
        <f>給付集計表!M73-特定入所!N49</f>
        <v>7474347</v>
      </c>
      <c r="O62" s="78">
        <f>給付集計表!N73-特定入所!O49</f>
        <v>8880984</v>
      </c>
      <c r="P62" s="78">
        <f>給付集計表!O73-特定入所!P49</f>
        <v>8645724</v>
      </c>
      <c r="Q62" s="78">
        <f>給付集計表!P73-特定入所!Q49</f>
        <v>9431226</v>
      </c>
      <c r="R62" s="78">
        <f>給付集計表!Q73-特定入所!R49</f>
        <v>7990209</v>
      </c>
      <c r="S62" s="78">
        <f>給付集計表!R73-特定入所!S49</f>
        <v>8167761</v>
      </c>
    </row>
    <row r="63" spans="2:20" ht="15" customHeight="1" x14ac:dyDescent="0.15">
      <c r="E63" s="36" t="s">
        <v>237</v>
      </c>
      <c r="F63" s="69"/>
      <c r="G63" s="76">
        <f>給付集計表!F75-特定入所!G55</f>
        <v>3570723</v>
      </c>
      <c r="H63" s="74">
        <f>給付集計表!G75-特定入所!H55</f>
        <v>355752</v>
      </c>
      <c r="I63" s="74">
        <f>給付集計表!H75-特定入所!I55</f>
        <v>0</v>
      </c>
      <c r="J63" s="74">
        <f>給付集計表!I75-特定入所!J55</f>
        <v>572868</v>
      </c>
      <c r="K63" s="74">
        <f>給付集計表!J75-特定入所!K55</f>
        <v>281736</v>
      </c>
      <c r="L63" s="74">
        <f>給付集計表!K75-特定入所!L55</f>
        <v>419769</v>
      </c>
      <c r="M63" s="74">
        <f>給付集計表!L75-特定入所!M55</f>
        <v>653130</v>
      </c>
      <c r="N63" s="74">
        <f>給付集計表!M75-特定入所!N55</f>
        <v>632709</v>
      </c>
      <c r="O63" s="74">
        <f>給付集計表!N75-特定入所!O55</f>
        <v>654759</v>
      </c>
      <c r="P63" s="74">
        <f>給付集計表!O75-特定入所!P55</f>
        <v>0</v>
      </c>
      <c r="Q63" s="74">
        <f>給付集計表!P75-特定入所!Q55</f>
        <v>0</v>
      </c>
      <c r="R63" s="74">
        <f>給付集計表!Q75-特定入所!R55</f>
        <v>0</v>
      </c>
      <c r="S63" s="74">
        <f>給付集計表!R75-特定入所!S55</f>
        <v>0</v>
      </c>
    </row>
    <row r="64" spans="2:20" ht="15" customHeight="1" x14ac:dyDescent="0.15">
      <c r="E64" s="56" t="s">
        <v>30</v>
      </c>
      <c r="F64" s="69"/>
      <c r="G64" s="76">
        <f>給付集計表!F30-特定入所!G25</f>
        <v>253712</v>
      </c>
      <c r="H64" s="74">
        <f>給付集計表!G30-特定入所!H25</f>
        <v>36855</v>
      </c>
      <c r="I64" s="74">
        <f>給付集計表!H30-特定入所!I25</f>
        <v>28462</v>
      </c>
      <c r="J64" s="74">
        <f>給付集計表!I30-特定入所!J25</f>
        <v>19600</v>
      </c>
      <c r="K64" s="74">
        <f>給付集計表!J30-特定入所!K25</f>
        <v>0</v>
      </c>
      <c r="L64" s="74">
        <f>給付集計表!K30-特定入所!L25</f>
        <v>0</v>
      </c>
      <c r="M64" s="74">
        <f>給付集計表!L30-特定入所!M25</f>
        <v>28800</v>
      </c>
      <c r="N64" s="74">
        <f>給付集計表!M30-特定入所!N25</f>
        <v>0</v>
      </c>
      <c r="O64" s="74">
        <f>給付集計表!N30-特定入所!O25</f>
        <v>0</v>
      </c>
      <c r="P64" s="74">
        <f>給付集計表!O30-特定入所!P25</f>
        <v>0</v>
      </c>
      <c r="Q64" s="74">
        <f>給付集計表!P30-特定入所!Q25</f>
        <v>0</v>
      </c>
      <c r="R64" s="74">
        <f>給付集計表!Q30-特定入所!R25</f>
        <v>79983</v>
      </c>
      <c r="S64" s="74">
        <f>給付集計表!R30-特定入所!S25</f>
        <v>60012</v>
      </c>
    </row>
    <row r="65" spans="5:19" ht="15" customHeight="1" x14ac:dyDescent="0.15">
      <c r="E65" s="43" t="s">
        <v>238</v>
      </c>
      <c r="F65" s="69"/>
      <c r="G65" s="76">
        <f>給付集計表!F31+給付集計表!F32+給付集計表!F33-特定入所!G28-特定入所!G31-特定入所!G34</f>
        <v>46323</v>
      </c>
      <c r="H65" s="74">
        <f>給付集計表!G31+給付集計表!G32+給付集計表!G33-特定入所!H28-特定入所!H31-特定入所!H34</f>
        <v>0</v>
      </c>
      <c r="I65" s="74">
        <f>給付集計表!H31+給付集計表!H32+給付集計表!H33-特定入所!I28-特定入所!I31-特定入所!I34</f>
        <v>0</v>
      </c>
      <c r="J65" s="74">
        <f>給付集計表!I31+給付集計表!I32+給付集計表!I33-特定入所!J28-特定入所!J31-特定入所!J34</f>
        <v>0</v>
      </c>
      <c r="K65" s="74">
        <f>給付集計表!J31+給付集計表!J32+給付集計表!J33-特定入所!K28-特定入所!K31-特定入所!K34</f>
        <v>0</v>
      </c>
      <c r="L65" s="74">
        <f>給付集計表!K31+給付集計表!K32+給付集計表!K33-特定入所!L28-特定入所!L31-特定入所!L34</f>
        <v>0</v>
      </c>
      <c r="M65" s="74">
        <f>給付集計表!L31+給付集計表!L32+給付集計表!L33-特定入所!M28-特定入所!M31-特定入所!M34</f>
        <v>0</v>
      </c>
      <c r="N65" s="74">
        <f>給付集計表!M31+給付集計表!M32+給付集計表!M33-特定入所!N28-特定入所!N31-特定入所!N34</f>
        <v>0</v>
      </c>
      <c r="O65" s="74">
        <f>給付集計表!N31+給付集計表!N32+給付集計表!N33-特定入所!O28-特定入所!O31-特定入所!O34</f>
        <v>0</v>
      </c>
      <c r="P65" s="74">
        <f>給付集計表!O31+給付集計表!O32+給付集計表!O33-特定入所!P28-特定入所!P31-特定入所!P34</f>
        <v>0</v>
      </c>
      <c r="Q65" s="74">
        <f>給付集計表!P31+給付集計表!P32+給付集計表!P33-特定入所!Q28-特定入所!Q31-特定入所!Q34</f>
        <v>46323</v>
      </c>
      <c r="R65" s="74">
        <f>給付集計表!Q31+給付集計表!Q32+給付集計表!Q33-特定入所!R28-特定入所!R31-特定入所!R34</f>
        <v>0</v>
      </c>
      <c r="S65" s="74">
        <f>給付集計表!R31+給付集計表!R32+給付集計表!R33-特定入所!S28-特定入所!S31-特定入所!S34</f>
        <v>0</v>
      </c>
    </row>
    <row r="66" spans="5:19" ht="15" customHeight="1" x14ac:dyDescent="0.15">
      <c r="E66" s="56" t="s">
        <v>35</v>
      </c>
      <c r="F66" s="69"/>
      <c r="G66" s="76">
        <f>SUM(G26,G29,G32,G35)</f>
        <v>469</v>
      </c>
      <c r="H66" s="74">
        <f>SUM(H26,H29,H32,H35)</f>
        <v>0</v>
      </c>
      <c r="I66" s="74">
        <f t="shared" ref="I66:O66" si="7">SUM(I26,I29,I32,I35)</f>
        <v>0</v>
      </c>
      <c r="J66" s="74">
        <f t="shared" si="7"/>
        <v>0</v>
      </c>
      <c r="K66" s="74">
        <f>SUM(K26,K29,K32,K35)</f>
        <v>0</v>
      </c>
      <c r="L66" s="74">
        <f t="shared" si="7"/>
        <v>0</v>
      </c>
      <c r="M66" s="74">
        <f t="shared" si="7"/>
        <v>0</v>
      </c>
      <c r="N66" s="74">
        <f t="shared" si="7"/>
        <v>0</v>
      </c>
      <c r="O66" s="74">
        <f t="shared" si="7"/>
        <v>0</v>
      </c>
      <c r="P66" s="74">
        <f t="shared" ref="P66:S66" si="8">SUM(P26,P29,P32,P35)</f>
        <v>0</v>
      </c>
      <c r="Q66" s="74">
        <f t="shared" si="8"/>
        <v>0</v>
      </c>
      <c r="R66" s="74">
        <f t="shared" si="8"/>
        <v>0</v>
      </c>
      <c r="S66" s="74">
        <f t="shared" si="8"/>
        <v>469</v>
      </c>
    </row>
    <row r="67" spans="5:19" ht="15" customHeight="1" x14ac:dyDescent="0.15">
      <c r="E67" s="56" t="s">
        <v>36</v>
      </c>
      <c r="F67" s="69"/>
      <c r="G67" s="76">
        <f>SUM(G27,G30,G33,G36)</f>
        <v>1455</v>
      </c>
      <c r="H67" s="74">
        <f>SUM(H27,H30,H33,H36)</f>
        <v>0</v>
      </c>
      <c r="I67" s="74">
        <f t="shared" ref="I67:O67" si="9">SUM(I27,I30,I33,I36)</f>
        <v>0</v>
      </c>
      <c r="J67" s="74">
        <f t="shared" si="9"/>
        <v>0</v>
      </c>
      <c r="K67" s="74">
        <f>SUM(K27,K30,K33,K36)</f>
        <v>0</v>
      </c>
      <c r="L67" s="74">
        <f t="shared" si="9"/>
        <v>0</v>
      </c>
      <c r="M67" s="74">
        <f t="shared" si="9"/>
        <v>0</v>
      </c>
      <c r="N67" s="74">
        <f t="shared" si="9"/>
        <v>0</v>
      </c>
      <c r="O67" s="74">
        <f t="shared" si="9"/>
        <v>0</v>
      </c>
      <c r="P67" s="74">
        <f t="shared" ref="P67:S67" si="10">SUM(P27,P30,P33,P36)</f>
        <v>0</v>
      </c>
      <c r="Q67" s="74">
        <f t="shared" si="10"/>
        <v>0</v>
      </c>
      <c r="R67" s="74">
        <f t="shared" si="10"/>
        <v>0</v>
      </c>
      <c r="S67" s="74">
        <f t="shared" si="10"/>
        <v>1455</v>
      </c>
    </row>
    <row r="68" spans="5:19" ht="15" customHeight="1" x14ac:dyDescent="0.15">
      <c r="G68" s="79"/>
      <c r="H68" s="79"/>
      <c r="I68" s="79"/>
      <c r="J68" s="79"/>
      <c r="K68" s="80"/>
      <c r="L68" s="80"/>
      <c r="M68" s="79"/>
      <c r="N68" s="79"/>
      <c r="O68" s="79"/>
      <c r="P68" s="79"/>
      <c r="Q68" s="79"/>
      <c r="R68" s="79"/>
      <c r="S68" s="79"/>
    </row>
    <row r="69" spans="5:19" ht="15" customHeight="1" x14ac:dyDescent="0.15">
      <c r="E69" s="34"/>
      <c r="F69" s="71"/>
      <c r="G69" s="81"/>
      <c r="H69" s="82" t="s">
        <v>224</v>
      </c>
      <c r="I69" s="82" t="s">
        <v>225</v>
      </c>
      <c r="J69" s="82" t="s">
        <v>226</v>
      </c>
      <c r="K69" s="82" t="s">
        <v>227</v>
      </c>
      <c r="L69" s="82" t="s">
        <v>228</v>
      </c>
      <c r="M69" s="82" t="s">
        <v>229</v>
      </c>
      <c r="N69" s="82" t="s">
        <v>230</v>
      </c>
      <c r="O69" s="82" t="s">
        <v>231</v>
      </c>
      <c r="P69" s="82" t="s">
        <v>239</v>
      </c>
      <c r="Q69" s="82" t="s">
        <v>240</v>
      </c>
      <c r="R69" s="82" t="s">
        <v>241</v>
      </c>
      <c r="S69" s="82" t="s">
        <v>242</v>
      </c>
    </row>
    <row r="70" spans="5:19" ht="15" customHeight="1" x14ac:dyDescent="0.15">
      <c r="E70" s="33" t="s">
        <v>126</v>
      </c>
      <c r="F70" s="69"/>
      <c r="G70" s="77">
        <f>給付集計表!F27</f>
        <v>5094932</v>
      </c>
      <c r="H70" s="83">
        <f>給付集計表!G27</f>
        <v>450457</v>
      </c>
      <c r="I70" s="83">
        <f>給付集計表!H27</f>
        <v>362826</v>
      </c>
      <c r="J70" s="83">
        <f>給付集計表!I27</f>
        <v>400686</v>
      </c>
      <c r="K70" s="83">
        <f>給付集計表!J27</f>
        <v>511898</v>
      </c>
      <c r="L70" s="83">
        <f>給付集計表!K27</f>
        <v>495063</v>
      </c>
      <c r="M70" s="83">
        <f>給付集計表!L27</f>
        <v>460551</v>
      </c>
      <c r="N70" s="83">
        <f>給付集計表!M27</f>
        <v>521208</v>
      </c>
      <c r="O70" s="83">
        <f>給付集計表!N27</f>
        <v>861401</v>
      </c>
      <c r="P70" s="83">
        <f>給付集計表!O27</f>
        <v>578682</v>
      </c>
      <c r="Q70" s="83">
        <f>給付集計表!P27</f>
        <v>217197</v>
      </c>
      <c r="R70" s="83">
        <f>給付集計表!Q27</f>
        <v>195579</v>
      </c>
      <c r="S70" s="83">
        <f>給付集計表!R27</f>
        <v>39384</v>
      </c>
    </row>
    <row r="71" spans="5:19" ht="15" customHeight="1" x14ac:dyDescent="0.15">
      <c r="E71" s="33" t="s">
        <v>127</v>
      </c>
      <c r="F71" s="69"/>
      <c r="G71" s="77">
        <f>給付集計表!F28</f>
        <v>0</v>
      </c>
      <c r="H71" s="83">
        <f>給付集計表!G28</f>
        <v>0</v>
      </c>
      <c r="I71" s="83">
        <f>給付集計表!H28</f>
        <v>0</v>
      </c>
      <c r="J71" s="83">
        <f>給付集計表!I28</f>
        <v>0</v>
      </c>
      <c r="K71" s="83">
        <f>給付集計表!J28</f>
        <v>0</v>
      </c>
      <c r="L71" s="83">
        <f>給付集計表!K28</f>
        <v>0</v>
      </c>
      <c r="M71" s="83">
        <f>給付集計表!L28</f>
        <v>0</v>
      </c>
      <c r="N71" s="83">
        <f>給付集計表!M28</f>
        <v>0</v>
      </c>
      <c r="O71" s="83">
        <f>給付集計表!N28</f>
        <v>0</v>
      </c>
      <c r="P71" s="83">
        <f>給付集計表!O28</f>
        <v>0</v>
      </c>
      <c r="Q71" s="83">
        <f>給付集計表!P28</f>
        <v>0</v>
      </c>
      <c r="R71" s="83">
        <f>給付集計表!Q28</f>
        <v>0</v>
      </c>
      <c r="S71" s="83">
        <f>給付集計表!R28</f>
        <v>0</v>
      </c>
    </row>
    <row r="72" spans="5:19" ht="15" customHeight="1" x14ac:dyDescent="0.15">
      <c r="E72" s="33" t="s">
        <v>128</v>
      </c>
      <c r="F72" s="69"/>
      <c r="G72" s="77">
        <f>給付集計表!F29</f>
        <v>0</v>
      </c>
      <c r="H72" s="83">
        <f>給付集計表!G29</f>
        <v>0</v>
      </c>
      <c r="I72" s="83">
        <f>給付集計表!H29</f>
        <v>0</v>
      </c>
      <c r="J72" s="83">
        <f>給付集計表!I29</f>
        <v>0</v>
      </c>
      <c r="K72" s="83">
        <f>給付集計表!J29</f>
        <v>0</v>
      </c>
      <c r="L72" s="83">
        <f>給付集計表!K29</f>
        <v>0</v>
      </c>
      <c r="M72" s="83">
        <f>給付集計表!L29</f>
        <v>0</v>
      </c>
      <c r="N72" s="83">
        <f>給付集計表!M29</f>
        <v>0</v>
      </c>
      <c r="O72" s="83">
        <f>給付集計表!N29</f>
        <v>0</v>
      </c>
      <c r="P72" s="83">
        <f>給付集計表!O29</f>
        <v>0</v>
      </c>
      <c r="Q72" s="83">
        <f>給付集計表!P29</f>
        <v>0</v>
      </c>
      <c r="R72" s="83">
        <f>給付集計表!Q29</f>
        <v>0</v>
      </c>
      <c r="S72" s="83">
        <f>給付集計表!R29</f>
        <v>0</v>
      </c>
    </row>
    <row r="73" spans="5:19" ht="15" customHeight="1" x14ac:dyDescent="0.15">
      <c r="E73" s="35" t="s">
        <v>210</v>
      </c>
      <c r="F73" s="72"/>
      <c r="G73" s="84">
        <f>特定入所!G16</f>
        <v>86450</v>
      </c>
      <c r="H73" s="85">
        <f>特定入所!H16</f>
        <v>10924</v>
      </c>
      <c r="I73" s="85">
        <f>特定入所!I16</f>
        <v>0</v>
      </c>
      <c r="J73" s="85">
        <f>特定入所!J16</f>
        <v>3759</v>
      </c>
      <c r="K73" s="85">
        <f>特定入所!K16</f>
        <v>20651</v>
      </c>
      <c r="L73" s="85">
        <f>特定入所!L16</f>
        <v>19017</v>
      </c>
      <c r="M73" s="85">
        <f>特定入所!M16</f>
        <v>11307</v>
      </c>
      <c r="N73" s="85">
        <f>特定入所!N16</f>
        <v>12204</v>
      </c>
      <c r="O73" s="85">
        <f>特定入所!O16</f>
        <v>8588</v>
      </c>
      <c r="P73" s="85">
        <f>特定入所!P16</f>
        <v>0</v>
      </c>
      <c r="Q73" s="85">
        <f>特定入所!Q16</f>
        <v>0</v>
      </c>
      <c r="R73" s="85">
        <f>特定入所!R16</f>
        <v>0</v>
      </c>
      <c r="S73" s="85">
        <f>特定入所!S16</f>
        <v>0</v>
      </c>
    </row>
    <row r="74" spans="5:19" ht="15" customHeight="1" x14ac:dyDescent="0.15">
      <c r="E74" s="23" t="s">
        <v>211</v>
      </c>
      <c r="F74" s="70"/>
      <c r="G74" s="86">
        <f>特定入所!G19</f>
        <v>0</v>
      </c>
      <c r="H74" s="87">
        <f>特定入所!H19</f>
        <v>0</v>
      </c>
      <c r="I74" s="87">
        <f>特定入所!I19</f>
        <v>0</v>
      </c>
      <c r="J74" s="87">
        <f>特定入所!J19</f>
        <v>0</v>
      </c>
      <c r="K74" s="87">
        <f>特定入所!K19</f>
        <v>0</v>
      </c>
      <c r="L74" s="87">
        <f>特定入所!L19</f>
        <v>0</v>
      </c>
      <c r="M74" s="87">
        <f>特定入所!M19</f>
        <v>0</v>
      </c>
      <c r="N74" s="87">
        <f>特定入所!N19</f>
        <v>0</v>
      </c>
      <c r="O74" s="87">
        <f>特定入所!O19</f>
        <v>0</v>
      </c>
      <c r="P74" s="87">
        <f>特定入所!P19</f>
        <v>0</v>
      </c>
      <c r="Q74" s="87">
        <f>特定入所!Q19</f>
        <v>0</v>
      </c>
      <c r="R74" s="87">
        <f>特定入所!R19</f>
        <v>0</v>
      </c>
      <c r="S74" s="87">
        <f>特定入所!S19</f>
        <v>0</v>
      </c>
    </row>
    <row r="75" spans="5:19" ht="15" customHeight="1" x14ac:dyDescent="0.15">
      <c r="E75" s="33" t="s">
        <v>212</v>
      </c>
      <c r="F75" s="69"/>
      <c r="G75" s="77">
        <f>特定入所!G22</f>
        <v>0</v>
      </c>
      <c r="H75" s="83">
        <f>特定入所!H22</f>
        <v>0</v>
      </c>
      <c r="I75" s="83">
        <f>特定入所!I22</f>
        <v>0</v>
      </c>
      <c r="J75" s="83">
        <f>特定入所!J22</f>
        <v>0</v>
      </c>
      <c r="K75" s="83">
        <f>特定入所!K22</f>
        <v>0</v>
      </c>
      <c r="L75" s="83">
        <f>特定入所!L22</f>
        <v>0</v>
      </c>
      <c r="M75" s="83">
        <f>特定入所!M22</f>
        <v>0</v>
      </c>
      <c r="N75" s="83">
        <f>特定入所!N22</f>
        <v>0</v>
      </c>
      <c r="O75" s="83">
        <f>特定入所!O22</f>
        <v>0</v>
      </c>
      <c r="P75" s="83">
        <f>特定入所!P22</f>
        <v>0</v>
      </c>
      <c r="Q75" s="83">
        <f>特定入所!Q22</f>
        <v>0</v>
      </c>
      <c r="R75" s="83">
        <f>特定入所!R22</f>
        <v>0</v>
      </c>
      <c r="S75" s="83">
        <f>特定入所!S22</f>
        <v>0</v>
      </c>
    </row>
    <row r="76" spans="5:19" ht="15" customHeight="1" x14ac:dyDescent="0.15">
      <c r="E76" s="22" t="s">
        <v>232</v>
      </c>
      <c r="F76" s="73"/>
      <c r="G76" s="88">
        <f t="shared" ref="G76" si="11">G70+G71+G72-G73-G74-G75</f>
        <v>5008482</v>
      </c>
      <c r="H76" s="89">
        <f t="shared" ref="H76:O76" si="12">H70+H71+H72-H73-H74-H75</f>
        <v>439533</v>
      </c>
      <c r="I76" s="89">
        <f t="shared" si="12"/>
        <v>362826</v>
      </c>
      <c r="J76" s="89">
        <f t="shared" si="12"/>
        <v>396927</v>
      </c>
      <c r="K76" s="89">
        <f t="shared" si="12"/>
        <v>491247</v>
      </c>
      <c r="L76" s="89">
        <f t="shared" si="12"/>
        <v>476046</v>
      </c>
      <c r="M76" s="89">
        <f t="shared" si="12"/>
        <v>449244</v>
      </c>
      <c r="N76" s="89">
        <f t="shared" si="12"/>
        <v>509004</v>
      </c>
      <c r="O76" s="89">
        <f t="shared" si="12"/>
        <v>852813</v>
      </c>
      <c r="P76" s="89">
        <f t="shared" ref="P76:S76" si="13">P70+P71+P72-P73-P74-P75</f>
        <v>578682</v>
      </c>
      <c r="Q76" s="89">
        <f t="shared" si="13"/>
        <v>217197</v>
      </c>
      <c r="R76" s="89">
        <f t="shared" si="13"/>
        <v>195579</v>
      </c>
      <c r="S76" s="89">
        <f t="shared" si="13"/>
        <v>39384</v>
      </c>
    </row>
    <row r="77" spans="5:19" ht="15" customHeight="1" x14ac:dyDescent="0.15"/>
    <row r="78" spans="5:19" ht="15" customHeight="1" x14ac:dyDescent="0.15"/>
    <row r="79" spans="5:19" ht="15" customHeight="1" x14ac:dyDescent="0.15"/>
    <row r="80" spans="5:19"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sheetData>
  <mergeCells count="17">
    <mergeCell ref="D49:E51"/>
    <mergeCell ref="D52:E54"/>
    <mergeCell ref="F1:S1"/>
    <mergeCell ref="D55:E57"/>
    <mergeCell ref="B6:F6"/>
    <mergeCell ref="B7:B57"/>
    <mergeCell ref="C7:F7"/>
    <mergeCell ref="D13:E15"/>
    <mergeCell ref="D16:E18"/>
    <mergeCell ref="D19:E21"/>
    <mergeCell ref="D22:E24"/>
    <mergeCell ref="D25:E27"/>
    <mergeCell ref="D28:E30"/>
    <mergeCell ref="D31:E33"/>
    <mergeCell ref="D34:E36"/>
    <mergeCell ref="D40:E42"/>
    <mergeCell ref="D46:E48"/>
  </mergeCells>
  <phoneticPr fontId="1"/>
  <pageMargins left="1.1811023622047245" right="0" top="0" bottom="0" header="0" footer="0"/>
  <pageSetup paperSize="9" scale="41" orientation="portrait" r:id="rId1"/>
  <headerFooter alignWithMargins="0"/>
  <rowBreaks count="1" manualBreakCount="1">
    <brk id="36" min="1" max="1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29"/>
  <sheetViews>
    <sheetView view="pageBreakPreview" topLeftCell="A4" zoomScale="75" zoomScaleNormal="60" zoomScaleSheetLayoutView="75" workbookViewId="0">
      <selection activeCell="A14" sqref="A14"/>
    </sheetView>
  </sheetViews>
  <sheetFormatPr defaultColWidth="16.25" defaultRowHeight="13.5" x14ac:dyDescent="0.15"/>
  <cols>
    <col min="1" max="1" width="25.125" style="1" customWidth="1"/>
    <col min="2" max="17" width="15.625" style="1" customWidth="1"/>
    <col min="18" max="18" width="16.25" style="1"/>
    <col min="19" max="19" width="13.625" style="1" customWidth="1"/>
    <col min="20" max="21" width="14.125" style="1" customWidth="1"/>
    <col min="22" max="22" width="13.625" style="1" customWidth="1"/>
    <col min="23" max="29" width="14.125" style="1" customWidth="1"/>
    <col min="30" max="30" width="14.625" style="1" customWidth="1"/>
    <col min="31" max="31" width="14.125" style="1" customWidth="1"/>
    <col min="32" max="33" width="15.625" style="1" customWidth="1"/>
    <col min="34" max="35" width="14.125" style="1" customWidth="1"/>
    <col min="36" max="38" width="14.625" style="1" customWidth="1"/>
    <col min="39" max="54" width="15.625" style="1" customWidth="1"/>
    <col min="55" max="16384" width="16.25" style="1"/>
  </cols>
  <sheetData>
    <row r="1" spans="1:63" ht="24" x14ac:dyDescent="0.15">
      <c r="B1" s="4" t="s">
        <v>248</v>
      </c>
      <c r="C1" s="4"/>
      <c r="D1" s="4"/>
      <c r="E1" s="4"/>
      <c r="F1" s="4"/>
      <c r="G1" s="4"/>
      <c r="H1" s="4"/>
      <c r="I1" s="4"/>
      <c r="J1" s="4"/>
      <c r="K1" s="4"/>
      <c r="L1" s="4"/>
      <c r="M1" s="4"/>
      <c r="N1" s="4"/>
      <c r="O1" s="4"/>
      <c r="P1" s="4"/>
    </row>
    <row r="2" spans="1:63" ht="24" x14ac:dyDescent="0.15">
      <c r="A2" s="4"/>
      <c r="B2" s="4"/>
      <c r="C2" s="4"/>
      <c r="D2" s="4"/>
      <c r="E2" s="4"/>
      <c r="F2" s="4"/>
      <c r="G2" s="4"/>
      <c r="H2" s="4"/>
      <c r="I2" s="4"/>
      <c r="J2" s="4"/>
      <c r="K2" s="4"/>
      <c r="L2" s="4"/>
      <c r="M2" s="4"/>
      <c r="N2" s="4"/>
      <c r="O2" s="4"/>
      <c r="P2" s="4"/>
    </row>
    <row r="3" spans="1:63" ht="24" x14ac:dyDescent="0.15">
      <c r="A3" s="13" t="s">
        <v>56</v>
      </c>
      <c r="B3" s="4"/>
      <c r="C3" s="4"/>
      <c r="D3" s="4"/>
      <c r="E3" s="4"/>
      <c r="F3" s="4"/>
      <c r="G3" s="4"/>
      <c r="H3" s="4"/>
      <c r="I3" s="4"/>
      <c r="J3" s="4"/>
      <c r="K3" s="4"/>
      <c r="L3" s="4"/>
      <c r="M3" s="4"/>
      <c r="N3" s="4"/>
      <c r="O3" s="4"/>
      <c r="P3" s="4"/>
    </row>
    <row r="4" spans="1:63" ht="30" customHeight="1" x14ac:dyDescent="0.15">
      <c r="A4" s="14" t="s">
        <v>78</v>
      </c>
      <c r="B4" s="9"/>
      <c r="C4" s="10"/>
      <c r="BK4" s="5" t="s">
        <v>45</v>
      </c>
    </row>
    <row r="5" spans="1:63" ht="20.100000000000001" customHeight="1" thickBot="1" x14ac:dyDescent="0.2">
      <c r="A5" s="192" t="s">
        <v>5</v>
      </c>
      <c r="B5" s="192" t="s">
        <v>19</v>
      </c>
      <c r="C5" s="192"/>
      <c r="D5" s="192"/>
      <c r="E5" s="192"/>
      <c r="F5" s="192"/>
      <c r="G5" s="192"/>
      <c r="H5" s="192"/>
      <c r="I5" s="192"/>
      <c r="J5" s="192"/>
      <c r="K5" s="192"/>
      <c r="L5" s="192"/>
      <c r="M5" s="192"/>
      <c r="N5" s="192"/>
      <c r="O5" s="192"/>
      <c r="P5" s="192"/>
      <c r="Q5" s="195"/>
      <c r="R5" s="195"/>
      <c r="S5" s="192" t="s">
        <v>20</v>
      </c>
      <c r="T5" s="192"/>
      <c r="U5" s="192"/>
      <c r="V5" s="192"/>
      <c r="W5" s="192"/>
      <c r="X5" s="192"/>
      <c r="Y5" s="192"/>
      <c r="Z5" s="192"/>
      <c r="AA5" s="192"/>
      <c r="AB5" s="192"/>
      <c r="AC5" s="192"/>
      <c r="AD5" s="192"/>
      <c r="AE5" s="203" t="s">
        <v>17</v>
      </c>
      <c r="AF5" s="203"/>
      <c r="AG5" s="203"/>
      <c r="AH5" s="203"/>
      <c r="AI5" s="203"/>
      <c r="AJ5" s="203"/>
      <c r="AK5" s="193" t="s">
        <v>63</v>
      </c>
      <c r="AL5" s="191" t="s">
        <v>49</v>
      </c>
      <c r="AM5" s="192" t="s">
        <v>22</v>
      </c>
      <c r="AN5" s="192"/>
      <c r="AO5" s="194"/>
      <c r="AP5" s="194"/>
      <c r="AQ5" s="194"/>
      <c r="AR5" s="194"/>
      <c r="AS5" s="194"/>
      <c r="AT5" s="194"/>
      <c r="AU5" s="194"/>
      <c r="AV5" s="194"/>
      <c r="AW5" s="194"/>
      <c r="AX5" s="192"/>
      <c r="AY5" s="192"/>
      <c r="AZ5" s="192"/>
      <c r="BA5" s="192"/>
      <c r="BB5" s="195"/>
      <c r="BC5" s="195"/>
      <c r="BD5" s="192" t="s">
        <v>40</v>
      </c>
      <c r="BE5" s="192"/>
      <c r="BF5" s="192"/>
      <c r="BG5" s="192"/>
      <c r="BH5" s="193" t="s">
        <v>72</v>
      </c>
      <c r="BI5" s="191" t="s">
        <v>52</v>
      </c>
      <c r="BJ5" s="193" t="s">
        <v>53</v>
      </c>
      <c r="BK5" s="191" t="s">
        <v>54</v>
      </c>
    </row>
    <row r="6" spans="1:63" s="2" customFormat="1" ht="60" customHeight="1" thickTop="1" x14ac:dyDescent="0.15">
      <c r="A6" s="192"/>
      <c r="B6" s="6" t="s">
        <v>0</v>
      </c>
      <c r="C6" s="6" t="s">
        <v>1</v>
      </c>
      <c r="D6" s="6" t="s">
        <v>2</v>
      </c>
      <c r="E6" s="6" t="s">
        <v>3</v>
      </c>
      <c r="F6" s="6" t="s">
        <v>6</v>
      </c>
      <c r="G6" s="6" t="s">
        <v>7</v>
      </c>
      <c r="H6" s="6" t="s">
        <v>9</v>
      </c>
      <c r="I6" s="6" t="s">
        <v>8</v>
      </c>
      <c r="J6" s="6" t="s">
        <v>67</v>
      </c>
      <c r="K6" s="6" t="s">
        <v>4</v>
      </c>
      <c r="L6" s="36" t="s">
        <v>12</v>
      </c>
      <c r="M6" s="38" t="s">
        <v>10</v>
      </c>
      <c r="N6" s="38" t="s">
        <v>11</v>
      </c>
      <c r="O6" s="6" t="s">
        <v>21</v>
      </c>
      <c r="P6" s="6" t="s">
        <v>43</v>
      </c>
      <c r="Q6" s="6" t="s">
        <v>42</v>
      </c>
      <c r="R6" s="6" t="s">
        <v>46</v>
      </c>
      <c r="S6" s="6" t="s">
        <v>74</v>
      </c>
      <c r="T6" s="6" t="s">
        <v>73</v>
      </c>
      <c r="U6" s="6" t="s">
        <v>77</v>
      </c>
      <c r="V6" s="6" t="s">
        <v>13</v>
      </c>
      <c r="W6" s="6" t="s">
        <v>14</v>
      </c>
      <c r="X6" s="6" t="s">
        <v>15</v>
      </c>
      <c r="Y6" s="6" t="s">
        <v>16</v>
      </c>
      <c r="Z6" s="11" t="s">
        <v>41</v>
      </c>
      <c r="AA6" s="6" t="s">
        <v>66</v>
      </c>
      <c r="AB6" s="6" t="s">
        <v>68</v>
      </c>
      <c r="AC6" s="6" t="s">
        <v>42</v>
      </c>
      <c r="AD6" s="6" t="s">
        <v>47</v>
      </c>
      <c r="AE6" s="36" t="s">
        <v>18</v>
      </c>
      <c r="AF6" s="36" t="s">
        <v>69</v>
      </c>
      <c r="AG6" s="36" t="s">
        <v>235</v>
      </c>
      <c r="AH6" s="36" t="s">
        <v>70</v>
      </c>
      <c r="AI6" s="36" t="s">
        <v>42</v>
      </c>
      <c r="AJ6" s="36" t="s">
        <v>48</v>
      </c>
      <c r="AK6" s="193"/>
      <c r="AL6" s="191"/>
      <c r="AM6" s="6" t="s">
        <v>23</v>
      </c>
      <c r="AN6" s="73" t="s">
        <v>24</v>
      </c>
      <c r="AO6" s="109" t="s">
        <v>25</v>
      </c>
      <c r="AP6" s="110" t="s">
        <v>26</v>
      </c>
      <c r="AQ6" s="110" t="s">
        <v>27</v>
      </c>
      <c r="AR6" s="110" t="s">
        <v>28</v>
      </c>
      <c r="AS6" s="110" t="s">
        <v>29</v>
      </c>
      <c r="AT6" s="110" t="s">
        <v>30</v>
      </c>
      <c r="AU6" s="110" t="s">
        <v>71</v>
      </c>
      <c r="AV6" s="110" t="s">
        <v>31</v>
      </c>
      <c r="AW6" s="111" t="s">
        <v>44</v>
      </c>
      <c r="AX6" s="104" t="s">
        <v>32</v>
      </c>
      <c r="AY6" s="38" t="s">
        <v>33</v>
      </c>
      <c r="AZ6" s="6" t="s">
        <v>34</v>
      </c>
      <c r="BA6" s="6" t="s">
        <v>35</v>
      </c>
      <c r="BB6" s="6" t="s">
        <v>36</v>
      </c>
      <c r="BC6" s="6" t="s">
        <v>50</v>
      </c>
      <c r="BD6" s="6" t="s">
        <v>37</v>
      </c>
      <c r="BE6" s="6" t="s">
        <v>38</v>
      </c>
      <c r="BF6" s="6" t="s">
        <v>39</v>
      </c>
      <c r="BG6" s="6" t="s">
        <v>51</v>
      </c>
      <c r="BH6" s="193"/>
      <c r="BI6" s="191"/>
      <c r="BJ6" s="193"/>
      <c r="BK6" s="191"/>
    </row>
    <row r="7" spans="1:63" ht="30" customHeight="1" x14ac:dyDescent="0.15">
      <c r="A7" s="12" t="s">
        <v>82</v>
      </c>
      <c r="B7" s="19">
        <f>給付集計表!G11</f>
        <v>2537800</v>
      </c>
      <c r="C7" s="19">
        <f>給付集計表!G12</f>
        <v>107640</v>
      </c>
      <c r="D7" s="19">
        <f>給付集計表!G13</f>
        <v>1719641</v>
      </c>
      <c r="E7" s="19">
        <f>給付集計表!G14</f>
        <v>0</v>
      </c>
      <c r="F7" s="19">
        <f>給付集計表!G15</f>
        <v>14134762</v>
      </c>
      <c r="G7" s="19">
        <f>給付集計表!G16</f>
        <v>1886819</v>
      </c>
      <c r="H7" s="19">
        <f>給付集計表!G17</f>
        <v>2147191</v>
      </c>
      <c r="I7" s="19">
        <f>給付集計表!G26-特定入所!H13</f>
        <v>5662411</v>
      </c>
      <c r="J7" s="19">
        <f>特定入所!H76</f>
        <v>439533</v>
      </c>
      <c r="K7" s="19">
        <f>給付集計表!G44</f>
        <v>151503</v>
      </c>
      <c r="L7" s="37">
        <f>給付集計表!G45</f>
        <v>871560</v>
      </c>
      <c r="M7" s="39">
        <v>342960</v>
      </c>
      <c r="N7" s="39">
        <v>253800</v>
      </c>
      <c r="O7" s="19">
        <f>給付集計表!G49</f>
        <v>4265429</v>
      </c>
      <c r="P7" s="19">
        <f>特定入所!H59</f>
        <v>163823</v>
      </c>
      <c r="Q7" s="19">
        <f>特定入所!H60</f>
        <v>116015</v>
      </c>
      <c r="R7" s="7">
        <f>SUM(B7:Q7)</f>
        <v>34800887</v>
      </c>
      <c r="S7" s="19">
        <f>給付集計表!G53</f>
        <v>1032768</v>
      </c>
      <c r="T7" s="19">
        <f>給付集計表!G54</f>
        <v>0</v>
      </c>
      <c r="U7" s="19">
        <f>給付集計表!G55</f>
        <v>150957</v>
      </c>
      <c r="V7" s="19">
        <f>給付集計表!G56</f>
        <v>1737450</v>
      </c>
      <c r="W7" s="19">
        <f>給付集計表!G101</f>
        <v>5537751</v>
      </c>
      <c r="X7" s="19">
        <f>給付集計表!G102</f>
        <v>11554185</v>
      </c>
      <c r="Y7" s="19">
        <f>給付集計表!G103</f>
        <v>0</v>
      </c>
      <c r="Z7" s="19">
        <f>給付集計表!G63-AB7-AC7</f>
        <v>11285416</v>
      </c>
      <c r="AA7" s="19">
        <f>給付集計表!G104</f>
        <v>0</v>
      </c>
      <c r="AB7" s="19">
        <f>特定入所!H38</f>
        <v>923228</v>
      </c>
      <c r="AC7" s="19">
        <f>特定入所!H39</f>
        <v>671122</v>
      </c>
      <c r="AD7" s="7">
        <f>SUM(S7:AC7)</f>
        <v>32892877</v>
      </c>
      <c r="AE7" s="37">
        <f>特定入所!H61</f>
        <v>14608001</v>
      </c>
      <c r="AF7" s="37">
        <f>特定入所!H62</f>
        <v>8082639</v>
      </c>
      <c r="AG7" s="37">
        <f>特定入所!H63</f>
        <v>355752</v>
      </c>
      <c r="AH7" s="37">
        <f>特定入所!H44</f>
        <v>1651294</v>
      </c>
      <c r="AI7" s="37">
        <f>特定入所!H45</f>
        <v>799132</v>
      </c>
      <c r="AJ7" s="40">
        <f>SUM(AE7:AI7)</f>
        <v>25496818</v>
      </c>
      <c r="AK7" s="39">
        <v>1879196</v>
      </c>
      <c r="AL7" s="7">
        <f t="shared" ref="AL7:AL18" si="0">R7+AD7+AJ7+AK7</f>
        <v>95069778</v>
      </c>
      <c r="AM7" s="19">
        <f>給付集計表!G18</f>
        <v>0</v>
      </c>
      <c r="AN7" s="101">
        <f>給付集計表!G19</f>
        <v>0</v>
      </c>
      <c r="AO7" s="112">
        <f>給付集計表!G20</f>
        <v>171252</v>
      </c>
      <c r="AP7" s="96">
        <f>給付集計表!G21</f>
        <v>0</v>
      </c>
      <c r="AQ7" s="96">
        <f>給付集計表!G22</f>
        <v>0</v>
      </c>
      <c r="AR7" s="96">
        <f>給付集計表!G23</f>
        <v>541008</v>
      </c>
      <c r="AS7" s="96">
        <f>給付集計表!G24</f>
        <v>247761</v>
      </c>
      <c r="AT7" s="96">
        <f>特定入所!H64</f>
        <v>36855</v>
      </c>
      <c r="AU7" s="96">
        <f>特定入所!H65</f>
        <v>0</v>
      </c>
      <c r="AV7" s="96">
        <f>給付集計表!G47</f>
        <v>0</v>
      </c>
      <c r="AW7" s="113">
        <f>給付集計表!G48</f>
        <v>0</v>
      </c>
      <c r="AX7" s="105">
        <v>0</v>
      </c>
      <c r="AY7" s="39">
        <v>240300</v>
      </c>
      <c r="AZ7" s="19">
        <f>給付集計表!G50</f>
        <v>201260</v>
      </c>
      <c r="BA7" s="19">
        <f>特定入所!H66</f>
        <v>0</v>
      </c>
      <c r="BB7" s="19">
        <f>特定入所!H67</f>
        <v>0</v>
      </c>
      <c r="BC7" s="7">
        <f>SUM(AM7:BB7)</f>
        <v>1438436</v>
      </c>
      <c r="BD7" s="19">
        <f>給付集計表!G66</f>
        <v>0</v>
      </c>
      <c r="BE7" s="19">
        <f>給付集計表!G105</f>
        <v>409500</v>
      </c>
      <c r="BF7" s="19">
        <f>給付集計表!G106</f>
        <v>0</v>
      </c>
      <c r="BG7" s="7">
        <f>SUM(BD7:BF7)</f>
        <v>409500</v>
      </c>
      <c r="BH7" s="39">
        <v>8741</v>
      </c>
      <c r="BI7" s="7">
        <f>BC7+BG7+BH7</f>
        <v>1856677</v>
      </c>
      <c r="BJ7" s="39">
        <v>75632</v>
      </c>
      <c r="BK7" s="7">
        <f t="shared" ref="BK7:BK18" si="1">AL7+BI7+BJ7</f>
        <v>97002087</v>
      </c>
    </row>
    <row r="8" spans="1:63" ht="30" customHeight="1" x14ac:dyDescent="0.15">
      <c r="A8" s="12" t="s">
        <v>83</v>
      </c>
      <c r="B8" s="19">
        <f>給付集計表!H11</f>
        <v>2614875</v>
      </c>
      <c r="C8" s="19">
        <f>給付集計表!H12</f>
        <v>292734</v>
      </c>
      <c r="D8" s="19">
        <f>給付集計表!H13</f>
        <v>1813758</v>
      </c>
      <c r="E8" s="19">
        <f>給付集計表!H14</f>
        <v>0</v>
      </c>
      <c r="F8" s="19">
        <f>給付集計表!H15</f>
        <v>9917486</v>
      </c>
      <c r="G8" s="19">
        <f>給付集計表!H16</f>
        <v>1663205</v>
      </c>
      <c r="H8" s="19">
        <f>給付集計表!H17</f>
        <v>2278407</v>
      </c>
      <c r="I8" s="19">
        <f>給付集計表!H26-特定入所!I13</f>
        <v>3909906</v>
      </c>
      <c r="J8" s="19">
        <f>特定入所!I76</f>
        <v>362826</v>
      </c>
      <c r="K8" s="19">
        <f>給付集計表!H44</f>
        <v>61779</v>
      </c>
      <c r="L8" s="37">
        <f>給付集計表!H45</f>
        <v>928161</v>
      </c>
      <c r="M8" s="39">
        <v>21600</v>
      </c>
      <c r="N8" s="39">
        <v>135108</v>
      </c>
      <c r="O8" s="19">
        <f>給付集計表!H49</f>
        <v>2159791</v>
      </c>
      <c r="P8" s="19">
        <f>特定入所!I59</f>
        <v>124549</v>
      </c>
      <c r="Q8" s="19">
        <f>特定入所!I60</f>
        <v>93012</v>
      </c>
      <c r="R8" s="7">
        <f t="shared" ref="R8:R18" si="2">SUM(B8:Q8)</f>
        <v>26377197</v>
      </c>
      <c r="S8" s="19">
        <f>給付集計表!H53</f>
        <v>997596</v>
      </c>
      <c r="T8" s="19">
        <f>給付集計表!H54</f>
        <v>0</v>
      </c>
      <c r="U8" s="19">
        <f>給付集計表!H55</f>
        <v>29331</v>
      </c>
      <c r="V8" s="19">
        <f>給付集計表!H56</f>
        <v>448605</v>
      </c>
      <c r="W8" s="19">
        <f>給付集計表!H101</f>
        <v>4943549</v>
      </c>
      <c r="X8" s="19">
        <f>給付集計表!H102</f>
        <v>11138126</v>
      </c>
      <c r="Y8" s="19">
        <f>給付集計表!H103</f>
        <v>0</v>
      </c>
      <c r="Z8" s="19">
        <f>給付集計表!H63-AB8-AC8</f>
        <v>4602393</v>
      </c>
      <c r="AA8" s="19">
        <f>給付集計表!H104</f>
        <v>0</v>
      </c>
      <c r="AB8" s="19">
        <f>特定入所!I38</f>
        <v>335726</v>
      </c>
      <c r="AC8" s="19">
        <f>特定入所!I39</f>
        <v>359640</v>
      </c>
      <c r="AD8" s="7">
        <f t="shared" ref="AD8:AD18" si="3">SUM(S8:AC8)</f>
        <v>22854966</v>
      </c>
      <c r="AE8" s="37">
        <f>特定入所!I61</f>
        <v>12857805</v>
      </c>
      <c r="AF8" s="37">
        <f>特定入所!I62</f>
        <v>7521893</v>
      </c>
      <c r="AG8" s="37">
        <f>特定入所!I63</f>
        <v>0</v>
      </c>
      <c r="AH8" s="37">
        <f>特定入所!I44</f>
        <v>1511146</v>
      </c>
      <c r="AI8" s="37">
        <f>特定入所!I45</f>
        <v>765462</v>
      </c>
      <c r="AJ8" s="40">
        <f t="shared" ref="AJ8:AJ18" si="4">SUM(AE8:AI8)</f>
        <v>22656306</v>
      </c>
      <c r="AK8" s="39">
        <v>1907300</v>
      </c>
      <c r="AL8" s="7">
        <f t="shared" si="0"/>
        <v>73795769</v>
      </c>
      <c r="AM8" s="19">
        <f>給付集計表!H18</f>
        <v>0</v>
      </c>
      <c r="AN8" s="101">
        <f>給付集計表!H19</f>
        <v>0</v>
      </c>
      <c r="AO8" s="112">
        <f>給付集計表!H20</f>
        <v>92637</v>
      </c>
      <c r="AP8" s="96">
        <f>給付集計表!H21</f>
        <v>0</v>
      </c>
      <c r="AQ8" s="96">
        <f>給付集計表!H22</f>
        <v>0</v>
      </c>
      <c r="AR8" s="96">
        <f>給付集計表!H23</f>
        <v>495405</v>
      </c>
      <c r="AS8" s="96">
        <f>給付集計表!H24</f>
        <v>258840</v>
      </c>
      <c r="AT8" s="96">
        <f>特定入所!I64</f>
        <v>28462</v>
      </c>
      <c r="AU8" s="96">
        <f>特定入所!I65</f>
        <v>0</v>
      </c>
      <c r="AV8" s="96">
        <f>給付集計表!H47</f>
        <v>0</v>
      </c>
      <c r="AW8" s="113">
        <f>給付集計表!H48</f>
        <v>0</v>
      </c>
      <c r="AX8" s="105">
        <v>19800</v>
      </c>
      <c r="AY8" s="39">
        <v>314100</v>
      </c>
      <c r="AZ8" s="19">
        <f>給付集計表!H50</f>
        <v>201940</v>
      </c>
      <c r="BA8" s="19">
        <f>特定入所!I66</f>
        <v>0</v>
      </c>
      <c r="BB8" s="19">
        <f>特定入所!I67</f>
        <v>0</v>
      </c>
      <c r="BC8" s="7">
        <f t="shared" ref="BC8:BC18" si="5">SUM(AM8:BB8)</f>
        <v>1411184</v>
      </c>
      <c r="BD8" s="19">
        <f>給付集計表!H66</f>
        <v>0</v>
      </c>
      <c r="BE8" s="19">
        <f>給付集計表!H105</f>
        <v>411840</v>
      </c>
      <c r="BF8" s="19">
        <f>給付集計表!H106</f>
        <v>0</v>
      </c>
      <c r="BG8" s="7">
        <f t="shared" ref="BG8:BG18" si="6">SUM(BD8:BF8)</f>
        <v>411840</v>
      </c>
      <c r="BH8" s="39">
        <v>11937</v>
      </c>
      <c r="BI8" s="7">
        <f t="shared" ref="BI8:BI18" si="7">BC8+BG8+BH8</f>
        <v>1834961</v>
      </c>
      <c r="BJ8" s="39">
        <v>74008</v>
      </c>
      <c r="BK8" s="7">
        <f t="shared" si="1"/>
        <v>75704738</v>
      </c>
    </row>
    <row r="9" spans="1:63" ht="30" customHeight="1" x14ac:dyDescent="0.15">
      <c r="A9" s="12" t="s">
        <v>84</v>
      </c>
      <c r="B9" s="19">
        <f>給付集計表!I11</f>
        <v>2458056</v>
      </c>
      <c r="C9" s="19">
        <f>給付集計表!I12</f>
        <v>206946</v>
      </c>
      <c r="D9" s="19">
        <f>給付集計表!I13</f>
        <v>1771836</v>
      </c>
      <c r="E9" s="19">
        <f>給付集計表!I14</f>
        <v>0</v>
      </c>
      <c r="F9" s="19">
        <f>給付集計表!I15</f>
        <v>17727023</v>
      </c>
      <c r="G9" s="19">
        <f>給付集計表!I16</f>
        <v>1585293</v>
      </c>
      <c r="H9" s="19">
        <f>給付集計表!I17</f>
        <v>2379817</v>
      </c>
      <c r="I9" s="19">
        <f>給付集計表!I26-特定入所!J13</f>
        <v>3979017</v>
      </c>
      <c r="J9" s="19">
        <f>特定入所!J76</f>
        <v>396927</v>
      </c>
      <c r="K9" s="19">
        <f>給付集計表!I44</f>
        <v>75099</v>
      </c>
      <c r="L9" s="37">
        <f>給付集計表!I45</f>
        <v>1204416</v>
      </c>
      <c r="M9" s="39">
        <v>103680</v>
      </c>
      <c r="N9" s="39">
        <v>19008</v>
      </c>
      <c r="O9" s="19">
        <f>給付集計表!I49</f>
        <v>6523351</v>
      </c>
      <c r="P9" s="19">
        <f>特定入所!J59</f>
        <v>74091</v>
      </c>
      <c r="Q9" s="19">
        <f>特定入所!J60</f>
        <v>43796</v>
      </c>
      <c r="R9" s="7">
        <f t="shared" si="2"/>
        <v>38548356</v>
      </c>
      <c r="S9" s="19">
        <f>給付集計表!I53</f>
        <v>1086246</v>
      </c>
      <c r="T9" s="19">
        <f>給付集計表!I54</f>
        <v>0</v>
      </c>
      <c r="U9" s="19">
        <f>給付集計表!I55</f>
        <v>179910</v>
      </c>
      <c r="V9" s="19">
        <f>給付集計表!I56</f>
        <v>0</v>
      </c>
      <c r="W9" s="19">
        <f>給付集計表!I101</f>
        <v>6244443</v>
      </c>
      <c r="X9" s="19">
        <f>給付集計表!I102</f>
        <v>11824422</v>
      </c>
      <c r="Y9" s="19">
        <f>給付集計表!I103</f>
        <v>0</v>
      </c>
      <c r="Z9" s="19">
        <f>給付集計表!I63-AB9-AC9</f>
        <v>18019043</v>
      </c>
      <c r="AA9" s="19">
        <f>給付集計表!I104</f>
        <v>0</v>
      </c>
      <c r="AB9" s="19">
        <f>特定入所!J38</f>
        <v>1517336</v>
      </c>
      <c r="AC9" s="19">
        <f>特定入所!J39</f>
        <v>996031</v>
      </c>
      <c r="AD9" s="7">
        <f t="shared" si="3"/>
        <v>39867431</v>
      </c>
      <c r="AE9" s="37">
        <f>特定入所!J61</f>
        <v>17134439</v>
      </c>
      <c r="AF9" s="37">
        <f>特定入所!J62</f>
        <v>8706666</v>
      </c>
      <c r="AG9" s="37">
        <f>特定入所!J63</f>
        <v>572868</v>
      </c>
      <c r="AH9" s="37">
        <f>特定入所!J44</f>
        <v>1853208</v>
      </c>
      <c r="AI9" s="37">
        <f>特定入所!J45</f>
        <v>920162</v>
      </c>
      <c r="AJ9" s="40">
        <f t="shared" si="4"/>
        <v>29187343</v>
      </c>
      <c r="AK9" s="39">
        <v>1676355</v>
      </c>
      <c r="AL9" s="7">
        <f t="shared" si="0"/>
        <v>109279485</v>
      </c>
      <c r="AM9" s="19">
        <f>給付集計表!I18</f>
        <v>0</v>
      </c>
      <c r="AN9" s="101">
        <f>給付集計表!I19</f>
        <v>0</v>
      </c>
      <c r="AO9" s="112">
        <f>給付集計表!I20</f>
        <v>81387</v>
      </c>
      <c r="AP9" s="96">
        <f>給付集計表!I21</f>
        <v>0</v>
      </c>
      <c r="AQ9" s="96">
        <f>給付集計表!I22</f>
        <v>0</v>
      </c>
      <c r="AR9" s="96">
        <f>給付集計表!I23</f>
        <v>495405</v>
      </c>
      <c r="AS9" s="96">
        <f>給付集計表!I24</f>
        <v>271530</v>
      </c>
      <c r="AT9" s="96">
        <f>特定入所!J64</f>
        <v>19600</v>
      </c>
      <c r="AU9" s="96">
        <f>特定入所!J65</f>
        <v>0</v>
      </c>
      <c r="AV9" s="96">
        <f>給付集計表!I47</f>
        <v>0</v>
      </c>
      <c r="AW9" s="113">
        <f>給付集計表!I48</f>
        <v>30339</v>
      </c>
      <c r="AX9" s="105">
        <v>10800</v>
      </c>
      <c r="AY9" s="39">
        <v>0</v>
      </c>
      <c r="AZ9" s="19">
        <f>給付集計表!I50</f>
        <v>204940</v>
      </c>
      <c r="BA9" s="19">
        <f>特定入所!J66</f>
        <v>0</v>
      </c>
      <c r="BB9" s="19">
        <f>特定入所!J67</f>
        <v>0</v>
      </c>
      <c r="BC9" s="7">
        <f t="shared" si="5"/>
        <v>1114001</v>
      </c>
      <c r="BD9" s="19">
        <f>給付集計表!I66</f>
        <v>0</v>
      </c>
      <c r="BE9" s="19">
        <f>給付集計表!I105</f>
        <v>411840</v>
      </c>
      <c r="BF9" s="19">
        <f>給付集計表!I106</f>
        <v>0</v>
      </c>
      <c r="BG9" s="7">
        <f t="shared" si="6"/>
        <v>411840</v>
      </c>
      <c r="BH9" s="39">
        <v>11163</v>
      </c>
      <c r="BI9" s="7">
        <f t="shared" si="7"/>
        <v>1537004</v>
      </c>
      <c r="BJ9" s="39">
        <v>74240</v>
      </c>
      <c r="BK9" s="7">
        <f t="shared" si="1"/>
        <v>110890729</v>
      </c>
    </row>
    <row r="10" spans="1:63" ht="30" customHeight="1" x14ac:dyDescent="0.15">
      <c r="A10" s="12" t="s">
        <v>85</v>
      </c>
      <c r="B10" s="19">
        <f>給付集計表!J11</f>
        <v>2197580</v>
      </c>
      <c r="C10" s="19">
        <f>給付集計表!J12</f>
        <v>206757</v>
      </c>
      <c r="D10" s="19">
        <f>給付集計表!J13</f>
        <v>2012050</v>
      </c>
      <c r="E10" s="19">
        <f>給付集計表!J14</f>
        <v>0</v>
      </c>
      <c r="F10" s="19">
        <f>給付集計表!J15</f>
        <v>15329830</v>
      </c>
      <c r="G10" s="19">
        <f>給付集計表!J16</f>
        <v>1461075</v>
      </c>
      <c r="H10" s="19">
        <f>給付集計表!J17</f>
        <v>2373871</v>
      </c>
      <c r="I10" s="19">
        <f>給付集計表!J26-特定入所!K13</f>
        <v>3696953</v>
      </c>
      <c r="J10" s="19">
        <f>特定入所!K76</f>
        <v>491247</v>
      </c>
      <c r="K10" s="19">
        <f>給付集計表!J44</f>
        <v>78168</v>
      </c>
      <c r="L10" s="37">
        <f>給付集計表!J45</f>
        <v>767394</v>
      </c>
      <c r="M10" s="39">
        <v>16830</v>
      </c>
      <c r="N10" s="39">
        <v>16232</v>
      </c>
      <c r="O10" s="19">
        <f>給付集計表!J49</f>
        <v>4403701</v>
      </c>
      <c r="P10" s="19">
        <f>特定入所!K59</f>
        <v>133537</v>
      </c>
      <c r="Q10" s="19">
        <f>特定入所!K60</f>
        <v>71565</v>
      </c>
      <c r="R10" s="7">
        <f t="shared" si="2"/>
        <v>33256790</v>
      </c>
      <c r="S10" s="19">
        <f>給付集計表!J53</f>
        <v>1089099</v>
      </c>
      <c r="T10" s="19">
        <f>給付集計表!J54</f>
        <v>0</v>
      </c>
      <c r="U10" s="19">
        <f>給付集計表!J55</f>
        <v>81414</v>
      </c>
      <c r="V10" s="19">
        <f>給付集計表!J56</f>
        <v>4826277</v>
      </c>
      <c r="W10" s="19">
        <f>給付集計表!J101</f>
        <v>5063013</v>
      </c>
      <c r="X10" s="19">
        <f>給付集計表!J102</f>
        <v>11828498</v>
      </c>
      <c r="Y10" s="19">
        <f>給付集計表!J103</f>
        <v>0</v>
      </c>
      <c r="Z10" s="19">
        <f>給付集計表!J63-AB10-AC10</f>
        <v>10504197</v>
      </c>
      <c r="AA10" s="19">
        <f>給付集計表!J104</f>
        <v>0</v>
      </c>
      <c r="AB10" s="19">
        <f>特定入所!K38</f>
        <v>838604</v>
      </c>
      <c r="AC10" s="19">
        <f>特定入所!K39</f>
        <v>616030</v>
      </c>
      <c r="AD10" s="7">
        <f t="shared" si="3"/>
        <v>34847132</v>
      </c>
      <c r="AE10" s="37">
        <f>特定入所!K61</f>
        <v>15678971</v>
      </c>
      <c r="AF10" s="37">
        <f>特定入所!K62</f>
        <v>7372746</v>
      </c>
      <c r="AG10" s="37">
        <f>特定入所!K63</f>
        <v>281736</v>
      </c>
      <c r="AH10" s="37">
        <f>特定入所!K44</f>
        <v>1707900</v>
      </c>
      <c r="AI10" s="37">
        <f>特定入所!K45</f>
        <v>862810</v>
      </c>
      <c r="AJ10" s="40">
        <f t="shared" si="4"/>
        <v>25904163</v>
      </c>
      <c r="AK10" s="39">
        <v>1626294</v>
      </c>
      <c r="AL10" s="7">
        <f t="shared" si="0"/>
        <v>95634379</v>
      </c>
      <c r="AM10" s="19">
        <f>給付集計表!J18</f>
        <v>0</v>
      </c>
      <c r="AN10" s="101">
        <f>給付集計表!J19</f>
        <v>0</v>
      </c>
      <c r="AO10" s="112">
        <f>給付集計表!J20</f>
        <v>102906</v>
      </c>
      <c r="AP10" s="96">
        <f>給付集計表!J21</f>
        <v>0</v>
      </c>
      <c r="AQ10" s="96">
        <f>給付集計表!J22</f>
        <v>0</v>
      </c>
      <c r="AR10" s="96">
        <f>給付集計表!J23</f>
        <v>495405</v>
      </c>
      <c r="AS10" s="96">
        <f>給付集計表!J24</f>
        <v>272790</v>
      </c>
      <c r="AT10" s="96">
        <f>特定入所!K64</f>
        <v>0</v>
      </c>
      <c r="AU10" s="96">
        <f>特定入所!K65</f>
        <v>0</v>
      </c>
      <c r="AV10" s="96">
        <f>給付集計表!J47</f>
        <v>0</v>
      </c>
      <c r="AW10" s="113">
        <f>給付集計表!J48</f>
        <v>0</v>
      </c>
      <c r="AX10" s="105">
        <v>13200</v>
      </c>
      <c r="AY10" s="39">
        <v>0</v>
      </c>
      <c r="AZ10" s="19">
        <f>給付集計表!J50</f>
        <v>200550</v>
      </c>
      <c r="BA10" s="19">
        <f>特定入所!K66</f>
        <v>0</v>
      </c>
      <c r="BB10" s="19">
        <f>特定入所!K67</f>
        <v>0</v>
      </c>
      <c r="BC10" s="7">
        <f t="shared" si="5"/>
        <v>1084851</v>
      </c>
      <c r="BD10" s="19">
        <f>給付集計表!J66</f>
        <v>0</v>
      </c>
      <c r="BE10" s="19">
        <f>給付集計表!J105</f>
        <v>411840</v>
      </c>
      <c r="BF10" s="19">
        <f>給付集計表!J106</f>
        <v>0</v>
      </c>
      <c r="BG10" s="7">
        <f t="shared" si="6"/>
        <v>411840</v>
      </c>
      <c r="BH10" s="39">
        <v>11902</v>
      </c>
      <c r="BI10" s="7">
        <f t="shared" si="7"/>
        <v>1508593</v>
      </c>
      <c r="BJ10" s="39">
        <v>75226</v>
      </c>
      <c r="BK10" s="7">
        <f t="shared" si="1"/>
        <v>97218198</v>
      </c>
    </row>
    <row r="11" spans="1:63" ht="30" customHeight="1" x14ac:dyDescent="0.15">
      <c r="A11" s="12" t="s">
        <v>86</v>
      </c>
      <c r="B11" s="19">
        <f>給付集計表!K11</f>
        <v>2214058</v>
      </c>
      <c r="C11" s="19">
        <f>給付集計表!K12</f>
        <v>232155</v>
      </c>
      <c r="D11" s="19">
        <f>給付集計表!K13</f>
        <v>2065963</v>
      </c>
      <c r="E11" s="19">
        <f>給付集計表!K14</f>
        <v>0</v>
      </c>
      <c r="F11" s="19">
        <f>給付集計表!K15</f>
        <v>15289300</v>
      </c>
      <c r="G11" s="19">
        <f>給付集計表!K16</f>
        <v>1355952</v>
      </c>
      <c r="H11" s="19">
        <f>給付集計表!K17</f>
        <v>2334960</v>
      </c>
      <c r="I11" s="19">
        <f>給付集計表!K26-特定入所!L13</f>
        <v>4401280</v>
      </c>
      <c r="J11" s="19">
        <f>特定入所!L76</f>
        <v>476046</v>
      </c>
      <c r="K11" s="19">
        <f>給付集計表!K44</f>
        <v>71877</v>
      </c>
      <c r="L11" s="37">
        <f>給付集計表!K45</f>
        <v>792918</v>
      </c>
      <c r="M11" s="39">
        <v>39600</v>
      </c>
      <c r="N11" s="39">
        <v>406260</v>
      </c>
      <c r="O11" s="19">
        <f>給付集計表!K49</f>
        <v>4257841</v>
      </c>
      <c r="P11" s="19">
        <f>特定入所!L59</f>
        <v>159466</v>
      </c>
      <c r="Q11" s="19">
        <f>特定入所!L60</f>
        <v>84641</v>
      </c>
      <c r="R11" s="7">
        <f t="shared" si="2"/>
        <v>34182317</v>
      </c>
      <c r="S11" s="19">
        <f>給付集計表!K53</f>
        <v>978003</v>
      </c>
      <c r="T11" s="19">
        <f>給付集計表!K54</f>
        <v>0</v>
      </c>
      <c r="U11" s="19">
        <f>給付集計表!K55</f>
        <v>96147</v>
      </c>
      <c r="V11" s="19">
        <f>給付集計表!K56</f>
        <v>1571805</v>
      </c>
      <c r="W11" s="19">
        <f>給付集計表!K101</f>
        <v>5928507</v>
      </c>
      <c r="X11" s="19">
        <f>給付集計表!K102</f>
        <v>11897099</v>
      </c>
      <c r="Y11" s="19">
        <f>給付集計表!K103</f>
        <v>0</v>
      </c>
      <c r="Z11" s="19">
        <f>給付集計表!K63-AB11-AC11</f>
        <v>11707871</v>
      </c>
      <c r="AA11" s="19">
        <f>給付集計表!K104</f>
        <v>0</v>
      </c>
      <c r="AB11" s="19">
        <f>特定入所!L38</f>
        <v>943338</v>
      </c>
      <c r="AC11" s="19">
        <f>特定入所!L39</f>
        <v>698302</v>
      </c>
      <c r="AD11" s="7">
        <f t="shared" si="3"/>
        <v>33821072</v>
      </c>
      <c r="AE11" s="37">
        <f>特定入所!L61</f>
        <v>16326981</v>
      </c>
      <c r="AF11" s="37">
        <f>特定入所!L62</f>
        <v>7111610</v>
      </c>
      <c r="AG11" s="37">
        <f>特定入所!L63</f>
        <v>419769</v>
      </c>
      <c r="AH11" s="37">
        <f>特定入所!L44</f>
        <v>1820126</v>
      </c>
      <c r="AI11" s="37">
        <f>特定入所!L45</f>
        <v>911471</v>
      </c>
      <c r="AJ11" s="40">
        <f t="shared" si="4"/>
        <v>26589957</v>
      </c>
      <c r="AK11" s="39">
        <v>2158518</v>
      </c>
      <c r="AL11" s="7">
        <f t="shared" si="0"/>
        <v>96751864</v>
      </c>
      <c r="AM11" s="19">
        <f>給付集計表!K18</f>
        <v>0</v>
      </c>
      <c r="AN11" s="101">
        <f>給付集計表!K19</f>
        <v>0</v>
      </c>
      <c r="AO11" s="112">
        <f>給付集計表!K20</f>
        <v>93888</v>
      </c>
      <c r="AP11" s="96">
        <f>給付集計表!K21</f>
        <v>0</v>
      </c>
      <c r="AQ11" s="96">
        <f>給付集計表!K22</f>
        <v>0</v>
      </c>
      <c r="AR11" s="96">
        <f>給付集計表!K23</f>
        <v>536904</v>
      </c>
      <c r="AS11" s="96">
        <f>給付集計表!K24</f>
        <v>270090</v>
      </c>
      <c r="AT11" s="96">
        <f>特定入所!L64</f>
        <v>0</v>
      </c>
      <c r="AU11" s="96">
        <f>特定入所!L65</f>
        <v>0</v>
      </c>
      <c r="AV11" s="96">
        <f>給付集計表!K47</f>
        <v>0</v>
      </c>
      <c r="AW11" s="113">
        <f>給付集計表!K48</f>
        <v>0</v>
      </c>
      <c r="AX11" s="105">
        <v>61767</v>
      </c>
      <c r="AY11" s="39">
        <v>0</v>
      </c>
      <c r="AZ11" s="19">
        <f>給付集計表!K50</f>
        <v>207940</v>
      </c>
      <c r="BA11" s="19">
        <f>特定入所!L66</f>
        <v>0</v>
      </c>
      <c r="BB11" s="19">
        <f>特定入所!L67</f>
        <v>0</v>
      </c>
      <c r="BC11" s="7">
        <f t="shared" si="5"/>
        <v>1170589</v>
      </c>
      <c r="BD11" s="19">
        <f>給付集計表!K66</f>
        <v>0</v>
      </c>
      <c r="BE11" s="19">
        <f>給付集計表!K105</f>
        <v>411840</v>
      </c>
      <c r="BF11" s="19">
        <f>給付集計表!K106</f>
        <v>0</v>
      </c>
      <c r="BG11" s="7">
        <f t="shared" si="6"/>
        <v>411840</v>
      </c>
      <c r="BH11" s="39">
        <v>17717</v>
      </c>
      <c r="BI11" s="7">
        <f t="shared" si="7"/>
        <v>1600146</v>
      </c>
      <c r="BJ11" s="39">
        <v>74066</v>
      </c>
      <c r="BK11" s="7">
        <f t="shared" si="1"/>
        <v>98426076</v>
      </c>
    </row>
    <row r="12" spans="1:63" ht="30" customHeight="1" x14ac:dyDescent="0.15">
      <c r="A12" s="12" t="s">
        <v>87</v>
      </c>
      <c r="B12" s="19">
        <f>給付集計表!L11</f>
        <v>2102258</v>
      </c>
      <c r="C12" s="19">
        <f>給付集計表!L12</f>
        <v>240201</v>
      </c>
      <c r="D12" s="19">
        <f>給付集計表!L13</f>
        <v>1986025</v>
      </c>
      <c r="E12" s="19">
        <f>給付集計表!L14</f>
        <v>0</v>
      </c>
      <c r="F12" s="19">
        <f>給付集計表!L15</f>
        <v>13701154</v>
      </c>
      <c r="G12" s="19">
        <f>給付集計表!L16</f>
        <v>1386366</v>
      </c>
      <c r="H12" s="19">
        <f>給付集計表!L17</f>
        <v>2414199</v>
      </c>
      <c r="I12" s="19">
        <f>給付集計表!L26-特定入所!M13</f>
        <v>3632136</v>
      </c>
      <c r="J12" s="19">
        <f>特定入所!M76</f>
        <v>449244</v>
      </c>
      <c r="K12" s="19">
        <f>給付集計表!L44</f>
        <v>44787</v>
      </c>
      <c r="L12" s="37">
        <f>給付集計表!L45</f>
        <v>814122</v>
      </c>
      <c r="M12" s="39">
        <v>31680</v>
      </c>
      <c r="N12" s="39">
        <v>323684</v>
      </c>
      <c r="O12" s="19">
        <f>給付集計表!L49</f>
        <v>4320471</v>
      </c>
      <c r="P12" s="19">
        <f>特定入所!M59</f>
        <v>42684</v>
      </c>
      <c r="Q12" s="19">
        <f>特定入所!M60</f>
        <v>49613</v>
      </c>
      <c r="R12" s="7">
        <f t="shared" si="2"/>
        <v>31538624</v>
      </c>
      <c r="S12" s="19">
        <f>給付集計表!L53</f>
        <v>905004</v>
      </c>
      <c r="T12" s="19">
        <f>給付集計表!L54</f>
        <v>0</v>
      </c>
      <c r="U12" s="19">
        <f>給付集計表!L55</f>
        <v>91467</v>
      </c>
      <c r="V12" s="19">
        <f>給付集計表!L56</f>
        <v>1323189</v>
      </c>
      <c r="W12" s="19">
        <f>給付集計表!L101</f>
        <v>5697666</v>
      </c>
      <c r="X12" s="19">
        <f>給付集計表!L102</f>
        <v>11005590</v>
      </c>
      <c r="Y12" s="19">
        <f>給付集計表!L103</f>
        <v>0</v>
      </c>
      <c r="Z12" s="19">
        <f>給付集計表!L63-AB12-AC12</f>
        <v>11428321</v>
      </c>
      <c r="AA12" s="19">
        <f>給付集計表!L104</f>
        <v>0</v>
      </c>
      <c r="AB12" s="19">
        <f>特定入所!M38</f>
        <v>837529</v>
      </c>
      <c r="AC12" s="19">
        <f>特定入所!M39</f>
        <v>666036</v>
      </c>
      <c r="AD12" s="7">
        <f t="shared" si="3"/>
        <v>31954802</v>
      </c>
      <c r="AE12" s="37">
        <f>特定入所!M61</f>
        <v>15181281</v>
      </c>
      <c r="AF12" s="37">
        <f>特定入所!M62</f>
        <v>7823385</v>
      </c>
      <c r="AG12" s="37">
        <f>特定入所!M63</f>
        <v>653130</v>
      </c>
      <c r="AH12" s="37">
        <f>特定入所!M44</f>
        <v>1553874</v>
      </c>
      <c r="AI12" s="37">
        <f>特定入所!M45</f>
        <v>828495</v>
      </c>
      <c r="AJ12" s="40">
        <f t="shared" si="4"/>
        <v>26040165</v>
      </c>
      <c r="AK12" s="39">
        <v>1847398</v>
      </c>
      <c r="AL12" s="7">
        <f t="shared" si="0"/>
        <v>91380989</v>
      </c>
      <c r="AM12" s="19">
        <f>給付集計表!L18</f>
        <v>0</v>
      </c>
      <c r="AN12" s="101">
        <f>給付集計表!L19</f>
        <v>0</v>
      </c>
      <c r="AO12" s="112">
        <f>給付集計表!L20</f>
        <v>86751</v>
      </c>
      <c r="AP12" s="96">
        <f>給付集計表!L21</f>
        <v>0</v>
      </c>
      <c r="AQ12" s="96">
        <f>給付集計表!L22</f>
        <v>0</v>
      </c>
      <c r="AR12" s="96">
        <f>給付集計表!L23</f>
        <v>536904</v>
      </c>
      <c r="AS12" s="96">
        <f>給付集計表!L24</f>
        <v>280395</v>
      </c>
      <c r="AT12" s="96">
        <f>特定入所!M64</f>
        <v>28800</v>
      </c>
      <c r="AU12" s="96">
        <f>特定入所!M65</f>
        <v>0</v>
      </c>
      <c r="AV12" s="96">
        <f>給付集計表!L47</f>
        <v>0</v>
      </c>
      <c r="AW12" s="113">
        <f>給付集計表!L48</f>
        <v>0</v>
      </c>
      <c r="AX12" s="105">
        <v>0</v>
      </c>
      <c r="AY12" s="39">
        <v>0</v>
      </c>
      <c r="AZ12" s="19">
        <f>給付集計表!L50</f>
        <v>209330</v>
      </c>
      <c r="BA12" s="19">
        <f>特定入所!M66</f>
        <v>0</v>
      </c>
      <c r="BB12" s="19">
        <f>特定入所!M67</f>
        <v>0</v>
      </c>
      <c r="BC12" s="7">
        <f t="shared" si="5"/>
        <v>1142180</v>
      </c>
      <c r="BD12" s="19">
        <f>給付集計表!L66</f>
        <v>0</v>
      </c>
      <c r="BE12" s="19">
        <f>給付集計表!L105</f>
        <v>372420</v>
      </c>
      <c r="BF12" s="19">
        <f>給付集計表!L106</f>
        <v>0</v>
      </c>
      <c r="BG12" s="7">
        <f t="shared" si="6"/>
        <v>372420</v>
      </c>
      <c r="BH12" s="39">
        <v>10877</v>
      </c>
      <c r="BI12" s="7">
        <f t="shared" si="7"/>
        <v>1525477</v>
      </c>
      <c r="BJ12" s="39">
        <v>79808</v>
      </c>
      <c r="BK12" s="7">
        <f t="shared" si="1"/>
        <v>92986274</v>
      </c>
    </row>
    <row r="13" spans="1:63" ht="30" customHeight="1" x14ac:dyDescent="0.15">
      <c r="A13" s="12" t="s">
        <v>88</v>
      </c>
      <c r="B13" s="19">
        <f>給付集計表!M11</f>
        <v>2304188</v>
      </c>
      <c r="C13" s="19">
        <f>給付集計表!M12</f>
        <v>292239</v>
      </c>
      <c r="D13" s="19">
        <f>給付集計表!M13</f>
        <v>2105968</v>
      </c>
      <c r="E13" s="19">
        <f>給付集計表!M14</f>
        <v>0</v>
      </c>
      <c r="F13" s="19">
        <f>給付集計表!M15</f>
        <v>14788164</v>
      </c>
      <c r="G13" s="19">
        <f>給付集計表!M16</f>
        <v>1574522</v>
      </c>
      <c r="H13" s="19">
        <f>給付集計表!M17</f>
        <v>2439128</v>
      </c>
      <c r="I13" s="19">
        <f>給付集計表!M26-特定入所!N13</f>
        <v>4192180</v>
      </c>
      <c r="J13" s="19">
        <f>特定入所!N76</f>
        <v>509004</v>
      </c>
      <c r="K13" s="19">
        <f>給付集計表!M44</f>
        <v>73965</v>
      </c>
      <c r="L13" s="37">
        <f>給付集計表!M45</f>
        <v>788112</v>
      </c>
      <c r="M13" s="39">
        <v>17280</v>
      </c>
      <c r="N13" s="39">
        <v>70020</v>
      </c>
      <c r="O13" s="19">
        <f>給付集計表!M49</f>
        <v>4301711</v>
      </c>
      <c r="P13" s="19">
        <f>特定入所!N59</f>
        <v>121915</v>
      </c>
      <c r="Q13" s="19">
        <f>特定入所!N60</f>
        <v>128812</v>
      </c>
      <c r="R13" s="7">
        <f t="shared" si="2"/>
        <v>33707208</v>
      </c>
      <c r="S13" s="19">
        <f>給付集計表!M53</f>
        <v>556353</v>
      </c>
      <c r="T13" s="19">
        <f>給付集計表!M54</f>
        <v>0</v>
      </c>
      <c r="U13" s="19">
        <f>給付集計表!M55</f>
        <v>91467</v>
      </c>
      <c r="V13" s="19">
        <f>給付集計表!M56</f>
        <v>1655325</v>
      </c>
      <c r="W13" s="19">
        <f>給付集計表!M101</f>
        <v>5349762</v>
      </c>
      <c r="X13" s="19">
        <f>給付集計表!M102</f>
        <v>10870570</v>
      </c>
      <c r="Y13" s="19">
        <f>給付集計表!M103</f>
        <v>0</v>
      </c>
      <c r="Z13" s="19">
        <f>給付集計表!M63-AB13-AC13</f>
        <v>11141027</v>
      </c>
      <c r="AA13" s="19">
        <f>給付集計表!M104</f>
        <v>0</v>
      </c>
      <c r="AB13" s="19">
        <f>特定入所!N38</f>
        <v>818030</v>
      </c>
      <c r="AC13" s="19">
        <f>特定入所!N39</f>
        <v>647089</v>
      </c>
      <c r="AD13" s="7">
        <f t="shared" si="3"/>
        <v>31129623</v>
      </c>
      <c r="AE13" s="37">
        <f>特定入所!N61</f>
        <v>15312624</v>
      </c>
      <c r="AF13" s="37">
        <f>特定入所!N62</f>
        <v>7474347</v>
      </c>
      <c r="AG13" s="37">
        <f>特定入所!N63</f>
        <v>632709</v>
      </c>
      <c r="AH13" s="37">
        <f>特定入所!N44</f>
        <v>1594875</v>
      </c>
      <c r="AI13" s="37">
        <f>特定入所!N45</f>
        <v>887231</v>
      </c>
      <c r="AJ13" s="40">
        <f t="shared" si="4"/>
        <v>25901786</v>
      </c>
      <c r="AK13" s="39">
        <v>4483473</v>
      </c>
      <c r="AL13" s="7">
        <f t="shared" si="0"/>
        <v>95222090</v>
      </c>
      <c r="AM13" s="19">
        <f>給付集計表!M18</f>
        <v>0</v>
      </c>
      <c r="AN13" s="101">
        <f>給付集計表!M19</f>
        <v>0</v>
      </c>
      <c r="AO13" s="114">
        <f>給付集計表!M20</f>
        <v>110826</v>
      </c>
      <c r="AP13" s="19">
        <f>給付集計表!M21</f>
        <v>0</v>
      </c>
      <c r="AQ13" s="19">
        <f>給付集計表!M22</f>
        <v>0</v>
      </c>
      <c r="AR13" s="19">
        <f>給付集計表!M23</f>
        <v>536904</v>
      </c>
      <c r="AS13" s="19">
        <f>給付集計表!M24</f>
        <v>306324</v>
      </c>
      <c r="AT13" s="19">
        <f>特定入所!N64</f>
        <v>0</v>
      </c>
      <c r="AU13" s="19">
        <f>特定入所!N65</f>
        <v>0</v>
      </c>
      <c r="AV13" s="19">
        <f>給付集計表!M47</f>
        <v>0</v>
      </c>
      <c r="AW13" s="115">
        <f>給付集計表!M48</f>
        <v>0</v>
      </c>
      <c r="AX13" s="105">
        <v>10800</v>
      </c>
      <c r="AY13" s="39">
        <v>0</v>
      </c>
      <c r="AZ13" s="19">
        <f>給付集計表!M50</f>
        <v>225500</v>
      </c>
      <c r="BA13" s="19">
        <f>特定入所!N66</f>
        <v>0</v>
      </c>
      <c r="BB13" s="19">
        <f>特定入所!N67</f>
        <v>0</v>
      </c>
      <c r="BC13" s="7">
        <f t="shared" si="5"/>
        <v>1190354</v>
      </c>
      <c r="BD13" s="19">
        <f>給付集計表!M66</f>
        <v>0</v>
      </c>
      <c r="BE13" s="19">
        <f>給付集計表!M105</f>
        <v>378351</v>
      </c>
      <c r="BF13" s="19">
        <f>給付集計表!M106</f>
        <v>0</v>
      </c>
      <c r="BG13" s="7">
        <f t="shared" si="6"/>
        <v>378351</v>
      </c>
      <c r="BH13" s="39">
        <v>0</v>
      </c>
      <c r="BI13" s="7">
        <f t="shared" si="7"/>
        <v>1568705</v>
      </c>
      <c r="BJ13" s="39">
        <v>65656</v>
      </c>
      <c r="BK13" s="7">
        <f t="shared" si="1"/>
        <v>96856451</v>
      </c>
    </row>
    <row r="14" spans="1:63" ht="30" customHeight="1" x14ac:dyDescent="0.15">
      <c r="A14" s="12" t="s">
        <v>89</v>
      </c>
      <c r="B14" s="19">
        <f>給付集計表!N11</f>
        <v>2459167</v>
      </c>
      <c r="C14" s="19">
        <f>給付集計表!N12</f>
        <v>217854</v>
      </c>
      <c r="D14" s="19">
        <f>給付集計表!N13</f>
        <v>2001612</v>
      </c>
      <c r="E14" s="19">
        <f>給付集計表!N14</f>
        <v>0</v>
      </c>
      <c r="F14" s="19">
        <f>給付集計表!N15</f>
        <v>15448673</v>
      </c>
      <c r="G14" s="19">
        <f>給付集計表!N16</f>
        <v>1703326</v>
      </c>
      <c r="H14" s="19">
        <f>給付集計表!N17</f>
        <v>2421086</v>
      </c>
      <c r="I14" s="19">
        <f>給付集計表!N26-特定入所!HO13</f>
        <v>3167246</v>
      </c>
      <c r="J14" s="19">
        <f>特定入所!O76</f>
        <v>852813</v>
      </c>
      <c r="K14" s="19">
        <f>給付集計表!N44</f>
        <v>70141</v>
      </c>
      <c r="L14" s="37">
        <f>給付集計表!N45</f>
        <v>688068</v>
      </c>
      <c r="M14" s="39">
        <v>69300</v>
      </c>
      <c r="N14" s="39">
        <v>0</v>
      </c>
      <c r="O14" s="19">
        <f>給付集計表!N49</f>
        <v>4313791</v>
      </c>
      <c r="P14" s="19">
        <f>特定入所!O59</f>
        <v>79233</v>
      </c>
      <c r="Q14" s="19">
        <f>特定入所!O60</f>
        <v>87757</v>
      </c>
      <c r="R14" s="7">
        <f t="shared" si="2"/>
        <v>33580067</v>
      </c>
      <c r="S14" s="19">
        <f>給付集計表!N53</f>
        <v>1048338</v>
      </c>
      <c r="T14" s="19">
        <f>給付集計表!N54</f>
        <v>0</v>
      </c>
      <c r="U14" s="19">
        <f>給付集計表!N55</f>
        <v>90711</v>
      </c>
      <c r="V14" s="19">
        <f>給付集計表!N56</f>
        <v>1769706</v>
      </c>
      <c r="W14" s="19">
        <f>給付集計表!N101</f>
        <v>4884354</v>
      </c>
      <c r="X14" s="19">
        <f>給付集計表!N102</f>
        <v>9064172</v>
      </c>
      <c r="Y14" s="19">
        <f>給付集計表!N103</f>
        <v>0</v>
      </c>
      <c r="Z14" s="19">
        <f>給付集計表!N63-AB14-AC14</f>
        <v>11171700</v>
      </c>
      <c r="AA14" s="19">
        <f>給付集計表!N104</f>
        <v>0</v>
      </c>
      <c r="AB14" s="19">
        <f>特定入所!O38</f>
        <v>749285</v>
      </c>
      <c r="AC14" s="19">
        <f>特定入所!O39</f>
        <v>622871</v>
      </c>
      <c r="AD14" s="7">
        <f t="shared" si="3"/>
        <v>29401137</v>
      </c>
      <c r="AE14" s="37">
        <f>特定入所!O61</f>
        <v>15527145</v>
      </c>
      <c r="AF14" s="37">
        <f>特定入所!O62</f>
        <v>8880984</v>
      </c>
      <c r="AG14" s="37">
        <f>特定入所!O63</f>
        <v>654759</v>
      </c>
      <c r="AH14" s="37">
        <f>特定入所!O44</f>
        <v>1624985</v>
      </c>
      <c r="AI14" s="37">
        <f>特定入所!O45</f>
        <v>863835</v>
      </c>
      <c r="AJ14" s="40">
        <f t="shared" si="4"/>
        <v>27551708</v>
      </c>
      <c r="AK14" s="39">
        <v>1637759</v>
      </c>
      <c r="AL14" s="7">
        <f t="shared" si="0"/>
        <v>92170671</v>
      </c>
      <c r="AM14" s="19">
        <f>給付集計表!N18</f>
        <v>0</v>
      </c>
      <c r="AN14" s="101">
        <f>給付集計表!N19</f>
        <v>0</v>
      </c>
      <c r="AO14" s="114">
        <f>給付集計表!N20</f>
        <v>112086</v>
      </c>
      <c r="AP14" s="19">
        <f>給付集計表!N21</f>
        <v>0</v>
      </c>
      <c r="AQ14" s="19">
        <f>給付集計表!N22</f>
        <v>0</v>
      </c>
      <c r="AR14" s="19">
        <f>給付集計表!N23</f>
        <v>496629</v>
      </c>
      <c r="AS14" s="19">
        <f>給付集計表!N24</f>
        <v>275679</v>
      </c>
      <c r="AT14" s="19">
        <f>特定入所!O64</f>
        <v>0</v>
      </c>
      <c r="AU14" s="19">
        <f>特定入所!O65</f>
        <v>0</v>
      </c>
      <c r="AV14" s="19">
        <f>給付集計表!N47</f>
        <v>0</v>
      </c>
      <c r="AW14" s="115">
        <f>給付集計表!N48</f>
        <v>0</v>
      </c>
      <c r="AX14" s="105">
        <v>0</v>
      </c>
      <c r="AY14" s="39">
        <v>67500</v>
      </c>
      <c r="AZ14" s="19">
        <f>給付集計表!N50</f>
        <v>213240</v>
      </c>
      <c r="BA14" s="19">
        <f>特定入所!O66</f>
        <v>0</v>
      </c>
      <c r="BB14" s="19">
        <f>特定入所!O67</f>
        <v>0</v>
      </c>
      <c r="BC14" s="7">
        <f t="shared" si="5"/>
        <v>1165134</v>
      </c>
      <c r="BD14" s="19">
        <f>給付集計表!N66</f>
        <v>0</v>
      </c>
      <c r="BE14" s="19">
        <f>給付集計表!N105</f>
        <v>295866</v>
      </c>
      <c r="BF14" s="19">
        <f>給付集計表!N106</f>
        <v>0</v>
      </c>
      <c r="BG14" s="7">
        <f t="shared" si="6"/>
        <v>295866</v>
      </c>
      <c r="BH14" s="39">
        <v>0</v>
      </c>
      <c r="BI14" s="7">
        <f t="shared" si="7"/>
        <v>1461000</v>
      </c>
      <c r="BJ14" s="39">
        <v>73892</v>
      </c>
      <c r="BK14" s="7">
        <f t="shared" si="1"/>
        <v>93705563</v>
      </c>
    </row>
    <row r="15" spans="1:63" ht="30" customHeight="1" x14ac:dyDescent="0.15">
      <c r="A15" s="12" t="s">
        <v>79</v>
      </c>
      <c r="B15" s="21">
        <f t="shared" ref="B15:Q15" si="8">AVERAGE(B7:B12)</f>
        <v>2354104.5</v>
      </c>
      <c r="C15" s="21">
        <f t="shared" si="8"/>
        <v>214405.5</v>
      </c>
      <c r="D15" s="21">
        <f t="shared" si="8"/>
        <v>1894878.8333333333</v>
      </c>
      <c r="E15" s="21">
        <f t="shared" si="8"/>
        <v>0</v>
      </c>
      <c r="F15" s="21">
        <f t="shared" si="8"/>
        <v>14349925.833333334</v>
      </c>
      <c r="G15" s="21">
        <f t="shared" si="8"/>
        <v>1556451.6666666667</v>
      </c>
      <c r="H15" s="21">
        <f t="shared" si="8"/>
        <v>2321407.5</v>
      </c>
      <c r="I15" s="21">
        <f t="shared" si="8"/>
        <v>4213617.166666667</v>
      </c>
      <c r="J15" s="21">
        <f t="shared" si="8"/>
        <v>435970.5</v>
      </c>
      <c r="K15" s="21">
        <f t="shared" si="8"/>
        <v>80535.5</v>
      </c>
      <c r="L15" s="21">
        <f t="shared" si="8"/>
        <v>896428.5</v>
      </c>
      <c r="M15" s="21">
        <f t="shared" si="8"/>
        <v>92725</v>
      </c>
      <c r="N15" s="21">
        <f t="shared" si="8"/>
        <v>192348.66666666666</v>
      </c>
      <c r="O15" s="21">
        <f t="shared" si="8"/>
        <v>4321764</v>
      </c>
      <c r="P15" s="21">
        <f t="shared" si="8"/>
        <v>116358.33333333333</v>
      </c>
      <c r="Q15" s="21">
        <f t="shared" si="8"/>
        <v>76440.333333333328</v>
      </c>
      <c r="R15" s="7">
        <f t="shared" si="2"/>
        <v>33117361.833333336</v>
      </c>
      <c r="S15" s="21">
        <f t="shared" ref="S15:AC15" si="9">AVERAGE(S7:S12)</f>
        <v>1014786</v>
      </c>
      <c r="T15" s="21">
        <f t="shared" si="9"/>
        <v>0</v>
      </c>
      <c r="U15" s="21">
        <f t="shared" si="9"/>
        <v>104871</v>
      </c>
      <c r="V15" s="21">
        <f t="shared" si="9"/>
        <v>1651221</v>
      </c>
      <c r="W15" s="21">
        <f t="shared" si="9"/>
        <v>5569154.833333333</v>
      </c>
      <c r="X15" s="21">
        <f t="shared" si="9"/>
        <v>11541320</v>
      </c>
      <c r="Y15" s="21">
        <f t="shared" si="9"/>
        <v>0</v>
      </c>
      <c r="Z15" s="21">
        <f t="shared" si="9"/>
        <v>11257873.5</v>
      </c>
      <c r="AA15" s="21">
        <f t="shared" si="9"/>
        <v>0</v>
      </c>
      <c r="AB15" s="21">
        <f t="shared" si="9"/>
        <v>899293.5</v>
      </c>
      <c r="AC15" s="21">
        <f t="shared" si="9"/>
        <v>667860.16666666663</v>
      </c>
      <c r="AD15" s="7">
        <f>SUM(S12:AC15)</f>
        <v>125191942</v>
      </c>
      <c r="AE15" s="21">
        <f>AVERAGE(AE7:AE12)</f>
        <v>15297913</v>
      </c>
      <c r="AF15" s="21">
        <f>AVERAGE(AF7:AF12)</f>
        <v>7769823.166666667</v>
      </c>
      <c r="AG15" s="21">
        <f>AVERAGE(AG7:AG12)</f>
        <v>380542.5</v>
      </c>
      <c r="AH15" s="21">
        <f>AVERAGE(AH7:AH12)</f>
        <v>1682924.6666666667</v>
      </c>
      <c r="AI15" s="21">
        <f>AVERAGE(AI7:AI12)</f>
        <v>847922</v>
      </c>
      <c r="AJ15" s="40">
        <f t="shared" si="4"/>
        <v>25979125.333333336</v>
      </c>
      <c r="AK15" s="21">
        <f>AVERAGE(AK7:AK12)</f>
        <v>1849176.8333333333</v>
      </c>
      <c r="AL15" s="7">
        <f t="shared" si="0"/>
        <v>186137606.00000003</v>
      </c>
      <c r="AM15" s="21">
        <f t="shared" ref="AM15:BB15" si="10">AVERAGE(AM7:AM14)</f>
        <v>0</v>
      </c>
      <c r="AN15" s="102">
        <f t="shared" si="10"/>
        <v>0</v>
      </c>
      <c r="AO15" s="116">
        <f>給付集計表!O20</f>
        <v>114399</v>
      </c>
      <c r="AP15" s="99">
        <f>給付集計表!O21</f>
        <v>0</v>
      </c>
      <c r="AQ15" s="99">
        <f>給付集計表!O22</f>
        <v>0</v>
      </c>
      <c r="AR15" s="99">
        <f>給付集計表!O23</f>
        <v>571869</v>
      </c>
      <c r="AS15" s="99">
        <f>給付集計表!O24</f>
        <v>318627</v>
      </c>
      <c r="AT15" s="99">
        <f>特定入所!P64</f>
        <v>0</v>
      </c>
      <c r="AU15" s="99">
        <f>特定入所!P65</f>
        <v>0</v>
      </c>
      <c r="AV15" s="99">
        <f>給付集計表!O47</f>
        <v>0</v>
      </c>
      <c r="AW15" s="117">
        <f>給付集計表!O48</f>
        <v>0</v>
      </c>
      <c r="AX15" s="106">
        <f>AVERAGE(AX7:AX12)</f>
        <v>17594.5</v>
      </c>
      <c r="AY15" s="21">
        <f>AVERAGE(AY7:AY12)</f>
        <v>92400</v>
      </c>
      <c r="AZ15" s="21">
        <f>AVERAGE(AZ7:AZ12)</f>
        <v>204326.66666666666</v>
      </c>
      <c r="BA15" s="21">
        <f t="shared" si="10"/>
        <v>0</v>
      </c>
      <c r="BB15" s="21">
        <f t="shared" si="10"/>
        <v>0</v>
      </c>
      <c r="BC15" s="7">
        <f t="shared" si="5"/>
        <v>1319216.1666666667</v>
      </c>
      <c r="BD15" s="21">
        <f>AVERAGE(BD7:BD12)</f>
        <v>0</v>
      </c>
      <c r="BE15" s="21">
        <f>AVERAGE(BE7:BE12)</f>
        <v>404880</v>
      </c>
      <c r="BF15" s="21">
        <f>AVERAGE(BF7:BF12)</f>
        <v>0</v>
      </c>
      <c r="BG15" s="7">
        <f t="shared" si="6"/>
        <v>404880</v>
      </c>
      <c r="BH15" s="21">
        <f>AVERAGE(BH7:BH12)</f>
        <v>12056.166666666666</v>
      </c>
      <c r="BI15" s="7">
        <f t="shared" si="7"/>
        <v>1736152.3333333335</v>
      </c>
      <c r="BJ15" s="21">
        <f>AVERAGE(BJ7:BJ12)</f>
        <v>75496.666666666672</v>
      </c>
      <c r="BK15" s="7">
        <f t="shared" si="1"/>
        <v>187949255.00000003</v>
      </c>
    </row>
    <row r="16" spans="1:63" ht="30" customHeight="1" x14ac:dyDescent="0.15">
      <c r="A16" s="12" t="s">
        <v>80</v>
      </c>
      <c r="B16" s="21">
        <f>MAX(B7:B14)</f>
        <v>2614875</v>
      </c>
      <c r="C16" s="21">
        <f t="shared" ref="C16:Q16" si="11">MAX(C7:C14)</f>
        <v>292734</v>
      </c>
      <c r="D16" s="21">
        <f t="shared" si="11"/>
        <v>2105968</v>
      </c>
      <c r="E16" s="21">
        <f t="shared" si="11"/>
        <v>0</v>
      </c>
      <c r="F16" s="21">
        <f t="shared" si="11"/>
        <v>17727023</v>
      </c>
      <c r="G16" s="21">
        <f t="shared" si="11"/>
        <v>1886819</v>
      </c>
      <c r="H16" s="21">
        <f t="shared" si="11"/>
        <v>2439128</v>
      </c>
      <c r="I16" s="21">
        <f t="shared" si="11"/>
        <v>5662411</v>
      </c>
      <c r="J16" s="21">
        <f t="shared" si="11"/>
        <v>852813</v>
      </c>
      <c r="K16" s="21">
        <f t="shared" si="11"/>
        <v>151503</v>
      </c>
      <c r="L16" s="21">
        <f t="shared" si="11"/>
        <v>1204416</v>
      </c>
      <c r="M16" s="21">
        <f t="shared" si="11"/>
        <v>342960</v>
      </c>
      <c r="N16" s="21">
        <f t="shared" si="11"/>
        <v>406260</v>
      </c>
      <c r="O16" s="21">
        <f t="shared" si="11"/>
        <v>6523351</v>
      </c>
      <c r="P16" s="21">
        <f t="shared" si="11"/>
        <v>163823</v>
      </c>
      <c r="Q16" s="21">
        <f t="shared" si="11"/>
        <v>128812</v>
      </c>
      <c r="R16" s="7">
        <f t="shared" si="2"/>
        <v>42502896</v>
      </c>
      <c r="S16" s="21">
        <f t="shared" ref="S16:Y16" si="12">MAX(S7:S14)</f>
        <v>1089099</v>
      </c>
      <c r="T16" s="21">
        <f t="shared" si="12"/>
        <v>0</v>
      </c>
      <c r="U16" s="21">
        <f t="shared" si="12"/>
        <v>179910</v>
      </c>
      <c r="V16" s="21">
        <f t="shared" si="12"/>
        <v>4826277</v>
      </c>
      <c r="W16" s="21">
        <f t="shared" si="12"/>
        <v>6244443</v>
      </c>
      <c r="X16" s="21">
        <f t="shared" si="12"/>
        <v>11897099</v>
      </c>
      <c r="Y16" s="21">
        <f t="shared" si="12"/>
        <v>0</v>
      </c>
      <c r="Z16" s="21">
        <f>MAX(Z7:Z14)</f>
        <v>18019043</v>
      </c>
      <c r="AA16" s="21">
        <f>MAX(AA7:AA14)</f>
        <v>0</v>
      </c>
      <c r="AB16" s="21">
        <f>MAX(AB7:AB14)</f>
        <v>1517336</v>
      </c>
      <c r="AC16" s="21">
        <f>MAX(AC7:AC14)</f>
        <v>996031</v>
      </c>
      <c r="AD16" s="7">
        <f t="shared" si="3"/>
        <v>44769238</v>
      </c>
      <c r="AE16" s="21">
        <f>MAX(AE7:AE14)</f>
        <v>17134439</v>
      </c>
      <c r="AF16" s="21">
        <f>MAX(AF7:AF14)</f>
        <v>8880984</v>
      </c>
      <c r="AG16" s="21">
        <f>MAX(AG7:AG14)</f>
        <v>654759</v>
      </c>
      <c r="AH16" s="21">
        <f>MAX(AH7:AH14)</f>
        <v>1853208</v>
      </c>
      <c r="AI16" s="21">
        <f>MAX(AI7:AI14)</f>
        <v>920162</v>
      </c>
      <c r="AJ16" s="40">
        <f t="shared" si="4"/>
        <v>29443552</v>
      </c>
      <c r="AK16" s="21">
        <f t="shared" ref="AK16:BB16" si="13">MAX(AK7:AK14)</f>
        <v>4483473</v>
      </c>
      <c r="AL16" s="7">
        <f t="shared" si="0"/>
        <v>121199159</v>
      </c>
      <c r="AM16" s="21">
        <f t="shared" si="13"/>
        <v>0</v>
      </c>
      <c r="AN16" s="102">
        <f t="shared" si="13"/>
        <v>0</v>
      </c>
      <c r="AO16" s="116">
        <f>給付集計表!P20</f>
        <v>108036</v>
      </c>
      <c r="AP16" s="99">
        <f>給付集計表!P21</f>
        <v>0</v>
      </c>
      <c r="AQ16" s="99">
        <f>給付集計表!P22</f>
        <v>0</v>
      </c>
      <c r="AR16" s="99">
        <f>給付集計表!P23</f>
        <v>525348</v>
      </c>
      <c r="AS16" s="99">
        <f>給付集計表!P24</f>
        <v>284400</v>
      </c>
      <c r="AT16" s="99">
        <f>特定入所!Q64</f>
        <v>0</v>
      </c>
      <c r="AU16" s="99">
        <f>特定入所!Q65</f>
        <v>46323</v>
      </c>
      <c r="AV16" s="99">
        <f>給付集計表!P47</f>
        <v>0</v>
      </c>
      <c r="AW16" s="117">
        <f>給付集計表!P48</f>
        <v>0</v>
      </c>
      <c r="AX16" s="106">
        <f t="shared" si="13"/>
        <v>61767</v>
      </c>
      <c r="AY16" s="21">
        <f t="shared" si="13"/>
        <v>314100</v>
      </c>
      <c r="AZ16" s="21">
        <f t="shared" si="13"/>
        <v>225500</v>
      </c>
      <c r="BA16" s="21">
        <f t="shared" si="13"/>
        <v>0</v>
      </c>
      <c r="BB16" s="21">
        <f t="shared" si="13"/>
        <v>0</v>
      </c>
      <c r="BC16" s="7">
        <f t="shared" si="5"/>
        <v>1565474</v>
      </c>
      <c r="BD16" s="21">
        <f>MAX(BD7:BD14)</f>
        <v>0</v>
      </c>
      <c r="BE16" s="21">
        <f>MAX(BE7:BE14)</f>
        <v>411840</v>
      </c>
      <c r="BF16" s="21">
        <f>MAX(BF7:BF14)</f>
        <v>0</v>
      </c>
      <c r="BG16" s="7">
        <f t="shared" si="6"/>
        <v>411840</v>
      </c>
      <c r="BH16" s="21">
        <f>MAX(BH7:BH14)</f>
        <v>17717</v>
      </c>
      <c r="BI16" s="7">
        <f t="shared" si="7"/>
        <v>1995031</v>
      </c>
      <c r="BJ16" s="21">
        <f>MAX(BJ7:BJ14)</f>
        <v>79808</v>
      </c>
      <c r="BK16" s="7">
        <f t="shared" si="1"/>
        <v>123273998</v>
      </c>
    </row>
    <row r="17" spans="1:63" ht="30" customHeight="1" x14ac:dyDescent="0.15">
      <c r="A17" s="12" t="s">
        <v>81</v>
      </c>
      <c r="B17" s="21">
        <f>AVERAGE(B15:B16)</f>
        <v>2484489.75</v>
      </c>
      <c r="C17" s="21">
        <f t="shared" ref="C17:S17" si="14">AVERAGE(C15:C16)</f>
        <v>253569.75</v>
      </c>
      <c r="D17" s="21">
        <f t="shared" si="14"/>
        <v>2000423.4166666665</v>
      </c>
      <c r="E17" s="21">
        <f t="shared" si="14"/>
        <v>0</v>
      </c>
      <c r="F17" s="21">
        <f t="shared" si="14"/>
        <v>16038474.416666668</v>
      </c>
      <c r="G17" s="21">
        <f t="shared" si="14"/>
        <v>1721635.3333333335</v>
      </c>
      <c r="H17" s="21">
        <f t="shared" si="14"/>
        <v>2380267.75</v>
      </c>
      <c r="I17" s="21">
        <f t="shared" si="14"/>
        <v>4938014.083333334</v>
      </c>
      <c r="J17" s="21">
        <f t="shared" si="14"/>
        <v>644391.75</v>
      </c>
      <c r="K17" s="21">
        <f t="shared" si="14"/>
        <v>116019.25</v>
      </c>
      <c r="L17" s="21">
        <f t="shared" si="14"/>
        <v>1050422.25</v>
      </c>
      <c r="M17" s="21">
        <f t="shared" si="14"/>
        <v>217842.5</v>
      </c>
      <c r="N17" s="21">
        <f t="shared" si="14"/>
        <v>299304.33333333331</v>
      </c>
      <c r="O17" s="21">
        <f t="shared" si="14"/>
        <v>5422557.5</v>
      </c>
      <c r="P17" s="21">
        <f t="shared" si="14"/>
        <v>140090.66666666666</v>
      </c>
      <c r="Q17" s="21">
        <f t="shared" si="14"/>
        <v>102626.16666666666</v>
      </c>
      <c r="R17" s="7">
        <f t="shared" si="2"/>
        <v>37810128.916666657</v>
      </c>
      <c r="S17" s="21">
        <f t="shared" si="14"/>
        <v>1051942.5</v>
      </c>
      <c r="T17" s="21">
        <f t="shared" ref="T17:AC17" si="15">AVERAGE(T15:T16)</f>
        <v>0</v>
      </c>
      <c r="U17" s="21">
        <f t="shared" si="15"/>
        <v>142390.5</v>
      </c>
      <c r="V17" s="21">
        <f t="shared" si="15"/>
        <v>3238749</v>
      </c>
      <c r="W17" s="21">
        <f t="shared" si="15"/>
        <v>5906798.916666666</v>
      </c>
      <c r="X17" s="21">
        <f t="shared" si="15"/>
        <v>11719209.5</v>
      </c>
      <c r="Y17" s="21">
        <f t="shared" si="15"/>
        <v>0</v>
      </c>
      <c r="Z17" s="21">
        <f t="shared" si="15"/>
        <v>14638458.25</v>
      </c>
      <c r="AA17" s="21">
        <f t="shared" si="15"/>
        <v>0</v>
      </c>
      <c r="AB17" s="21">
        <f t="shared" si="15"/>
        <v>1208314.75</v>
      </c>
      <c r="AC17" s="21">
        <f t="shared" si="15"/>
        <v>831945.58333333326</v>
      </c>
      <c r="AD17" s="7">
        <f t="shared" si="3"/>
        <v>38737809</v>
      </c>
      <c r="AE17" s="21">
        <f>AVERAGE(AE15:AE16)</f>
        <v>16216176</v>
      </c>
      <c r="AF17" s="21">
        <f>AVERAGE(AF15:AF16)</f>
        <v>8325403.583333334</v>
      </c>
      <c r="AG17" s="21">
        <f>AVERAGE(AG15:AG16)</f>
        <v>517650.75</v>
      </c>
      <c r="AH17" s="21">
        <f>AVERAGE(AH15:AH16)</f>
        <v>1768066.3333333335</v>
      </c>
      <c r="AI17" s="21">
        <f>AVERAGE(AI15:AI16)</f>
        <v>884042</v>
      </c>
      <c r="AJ17" s="40">
        <f t="shared" si="4"/>
        <v>27711338.666666668</v>
      </c>
      <c r="AK17" s="21">
        <f>AVERAGE(AK15:AK16)</f>
        <v>3166324.9166666665</v>
      </c>
      <c r="AL17" s="7">
        <f t="shared" si="0"/>
        <v>107425601.5</v>
      </c>
      <c r="AM17" s="21">
        <f t="shared" ref="AM17:BB17" si="16">AVERAGE(AM15:AM16)</f>
        <v>0</v>
      </c>
      <c r="AN17" s="102">
        <f t="shared" si="16"/>
        <v>0</v>
      </c>
      <c r="AO17" s="116">
        <f>給付集計表!Q20</f>
        <v>81378</v>
      </c>
      <c r="AP17" s="99">
        <f>給付集計表!Q21</f>
        <v>0</v>
      </c>
      <c r="AQ17" s="99">
        <f>給付集計表!Q22</f>
        <v>0</v>
      </c>
      <c r="AR17" s="99">
        <f>給付集計表!Q23</f>
        <v>510597</v>
      </c>
      <c r="AS17" s="99">
        <f>給付集計表!Q24</f>
        <v>299484</v>
      </c>
      <c r="AT17" s="99">
        <f>特定入所!R64</f>
        <v>79983</v>
      </c>
      <c r="AU17" s="99">
        <f>特定入所!R65</f>
        <v>0</v>
      </c>
      <c r="AV17" s="99">
        <f>給付集計表!Q47</f>
        <v>0</v>
      </c>
      <c r="AW17" s="117">
        <f>給付集計表!Q48</f>
        <v>0</v>
      </c>
      <c r="AX17" s="106">
        <f t="shared" si="16"/>
        <v>39680.75</v>
      </c>
      <c r="AY17" s="21">
        <f t="shared" si="16"/>
        <v>203250</v>
      </c>
      <c r="AZ17" s="21">
        <f t="shared" si="16"/>
        <v>214913.33333333331</v>
      </c>
      <c r="BA17" s="21">
        <f t="shared" si="16"/>
        <v>0</v>
      </c>
      <c r="BB17" s="21">
        <f t="shared" si="16"/>
        <v>0</v>
      </c>
      <c r="BC17" s="7">
        <f t="shared" si="5"/>
        <v>1429286.0833333333</v>
      </c>
      <c r="BD17" s="21">
        <f>AVERAGE(BD15:BD16)</f>
        <v>0</v>
      </c>
      <c r="BE17" s="21">
        <f>AVERAGE(BE15:BE16)</f>
        <v>408360</v>
      </c>
      <c r="BF17" s="21">
        <f>AVERAGE(BF15:BF16)</f>
        <v>0</v>
      </c>
      <c r="BG17" s="7">
        <f t="shared" si="6"/>
        <v>408360</v>
      </c>
      <c r="BH17" s="21">
        <f>AVERAGE(BH15:BH16)</f>
        <v>14886.583333333332</v>
      </c>
      <c r="BI17" s="7">
        <f t="shared" si="7"/>
        <v>1852532.6666666665</v>
      </c>
      <c r="BJ17" s="21">
        <f>AVERAGE(BJ15:BJ16)</f>
        <v>77652.333333333343</v>
      </c>
      <c r="BK17" s="7">
        <f t="shared" si="1"/>
        <v>109355786.5</v>
      </c>
    </row>
    <row r="18" spans="1:63" ht="30" customHeight="1" x14ac:dyDescent="0.15">
      <c r="A18" s="12"/>
      <c r="B18" s="19"/>
      <c r="C18" s="19"/>
      <c r="D18" s="19"/>
      <c r="E18" s="19"/>
      <c r="F18" s="19"/>
      <c r="G18" s="19"/>
      <c r="H18" s="19"/>
      <c r="I18" s="19"/>
      <c r="J18" s="19"/>
      <c r="K18" s="19"/>
      <c r="L18" s="20"/>
      <c r="M18" s="19"/>
      <c r="N18" s="19"/>
      <c r="O18" s="19"/>
      <c r="P18" s="19"/>
      <c r="Q18" s="19"/>
      <c r="R18" s="7">
        <f t="shared" si="2"/>
        <v>0</v>
      </c>
      <c r="S18" s="19"/>
      <c r="T18" s="19"/>
      <c r="U18" s="19"/>
      <c r="V18" s="19"/>
      <c r="W18" s="19"/>
      <c r="X18" s="19"/>
      <c r="Y18" s="19"/>
      <c r="Z18" s="19"/>
      <c r="AA18" s="19"/>
      <c r="AB18" s="19"/>
      <c r="AC18" s="19"/>
      <c r="AD18" s="7">
        <f t="shared" si="3"/>
        <v>0</v>
      </c>
      <c r="AE18" s="20"/>
      <c r="AF18" s="20"/>
      <c r="AG18" s="20"/>
      <c r="AH18" s="20"/>
      <c r="AI18" s="20"/>
      <c r="AJ18" s="40">
        <f t="shared" si="4"/>
        <v>0</v>
      </c>
      <c r="AK18" s="19"/>
      <c r="AL18" s="7">
        <f t="shared" si="0"/>
        <v>0</v>
      </c>
      <c r="AM18" s="19"/>
      <c r="AN18" s="101"/>
      <c r="AO18" s="116">
        <f>給付集計表!R20</f>
        <v>88506</v>
      </c>
      <c r="AP18" s="99">
        <f>給付集計表!R21</f>
        <v>0</v>
      </c>
      <c r="AQ18" s="99">
        <f>給付集計表!R22</f>
        <v>0</v>
      </c>
      <c r="AR18" s="99">
        <f>給付集計表!R23</f>
        <v>469134</v>
      </c>
      <c r="AS18" s="99">
        <f>給付集計表!R24</f>
        <v>279198</v>
      </c>
      <c r="AT18" s="99">
        <f>特定入所!S64</f>
        <v>60012</v>
      </c>
      <c r="AU18" s="99">
        <f>特定入所!S65</f>
        <v>0</v>
      </c>
      <c r="AV18" s="99">
        <f>給付集計表!R47</f>
        <v>0</v>
      </c>
      <c r="AW18" s="117">
        <f>給付集計表!R48</f>
        <v>0</v>
      </c>
      <c r="AX18" s="107"/>
      <c r="AY18" s="19"/>
      <c r="AZ18" s="19"/>
      <c r="BA18" s="19"/>
      <c r="BB18" s="19"/>
      <c r="BC18" s="7">
        <f t="shared" si="5"/>
        <v>896850</v>
      </c>
      <c r="BD18" s="19"/>
      <c r="BE18" s="19"/>
      <c r="BF18" s="19"/>
      <c r="BG18" s="7">
        <f t="shared" si="6"/>
        <v>0</v>
      </c>
      <c r="BH18" s="19"/>
      <c r="BI18" s="7">
        <f t="shared" si="7"/>
        <v>896850</v>
      </c>
      <c r="BJ18" s="19"/>
      <c r="BK18" s="7">
        <f t="shared" si="1"/>
        <v>896850</v>
      </c>
    </row>
    <row r="19" spans="1:63" ht="30" customHeight="1" thickBot="1" x14ac:dyDescent="0.2">
      <c r="A19" s="3" t="s">
        <v>55</v>
      </c>
      <c r="B19" s="16">
        <f>SUM(B7:B18)</f>
        <v>26341451.25</v>
      </c>
      <c r="C19" s="16">
        <f>SUM(C7:C18)</f>
        <v>2557235.25</v>
      </c>
      <c r="D19" s="16">
        <f t="shared" ref="D19:BK19" si="17">SUM(D7:D18)</f>
        <v>21478123.25</v>
      </c>
      <c r="E19" s="16">
        <f t="shared" si="17"/>
        <v>0</v>
      </c>
      <c r="F19" s="16">
        <f t="shared" si="17"/>
        <v>164451815.24999997</v>
      </c>
      <c r="G19" s="16">
        <f t="shared" si="17"/>
        <v>17781464</v>
      </c>
      <c r="H19" s="16">
        <f t="shared" si="17"/>
        <v>25929462.25</v>
      </c>
      <c r="I19" s="16">
        <f t="shared" si="17"/>
        <v>47455171.25</v>
      </c>
      <c r="J19" s="16">
        <f t="shared" si="17"/>
        <v>5910815.25</v>
      </c>
      <c r="K19" s="16">
        <f t="shared" si="17"/>
        <v>975376.75</v>
      </c>
      <c r="L19" s="17">
        <f t="shared" si="17"/>
        <v>10006017.75</v>
      </c>
      <c r="M19" s="16">
        <f t="shared" si="17"/>
        <v>1296457.5</v>
      </c>
      <c r="N19" s="16">
        <f t="shared" si="17"/>
        <v>2122025</v>
      </c>
      <c r="O19" s="16">
        <f t="shared" si="17"/>
        <v>50813758.5</v>
      </c>
      <c r="P19" s="16">
        <f t="shared" si="17"/>
        <v>1319570.0000000002</v>
      </c>
      <c r="Q19" s="16">
        <f t="shared" si="17"/>
        <v>983089.5</v>
      </c>
      <c r="R19" s="16">
        <f t="shared" si="17"/>
        <v>379421832.75</v>
      </c>
      <c r="S19" s="16">
        <f t="shared" si="17"/>
        <v>10849234.5</v>
      </c>
      <c r="T19" s="16">
        <f t="shared" si="17"/>
        <v>0</v>
      </c>
      <c r="U19" s="16"/>
      <c r="V19" s="16">
        <f t="shared" si="17"/>
        <v>23048604</v>
      </c>
      <c r="W19" s="16">
        <f t="shared" si="17"/>
        <v>61369441.75</v>
      </c>
      <c r="X19" s="16">
        <f t="shared" si="17"/>
        <v>124340290.5</v>
      </c>
      <c r="Y19" s="16">
        <f>SUM(Y7:Y18)</f>
        <v>0</v>
      </c>
      <c r="Z19" s="16">
        <f t="shared" si="17"/>
        <v>133775342.75</v>
      </c>
      <c r="AA19" s="16">
        <f t="shared" si="17"/>
        <v>0</v>
      </c>
      <c r="AB19" s="16">
        <f t="shared" si="17"/>
        <v>10588020.25</v>
      </c>
      <c r="AC19" s="16">
        <f t="shared" si="17"/>
        <v>7772957.75</v>
      </c>
      <c r="AD19" s="16">
        <f t="shared" si="17"/>
        <v>465468029</v>
      </c>
      <c r="AE19" s="41">
        <f t="shared" si="17"/>
        <v>171275775</v>
      </c>
      <c r="AF19" s="41">
        <f t="shared" si="17"/>
        <v>87950480.75</v>
      </c>
      <c r="AG19" s="41">
        <f t="shared" si="17"/>
        <v>5123675.25</v>
      </c>
      <c r="AH19" s="41">
        <f t="shared" si="17"/>
        <v>18621606.999999996</v>
      </c>
      <c r="AI19" s="41">
        <f t="shared" si="17"/>
        <v>9490724</v>
      </c>
      <c r="AJ19" s="41">
        <f t="shared" si="17"/>
        <v>292462262</v>
      </c>
      <c r="AK19" s="16">
        <f t="shared" si="17"/>
        <v>26715267.75</v>
      </c>
      <c r="AL19" s="16">
        <f t="shared" si="17"/>
        <v>1164067391.5</v>
      </c>
      <c r="AM19" s="16">
        <f t="shared" si="17"/>
        <v>0</v>
      </c>
      <c r="AN19" s="103">
        <f t="shared" si="17"/>
        <v>0</v>
      </c>
      <c r="AO19" s="118">
        <f t="shared" si="17"/>
        <v>1244052</v>
      </c>
      <c r="AP19" s="119">
        <f t="shared" si="17"/>
        <v>0</v>
      </c>
      <c r="AQ19" s="119">
        <f t="shared" si="17"/>
        <v>0</v>
      </c>
      <c r="AR19" s="119">
        <f t="shared" si="17"/>
        <v>6211512</v>
      </c>
      <c r="AS19" s="119">
        <f t="shared" si="17"/>
        <v>3365118</v>
      </c>
      <c r="AT19" s="119">
        <f t="shared" si="17"/>
        <v>253712</v>
      </c>
      <c r="AU19" s="119">
        <f t="shared" si="17"/>
        <v>46323</v>
      </c>
      <c r="AV19" s="119">
        <f t="shared" si="17"/>
        <v>0</v>
      </c>
      <c r="AW19" s="120">
        <f t="shared" si="17"/>
        <v>30339</v>
      </c>
      <c r="AX19" s="108">
        <f t="shared" si="17"/>
        <v>235409.25</v>
      </c>
      <c r="AY19" s="16">
        <f t="shared" si="17"/>
        <v>1231650</v>
      </c>
      <c r="AZ19" s="16">
        <f t="shared" si="17"/>
        <v>2309440</v>
      </c>
      <c r="BA19" s="16">
        <f t="shared" si="17"/>
        <v>0</v>
      </c>
      <c r="BB19" s="16">
        <f t="shared" si="17"/>
        <v>0</v>
      </c>
      <c r="BC19" s="16">
        <f t="shared" si="17"/>
        <v>14927555.25</v>
      </c>
      <c r="BD19" s="16">
        <f t="shared" si="17"/>
        <v>0</v>
      </c>
      <c r="BE19" s="16">
        <f t="shared" si="17"/>
        <v>4328577</v>
      </c>
      <c r="BF19" s="16">
        <f t="shared" si="17"/>
        <v>0</v>
      </c>
      <c r="BG19" s="16">
        <f t="shared" si="17"/>
        <v>4328577</v>
      </c>
      <c r="BH19" s="16">
        <f t="shared" si="17"/>
        <v>116996.75</v>
      </c>
      <c r="BI19" s="16">
        <f t="shared" si="17"/>
        <v>19373129</v>
      </c>
      <c r="BJ19" s="16">
        <f t="shared" si="17"/>
        <v>825485</v>
      </c>
      <c r="BK19" s="16">
        <f t="shared" si="17"/>
        <v>1184266005.5</v>
      </c>
    </row>
    <row r="20" spans="1:63" ht="14.25" thickTop="1" x14ac:dyDescent="0.15"/>
    <row r="21" spans="1:63" ht="30" customHeight="1" x14ac:dyDescent="0.15">
      <c r="B21" s="200" t="s">
        <v>57</v>
      </c>
      <c r="C21" s="201"/>
      <c r="D21" s="201"/>
      <c r="E21" s="201"/>
      <c r="F21" s="202"/>
      <c r="G21" s="198">
        <f>L19+AJ19+AW19</f>
        <v>302498618.75</v>
      </c>
      <c r="H21" s="198"/>
      <c r="J21" s="191" t="s">
        <v>62</v>
      </c>
      <c r="K21" s="3" t="s">
        <v>59</v>
      </c>
      <c r="L21" s="196">
        <f>INT(G21*17.5%)</f>
        <v>52937258</v>
      </c>
      <c r="M21" s="196"/>
      <c r="AO21" s="1">
        <f>AVERAGE(AO7:AO12)</f>
        <v>104803.5</v>
      </c>
      <c r="AP21" s="1">
        <f t="shared" ref="AP21:AW21" si="18">AVERAGE(AP7:AP12)</f>
        <v>0</v>
      </c>
      <c r="AQ21" s="1">
        <f t="shared" si="18"/>
        <v>0</v>
      </c>
      <c r="AR21" s="1">
        <f t="shared" si="18"/>
        <v>516838.5</v>
      </c>
      <c r="AS21" s="1">
        <f t="shared" si="18"/>
        <v>266901</v>
      </c>
      <c r="AT21" s="1">
        <f t="shared" si="18"/>
        <v>18952.833333333332</v>
      </c>
      <c r="AU21" s="1">
        <f t="shared" si="18"/>
        <v>0</v>
      </c>
      <c r="AV21" s="1">
        <f t="shared" si="18"/>
        <v>0</v>
      </c>
      <c r="AW21" s="1">
        <f t="shared" si="18"/>
        <v>5056.5</v>
      </c>
    </row>
    <row r="22" spans="1:63" ht="30" customHeight="1" x14ac:dyDescent="0.15">
      <c r="B22" s="192" t="s">
        <v>58</v>
      </c>
      <c r="C22" s="192"/>
      <c r="D22" s="192"/>
      <c r="E22" s="192"/>
      <c r="F22" s="192"/>
      <c r="G22" s="199">
        <f>BK19-G21</f>
        <v>881767386.75</v>
      </c>
      <c r="H22" s="199"/>
      <c r="J22" s="191"/>
      <c r="K22" s="3" t="s">
        <v>60</v>
      </c>
      <c r="L22" s="197">
        <f>INT(G22*12.5%)</f>
        <v>110220923</v>
      </c>
      <c r="M22" s="197"/>
      <c r="AN22" s="1" t="s">
        <v>244</v>
      </c>
      <c r="AO22" s="189">
        <f>SUM(AO21:AW21)</f>
        <v>912552.33333333337</v>
      </c>
      <c r="AP22" s="190"/>
      <c r="AQ22" s="190"/>
      <c r="AR22" s="190"/>
      <c r="AS22" s="190"/>
      <c r="AT22" s="190"/>
      <c r="AU22" s="190"/>
      <c r="AV22" s="190"/>
      <c r="AW22" s="190"/>
    </row>
    <row r="23" spans="1:63" ht="30" customHeight="1" x14ac:dyDescent="0.15">
      <c r="AN23" s="1" t="s">
        <v>245</v>
      </c>
      <c r="AO23" s="189">
        <f>AVERAGE(AO21:AW21)</f>
        <v>101394.70370370371</v>
      </c>
      <c r="AP23" s="190"/>
      <c r="AQ23" s="190"/>
      <c r="AR23" s="190"/>
      <c r="AS23" s="190"/>
      <c r="AT23" s="190"/>
      <c r="AU23" s="190"/>
      <c r="AV23" s="190"/>
      <c r="AW23" s="190"/>
    </row>
    <row r="25" spans="1:63" ht="20.100000000000001" customHeight="1" x14ac:dyDescent="0.15">
      <c r="B25" s="18" t="s">
        <v>61</v>
      </c>
    </row>
    <row r="26" spans="1:63" ht="20.100000000000001" customHeight="1" x14ac:dyDescent="0.15">
      <c r="B26" s="8" t="s">
        <v>64</v>
      </c>
    </row>
    <row r="27" spans="1:63" ht="20.100000000000001" customHeight="1" x14ac:dyDescent="0.15">
      <c r="B27" s="15" t="s">
        <v>76</v>
      </c>
    </row>
    <row r="28" spans="1:63" ht="20.100000000000001" customHeight="1" x14ac:dyDescent="0.15">
      <c r="B28" s="15" t="s">
        <v>75</v>
      </c>
    </row>
    <row r="29" spans="1:63" ht="20.100000000000001" customHeight="1" x14ac:dyDescent="0.15">
      <c r="B29" s="15" t="s">
        <v>65</v>
      </c>
    </row>
  </sheetData>
  <sheetProtection selectLockedCells="1"/>
  <mergeCells count="21">
    <mergeCell ref="AL5:AL6"/>
    <mergeCell ref="AM5:BC5"/>
    <mergeCell ref="A5:A6"/>
    <mergeCell ref="J21:J22"/>
    <mergeCell ref="BJ5:BJ6"/>
    <mergeCell ref="S5:AD5"/>
    <mergeCell ref="L21:M21"/>
    <mergeCell ref="L22:M22"/>
    <mergeCell ref="G21:H21"/>
    <mergeCell ref="G22:H22"/>
    <mergeCell ref="B21:F21"/>
    <mergeCell ref="B22:F22"/>
    <mergeCell ref="AE5:AJ5"/>
    <mergeCell ref="AK5:AK6"/>
    <mergeCell ref="B5:R5"/>
    <mergeCell ref="AO22:AW22"/>
    <mergeCell ref="AO23:AW23"/>
    <mergeCell ref="BK5:BK6"/>
    <mergeCell ref="BD5:BG5"/>
    <mergeCell ref="BH5:BH6"/>
    <mergeCell ref="BI5:BI6"/>
  </mergeCells>
  <phoneticPr fontId="1"/>
  <pageMargins left="0.39370078740157483" right="0.39370078740157483" top="1.1811023622047245" bottom="0.78740157480314965" header="0.51181102362204722" footer="0.51181102362204722"/>
  <pageSetup paperSize="9" scale="50" fitToWidth="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給付集計表</vt:lpstr>
      <vt:lpstr>特定入所</vt:lpstr>
      <vt:lpstr>試算シート</vt:lpstr>
      <vt:lpstr>給付集計表!Print_Area</vt:lpstr>
      <vt:lpstr>試算シート!Print_Area</vt:lpstr>
      <vt:lpstr>特定入所!Print_Area</vt:lpstr>
      <vt:lpstr>試算シート!Print_Titles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折笠裕之</cp:lastModifiedBy>
  <cp:lastPrinted>2022-01-16T02:03:10Z</cp:lastPrinted>
  <dcterms:created xsi:type="dcterms:W3CDTF">2007-08-16T04:14:24Z</dcterms:created>
  <dcterms:modified xsi:type="dcterms:W3CDTF">2026-09-10T07:23:21Z</dcterms:modified>
</cp:coreProperties>
</file>