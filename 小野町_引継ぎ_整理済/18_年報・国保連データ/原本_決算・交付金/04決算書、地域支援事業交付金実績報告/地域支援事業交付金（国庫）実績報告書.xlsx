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10.152.26.11\令和8年度\6.保険年金\D.介護保険\1.事業計画\02_給付データ\"/>
    </mc:Choice>
  </mc:AlternateContent>
  <xr:revisionPtr revIDLastSave="0" documentId="13_ncr:1_{9A84E8EF-DBCA-49CA-AE37-B828385EB6B7}" xr6:coauthVersionLast="45" xr6:coauthVersionMax="47" xr10:uidLastSave="{00000000-0000-0000-0000-000000000000}"/>
  <bookViews>
    <workbookView xWindow="-120" yWindow="-120" windowWidth="20730" windowHeight="11160" firstSheet="5" activeTab="9" xr2:uid="{028C9DCD-8B55-4226-8270-E258C8F52D7D}"/>
  </bookViews>
  <sheets>
    <sheet name="所要額データ" sheetId="1" state="hidden" r:id="rId1"/>
    <sheet name="PullDown" sheetId="2" state="hidden" r:id="rId2"/>
    <sheet name="←非表示" sheetId="3" state="hidden" r:id="rId3"/>
    <sheet name="当該年度上限額設定状況" sheetId="4" state="hidden" r:id="rId4"/>
    <sheet name="シート反映用データ" sheetId="5" state="hidden" r:id="rId5"/>
    <sheet name="R１実績" sheetId="33" r:id="rId6"/>
    <sheet name="R２実績" sheetId="32" r:id="rId7"/>
    <sheet name="R３実績" sheetId="31" r:id="rId8"/>
    <sheet name="R４実績" sheetId="30" r:id="rId9"/>
    <sheet name="R５実績" sheetId="29" r:id="rId10"/>
    <sheet name="R６実績 " sheetId="28" r:id="rId11"/>
    <sheet name="R７実績" sheetId="27" r:id="rId12"/>
    <sheet name="（参考）包括・任意事業の上限額算定の手引き" sheetId="14" state="hidden" r:id="rId13"/>
  </sheets>
  <externalReferences>
    <externalReference r:id="rId14"/>
    <externalReference r:id="rId15"/>
    <externalReference r:id="rId16"/>
  </externalReferences>
  <definedNames>
    <definedName name="_01" localSheetId="4">#REF!</definedName>
    <definedName name="_01">PullDown!$AA$6:$AA$188</definedName>
    <definedName name="_02" localSheetId="4">#REF!</definedName>
    <definedName name="_02">PullDown!$AB$6:$AB$45</definedName>
    <definedName name="_03" localSheetId="4">#REF!</definedName>
    <definedName name="_03">PullDown!$AC$6:$AC$42</definedName>
    <definedName name="_04" localSheetId="4">#REF!</definedName>
    <definedName name="_04">PullDown!$AD$6:$AD$40</definedName>
    <definedName name="_05" localSheetId="4">#REF!</definedName>
    <definedName name="_05">PullDown!$AE$6:$AE$32</definedName>
    <definedName name="_06" localSheetId="4">#REF!</definedName>
    <definedName name="_06">PullDown!$AF$6:$AF$40</definedName>
    <definedName name="_07" localSheetId="4">#REF!</definedName>
    <definedName name="_07">PullDown!$AG$6:$AG$64</definedName>
    <definedName name="_08" localSheetId="4">#REF!</definedName>
    <definedName name="_08">PullDown!$AH$6:$AH$49</definedName>
    <definedName name="_09" localSheetId="4">#REF!</definedName>
    <definedName name="_09">PullDown!$AI$6:$AI$30</definedName>
    <definedName name="_10" localSheetId="4">#REF!</definedName>
    <definedName name="_10">PullDown!$AJ$6:$AJ$40</definedName>
    <definedName name="_11" localSheetId="4">#REF!</definedName>
    <definedName name="_11">PullDown!$AK$6:$AK$69</definedName>
    <definedName name="_12" localSheetId="4">#REF!</definedName>
    <definedName name="_12">PullDown!$AL$6:$AL$59</definedName>
    <definedName name="_13" localSheetId="4">#REF!</definedName>
    <definedName name="_13">PullDown!$AM$6:$AM$67</definedName>
    <definedName name="_14" localSheetId="4">#REF!</definedName>
    <definedName name="_14">PullDown!$AN$6:$AN$38</definedName>
    <definedName name="_15" localSheetId="4">#REF!</definedName>
    <definedName name="_15">PullDown!$AO$6:$AO$35</definedName>
    <definedName name="_16" localSheetId="4">#REF!</definedName>
    <definedName name="_16">PullDown!$AP$6:$AP$23</definedName>
    <definedName name="_17" localSheetId="4">#REF!</definedName>
    <definedName name="_17">PullDown!$AQ$6:$AQ$24</definedName>
    <definedName name="_18" localSheetId="4">#REF!</definedName>
    <definedName name="_18">PullDown!$AR$6:$AR$23</definedName>
    <definedName name="_19" localSheetId="4">#REF!</definedName>
    <definedName name="_19">PullDown!$AS$6:$AS$32</definedName>
    <definedName name="_20" localSheetId="4">#REF!</definedName>
    <definedName name="_20">PullDown!$AT$6:$AT$85</definedName>
    <definedName name="_21" localSheetId="4">#REF!</definedName>
    <definedName name="_21">PullDown!$AU$6:$AU$50</definedName>
    <definedName name="_22" localSheetId="4">#REF!</definedName>
    <definedName name="_22">PullDown!$AV$6:$AV$40</definedName>
    <definedName name="_23" localSheetId="4">#REF!</definedName>
    <definedName name="_23">PullDown!$AW$6:$AW$61</definedName>
    <definedName name="_24" localSheetId="4">#REF!</definedName>
    <definedName name="_24">PullDown!$AX$6:$AX$37</definedName>
    <definedName name="_25" localSheetId="4">#REF!</definedName>
    <definedName name="_25">PullDown!$AY$6:$AY$24</definedName>
    <definedName name="_26" localSheetId="4">#REF!</definedName>
    <definedName name="_26">PullDown!$AZ$6:$AZ$31</definedName>
    <definedName name="_27" localSheetId="4">#REF!</definedName>
    <definedName name="_27">PullDown!$BA$6:$BA$48</definedName>
    <definedName name="_28" localSheetId="4">#REF!</definedName>
    <definedName name="_28">PullDown!$BB$6:$BB$46</definedName>
    <definedName name="_29" localSheetId="4">#REF!</definedName>
    <definedName name="_29">PullDown!$BC$6:$BC$44</definedName>
    <definedName name="_30" localSheetId="4">#REF!</definedName>
    <definedName name="_30">PullDown!$BD$6:$BD$35</definedName>
    <definedName name="_31" localSheetId="4">#REF!</definedName>
    <definedName name="_31">PullDown!$BE$6:$BE$25</definedName>
    <definedName name="_32" localSheetId="4">#REF!</definedName>
    <definedName name="_32">PullDown!$BF$6:$BF$28</definedName>
    <definedName name="_33" localSheetId="4">#REF!</definedName>
    <definedName name="_33">PullDown!$BG$6:$BG$32</definedName>
    <definedName name="_34" localSheetId="4">#REF!</definedName>
    <definedName name="_34">PullDown!$BH$6:$BH$28</definedName>
    <definedName name="_35" localSheetId="4">#REF!</definedName>
    <definedName name="_35">PullDown!$BI$6:$BI$24</definedName>
    <definedName name="_36" localSheetId="4">#REF!</definedName>
    <definedName name="_36">PullDown!$BJ$6:$BJ$30</definedName>
    <definedName name="_37" localSheetId="4">#REF!</definedName>
    <definedName name="_37">PullDown!$BK$6:$BK$22</definedName>
    <definedName name="_38" localSheetId="4">#REF!</definedName>
    <definedName name="_38">PullDown!$BL$6:$BL$25</definedName>
    <definedName name="_39" localSheetId="4">#REF!</definedName>
    <definedName name="_39">PullDown!$BM$6:$BM$40</definedName>
    <definedName name="_40" localSheetId="4">#REF!</definedName>
    <definedName name="_40">PullDown!$BN$6:$BN$66</definedName>
    <definedName name="_41" localSheetId="4">#REF!</definedName>
    <definedName name="_41">PullDown!$BO$6:$BO$28</definedName>
    <definedName name="_42" localSheetId="4">#REF!</definedName>
    <definedName name="_42">PullDown!$BP$6:$BP$27</definedName>
    <definedName name="_43" localSheetId="4">#REF!</definedName>
    <definedName name="_43">PullDown!$BQ$6:$BQ$50</definedName>
    <definedName name="_44" localSheetId="4">#REF!</definedName>
    <definedName name="_44">PullDown!$BR$6:$BR$23</definedName>
    <definedName name="_45" localSheetId="4">#REF!</definedName>
    <definedName name="_45">PullDown!$BS$6:$BS$31</definedName>
    <definedName name="_46" localSheetId="4">#REF!</definedName>
    <definedName name="_46">PullDown!$BT$6:$BT$48</definedName>
    <definedName name="_47" localSheetId="4">#REF!</definedName>
    <definedName name="_47">PullDown!$BU$6:$BU$47</definedName>
    <definedName name="_xlnm._FilterDatabase" localSheetId="3" hidden="1">当該年度上限額設定状況!$B$6:$H$10</definedName>
    <definedName name="_Order1" hidden="1">255</definedName>
    <definedName name="_Order2" hidden="1">255</definedName>
    <definedName name="○ア介護給付等費用適正化事業">#REF!</definedName>
    <definedName name="○イ家族介護支援事業">#REF!</definedName>
    <definedName name="○ウその他の事業">#REF!</definedName>
    <definedName name="①総合事業上限設定状況">#REF!</definedName>
    <definedName name="②センター運営上限設定状況">#REF!</definedName>
    <definedName name="③社会保障充実上限設定状況">#REF!</definedName>
    <definedName name="A">#REF!</definedName>
    <definedName name="H27及びH28総合事業上限実績">#REF!</definedName>
    <definedName name="Index1">#REF!</definedName>
    <definedName name="Index10">#REF!</definedName>
    <definedName name="Index11">#REF!</definedName>
    <definedName name="Index12">#REF!</definedName>
    <definedName name="Index13">#REF!</definedName>
    <definedName name="Index14">#REF!</definedName>
    <definedName name="Index15">#REF!</definedName>
    <definedName name="Index16">#REF!</definedName>
    <definedName name="Index2">#REF!</definedName>
    <definedName name="Index3">#REF!</definedName>
    <definedName name="Index4">#REF!</definedName>
    <definedName name="Index5">#REF!</definedName>
    <definedName name="Index6">#REF!</definedName>
    <definedName name="Index7">#REF!</definedName>
    <definedName name="Index8">#REF!</definedName>
    <definedName name="Index9">#REF!</definedName>
    <definedName name="ku">所要額データ!#REF!</definedName>
    <definedName name="_xlnm.Print_Area" localSheetId="12">'（参考）包括・任意事業の上限額算定の手引き'!$A$2:$BS$30</definedName>
    <definedName name="_xlnm.Print_Area" localSheetId="8">'R４実績'!#REF!</definedName>
    <definedName name="_xlnm.Print_Area" localSheetId="9">'R５実績'!#REF!</definedName>
    <definedName name="_xlnm.Print_Area" localSheetId="10">'R６実績 '!$A$2:$AC$57</definedName>
    <definedName name="_xlnm.Print_Area" localSheetId="11">'R７実績'!$A$2:$AC$71</definedName>
    <definedName name="_xlnm.Print_Area" localSheetId="3">当該年度上限額設定状況!$A$1:$H$10</definedName>
    <definedName name="_xlnm.Print_Titles" localSheetId="12">'（参考）包括・任意事業の上限額算定の手引き'!$A:$C</definedName>
    <definedName name="Z_1CDBADD8_3CCC_492B_9349_442D7B830976_.wvu.Cols" localSheetId="12" hidden="1">'（参考）包括・任意事業の上限額算定の手引き'!$D:$D,'（参考）包括・任意事業の上限額算定の手引き'!$F:$F,'（参考）包括・任意事業の上限額算定の手引き'!$H:$H,'（参考）包括・任意事業の上限額算定の手引き'!$J:$J,'（参考）包括・任意事業の上限額算定の手引き'!$L:$L,'（参考）包括・任意事業の上限額算定の手引き'!$N:$N,'（参考）包括・任意事業の上限額算定の手引き'!$P:$P,'（参考）包括・任意事業の上限額算定の手引き'!$R:$R,'（参考）包括・任意事業の上限額算定の手引き'!$T:$T,'（参考）包括・任意事業の上限額算定の手引き'!$V:$V,'（参考）包括・任意事業の上限額算定の手引き'!$X:$X,'（参考）包括・任意事業の上限額算定の手引き'!$Z:$Z,'（参考）包括・任意事業の上限額算定の手引き'!$AB:$AB,'（参考）包括・任意事業の上限額算定の手引き'!$AD:$AD,'（参考）包括・任意事業の上限額算定の手引き'!$AF:$AF,'（参考）包括・任意事業の上限額算定の手引き'!$AH:$AH,'（参考）包括・任意事業の上限額算定の手引き'!$AJ:$AJ,'（参考）包括・任意事業の上限額算定の手引き'!$AL:$AL,'（参考）包括・任意事業の上限額算定の手引き'!$AN:$AN,'（参考）包括・任意事業の上限額算定の手引き'!$AP:$AP,'（参考）包括・任意事業の上限額算定の手引き'!$AR:$AR,'（参考）包括・任意事業の上限額算定の手引き'!$AT:$AT,'（参考）包括・任意事業の上限額算定の手引き'!$AV:$AV,'（参考）包括・任意事業の上限額算定の手引き'!$AX:$AX,'（参考）包括・任意事業の上限額算定の手引き'!$AZ:$AZ,'（参考）包括・任意事業の上限額算定の手引き'!$BB:$BB,'（参考）包括・任意事業の上限額算定の手引き'!$BD:$BD,'（参考）包括・任意事業の上限額算定の手引き'!$BF:$BF,'（参考）包括・任意事業の上限額算定の手引き'!$BH:$BH,'（参考）包括・任意事業の上限額算定の手引き'!$BJ:$BJ,'（参考）包括・任意事業の上限額算定の手引き'!$BL:$BL,'（参考）包括・任意事業の上限額算定の手引き'!$BN:$BN,'（参考）包括・任意事業の上限額算定の手引き'!$BP:$BP,'（参考）包括・任意事業の上限額算定の手引き'!$BR:$BR</definedName>
    <definedName name="Z_1CDBADD8_3CCC_492B_9349_442D7B830976_.wvu.Cols" localSheetId="8" hidden="1">'R４実績'!#REF!,'R４実績'!#REF!,'R４実績'!#REF!,'R４実績'!#REF!,'R４実績'!#REF!,'R４実績'!#REF!,'R４実績'!#REF!</definedName>
    <definedName name="Z_1CDBADD8_3CCC_492B_9349_442D7B830976_.wvu.Cols" localSheetId="9" hidden="1">'R５実績'!#REF!,'R５実績'!#REF!,'R５実績'!#REF!,'R５実績'!#REF!,'R５実績'!#REF!,'R５実績'!#REF!,'R５実績'!#REF!</definedName>
    <definedName name="Z_1CDBADD8_3CCC_492B_9349_442D7B830976_.wvu.Cols" localSheetId="10" hidden="1">'R６実績 '!$H:$H,'R６実績 '!$J:$J,'R６実績 '!$L:$L,'R６実績 '!$N:$N,'R６実績 '!$P:$P,'R６実績 '!$R:$R,'R６実績 '!$V:$V</definedName>
    <definedName name="Z_1CDBADD8_3CCC_492B_9349_442D7B830976_.wvu.Cols" localSheetId="11" hidden="1">'R７実績'!$H:$H,'R７実績'!$J:$J,'R７実績'!$L:$L,'R７実績'!$N:$N,'R７実績'!$P:$P,'R７実績'!$R:$R,'R７実績'!$V:$V</definedName>
    <definedName name="Z_1CDBADD8_3CCC_492B_9349_442D7B830976_.wvu.FilterData" localSheetId="3" hidden="1">当該年度上限額設定状況!$B$6:$H$10</definedName>
    <definedName name="Z_1CDBADD8_3CCC_492B_9349_442D7B830976_.wvu.PrintArea" localSheetId="12" hidden="1">'（参考）包括・任意事業の上限額算定の手引き'!$A$2:$BS$30</definedName>
    <definedName name="Z_1CDBADD8_3CCC_492B_9349_442D7B830976_.wvu.PrintArea" localSheetId="8" hidden="1">'R４実績'!#REF!</definedName>
    <definedName name="Z_1CDBADD8_3CCC_492B_9349_442D7B830976_.wvu.PrintArea" localSheetId="9" hidden="1">'R５実績'!#REF!</definedName>
    <definedName name="Z_1CDBADD8_3CCC_492B_9349_442D7B830976_.wvu.PrintArea" localSheetId="10" hidden="1">'R６実績 '!$A$2:$Y$57</definedName>
    <definedName name="Z_1CDBADD8_3CCC_492B_9349_442D7B830976_.wvu.PrintArea" localSheetId="11" hidden="1">'R７実績'!$A$2:$Y$69</definedName>
    <definedName name="Z_1CDBADD8_3CCC_492B_9349_442D7B830976_.wvu.PrintArea" localSheetId="3" hidden="1">当該年度上限額設定状況!$A$1:$H$10</definedName>
    <definedName name="Z_1CDBADD8_3CCC_492B_9349_442D7B830976_.wvu.PrintTitles" localSheetId="12" hidden="1">'（参考）包括・任意事業の上限額算定の手引き'!$A:$C</definedName>
    <definedName name="Z_2F183A5A_E004_4C47_A4C0_5B37B4E0AF6B_.wvu.Cols" localSheetId="8" hidden="1">'R４実績'!#REF!</definedName>
    <definedName name="Z_2F183A5A_E004_4C47_A4C0_5B37B4E0AF6B_.wvu.Cols" localSheetId="9" hidden="1">'R５実績'!#REF!</definedName>
    <definedName name="Z_2F183A5A_E004_4C47_A4C0_5B37B4E0AF6B_.wvu.Cols" localSheetId="10" hidden="1">'R６実績 '!#REF!</definedName>
    <definedName name="Z_2F183A5A_E004_4C47_A4C0_5B37B4E0AF6B_.wvu.Cols" localSheetId="11" hidden="1">'R７実績'!#REF!</definedName>
    <definedName name="Z_2F183A5A_E004_4C47_A4C0_5B37B4E0AF6B_.wvu.FilterData" localSheetId="3" hidden="1">当該年度上限額設定状況!$B$6:$H$10</definedName>
    <definedName name="Z_2F183A5A_E004_4C47_A4C0_5B37B4E0AF6B_.wvu.PrintArea" localSheetId="12" hidden="1">'（参考）包括・任意事業の上限額算定の手引き'!$A$2:$BS$30</definedName>
    <definedName name="Z_2F183A5A_E004_4C47_A4C0_5B37B4E0AF6B_.wvu.PrintArea" localSheetId="8" hidden="1">'R４実績'!#REF!</definedName>
    <definedName name="Z_2F183A5A_E004_4C47_A4C0_5B37B4E0AF6B_.wvu.PrintArea" localSheetId="9" hidden="1">'R５実績'!#REF!</definedName>
    <definedName name="Z_2F183A5A_E004_4C47_A4C0_5B37B4E0AF6B_.wvu.PrintArea" localSheetId="10" hidden="1">'R６実績 '!$A$2:$Y$57</definedName>
    <definedName name="Z_2F183A5A_E004_4C47_A4C0_5B37B4E0AF6B_.wvu.PrintArea" localSheetId="11" hidden="1">'R７実績'!$A$2:$Y$69</definedName>
    <definedName name="Z_2F183A5A_E004_4C47_A4C0_5B37B4E0AF6B_.wvu.PrintArea" localSheetId="3" hidden="1">当該年度上限額設定状況!$A$1:$H$10</definedName>
    <definedName name="Z_2F183A5A_E004_4C47_A4C0_5B37B4E0AF6B_.wvu.PrintTitles" localSheetId="12" hidden="1">'（参考）包括・任意事業の上限額算定の手引き'!$A:$C</definedName>
    <definedName name="Z_7ED23173_0DBF_463C_B258_A6CF548CAE0D_.wvu.Cols" localSheetId="8" hidden="1">'R４実績'!#REF!</definedName>
    <definedName name="Z_7ED23173_0DBF_463C_B258_A6CF548CAE0D_.wvu.Cols" localSheetId="9" hidden="1">'R５実績'!#REF!</definedName>
    <definedName name="Z_7ED23173_0DBF_463C_B258_A6CF548CAE0D_.wvu.Cols" localSheetId="10" hidden="1">'R６実績 '!#REF!</definedName>
    <definedName name="Z_7ED23173_0DBF_463C_B258_A6CF548CAE0D_.wvu.Cols" localSheetId="11" hidden="1">'R７実績'!#REF!</definedName>
    <definedName name="Z_7ED23173_0DBF_463C_B258_A6CF548CAE0D_.wvu.FilterData" localSheetId="3" hidden="1">当該年度上限額設定状況!$B$6:$H$10</definedName>
    <definedName name="Z_7ED23173_0DBF_463C_B258_A6CF548CAE0D_.wvu.PrintArea" localSheetId="12" hidden="1">'（参考）包括・任意事業の上限額算定の手引き'!$A$2:$BS$30</definedName>
    <definedName name="Z_7ED23173_0DBF_463C_B258_A6CF548CAE0D_.wvu.PrintArea" localSheetId="8" hidden="1">'R４実績'!#REF!</definedName>
    <definedName name="Z_7ED23173_0DBF_463C_B258_A6CF548CAE0D_.wvu.PrintArea" localSheetId="9" hidden="1">'R５実績'!#REF!</definedName>
    <definedName name="Z_7ED23173_0DBF_463C_B258_A6CF548CAE0D_.wvu.PrintArea" localSheetId="10" hidden="1">'R６実績 '!$A$2:$Y$57</definedName>
    <definedName name="Z_7ED23173_0DBF_463C_B258_A6CF548CAE0D_.wvu.PrintArea" localSheetId="11" hidden="1">'R７実績'!$A$2:$Y$69</definedName>
    <definedName name="Z_7ED23173_0DBF_463C_B258_A6CF548CAE0D_.wvu.PrintArea" localSheetId="3" hidden="1">当該年度上限額設定状況!$A$1:$H$10</definedName>
    <definedName name="Z_7ED23173_0DBF_463C_B258_A6CF548CAE0D_.wvu.PrintTitles" localSheetId="12" hidden="1">'（参考）包括・任意事業の上限額算定の手引き'!$A:$C</definedName>
    <definedName name="Z_9F63A257_B34E_4AFB_894B_84A8E78C20FC_.wvu.Cols" localSheetId="8" hidden="1">'R４実績'!#REF!</definedName>
    <definedName name="Z_9F63A257_B34E_4AFB_894B_84A8E78C20FC_.wvu.Cols" localSheetId="9" hidden="1">'R５実績'!#REF!</definedName>
    <definedName name="Z_9F63A257_B34E_4AFB_894B_84A8E78C20FC_.wvu.Cols" localSheetId="10" hidden="1">'R６実績 '!#REF!</definedName>
    <definedName name="Z_9F63A257_B34E_4AFB_894B_84A8E78C20FC_.wvu.Cols" localSheetId="11" hidden="1">'R７実績'!#REF!</definedName>
    <definedName name="Z_9F63A257_B34E_4AFB_894B_84A8E78C20FC_.wvu.FilterData" localSheetId="3" hidden="1">当該年度上限額設定状況!$B$6:$H$10</definedName>
    <definedName name="Z_9F63A257_B34E_4AFB_894B_84A8E78C20FC_.wvu.PrintArea" localSheetId="12" hidden="1">'（参考）包括・任意事業の上限額算定の手引き'!$A$2:$BS$30</definedName>
    <definedName name="Z_9F63A257_B34E_4AFB_894B_84A8E78C20FC_.wvu.PrintArea" localSheetId="8" hidden="1">'R４実績'!#REF!</definedName>
    <definedName name="Z_9F63A257_B34E_4AFB_894B_84A8E78C20FC_.wvu.PrintArea" localSheetId="9" hidden="1">'R５実績'!#REF!</definedName>
    <definedName name="Z_9F63A257_B34E_4AFB_894B_84A8E78C20FC_.wvu.PrintArea" localSheetId="10" hidden="1">'R６実績 '!$A$2:$Y$57</definedName>
    <definedName name="Z_9F63A257_B34E_4AFB_894B_84A8E78C20FC_.wvu.PrintArea" localSheetId="11" hidden="1">'R７実績'!$A$2:$Y$68</definedName>
    <definedName name="Z_9F63A257_B34E_4AFB_894B_84A8E78C20FC_.wvu.PrintArea" localSheetId="3" hidden="1">当該年度上限額設定状況!$A$1:$H$10</definedName>
    <definedName name="Z_9F63A257_B34E_4AFB_894B_84A8E78C20FC_.wvu.PrintTitles" localSheetId="12" hidden="1">'（参考）包括・任意事業の上限額算定の手引き'!$A:$C</definedName>
    <definedName name="Z_BD707916_04F9_4511_9807_E4A840FF8069_.wvu.Cols" localSheetId="8" hidden="1">'R４実績'!#REF!</definedName>
    <definedName name="Z_BD707916_04F9_4511_9807_E4A840FF8069_.wvu.Cols" localSheetId="9" hidden="1">'R５実績'!#REF!</definedName>
    <definedName name="Z_BD707916_04F9_4511_9807_E4A840FF8069_.wvu.Cols" localSheetId="10" hidden="1">'R６実績 '!#REF!</definedName>
    <definedName name="Z_BD707916_04F9_4511_9807_E4A840FF8069_.wvu.Cols" localSheetId="11" hidden="1">'R７実績'!#REF!</definedName>
    <definedName name="Z_BD707916_04F9_4511_9807_E4A840FF8069_.wvu.FilterData" localSheetId="3" hidden="1">当該年度上限額設定状況!$B$6:$H$10</definedName>
    <definedName name="Z_BD707916_04F9_4511_9807_E4A840FF8069_.wvu.PrintArea" localSheetId="12" hidden="1">'（参考）包括・任意事業の上限額算定の手引き'!$A$2:$BS$30</definedName>
    <definedName name="Z_BD707916_04F9_4511_9807_E4A840FF8069_.wvu.PrintArea" localSheetId="8" hidden="1">'R４実績'!#REF!</definedName>
    <definedName name="Z_BD707916_04F9_4511_9807_E4A840FF8069_.wvu.PrintArea" localSheetId="9" hidden="1">'R５実績'!#REF!</definedName>
    <definedName name="Z_BD707916_04F9_4511_9807_E4A840FF8069_.wvu.PrintArea" localSheetId="10" hidden="1">'R６実績 '!$A$2:$Y$57</definedName>
    <definedName name="Z_BD707916_04F9_4511_9807_E4A840FF8069_.wvu.PrintArea" localSheetId="11" hidden="1">'R７実績'!$A$2:$Y$68</definedName>
    <definedName name="Z_BD707916_04F9_4511_9807_E4A840FF8069_.wvu.PrintArea" localSheetId="3" hidden="1">当該年度上限額設定状況!$A$1:$H$10</definedName>
    <definedName name="Z_BD707916_04F9_4511_9807_E4A840FF8069_.wvu.PrintTitles" localSheetId="12" hidden="1">'（参考）包括・任意事業の上限額算定の手引き'!$A:$C</definedName>
    <definedName name="あいう">#REF!</definedName>
    <definedName name="愛知県">#REF!</definedName>
    <definedName name="愛媛県">#REF!</definedName>
    <definedName name="移行年度">#REF!</definedName>
    <definedName name="茨城県">#REF!</definedName>
    <definedName name="岡山県">#REF!</definedName>
    <definedName name="沖縄県">#REF!</definedName>
    <definedName name="岩手県">#REF!</definedName>
    <definedName name="岐阜県">#REF!</definedName>
    <definedName name="宮崎県">#REF!</definedName>
    <definedName name="宮城県">#REF!</definedName>
    <definedName name="京都府">#REF!</definedName>
    <definedName name="熊本県">#REF!</definedName>
    <definedName name="群馬県">#REF!</definedName>
    <definedName name="厚生局01">#REF!</definedName>
    <definedName name="厚生局02">#REF!</definedName>
    <definedName name="厚生局03">#REF!</definedName>
    <definedName name="厚生局04">#REF!</definedName>
    <definedName name="厚生局05">#REF!</definedName>
    <definedName name="厚生局06">#REF!</definedName>
    <definedName name="厚生局07">#REF!</definedName>
    <definedName name="厚生局08">#REF!</definedName>
    <definedName name="広島県">#REF!</definedName>
    <definedName name="香川県">#REF!</definedName>
    <definedName name="高知県">#REF!</definedName>
    <definedName name="佐賀県">#REF!</definedName>
    <definedName name="埼玉県">#REF!</definedName>
    <definedName name="三重県">#REF!</definedName>
    <definedName name="山形県">#REF!</definedName>
    <definedName name="山口県">#REF!</definedName>
    <definedName name="山梨県">#REF!</definedName>
    <definedName name="市町村">#REF!</definedName>
    <definedName name="市町村名">#REF!,#REF!</definedName>
    <definedName name="事業">#REF!</definedName>
    <definedName name="滋賀県">#REF!</definedName>
    <definedName name="鹿児島県">#REF!</definedName>
    <definedName name="社保充">#REF!</definedName>
    <definedName name="手引き上限">#REF!</definedName>
    <definedName name="秋田県">#REF!</definedName>
    <definedName name="所要額">#REF!</definedName>
    <definedName name="新潟県">#REF!</definedName>
    <definedName name="神奈川県">#REF!</definedName>
    <definedName name="青森県">#REF!</definedName>
    <definedName name="静岡県">#REF!</definedName>
    <definedName name="石川県">#REF!</definedName>
    <definedName name="千葉県">#REF!</definedName>
    <definedName name="総合事業上限実績">#REF!</definedName>
    <definedName name="大阪府">#REF!</definedName>
    <definedName name="大分県">#REF!</definedName>
    <definedName name="長崎県">#REF!</definedName>
    <definedName name="長野県">#REF!</definedName>
    <definedName name="鳥取県">#REF!</definedName>
    <definedName name="都道府県">#REF!</definedName>
    <definedName name="都道府県名">#REF!</definedName>
    <definedName name="島根県">#REF!</definedName>
    <definedName name="東京都">#REF!</definedName>
    <definedName name="徳島県">#REF!</definedName>
    <definedName name="栃木県">#REF!</definedName>
    <definedName name="奈良県">#REF!</definedName>
    <definedName name="任意">#REF!</definedName>
    <definedName name="富山県">#REF!</definedName>
    <definedName name="福井県">#REF!</definedName>
    <definedName name="福岡県">#REF!</definedName>
    <definedName name="福島県">#REF!</definedName>
    <definedName name="兵庫県">#REF!</definedName>
    <definedName name="北海道">#REF!</definedName>
    <definedName name="和歌山県">#REF!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L54" i="33" l="1"/>
  <c r="G53" i="33"/>
  <c r="G52" i="33"/>
  <c r="G51" i="33"/>
  <c r="G50" i="33"/>
  <c r="G49" i="33"/>
  <c r="H48" i="33"/>
  <c r="F48" i="33"/>
  <c r="E48" i="33"/>
  <c r="G48" i="33" s="1"/>
  <c r="J48" i="33" s="1"/>
  <c r="K48" i="33" s="1"/>
  <c r="M47" i="33"/>
  <c r="M54" i="33" s="1"/>
  <c r="L47" i="33"/>
  <c r="G46" i="33"/>
  <c r="G45" i="33"/>
  <c r="G44" i="33"/>
  <c r="G43" i="33"/>
  <c r="G42" i="33"/>
  <c r="G41" i="33"/>
  <c r="H40" i="33"/>
  <c r="F40" i="33"/>
  <c r="F37" i="33" s="1"/>
  <c r="F35" i="33" s="1"/>
  <c r="E40" i="33"/>
  <c r="G39" i="33"/>
  <c r="G38" i="33"/>
  <c r="H37" i="33"/>
  <c r="H35" i="33" s="1"/>
  <c r="E37" i="33"/>
  <c r="G37" i="33" s="1"/>
  <c r="G36" i="33"/>
  <c r="E35" i="33"/>
  <c r="G34" i="33"/>
  <c r="G33" i="33"/>
  <c r="G32" i="33"/>
  <c r="G31" i="33"/>
  <c r="G30" i="33"/>
  <c r="H29" i="33"/>
  <c r="F29" i="33"/>
  <c r="G29" i="33" s="1"/>
  <c r="E29" i="33"/>
  <c r="G28" i="33"/>
  <c r="G27" i="33"/>
  <c r="G26" i="33"/>
  <c r="G25" i="33"/>
  <c r="G24" i="33"/>
  <c r="G23" i="33"/>
  <c r="G22" i="33"/>
  <c r="H21" i="33"/>
  <c r="F21" i="33"/>
  <c r="E21" i="33"/>
  <c r="G21" i="33" s="1"/>
  <c r="G20" i="33"/>
  <c r="G19" i="33"/>
  <c r="G18" i="33"/>
  <c r="G17" i="33"/>
  <c r="G16" i="33"/>
  <c r="H15" i="33"/>
  <c r="F15" i="33"/>
  <c r="F7" i="33" s="1"/>
  <c r="F47" i="33" s="1"/>
  <c r="F54" i="33" s="1"/>
  <c r="E15" i="33"/>
  <c r="G14" i="33"/>
  <c r="G13" i="33"/>
  <c r="G12" i="33"/>
  <c r="G11" i="33"/>
  <c r="G10" i="33"/>
  <c r="G9" i="33"/>
  <c r="H8" i="33"/>
  <c r="F8" i="33"/>
  <c r="E8" i="33"/>
  <c r="G8" i="33" s="1"/>
  <c r="H7" i="33"/>
  <c r="Q54" i="33"/>
  <c r="Q53" i="33"/>
  <c r="Q52" i="33"/>
  <c r="Q50" i="33"/>
  <c r="Q49" i="33"/>
  <c r="Q48" i="33"/>
  <c r="Q47" i="33"/>
  <c r="Q46" i="33"/>
  <c r="Q45" i="33"/>
  <c r="Q44" i="33"/>
  <c r="Q43" i="33"/>
  <c r="Q42" i="33"/>
  <c r="Q41" i="33"/>
  <c r="Q40" i="33"/>
  <c r="Q39" i="33"/>
  <c r="Q38" i="33"/>
  <c r="Q37" i="33"/>
  <c r="Q36" i="33"/>
  <c r="Q35" i="33"/>
  <c r="Q34" i="33"/>
  <c r="Q33" i="33"/>
  <c r="Q32" i="33"/>
  <c r="Q31" i="33"/>
  <c r="Q30" i="33"/>
  <c r="Q29" i="33"/>
  <c r="Q27" i="33"/>
  <c r="Q26" i="33"/>
  <c r="Q25" i="33"/>
  <c r="Q24" i="33"/>
  <c r="Q23" i="33"/>
  <c r="Q22" i="33"/>
  <c r="Q21" i="33"/>
  <c r="Q20" i="33"/>
  <c r="Q19" i="33"/>
  <c r="Q18" i="33"/>
  <c r="Q17" i="33"/>
  <c r="Q16" i="33"/>
  <c r="Q15" i="33"/>
  <c r="Q11" i="33"/>
  <c r="Q10" i="33"/>
  <c r="Q9" i="33"/>
  <c r="Q8" i="33"/>
  <c r="Q7" i="33"/>
  <c r="H47" i="33" l="1"/>
  <c r="H54" i="33" s="1"/>
  <c r="G35" i="33"/>
  <c r="J35" i="33" s="1"/>
  <c r="K35" i="33" s="1"/>
  <c r="N48" i="33"/>
  <c r="O48" i="33"/>
  <c r="E7" i="33"/>
  <c r="E47" i="33" s="1"/>
  <c r="G15" i="33"/>
  <c r="G7" i="33" s="1"/>
  <c r="J7" i="33" s="1"/>
  <c r="G40" i="33"/>
  <c r="K7" i="33" l="1"/>
  <c r="J47" i="33"/>
  <c r="J54" i="33" s="1"/>
  <c r="G47" i="33"/>
  <c r="G54" i="33" s="1"/>
  <c r="E54" i="33"/>
  <c r="O35" i="33"/>
  <c r="N35" i="33"/>
  <c r="N7" i="33" l="1"/>
  <c r="K47" i="33"/>
  <c r="K54" i="33" s="1"/>
  <c r="O7" i="33"/>
  <c r="O54" i="33" l="1"/>
  <c r="N54" i="33"/>
  <c r="Q57" i="32" l="1"/>
  <c r="Q56" i="32"/>
  <c r="Q54" i="32"/>
  <c r="Q50" i="32"/>
  <c r="Q49" i="32"/>
  <c r="Q48" i="32"/>
  <c r="Q47" i="32"/>
  <c r="Q46" i="32"/>
  <c r="Q45" i="32"/>
  <c r="Q44" i="32"/>
  <c r="Q43" i="32"/>
  <c r="Q42" i="32"/>
  <c r="Q41" i="32"/>
  <c r="Q40" i="32"/>
  <c r="Q39" i="32"/>
  <c r="Q38" i="32"/>
  <c r="Q37" i="32"/>
  <c r="Q36" i="32"/>
  <c r="Q35" i="32"/>
  <c r="Q34" i="32"/>
  <c r="Q33" i="32"/>
  <c r="Q32" i="32"/>
  <c r="Q31" i="32"/>
  <c r="Q30" i="32"/>
  <c r="Q29" i="32"/>
  <c r="Q27" i="32"/>
  <c r="Q26" i="32"/>
  <c r="Q25" i="32"/>
  <c r="Q24" i="32"/>
  <c r="Q23" i="32"/>
  <c r="Q22" i="32"/>
  <c r="Q21" i="32"/>
  <c r="Q20" i="32"/>
  <c r="Q19" i="32"/>
  <c r="Q18" i="32"/>
  <c r="Q17" i="32"/>
  <c r="Q16" i="32"/>
  <c r="Q15" i="32"/>
  <c r="Q11" i="32"/>
  <c r="Q10" i="32"/>
  <c r="Q9" i="32"/>
  <c r="Q8" i="32"/>
  <c r="Q7" i="32"/>
  <c r="P77" i="31" l="1"/>
  <c r="M76" i="31"/>
  <c r="P75" i="31"/>
  <c r="P73" i="31"/>
  <c r="M72" i="31"/>
  <c r="P71" i="31"/>
  <c r="M70" i="31"/>
  <c r="P69" i="31"/>
  <c r="P67" i="31" s="1"/>
  <c r="K66" i="31"/>
  <c r="M64" i="31"/>
  <c r="K64" i="31"/>
  <c r="Q63" i="31"/>
  <c r="Q62" i="31"/>
  <c r="M62" i="31"/>
  <c r="K62" i="31"/>
  <c r="Q61" i="31"/>
  <c r="Q60" i="31"/>
  <c r="P77" i="30" l="1"/>
  <c r="M76" i="30"/>
  <c r="P75" i="30"/>
  <c r="P73" i="30"/>
  <c r="M72" i="30"/>
  <c r="P71" i="30"/>
  <c r="M70" i="30"/>
  <c r="P69" i="30"/>
  <c r="P67" i="30" s="1"/>
  <c r="K66" i="30"/>
  <c r="M64" i="30"/>
  <c r="K64" i="30"/>
  <c r="Q63" i="30"/>
  <c r="Q62" i="30"/>
  <c r="K62" i="30"/>
  <c r="Q61" i="30"/>
  <c r="Q60" i="30"/>
  <c r="P60" i="29" l="1"/>
  <c r="AF56" i="28" l="1"/>
  <c r="AF55" i="28"/>
  <c r="AF54" i="28"/>
  <c r="AF53" i="28"/>
  <c r="AF52" i="28"/>
  <c r="AE45" i="28"/>
  <c r="AE43" i="28"/>
  <c r="AE41" i="28"/>
  <c r="AE35" i="28"/>
  <c r="AE39" i="28" l="1"/>
  <c r="AA71" i="27" l="1"/>
  <c r="Q70" i="27"/>
  <c r="AA69" i="27"/>
  <c r="Q68" i="27"/>
  <c r="AA67" i="27"/>
  <c r="U67" i="27"/>
  <c r="AA65" i="27"/>
  <c r="AC61" i="27"/>
  <c r="AC60" i="27"/>
  <c r="AC59" i="27"/>
  <c r="AC58" i="27"/>
  <c r="G88" i="27"/>
  <c r="G97" i="27"/>
  <c r="G100" i="27" s="1"/>
  <c r="G101" i="27" s="1"/>
  <c r="G79" i="27"/>
  <c r="G80" i="27" s="1"/>
  <c r="G81" i="27" s="1"/>
  <c r="AF56" i="27"/>
  <c r="AF55" i="27"/>
  <c r="AF54" i="27"/>
  <c r="AF53" i="27"/>
  <c r="AF52" i="27"/>
  <c r="AE45" i="27"/>
  <c r="AE43" i="27"/>
  <c r="AE41" i="27"/>
  <c r="AE35" i="27"/>
  <c r="AE39" i="27" l="1"/>
  <c r="I81" i="27"/>
  <c r="G98" i="27"/>
  <c r="G99" i="27" s="1"/>
  <c r="G102" i="27"/>
  <c r="I102" i="27" s="1"/>
  <c r="G82" i="27"/>
  <c r="G83" i="27" s="1"/>
  <c r="I99" i="27" l="1"/>
  <c r="I83" i="27"/>
  <c r="G84" i="27"/>
  <c r="I84" i="27" s="1"/>
  <c r="G89" i="27" l="1"/>
  <c r="G90" i="27" s="1"/>
  <c r="AVR2" i="1"/>
  <c r="AVH2" i="1"/>
  <c r="ATG2" i="1"/>
  <c r="BK28" i="14"/>
  <c r="BI28" i="14"/>
  <c r="AS28" i="14"/>
  <c r="AC28" i="14"/>
  <c r="BS27" i="14"/>
  <c r="BQ27" i="14"/>
  <c r="BO27" i="14"/>
  <c r="BM27" i="14"/>
  <c r="BK27" i="14"/>
  <c r="BI27" i="14"/>
  <c r="BG27" i="14"/>
  <c r="BG28" i="14" s="1"/>
  <c r="BE27" i="14"/>
  <c r="BC27" i="14"/>
  <c r="BA27" i="14"/>
  <c r="AY27" i="14"/>
  <c r="AW27" i="14"/>
  <c r="AU27" i="14"/>
  <c r="AS27" i="14"/>
  <c r="AQ27" i="14"/>
  <c r="AQ28" i="14" s="1"/>
  <c r="AO27" i="14"/>
  <c r="AM27" i="14"/>
  <c r="AK27" i="14"/>
  <c r="AI27" i="14"/>
  <c r="AG27" i="14"/>
  <c r="AE27" i="14"/>
  <c r="AC27" i="14"/>
  <c r="AA27" i="14"/>
  <c r="AA28" i="14" s="1"/>
  <c r="Y27" i="14"/>
  <c r="W27" i="14"/>
  <c r="U27" i="14"/>
  <c r="S27" i="14"/>
  <c r="Q27" i="14"/>
  <c r="O27" i="14"/>
  <c r="M27" i="14"/>
  <c r="K27" i="14"/>
  <c r="K28" i="14" s="1"/>
  <c r="I27" i="14"/>
  <c r="G27" i="14"/>
  <c r="E27" i="14"/>
  <c r="U26" i="14"/>
  <c r="BQ19" i="14"/>
  <c r="BQ26" i="14" s="1"/>
  <c r="BM19" i="14"/>
  <c r="BM26" i="14" s="1"/>
  <c r="AE19" i="14"/>
  <c r="AE26" i="14" s="1"/>
  <c r="AE29" i="14" s="1"/>
  <c r="AE30" i="14" s="1"/>
  <c r="AE8" i="14" s="1"/>
  <c r="U19" i="14"/>
  <c r="BE18" i="14"/>
  <c r="BE20" i="14" s="1"/>
  <c r="BA18" i="14"/>
  <c r="BA20" i="14" s="1"/>
  <c r="AO18" i="14"/>
  <c r="AO20" i="14" s="1"/>
  <c r="I18" i="14"/>
  <c r="I20" i="14" s="1"/>
  <c r="E18" i="14"/>
  <c r="E20" i="14" s="1"/>
  <c r="BS17" i="14"/>
  <c r="BI17" i="14"/>
  <c r="BE17" i="14"/>
  <c r="BE19" i="14" s="1"/>
  <c r="BE26" i="14" s="1"/>
  <c r="BC17" i="14"/>
  <c r="AS17" i="14"/>
  <c r="AO17" i="14"/>
  <c r="AO19" i="14" s="1"/>
  <c r="AO26" i="14" s="1"/>
  <c r="AM17" i="14"/>
  <c r="AC17" i="14"/>
  <c r="Y17" i="14"/>
  <c r="Y19" i="14" s="1"/>
  <c r="Y26" i="14" s="1"/>
  <c r="W17" i="14"/>
  <c r="M17" i="14"/>
  <c r="I17" i="14"/>
  <c r="I19" i="14" s="1"/>
  <c r="I26" i="14" s="1"/>
  <c r="G17" i="14"/>
  <c r="BM14" i="14"/>
  <c r="BI14" i="14"/>
  <c r="BG14" i="14"/>
  <c r="AA14" i="14"/>
  <c r="M14" i="14"/>
  <c r="K14" i="14"/>
  <c r="BM13" i="14"/>
  <c r="BK13" i="14"/>
  <c r="BG13" i="14"/>
  <c r="AW13" i="14"/>
  <c r="AW14" i="14" s="1"/>
  <c r="AU13" i="14"/>
  <c r="AU28" i="14" s="1"/>
  <c r="AQ13" i="14"/>
  <c r="AG13" i="14"/>
  <c r="AG14" i="14" s="1"/>
  <c r="AE13" i="14"/>
  <c r="AE28" i="14" s="1"/>
  <c r="AA13" i="14"/>
  <c r="Q13" i="14"/>
  <c r="Q14" i="14" s="1"/>
  <c r="O13" i="14"/>
  <c r="O28" i="14" s="1"/>
  <c r="K13" i="14"/>
  <c r="BS12" i="14"/>
  <c r="BS13" i="14" s="1"/>
  <c r="BQ12" i="14"/>
  <c r="BQ17" i="14" s="1"/>
  <c r="BQ18" i="14" s="1"/>
  <c r="BO12" i="14"/>
  <c r="BM12" i="14"/>
  <c r="BM17" i="14" s="1"/>
  <c r="BM18" i="14" s="1"/>
  <c r="BK12" i="14"/>
  <c r="BK17" i="14" s="1"/>
  <c r="BI12" i="14"/>
  <c r="BG12" i="14"/>
  <c r="BG17" i="14" s="1"/>
  <c r="BE12" i="14"/>
  <c r="BC12" i="14"/>
  <c r="BC13" i="14" s="1"/>
  <c r="BA12" i="14"/>
  <c r="BA17" i="14" s="1"/>
  <c r="BA19" i="14" s="1"/>
  <c r="BA26" i="14" s="1"/>
  <c r="AY12" i="14"/>
  <c r="AW12" i="14"/>
  <c r="AW17" i="14" s="1"/>
  <c r="AW18" i="14" s="1"/>
  <c r="AU12" i="14"/>
  <c r="AU17" i="14" s="1"/>
  <c r="AS12" i="14"/>
  <c r="AQ12" i="14"/>
  <c r="AQ17" i="14" s="1"/>
  <c r="AO12" i="14"/>
  <c r="AM12" i="14"/>
  <c r="AM13" i="14" s="1"/>
  <c r="AK12" i="14"/>
  <c r="AK17" i="14" s="1"/>
  <c r="AK18" i="14" s="1"/>
  <c r="AI12" i="14"/>
  <c r="AG12" i="14"/>
  <c r="AG17" i="14" s="1"/>
  <c r="AG18" i="14" s="1"/>
  <c r="AE12" i="14"/>
  <c r="AE17" i="14" s="1"/>
  <c r="AE18" i="14" s="1"/>
  <c r="AC12" i="14"/>
  <c r="AA12" i="14"/>
  <c r="AA17" i="14" s="1"/>
  <c r="Y12" i="14"/>
  <c r="W12" i="14"/>
  <c r="W13" i="14" s="1"/>
  <c r="U12" i="14"/>
  <c r="U17" i="14" s="1"/>
  <c r="U18" i="14" s="1"/>
  <c r="U20" i="14" s="1"/>
  <c r="S12" i="14"/>
  <c r="Q12" i="14"/>
  <c r="Q17" i="14" s="1"/>
  <c r="Q18" i="14" s="1"/>
  <c r="O12" i="14"/>
  <c r="O17" i="14" s="1"/>
  <c r="M12" i="14"/>
  <c r="K12" i="14"/>
  <c r="K17" i="14" s="1"/>
  <c r="I12" i="14"/>
  <c r="G12" i="14"/>
  <c r="G13" i="14" s="1"/>
  <c r="E12" i="14"/>
  <c r="E17" i="14" s="1"/>
  <c r="E19" i="14" s="1"/>
  <c r="E26" i="14" s="1"/>
  <c r="BS11" i="14"/>
  <c r="BQ11" i="14"/>
  <c r="BO11" i="14"/>
  <c r="BM11" i="14"/>
  <c r="BK11" i="14"/>
  <c r="BI11" i="14"/>
  <c r="BI13" i="14" s="1"/>
  <c r="BG11" i="14"/>
  <c r="BE11" i="14"/>
  <c r="BC11" i="14"/>
  <c r="BA11" i="14"/>
  <c r="AY11" i="14"/>
  <c r="AW11" i="14"/>
  <c r="AU11" i="14"/>
  <c r="AS11" i="14"/>
  <c r="AS13" i="14" s="1"/>
  <c r="AQ11" i="14"/>
  <c r="AO11" i="14"/>
  <c r="AM11" i="14"/>
  <c r="AK11" i="14"/>
  <c r="AI11" i="14"/>
  <c r="AG11" i="14"/>
  <c r="AE11" i="14"/>
  <c r="AC11" i="14"/>
  <c r="AC13" i="14" s="1"/>
  <c r="AA11" i="14"/>
  <c r="Y11" i="14"/>
  <c r="W11" i="14"/>
  <c r="U11" i="14"/>
  <c r="S11" i="14"/>
  <c r="Q11" i="14"/>
  <c r="O11" i="14"/>
  <c r="M11" i="14"/>
  <c r="M13" i="14" s="1"/>
  <c r="M28" i="14" s="1"/>
  <c r="K11" i="14"/>
  <c r="I11" i="14"/>
  <c r="G11" i="14"/>
  <c r="E11" i="14"/>
  <c r="BS10" i="14"/>
  <c r="BS14" i="14" s="1"/>
  <c r="BQ10" i="14"/>
  <c r="BO10" i="14"/>
  <c r="BM10" i="14"/>
  <c r="BK10" i="14"/>
  <c r="BK14" i="14" s="1"/>
  <c r="BI10" i="14"/>
  <c r="BG10" i="14"/>
  <c r="BE10" i="14"/>
  <c r="BC10" i="14"/>
  <c r="BC14" i="14" s="1"/>
  <c r="BA10" i="14"/>
  <c r="AY10" i="14"/>
  <c r="AW10" i="14"/>
  <c r="AU10" i="14"/>
  <c r="AS10" i="14"/>
  <c r="AS14" i="14" s="1"/>
  <c r="AQ10" i="14"/>
  <c r="AQ14" i="14" s="1"/>
  <c r="AO10" i="14"/>
  <c r="AM10" i="14"/>
  <c r="AM14" i="14" s="1"/>
  <c r="AK10" i="14"/>
  <c r="AI10" i="14"/>
  <c r="AG10" i="14"/>
  <c r="AE10" i="14"/>
  <c r="AE14" i="14" s="1"/>
  <c r="AC10" i="14"/>
  <c r="AC14" i="14" s="1"/>
  <c r="AA10" i="14"/>
  <c r="Y10" i="14"/>
  <c r="W10" i="14"/>
  <c r="W14" i="14" s="1"/>
  <c r="U10" i="14"/>
  <c r="S10" i="14"/>
  <c r="Q10" i="14"/>
  <c r="O10" i="14"/>
  <c r="M10" i="14"/>
  <c r="K10" i="14"/>
  <c r="I10" i="14"/>
  <c r="G10" i="14"/>
  <c r="G14" i="14" s="1"/>
  <c r="E10" i="14"/>
  <c r="BQ9" i="14"/>
  <c r="BM9" i="14"/>
  <c r="BK9" i="14"/>
  <c r="BA9" i="14"/>
  <c r="AW9" i="14"/>
  <c r="AU9" i="14"/>
  <c r="AQ9" i="14"/>
  <c r="AK9" i="14"/>
  <c r="AG9" i="14"/>
  <c r="AE9" i="14"/>
  <c r="AA9" i="14"/>
  <c r="U9" i="14"/>
  <c r="Q9" i="14"/>
  <c r="O9" i="14"/>
  <c r="K9" i="14"/>
  <c r="BS7" i="14"/>
  <c r="BQ7" i="14"/>
  <c r="BO7" i="14"/>
  <c r="BO9" i="14" s="1"/>
  <c r="BM7" i="14"/>
  <c r="BK7" i="14"/>
  <c r="BI7" i="14"/>
  <c r="BG7" i="14"/>
  <c r="BG9" i="14" s="1"/>
  <c r="BE7" i="14"/>
  <c r="BE9" i="14" s="1"/>
  <c r="BC7" i="14"/>
  <c r="BA7" i="14"/>
  <c r="AY7" i="14"/>
  <c r="AY9" i="14" s="1"/>
  <c r="AW7" i="14"/>
  <c r="AU7" i="14"/>
  <c r="AS7" i="14"/>
  <c r="AQ7" i="14"/>
  <c r="AO7" i="14"/>
  <c r="AO9" i="14" s="1"/>
  <c r="AM7" i="14"/>
  <c r="AK7" i="14"/>
  <c r="AI7" i="14"/>
  <c r="AI9" i="14" s="1"/>
  <c r="AG7" i="14"/>
  <c r="AE7" i="14"/>
  <c r="AC7" i="14"/>
  <c r="AA7" i="14"/>
  <c r="Y7" i="14"/>
  <c r="Y9" i="14" s="1"/>
  <c r="W7" i="14"/>
  <c r="U7" i="14"/>
  <c r="S7" i="14"/>
  <c r="S9" i="14" s="1"/>
  <c r="Q7" i="14"/>
  <c r="O7" i="14"/>
  <c r="M7" i="14"/>
  <c r="K7" i="14"/>
  <c r="I7" i="14"/>
  <c r="I9" i="14" s="1"/>
  <c r="G7" i="14"/>
  <c r="E7" i="14"/>
  <c r="E9" i="14" s="1"/>
  <c r="UO2" i="1"/>
  <c r="UH2" i="1"/>
  <c r="UE2" i="1"/>
  <c r="UA2" i="1"/>
  <c r="UZ2" i="1"/>
  <c r="SQ2" i="1"/>
  <c r="OC2" i="1"/>
  <c r="DR2" i="1"/>
  <c r="BV2" i="1"/>
  <c r="AVE2" i="1"/>
  <c r="BQ2" i="1"/>
  <c r="AUY2" i="1"/>
  <c r="FE2" i="1"/>
  <c r="FD2" i="1"/>
  <c r="DE2" i="1"/>
  <c r="BB2" i="1"/>
  <c r="GB2" i="1"/>
  <c r="VB2" i="1"/>
  <c r="UP2" i="1"/>
  <c r="D10" i="4"/>
  <c r="G7" i="4"/>
  <c r="E7" i="4"/>
  <c r="I1" i="4"/>
  <c r="CN1579" i="2"/>
  <c r="CO1579" i="2" s="1"/>
  <c r="CQ1579" i="2" s="1"/>
  <c r="CL1579" i="2"/>
  <c r="CN1578" i="2"/>
  <c r="CO1578" i="2" s="1"/>
  <c r="CQ1578" i="2" s="1"/>
  <c r="CL1578" i="2"/>
  <c r="CN1577" i="2"/>
  <c r="CO1577" i="2" s="1"/>
  <c r="CQ1577" i="2" s="1"/>
  <c r="CL1577" i="2"/>
  <c r="CN1576" i="2"/>
  <c r="CO1576" i="2" s="1"/>
  <c r="CQ1576" i="2" s="1"/>
  <c r="CL1576" i="2"/>
  <c r="CN1575" i="2"/>
  <c r="CO1575" i="2" s="1"/>
  <c r="CQ1575" i="2" s="1"/>
  <c r="CL1575" i="2"/>
  <c r="CN1574" i="2"/>
  <c r="CO1574" i="2" s="1"/>
  <c r="CQ1574" i="2" s="1"/>
  <c r="CL1574" i="2"/>
  <c r="CN1573" i="2"/>
  <c r="CO1573" i="2" s="1"/>
  <c r="CQ1573" i="2" s="1"/>
  <c r="CL1573" i="2"/>
  <c r="CN1572" i="2"/>
  <c r="CO1572" i="2" s="1"/>
  <c r="CQ1572" i="2" s="1"/>
  <c r="CL1572" i="2"/>
  <c r="CN1571" i="2"/>
  <c r="CO1571" i="2" s="1"/>
  <c r="CQ1571" i="2" s="1"/>
  <c r="CL1571" i="2"/>
  <c r="CQ1570" i="2"/>
  <c r="CN1570" i="2"/>
  <c r="CO1570" i="2" s="1"/>
  <c r="CL1570" i="2"/>
  <c r="CN1569" i="2"/>
  <c r="CO1569" i="2" s="1"/>
  <c r="CQ1569" i="2" s="1"/>
  <c r="CL1569" i="2"/>
  <c r="CN1568" i="2"/>
  <c r="CO1568" i="2" s="1"/>
  <c r="CQ1568" i="2" s="1"/>
  <c r="CL1568" i="2"/>
  <c r="CN1567" i="2"/>
  <c r="CO1567" i="2" s="1"/>
  <c r="CQ1567" i="2" s="1"/>
  <c r="CL1567" i="2"/>
  <c r="CO1566" i="2"/>
  <c r="CQ1566" i="2" s="1"/>
  <c r="CN1566" i="2"/>
  <c r="CL1566" i="2"/>
  <c r="CN1565" i="2"/>
  <c r="CO1565" i="2" s="1"/>
  <c r="CQ1565" i="2" s="1"/>
  <c r="CL1565" i="2"/>
  <c r="CQ1564" i="2"/>
  <c r="CO1564" i="2"/>
  <c r="CN1564" i="2"/>
  <c r="CL1564" i="2"/>
  <c r="CN1563" i="2"/>
  <c r="CO1563" i="2" s="1"/>
  <c r="CQ1563" i="2" s="1"/>
  <c r="CL1563" i="2"/>
  <c r="CQ1562" i="2"/>
  <c r="CN1562" i="2"/>
  <c r="CO1562" i="2" s="1"/>
  <c r="CL1562" i="2"/>
  <c r="CN1561" i="2"/>
  <c r="CO1561" i="2" s="1"/>
  <c r="CQ1561" i="2" s="1"/>
  <c r="CL1561" i="2"/>
  <c r="CN1560" i="2"/>
  <c r="CO1560" i="2" s="1"/>
  <c r="CQ1560" i="2" s="1"/>
  <c r="CL1560" i="2"/>
  <c r="CN1559" i="2"/>
  <c r="CO1559" i="2" s="1"/>
  <c r="CQ1559" i="2" s="1"/>
  <c r="CL1559" i="2"/>
  <c r="CQ1558" i="2"/>
  <c r="CO1558" i="2"/>
  <c r="CN1558" i="2"/>
  <c r="CL1558" i="2"/>
  <c r="CN1557" i="2"/>
  <c r="CO1557" i="2" s="1"/>
  <c r="CQ1557" i="2" s="1"/>
  <c r="CL1557" i="2"/>
  <c r="CN1556" i="2"/>
  <c r="CO1556" i="2" s="1"/>
  <c r="CQ1556" i="2" s="1"/>
  <c r="CL1556" i="2"/>
  <c r="CN1555" i="2"/>
  <c r="CO1555" i="2" s="1"/>
  <c r="CQ1555" i="2" s="1"/>
  <c r="CL1555" i="2"/>
  <c r="CN1554" i="2"/>
  <c r="CO1554" i="2" s="1"/>
  <c r="CQ1554" i="2" s="1"/>
  <c r="CL1554" i="2"/>
  <c r="CN1553" i="2"/>
  <c r="CO1553" i="2" s="1"/>
  <c r="CQ1553" i="2" s="1"/>
  <c r="CL1553" i="2"/>
  <c r="CN1552" i="2"/>
  <c r="CO1552" i="2" s="1"/>
  <c r="CQ1552" i="2" s="1"/>
  <c r="CL1552" i="2"/>
  <c r="CN1551" i="2"/>
  <c r="CO1551" i="2" s="1"/>
  <c r="CQ1551" i="2" s="1"/>
  <c r="CL1551" i="2"/>
  <c r="CQ1550" i="2"/>
  <c r="CN1550" i="2"/>
  <c r="CO1550" i="2" s="1"/>
  <c r="CL1550" i="2"/>
  <c r="CN1549" i="2"/>
  <c r="CO1549" i="2" s="1"/>
  <c r="CQ1549" i="2" s="1"/>
  <c r="CL1549" i="2"/>
  <c r="CN1548" i="2"/>
  <c r="CO1548" i="2" s="1"/>
  <c r="CQ1548" i="2" s="1"/>
  <c r="CL1548" i="2"/>
  <c r="CN1547" i="2"/>
  <c r="CO1547" i="2" s="1"/>
  <c r="CQ1547" i="2" s="1"/>
  <c r="CL1547" i="2"/>
  <c r="CQ1546" i="2"/>
  <c r="CN1546" i="2"/>
  <c r="CO1546" i="2" s="1"/>
  <c r="CL1546" i="2"/>
  <c r="CL1545" i="2"/>
  <c r="CN1545" i="2" s="1"/>
  <c r="CO1545" i="2" s="1"/>
  <c r="CQ1545" i="2" s="1"/>
  <c r="CN1544" i="2"/>
  <c r="CO1544" i="2" s="1"/>
  <c r="CQ1544" i="2" s="1"/>
  <c r="CL1544" i="2"/>
  <c r="CN1543" i="2"/>
  <c r="CO1543" i="2" s="1"/>
  <c r="CQ1543" i="2" s="1"/>
  <c r="CL1543" i="2"/>
  <c r="CN1542" i="2"/>
  <c r="CO1542" i="2" s="1"/>
  <c r="CQ1542" i="2" s="1"/>
  <c r="CL1542" i="2"/>
  <c r="CN1541" i="2"/>
  <c r="CO1541" i="2" s="1"/>
  <c r="CQ1541" i="2" s="1"/>
  <c r="CL1541" i="2"/>
  <c r="CN1540" i="2"/>
  <c r="CO1540" i="2" s="1"/>
  <c r="CQ1540" i="2" s="1"/>
  <c r="CL1540" i="2"/>
  <c r="CN1539" i="2"/>
  <c r="CO1539" i="2" s="1"/>
  <c r="CQ1539" i="2" s="1"/>
  <c r="CL1539" i="2"/>
  <c r="CQ1538" i="2"/>
  <c r="CN1538" i="2"/>
  <c r="CO1538" i="2" s="1"/>
  <c r="CL1538" i="2"/>
  <c r="CL1537" i="2"/>
  <c r="CN1537" i="2" s="1"/>
  <c r="CO1537" i="2" s="1"/>
  <c r="CQ1537" i="2" s="1"/>
  <c r="CN1536" i="2"/>
  <c r="CO1536" i="2" s="1"/>
  <c r="CQ1536" i="2" s="1"/>
  <c r="CL1536" i="2"/>
  <c r="CN1535" i="2"/>
  <c r="CO1535" i="2" s="1"/>
  <c r="CQ1535" i="2" s="1"/>
  <c r="CL1535" i="2"/>
  <c r="CN1534" i="2"/>
  <c r="CO1534" i="2" s="1"/>
  <c r="CQ1534" i="2" s="1"/>
  <c r="CL1534" i="2"/>
  <c r="CN1533" i="2"/>
  <c r="CO1533" i="2" s="1"/>
  <c r="CQ1533" i="2" s="1"/>
  <c r="CL1533" i="2"/>
  <c r="CN1532" i="2"/>
  <c r="CO1532" i="2" s="1"/>
  <c r="CQ1532" i="2" s="1"/>
  <c r="CL1532" i="2"/>
  <c r="CN1531" i="2"/>
  <c r="CO1531" i="2" s="1"/>
  <c r="CQ1531" i="2" s="1"/>
  <c r="CL1531" i="2"/>
  <c r="CQ1530" i="2"/>
  <c r="CN1530" i="2"/>
  <c r="CO1530" i="2" s="1"/>
  <c r="CL1530" i="2"/>
  <c r="CL1529" i="2"/>
  <c r="CN1529" i="2" s="1"/>
  <c r="CO1529" i="2" s="1"/>
  <c r="CQ1529" i="2" s="1"/>
  <c r="CN1528" i="2"/>
  <c r="CO1528" i="2" s="1"/>
  <c r="CQ1528" i="2" s="1"/>
  <c r="CL1528" i="2"/>
  <c r="CN1527" i="2"/>
  <c r="CO1527" i="2" s="1"/>
  <c r="CQ1527" i="2" s="1"/>
  <c r="CL1527" i="2"/>
  <c r="CN1526" i="2"/>
  <c r="CO1526" i="2" s="1"/>
  <c r="CQ1526" i="2" s="1"/>
  <c r="CL1526" i="2"/>
  <c r="CN1525" i="2"/>
  <c r="CO1525" i="2" s="1"/>
  <c r="CQ1525" i="2" s="1"/>
  <c r="CL1525" i="2"/>
  <c r="CQ1524" i="2"/>
  <c r="CN1524" i="2"/>
  <c r="CO1524" i="2" s="1"/>
  <c r="CL1524" i="2"/>
  <c r="CN1523" i="2"/>
  <c r="CO1523" i="2" s="1"/>
  <c r="CQ1523" i="2" s="1"/>
  <c r="CL1523" i="2"/>
  <c r="CL1522" i="2"/>
  <c r="CN1522" i="2" s="1"/>
  <c r="CO1522" i="2" s="1"/>
  <c r="CQ1522" i="2" s="1"/>
  <c r="CL1521" i="2"/>
  <c r="CN1521" i="2" s="1"/>
  <c r="CO1521" i="2" s="1"/>
  <c r="CQ1521" i="2" s="1"/>
  <c r="CN1520" i="2"/>
  <c r="CO1520" i="2" s="1"/>
  <c r="CQ1520" i="2" s="1"/>
  <c r="CL1520" i="2"/>
  <c r="CN1519" i="2"/>
  <c r="CO1519" i="2" s="1"/>
  <c r="CQ1519" i="2" s="1"/>
  <c r="CL1519" i="2"/>
  <c r="CN1518" i="2"/>
  <c r="CO1518" i="2" s="1"/>
  <c r="CQ1518" i="2" s="1"/>
  <c r="CL1518" i="2"/>
  <c r="CN1517" i="2"/>
  <c r="CO1517" i="2" s="1"/>
  <c r="CQ1517" i="2" s="1"/>
  <c r="CL1517" i="2"/>
  <c r="CN1516" i="2"/>
  <c r="CO1516" i="2" s="1"/>
  <c r="CQ1516" i="2" s="1"/>
  <c r="CL1516" i="2"/>
  <c r="CN1515" i="2"/>
  <c r="CO1515" i="2" s="1"/>
  <c r="CQ1515" i="2" s="1"/>
  <c r="CL1515" i="2"/>
  <c r="CL1514" i="2"/>
  <c r="CN1514" i="2" s="1"/>
  <c r="CO1514" i="2" s="1"/>
  <c r="CQ1514" i="2" s="1"/>
  <c r="CL1513" i="2"/>
  <c r="CN1513" i="2" s="1"/>
  <c r="CO1513" i="2" s="1"/>
  <c r="CQ1513" i="2" s="1"/>
  <c r="CN1512" i="2"/>
  <c r="CO1512" i="2" s="1"/>
  <c r="CQ1512" i="2" s="1"/>
  <c r="CL1512" i="2"/>
  <c r="CN1511" i="2"/>
  <c r="CO1511" i="2" s="1"/>
  <c r="CQ1511" i="2" s="1"/>
  <c r="CL1511" i="2"/>
  <c r="CN1510" i="2"/>
  <c r="CO1510" i="2" s="1"/>
  <c r="CQ1510" i="2" s="1"/>
  <c r="CL1510" i="2"/>
  <c r="CN1509" i="2"/>
  <c r="CO1509" i="2" s="1"/>
  <c r="CQ1509" i="2" s="1"/>
  <c r="CL1509" i="2"/>
  <c r="CN1508" i="2"/>
  <c r="CO1508" i="2" s="1"/>
  <c r="CQ1508" i="2" s="1"/>
  <c r="CL1508" i="2"/>
  <c r="CN1507" i="2"/>
  <c r="CO1507" i="2" s="1"/>
  <c r="CQ1507" i="2" s="1"/>
  <c r="CL1507" i="2"/>
  <c r="CL1506" i="2"/>
  <c r="CN1506" i="2" s="1"/>
  <c r="CO1506" i="2" s="1"/>
  <c r="CQ1506" i="2" s="1"/>
  <c r="CL1505" i="2"/>
  <c r="CN1505" i="2" s="1"/>
  <c r="CO1505" i="2" s="1"/>
  <c r="CQ1505" i="2" s="1"/>
  <c r="CN1504" i="2"/>
  <c r="CO1504" i="2" s="1"/>
  <c r="CQ1504" i="2" s="1"/>
  <c r="CL1504" i="2"/>
  <c r="CN1503" i="2"/>
  <c r="CO1503" i="2" s="1"/>
  <c r="CQ1503" i="2" s="1"/>
  <c r="CL1503" i="2"/>
  <c r="CN1502" i="2"/>
  <c r="CO1502" i="2" s="1"/>
  <c r="CQ1502" i="2" s="1"/>
  <c r="CL1502" i="2"/>
  <c r="CN1501" i="2"/>
  <c r="CO1501" i="2" s="1"/>
  <c r="CQ1501" i="2" s="1"/>
  <c r="CL1501" i="2"/>
  <c r="CQ1500" i="2"/>
  <c r="CN1500" i="2"/>
  <c r="CO1500" i="2" s="1"/>
  <c r="CL1500" i="2"/>
  <c r="CN1499" i="2"/>
  <c r="CO1499" i="2" s="1"/>
  <c r="CQ1499" i="2" s="1"/>
  <c r="CL1499" i="2"/>
  <c r="CL1498" i="2"/>
  <c r="CN1498" i="2" s="1"/>
  <c r="CO1498" i="2" s="1"/>
  <c r="CQ1498" i="2" s="1"/>
  <c r="CL1497" i="2"/>
  <c r="CN1497" i="2" s="1"/>
  <c r="CO1497" i="2" s="1"/>
  <c r="CQ1497" i="2" s="1"/>
  <c r="CN1496" i="2"/>
  <c r="CO1496" i="2" s="1"/>
  <c r="CQ1496" i="2" s="1"/>
  <c r="CL1496" i="2"/>
  <c r="CN1495" i="2"/>
  <c r="CO1495" i="2" s="1"/>
  <c r="CQ1495" i="2" s="1"/>
  <c r="CL1495" i="2"/>
  <c r="CQ1494" i="2"/>
  <c r="CN1494" i="2"/>
  <c r="CO1494" i="2" s="1"/>
  <c r="CL1494" i="2"/>
  <c r="CN1493" i="2"/>
  <c r="CO1493" i="2" s="1"/>
  <c r="CQ1493" i="2" s="1"/>
  <c r="CL1493" i="2"/>
  <c r="CN1492" i="2"/>
  <c r="CO1492" i="2" s="1"/>
  <c r="CQ1492" i="2" s="1"/>
  <c r="CL1492" i="2"/>
  <c r="CN1491" i="2"/>
  <c r="CO1491" i="2" s="1"/>
  <c r="CQ1491" i="2" s="1"/>
  <c r="CL1491" i="2"/>
  <c r="CL1490" i="2"/>
  <c r="CN1490" i="2" s="1"/>
  <c r="CO1490" i="2" s="1"/>
  <c r="CQ1490" i="2" s="1"/>
  <c r="CL1489" i="2"/>
  <c r="CN1489" i="2" s="1"/>
  <c r="CO1489" i="2" s="1"/>
  <c r="CQ1489" i="2" s="1"/>
  <c r="CN1488" i="2"/>
  <c r="CO1488" i="2" s="1"/>
  <c r="CQ1488" i="2" s="1"/>
  <c r="CL1488" i="2"/>
  <c r="CN1487" i="2"/>
  <c r="CO1487" i="2" s="1"/>
  <c r="CQ1487" i="2" s="1"/>
  <c r="CL1487" i="2"/>
  <c r="CN1486" i="2"/>
  <c r="CO1486" i="2" s="1"/>
  <c r="CQ1486" i="2" s="1"/>
  <c r="CL1486" i="2"/>
  <c r="CN1485" i="2"/>
  <c r="CO1485" i="2" s="1"/>
  <c r="CQ1485" i="2" s="1"/>
  <c r="CL1485" i="2"/>
  <c r="CN1484" i="2"/>
  <c r="CO1484" i="2" s="1"/>
  <c r="CQ1484" i="2" s="1"/>
  <c r="CL1484" i="2"/>
  <c r="CN1483" i="2"/>
  <c r="CO1483" i="2" s="1"/>
  <c r="CQ1483" i="2" s="1"/>
  <c r="CL1483" i="2"/>
  <c r="CL1482" i="2"/>
  <c r="CN1482" i="2" s="1"/>
  <c r="CO1482" i="2" s="1"/>
  <c r="CQ1482" i="2" s="1"/>
  <c r="CL1481" i="2"/>
  <c r="CN1481" i="2" s="1"/>
  <c r="CO1481" i="2" s="1"/>
  <c r="CQ1481" i="2" s="1"/>
  <c r="CN1480" i="2"/>
  <c r="CO1480" i="2" s="1"/>
  <c r="CQ1480" i="2" s="1"/>
  <c r="CL1480" i="2"/>
  <c r="CN1479" i="2"/>
  <c r="CO1479" i="2" s="1"/>
  <c r="CQ1479" i="2" s="1"/>
  <c r="CL1479" i="2"/>
  <c r="CQ1478" i="2"/>
  <c r="CN1478" i="2"/>
  <c r="CO1478" i="2" s="1"/>
  <c r="CL1478" i="2"/>
  <c r="CN1477" i="2"/>
  <c r="CO1477" i="2" s="1"/>
  <c r="CQ1477" i="2" s="1"/>
  <c r="CL1477" i="2"/>
  <c r="CQ1476" i="2"/>
  <c r="CN1476" i="2"/>
  <c r="CO1476" i="2" s="1"/>
  <c r="CL1476" i="2"/>
  <c r="CN1475" i="2"/>
  <c r="CO1475" i="2" s="1"/>
  <c r="CQ1475" i="2" s="1"/>
  <c r="CL1475" i="2"/>
  <c r="CL1474" i="2"/>
  <c r="CN1474" i="2" s="1"/>
  <c r="CO1474" i="2" s="1"/>
  <c r="CQ1474" i="2" s="1"/>
  <c r="CL1473" i="2"/>
  <c r="CN1473" i="2" s="1"/>
  <c r="CO1473" i="2" s="1"/>
  <c r="CQ1473" i="2" s="1"/>
  <c r="CN1472" i="2"/>
  <c r="CO1472" i="2" s="1"/>
  <c r="CQ1472" i="2" s="1"/>
  <c r="CL1472" i="2"/>
  <c r="CN1471" i="2"/>
  <c r="CO1471" i="2" s="1"/>
  <c r="CQ1471" i="2" s="1"/>
  <c r="CL1471" i="2"/>
  <c r="CN1470" i="2"/>
  <c r="CO1470" i="2" s="1"/>
  <c r="CQ1470" i="2" s="1"/>
  <c r="CL1470" i="2"/>
  <c r="CN1469" i="2"/>
  <c r="CO1469" i="2" s="1"/>
  <c r="CQ1469" i="2" s="1"/>
  <c r="CL1469" i="2"/>
  <c r="CQ1468" i="2"/>
  <c r="CN1468" i="2"/>
  <c r="CO1468" i="2" s="1"/>
  <c r="CL1468" i="2"/>
  <c r="CN1467" i="2"/>
  <c r="CO1467" i="2" s="1"/>
  <c r="CQ1467" i="2" s="1"/>
  <c r="CL1467" i="2"/>
  <c r="CL1466" i="2"/>
  <c r="CN1466" i="2" s="1"/>
  <c r="CO1466" i="2" s="1"/>
  <c r="CQ1466" i="2" s="1"/>
  <c r="CL1465" i="2"/>
  <c r="CN1465" i="2" s="1"/>
  <c r="CO1465" i="2" s="1"/>
  <c r="CQ1465" i="2" s="1"/>
  <c r="CN1464" i="2"/>
  <c r="CO1464" i="2" s="1"/>
  <c r="CQ1464" i="2" s="1"/>
  <c r="CL1464" i="2"/>
  <c r="CN1463" i="2"/>
  <c r="CO1463" i="2" s="1"/>
  <c r="CQ1463" i="2" s="1"/>
  <c r="CL1463" i="2"/>
  <c r="CN1462" i="2"/>
  <c r="CO1462" i="2" s="1"/>
  <c r="CQ1462" i="2" s="1"/>
  <c r="CL1462" i="2"/>
  <c r="CN1461" i="2"/>
  <c r="CO1461" i="2" s="1"/>
  <c r="CQ1461" i="2" s="1"/>
  <c r="CL1461" i="2"/>
  <c r="CN1460" i="2"/>
  <c r="CO1460" i="2" s="1"/>
  <c r="CQ1460" i="2" s="1"/>
  <c r="CL1460" i="2"/>
  <c r="CN1459" i="2"/>
  <c r="CO1459" i="2" s="1"/>
  <c r="CQ1459" i="2" s="1"/>
  <c r="CL1459" i="2"/>
  <c r="CL1458" i="2"/>
  <c r="CN1458" i="2" s="1"/>
  <c r="CO1458" i="2" s="1"/>
  <c r="CQ1458" i="2" s="1"/>
  <c r="CL1457" i="2"/>
  <c r="CN1457" i="2" s="1"/>
  <c r="CO1457" i="2" s="1"/>
  <c r="CQ1457" i="2" s="1"/>
  <c r="CN1456" i="2"/>
  <c r="CO1456" i="2" s="1"/>
  <c r="CQ1456" i="2" s="1"/>
  <c r="CL1456" i="2"/>
  <c r="CN1455" i="2"/>
  <c r="CO1455" i="2" s="1"/>
  <c r="CQ1455" i="2" s="1"/>
  <c r="CL1455" i="2"/>
  <c r="CN1454" i="2"/>
  <c r="CO1454" i="2" s="1"/>
  <c r="CQ1454" i="2" s="1"/>
  <c r="CL1454" i="2"/>
  <c r="CN1453" i="2"/>
  <c r="CO1453" i="2" s="1"/>
  <c r="CQ1453" i="2" s="1"/>
  <c r="CL1453" i="2"/>
  <c r="CN1452" i="2"/>
  <c r="CO1452" i="2" s="1"/>
  <c r="CQ1452" i="2" s="1"/>
  <c r="CL1452" i="2"/>
  <c r="CN1451" i="2"/>
  <c r="CO1451" i="2" s="1"/>
  <c r="CQ1451" i="2" s="1"/>
  <c r="CL1451" i="2"/>
  <c r="CL1450" i="2"/>
  <c r="CN1450" i="2" s="1"/>
  <c r="CO1450" i="2" s="1"/>
  <c r="CQ1450" i="2" s="1"/>
  <c r="CL1449" i="2"/>
  <c r="CN1449" i="2" s="1"/>
  <c r="CO1449" i="2" s="1"/>
  <c r="CQ1449" i="2" s="1"/>
  <c r="CN1448" i="2"/>
  <c r="CO1448" i="2" s="1"/>
  <c r="CQ1448" i="2" s="1"/>
  <c r="CL1448" i="2"/>
  <c r="CN1447" i="2"/>
  <c r="CO1447" i="2" s="1"/>
  <c r="CQ1447" i="2" s="1"/>
  <c r="CL1447" i="2"/>
  <c r="CN1446" i="2"/>
  <c r="CO1446" i="2" s="1"/>
  <c r="CQ1446" i="2" s="1"/>
  <c r="CL1446" i="2"/>
  <c r="CN1445" i="2"/>
  <c r="CO1445" i="2" s="1"/>
  <c r="CQ1445" i="2" s="1"/>
  <c r="CL1445" i="2"/>
  <c r="CQ1444" i="2"/>
  <c r="CN1444" i="2"/>
  <c r="CO1444" i="2" s="1"/>
  <c r="CL1444" i="2"/>
  <c r="CN1443" i="2"/>
  <c r="CO1443" i="2" s="1"/>
  <c r="CQ1443" i="2" s="1"/>
  <c r="CL1443" i="2"/>
  <c r="CQ1442" i="2"/>
  <c r="CL1442" i="2"/>
  <c r="CN1442" i="2" s="1"/>
  <c r="CO1442" i="2" s="1"/>
  <c r="CL1441" i="2"/>
  <c r="CN1441" i="2" s="1"/>
  <c r="CO1441" i="2" s="1"/>
  <c r="CQ1441" i="2" s="1"/>
  <c r="CN1440" i="2"/>
  <c r="CO1440" i="2" s="1"/>
  <c r="CQ1440" i="2" s="1"/>
  <c r="CL1440" i="2"/>
  <c r="CN1439" i="2"/>
  <c r="CO1439" i="2" s="1"/>
  <c r="CQ1439" i="2" s="1"/>
  <c r="CL1439" i="2"/>
  <c r="CQ1438" i="2"/>
  <c r="CN1438" i="2"/>
  <c r="CO1438" i="2" s="1"/>
  <c r="CL1438" i="2"/>
  <c r="CN1437" i="2"/>
  <c r="CO1437" i="2" s="1"/>
  <c r="CQ1437" i="2" s="1"/>
  <c r="CL1437" i="2"/>
  <c r="CN1436" i="2"/>
  <c r="CO1436" i="2" s="1"/>
  <c r="CQ1436" i="2" s="1"/>
  <c r="CL1436" i="2"/>
  <c r="CN1435" i="2"/>
  <c r="CO1435" i="2" s="1"/>
  <c r="CQ1435" i="2" s="1"/>
  <c r="CL1435" i="2"/>
  <c r="CL1434" i="2"/>
  <c r="CN1434" i="2" s="1"/>
  <c r="CO1434" i="2" s="1"/>
  <c r="CQ1434" i="2" s="1"/>
  <c r="CL1433" i="2"/>
  <c r="CN1433" i="2" s="1"/>
  <c r="CO1433" i="2" s="1"/>
  <c r="CQ1433" i="2" s="1"/>
  <c r="CN1432" i="2"/>
  <c r="CO1432" i="2" s="1"/>
  <c r="CQ1432" i="2" s="1"/>
  <c r="CL1432" i="2"/>
  <c r="CN1431" i="2"/>
  <c r="CO1431" i="2" s="1"/>
  <c r="CQ1431" i="2" s="1"/>
  <c r="CL1431" i="2"/>
  <c r="CQ1430" i="2"/>
  <c r="CN1430" i="2"/>
  <c r="CO1430" i="2" s="1"/>
  <c r="CL1430" i="2"/>
  <c r="CN1429" i="2"/>
  <c r="CO1429" i="2" s="1"/>
  <c r="CQ1429" i="2" s="1"/>
  <c r="CL1429" i="2"/>
  <c r="CN1428" i="2"/>
  <c r="CO1428" i="2" s="1"/>
  <c r="CQ1428" i="2" s="1"/>
  <c r="CL1428" i="2"/>
  <c r="CN1427" i="2"/>
  <c r="CO1427" i="2" s="1"/>
  <c r="CQ1427" i="2" s="1"/>
  <c r="CL1427" i="2"/>
  <c r="CQ1426" i="2"/>
  <c r="CL1426" i="2"/>
  <c r="CN1426" i="2" s="1"/>
  <c r="CO1426" i="2" s="1"/>
  <c r="CL1425" i="2"/>
  <c r="CN1425" i="2" s="1"/>
  <c r="CO1425" i="2" s="1"/>
  <c r="CQ1425" i="2" s="1"/>
  <c r="CN1424" i="2"/>
  <c r="CO1424" i="2" s="1"/>
  <c r="CQ1424" i="2" s="1"/>
  <c r="CL1424" i="2"/>
  <c r="CN1423" i="2"/>
  <c r="CO1423" i="2" s="1"/>
  <c r="CQ1423" i="2" s="1"/>
  <c r="CL1423" i="2"/>
  <c r="CN1422" i="2"/>
  <c r="CO1422" i="2" s="1"/>
  <c r="CQ1422" i="2" s="1"/>
  <c r="CL1422" i="2"/>
  <c r="CN1421" i="2"/>
  <c r="CO1421" i="2" s="1"/>
  <c r="CQ1421" i="2" s="1"/>
  <c r="CL1421" i="2"/>
  <c r="CN1420" i="2"/>
  <c r="CO1420" i="2" s="1"/>
  <c r="CQ1420" i="2" s="1"/>
  <c r="CL1420" i="2"/>
  <c r="CN1419" i="2"/>
  <c r="CO1419" i="2" s="1"/>
  <c r="CQ1419" i="2" s="1"/>
  <c r="CL1419" i="2"/>
  <c r="CQ1418" i="2"/>
  <c r="CL1418" i="2"/>
  <c r="CN1418" i="2" s="1"/>
  <c r="CO1418" i="2" s="1"/>
  <c r="CL1417" i="2"/>
  <c r="CN1417" i="2" s="1"/>
  <c r="CO1417" i="2" s="1"/>
  <c r="CQ1417" i="2" s="1"/>
  <c r="CN1416" i="2"/>
  <c r="CO1416" i="2" s="1"/>
  <c r="CQ1416" i="2" s="1"/>
  <c r="CL1416" i="2"/>
  <c r="CN1415" i="2"/>
  <c r="CO1415" i="2" s="1"/>
  <c r="CQ1415" i="2" s="1"/>
  <c r="CL1415" i="2"/>
  <c r="CQ1414" i="2"/>
  <c r="CN1414" i="2"/>
  <c r="CO1414" i="2" s="1"/>
  <c r="CL1414" i="2"/>
  <c r="CN1413" i="2"/>
  <c r="CO1413" i="2" s="1"/>
  <c r="CQ1413" i="2" s="1"/>
  <c r="CL1413" i="2"/>
  <c r="CN1412" i="2"/>
  <c r="CO1412" i="2" s="1"/>
  <c r="CQ1412" i="2" s="1"/>
  <c r="CL1412" i="2"/>
  <c r="CN1411" i="2"/>
  <c r="CO1411" i="2" s="1"/>
  <c r="CQ1411" i="2" s="1"/>
  <c r="CL1411" i="2"/>
  <c r="CL1410" i="2"/>
  <c r="CN1410" i="2" s="1"/>
  <c r="CO1410" i="2" s="1"/>
  <c r="CQ1410" i="2" s="1"/>
  <c r="CL1409" i="2"/>
  <c r="CN1409" i="2" s="1"/>
  <c r="CO1409" i="2" s="1"/>
  <c r="CQ1409" i="2" s="1"/>
  <c r="CN1408" i="2"/>
  <c r="CO1408" i="2" s="1"/>
  <c r="CQ1408" i="2" s="1"/>
  <c r="CL1408" i="2"/>
  <c r="CN1407" i="2"/>
  <c r="CO1407" i="2" s="1"/>
  <c r="CQ1407" i="2" s="1"/>
  <c r="CL1407" i="2"/>
  <c r="CQ1406" i="2"/>
  <c r="CN1406" i="2"/>
  <c r="CO1406" i="2" s="1"/>
  <c r="CL1406" i="2"/>
  <c r="CN1405" i="2"/>
  <c r="CO1405" i="2" s="1"/>
  <c r="CQ1405" i="2" s="1"/>
  <c r="CL1405" i="2"/>
  <c r="CQ1404" i="2"/>
  <c r="CN1404" i="2"/>
  <c r="CO1404" i="2" s="1"/>
  <c r="CL1404" i="2"/>
  <c r="CN1403" i="2"/>
  <c r="CO1403" i="2" s="1"/>
  <c r="CQ1403" i="2" s="1"/>
  <c r="CL1403" i="2"/>
  <c r="CQ1402" i="2"/>
  <c r="CL1402" i="2"/>
  <c r="CN1402" i="2" s="1"/>
  <c r="CO1402" i="2" s="1"/>
  <c r="CL1401" i="2"/>
  <c r="CN1401" i="2" s="1"/>
  <c r="CO1401" i="2" s="1"/>
  <c r="CQ1401" i="2" s="1"/>
  <c r="CN1400" i="2"/>
  <c r="CO1400" i="2" s="1"/>
  <c r="CQ1400" i="2" s="1"/>
  <c r="CL1400" i="2"/>
  <c r="CN1399" i="2"/>
  <c r="CO1399" i="2" s="1"/>
  <c r="CQ1399" i="2" s="1"/>
  <c r="CL1399" i="2"/>
  <c r="CN1398" i="2"/>
  <c r="CO1398" i="2" s="1"/>
  <c r="CQ1398" i="2" s="1"/>
  <c r="CL1398" i="2"/>
  <c r="CN1397" i="2"/>
  <c r="CO1397" i="2" s="1"/>
  <c r="CQ1397" i="2" s="1"/>
  <c r="CL1397" i="2"/>
  <c r="CN1396" i="2"/>
  <c r="CO1396" i="2" s="1"/>
  <c r="CQ1396" i="2" s="1"/>
  <c r="CL1396" i="2"/>
  <c r="CN1395" i="2"/>
  <c r="CO1395" i="2" s="1"/>
  <c r="CQ1395" i="2" s="1"/>
  <c r="CL1395" i="2"/>
  <c r="CQ1394" i="2"/>
  <c r="CL1394" i="2"/>
  <c r="CN1394" i="2" s="1"/>
  <c r="CO1394" i="2" s="1"/>
  <c r="CL1393" i="2"/>
  <c r="CN1393" i="2" s="1"/>
  <c r="CO1393" i="2" s="1"/>
  <c r="CQ1393" i="2" s="1"/>
  <c r="CN1392" i="2"/>
  <c r="CO1392" i="2" s="1"/>
  <c r="CQ1392" i="2" s="1"/>
  <c r="CL1392" i="2"/>
  <c r="CN1391" i="2"/>
  <c r="CO1391" i="2" s="1"/>
  <c r="CQ1391" i="2" s="1"/>
  <c r="CL1391" i="2"/>
  <c r="CN1390" i="2"/>
  <c r="CO1390" i="2" s="1"/>
  <c r="CQ1390" i="2" s="1"/>
  <c r="CL1390" i="2"/>
  <c r="CN1389" i="2"/>
  <c r="CO1389" i="2" s="1"/>
  <c r="CQ1389" i="2" s="1"/>
  <c r="CL1389" i="2"/>
  <c r="CN1388" i="2"/>
  <c r="CO1388" i="2" s="1"/>
  <c r="CQ1388" i="2" s="1"/>
  <c r="CL1388" i="2"/>
  <c r="CN1387" i="2"/>
  <c r="CO1387" i="2" s="1"/>
  <c r="CQ1387" i="2" s="1"/>
  <c r="CL1387" i="2"/>
  <c r="CL1386" i="2"/>
  <c r="CN1386" i="2" s="1"/>
  <c r="CO1386" i="2" s="1"/>
  <c r="CQ1386" i="2" s="1"/>
  <c r="CL1385" i="2"/>
  <c r="CN1385" i="2" s="1"/>
  <c r="CO1385" i="2" s="1"/>
  <c r="CQ1385" i="2" s="1"/>
  <c r="CN1384" i="2"/>
  <c r="CO1384" i="2" s="1"/>
  <c r="CQ1384" i="2" s="1"/>
  <c r="CL1384" i="2"/>
  <c r="CN1383" i="2"/>
  <c r="CO1383" i="2" s="1"/>
  <c r="CQ1383" i="2" s="1"/>
  <c r="CL1383" i="2"/>
  <c r="CQ1382" i="2"/>
  <c r="CN1382" i="2"/>
  <c r="CO1382" i="2" s="1"/>
  <c r="CL1382" i="2"/>
  <c r="CN1381" i="2"/>
  <c r="CO1381" i="2" s="1"/>
  <c r="CQ1381" i="2" s="1"/>
  <c r="CL1381" i="2"/>
  <c r="CQ1380" i="2"/>
  <c r="CN1380" i="2"/>
  <c r="CO1380" i="2" s="1"/>
  <c r="CL1380" i="2"/>
  <c r="CN1379" i="2"/>
  <c r="CO1379" i="2" s="1"/>
  <c r="CQ1379" i="2" s="1"/>
  <c r="CL1379" i="2"/>
  <c r="CQ1378" i="2"/>
  <c r="CL1378" i="2"/>
  <c r="CN1378" i="2" s="1"/>
  <c r="CO1378" i="2" s="1"/>
  <c r="CL1377" i="2"/>
  <c r="CN1377" i="2" s="1"/>
  <c r="CO1377" i="2" s="1"/>
  <c r="CQ1377" i="2" s="1"/>
  <c r="CN1376" i="2"/>
  <c r="CO1376" i="2" s="1"/>
  <c r="CQ1376" i="2" s="1"/>
  <c r="CL1376" i="2"/>
  <c r="CN1375" i="2"/>
  <c r="CO1375" i="2" s="1"/>
  <c r="CQ1375" i="2" s="1"/>
  <c r="CL1375" i="2"/>
  <c r="CN1374" i="2"/>
  <c r="CO1374" i="2" s="1"/>
  <c r="CQ1374" i="2" s="1"/>
  <c r="CL1374" i="2"/>
  <c r="CN1373" i="2"/>
  <c r="CO1373" i="2" s="1"/>
  <c r="CQ1373" i="2" s="1"/>
  <c r="CL1373" i="2"/>
  <c r="CQ1372" i="2"/>
  <c r="CN1372" i="2"/>
  <c r="CO1372" i="2" s="1"/>
  <c r="CL1372" i="2"/>
  <c r="CN1371" i="2"/>
  <c r="CO1371" i="2" s="1"/>
  <c r="CQ1371" i="2" s="1"/>
  <c r="CL1371" i="2"/>
  <c r="CL1370" i="2"/>
  <c r="CN1370" i="2" s="1"/>
  <c r="CO1370" i="2" s="1"/>
  <c r="CQ1370" i="2" s="1"/>
  <c r="CL1369" i="2"/>
  <c r="CN1369" i="2" s="1"/>
  <c r="CO1369" i="2" s="1"/>
  <c r="CQ1369" i="2" s="1"/>
  <c r="CN1368" i="2"/>
  <c r="CO1368" i="2" s="1"/>
  <c r="CQ1368" i="2" s="1"/>
  <c r="CL1368" i="2"/>
  <c r="CN1367" i="2"/>
  <c r="CO1367" i="2" s="1"/>
  <c r="CQ1367" i="2" s="1"/>
  <c r="CL1367" i="2"/>
  <c r="CQ1366" i="2"/>
  <c r="CN1366" i="2"/>
  <c r="CO1366" i="2" s="1"/>
  <c r="CL1366" i="2"/>
  <c r="CN1365" i="2"/>
  <c r="CO1365" i="2" s="1"/>
  <c r="CQ1365" i="2" s="1"/>
  <c r="CL1365" i="2"/>
  <c r="CQ1364" i="2"/>
  <c r="CN1364" i="2"/>
  <c r="CO1364" i="2" s="1"/>
  <c r="CL1364" i="2"/>
  <c r="CN1363" i="2"/>
  <c r="CO1363" i="2" s="1"/>
  <c r="CQ1363" i="2" s="1"/>
  <c r="CL1363" i="2"/>
  <c r="CL1362" i="2"/>
  <c r="CN1362" i="2" s="1"/>
  <c r="CO1362" i="2" s="1"/>
  <c r="CQ1362" i="2" s="1"/>
  <c r="CL1361" i="2"/>
  <c r="CN1361" i="2" s="1"/>
  <c r="CO1361" i="2" s="1"/>
  <c r="CQ1361" i="2" s="1"/>
  <c r="CN1360" i="2"/>
  <c r="CO1360" i="2" s="1"/>
  <c r="CQ1360" i="2" s="1"/>
  <c r="CL1360" i="2"/>
  <c r="CN1359" i="2"/>
  <c r="CO1359" i="2" s="1"/>
  <c r="CQ1359" i="2" s="1"/>
  <c r="CL1359" i="2"/>
  <c r="CN1358" i="2"/>
  <c r="CO1358" i="2" s="1"/>
  <c r="CQ1358" i="2" s="1"/>
  <c r="CL1358" i="2"/>
  <c r="CN1357" i="2"/>
  <c r="CO1357" i="2" s="1"/>
  <c r="CQ1357" i="2" s="1"/>
  <c r="CL1357" i="2"/>
  <c r="CQ1356" i="2"/>
  <c r="CN1356" i="2"/>
  <c r="CO1356" i="2" s="1"/>
  <c r="CL1356" i="2"/>
  <c r="CN1355" i="2"/>
  <c r="CO1355" i="2" s="1"/>
  <c r="CQ1355" i="2" s="1"/>
  <c r="CL1355" i="2"/>
  <c r="CL1354" i="2"/>
  <c r="CN1354" i="2" s="1"/>
  <c r="CO1354" i="2" s="1"/>
  <c r="CQ1354" i="2" s="1"/>
  <c r="CL1353" i="2"/>
  <c r="CN1353" i="2" s="1"/>
  <c r="CO1353" i="2" s="1"/>
  <c r="CQ1353" i="2" s="1"/>
  <c r="CN1352" i="2"/>
  <c r="CO1352" i="2" s="1"/>
  <c r="CQ1352" i="2" s="1"/>
  <c r="CL1352" i="2"/>
  <c r="CN1351" i="2"/>
  <c r="CO1351" i="2" s="1"/>
  <c r="CQ1351" i="2" s="1"/>
  <c r="CL1351" i="2"/>
  <c r="CN1350" i="2"/>
  <c r="CO1350" i="2" s="1"/>
  <c r="CQ1350" i="2" s="1"/>
  <c r="CL1350" i="2"/>
  <c r="CN1349" i="2"/>
  <c r="CO1349" i="2" s="1"/>
  <c r="CQ1349" i="2" s="1"/>
  <c r="CL1349" i="2"/>
  <c r="CN1348" i="2"/>
  <c r="CO1348" i="2" s="1"/>
  <c r="CQ1348" i="2" s="1"/>
  <c r="CL1348" i="2"/>
  <c r="CN1347" i="2"/>
  <c r="CO1347" i="2" s="1"/>
  <c r="CQ1347" i="2" s="1"/>
  <c r="CL1347" i="2"/>
  <c r="CQ1346" i="2"/>
  <c r="CL1346" i="2"/>
  <c r="CN1346" i="2" s="1"/>
  <c r="CO1346" i="2" s="1"/>
  <c r="CL1345" i="2"/>
  <c r="CN1345" i="2" s="1"/>
  <c r="CO1345" i="2" s="1"/>
  <c r="CQ1345" i="2" s="1"/>
  <c r="CN1344" i="2"/>
  <c r="CO1344" i="2" s="1"/>
  <c r="CQ1344" i="2" s="1"/>
  <c r="CL1344" i="2"/>
  <c r="CN1343" i="2"/>
  <c r="CO1343" i="2" s="1"/>
  <c r="CQ1343" i="2" s="1"/>
  <c r="CL1343" i="2"/>
  <c r="CN1342" i="2"/>
  <c r="CO1342" i="2" s="1"/>
  <c r="CQ1342" i="2" s="1"/>
  <c r="CL1342" i="2"/>
  <c r="CQ1341" i="2"/>
  <c r="CL1341" i="2"/>
  <c r="CN1341" i="2" s="1"/>
  <c r="CO1341" i="2" s="1"/>
  <c r="CQ1340" i="2"/>
  <c r="CN1340" i="2"/>
  <c r="CO1340" i="2" s="1"/>
  <c r="CL1340" i="2"/>
  <c r="CO1339" i="2"/>
  <c r="CQ1339" i="2" s="1"/>
  <c r="CL1339" i="2"/>
  <c r="CN1339" i="2" s="1"/>
  <c r="CQ1338" i="2"/>
  <c r="CN1338" i="2"/>
  <c r="CO1338" i="2" s="1"/>
  <c r="CL1338" i="2"/>
  <c r="CO1337" i="2"/>
  <c r="CQ1337" i="2" s="1"/>
  <c r="CL1337" i="2"/>
  <c r="CN1337" i="2" s="1"/>
  <c r="CN1336" i="2"/>
  <c r="CO1336" i="2" s="1"/>
  <c r="CQ1336" i="2" s="1"/>
  <c r="CL1336" i="2"/>
  <c r="CO1335" i="2"/>
  <c r="CQ1335" i="2" s="1"/>
  <c r="CL1335" i="2"/>
  <c r="CN1335" i="2" s="1"/>
  <c r="CN1334" i="2"/>
  <c r="CO1334" i="2" s="1"/>
  <c r="CQ1334" i="2" s="1"/>
  <c r="CL1334" i="2"/>
  <c r="CO1333" i="2"/>
  <c r="CQ1333" i="2" s="1"/>
  <c r="CL1333" i="2"/>
  <c r="CN1333" i="2" s="1"/>
  <c r="CQ1332" i="2"/>
  <c r="CN1332" i="2"/>
  <c r="CO1332" i="2" s="1"/>
  <c r="CL1332" i="2"/>
  <c r="CO1331" i="2"/>
  <c r="CQ1331" i="2" s="1"/>
  <c r="CL1331" i="2"/>
  <c r="CN1331" i="2" s="1"/>
  <c r="CN1330" i="2"/>
  <c r="CO1330" i="2" s="1"/>
  <c r="CQ1330" i="2" s="1"/>
  <c r="CL1330" i="2"/>
  <c r="CO1329" i="2"/>
  <c r="CQ1329" i="2" s="1"/>
  <c r="CL1329" i="2"/>
  <c r="CN1329" i="2" s="1"/>
  <c r="CQ1328" i="2"/>
  <c r="CN1328" i="2"/>
  <c r="CO1328" i="2" s="1"/>
  <c r="CL1328" i="2"/>
  <c r="CO1327" i="2"/>
  <c r="CQ1327" i="2" s="1"/>
  <c r="CL1327" i="2"/>
  <c r="CN1327" i="2" s="1"/>
  <c r="CN1326" i="2"/>
  <c r="CO1326" i="2" s="1"/>
  <c r="CQ1326" i="2" s="1"/>
  <c r="CL1326" i="2"/>
  <c r="CO1325" i="2"/>
  <c r="CQ1325" i="2" s="1"/>
  <c r="CL1325" i="2"/>
  <c r="CN1325" i="2" s="1"/>
  <c r="CQ1324" i="2"/>
  <c r="CN1324" i="2"/>
  <c r="CO1324" i="2" s="1"/>
  <c r="CL1324" i="2"/>
  <c r="CO1323" i="2"/>
  <c r="CQ1323" i="2" s="1"/>
  <c r="CL1323" i="2"/>
  <c r="CN1323" i="2" s="1"/>
  <c r="CN1322" i="2"/>
  <c r="CO1322" i="2" s="1"/>
  <c r="CQ1322" i="2" s="1"/>
  <c r="CL1322" i="2"/>
  <c r="CO1321" i="2"/>
  <c r="CQ1321" i="2" s="1"/>
  <c r="CL1321" i="2"/>
  <c r="CN1321" i="2" s="1"/>
  <c r="CN1320" i="2"/>
  <c r="CO1320" i="2" s="1"/>
  <c r="CQ1320" i="2" s="1"/>
  <c r="CL1320" i="2"/>
  <c r="CO1319" i="2"/>
  <c r="CQ1319" i="2" s="1"/>
  <c r="CL1319" i="2"/>
  <c r="CN1319" i="2" s="1"/>
  <c r="CQ1318" i="2"/>
  <c r="CN1318" i="2"/>
  <c r="CO1318" i="2" s="1"/>
  <c r="CL1318" i="2"/>
  <c r="CO1317" i="2"/>
  <c r="CQ1317" i="2" s="1"/>
  <c r="CL1317" i="2"/>
  <c r="CN1317" i="2" s="1"/>
  <c r="CN1316" i="2"/>
  <c r="CO1316" i="2" s="1"/>
  <c r="CQ1316" i="2" s="1"/>
  <c r="CL1316" i="2"/>
  <c r="CO1315" i="2"/>
  <c r="CQ1315" i="2" s="1"/>
  <c r="CL1315" i="2"/>
  <c r="CN1315" i="2" s="1"/>
  <c r="CN1314" i="2"/>
  <c r="CO1314" i="2" s="1"/>
  <c r="CQ1314" i="2" s="1"/>
  <c r="CL1314" i="2"/>
  <c r="CO1313" i="2"/>
  <c r="CQ1313" i="2" s="1"/>
  <c r="CL1313" i="2"/>
  <c r="CN1313" i="2" s="1"/>
  <c r="CN1312" i="2"/>
  <c r="CO1312" i="2" s="1"/>
  <c r="CQ1312" i="2" s="1"/>
  <c r="CL1312" i="2"/>
  <c r="CO1311" i="2"/>
  <c r="CQ1311" i="2" s="1"/>
  <c r="CL1311" i="2"/>
  <c r="CN1311" i="2" s="1"/>
  <c r="CN1310" i="2"/>
  <c r="CO1310" i="2" s="1"/>
  <c r="CQ1310" i="2" s="1"/>
  <c r="CL1310" i="2"/>
  <c r="CO1309" i="2"/>
  <c r="CQ1309" i="2" s="1"/>
  <c r="CL1309" i="2"/>
  <c r="CN1309" i="2" s="1"/>
  <c r="CQ1308" i="2"/>
  <c r="CN1308" i="2"/>
  <c r="CO1308" i="2" s="1"/>
  <c r="CL1308" i="2"/>
  <c r="CO1307" i="2"/>
  <c r="CQ1307" i="2" s="1"/>
  <c r="CL1307" i="2"/>
  <c r="CN1307" i="2" s="1"/>
  <c r="CN1306" i="2"/>
  <c r="CO1306" i="2" s="1"/>
  <c r="CQ1306" i="2" s="1"/>
  <c r="CL1306" i="2"/>
  <c r="CO1305" i="2"/>
  <c r="CQ1305" i="2" s="1"/>
  <c r="CL1305" i="2"/>
  <c r="CN1305" i="2" s="1"/>
  <c r="CN1304" i="2"/>
  <c r="CO1304" i="2" s="1"/>
  <c r="CQ1304" i="2" s="1"/>
  <c r="CL1304" i="2"/>
  <c r="CO1303" i="2"/>
  <c r="CQ1303" i="2" s="1"/>
  <c r="CL1303" i="2"/>
  <c r="CN1303" i="2" s="1"/>
  <c r="CQ1302" i="2"/>
  <c r="CL1302" i="2"/>
  <c r="CN1302" i="2" s="1"/>
  <c r="CO1302" i="2" s="1"/>
  <c r="CO1301" i="2"/>
  <c r="CQ1301" i="2" s="1"/>
  <c r="CL1301" i="2"/>
  <c r="CN1301" i="2" s="1"/>
  <c r="CN1300" i="2"/>
  <c r="CO1300" i="2" s="1"/>
  <c r="CQ1300" i="2" s="1"/>
  <c r="CL1300" i="2"/>
  <c r="CO1299" i="2"/>
  <c r="CQ1299" i="2" s="1"/>
  <c r="CL1299" i="2"/>
  <c r="CN1299" i="2" s="1"/>
  <c r="CN1298" i="2"/>
  <c r="CO1298" i="2" s="1"/>
  <c r="CQ1298" i="2" s="1"/>
  <c r="CL1298" i="2"/>
  <c r="CO1297" i="2"/>
  <c r="CQ1297" i="2" s="1"/>
  <c r="CL1297" i="2"/>
  <c r="CN1297" i="2" s="1"/>
  <c r="CO1296" i="2"/>
  <c r="CQ1296" i="2" s="1"/>
  <c r="CN1296" i="2"/>
  <c r="CL1296" i="2"/>
  <c r="CO1295" i="2"/>
  <c r="CQ1295" i="2" s="1"/>
  <c r="CL1295" i="2"/>
  <c r="CN1295" i="2" s="1"/>
  <c r="CL1294" i="2"/>
  <c r="CN1294" i="2" s="1"/>
  <c r="CO1294" i="2" s="1"/>
  <c r="CQ1294" i="2" s="1"/>
  <c r="CO1293" i="2"/>
  <c r="CQ1293" i="2" s="1"/>
  <c r="CL1293" i="2"/>
  <c r="CN1293" i="2" s="1"/>
  <c r="CN1292" i="2"/>
  <c r="CO1292" i="2" s="1"/>
  <c r="CQ1292" i="2" s="1"/>
  <c r="CL1292" i="2"/>
  <c r="CL1291" i="2"/>
  <c r="CN1291" i="2" s="1"/>
  <c r="CO1291" i="2" s="1"/>
  <c r="CQ1291" i="2" s="1"/>
  <c r="CQ1290" i="2"/>
  <c r="CN1290" i="2"/>
  <c r="CO1290" i="2" s="1"/>
  <c r="CL1290" i="2"/>
  <c r="CO1289" i="2"/>
  <c r="CQ1289" i="2" s="1"/>
  <c r="CL1289" i="2"/>
  <c r="CN1289" i="2" s="1"/>
  <c r="CN1288" i="2"/>
  <c r="CO1288" i="2" s="1"/>
  <c r="CQ1288" i="2" s="1"/>
  <c r="CL1288" i="2"/>
  <c r="CO1287" i="2"/>
  <c r="CQ1287" i="2" s="1"/>
  <c r="CL1287" i="2"/>
  <c r="CN1287" i="2" s="1"/>
  <c r="CN1286" i="2"/>
  <c r="CO1286" i="2" s="1"/>
  <c r="CQ1286" i="2" s="1"/>
  <c r="CL1286" i="2"/>
  <c r="CO1285" i="2"/>
  <c r="CQ1285" i="2" s="1"/>
  <c r="CL1285" i="2"/>
  <c r="CN1285" i="2" s="1"/>
  <c r="CQ1284" i="2"/>
  <c r="CN1284" i="2"/>
  <c r="CO1284" i="2" s="1"/>
  <c r="CL1284" i="2"/>
  <c r="CL1283" i="2"/>
  <c r="CN1283" i="2" s="1"/>
  <c r="CO1283" i="2" s="1"/>
  <c r="CQ1283" i="2" s="1"/>
  <c r="CN1282" i="2"/>
  <c r="CO1282" i="2" s="1"/>
  <c r="CQ1282" i="2" s="1"/>
  <c r="CL1282" i="2"/>
  <c r="CO1281" i="2"/>
  <c r="CQ1281" i="2" s="1"/>
  <c r="CL1281" i="2"/>
  <c r="CN1281" i="2" s="1"/>
  <c r="CO1280" i="2"/>
  <c r="CQ1280" i="2" s="1"/>
  <c r="CN1280" i="2"/>
  <c r="CL1280" i="2"/>
  <c r="CO1279" i="2"/>
  <c r="CQ1279" i="2" s="1"/>
  <c r="CL1279" i="2"/>
  <c r="CN1279" i="2" s="1"/>
  <c r="CN1278" i="2"/>
  <c r="CO1278" i="2" s="1"/>
  <c r="CQ1278" i="2" s="1"/>
  <c r="CL1278" i="2"/>
  <c r="CO1277" i="2"/>
  <c r="CQ1277" i="2" s="1"/>
  <c r="CL1277" i="2"/>
  <c r="CN1277" i="2" s="1"/>
  <c r="CQ1276" i="2"/>
  <c r="CN1276" i="2"/>
  <c r="CO1276" i="2" s="1"/>
  <c r="CL1276" i="2"/>
  <c r="CL1275" i="2"/>
  <c r="CN1275" i="2" s="1"/>
  <c r="CO1275" i="2" s="1"/>
  <c r="CQ1275" i="2" s="1"/>
  <c r="CN1274" i="2"/>
  <c r="CO1274" i="2" s="1"/>
  <c r="CQ1274" i="2" s="1"/>
  <c r="CL1274" i="2"/>
  <c r="CO1273" i="2"/>
  <c r="CQ1273" i="2" s="1"/>
  <c r="CL1273" i="2"/>
  <c r="CN1273" i="2" s="1"/>
  <c r="CN1272" i="2"/>
  <c r="CO1272" i="2" s="1"/>
  <c r="CQ1272" i="2" s="1"/>
  <c r="CL1272" i="2"/>
  <c r="CO1271" i="2"/>
  <c r="CQ1271" i="2" s="1"/>
  <c r="CL1271" i="2"/>
  <c r="CN1271" i="2" s="1"/>
  <c r="CL1270" i="2"/>
  <c r="CN1270" i="2" s="1"/>
  <c r="CO1270" i="2" s="1"/>
  <c r="CQ1270" i="2" s="1"/>
  <c r="CO1269" i="2"/>
  <c r="CQ1269" i="2" s="1"/>
  <c r="CL1269" i="2"/>
  <c r="CN1269" i="2" s="1"/>
  <c r="CQ1268" i="2"/>
  <c r="CN1268" i="2"/>
  <c r="CO1268" i="2" s="1"/>
  <c r="CL1268" i="2"/>
  <c r="CO1267" i="2"/>
  <c r="CQ1267" i="2" s="1"/>
  <c r="CL1267" i="2"/>
  <c r="CN1267" i="2" s="1"/>
  <c r="CN1266" i="2"/>
  <c r="CO1266" i="2" s="1"/>
  <c r="CQ1266" i="2" s="1"/>
  <c r="CL1266" i="2"/>
  <c r="CO1265" i="2"/>
  <c r="CQ1265" i="2" s="1"/>
  <c r="CL1265" i="2"/>
  <c r="CN1265" i="2" s="1"/>
  <c r="CO1264" i="2"/>
  <c r="CQ1264" i="2" s="1"/>
  <c r="CN1264" i="2"/>
  <c r="CL1264" i="2"/>
  <c r="CO1263" i="2"/>
  <c r="CQ1263" i="2" s="1"/>
  <c r="CL1263" i="2"/>
  <c r="CN1263" i="2" s="1"/>
  <c r="CQ1262" i="2"/>
  <c r="CL1262" i="2"/>
  <c r="CN1262" i="2" s="1"/>
  <c r="CO1262" i="2" s="1"/>
  <c r="CO1261" i="2"/>
  <c r="CQ1261" i="2" s="1"/>
  <c r="CL1261" i="2"/>
  <c r="CN1261" i="2" s="1"/>
  <c r="CL1260" i="2"/>
  <c r="CN1260" i="2" s="1"/>
  <c r="CO1260" i="2" s="1"/>
  <c r="CQ1260" i="2" s="1"/>
  <c r="CO1259" i="2"/>
  <c r="CQ1259" i="2" s="1"/>
  <c r="CL1259" i="2"/>
  <c r="CN1259" i="2" s="1"/>
  <c r="CO1258" i="2"/>
  <c r="CQ1258" i="2" s="1"/>
  <c r="CN1258" i="2"/>
  <c r="CL1258" i="2"/>
  <c r="CL1257" i="2"/>
  <c r="CN1257" i="2" s="1"/>
  <c r="CO1257" i="2" s="1"/>
  <c r="CQ1257" i="2" s="1"/>
  <c r="CO1256" i="2"/>
  <c r="CQ1256" i="2" s="1"/>
  <c r="CN1256" i="2"/>
  <c r="CL1256" i="2"/>
  <c r="CO1255" i="2"/>
  <c r="CQ1255" i="2" s="1"/>
  <c r="CL1255" i="2"/>
  <c r="CN1255" i="2" s="1"/>
  <c r="CL1254" i="2"/>
  <c r="CN1254" i="2" s="1"/>
  <c r="CO1254" i="2" s="1"/>
  <c r="CQ1254" i="2" s="1"/>
  <c r="CO1253" i="2"/>
  <c r="CQ1253" i="2" s="1"/>
  <c r="CN1253" i="2"/>
  <c r="CL1253" i="2"/>
  <c r="CL1252" i="2"/>
  <c r="CN1252" i="2" s="1"/>
  <c r="CO1252" i="2" s="1"/>
  <c r="CQ1252" i="2" s="1"/>
  <c r="CN1251" i="2"/>
  <c r="CO1251" i="2" s="1"/>
  <c r="CQ1251" i="2" s="1"/>
  <c r="CL1251" i="2"/>
  <c r="CO1250" i="2"/>
  <c r="CQ1250" i="2" s="1"/>
  <c r="CN1250" i="2"/>
  <c r="CL1250" i="2"/>
  <c r="CL1249" i="2"/>
  <c r="CN1249" i="2" s="1"/>
  <c r="CO1249" i="2" s="1"/>
  <c r="CQ1249" i="2" s="1"/>
  <c r="CN1248" i="2"/>
  <c r="CO1248" i="2" s="1"/>
  <c r="CQ1248" i="2" s="1"/>
  <c r="CL1248" i="2"/>
  <c r="CL1247" i="2"/>
  <c r="CN1247" i="2" s="1"/>
  <c r="CO1247" i="2" s="1"/>
  <c r="CQ1247" i="2" s="1"/>
  <c r="CL1246" i="2"/>
  <c r="CN1246" i="2" s="1"/>
  <c r="CO1246" i="2" s="1"/>
  <c r="CQ1246" i="2" s="1"/>
  <c r="CO1245" i="2"/>
  <c r="CQ1245" i="2" s="1"/>
  <c r="CN1245" i="2"/>
  <c r="CL1245" i="2"/>
  <c r="CN1244" i="2"/>
  <c r="CO1244" i="2" s="1"/>
  <c r="CQ1244" i="2" s="1"/>
  <c r="CL1244" i="2"/>
  <c r="CL1243" i="2"/>
  <c r="CN1243" i="2" s="1"/>
  <c r="CO1243" i="2" s="1"/>
  <c r="CQ1243" i="2" s="1"/>
  <c r="CQ1242" i="2"/>
  <c r="CN1242" i="2"/>
  <c r="CO1242" i="2" s="1"/>
  <c r="CL1242" i="2"/>
  <c r="CN1241" i="2"/>
  <c r="CO1241" i="2" s="1"/>
  <c r="CQ1241" i="2" s="1"/>
  <c r="CL1241" i="2"/>
  <c r="CN1240" i="2"/>
  <c r="CO1240" i="2" s="1"/>
  <c r="CQ1240" i="2" s="1"/>
  <c r="CL1240" i="2"/>
  <c r="CO1239" i="2"/>
  <c r="CQ1239" i="2" s="1"/>
  <c r="CL1239" i="2"/>
  <c r="CN1239" i="2" s="1"/>
  <c r="CL1238" i="2"/>
  <c r="CN1238" i="2" s="1"/>
  <c r="CO1238" i="2" s="1"/>
  <c r="CQ1238" i="2" s="1"/>
  <c r="CO1237" i="2"/>
  <c r="CQ1237" i="2" s="1"/>
  <c r="CN1237" i="2"/>
  <c r="CL1237" i="2"/>
  <c r="CO1236" i="2"/>
  <c r="CQ1236" i="2" s="1"/>
  <c r="CL1236" i="2"/>
  <c r="CN1236" i="2" s="1"/>
  <c r="CN1235" i="2"/>
  <c r="CO1235" i="2" s="1"/>
  <c r="CQ1235" i="2" s="1"/>
  <c r="CL1235" i="2"/>
  <c r="CL1234" i="2"/>
  <c r="CN1234" i="2" s="1"/>
  <c r="CO1234" i="2" s="1"/>
  <c r="CQ1234" i="2" s="1"/>
  <c r="CL1233" i="2"/>
  <c r="CN1233" i="2" s="1"/>
  <c r="CO1233" i="2" s="1"/>
  <c r="CQ1233" i="2" s="1"/>
  <c r="CL1232" i="2"/>
  <c r="CN1232" i="2" s="1"/>
  <c r="CO1232" i="2" s="1"/>
  <c r="CQ1232" i="2" s="1"/>
  <c r="CL1231" i="2"/>
  <c r="CN1231" i="2" s="1"/>
  <c r="CO1231" i="2" s="1"/>
  <c r="CQ1231" i="2" s="1"/>
  <c r="CL1230" i="2"/>
  <c r="CN1230" i="2" s="1"/>
  <c r="CO1230" i="2" s="1"/>
  <c r="CQ1230" i="2" s="1"/>
  <c r="CO1229" i="2"/>
  <c r="CQ1229" i="2" s="1"/>
  <c r="CN1229" i="2"/>
  <c r="CL1229" i="2"/>
  <c r="CO1228" i="2"/>
  <c r="CQ1228" i="2" s="1"/>
  <c r="CL1228" i="2"/>
  <c r="CN1228" i="2" s="1"/>
  <c r="CL1227" i="2"/>
  <c r="CN1227" i="2" s="1"/>
  <c r="CO1227" i="2" s="1"/>
  <c r="CQ1227" i="2" s="1"/>
  <c r="CQ1226" i="2"/>
  <c r="CO1226" i="2"/>
  <c r="CL1226" i="2"/>
  <c r="CN1226" i="2" s="1"/>
  <c r="CL1225" i="2"/>
  <c r="CN1225" i="2" s="1"/>
  <c r="CO1225" i="2" s="1"/>
  <c r="CQ1225" i="2" s="1"/>
  <c r="CO1224" i="2"/>
  <c r="CQ1224" i="2" s="1"/>
  <c r="CL1224" i="2"/>
  <c r="CN1224" i="2" s="1"/>
  <c r="CN1223" i="2"/>
  <c r="CO1223" i="2" s="1"/>
  <c r="CQ1223" i="2" s="1"/>
  <c r="CL1223" i="2"/>
  <c r="CL1222" i="2"/>
  <c r="CN1222" i="2" s="1"/>
  <c r="CO1222" i="2" s="1"/>
  <c r="CQ1222" i="2" s="1"/>
  <c r="CL1221" i="2"/>
  <c r="CN1221" i="2" s="1"/>
  <c r="CO1221" i="2" s="1"/>
  <c r="CQ1221" i="2" s="1"/>
  <c r="CL1220" i="2"/>
  <c r="CN1220" i="2" s="1"/>
  <c r="CO1220" i="2" s="1"/>
  <c r="CQ1220" i="2" s="1"/>
  <c r="CO1219" i="2"/>
  <c r="CQ1219" i="2" s="1"/>
  <c r="CN1219" i="2"/>
  <c r="CL1219" i="2"/>
  <c r="CL1218" i="2"/>
  <c r="CN1218" i="2" s="1"/>
  <c r="CO1218" i="2" s="1"/>
  <c r="CQ1218" i="2" s="1"/>
  <c r="CL1217" i="2"/>
  <c r="CN1217" i="2" s="1"/>
  <c r="CO1217" i="2" s="1"/>
  <c r="CQ1217" i="2" s="1"/>
  <c r="CQ1216" i="2"/>
  <c r="CO1216" i="2"/>
  <c r="CL1216" i="2"/>
  <c r="CN1216" i="2" s="1"/>
  <c r="CQ1215" i="2"/>
  <c r="CL1215" i="2"/>
  <c r="CN1215" i="2" s="1"/>
  <c r="CO1215" i="2" s="1"/>
  <c r="CO1214" i="2"/>
  <c r="CQ1214" i="2" s="1"/>
  <c r="CL1214" i="2"/>
  <c r="CN1214" i="2" s="1"/>
  <c r="CN1213" i="2"/>
  <c r="CO1213" i="2" s="1"/>
  <c r="CQ1213" i="2" s="1"/>
  <c r="CL1213" i="2"/>
  <c r="CL1212" i="2"/>
  <c r="CN1212" i="2" s="1"/>
  <c r="CO1212" i="2" s="1"/>
  <c r="CQ1212" i="2" s="1"/>
  <c r="CN1211" i="2"/>
  <c r="CO1211" i="2" s="1"/>
  <c r="CQ1211" i="2" s="1"/>
  <c r="CL1211" i="2"/>
  <c r="CQ1210" i="2"/>
  <c r="CL1210" i="2"/>
  <c r="CN1210" i="2" s="1"/>
  <c r="CO1210" i="2" s="1"/>
  <c r="CO1209" i="2"/>
  <c r="CQ1209" i="2" s="1"/>
  <c r="CL1209" i="2"/>
  <c r="CN1209" i="2" s="1"/>
  <c r="CL1208" i="2"/>
  <c r="CN1208" i="2" s="1"/>
  <c r="CO1208" i="2" s="1"/>
  <c r="CQ1208" i="2" s="1"/>
  <c r="CN1207" i="2"/>
  <c r="CO1207" i="2" s="1"/>
  <c r="CQ1207" i="2" s="1"/>
  <c r="CL1207" i="2"/>
  <c r="CQ1206" i="2"/>
  <c r="CO1206" i="2"/>
  <c r="CL1206" i="2"/>
  <c r="CN1206" i="2" s="1"/>
  <c r="CL1205" i="2"/>
  <c r="CN1205" i="2" s="1"/>
  <c r="CO1205" i="2" s="1"/>
  <c r="CQ1205" i="2" s="1"/>
  <c r="CL1204" i="2"/>
  <c r="CN1204" i="2" s="1"/>
  <c r="CO1204" i="2" s="1"/>
  <c r="CQ1204" i="2" s="1"/>
  <c r="CN1203" i="2"/>
  <c r="CO1203" i="2" s="1"/>
  <c r="CQ1203" i="2" s="1"/>
  <c r="CL1203" i="2"/>
  <c r="CL1202" i="2"/>
  <c r="CN1202" i="2" s="1"/>
  <c r="CO1202" i="2" s="1"/>
  <c r="CQ1202" i="2" s="1"/>
  <c r="CO1201" i="2"/>
  <c r="CQ1201" i="2" s="1"/>
  <c r="CN1201" i="2"/>
  <c r="CL1201" i="2"/>
  <c r="CQ1200" i="2"/>
  <c r="CO1200" i="2"/>
  <c r="CL1200" i="2"/>
  <c r="CN1200" i="2" s="1"/>
  <c r="CL1199" i="2"/>
  <c r="CN1199" i="2" s="1"/>
  <c r="CO1199" i="2" s="1"/>
  <c r="CQ1199" i="2" s="1"/>
  <c r="CO1198" i="2"/>
  <c r="CQ1198" i="2" s="1"/>
  <c r="CL1198" i="2"/>
  <c r="CN1198" i="2" s="1"/>
  <c r="CL1197" i="2"/>
  <c r="CN1197" i="2" s="1"/>
  <c r="CO1197" i="2" s="1"/>
  <c r="CQ1197" i="2" s="1"/>
  <c r="CQ1196" i="2"/>
  <c r="CO1196" i="2"/>
  <c r="CL1196" i="2"/>
  <c r="CN1196" i="2" s="1"/>
  <c r="CL1195" i="2"/>
  <c r="CN1195" i="2" s="1"/>
  <c r="CO1195" i="2" s="1"/>
  <c r="CQ1195" i="2" s="1"/>
  <c r="CL1194" i="2"/>
  <c r="CN1194" i="2" s="1"/>
  <c r="CO1194" i="2" s="1"/>
  <c r="CQ1194" i="2" s="1"/>
  <c r="CL1193" i="2"/>
  <c r="CN1193" i="2" s="1"/>
  <c r="CO1193" i="2" s="1"/>
  <c r="CQ1193" i="2" s="1"/>
  <c r="CL1192" i="2"/>
  <c r="CN1192" i="2" s="1"/>
  <c r="CO1192" i="2" s="1"/>
  <c r="CQ1192" i="2" s="1"/>
  <c r="CN1191" i="2"/>
  <c r="CO1191" i="2" s="1"/>
  <c r="CQ1191" i="2" s="1"/>
  <c r="CL1191" i="2"/>
  <c r="CL1190" i="2"/>
  <c r="CN1190" i="2" s="1"/>
  <c r="CO1190" i="2" s="1"/>
  <c r="CQ1190" i="2" s="1"/>
  <c r="CO1189" i="2"/>
  <c r="CQ1189" i="2" s="1"/>
  <c r="CN1189" i="2"/>
  <c r="CL1189" i="2"/>
  <c r="CL1188" i="2"/>
  <c r="CN1188" i="2" s="1"/>
  <c r="CO1188" i="2" s="1"/>
  <c r="CQ1188" i="2" s="1"/>
  <c r="CL1187" i="2"/>
  <c r="CN1187" i="2" s="1"/>
  <c r="CO1187" i="2" s="1"/>
  <c r="CQ1187" i="2" s="1"/>
  <c r="CL1186" i="2"/>
  <c r="CN1186" i="2" s="1"/>
  <c r="CO1186" i="2" s="1"/>
  <c r="CQ1186" i="2" s="1"/>
  <c r="CL1185" i="2"/>
  <c r="CN1185" i="2" s="1"/>
  <c r="CO1185" i="2" s="1"/>
  <c r="CQ1185" i="2" s="1"/>
  <c r="CO1184" i="2"/>
  <c r="CQ1184" i="2" s="1"/>
  <c r="CL1184" i="2"/>
  <c r="CN1184" i="2" s="1"/>
  <c r="CN1183" i="2"/>
  <c r="CO1183" i="2" s="1"/>
  <c r="CQ1183" i="2" s="1"/>
  <c r="CL1183" i="2"/>
  <c r="CL1182" i="2"/>
  <c r="CN1182" i="2" s="1"/>
  <c r="CO1182" i="2" s="1"/>
  <c r="CQ1182" i="2" s="1"/>
  <c r="CN1181" i="2"/>
  <c r="CO1181" i="2" s="1"/>
  <c r="CQ1181" i="2" s="1"/>
  <c r="CL1181" i="2"/>
  <c r="CL1180" i="2"/>
  <c r="CN1180" i="2" s="1"/>
  <c r="CO1180" i="2" s="1"/>
  <c r="CQ1180" i="2" s="1"/>
  <c r="CN1179" i="2"/>
  <c r="CO1179" i="2" s="1"/>
  <c r="CQ1179" i="2" s="1"/>
  <c r="CL1179" i="2"/>
  <c r="CL1178" i="2"/>
  <c r="CN1178" i="2" s="1"/>
  <c r="CO1178" i="2" s="1"/>
  <c r="CQ1178" i="2" s="1"/>
  <c r="CL1177" i="2"/>
  <c r="CN1177" i="2" s="1"/>
  <c r="CO1177" i="2" s="1"/>
  <c r="CQ1177" i="2" s="1"/>
  <c r="CL1176" i="2"/>
  <c r="CN1176" i="2" s="1"/>
  <c r="CO1176" i="2" s="1"/>
  <c r="CQ1176" i="2" s="1"/>
  <c r="CO1175" i="2"/>
  <c r="CQ1175" i="2" s="1"/>
  <c r="CN1175" i="2"/>
  <c r="CL1175" i="2"/>
  <c r="CO1174" i="2"/>
  <c r="CQ1174" i="2" s="1"/>
  <c r="CL1174" i="2"/>
  <c r="CN1174" i="2" s="1"/>
  <c r="CQ1173" i="2"/>
  <c r="CN1173" i="2"/>
  <c r="CO1173" i="2" s="1"/>
  <c r="CL1173" i="2"/>
  <c r="CL1172" i="2"/>
  <c r="CN1172" i="2" s="1"/>
  <c r="CO1172" i="2" s="1"/>
  <c r="CQ1172" i="2" s="1"/>
  <c r="CN1171" i="2"/>
  <c r="CO1171" i="2" s="1"/>
  <c r="CQ1171" i="2" s="1"/>
  <c r="CL1171" i="2"/>
  <c r="CQ1170" i="2"/>
  <c r="CL1170" i="2"/>
  <c r="CN1170" i="2" s="1"/>
  <c r="CO1170" i="2" s="1"/>
  <c r="CL1169" i="2"/>
  <c r="CN1169" i="2" s="1"/>
  <c r="CO1169" i="2" s="1"/>
  <c r="CQ1169" i="2" s="1"/>
  <c r="CQ1168" i="2"/>
  <c r="CO1168" i="2"/>
  <c r="CL1168" i="2"/>
  <c r="CN1168" i="2" s="1"/>
  <c r="CL1167" i="2"/>
  <c r="CN1167" i="2" s="1"/>
  <c r="CO1167" i="2" s="1"/>
  <c r="CQ1167" i="2" s="1"/>
  <c r="CQ1166" i="2"/>
  <c r="CO1166" i="2"/>
  <c r="CL1166" i="2"/>
  <c r="CN1166" i="2" s="1"/>
  <c r="CO1165" i="2"/>
  <c r="CQ1165" i="2" s="1"/>
  <c r="CL1165" i="2"/>
  <c r="CN1165" i="2" s="1"/>
  <c r="CL1164" i="2"/>
  <c r="CN1164" i="2" s="1"/>
  <c r="CO1164" i="2" s="1"/>
  <c r="CQ1164" i="2" s="1"/>
  <c r="CQ1163" i="2"/>
  <c r="CL1163" i="2"/>
  <c r="CN1163" i="2" s="1"/>
  <c r="CO1163" i="2" s="1"/>
  <c r="CL1162" i="2"/>
  <c r="CN1162" i="2" s="1"/>
  <c r="CO1162" i="2" s="1"/>
  <c r="CQ1162" i="2" s="1"/>
  <c r="CO1161" i="2"/>
  <c r="CQ1161" i="2" s="1"/>
  <c r="CL1161" i="2"/>
  <c r="CN1161" i="2" s="1"/>
  <c r="CO1160" i="2"/>
  <c r="CQ1160" i="2" s="1"/>
  <c r="CL1160" i="2"/>
  <c r="CN1160" i="2" s="1"/>
  <c r="CN1159" i="2"/>
  <c r="CO1159" i="2" s="1"/>
  <c r="CQ1159" i="2" s="1"/>
  <c r="CL1159" i="2"/>
  <c r="CL1158" i="2"/>
  <c r="CN1158" i="2" s="1"/>
  <c r="CO1158" i="2" s="1"/>
  <c r="CQ1158" i="2" s="1"/>
  <c r="CL1157" i="2"/>
  <c r="CN1157" i="2" s="1"/>
  <c r="CO1157" i="2" s="1"/>
  <c r="CQ1157" i="2" s="1"/>
  <c r="CL1156" i="2"/>
  <c r="CN1156" i="2" s="1"/>
  <c r="CO1156" i="2" s="1"/>
  <c r="CQ1156" i="2" s="1"/>
  <c r="CL1155" i="2"/>
  <c r="CN1155" i="2" s="1"/>
  <c r="CO1155" i="2" s="1"/>
  <c r="CQ1155" i="2" s="1"/>
  <c r="CL1154" i="2"/>
  <c r="CN1154" i="2" s="1"/>
  <c r="CO1154" i="2" s="1"/>
  <c r="CQ1154" i="2" s="1"/>
  <c r="CL1153" i="2"/>
  <c r="CN1153" i="2" s="1"/>
  <c r="CO1153" i="2" s="1"/>
  <c r="CQ1153" i="2" s="1"/>
  <c r="CO1152" i="2"/>
  <c r="CQ1152" i="2" s="1"/>
  <c r="CL1152" i="2"/>
  <c r="CN1152" i="2" s="1"/>
  <c r="CQ1151" i="2"/>
  <c r="CO1151" i="2"/>
  <c r="CN1151" i="2"/>
  <c r="CL1151" i="2"/>
  <c r="CL1150" i="2"/>
  <c r="CN1150" i="2" s="1"/>
  <c r="CO1150" i="2" s="1"/>
  <c r="CQ1150" i="2" s="1"/>
  <c r="CL1149" i="2"/>
  <c r="CN1149" i="2" s="1"/>
  <c r="CO1149" i="2" s="1"/>
  <c r="CQ1149" i="2" s="1"/>
  <c r="CL1148" i="2"/>
  <c r="CN1148" i="2" s="1"/>
  <c r="CO1148" i="2" s="1"/>
  <c r="CQ1148" i="2" s="1"/>
  <c r="CL1147" i="2"/>
  <c r="CN1147" i="2" s="1"/>
  <c r="CO1147" i="2" s="1"/>
  <c r="CQ1147" i="2" s="1"/>
  <c r="CL1146" i="2"/>
  <c r="CN1146" i="2" s="1"/>
  <c r="CO1146" i="2" s="1"/>
  <c r="CQ1146" i="2" s="1"/>
  <c r="CO1145" i="2"/>
  <c r="CQ1145" i="2" s="1"/>
  <c r="CL1145" i="2"/>
  <c r="CN1145" i="2" s="1"/>
  <c r="CL1144" i="2"/>
  <c r="CN1144" i="2" s="1"/>
  <c r="CO1144" i="2" s="1"/>
  <c r="CQ1144" i="2" s="1"/>
  <c r="CQ1143" i="2"/>
  <c r="CO1143" i="2"/>
  <c r="CN1143" i="2"/>
  <c r="CL1143" i="2"/>
  <c r="CL1142" i="2"/>
  <c r="CN1142" i="2" s="1"/>
  <c r="CO1142" i="2" s="1"/>
  <c r="CQ1142" i="2" s="1"/>
  <c r="CN1141" i="2"/>
  <c r="CO1141" i="2" s="1"/>
  <c r="CQ1141" i="2" s="1"/>
  <c r="CL1141" i="2"/>
  <c r="CO1140" i="2"/>
  <c r="CQ1140" i="2" s="1"/>
  <c r="CL1140" i="2"/>
  <c r="CN1140" i="2" s="1"/>
  <c r="CL1139" i="2"/>
  <c r="CN1139" i="2" s="1"/>
  <c r="CO1139" i="2" s="1"/>
  <c r="CQ1139" i="2" s="1"/>
  <c r="CQ1138" i="2"/>
  <c r="CL1138" i="2"/>
  <c r="CN1138" i="2" s="1"/>
  <c r="CO1138" i="2" s="1"/>
  <c r="CQ1137" i="2"/>
  <c r="CL1137" i="2"/>
  <c r="CN1137" i="2" s="1"/>
  <c r="CO1137" i="2" s="1"/>
  <c r="CQ1136" i="2"/>
  <c r="CO1136" i="2"/>
  <c r="CL1136" i="2"/>
  <c r="CN1136" i="2" s="1"/>
  <c r="CO1135" i="2"/>
  <c r="CQ1135" i="2" s="1"/>
  <c r="CL1135" i="2"/>
  <c r="CN1135" i="2" s="1"/>
  <c r="CL1134" i="2"/>
  <c r="CN1134" i="2" s="1"/>
  <c r="CO1134" i="2" s="1"/>
  <c r="CQ1134" i="2" s="1"/>
  <c r="CO1133" i="2"/>
  <c r="CQ1133" i="2" s="1"/>
  <c r="CL1133" i="2"/>
  <c r="CN1133" i="2" s="1"/>
  <c r="CL1132" i="2"/>
  <c r="CN1132" i="2" s="1"/>
  <c r="CO1132" i="2" s="1"/>
  <c r="CQ1132" i="2" s="1"/>
  <c r="CN1131" i="2"/>
  <c r="CO1131" i="2" s="1"/>
  <c r="CQ1131" i="2" s="1"/>
  <c r="CL1131" i="2"/>
  <c r="CO1130" i="2"/>
  <c r="CQ1130" i="2" s="1"/>
  <c r="CL1130" i="2"/>
  <c r="CN1130" i="2" s="1"/>
  <c r="CO1129" i="2"/>
  <c r="CQ1129" i="2" s="1"/>
  <c r="CL1129" i="2"/>
  <c r="CN1129" i="2" s="1"/>
  <c r="CO1128" i="2"/>
  <c r="CQ1128" i="2" s="1"/>
  <c r="CL1128" i="2"/>
  <c r="CN1128" i="2" s="1"/>
  <c r="CN1127" i="2"/>
  <c r="CO1127" i="2" s="1"/>
  <c r="CQ1127" i="2" s="1"/>
  <c r="CL1127" i="2"/>
  <c r="CQ1126" i="2"/>
  <c r="CO1126" i="2"/>
  <c r="CL1126" i="2"/>
  <c r="CN1126" i="2" s="1"/>
  <c r="CL1125" i="2"/>
  <c r="CN1125" i="2" s="1"/>
  <c r="CO1125" i="2" s="1"/>
  <c r="CQ1125" i="2" s="1"/>
  <c r="CL1124" i="2"/>
  <c r="CN1124" i="2" s="1"/>
  <c r="CO1124" i="2" s="1"/>
  <c r="CQ1124" i="2" s="1"/>
  <c r="CO1123" i="2"/>
  <c r="CQ1123" i="2" s="1"/>
  <c r="CL1123" i="2"/>
  <c r="CN1123" i="2" s="1"/>
  <c r="CL1122" i="2"/>
  <c r="CN1122" i="2" s="1"/>
  <c r="CO1122" i="2" s="1"/>
  <c r="CQ1122" i="2" s="1"/>
  <c r="CL1121" i="2"/>
  <c r="CN1121" i="2" s="1"/>
  <c r="CO1121" i="2" s="1"/>
  <c r="CQ1121" i="2" s="1"/>
  <c r="CO1120" i="2"/>
  <c r="CQ1120" i="2" s="1"/>
  <c r="CL1120" i="2"/>
  <c r="CN1120" i="2" s="1"/>
  <c r="CO1119" i="2"/>
  <c r="CQ1119" i="2" s="1"/>
  <c r="CN1119" i="2"/>
  <c r="CL1119" i="2"/>
  <c r="CQ1118" i="2"/>
  <c r="CL1118" i="2"/>
  <c r="CN1118" i="2" s="1"/>
  <c r="CO1118" i="2" s="1"/>
  <c r="CL1117" i="2"/>
  <c r="CN1117" i="2" s="1"/>
  <c r="CO1117" i="2" s="1"/>
  <c r="CQ1117" i="2" s="1"/>
  <c r="CQ1116" i="2"/>
  <c r="CO1116" i="2"/>
  <c r="CL1116" i="2"/>
  <c r="CN1116" i="2" s="1"/>
  <c r="CN1115" i="2"/>
  <c r="CO1115" i="2" s="1"/>
  <c r="CQ1115" i="2" s="1"/>
  <c r="CL1115" i="2"/>
  <c r="CO1114" i="2"/>
  <c r="CQ1114" i="2" s="1"/>
  <c r="CL1114" i="2"/>
  <c r="CN1114" i="2" s="1"/>
  <c r="CO1113" i="2"/>
  <c r="CQ1113" i="2" s="1"/>
  <c r="CL1113" i="2"/>
  <c r="CN1113" i="2" s="1"/>
  <c r="CQ1112" i="2"/>
  <c r="CL1112" i="2"/>
  <c r="CN1112" i="2" s="1"/>
  <c r="CO1112" i="2" s="1"/>
  <c r="CO1111" i="2"/>
  <c r="CQ1111" i="2" s="1"/>
  <c r="CN1111" i="2"/>
  <c r="CL1111" i="2"/>
  <c r="CO1110" i="2"/>
  <c r="CQ1110" i="2" s="1"/>
  <c r="CL1110" i="2"/>
  <c r="CN1110" i="2" s="1"/>
  <c r="CO1109" i="2"/>
  <c r="CQ1109" i="2" s="1"/>
  <c r="CN1109" i="2"/>
  <c r="CL1109" i="2"/>
  <c r="CO1108" i="2"/>
  <c r="CQ1108" i="2" s="1"/>
  <c r="CL1108" i="2"/>
  <c r="CN1108" i="2" s="1"/>
  <c r="CL1107" i="2"/>
  <c r="CN1107" i="2" s="1"/>
  <c r="CO1107" i="2" s="1"/>
  <c r="CQ1107" i="2" s="1"/>
  <c r="CQ1106" i="2"/>
  <c r="CL1106" i="2"/>
  <c r="CN1106" i="2" s="1"/>
  <c r="CO1106" i="2" s="1"/>
  <c r="CQ1105" i="2"/>
  <c r="CN1105" i="2"/>
  <c r="CO1105" i="2" s="1"/>
  <c r="CL1105" i="2"/>
  <c r="CO1104" i="2"/>
  <c r="CQ1104" i="2" s="1"/>
  <c r="CL1104" i="2"/>
  <c r="CN1104" i="2" s="1"/>
  <c r="CQ1103" i="2"/>
  <c r="CO1103" i="2"/>
  <c r="CL1103" i="2"/>
  <c r="CN1103" i="2" s="1"/>
  <c r="CL1102" i="2"/>
  <c r="CN1102" i="2" s="1"/>
  <c r="CO1102" i="2" s="1"/>
  <c r="CQ1102" i="2" s="1"/>
  <c r="CN1101" i="2"/>
  <c r="CO1101" i="2" s="1"/>
  <c r="CQ1101" i="2" s="1"/>
  <c r="CL1101" i="2"/>
  <c r="CO1100" i="2"/>
  <c r="CQ1100" i="2" s="1"/>
  <c r="CL1100" i="2"/>
  <c r="CN1100" i="2" s="1"/>
  <c r="CN1099" i="2"/>
  <c r="CO1099" i="2" s="1"/>
  <c r="CQ1099" i="2" s="1"/>
  <c r="CL1099" i="2"/>
  <c r="CQ1098" i="2"/>
  <c r="CO1098" i="2"/>
  <c r="CL1098" i="2"/>
  <c r="CN1098" i="2" s="1"/>
  <c r="CL1097" i="2"/>
  <c r="CN1097" i="2" s="1"/>
  <c r="CO1097" i="2" s="1"/>
  <c r="CQ1097" i="2" s="1"/>
  <c r="CO1096" i="2"/>
  <c r="CQ1096" i="2" s="1"/>
  <c r="CL1096" i="2"/>
  <c r="CN1096" i="2" s="1"/>
  <c r="CQ1095" i="2"/>
  <c r="CN1095" i="2"/>
  <c r="CO1095" i="2" s="1"/>
  <c r="CL1095" i="2"/>
  <c r="CL1094" i="2"/>
  <c r="CN1094" i="2" s="1"/>
  <c r="CO1094" i="2" s="1"/>
  <c r="CQ1094" i="2" s="1"/>
  <c r="CO1093" i="2"/>
  <c r="CQ1093" i="2" s="1"/>
  <c r="CL1093" i="2"/>
  <c r="CN1093" i="2" s="1"/>
  <c r="CL1092" i="2"/>
  <c r="CN1092" i="2" s="1"/>
  <c r="CO1092" i="2" s="1"/>
  <c r="CQ1092" i="2" s="1"/>
  <c r="CL1091" i="2"/>
  <c r="CN1091" i="2" s="1"/>
  <c r="CO1091" i="2" s="1"/>
  <c r="CQ1091" i="2" s="1"/>
  <c r="CL1090" i="2"/>
  <c r="CN1090" i="2" s="1"/>
  <c r="CO1090" i="2" s="1"/>
  <c r="CQ1090" i="2" s="1"/>
  <c r="CN1089" i="2"/>
  <c r="CO1089" i="2" s="1"/>
  <c r="CQ1089" i="2" s="1"/>
  <c r="CL1089" i="2"/>
  <c r="CQ1088" i="2"/>
  <c r="CO1088" i="2"/>
  <c r="CL1088" i="2"/>
  <c r="CN1088" i="2" s="1"/>
  <c r="CL1087" i="2"/>
  <c r="CN1087" i="2" s="1"/>
  <c r="CO1087" i="2" s="1"/>
  <c r="CQ1087" i="2" s="1"/>
  <c r="CO1086" i="2"/>
  <c r="CQ1086" i="2" s="1"/>
  <c r="CL1086" i="2"/>
  <c r="CN1086" i="2" s="1"/>
  <c r="CN1085" i="2"/>
  <c r="CO1085" i="2" s="1"/>
  <c r="CQ1085" i="2" s="1"/>
  <c r="CL1085" i="2"/>
  <c r="CO1084" i="2"/>
  <c r="CQ1084" i="2" s="1"/>
  <c r="CL1084" i="2"/>
  <c r="CN1084" i="2" s="1"/>
  <c r="CN1083" i="2"/>
  <c r="CO1083" i="2" s="1"/>
  <c r="CQ1083" i="2" s="1"/>
  <c r="CL1083" i="2"/>
  <c r="CQ1082" i="2"/>
  <c r="CL1082" i="2"/>
  <c r="CN1082" i="2" s="1"/>
  <c r="CO1082" i="2" s="1"/>
  <c r="CO1081" i="2"/>
  <c r="CQ1081" i="2" s="1"/>
  <c r="CL1081" i="2"/>
  <c r="CN1081" i="2" s="1"/>
  <c r="CL1080" i="2"/>
  <c r="CN1080" i="2" s="1"/>
  <c r="CO1080" i="2" s="1"/>
  <c r="CQ1080" i="2" s="1"/>
  <c r="CN1079" i="2"/>
  <c r="CO1079" i="2" s="1"/>
  <c r="CQ1079" i="2" s="1"/>
  <c r="CL1079" i="2"/>
  <c r="CQ1078" i="2"/>
  <c r="CO1078" i="2"/>
  <c r="CL1078" i="2"/>
  <c r="CN1078" i="2" s="1"/>
  <c r="CL1077" i="2"/>
  <c r="CN1077" i="2" s="1"/>
  <c r="CO1077" i="2" s="1"/>
  <c r="CQ1077" i="2" s="1"/>
  <c r="CL1076" i="2"/>
  <c r="CN1076" i="2" s="1"/>
  <c r="CO1076" i="2" s="1"/>
  <c r="CQ1076" i="2" s="1"/>
  <c r="CQ1075" i="2"/>
  <c r="CN1075" i="2"/>
  <c r="CO1075" i="2" s="1"/>
  <c r="CL1075" i="2"/>
  <c r="CL1074" i="2"/>
  <c r="CN1074" i="2" s="1"/>
  <c r="CO1074" i="2" s="1"/>
  <c r="CQ1074" i="2" s="1"/>
  <c r="CN1073" i="2"/>
  <c r="CO1073" i="2" s="1"/>
  <c r="CQ1073" i="2" s="1"/>
  <c r="CL1073" i="2"/>
  <c r="CQ1072" i="2"/>
  <c r="CO1072" i="2"/>
  <c r="CL1072" i="2"/>
  <c r="CN1072" i="2" s="1"/>
  <c r="CL1071" i="2"/>
  <c r="CN1071" i="2" s="1"/>
  <c r="CO1071" i="2" s="1"/>
  <c r="CQ1071" i="2" s="1"/>
  <c r="CO1070" i="2"/>
  <c r="CQ1070" i="2" s="1"/>
  <c r="CL1070" i="2"/>
  <c r="CN1070" i="2" s="1"/>
  <c r="CN1069" i="2"/>
  <c r="CO1069" i="2" s="1"/>
  <c r="CQ1069" i="2" s="1"/>
  <c r="CL1069" i="2"/>
  <c r="CQ1068" i="2"/>
  <c r="CO1068" i="2"/>
  <c r="CL1068" i="2"/>
  <c r="CN1068" i="2" s="1"/>
  <c r="CQ1067" i="2"/>
  <c r="CL1067" i="2"/>
  <c r="CN1067" i="2" s="1"/>
  <c r="CO1067" i="2" s="1"/>
  <c r="CQ1066" i="2"/>
  <c r="CO1066" i="2"/>
  <c r="CL1066" i="2"/>
  <c r="CN1066" i="2" s="1"/>
  <c r="CQ1065" i="2"/>
  <c r="CL1065" i="2"/>
  <c r="CN1065" i="2" s="1"/>
  <c r="CO1065" i="2" s="1"/>
  <c r="CL1064" i="2"/>
  <c r="CN1064" i="2" s="1"/>
  <c r="CO1064" i="2" s="1"/>
  <c r="CQ1064" i="2" s="1"/>
  <c r="CQ1063" i="2"/>
  <c r="CO1063" i="2"/>
  <c r="CN1063" i="2"/>
  <c r="CL1063" i="2"/>
  <c r="CL1062" i="2"/>
  <c r="CN1062" i="2" s="1"/>
  <c r="CO1062" i="2" s="1"/>
  <c r="CQ1062" i="2" s="1"/>
  <c r="CL1061" i="2"/>
  <c r="CN1061" i="2" s="1"/>
  <c r="CO1061" i="2" s="1"/>
  <c r="CQ1061" i="2" s="1"/>
  <c r="CL1060" i="2"/>
  <c r="CN1060" i="2" s="1"/>
  <c r="CO1060" i="2" s="1"/>
  <c r="CQ1060" i="2" s="1"/>
  <c r="CN1059" i="2"/>
  <c r="CO1059" i="2" s="1"/>
  <c r="CQ1059" i="2" s="1"/>
  <c r="CL1059" i="2"/>
  <c r="CQ1058" i="2"/>
  <c r="CL1058" i="2"/>
  <c r="CN1058" i="2" s="1"/>
  <c r="CO1058" i="2" s="1"/>
  <c r="CL1057" i="2"/>
  <c r="CN1057" i="2" s="1"/>
  <c r="CO1057" i="2" s="1"/>
  <c r="CQ1057" i="2" s="1"/>
  <c r="CQ1056" i="2"/>
  <c r="CO1056" i="2"/>
  <c r="CL1056" i="2"/>
  <c r="CN1056" i="2" s="1"/>
  <c r="CN1055" i="2"/>
  <c r="CO1055" i="2" s="1"/>
  <c r="CQ1055" i="2" s="1"/>
  <c r="CL1055" i="2"/>
  <c r="CL1054" i="2"/>
  <c r="CN1054" i="2" s="1"/>
  <c r="CO1054" i="2" s="1"/>
  <c r="CQ1054" i="2" s="1"/>
  <c r="CO1053" i="2"/>
  <c r="CQ1053" i="2" s="1"/>
  <c r="CN1053" i="2"/>
  <c r="CL1053" i="2"/>
  <c r="CL1052" i="2"/>
  <c r="CN1052" i="2" s="1"/>
  <c r="CO1052" i="2" s="1"/>
  <c r="CQ1052" i="2" s="1"/>
  <c r="CL1051" i="2"/>
  <c r="CN1051" i="2" s="1"/>
  <c r="CO1051" i="2" s="1"/>
  <c r="CQ1051" i="2" s="1"/>
  <c r="CQ1050" i="2"/>
  <c r="CL1050" i="2"/>
  <c r="CN1050" i="2" s="1"/>
  <c r="CO1050" i="2" s="1"/>
  <c r="CL1049" i="2"/>
  <c r="CN1049" i="2" s="1"/>
  <c r="CO1049" i="2" s="1"/>
  <c r="CQ1049" i="2" s="1"/>
  <c r="CO1048" i="2"/>
  <c r="CQ1048" i="2" s="1"/>
  <c r="CL1048" i="2"/>
  <c r="CN1048" i="2" s="1"/>
  <c r="CO1047" i="2"/>
  <c r="CQ1047" i="2" s="1"/>
  <c r="CN1047" i="2"/>
  <c r="CL1047" i="2"/>
  <c r="CQ1046" i="2"/>
  <c r="CO1046" i="2"/>
  <c r="CL1046" i="2"/>
  <c r="CN1046" i="2" s="1"/>
  <c r="CQ1045" i="2"/>
  <c r="CN1045" i="2"/>
  <c r="CO1045" i="2" s="1"/>
  <c r="CL1045" i="2"/>
  <c r="CL1044" i="2"/>
  <c r="CN1044" i="2" s="1"/>
  <c r="CO1044" i="2" s="1"/>
  <c r="CQ1044" i="2" s="1"/>
  <c r="CO1043" i="2"/>
  <c r="CQ1043" i="2" s="1"/>
  <c r="CN1043" i="2"/>
  <c r="CL1043" i="2"/>
  <c r="CQ1042" i="2"/>
  <c r="CL1042" i="2"/>
  <c r="CN1042" i="2" s="1"/>
  <c r="CO1042" i="2" s="1"/>
  <c r="CL1041" i="2"/>
  <c r="CN1041" i="2" s="1"/>
  <c r="CO1041" i="2" s="1"/>
  <c r="CQ1041" i="2" s="1"/>
  <c r="CQ1040" i="2"/>
  <c r="CO1040" i="2"/>
  <c r="CL1040" i="2"/>
  <c r="CN1040" i="2" s="1"/>
  <c r="CN1039" i="2"/>
  <c r="CO1039" i="2" s="1"/>
  <c r="CQ1039" i="2" s="1"/>
  <c r="CL1039" i="2"/>
  <c r="CO1038" i="2"/>
  <c r="CQ1038" i="2" s="1"/>
  <c r="CL1038" i="2"/>
  <c r="CN1038" i="2" s="1"/>
  <c r="CO1037" i="2"/>
  <c r="CQ1037" i="2" s="1"/>
  <c r="CL1037" i="2"/>
  <c r="CN1037" i="2" s="1"/>
  <c r="CO1036" i="2"/>
  <c r="CQ1036" i="2" s="1"/>
  <c r="CL1036" i="2"/>
  <c r="CN1036" i="2" s="1"/>
  <c r="CL1035" i="2"/>
  <c r="CN1035" i="2" s="1"/>
  <c r="CO1035" i="2" s="1"/>
  <c r="CQ1035" i="2" s="1"/>
  <c r="CL1034" i="2"/>
  <c r="CN1034" i="2" s="1"/>
  <c r="CO1034" i="2" s="1"/>
  <c r="CQ1034" i="2" s="1"/>
  <c r="CQ1033" i="2"/>
  <c r="CO1033" i="2"/>
  <c r="CL1033" i="2"/>
  <c r="CN1033" i="2" s="1"/>
  <c r="CO1032" i="2"/>
  <c r="CQ1032" i="2" s="1"/>
  <c r="CL1032" i="2"/>
  <c r="CN1032" i="2" s="1"/>
  <c r="CL1031" i="2"/>
  <c r="CN1031" i="2" s="1"/>
  <c r="CO1031" i="2" s="1"/>
  <c r="CQ1031" i="2" s="1"/>
  <c r="CQ1030" i="2"/>
  <c r="CL1030" i="2"/>
  <c r="CN1030" i="2" s="1"/>
  <c r="CO1030" i="2" s="1"/>
  <c r="CL1029" i="2"/>
  <c r="CN1029" i="2" s="1"/>
  <c r="CO1029" i="2" s="1"/>
  <c r="CQ1029" i="2" s="1"/>
  <c r="CO1028" i="2"/>
  <c r="CQ1028" i="2" s="1"/>
  <c r="CL1028" i="2"/>
  <c r="CN1028" i="2" s="1"/>
  <c r="CQ1027" i="2"/>
  <c r="CL1027" i="2"/>
  <c r="CN1027" i="2" s="1"/>
  <c r="CO1027" i="2" s="1"/>
  <c r="CL1026" i="2"/>
  <c r="CN1026" i="2" s="1"/>
  <c r="CO1026" i="2" s="1"/>
  <c r="CQ1026" i="2" s="1"/>
  <c r="CL1025" i="2"/>
  <c r="CN1025" i="2" s="1"/>
  <c r="CO1025" i="2" s="1"/>
  <c r="CQ1025" i="2" s="1"/>
  <c r="CL1024" i="2"/>
  <c r="CN1024" i="2" s="1"/>
  <c r="CO1024" i="2" s="1"/>
  <c r="CQ1024" i="2" s="1"/>
  <c r="CQ1023" i="2"/>
  <c r="CN1023" i="2"/>
  <c r="CO1023" i="2" s="1"/>
  <c r="CL1023" i="2"/>
  <c r="CL1022" i="2"/>
  <c r="CN1022" i="2" s="1"/>
  <c r="CO1022" i="2" s="1"/>
  <c r="CQ1022" i="2" s="1"/>
  <c r="CQ1021" i="2"/>
  <c r="CO1021" i="2"/>
  <c r="CL1021" i="2"/>
  <c r="CN1021" i="2" s="1"/>
  <c r="CL1020" i="2"/>
  <c r="CN1020" i="2" s="1"/>
  <c r="CO1020" i="2" s="1"/>
  <c r="CQ1020" i="2" s="1"/>
  <c r="CO1019" i="2"/>
  <c r="CQ1019" i="2" s="1"/>
  <c r="CN1019" i="2"/>
  <c r="CL1019" i="2"/>
  <c r="CL1018" i="2"/>
  <c r="CN1018" i="2" s="1"/>
  <c r="CO1018" i="2" s="1"/>
  <c r="CQ1018" i="2" s="1"/>
  <c r="CQ1017" i="2"/>
  <c r="CL1017" i="2"/>
  <c r="CN1017" i="2" s="1"/>
  <c r="CO1017" i="2" s="1"/>
  <c r="CO1016" i="2"/>
  <c r="CQ1016" i="2" s="1"/>
  <c r="CL1016" i="2"/>
  <c r="CN1016" i="2" s="1"/>
  <c r="CN1015" i="2"/>
  <c r="CO1015" i="2" s="1"/>
  <c r="CQ1015" i="2" s="1"/>
  <c r="CL1015" i="2"/>
  <c r="CL1014" i="2"/>
  <c r="CN1014" i="2" s="1"/>
  <c r="CO1014" i="2" s="1"/>
  <c r="CQ1014" i="2" s="1"/>
  <c r="CL1013" i="2"/>
  <c r="CN1013" i="2" s="1"/>
  <c r="CO1013" i="2" s="1"/>
  <c r="CQ1013" i="2" s="1"/>
  <c r="CO1012" i="2"/>
  <c r="CQ1012" i="2" s="1"/>
  <c r="CL1012" i="2"/>
  <c r="CN1012" i="2" s="1"/>
  <c r="CN1011" i="2"/>
  <c r="CO1011" i="2" s="1"/>
  <c r="CQ1011" i="2" s="1"/>
  <c r="CL1011" i="2"/>
  <c r="CO1010" i="2"/>
  <c r="CQ1010" i="2" s="1"/>
  <c r="CL1010" i="2"/>
  <c r="CN1010" i="2" s="1"/>
  <c r="CO1009" i="2"/>
  <c r="CQ1009" i="2" s="1"/>
  <c r="CL1009" i="2"/>
  <c r="CN1009" i="2" s="1"/>
  <c r="CO1008" i="2"/>
  <c r="CQ1008" i="2" s="1"/>
  <c r="CL1008" i="2"/>
  <c r="CN1008" i="2" s="1"/>
  <c r="CN1007" i="2"/>
  <c r="CO1007" i="2" s="1"/>
  <c r="CQ1007" i="2" s="1"/>
  <c r="CL1007" i="2"/>
  <c r="CQ1006" i="2"/>
  <c r="CO1006" i="2"/>
  <c r="CL1006" i="2"/>
  <c r="CN1006" i="2" s="1"/>
  <c r="CL1005" i="2"/>
  <c r="CN1005" i="2" s="1"/>
  <c r="CO1005" i="2" s="1"/>
  <c r="CQ1005" i="2" s="1"/>
  <c r="CL1004" i="2"/>
  <c r="CN1004" i="2" s="1"/>
  <c r="CO1004" i="2" s="1"/>
  <c r="CQ1004" i="2" s="1"/>
  <c r="CQ1003" i="2"/>
  <c r="CO1003" i="2"/>
  <c r="CN1003" i="2"/>
  <c r="CL1003" i="2"/>
  <c r="CL1002" i="2"/>
  <c r="CN1002" i="2" s="1"/>
  <c r="CO1002" i="2" s="1"/>
  <c r="CQ1002" i="2" s="1"/>
  <c r="CN1001" i="2"/>
  <c r="CO1001" i="2" s="1"/>
  <c r="CQ1001" i="2" s="1"/>
  <c r="CL1001" i="2"/>
  <c r="CO1000" i="2"/>
  <c r="CQ1000" i="2" s="1"/>
  <c r="CL1000" i="2"/>
  <c r="CN1000" i="2" s="1"/>
  <c r="CN999" i="2"/>
  <c r="CO999" i="2" s="1"/>
  <c r="CQ999" i="2" s="1"/>
  <c r="CL999" i="2"/>
  <c r="CQ998" i="2"/>
  <c r="CL998" i="2"/>
  <c r="CN998" i="2" s="1"/>
  <c r="CO998" i="2" s="1"/>
  <c r="CL997" i="2"/>
  <c r="CN997" i="2" s="1"/>
  <c r="CO997" i="2" s="1"/>
  <c r="CQ997" i="2" s="1"/>
  <c r="CO996" i="2"/>
  <c r="CQ996" i="2" s="1"/>
  <c r="CL996" i="2"/>
  <c r="CN996" i="2" s="1"/>
  <c r="CN995" i="2"/>
  <c r="CO995" i="2" s="1"/>
  <c r="CQ995" i="2" s="1"/>
  <c r="CL995" i="2"/>
  <c r="CL994" i="2"/>
  <c r="CN994" i="2" s="1"/>
  <c r="CO994" i="2" s="1"/>
  <c r="CQ994" i="2" s="1"/>
  <c r="CO993" i="2"/>
  <c r="CQ993" i="2" s="1"/>
  <c r="CN993" i="2"/>
  <c r="CL993" i="2"/>
  <c r="CL992" i="2"/>
  <c r="CN992" i="2" s="1"/>
  <c r="CO992" i="2" s="1"/>
  <c r="CQ992" i="2" s="1"/>
  <c r="CL991" i="2"/>
  <c r="CN991" i="2" s="1"/>
  <c r="CO991" i="2" s="1"/>
  <c r="CQ991" i="2" s="1"/>
  <c r="CL990" i="2"/>
  <c r="CN990" i="2" s="1"/>
  <c r="CO990" i="2" s="1"/>
  <c r="CQ990" i="2" s="1"/>
  <c r="CL989" i="2"/>
  <c r="CN989" i="2" s="1"/>
  <c r="CO989" i="2" s="1"/>
  <c r="CQ989" i="2" s="1"/>
  <c r="CO988" i="2"/>
  <c r="CQ988" i="2" s="1"/>
  <c r="CL988" i="2"/>
  <c r="CN988" i="2" s="1"/>
  <c r="CO987" i="2"/>
  <c r="CQ987" i="2" s="1"/>
  <c r="CN987" i="2"/>
  <c r="CL987" i="2"/>
  <c r="CO986" i="2"/>
  <c r="CQ986" i="2" s="1"/>
  <c r="CL986" i="2"/>
  <c r="CN986" i="2" s="1"/>
  <c r="CN985" i="2"/>
  <c r="CO985" i="2" s="1"/>
  <c r="CQ985" i="2" s="1"/>
  <c r="CL985" i="2"/>
  <c r="CL984" i="2"/>
  <c r="CN984" i="2" s="1"/>
  <c r="CO984" i="2" s="1"/>
  <c r="CQ984" i="2" s="1"/>
  <c r="CO983" i="2"/>
  <c r="CQ983" i="2" s="1"/>
  <c r="CN983" i="2"/>
  <c r="CL983" i="2"/>
  <c r="CQ982" i="2"/>
  <c r="CL982" i="2"/>
  <c r="CN982" i="2" s="1"/>
  <c r="CO982" i="2" s="1"/>
  <c r="CO981" i="2"/>
  <c r="CQ981" i="2" s="1"/>
  <c r="CN981" i="2"/>
  <c r="CL981" i="2"/>
  <c r="CL980" i="2"/>
  <c r="CN980" i="2" s="1"/>
  <c r="CO980" i="2" s="1"/>
  <c r="CQ980" i="2" s="1"/>
  <c r="CL979" i="2"/>
  <c r="CN979" i="2" s="1"/>
  <c r="CO979" i="2" s="1"/>
  <c r="CQ979" i="2" s="1"/>
  <c r="CQ978" i="2"/>
  <c r="CO978" i="2"/>
  <c r="CL978" i="2"/>
  <c r="CN978" i="2" s="1"/>
  <c r="CL977" i="2"/>
  <c r="CN977" i="2" s="1"/>
  <c r="CO977" i="2" s="1"/>
  <c r="CQ977" i="2" s="1"/>
  <c r="CO976" i="2"/>
  <c r="CQ976" i="2" s="1"/>
  <c r="CL976" i="2"/>
  <c r="CN976" i="2" s="1"/>
  <c r="CL975" i="2"/>
  <c r="CN975" i="2" s="1"/>
  <c r="CO975" i="2" s="1"/>
  <c r="CQ975" i="2" s="1"/>
  <c r="CL974" i="2"/>
  <c r="CN974" i="2" s="1"/>
  <c r="CO974" i="2" s="1"/>
  <c r="CQ974" i="2" s="1"/>
  <c r="CN973" i="2"/>
  <c r="CO973" i="2" s="1"/>
  <c r="CQ973" i="2" s="1"/>
  <c r="CL973" i="2"/>
  <c r="CL972" i="2"/>
  <c r="CN972" i="2" s="1"/>
  <c r="CO972" i="2" s="1"/>
  <c r="CQ972" i="2" s="1"/>
  <c r="CQ971" i="2"/>
  <c r="CL971" i="2"/>
  <c r="CN971" i="2" s="1"/>
  <c r="CO971" i="2" s="1"/>
  <c r="CL970" i="2"/>
  <c r="CN970" i="2" s="1"/>
  <c r="CO970" i="2" s="1"/>
  <c r="CQ970" i="2" s="1"/>
  <c r="CQ969" i="2"/>
  <c r="CO969" i="2"/>
  <c r="CN969" i="2"/>
  <c r="CL969" i="2"/>
  <c r="CL968" i="2"/>
  <c r="CN968" i="2" s="1"/>
  <c r="CO968" i="2" s="1"/>
  <c r="CQ968" i="2" s="1"/>
  <c r="CN967" i="2"/>
  <c r="CO967" i="2" s="1"/>
  <c r="CQ967" i="2" s="1"/>
  <c r="CL967" i="2"/>
  <c r="CO966" i="2"/>
  <c r="CQ966" i="2" s="1"/>
  <c r="CL966" i="2"/>
  <c r="CN966" i="2" s="1"/>
  <c r="CL965" i="2"/>
  <c r="CN965" i="2" s="1"/>
  <c r="CO965" i="2" s="1"/>
  <c r="CQ965" i="2" s="1"/>
  <c r="CL964" i="2"/>
  <c r="CN964" i="2" s="1"/>
  <c r="CO964" i="2" s="1"/>
  <c r="CQ964" i="2" s="1"/>
  <c r="CN963" i="2"/>
  <c r="CO963" i="2" s="1"/>
  <c r="CQ963" i="2" s="1"/>
  <c r="CL963" i="2"/>
  <c r="CQ962" i="2"/>
  <c r="CO962" i="2"/>
  <c r="CL962" i="2"/>
  <c r="CN962" i="2" s="1"/>
  <c r="CL961" i="2"/>
  <c r="CN961" i="2" s="1"/>
  <c r="CO961" i="2" s="1"/>
  <c r="CQ961" i="2" s="1"/>
  <c r="CO960" i="2"/>
  <c r="CQ960" i="2" s="1"/>
  <c r="CL960" i="2"/>
  <c r="CN960" i="2" s="1"/>
  <c r="CO959" i="2"/>
  <c r="CQ959" i="2" s="1"/>
  <c r="CL959" i="2"/>
  <c r="CN959" i="2" s="1"/>
  <c r="CL958" i="2"/>
  <c r="CN958" i="2" s="1"/>
  <c r="CO958" i="2" s="1"/>
  <c r="CQ958" i="2" s="1"/>
  <c r="CN957" i="2"/>
  <c r="CO957" i="2" s="1"/>
  <c r="CQ957" i="2" s="1"/>
  <c r="CL957" i="2"/>
  <c r="CO956" i="2"/>
  <c r="CQ956" i="2" s="1"/>
  <c r="CL956" i="2"/>
  <c r="CN956" i="2" s="1"/>
  <c r="CL955" i="2"/>
  <c r="CN955" i="2" s="1"/>
  <c r="CO955" i="2" s="1"/>
  <c r="CQ955" i="2" s="1"/>
  <c r="CL954" i="2"/>
  <c r="CN954" i="2" s="1"/>
  <c r="CO954" i="2" s="1"/>
  <c r="CQ954" i="2" s="1"/>
  <c r="CQ953" i="2"/>
  <c r="CO953" i="2"/>
  <c r="CN953" i="2"/>
  <c r="CL953" i="2"/>
  <c r="CQ952" i="2"/>
  <c r="CL952" i="2"/>
  <c r="CN952" i="2" s="1"/>
  <c r="CO952" i="2" s="1"/>
  <c r="CN951" i="2"/>
  <c r="CO951" i="2" s="1"/>
  <c r="CQ951" i="2" s="1"/>
  <c r="CL951" i="2"/>
  <c r="CO950" i="2"/>
  <c r="CQ950" i="2" s="1"/>
  <c r="CL950" i="2"/>
  <c r="CN950" i="2" s="1"/>
  <c r="CL949" i="2"/>
  <c r="CN949" i="2" s="1"/>
  <c r="CO949" i="2" s="1"/>
  <c r="CQ949" i="2" s="1"/>
  <c r="CL948" i="2"/>
  <c r="CN948" i="2" s="1"/>
  <c r="CO948" i="2" s="1"/>
  <c r="CQ948" i="2" s="1"/>
  <c r="CN947" i="2"/>
  <c r="CO947" i="2" s="1"/>
  <c r="CQ947" i="2" s="1"/>
  <c r="CL947" i="2"/>
  <c r="CQ946" i="2"/>
  <c r="CO946" i="2"/>
  <c r="CL946" i="2"/>
  <c r="CN946" i="2" s="1"/>
  <c r="CL945" i="2"/>
  <c r="CN945" i="2" s="1"/>
  <c r="CO945" i="2" s="1"/>
  <c r="CQ945" i="2" s="1"/>
  <c r="CO944" i="2"/>
  <c r="CQ944" i="2" s="1"/>
  <c r="CL944" i="2"/>
  <c r="CN944" i="2" s="1"/>
  <c r="CL943" i="2"/>
  <c r="CN943" i="2" s="1"/>
  <c r="CO943" i="2" s="1"/>
  <c r="CQ943" i="2" s="1"/>
  <c r="CL942" i="2"/>
  <c r="CN942" i="2" s="1"/>
  <c r="CO942" i="2" s="1"/>
  <c r="CQ942" i="2" s="1"/>
  <c r="CN941" i="2"/>
  <c r="CO941" i="2" s="1"/>
  <c r="CQ941" i="2" s="1"/>
  <c r="CL941" i="2"/>
  <c r="CL940" i="2"/>
  <c r="CN940" i="2" s="1"/>
  <c r="CO940" i="2" s="1"/>
  <c r="CQ940" i="2" s="1"/>
  <c r="CQ939" i="2"/>
  <c r="CL939" i="2"/>
  <c r="CN939" i="2" s="1"/>
  <c r="CO939" i="2" s="1"/>
  <c r="CL938" i="2"/>
  <c r="CN938" i="2" s="1"/>
  <c r="CO938" i="2" s="1"/>
  <c r="CQ938" i="2" s="1"/>
  <c r="CO937" i="2"/>
  <c r="CQ937" i="2" s="1"/>
  <c r="CN937" i="2"/>
  <c r="CL937" i="2"/>
  <c r="CL936" i="2"/>
  <c r="CN936" i="2" s="1"/>
  <c r="CO936" i="2" s="1"/>
  <c r="CQ936" i="2" s="1"/>
  <c r="CL935" i="2"/>
  <c r="CN935" i="2" s="1"/>
  <c r="CO935" i="2" s="1"/>
  <c r="CQ935" i="2" s="1"/>
  <c r="CO934" i="2"/>
  <c r="CQ934" i="2" s="1"/>
  <c r="CL934" i="2"/>
  <c r="CN934" i="2" s="1"/>
  <c r="CO933" i="2"/>
  <c r="CQ933" i="2" s="1"/>
  <c r="CN933" i="2"/>
  <c r="CL933" i="2"/>
  <c r="CL932" i="2"/>
  <c r="CN932" i="2" s="1"/>
  <c r="CO932" i="2" s="1"/>
  <c r="CQ932" i="2" s="1"/>
  <c r="CL931" i="2"/>
  <c r="CN931" i="2" s="1"/>
  <c r="CO931" i="2" s="1"/>
  <c r="CQ931" i="2" s="1"/>
  <c r="CO930" i="2"/>
  <c r="CQ930" i="2" s="1"/>
  <c r="CL930" i="2"/>
  <c r="CN930" i="2" s="1"/>
  <c r="CQ929" i="2"/>
  <c r="CL929" i="2"/>
  <c r="CN929" i="2" s="1"/>
  <c r="CO929" i="2" s="1"/>
  <c r="CL928" i="2"/>
  <c r="CN928" i="2" s="1"/>
  <c r="CO928" i="2" s="1"/>
  <c r="CQ928" i="2" s="1"/>
  <c r="CL927" i="2"/>
  <c r="CN927" i="2" s="1"/>
  <c r="CO927" i="2" s="1"/>
  <c r="CQ927" i="2" s="1"/>
  <c r="CQ926" i="2"/>
  <c r="CO926" i="2"/>
  <c r="CL926" i="2"/>
  <c r="CN926" i="2" s="1"/>
  <c r="CN925" i="2"/>
  <c r="CO925" i="2" s="1"/>
  <c r="CQ925" i="2" s="1"/>
  <c r="CL925" i="2"/>
  <c r="CL924" i="2"/>
  <c r="CN924" i="2" s="1"/>
  <c r="CO924" i="2" s="1"/>
  <c r="CQ924" i="2" s="1"/>
  <c r="CQ923" i="2"/>
  <c r="CO923" i="2"/>
  <c r="CL923" i="2"/>
  <c r="CN923" i="2" s="1"/>
  <c r="CL922" i="2"/>
  <c r="CN922" i="2" s="1"/>
  <c r="CO922" i="2" s="1"/>
  <c r="CQ922" i="2" s="1"/>
  <c r="CO921" i="2"/>
  <c r="CQ921" i="2" s="1"/>
  <c r="CN921" i="2"/>
  <c r="CL921" i="2"/>
  <c r="CQ920" i="2"/>
  <c r="CL920" i="2"/>
  <c r="CN920" i="2" s="1"/>
  <c r="CO920" i="2" s="1"/>
  <c r="CL919" i="2"/>
  <c r="CN919" i="2" s="1"/>
  <c r="CO919" i="2" s="1"/>
  <c r="CQ919" i="2" s="1"/>
  <c r="CO918" i="2"/>
  <c r="CQ918" i="2" s="1"/>
  <c r="CL918" i="2"/>
  <c r="CN918" i="2" s="1"/>
  <c r="CO917" i="2"/>
  <c r="CQ917" i="2" s="1"/>
  <c r="CN917" i="2"/>
  <c r="CL917" i="2"/>
  <c r="CL916" i="2"/>
  <c r="CN916" i="2" s="1"/>
  <c r="CO916" i="2" s="1"/>
  <c r="CQ916" i="2" s="1"/>
  <c r="CN915" i="2"/>
  <c r="CO915" i="2" s="1"/>
  <c r="CQ915" i="2" s="1"/>
  <c r="CL915" i="2"/>
  <c r="CO914" i="2"/>
  <c r="CQ914" i="2" s="1"/>
  <c r="CL914" i="2"/>
  <c r="CN914" i="2" s="1"/>
  <c r="CL913" i="2"/>
  <c r="CN913" i="2" s="1"/>
  <c r="CO913" i="2" s="1"/>
  <c r="CQ913" i="2" s="1"/>
  <c r="CO912" i="2"/>
  <c r="CQ912" i="2" s="1"/>
  <c r="CL912" i="2"/>
  <c r="CN912" i="2" s="1"/>
  <c r="CO911" i="2"/>
  <c r="CQ911" i="2" s="1"/>
  <c r="CL911" i="2"/>
  <c r="CN911" i="2" s="1"/>
  <c r="CL910" i="2"/>
  <c r="CN910" i="2" s="1"/>
  <c r="CO910" i="2" s="1"/>
  <c r="CQ910" i="2" s="1"/>
  <c r="CN909" i="2"/>
  <c r="CO909" i="2" s="1"/>
  <c r="CQ909" i="2" s="1"/>
  <c r="CL909" i="2"/>
  <c r="CL908" i="2"/>
  <c r="CN908" i="2" s="1"/>
  <c r="CO908" i="2" s="1"/>
  <c r="CQ908" i="2" s="1"/>
  <c r="CL907" i="2"/>
  <c r="CN907" i="2" s="1"/>
  <c r="CO907" i="2" s="1"/>
  <c r="CQ907" i="2" s="1"/>
  <c r="CL906" i="2"/>
  <c r="CN906" i="2" s="1"/>
  <c r="CO906" i="2" s="1"/>
  <c r="CQ906" i="2" s="1"/>
  <c r="CN905" i="2"/>
  <c r="CO905" i="2" s="1"/>
  <c r="CQ905" i="2" s="1"/>
  <c r="CL905" i="2"/>
  <c r="CQ904" i="2"/>
  <c r="CL904" i="2"/>
  <c r="CN904" i="2" s="1"/>
  <c r="CO904" i="2" s="1"/>
  <c r="CN903" i="2"/>
  <c r="CO903" i="2" s="1"/>
  <c r="CQ903" i="2" s="1"/>
  <c r="CL903" i="2"/>
  <c r="CO902" i="2"/>
  <c r="CQ902" i="2" s="1"/>
  <c r="CL902" i="2"/>
  <c r="CN902" i="2" s="1"/>
  <c r="CL901" i="2"/>
  <c r="CN901" i="2" s="1"/>
  <c r="CO901" i="2" s="1"/>
  <c r="CQ901" i="2" s="1"/>
  <c r="CL900" i="2"/>
  <c r="CN900" i="2" s="1"/>
  <c r="CO900" i="2" s="1"/>
  <c r="CQ900" i="2" s="1"/>
  <c r="CL899" i="2"/>
  <c r="CN899" i="2" s="1"/>
  <c r="CO899" i="2" s="1"/>
  <c r="CQ899" i="2" s="1"/>
  <c r="CQ898" i="2"/>
  <c r="CO898" i="2"/>
  <c r="CL898" i="2"/>
  <c r="CN898" i="2" s="1"/>
  <c r="CL897" i="2"/>
  <c r="CN897" i="2" s="1"/>
  <c r="CO897" i="2" s="1"/>
  <c r="CQ897" i="2" s="1"/>
  <c r="CL896" i="2"/>
  <c r="CN896" i="2" s="1"/>
  <c r="CO896" i="2" s="1"/>
  <c r="CQ896" i="2" s="1"/>
  <c r="CO895" i="2"/>
  <c r="CQ895" i="2" s="1"/>
  <c r="CL895" i="2"/>
  <c r="CN895" i="2" s="1"/>
  <c r="CL894" i="2"/>
  <c r="CN894" i="2" s="1"/>
  <c r="CO894" i="2" s="1"/>
  <c r="CQ894" i="2" s="1"/>
  <c r="CQ893" i="2"/>
  <c r="CN893" i="2"/>
  <c r="CO893" i="2" s="1"/>
  <c r="CL893" i="2"/>
  <c r="CO892" i="2"/>
  <c r="CQ892" i="2" s="1"/>
  <c r="CL892" i="2"/>
  <c r="CN892" i="2" s="1"/>
  <c r="CL891" i="2"/>
  <c r="CN891" i="2" s="1"/>
  <c r="CO891" i="2" s="1"/>
  <c r="CQ891" i="2" s="1"/>
  <c r="CL890" i="2"/>
  <c r="CN890" i="2" s="1"/>
  <c r="CO890" i="2" s="1"/>
  <c r="CQ890" i="2" s="1"/>
  <c r="CO889" i="2"/>
  <c r="CQ889" i="2" s="1"/>
  <c r="CN889" i="2"/>
  <c r="CL889" i="2"/>
  <c r="CL888" i="2"/>
  <c r="CN888" i="2" s="1"/>
  <c r="CO888" i="2" s="1"/>
  <c r="CQ888" i="2" s="1"/>
  <c r="CL887" i="2"/>
  <c r="CN887" i="2" s="1"/>
  <c r="CO887" i="2" s="1"/>
  <c r="CQ887" i="2" s="1"/>
  <c r="CO886" i="2"/>
  <c r="CQ886" i="2" s="1"/>
  <c r="CL886" i="2"/>
  <c r="CN886" i="2" s="1"/>
  <c r="CL885" i="2"/>
  <c r="CN885" i="2" s="1"/>
  <c r="CO885" i="2" s="1"/>
  <c r="CQ885" i="2" s="1"/>
  <c r="CQ884" i="2"/>
  <c r="CL884" i="2"/>
  <c r="CN884" i="2" s="1"/>
  <c r="CO884" i="2" s="1"/>
  <c r="CL883" i="2"/>
  <c r="CN883" i="2" s="1"/>
  <c r="CO883" i="2" s="1"/>
  <c r="CQ883" i="2" s="1"/>
  <c r="CQ882" i="2"/>
  <c r="CO882" i="2"/>
  <c r="CL882" i="2"/>
  <c r="CN882" i="2" s="1"/>
  <c r="CL881" i="2"/>
  <c r="CN881" i="2" s="1"/>
  <c r="CO881" i="2" s="1"/>
  <c r="CQ881" i="2" s="1"/>
  <c r="CO880" i="2"/>
  <c r="CQ880" i="2" s="1"/>
  <c r="CL880" i="2"/>
  <c r="CN880" i="2" s="1"/>
  <c r="CO879" i="2"/>
  <c r="CQ879" i="2" s="1"/>
  <c r="CL879" i="2"/>
  <c r="CN879" i="2" s="1"/>
  <c r="CL878" i="2"/>
  <c r="CN878" i="2" s="1"/>
  <c r="CO878" i="2" s="1"/>
  <c r="CQ878" i="2" s="1"/>
  <c r="CN877" i="2"/>
  <c r="CO877" i="2" s="1"/>
  <c r="CQ877" i="2" s="1"/>
  <c r="CL877" i="2"/>
  <c r="CL876" i="2"/>
  <c r="CN876" i="2" s="1"/>
  <c r="CO876" i="2" s="1"/>
  <c r="CQ876" i="2" s="1"/>
  <c r="CO875" i="2"/>
  <c r="CQ875" i="2" s="1"/>
  <c r="CL875" i="2"/>
  <c r="CN875" i="2" s="1"/>
  <c r="CL874" i="2"/>
  <c r="CN874" i="2" s="1"/>
  <c r="CO874" i="2" s="1"/>
  <c r="CQ874" i="2" s="1"/>
  <c r="CN873" i="2"/>
  <c r="CO873" i="2" s="1"/>
  <c r="CQ873" i="2" s="1"/>
  <c r="CL873" i="2"/>
  <c r="CQ872" i="2"/>
  <c r="CL872" i="2"/>
  <c r="CN872" i="2" s="1"/>
  <c r="CO872" i="2" s="1"/>
  <c r="CQ871" i="2"/>
  <c r="CO871" i="2"/>
  <c r="CN871" i="2"/>
  <c r="CL871" i="2"/>
  <c r="CO870" i="2"/>
  <c r="CQ870" i="2" s="1"/>
  <c r="CL870" i="2"/>
  <c r="CN870" i="2" s="1"/>
  <c r="CL869" i="2"/>
  <c r="CN869" i="2" s="1"/>
  <c r="CO869" i="2" s="1"/>
  <c r="CQ869" i="2" s="1"/>
  <c r="CQ868" i="2"/>
  <c r="CL868" i="2"/>
  <c r="CN868" i="2" s="1"/>
  <c r="CO868" i="2" s="1"/>
  <c r="CL867" i="2"/>
  <c r="CN867" i="2" s="1"/>
  <c r="CO867" i="2" s="1"/>
  <c r="CQ867" i="2" s="1"/>
  <c r="CO866" i="2"/>
  <c r="CQ866" i="2" s="1"/>
  <c r="CL866" i="2"/>
  <c r="CN866" i="2" s="1"/>
  <c r="CL865" i="2"/>
  <c r="CN865" i="2" s="1"/>
  <c r="CO865" i="2" s="1"/>
  <c r="CQ865" i="2" s="1"/>
  <c r="CO864" i="2"/>
  <c r="CQ864" i="2" s="1"/>
  <c r="CL864" i="2"/>
  <c r="CN864" i="2" s="1"/>
  <c r="CO863" i="2"/>
  <c r="CQ863" i="2" s="1"/>
  <c r="CL863" i="2"/>
  <c r="CN863" i="2" s="1"/>
  <c r="CL862" i="2"/>
  <c r="CN862" i="2" s="1"/>
  <c r="CO862" i="2" s="1"/>
  <c r="CQ862" i="2" s="1"/>
  <c r="CN861" i="2"/>
  <c r="CO861" i="2" s="1"/>
  <c r="CQ861" i="2" s="1"/>
  <c r="CL861" i="2"/>
  <c r="CQ860" i="2"/>
  <c r="CO860" i="2"/>
  <c r="CL860" i="2"/>
  <c r="CN860" i="2" s="1"/>
  <c r="CL859" i="2"/>
  <c r="CN859" i="2" s="1"/>
  <c r="CO859" i="2" s="1"/>
  <c r="CQ859" i="2" s="1"/>
  <c r="CO858" i="2"/>
  <c r="CQ858" i="2" s="1"/>
  <c r="CL858" i="2"/>
  <c r="CN858" i="2" s="1"/>
  <c r="CQ857" i="2"/>
  <c r="CO857" i="2"/>
  <c r="CN857" i="2"/>
  <c r="CL857" i="2"/>
  <c r="CL856" i="2"/>
  <c r="CN856" i="2" s="1"/>
  <c r="CO856" i="2" s="1"/>
  <c r="CQ856" i="2" s="1"/>
  <c r="CL855" i="2"/>
  <c r="CN855" i="2" s="1"/>
  <c r="CO855" i="2" s="1"/>
  <c r="CQ855" i="2" s="1"/>
  <c r="CO854" i="2"/>
  <c r="CQ854" i="2" s="1"/>
  <c r="CL854" i="2"/>
  <c r="CN854" i="2" s="1"/>
  <c r="CN853" i="2"/>
  <c r="CO853" i="2" s="1"/>
  <c r="CQ853" i="2" s="1"/>
  <c r="CL853" i="2"/>
  <c r="CQ852" i="2"/>
  <c r="CL852" i="2"/>
  <c r="CN852" i="2" s="1"/>
  <c r="CO852" i="2" s="1"/>
  <c r="CL851" i="2"/>
  <c r="CN851" i="2" s="1"/>
  <c r="CO851" i="2" s="1"/>
  <c r="CQ851" i="2" s="1"/>
  <c r="CO850" i="2"/>
  <c r="CQ850" i="2" s="1"/>
  <c r="CL850" i="2"/>
  <c r="CN850" i="2" s="1"/>
  <c r="CQ849" i="2"/>
  <c r="CN849" i="2"/>
  <c r="CO849" i="2" s="1"/>
  <c r="CL849" i="2"/>
  <c r="CL848" i="2"/>
  <c r="CN848" i="2" s="1"/>
  <c r="CO848" i="2" s="1"/>
  <c r="CQ848" i="2" s="1"/>
  <c r="CO847" i="2"/>
  <c r="CQ847" i="2" s="1"/>
  <c r="CL847" i="2"/>
  <c r="CN847" i="2" s="1"/>
  <c r="CO846" i="2"/>
  <c r="CQ846" i="2" s="1"/>
  <c r="CL846" i="2"/>
  <c r="CN846" i="2" s="1"/>
  <c r="CN845" i="2"/>
  <c r="CO845" i="2" s="1"/>
  <c r="CQ845" i="2" s="1"/>
  <c r="CL845" i="2"/>
  <c r="CQ844" i="2"/>
  <c r="CL844" i="2"/>
  <c r="CN844" i="2" s="1"/>
  <c r="CO844" i="2" s="1"/>
  <c r="CQ843" i="2"/>
  <c r="CO843" i="2"/>
  <c r="CL843" i="2"/>
  <c r="CN843" i="2" s="1"/>
  <c r="CL842" i="2"/>
  <c r="CN842" i="2" s="1"/>
  <c r="CO842" i="2" s="1"/>
  <c r="CQ842" i="2" s="1"/>
  <c r="CQ841" i="2"/>
  <c r="CN841" i="2"/>
  <c r="CO841" i="2" s="1"/>
  <c r="CL841" i="2"/>
  <c r="CQ840" i="2"/>
  <c r="CL840" i="2"/>
  <c r="CN840" i="2" s="1"/>
  <c r="CO840" i="2" s="1"/>
  <c r="CN839" i="2"/>
  <c r="CO839" i="2" s="1"/>
  <c r="CQ839" i="2" s="1"/>
  <c r="CL839" i="2"/>
  <c r="CO838" i="2"/>
  <c r="CQ838" i="2" s="1"/>
  <c r="CL838" i="2"/>
  <c r="CN838" i="2" s="1"/>
  <c r="CL837" i="2"/>
  <c r="CN837" i="2" s="1"/>
  <c r="CO837" i="2" s="1"/>
  <c r="CQ837" i="2" s="1"/>
  <c r="CQ836" i="2"/>
  <c r="CL836" i="2"/>
  <c r="CN836" i="2" s="1"/>
  <c r="CO836" i="2" s="1"/>
  <c r="CN835" i="2"/>
  <c r="CO835" i="2" s="1"/>
  <c r="CQ835" i="2" s="1"/>
  <c r="CL835" i="2"/>
  <c r="CO834" i="2"/>
  <c r="CQ834" i="2" s="1"/>
  <c r="CL834" i="2"/>
  <c r="CN834" i="2" s="1"/>
  <c r="CL833" i="2"/>
  <c r="CN833" i="2" s="1"/>
  <c r="CO833" i="2" s="1"/>
  <c r="CQ833" i="2" s="1"/>
  <c r="CQ832" i="2"/>
  <c r="CO832" i="2"/>
  <c r="CL832" i="2"/>
  <c r="CN832" i="2" s="1"/>
  <c r="CL831" i="2"/>
  <c r="CN831" i="2" s="1"/>
  <c r="CO831" i="2" s="1"/>
  <c r="CQ831" i="2" s="1"/>
  <c r="CQ830" i="2"/>
  <c r="CL830" i="2"/>
  <c r="CN830" i="2" s="1"/>
  <c r="CO830" i="2" s="1"/>
  <c r="CN829" i="2"/>
  <c r="CO829" i="2" s="1"/>
  <c r="CQ829" i="2" s="1"/>
  <c r="CL829" i="2"/>
  <c r="CL828" i="2"/>
  <c r="CN828" i="2" s="1"/>
  <c r="CO828" i="2" s="1"/>
  <c r="CQ828" i="2" s="1"/>
  <c r="CL827" i="2"/>
  <c r="CN827" i="2" s="1"/>
  <c r="CO827" i="2" s="1"/>
  <c r="CQ827" i="2" s="1"/>
  <c r="CO826" i="2"/>
  <c r="CQ826" i="2" s="1"/>
  <c r="CL826" i="2"/>
  <c r="CN826" i="2" s="1"/>
  <c r="CN825" i="2"/>
  <c r="CO825" i="2" s="1"/>
  <c r="CQ825" i="2" s="1"/>
  <c r="CL825" i="2"/>
  <c r="CQ824" i="2"/>
  <c r="CL824" i="2"/>
  <c r="CN824" i="2" s="1"/>
  <c r="CO824" i="2" s="1"/>
  <c r="CL823" i="2"/>
  <c r="CN823" i="2" s="1"/>
  <c r="CO823" i="2" s="1"/>
  <c r="CQ823" i="2" s="1"/>
  <c r="CO822" i="2"/>
  <c r="CQ822" i="2" s="1"/>
  <c r="CL822" i="2"/>
  <c r="CN822" i="2" s="1"/>
  <c r="CO821" i="2"/>
  <c r="CQ821" i="2" s="1"/>
  <c r="CN821" i="2"/>
  <c r="CL821" i="2"/>
  <c r="CL820" i="2"/>
  <c r="CN820" i="2" s="1"/>
  <c r="CO820" i="2" s="1"/>
  <c r="CQ820" i="2" s="1"/>
  <c r="CL819" i="2"/>
  <c r="CN819" i="2" s="1"/>
  <c r="CO819" i="2" s="1"/>
  <c r="CQ819" i="2" s="1"/>
  <c r="CQ818" i="2"/>
  <c r="CO818" i="2"/>
  <c r="CL818" i="2"/>
  <c r="CN818" i="2" s="1"/>
  <c r="CL817" i="2"/>
  <c r="CN817" i="2" s="1"/>
  <c r="CO817" i="2" s="1"/>
  <c r="CQ817" i="2" s="1"/>
  <c r="CL816" i="2"/>
  <c r="CN816" i="2" s="1"/>
  <c r="CO816" i="2" s="1"/>
  <c r="CQ816" i="2" s="1"/>
  <c r="CQ815" i="2"/>
  <c r="CL815" i="2"/>
  <c r="CN815" i="2" s="1"/>
  <c r="CO815" i="2" s="1"/>
  <c r="CO814" i="2"/>
  <c r="CQ814" i="2" s="1"/>
  <c r="CL814" i="2"/>
  <c r="CN814" i="2" s="1"/>
  <c r="CO813" i="2"/>
  <c r="CQ813" i="2" s="1"/>
  <c r="CN813" i="2"/>
  <c r="CL813" i="2"/>
  <c r="CL812" i="2"/>
  <c r="CN812" i="2" s="1"/>
  <c r="CO812" i="2" s="1"/>
  <c r="CQ812" i="2" s="1"/>
  <c r="CO811" i="2"/>
  <c r="CQ811" i="2" s="1"/>
  <c r="CN811" i="2"/>
  <c r="CL811" i="2"/>
  <c r="CL810" i="2"/>
  <c r="CN810" i="2" s="1"/>
  <c r="CO810" i="2" s="1"/>
  <c r="CQ810" i="2" s="1"/>
  <c r="CO809" i="2"/>
  <c r="CQ809" i="2" s="1"/>
  <c r="CL809" i="2"/>
  <c r="CN809" i="2" s="1"/>
  <c r="CL808" i="2"/>
  <c r="CN808" i="2" s="1"/>
  <c r="CO808" i="2" s="1"/>
  <c r="CQ808" i="2" s="1"/>
  <c r="CL807" i="2"/>
  <c r="CN807" i="2" s="1"/>
  <c r="CO807" i="2" s="1"/>
  <c r="CQ807" i="2" s="1"/>
  <c r="CO806" i="2"/>
  <c r="CQ806" i="2" s="1"/>
  <c r="CL806" i="2"/>
  <c r="CN806" i="2" s="1"/>
  <c r="CL805" i="2"/>
  <c r="CN805" i="2" s="1"/>
  <c r="CO805" i="2" s="1"/>
  <c r="CQ805" i="2" s="1"/>
  <c r="CL804" i="2"/>
  <c r="CN804" i="2" s="1"/>
  <c r="CO804" i="2" s="1"/>
  <c r="CQ804" i="2" s="1"/>
  <c r="CQ803" i="2"/>
  <c r="CO803" i="2"/>
  <c r="CL803" i="2"/>
  <c r="CN803" i="2" s="1"/>
  <c r="CO802" i="2"/>
  <c r="CQ802" i="2" s="1"/>
  <c r="CL802" i="2"/>
  <c r="CN802" i="2" s="1"/>
  <c r="CN801" i="2"/>
  <c r="CO801" i="2" s="1"/>
  <c r="CQ801" i="2" s="1"/>
  <c r="CL801" i="2"/>
  <c r="CL800" i="2"/>
  <c r="CN800" i="2" s="1"/>
  <c r="CO800" i="2" s="1"/>
  <c r="CQ800" i="2" s="1"/>
  <c r="CL799" i="2"/>
  <c r="CN799" i="2" s="1"/>
  <c r="CO799" i="2" s="1"/>
  <c r="CQ799" i="2" s="1"/>
  <c r="CL798" i="2"/>
  <c r="CN798" i="2" s="1"/>
  <c r="CO798" i="2" s="1"/>
  <c r="CQ798" i="2" s="1"/>
  <c r="CL797" i="2"/>
  <c r="CN797" i="2" s="1"/>
  <c r="CO797" i="2" s="1"/>
  <c r="CQ797" i="2" s="1"/>
  <c r="CQ796" i="2"/>
  <c r="CL796" i="2"/>
  <c r="CN796" i="2" s="1"/>
  <c r="CO796" i="2" s="1"/>
  <c r="CL795" i="2"/>
  <c r="CN795" i="2" s="1"/>
  <c r="CO795" i="2" s="1"/>
  <c r="CQ795" i="2" s="1"/>
  <c r="CQ794" i="2"/>
  <c r="CO794" i="2"/>
  <c r="CL794" i="2"/>
  <c r="CN794" i="2" s="1"/>
  <c r="CN793" i="2"/>
  <c r="CO793" i="2" s="1"/>
  <c r="CQ793" i="2" s="1"/>
  <c r="CL793" i="2"/>
  <c r="CL792" i="2"/>
  <c r="CN792" i="2" s="1"/>
  <c r="CO792" i="2" s="1"/>
  <c r="CQ792" i="2" s="1"/>
  <c r="CL791" i="2"/>
  <c r="CN791" i="2" s="1"/>
  <c r="CO791" i="2" s="1"/>
  <c r="CQ791" i="2" s="1"/>
  <c r="CL790" i="2"/>
  <c r="CN790" i="2" s="1"/>
  <c r="CO790" i="2" s="1"/>
  <c r="CQ790" i="2" s="1"/>
  <c r="CQ789" i="2"/>
  <c r="CL789" i="2"/>
  <c r="CN789" i="2" s="1"/>
  <c r="CO789" i="2" s="1"/>
  <c r="CQ788" i="2"/>
  <c r="CL788" i="2"/>
  <c r="CN788" i="2" s="1"/>
  <c r="CO788" i="2" s="1"/>
  <c r="CO787" i="2"/>
  <c r="CQ787" i="2" s="1"/>
  <c r="CL787" i="2"/>
  <c r="CN787" i="2" s="1"/>
  <c r="CO786" i="2"/>
  <c r="CQ786" i="2" s="1"/>
  <c r="CL786" i="2"/>
  <c r="CN786" i="2" s="1"/>
  <c r="CQ785" i="2"/>
  <c r="CO785" i="2"/>
  <c r="CN785" i="2"/>
  <c r="CL785" i="2"/>
  <c r="CL784" i="2"/>
  <c r="CN784" i="2" s="1"/>
  <c r="CO784" i="2" s="1"/>
  <c r="CQ784" i="2" s="1"/>
  <c r="CL783" i="2"/>
  <c r="CN783" i="2" s="1"/>
  <c r="CO783" i="2" s="1"/>
  <c r="CQ783" i="2" s="1"/>
  <c r="CL782" i="2"/>
  <c r="CN782" i="2" s="1"/>
  <c r="CO782" i="2" s="1"/>
  <c r="CQ782" i="2" s="1"/>
  <c r="CL781" i="2"/>
  <c r="CN781" i="2" s="1"/>
  <c r="CO781" i="2" s="1"/>
  <c r="CQ781" i="2" s="1"/>
  <c r="CQ780" i="2"/>
  <c r="CL780" i="2"/>
  <c r="CN780" i="2" s="1"/>
  <c r="CO780" i="2" s="1"/>
  <c r="CL779" i="2"/>
  <c r="CN779" i="2" s="1"/>
  <c r="CO779" i="2" s="1"/>
  <c r="CQ779" i="2" s="1"/>
  <c r="CQ778" i="2"/>
  <c r="CO778" i="2"/>
  <c r="CL778" i="2"/>
  <c r="CN778" i="2" s="1"/>
  <c r="CN777" i="2"/>
  <c r="CO777" i="2" s="1"/>
  <c r="CQ777" i="2" s="1"/>
  <c r="CL777" i="2"/>
  <c r="CL776" i="2"/>
  <c r="CN776" i="2" s="1"/>
  <c r="CO776" i="2" s="1"/>
  <c r="CQ776" i="2" s="1"/>
  <c r="CL775" i="2"/>
  <c r="CN775" i="2" s="1"/>
  <c r="CO775" i="2" s="1"/>
  <c r="CQ775" i="2" s="1"/>
  <c r="CO774" i="2"/>
  <c r="CQ774" i="2" s="1"/>
  <c r="CL774" i="2"/>
  <c r="CN774" i="2" s="1"/>
  <c r="CL773" i="2"/>
  <c r="CN773" i="2" s="1"/>
  <c r="CO773" i="2" s="1"/>
  <c r="CQ773" i="2" s="1"/>
  <c r="CL772" i="2"/>
  <c r="CN772" i="2" s="1"/>
  <c r="CO772" i="2" s="1"/>
  <c r="CQ772" i="2" s="1"/>
  <c r="CQ771" i="2"/>
  <c r="CO771" i="2"/>
  <c r="CL771" i="2"/>
  <c r="CN771" i="2" s="1"/>
  <c r="CO770" i="2"/>
  <c r="CQ770" i="2" s="1"/>
  <c r="CL770" i="2"/>
  <c r="CN770" i="2" s="1"/>
  <c r="CN769" i="2"/>
  <c r="CO769" i="2" s="1"/>
  <c r="CQ769" i="2" s="1"/>
  <c r="CL769" i="2"/>
  <c r="CL768" i="2"/>
  <c r="CN768" i="2" s="1"/>
  <c r="CO768" i="2" s="1"/>
  <c r="CQ768" i="2" s="1"/>
  <c r="CL767" i="2"/>
  <c r="CN767" i="2" s="1"/>
  <c r="CO767" i="2" s="1"/>
  <c r="CQ767" i="2" s="1"/>
  <c r="CL766" i="2"/>
  <c r="CN766" i="2" s="1"/>
  <c r="CO766" i="2" s="1"/>
  <c r="CQ766" i="2" s="1"/>
  <c r="CL765" i="2"/>
  <c r="CN765" i="2" s="1"/>
  <c r="CO765" i="2" s="1"/>
  <c r="CQ765" i="2" s="1"/>
  <c r="CQ764" i="2"/>
  <c r="CL764" i="2"/>
  <c r="CN764" i="2" s="1"/>
  <c r="CO764" i="2" s="1"/>
  <c r="CL763" i="2"/>
  <c r="CN763" i="2" s="1"/>
  <c r="CO763" i="2" s="1"/>
  <c r="CQ763" i="2" s="1"/>
  <c r="CQ762" i="2"/>
  <c r="CO762" i="2"/>
  <c r="CL762" i="2"/>
  <c r="CN762" i="2" s="1"/>
  <c r="CN761" i="2"/>
  <c r="CO761" i="2" s="1"/>
  <c r="CQ761" i="2" s="1"/>
  <c r="CL761" i="2"/>
  <c r="CL760" i="2"/>
  <c r="CN760" i="2" s="1"/>
  <c r="CO760" i="2" s="1"/>
  <c r="CQ760" i="2" s="1"/>
  <c r="CL759" i="2"/>
  <c r="CN759" i="2" s="1"/>
  <c r="CO759" i="2" s="1"/>
  <c r="CQ759" i="2" s="1"/>
  <c r="CL758" i="2"/>
  <c r="CN758" i="2" s="1"/>
  <c r="CO758" i="2" s="1"/>
  <c r="CQ758" i="2" s="1"/>
  <c r="CL757" i="2"/>
  <c r="CN757" i="2" s="1"/>
  <c r="CO757" i="2" s="1"/>
  <c r="CQ757" i="2" s="1"/>
  <c r="CQ756" i="2"/>
  <c r="CL756" i="2"/>
  <c r="CN756" i="2" s="1"/>
  <c r="CO756" i="2" s="1"/>
  <c r="CO755" i="2"/>
  <c r="CQ755" i="2" s="1"/>
  <c r="CL755" i="2"/>
  <c r="CN755" i="2" s="1"/>
  <c r="CO754" i="2"/>
  <c r="CQ754" i="2" s="1"/>
  <c r="CL754" i="2"/>
  <c r="CN754" i="2" s="1"/>
  <c r="CQ753" i="2"/>
  <c r="CO753" i="2"/>
  <c r="CN753" i="2"/>
  <c r="CL753" i="2"/>
  <c r="CL752" i="2"/>
  <c r="CN752" i="2" s="1"/>
  <c r="CO752" i="2" s="1"/>
  <c r="CQ752" i="2" s="1"/>
  <c r="CL751" i="2"/>
  <c r="CN751" i="2" s="1"/>
  <c r="CO751" i="2" s="1"/>
  <c r="CQ751" i="2" s="1"/>
  <c r="CL750" i="2"/>
  <c r="CN750" i="2" s="1"/>
  <c r="CO750" i="2" s="1"/>
  <c r="CQ750" i="2" s="1"/>
  <c r="CL749" i="2"/>
  <c r="CN749" i="2" s="1"/>
  <c r="CO749" i="2" s="1"/>
  <c r="CQ749" i="2" s="1"/>
  <c r="CQ748" i="2"/>
  <c r="CL748" i="2"/>
  <c r="CN748" i="2" s="1"/>
  <c r="CO748" i="2" s="1"/>
  <c r="CL747" i="2"/>
  <c r="CN747" i="2" s="1"/>
  <c r="CO747" i="2" s="1"/>
  <c r="CQ747" i="2" s="1"/>
  <c r="CQ746" i="2"/>
  <c r="CO746" i="2"/>
  <c r="CL746" i="2"/>
  <c r="CN746" i="2" s="1"/>
  <c r="CN745" i="2"/>
  <c r="CO745" i="2" s="1"/>
  <c r="CQ745" i="2" s="1"/>
  <c r="CL745" i="2"/>
  <c r="CL744" i="2"/>
  <c r="CN744" i="2" s="1"/>
  <c r="CO744" i="2" s="1"/>
  <c r="CQ744" i="2" s="1"/>
  <c r="CL743" i="2"/>
  <c r="CN743" i="2" s="1"/>
  <c r="CO743" i="2" s="1"/>
  <c r="CQ743" i="2" s="1"/>
  <c r="CO742" i="2"/>
  <c r="CQ742" i="2" s="1"/>
  <c r="CL742" i="2"/>
  <c r="CN742" i="2" s="1"/>
  <c r="CL741" i="2"/>
  <c r="CN741" i="2" s="1"/>
  <c r="CO741" i="2" s="1"/>
  <c r="CQ741" i="2" s="1"/>
  <c r="CL740" i="2"/>
  <c r="CN740" i="2" s="1"/>
  <c r="CO740" i="2" s="1"/>
  <c r="CQ740" i="2" s="1"/>
  <c r="CO739" i="2"/>
  <c r="CQ739" i="2" s="1"/>
  <c r="CL739" i="2"/>
  <c r="CN739" i="2" s="1"/>
  <c r="CO738" i="2"/>
  <c r="CQ738" i="2" s="1"/>
  <c r="CL738" i="2"/>
  <c r="CN738" i="2" s="1"/>
  <c r="CN737" i="2"/>
  <c r="CO737" i="2" s="1"/>
  <c r="CQ737" i="2" s="1"/>
  <c r="CL737" i="2"/>
  <c r="CL736" i="2"/>
  <c r="CN736" i="2" s="1"/>
  <c r="CO736" i="2" s="1"/>
  <c r="CQ736" i="2" s="1"/>
  <c r="CL735" i="2"/>
  <c r="CN735" i="2" s="1"/>
  <c r="CO735" i="2" s="1"/>
  <c r="CQ735" i="2" s="1"/>
  <c r="CL734" i="2"/>
  <c r="CN734" i="2" s="1"/>
  <c r="CO734" i="2" s="1"/>
  <c r="CQ734" i="2" s="1"/>
  <c r="CL733" i="2"/>
  <c r="CN733" i="2" s="1"/>
  <c r="CO733" i="2" s="1"/>
  <c r="CQ733" i="2" s="1"/>
  <c r="CQ732" i="2"/>
  <c r="CL732" i="2"/>
  <c r="CN732" i="2" s="1"/>
  <c r="CO732" i="2" s="1"/>
  <c r="CL731" i="2"/>
  <c r="CN731" i="2" s="1"/>
  <c r="CO731" i="2" s="1"/>
  <c r="CQ731" i="2" s="1"/>
  <c r="CQ730" i="2"/>
  <c r="CO730" i="2"/>
  <c r="CL730" i="2"/>
  <c r="CN730" i="2" s="1"/>
  <c r="CN729" i="2"/>
  <c r="CO729" i="2" s="1"/>
  <c r="CQ729" i="2" s="1"/>
  <c r="CL729" i="2"/>
  <c r="CL728" i="2"/>
  <c r="CN728" i="2" s="1"/>
  <c r="CO728" i="2" s="1"/>
  <c r="CQ728" i="2" s="1"/>
  <c r="CL727" i="2"/>
  <c r="CN727" i="2" s="1"/>
  <c r="CO727" i="2" s="1"/>
  <c r="CQ727" i="2" s="1"/>
  <c r="CL726" i="2"/>
  <c r="CN726" i="2" s="1"/>
  <c r="CO726" i="2" s="1"/>
  <c r="CQ726" i="2" s="1"/>
  <c r="CL725" i="2"/>
  <c r="CN725" i="2" s="1"/>
  <c r="CO725" i="2" s="1"/>
  <c r="CQ725" i="2" s="1"/>
  <c r="CQ724" i="2"/>
  <c r="CL724" i="2"/>
  <c r="CN724" i="2" s="1"/>
  <c r="CO724" i="2" s="1"/>
  <c r="CO723" i="2"/>
  <c r="CQ723" i="2" s="1"/>
  <c r="CL723" i="2"/>
  <c r="CN723" i="2" s="1"/>
  <c r="CO722" i="2"/>
  <c r="CQ722" i="2" s="1"/>
  <c r="CL722" i="2"/>
  <c r="CN722" i="2" s="1"/>
  <c r="CQ721" i="2"/>
  <c r="CO721" i="2"/>
  <c r="CN721" i="2"/>
  <c r="CL721" i="2"/>
  <c r="CL720" i="2"/>
  <c r="CN720" i="2" s="1"/>
  <c r="CO720" i="2" s="1"/>
  <c r="CQ720" i="2" s="1"/>
  <c r="CL719" i="2"/>
  <c r="CN719" i="2" s="1"/>
  <c r="CO719" i="2" s="1"/>
  <c r="CQ719" i="2" s="1"/>
  <c r="CL718" i="2"/>
  <c r="CN718" i="2" s="1"/>
  <c r="CO718" i="2" s="1"/>
  <c r="CQ718" i="2" s="1"/>
  <c r="CL717" i="2"/>
  <c r="CN717" i="2" s="1"/>
  <c r="CO717" i="2" s="1"/>
  <c r="CQ717" i="2" s="1"/>
  <c r="CQ716" i="2"/>
  <c r="CL716" i="2"/>
  <c r="CN716" i="2" s="1"/>
  <c r="CO716" i="2" s="1"/>
  <c r="CL715" i="2"/>
  <c r="CN715" i="2" s="1"/>
  <c r="CO715" i="2" s="1"/>
  <c r="CQ715" i="2" s="1"/>
  <c r="CQ714" i="2"/>
  <c r="CO714" i="2"/>
  <c r="CL714" i="2"/>
  <c r="CN714" i="2" s="1"/>
  <c r="CN713" i="2"/>
  <c r="CO713" i="2" s="1"/>
  <c r="CQ713" i="2" s="1"/>
  <c r="CL713" i="2"/>
  <c r="CL712" i="2"/>
  <c r="CN712" i="2" s="1"/>
  <c r="CO712" i="2" s="1"/>
  <c r="CQ712" i="2" s="1"/>
  <c r="CL711" i="2"/>
  <c r="CN711" i="2" s="1"/>
  <c r="CO711" i="2" s="1"/>
  <c r="CQ711" i="2" s="1"/>
  <c r="CO710" i="2"/>
  <c r="CQ710" i="2" s="1"/>
  <c r="CL710" i="2"/>
  <c r="CN710" i="2" s="1"/>
  <c r="CL709" i="2"/>
  <c r="CN709" i="2" s="1"/>
  <c r="CO709" i="2" s="1"/>
  <c r="CQ709" i="2" s="1"/>
  <c r="CL708" i="2"/>
  <c r="CN708" i="2" s="1"/>
  <c r="CO708" i="2" s="1"/>
  <c r="CQ708" i="2" s="1"/>
  <c r="CQ707" i="2"/>
  <c r="CO707" i="2"/>
  <c r="CL707" i="2"/>
  <c r="CN707" i="2" s="1"/>
  <c r="CO706" i="2"/>
  <c r="CQ706" i="2" s="1"/>
  <c r="CL706" i="2"/>
  <c r="CN706" i="2" s="1"/>
  <c r="CN705" i="2"/>
  <c r="CO705" i="2" s="1"/>
  <c r="CQ705" i="2" s="1"/>
  <c r="CL705" i="2"/>
  <c r="CL704" i="2"/>
  <c r="CN704" i="2" s="1"/>
  <c r="CO704" i="2" s="1"/>
  <c r="CQ704" i="2" s="1"/>
  <c r="CO703" i="2"/>
  <c r="CQ703" i="2" s="1"/>
  <c r="CN703" i="2"/>
  <c r="CL703" i="2"/>
  <c r="CL702" i="2"/>
  <c r="CN702" i="2" s="1"/>
  <c r="CO702" i="2" s="1"/>
  <c r="CQ702" i="2" s="1"/>
  <c r="CL701" i="2"/>
  <c r="CN701" i="2" s="1"/>
  <c r="CO701" i="2" s="1"/>
  <c r="CQ701" i="2" s="1"/>
  <c r="CQ700" i="2"/>
  <c r="CL700" i="2"/>
  <c r="CN700" i="2" s="1"/>
  <c r="CO700" i="2" s="1"/>
  <c r="CO699" i="2"/>
  <c r="CQ699" i="2" s="1"/>
  <c r="CL699" i="2"/>
  <c r="CN699" i="2" s="1"/>
  <c r="CQ698" i="2"/>
  <c r="CO698" i="2"/>
  <c r="CL698" i="2"/>
  <c r="CN698" i="2" s="1"/>
  <c r="CN697" i="2"/>
  <c r="CO697" i="2" s="1"/>
  <c r="CQ697" i="2" s="1"/>
  <c r="CL697" i="2"/>
  <c r="CL696" i="2"/>
  <c r="CN696" i="2" s="1"/>
  <c r="CO696" i="2" s="1"/>
  <c r="CQ696" i="2" s="1"/>
  <c r="CL695" i="2"/>
  <c r="CN695" i="2" s="1"/>
  <c r="CO695" i="2" s="1"/>
  <c r="CQ695" i="2" s="1"/>
  <c r="CL694" i="2"/>
  <c r="CN694" i="2" s="1"/>
  <c r="CO694" i="2" s="1"/>
  <c r="CQ694" i="2" s="1"/>
  <c r="CQ693" i="2"/>
  <c r="CL693" i="2"/>
  <c r="CN693" i="2" s="1"/>
  <c r="CO693" i="2" s="1"/>
  <c r="CL692" i="2"/>
  <c r="CN692" i="2" s="1"/>
  <c r="CO692" i="2" s="1"/>
  <c r="CQ692" i="2" s="1"/>
  <c r="CL691" i="2"/>
  <c r="CN691" i="2" s="1"/>
  <c r="CO691" i="2" s="1"/>
  <c r="CQ691" i="2" s="1"/>
  <c r="CQ690" i="2"/>
  <c r="CO690" i="2"/>
  <c r="CL690" i="2"/>
  <c r="CN690" i="2" s="1"/>
  <c r="CO689" i="2"/>
  <c r="CQ689" i="2" s="1"/>
  <c r="CN689" i="2"/>
  <c r="CL689" i="2"/>
  <c r="CL688" i="2"/>
  <c r="CN688" i="2" s="1"/>
  <c r="CO688" i="2" s="1"/>
  <c r="CQ688" i="2" s="1"/>
  <c r="CL687" i="2"/>
  <c r="CN687" i="2" s="1"/>
  <c r="CO687" i="2" s="1"/>
  <c r="CQ687" i="2" s="1"/>
  <c r="CL686" i="2"/>
  <c r="CN686" i="2" s="1"/>
  <c r="CO686" i="2" s="1"/>
  <c r="CQ686" i="2" s="1"/>
  <c r="CO685" i="2"/>
  <c r="CQ685" i="2" s="1"/>
  <c r="CN685" i="2"/>
  <c r="CL685" i="2"/>
  <c r="CQ684" i="2"/>
  <c r="CL684" i="2"/>
  <c r="CN684" i="2" s="1"/>
  <c r="CO684" i="2" s="1"/>
  <c r="CL683" i="2"/>
  <c r="CN683" i="2" s="1"/>
  <c r="CO683" i="2" s="1"/>
  <c r="CQ683" i="2" s="1"/>
  <c r="CQ682" i="2"/>
  <c r="CO682" i="2"/>
  <c r="CL682" i="2"/>
  <c r="CN682" i="2" s="1"/>
  <c r="CN681" i="2"/>
  <c r="CO681" i="2" s="1"/>
  <c r="CQ681" i="2" s="1"/>
  <c r="CL681" i="2"/>
  <c r="CL680" i="2"/>
  <c r="CN680" i="2" s="1"/>
  <c r="CO680" i="2" s="1"/>
  <c r="CQ680" i="2" s="1"/>
  <c r="CN679" i="2"/>
  <c r="CO679" i="2" s="1"/>
  <c r="CQ679" i="2" s="1"/>
  <c r="CL679" i="2"/>
  <c r="CO678" i="2"/>
  <c r="CQ678" i="2" s="1"/>
  <c r="CL678" i="2"/>
  <c r="CN678" i="2" s="1"/>
  <c r="CL677" i="2"/>
  <c r="CN677" i="2" s="1"/>
  <c r="CO677" i="2" s="1"/>
  <c r="CQ677" i="2" s="1"/>
  <c r="CQ676" i="2"/>
  <c r="CO676" i="2"/>
  <c r="CL676" i="2"/>
  <c r="CN676" i="2" s="1"/>
  <c r="CO675" i="2"/>
  <c r="CQ675" i="2" s="1"/>
  <c r="CL675" i="2"/>
  <c r="CN675" i="2" s="1"/>
  <c r="CL674" i="2"/>
  <c r="CN674" i="2" s="1"/>
  <c r="CO674" i="2" s="1"/>
  <c r="CQ674" i="2" s="1"/>
  <c r="CQ673" i="2"/>
  <c r="CO673" i="2"/>
  <c r="CN673" i="2"/>
  <c r="CL673" i="2"/>
  <c r="CL672" i="2"/>
  <c r="CN672" i="2" s="1"/>
  <c r="CO672" i="2" s="1"/>
  <c r="CQ672" i="2" s="1"/>
  <c r="CQ671" i="2"/>
  <c r="CO671" i="2"/>
  <c r="CN671" i="2"/>
  <c r="CL671" i="2"/>
  <c r="CL670" i="2"/>
  <c r="CN670" i="2" s="1"/>
  <c r="CO670" i="2" s="1"/>
  <c r="CQ670" i="2" s="1"/>
  <c r="CL669" i="2"/>
  <c r="CN669" i="2" s="1"/>
  <c r="CO669" i="2" s="1"/>
  <c r="CQ669" i="2" s="1"/>
  <c r="CQ668" i="2"/>
  <c r="CL668" i="2"/>
  <c r="CN668" i="2" s="1"/>
  <c r="CO668" i="2" s="1"/>
  <c r="CN667" i="2"/>
  <c r="CO667" i="2" s="1"/>
  <c r="CQ667" i="2" s="1"/>
  <c r="CL667" i="2"/>
  <c r="CO666" i="2"/>
  <c r="CQ666" i="2" s="1"/>
  <c r="CL666" i="2"/>
  <c r="CN666" i="2" s="1"/>
  <c r="CL665" i="2"/>
  <c r="CN665" i="2" s="1"/>
  <c r="CO665" i="2" s="1"/>
  <c r="CQ665" i="2" s="1"/>
  <c r="CL664" i="2"/>
  <c r="CN664" i="2" s="1"/>
  <c r="CO664" i="2" s="1"/>
  <c r="CQ664" i="2" s="1"/>
  <c r="CL663" i="2"/>
  <c r="CN663" i="2" s="1"/>
  <c r="CO663" i="2" s="1"/>
  <c r="CQ663" i="2" s="1"/>
  <c r="CL662" i="2"/>
  <c r="CN662" i="2" s="1"/>
  <c r="CO662" i="2" s="1"/>
  <c r="CQ662" i="2" s="1"/>
  <c r="CQ661" i="2"/>
  <c r="CL661" i="2"/>
  <c r="CN661" i="2" s="1"/>
  <c r="CO661" i="2" s="1"/>
  <c r="CO660" i="2"/>
  <c r="CQ660" i="2" s="1"/>
  <c r="CL660" i="2"/>
  <c r="CN660" i="2" s="1"/>
  <c r="CL659" i="2"/>
  <c r="CN659" i="2" s="1"/>
  <c r="CO659" i="2" s="1"/>
  <c r="CQ659" i="2" s="1"/>
  <c r="CL658" i="2"/>
  <c r="CN658" i="2" s="1"/>
  <c r="CO658" i="2" s="1"/>
  <c r="CQ658" i="2" s="1"/>
  <c r="CQ657" i="2"/>
  <c r="CO657" i="2"/>
  <c r="CN657" i="2"/>
  <c r="CL657" i="2"/>
  <c r="CO656" i="2"/>
  <c r="CQ656" i="2" s="1"/>
  <c r="CL656" i="2"/>
  <c r="CN656" i="2" s="1"/>
  <c r="CN655" i="2"/>
  <c r="CO655" i="2" s="1"/>
  <c r="CQ655" i="2" s="1"/>
  <c r="CL655" i="2"/>
  <c r="CL654" i="2"/>
  <c r="CN654" i="2" s="1"/>
  <c r="CO654" i="2" s="1"/>
  <c r="CQ654" i="2" s="1"/>
  <c r="CL653" i="2"/>
  <c r="CN653" i="2" s="1"/>
  <c r="CO653" i="2" s="1"/>
  <c r="CQ653" i="2" s="1"/>
  <c r="CQ652" i="2"/>
  <c r="CL652" i="2"/>
  <c r="CN652" i="2" s="1"/>
  <c r="CO652" i="2" s="1"/>
  <c r="CN651" i="2"/>
  <c r="CO651" i="2" s="1"/>
  <c r="CQ651" i="2" s="1"/>
  <c r="CL651" i="2"/>
  <c r="CL650" i="2"/>
  <c r="CN650" i="2" s="1"/>
  <c r="CO650" i="2" s="1"/>
  <c r="CQ650" i="2" s="1"/>
  <c r="CL649" i="2"/>
  <c r="CN649" i="2" s="1"/>
  <c r="CO649" i="2" s="1"/>
  <c r="CQ649" i="2" s="1"/>
  <c r="CL648" i="2"/>
  <c r="CN648" i="2" s="1"/>
  <c r="CO648" i="2" s="1"/>
  <c r="CQ648" i="2" s="1"/>
  <c r="CQ647" i="2"/>
  <c r="CL647" i="2"/>
  <c r="CN647" i="2" s="1"/>
  <c r="CO647" i="2" s="1"/>
  <c r="CL646" i="2"/>
  <c r="CN646" i="2" s="1"/>
  <c r="CO646" i="2" s="1"/>
  <c r="CQ646" i="2" s="1"/>
  <c r="CO645" i="2"/>
  <c r="CQ645" i="2" s="1"/>
  <c r="CN645" i="2"/>
  <c r="CL645" i="2"/>
  <c r="CO644" i="2"/>
  <c r="CQ644" i="2" s="1"/>
  <c r="CL644" i="2"/>
  <c r="CN644" i="2" s="1"/>
  <c r="CO643" i="2"/>
  <c r="CQ643" i="2" s="1"/>
  <c r="CN643" i="2"/>
  <c r="CL643" i="2"/>
  <c r="CL642" i="2"/>
  <c r="CN642" i="2" s="1"/>
  <c r="CO642" i="2" s="1"/>
  <c r="CQ642" i="2" s="1"/>
  <c r="CN641" i="2"/>
  <c r="CO641" i="2" s="1"/>
  <c r="CQ641" i="2" s="1"/>
  <c r="CL641" i="2"/>
  <c r="CL640" i="2"/>
  <c r="CN640" i="2" s="1"/>
  <c r="CO640" i="2" s="1"/>
  <c r="CQ640" i="2" s="1"/>
  <c r="CL639" i="2"/>
  <c r="CN639" i="2" s="1"/>
  <c r="CO639" i="2" s="1"/>
  <c r="CQ639" i="2" s="1"/>
  <c r="CQ638" i="2"/>
  <c r="CO638" i="2"/>
  <c r="CL638" i="2"/>
  <c r="CN638" i="2" s="1"/>
  <c r="CL637" i="2"/>
  <c r="CN637" i="2" s="1"/>
  <c r="CO637" i="2" s="1"/>
  <c r="CQ637" i="2" s="1"/>
  <c r="CQ636" i="2"/>
  <c r="CO636" i="2"/>
  <c r="CL636" i="2"/>
  <c r="CN636" i="2" s="1"/>
  <c r="CN635" i="2"/>
  <c r="CO635" i="2" s="1"/>
  <c r="CQ635" i="2" s="1"/>
  <c r="CL635" i="2"/>
  <c r="CL634" i="2"/>
  <c r="CN634" i="2" s="1"/>
  <c r="CO634" i="2" s="1"/>
  <c r="CQ634" i="2" s="1"/>
  <c r="CL633" i="2"/>
  <c r="CN633" i="2" s="1"/>
  <c r="CO633" i="2" s="1"/>
  <c r="CQ633" i="2" s="1"/>
  <c r="CL632" i="2"/>
  <c r="CN632" i="2" s="1"/>
  <c r="CO632" i="2" s="1"/>
  <c r="CQ632" i="2" s="1"/>
  <c r="CL631" i="2"/>
  <c r="CN631" i="2" s="1"/>
  <c r="CO631" i="2" s="1"/>
  <c r="CQ631" i="2" s="1"/>
  <c r="CQ630" i="2"/>
  <c r="CL630" i="2"/>
  <c r="CN630" i="2" s="1"/>
  <c r="CO630" i="2" s="1"/>
  <c r="CN629" i="2"/>
  <c r="CO629" i="2" s="1"/>
  <c r="CQ629" i="2" s="1"/>
  <c r="CL629" i="2"/>
  <c r="CO628" i="2"/>
  <c r="CQ628" i="2" s="1"/>
  <c r="CL628" i="2"/>
  <c r="CN628" i="2" s="1"/>
  <c r="CL627" i="2"/>
  <c r="CN627" i="2" s="1"/>
  <c r="CO627" i="2" s="1"/>
  <c r="CQ627" i="2" s="1"/>
  <c r="CL626" i="2"/>
  <c r="CN626" i="2" s="1"/>
  <c r="CO626" i="2" s="1"/>
  <c r="CQ626" i="2" s="1"/>
  <c r="CN625" i="2"/>
  <c r="CO625" i="2" s="1"/>
  <c r="CQ625" i="2" s="1"/>
  <c r="CL625" i="2"/>
  <c r="CL624" i="2"/>
  <c r="CN624" i="2" s="1"/>
  <c r="CO624" i="2" s="1"/>
  <c r="CQ624" i="2" s="1"/>
  <c r="CQ623" i="2"/>
  <c r="CL623" i="2"/>
  <c r="CN623" i="2" s="1"/>
  <c r="CO623" i="2" s="1"/>
  <c r="CO622" i="2"/>
  <c r="CQ622" i="2" s="1"/>
  <c r="CL622" i="2"/>
  <c r="CN622" i="2" s="1"/>
  <c r="CO621" i="2"/>
  <c r="CQ621" i="2" s="1"/>
  <c r="CL621" i="2"/>
  <c r="CN621" i="2" s="1"/>
  <c r="CQ620" i="2"/>
  <c r="CO620" i="2"/>
  <c r="CL620" i="2"/>
  <c r="CN620" i="2" s="1"/>
  <c r="CN619" i="2"/>
  <c r="CO619" i="2" s="1"/>
  <c r="CQ619" i="2" s="1"/>
  <c r="CL619" i="2"/>
  <c r="CO618" i="2"/>
  <c r="CQ618" i="2" s="1"/>
  <c r="CL618" i="2"/>
  <c r="CN618" i="2" s="1"/>
  <c r="CL617" i="2"/>
  <c r="CN617" i="2" s="1"/>
  <c r="CO617" i="2" s="1"/>
  <c r="CQ617" i="2" s="1"/>
  <c r="CL616" i="2"/>
  <c r="CN616" i="2" s="1"/>
  <c r="CO616" i="2" s="1"/>
  <c r="CQ616" i="2" s="1"/>
  <c r="CL615" i="2"/>
  <c r="CN615" i="2" s="1"/>
  <c r="CO615" i="2" s="1"/>
  <c r="CQ615" i="2" s="1"/>
  <c r="CQ614" i="2"/>
  <c r="CL614" i="2"/>
  <c r="CN614" i="2" s="1"/>
  <c r="CO614" i="2" s="1"/>
  <c r="CO613" i="2"/>
  <c r="CQ613" i="2" s="1"/>
  <c r="CN613" i="2"/>
  <c r="CL613" i="2"/>
  <c r="CO612" i="2"/>
  <c r="CQ612" i="2" s="1"/>
  <c r="CL612" i="2"/>
  <c r="CN612" i="2" s="1"/>
  <c r="CO611" i="2"/>
  <c r="CQ611" i="2" s="1"/>
  <c r="CN611" i="2"/>
  <c r="CL611" i="2"/>
  <c r="CL610" i="2"/>
  <c r="CN610" i="2" s="1"/>
  <c r="CO610" i="2" s="1"/>
  <c r="CQ610" i="2" s="1"/>
  <c r="CN609" i="2"/>
  <c r="CO609" i="2" s="1"/>
  <c r="CQ609" i="2" s="1"/>
  <c r="CL609" i="2"/>
  <c r="CL608" i="2"/>
  <c r="CN608" i="2" s="1"/>
  <c r="CO608" i="2" s="1"/>
  <c r="CQ608" i="2" s="1"/>
  <c r="CQ607" i="2"/>
  <c r="CL607" i="2"/>
  <c r="CN607" i="2" s="1"/>
  <c r="CO607" i="2" s="1"/>
  <c r="CO606" i="2"/>
  <c r="CQ606" i="2" s="1"/>
  <c r="CL606" i="2"/>
  <c r="CN606" i="2" s="1"/>
  <c r="CL605" i="2"/>
  <c r="CN605" i="2" s="1"/>
  <c r="CO605" i="2" s="1"/>
  <c r="CQ605" i="2" s="1"/>
  <c r="CO604" i="2"/>
  <c r="CQ604" i="2" s="1"/>
  <c r="CL604" i="2"/>
  <c r="CN604" i="2" s="1"/>
  <c r="CN603" i="2"/>
  <c r="CO603" i="2" s="1"/>
  <c r="CQ603" i="2" s="1"/>
  <c r="CL603" i="2"/>
  <c r="CO602" i="2"/>
  <c r="CQ602" i="2" s="1"/>
  <c r="CL602" i="2"/>
  <c r="CN602" i="2" s="1"/>
  <c r="CL601" i="2"/>
  <c r="CN601" i="2" s="1"/>
  <c r="CO601" i="2" s="1"/>
  <c r="CQ601" i="2" s="1"/>
  <c r="CL600" i="2"/>
  <c r="CN600" i="2" s="1"/>
  <c r="CO600" i="2" s="1"/>
  <c r="CQ600" i="2" s="1"/>
  <c r="CL599" i="2"/>
  <c r="CN599" i="2" s="1"/>
  <c r="CO599" i="2" s="1"/>
  <c r="CQ599" i="2" s="1"/>
  <c r="CQ598" i="2"/>
  <c r="CL598" i="2"/>
  <c r="CN598" i="2" s="1"/>
  <c r="CO598" i="2" s="1"/>
  <c r="CN597" i="2"/>
  <c r="CO597" i="2" s="1"/>
  <c r="CQ597" i="2" s="1"/>
  <c r="CL597" i="2"/>
  <c r="CO596" i="2"/>
  <c r="CQ596" i="2" s="1"/>
  <c r="CL596" i="2"/>
  <c r="CN596" i="2" s="1"/>
  <c r="CL595" i="2"/>
  <c r="CN595" i="2" s="1"/>
  <c r="CO595" i="2" s="1"/>
  <c r="CQ595" i="2" s="1"/>
  <c r="CL594" i="2"/>
  <c r="CN594" i="2" s="1"/>
  <c r="CO594" i="2" s="1"/>
  <c r="CQ594" i="2" s="1"/>
  <c r="CN593" i="2"/>
  <c r="CO593" i="2" s="1"/>
  <c r="CQ593" i="2" s="1"/>
  <c r="CL593" i="2"/>
  <c r="CL592" i="2"/>
  <c r="CN592" i="2" s="1"/>
  <c r="CO592" i="2" s="1"/>
  <c r="CQ592" i="2" s="1"/>
  <c r="CQ591" i="2"/>
  <c r="CL591" i="2"/>
  <c r="CN591" i="2" s="1"/>
  <c r="CO591" i="2" s="1"/>
  <c r="CO590" i="2"/>
  <c r="CQ590" i="2" s="1"/>
  <c r="CL590" i="2"/>
  <c r="CN590" i="2" s="1"/>
  <c r="CO589" i="2"/>
  <c r="CQ589" i="2" s="1"/>
  <c r="CL589" i="2"/>
  <c r="CN589" i="2" s="1"/>
  <c r="CQ588" i="2"/>
  <c r="CO588" i="2"/>
  <c r="CL588" i="2"/>
  <c r="CN588" i="2" s="1"/>
  <c r="CN587" i="2"/>
  <c r="CO587" i="2" s="1"/>
  <c r="CQ587" i="2" s="1"/>
  <c r="CL587" i="2"/>
  <c r="CO586" i="2"/>
  <c r="CQ586" i="2" s="1"/>
  <c r="CL586" i="2"/>
  <c r="CN586" i="2" s="1"/>
  <c r="CL585" i="2"/>
  <c r="CN585" i="2" s="1"/>
  <c r="CO585" i="2" s="1"/>
  <c r="CQ585" i="2" s="1"/>
  <c r="CL584" i="2"/>
  <c r="CN584" i="2" s="1"/>
  <c r="CO584" i="2" s="1"/>
  <c r="CQ584" i="2" s="1"/>
  <c r="CL583" i="2"/>
  <c r="CN583" i="2" s="1"/>
  <c r="CO583" i="2" s="1"/>
  <c r="CQ583" i="2" s="1"/>
  <c r="CQ582" i="2"/>
  <c r="CL582" i="2"/>
  <c r="CN582" i="2" s="1"/>
  <c r="CO582" i="2" s="1"/>
  <c r="CO581" i="2"/>
  <c r="CQ581" i="2" s="1"/>
  <c r="CN581" i="2"/>
  <c r="CL581" i="2"/>
  <c r="CO580" i="2"/>
  <c r="CQ580" i="2" s="1"/>
  <c r="CL580" i="2"/>
  <c r="CN580" i="2" s="1"/>
  <c r="CO579" i="2"/>
  <c r="CQ579" i="2" s="1"/>
  <c r="CN579" i="2"/>
  <c r="CL579" i="2"/>
  <c r="CL578" i="2"/>
  <c r="CN578" i="2" s="1"/>
  <c r="CO578" i="2" s="1"/>
  <c r="CQ578" i="2" s="1"/>
  <c r="CN577" i="2"/>
  <c r="CO577" i="2" s="1"/>
  <c r="CQ577" i="2" s="1"/>
  <c r="CL577" i="2"/>
  <c r="CL576" i="2"/>
  <c r="CN576" i="2" s="1"/>
  <c r="CO576" i="2" s="1"/>
  <c r="CQ576" i="2" s="1"/>
  <c r="CQ575" i="2"/>
  <c r="CL575" i="2"/>
  <c r="CN575" i="2" s="1"/>
  <c r="CO575" i="2" s="1"/>
  <c r="CO574" i="2"/>
  <c r="CQ574" i="2" s="1"/>
  <c r="CL574" i="2"/>
  <c r="CN574" i="2" s="1"/>
  <c r="CL573" i="2"/>
  <c r="CN573" i="2" s="1"/>
  <c r="CO573" i="2" s="1"/>
  <c r="CQ573" i="2" s="1"/>
  <c r="CO572" i="2"/>
  <c r="CQ572" i="2" s="1"/>
  <c r="CL572" i="2"/>
  <c r="CN572" i="2" s="1"/>
  <c r="CN571" i="2"/>
  <c r="CO571" i="2" s="1"/>
  <c r="CQ571" i="2" s="1"/>
  <c r="CL571" i="2"/>
  <c r="CO570" i="2"/>
  <c r="CQ570" i="2" s="1"/>
  <c r="CL570" i="2"/>
  <c r="CN570" i="2" s="1"/>
  <c r="CL569" i="2"/>
  <c r="CN569" i="2" s="1"/>
  <c r="CO569" i="2" s="1"/>
  <c r="CQ569" i="2" s="1"/>
  <c r="CL568" i="2"/>
  <c r="CN568" i="2" s="1"/>
  <c r="CO568" i="2" s="1"/>
  <c r="CQ568" i="2" s="1"/>
  <c r="CQ567" i="2"/>
  <c r="CL567" i="2"/>
  <c r="CN567" i="2" s="1"/>
  <c r="CO567" i="2" s="1"/>
  <c r="CQ566" i="2"/>
  <c r="CL566" i="2"/>
  <c r="CN566" i="2" s="1"/>
  <c r="CO566" i="2" s="1"/>
  <c r="CN565" i="2"/>
  <c r="CO565" i="2" s="1"/>
  <c r="CQ565" i="2" s="1"/>
  <c r="CL565" i="2"/>
  <c r="CO564" i="2"/>
  <c r="CQ564" i="2" s="1"/>
  <c r="CL564" i="2"/>
  <c r="CN564" i="2" s="1"/>
  <c r="CL563" i="2"/>
  <c r="CN563" i="2" s="1"/>
  <c r="CO563" i="2" s="1"/>
  <c r="CQ563" i="2" s="1"/>
  <c r="CL562" i="2"/>
  <c r="CN562" i="2" s="1"/>
  <c r="CO562" i="2" s="1"/>
  <c r="CQ562" i="2" s="1"/>
  <c r="CL561" i="2"/>
  <c r="CN561" i="2" s="1"/>
  <c r="CO561" i="2" s="1"/>
  <c r="CQ561" i="2" s="1"/>
  <c r="CL560" i="2"/>
  <c r="CN560" i="2" s="1"/>
  <c r="CO560" i="2" s="1"/>
  <c r="CQ560" i="2" s="1"/>
  <c r="CQ559" i="2"/>
  <c r="CL559" i="2"/>
  <c r="CN559" i="2" s="1"/>
  <c r="CO559" i="2" s="1"/>
  <c r="CO558" i="2"/>
  <c r="CQ558" i="2" s="1"/>
  <c r="CL558" i="2"/>
  <c r="CN558" i="2" s="1"/>
  <c r="CO557" i="2"/>
  <c r="CQ557" i="2" s="1"/>
  <c r="CL557" i="2"/>
  <c r="CN557" i="2" s="1"/>
  <c r="CQ556" i="2"/>
  <c r="CO556" i="2"/>
  <c r="CL556" i="2"/>
  <c r="CN556" i="2" s="1"/>
  <c r="CN555" i="2"/>
  <c r="CO555" i="2" s="1"/>
  <c r="CQ555" i="2" s="1"/>
  <c r="CL555" i="2"/>
  <c r="CO554" i="2"/>
  <c r="CQ554" i="2" s="1"/>
  <c r="CL554" i="2"/>
  <c r="CN554" i="2" s="1"/>
  <c r="CL553" i="2"/>
  <c r="CN553" i="2" s="1"/>
  <c r="CO553" i="2" s="1"/>
  <c r="CQ553" i="2" s="1"/>
  <c r="CL552" i="2"/>
  <c r="CN552" i="2" s="1"/>
  <c r="CO552" i="2" s="1"/>
  <c r="CQ552" i="2" s="1"/>
  <c r="CL551" i="2"/>
  <c r="CN551" i="2" s="1"/>
  <c r="CO551" i="2" s="1"/>
  <c r="CQ551" i="2" s="1"/>
  <c r="CQ550" i="2"/>
  <c r="CL550" i="2"/>
  <c r="CN550" i="2" s="1"/>
  <c r="CO550" i="2" s="1"/>
  <c r="CO549" i="2"/>
  <c r="CQ549" i="2" s="1"/>
  <c r="CN549" i="2"/>
  <c r="CL549" i="2"/>
  <c r="CO548" i="2"/>
  <c r="CQ548" i="2" s="1"/>
  <c r="CL548" i="2"/>
  <c r="CN548" i="2" s="1"/>
  <c r="CN547" i="2"/>
  <c r="CO547" i="2" s="1"/>
  <c r="CQ547" i="2" s="1"/>
  <c r="CL547" i="2"/>
  <c r="CL546" i="2"/>
  <c r="CN546" i="2" s="1"/>
  <c r="CO546" i="2" s="1"/>
  <c r="CQ546" i="2" s="1"/>
  <c r="CN545" i="2"/>
  <c r="CO545" i="2" s="1"/>
  <c r="CQ545" i="2" s="1"/>
  <c r="CL545" i="2"/>
  <c r="CL544" i="2"/>
  <c r="CN544" i="2" s="1"/>
  <c r="CO544" i="2" s="1"/>
  <c r="CQ544" i="2" s="1"/>
  <c r="CL543" i="2"/>
  <c r="CN543" i="2" s="1"/>
  <c r="CO543" i="2" s="1"/>
  <c r="CQ543" i="2" s="1"/>
  <c r="CO542" i="2"/>
  <c r="CQ542" i="2" s="1"/>
  <c r="CL542" i="2"/>
  <c r="CN542" i="2" s="1"/>
  <c r="CL541" i="2"/>
  <c r="CN541" i="2" s="1"/>
  <c r="CO541" i="2" s="1"/>
  <c r="CQ541" i="2" s="1"/>
  <c r="CO540" i="2"/>
  <c r="CQ540" i="2" s="1"/>
  <c r="CL540" i="2"/>
  <c r="CN540" i="2" s="1"/>
  <c r="CN539" i="2"/>
  <c r="CO539" i="2" s="1"/>
  <c r="CQ539" i="2" s="1"/>
  <c r="CL539" i="2"/>
  <c r="CO538" i="2"/>
  <c r="CQ538" i="2" s="1"/>
  <c r="CL538" i="2"/>
  <c r="CN538" i="2" s="1"/>
  <c r="CL537" i="2"/>
  <c r="CN537" i="2" s="1"/>
  <c r="CO537" i="2" s="1"/>
  <c r="CQ537" i="2" s="1"/>
  <c r="CL536" i="2"/>
  <c r="CN536" i="2" s="1"/>
  <c r="CO536" i="2" s="1"/>
  <c r="CQ536" i="2" s="1"/>
  <c r="CQ535" i="2"/>
  <c r="CL535" i="2"/>
  <c r="CN535" i="2" s="1"/>
  <c r="CO535" i="2" s="1"/>
  <c r="CQ534" i="2"/>
  <c r="CL534" i="2"/>
  <c r="CN534" i="2" s="1"/>
  <c r="CO534" i="2" s="1"/>
  <c r="CN533" i="2"/>
  <c r="CO533" i="2" s="1"/>
  <c r="CQ533" i="2" s="1"/>
  <c r="CL533" i="2"/>
  <c r="CO532" i="2"/>
  <c r="CQ532" i="2" s="1"/>
  <c r="CL532" i="2"/>
  <c r="CN532" i="2" s="1"/>
  <c r="CO531" i="2"/>
  <c r="CQ531" i="2" s="1"/>
  <c r="CN531" i="2"/>
  <c r="CL531" i="2"/>
  <c r="CL530" i="2"/>
  <c r="CN530" i="2" s="1"/>
  <c r="CO530" i="2" s="1"/>
  <c r="CQ530" i="2" s="1"/>
  <c r="CN529" i="2"/>
  <c r="CO529" i="2" s="1"/>
  <c r="CQ529" i="2" s="1"/>
  <c r="CL529" i="2"/>
  <c r="CL528" i="2"/>
  <c r="CN528" i="2" s="1"/>
  <c r="CO528" i="2" s="1"/>
  <c r="CQ528" i="2" s="1"/>
  <c r="CQ527" i="2"/>
  <c r="CL527" i="2"/>
  <c r="CN527" i="2" s="1"/>
  <c r="CO527" i="2" s="1"/>
  <c r="CO526" i="2"/>
  <c r="CQ526" i="2" s="1"/>
  <c r="CL526" i="2"/>
  <c r="CN526" i="2" s="1"/>
  <c r="CO525" i="2"/>
  <c r="CQ525" i="2" s="1"/>
  <c r="CL525" i="2"/>
  <c r="CN525" i="2" s="1"/>
  <c r="CQ524" i="2"/>
  <c r="CO524" i="2"/>
  <c r="CL524" i="2"/>
  <c r="CN524" i="2" s="1"/>
  <c r="CN523" i="2"/>
  <c r="CO523" i="2" s="1"/>
  <c r="CQ523" i="2" s="1"/>
  <c r="CL523" i="2"/>
  <c r="CL522" i="2"/>
  <c r="CN522" i="2" s="1"/>
  <c r="CO522" i="2" s="1"/>
  <c r="CQ522" i="2" s="1"/>
  <c r="CL521" i="2"/>
  <c r="CN521" i="2" s="1"/>
  <c r="CO521" i="2" s="1"/>
  <c r="CQ521" i="2" s="1"/>
  <c r="CL520" i="2"/>
  <c r="CN520" i="2" s="1"/>
  <c r="CO520" i="2" s="1"/>
  <c r="CQ520" i="2" s="1"/>
  <c r="CL519" i="2"/>
  <c r="CN519" i="2" s="1"/>
  <c r="CO519" i="2" s="1"/>
  <c r="CQ519" i="2" s="1"/>
  <c r="CL518" i="2"/>
  <c r="CN518" i="2" s="1"/>
  <c r="CO518" i="2" s="1"/>
  <c r="CQ518" i="2" s="1"/>
  <c r="CO517" i="2"/>
  <c r="CQ517" i="2" s="1"/>
  <c r="CN517" i="2"/>
  <c r="CL517" i="2"/>
  <c r="CO516" i="2"/>
  <c r="CQ516" i="2" s="1"/>
  <c r="CL516" i="2"/>
  <c r="CN516" i="2" s="1"/>
  <c r="CL515" i="2"/>
  <c r="CN515" i="2" s="1"/>
  <c r="CO515" i="2" s="1"/>
  <c r="CQ515" i="2" s="1"/>
  <c r="CL514" i="2"/>
  <c r="CN514" i="2" s="1"/>
  <c r="CO514" i="2" s="1"/>
  <c r="CQ514" i="2" s="1"/>
  <c r="CL513" i="2"/>
  <c r="CN513" i="2" s="1"/>
  <c r="CO513" i="2" s="1"/>
  <c r="CQ513" i="2" s="1"/>
  <c r="CL512" i="2"/>
  <c r="CN512" i="2" s="1"/>
  <c r="CO512" i="2" s="1"/>
  <c r="CQ512" i="2" s="1"/>
  <c r="CN511" i="2"/>
  <c r="CO511" i="2" s="1"/>
  <c r="CQ511" i="2" s="1"/>
  <c r="CL511" i="2"/>
  <c r="CQ510" i="2"/>
  <c r="CO510" i="2"/>
  <c r="CL510" i="2"/>
  <c r="CN510" i="2" s="1"/>
  <c r="CO509" i="2"/>
  <c r="CQ509" i="2" s="1"/>
  <c r="CL509" i="2"/>
  <c r="CN509" i="2" s="1"/>
  <c r="CL508" i="2"/>
  <c r="CN508" i="2" s="1"/>
  <c r="CO508" i="2" s="1"/>
  <c r="CQ508" i="2" s="1"/>
  <c r="CN507" i="2"/>
  <c r="CO507" i="2" s="1"/>
  <c r="CQ507" i="2" s="1"/>
  <c r="CL507" i="2"/>
  <c r="CO506" i="2"/>
  <c r="CQ506" i="2" s="1"/>
  <c r="CL506" i="2"/>
  <c r="CN506" i="2" s="1"/>
  <c r="CL505" i="2"/>
  <c r="CN505" i="2" s="1"/>
  <c r="CO505" i="2" s="1"/>
  <c r="CQ505" i="2" s="1"/>
  <c r="CO504" i="2"/>
  <c r="CQ504" i="2" s="1"/>
  <c r="CL504" i="2"/>
  <c r="CN504" i="2" s="1"/>
  <c r="CL503" i="2"/>
  <c r="CN503" i="2" s="1"/>
  <c r="CO503" i="2" s="1"/>
  <c r="CQ503" i="2" s="1"/>
  <c r="CQ502" i="2"/>
  <c r="CL502" i="2"/>
  <c r="CN502" i="2" s="1"/>
  <c r="CO502" i="2" s="1"/>
  <c r="CQ501" i="2"/>
  <c r="CO501" i="2"/>
  <c r="CN501" i="2"/>
  <c r="CL501" i="2"/>
  <c r="CO500" i="2"/>
  <c r="CQ500" i="2" s="1"/>
  <c r="CL500" i="2"/>
  <c r="CN500" i="2" s="1"/>
  <c r="CL499" i="2"/>
  <c r="CN499" i="2" s="1"/>
  <c r="CO499" i="2" s="1"/>
  <c r="CQ499" i="2" s="1"/>
  <c r="CL498" i="2"/>
  <c r="CN498" i="2" s="1"/>
  <c r="CO498" i="2" s="1"/>
  <c r="CQ498" i="2" s="1"/>
  <c r="CL497" i="2"/>
  <c r="CN497" i="2" s="1"/>
  <c r="CO497" i="2" s="1"/>
  <c r="CQ497" i="2" s="1"/>
  <c r="CQ496" i="2"/>
  <c r="CL496" i="2"/>
  <c r="CN496" i="2" s="1"/>
  <c r="CO496" i="2" s="1"/>
  <c r="CQ495" i="2"/>
  <c r="CN495" i="2"/>
  <c r="CO495" i="2" s="1"/>
  <c r="CL495" i="2"/>
  <c r="CO494" i="2"/>
  <c r="CQ494" i="2" s="1"/>
  <c r="CL494" i="2"/>
  <c r="CN494" i="2" s="1"/>
  <c r="CQ493" i="2"/>
  <c r="CL493" i="2"/>
  <c r="CN493" i="2" s="1"/>
  <c r="CO493" i="2" s="1"/>
  <c r="CQ492" i="2"/>
  <c r="CO492" i="2"/>
  <c r="CL492" i="2"/>
  <c r="CN492" i="2" s="1"/>
  <c r="CN491" i="2"/>
  <c r="CO491" i="2" s="1"/>
  <c r="CQ491" i="2" s="1"/>
  <c r="CL491" i="2"/>
  <c r="CQ490" i="2"/>
  <c r="CO490" i="2"/>
  <c r="CL490" i="2"/>
  <c r="CN490" i="2" s="1"/>
  <c r="CN489" i="2"/>
  <c r="CO489" i="2" s="1"/>
  <c r="CQ489" i="2" s="1"/>
  <c r="CL489" i="2"/>
  <c r="CL488" i="2"/>
  <c r="CN488" i="2" s="1"/>
  <c r="CO488" i="2" s="1"/>
  <c r="CQ488" i="2" s="1"/>
  <c r="CQ487" i="2"/>
  <c r="CL487" i="2"/>
  <c r="CN487" i="2" s="1"/>
  <c r="CO487" i="2" s="1"/>
  <c r="CQ486" i="2"/>
  <c r="CN486" i="2"/>
  <c r="CO486" i="2" s="1"/>
  <c r="CL486" i="2"/>
  <c r="CQ485" i="2"/>
  <c r="CO485" i="2"/>
  <c r="CN485" i="2"/>
  <c r="CL485" i="2"/>
  <c r="CN484" i="2"/>
  <c r="CO484" i="2" s="1"/>
  <c r="CQ484" i="2" s="1"/>
  <c r="CL484" i="2"/>
  <c r="CN483" i="2"/>
  <c r="CO483" i="2" s="1"/>
  <c r="CQ483" i="2" s="1"/>
  <c r="CL483" i="2"/>
  <c r="CL482" i="2"/>
  <c r="CN482" i="2" s="1"/>
  <c r="CO482" i="2" s="1"/>
  <c r="CQ482" i="2" s="1"/>
  <c r="CN481" i="2"/>
  <c r="CO481" i="2" s="1"/>
  <c r="CQ481" i="2" s="1"/>
  <c r="CL481" i="2"/>
  <c r="CL480" i="2"/>
  <c r="CN480" i="2" s="1"/>
  <c r="CO480" i="2" s="1"/>
  <c r="CQ480" i="2" s="1"/>
  <c r="CL479" i="2"/>
  <c r="CN479" i="2" s="1"/>
  <c r="CO479" i="2" s="1"/>
  <c r="CQ479" i="2" s="1"/>
  <c r="CQ478" i="2"/>
  <c r="CN478" i="2"/>
  <c r="CO478" i="2" s="1"/>
  <c r="CL478" i="2"/>
  <c r="CO477" i="2"/>
  <c r="CQ477" i="2" s="1"/>
  <c r="CN477" i="2"/>
  <c r="CL477" i="2"/>
  <c r="CN476" i="2"/>
  <c r="CO476" i="2" s="1"/>
  <c r="CQ476" i="2" s="1"/>
  <c r="CL476" i="2"/>
  <c r="CL475" i="2"/>
  <c r="CN475" i="2" s="1"/>
  <c r="CO475" i="2" s="1"/>
  <c r="CQ475" i="2" s="1"/>
  <c r="CN474" i="2"/>
  <c r="CO474" i="2" s="1"/>
  <c r="CQ474" i="2" s="1"/>
  <c r="CL474" i="2"/>
  <c r="CL473" i="2"/>
  <c r="CN473" i="2" s="1"/>
  <c r="CO473" i="2" s="1"/>
  <c r="CQ473" i="2" s="1"/>
  <c r="CL472" i="2"/>
  <c r="CN472" i="2" s="1"/>
  <c r="CO472" i="2" s="1"/>
  <c r="CQ472" i="2" s="1"/>
  <c r="CL471" i="2"/>
  <c r="CN471" i="2" s="1"/>
  <c r="CO471" i="2" s="1"/>
  <c r="CQ471" i="2" s="1"/>
  <c r="CQ470" i="2"/>
  <c r="CN470" i="2"/>
  <c r="CO470" i="2" s="1"/>
  <c r="CL470" i="2"/>
  <c r="CO469" i="2"/>
  <c r="CQ469" i="2" s="1"/>
  <c r="CN469" i="2"/>
  <c r="CL469" i="2"/>
  <c r="CL468" i="2"/>
  <c r="CN468" i="2" s="1"/>
  <c r="CO468" i="2" s="1"/>
  <c r="CQ468" i="2" s="1"/>
  <c r="CO467" i="2"/>
  <c r="CQ467" i="2" s="1"/>
  <c r="CN467" i="2"/>
  <c r="CL467" i="2"/>
  <c r="CL466" i="2"/>
  <c r="CN466" i="2" s="1"/>
  <c r="CO466" i="2" s="1"/>
  <c r="CQ466" i="2" s="1"/>
  <c r="CL465" i="2"/>
  <c r="CN465" i="2" s="1"/>
  <c r="CO465" i="2" s="1"/>
  <c r="CQ465" i="2" s="1"/>
  <c r="CL464" i="2"/>
  <c r="CN464" i="2" s="1"/>
  <c r="CO464" i="2" s="1"/>
  <c r="CQ464" i="2" s="1"/>
  <c r="CQ463" i="2"/>
  <c r="CO463" i="2"/>
  <c r="CL463" i="2"/>
  <c r="CN463" i="2" s="1"/>
  <c r="CN462" i="2"/>
  <c r="CO462" i="2" s="1"/>
  <c r="CQ462" i="2" s="1"/>
  <c r="CL462" i="2"/>
  <c r="CN461" i="2"/>
  <c r="CO461" i="2" s="1"/>
  <c r="CQ461" i="2" s="1"/>
  <c r="CL461" i="2"/>
  <c r="CL460" i="2"/>
  <c r="CN460" i="2" s="1"/>
  <c r="CO460" i="2" s="1"/>
  <c r="CQ460" i="2" s="1"/>
  <c r="CL459" i="2"/>
  <c r="CN459" i="2" s="1"/>
  <c r="CO459" i="2" s="1"/>
  <c r="CQ459" i="2" s="1"/>
  <c r="CN458" i="2"/>
  <c r="CO458" i="2" s="1"/>
  <c r="CQ458" i="2" s="1"/>
  <c r="CL458" i="2"/>
  <c r="CL457" i="2"/>
  <c r="CN457" i="2" s="1"/>
  <c r="CO457" i="2" s="1"/>
  <c r="CQ457" i="2" s="1"/>
  <c r="CQ456" i="2"/>
  <c r="CL456" i="2"/>
  <c r="CN456" i="2" s="1"/>
  <c r="CO456" i="2" s="1"/>
  <c r="CO455" i="2"/>
  <c r="CQ455" i="2" s="1"/>
  <c r="CL455" i="2"/>
  <c r="CN455" i="2" s="1"/>
  <c r="CQ454" i="2"/>
  <c r="CN454" i="2"/>
  <c r="CO454" i="2" s="1"/>
  <c r="CL454" i="2"/>
  <c r="CN453" i="2"/>
  <c r="CO453" i="2" s="1"/>
  <c r="CQ453" i="2" s="1"/>
  <c r="CL453" i="2"/>
  <c r="CQ452" i="2"/>
  <c r="CN452" i="2"/>
  <c r="CO452" i="2" s="1"/>
  <c r="CL452" i="2"/>
  <c r="CN451" i="2"/>
  <c r="CO451" i="2" s="1"/>
  <c r="CQ451" i="2" s="1"/>
  <c r="CL451" i="2"/>
  <c r="CL450" i="2"/>
  <c r="CN450" i="2" s="1"/>
  <c r="CO450" i="2" s="1"/>
  <c r="CQ450" i="2" s="1"/>
  <c r="CQ449" i="2"/>
  <c r="CN449" i="2"/>
  <c r="CO449" i="2" s="1"/>
  <c r="CL449" i="2"/>
  <c r="CL448" i="2"/>
  <c r="CN448" i="2" s="1"/>
  <c r="CO448" i="2" s="1"/>
  <c r="CQ448" i="2" s="1"/>
  <c r="CL447" i="2"/>
  <c r="CN447" i="2" s="1"/>
  <c r="CO447" i="2" s="1"/>
  <c r="CQ447" i="2" s="1"/>
  <c r="CQ446" i="2"/>
  <c r="CN446" i="2"/>
  <c r="CO446" i="2" s="1"/>
  <c r="CL446" i="2"/>
  <c r="CO445" i="2"/>
  <c r="CQ445" i="2" s="1"/>
  <c r="CN445" i="2"/>
  <c r="CL445" i="2"/>
  <c r="CQ444" i="2"/>
  <c r="CN444" i="2"/>
  <c r="CO444" i="2" s="1"/>
  <c r="CL444" i="2"/>
  <c r="CL443" i="2"/>
  <c r="CN443" i="2" s="1"/>
  <c r="CO443" i="2" s="1"/>
  <c r="CQ443" i="2" s="1"/>
  <c r="CL442" i="2"/>
  <c r="CN442" i="2" s="1"/>
  <c r="CO442" i="2" s="1"/>
  <c r="CQ442" i="2" s="1"/>
  <c r="CQ441" i="2"/>
  <c r="CN441" i="2"/>
  <c r="CO441" i="2" s="1"/>
  <c r="CL441" i="2"/>
  <c r="CL440" i="2"/>
  <c r="CN440" i="2" s="1"/>
  <c r="CO440" i="2" s="1"/>
  <c r="CQ440" i="2" s="1"/>
  <c r="CL439" i="2"/>
  <c r="CN439" i="2" s="1"/>
  <c r="CO439" i="2" s="1"/>
  <c r="CQ439" i="2" s="1"/>
  <c r="CQ438" i="2"/>
  <c r="CN438" i="2"/>
  <c r="CO438" i="2" s="1"/>
  <c r="CL438" i="2"/>
  <c r="CN437" i="2"/>
  <c r="CO437" i="2" s="1"/>
  <c r="CQ437" i="2" s="1"/>
  <c r="CL437" i="2"/>
  <c r="CN436" i="2"/>
  <c r="CO436" i="2" s="1"/>
  <c r="CQ436" i="2" s="1"/>
  <c r="CL436" i="2"/>
  <c r="CL435" i="2"/>
  <c r="CN435" i="2" s="1"/>
  <c r="CO435" i="2" s="1"/>
  <c r="CQ435" i="2" s="1"/>
  <c r="CN434" i="2"/>
  <c r="CO434" i="2" s="1"/>
  <c r="CQ434" i="2" s="1"/>
  <c r="CL434" i="2"/>
  <c r="CN433" i="2"/>
  <c r="CO433" i="2" s="1"/>
  <c r="CQ433" i="2" s="1"/>
  <c r="CL433" i="2"/>
  <c r="CQ432" i="2"/>
  <c r="CL432" i="2"/>
  <c r="CN432" i="2" s="1"/>
  <c r="CO432" i="2" s="1"/>
  <c r="CO431" i="2"/>
  <c r="CQ431" i="2" s="1"/>
  <c r="CL431" i="2"/>
  <c r="CN431" i="2" s="1"/>
  <c r="CN430" i="2"/>
  <c r="CO430" i="2" s="1"/>
  <c r="CQ430" i="2" s="1"/>
  <c r="CL430" i="2"/>
  <c r="CN429" i="2"/>
  <c r="CO429" i="2" s="1"/>
  <c r="CQ429" i="2" s="1"/>
  <c r="CL429" i="2"/>
  <c r="CL428" i="2"/>
  <c r="CN428" i="2" s="1"/>
  <c r="CO428" i="2" s="1"/>
  <c r="CQ428" i="2" s="1"/>
  <c r="CO427" i="2"/>
  <c r="CQ427" i="2" s="1"/>
  <c r="CN427" i="2"/>
  <c r="CL427" i="2"/>
  <c r="CL426" i="2"/>
  <c r="CN426" i="2" s="1"/>
  <c r="CO426" i="2" s="1"/>
  <c r="CQ426" i="2" s="1"/>
  <c r="CL425" i="2"/>
  <c r="CN425" i="2" s="1"/>
  <c r="CO425" i="2" s="1"/>
  <c r="CQ425" i="2" s="1"/>
  <c r="CQ424" i="2"/>
  <c r="CL424" i="2"/>
  <c r="CN424" i="2" s="1"/>
  <c r="CO424" i="2" s="1"/>
  <c r="CL423" i="2"/>
  <c r="CN423" i="2" s="1"/>
  <c r="CO423" i="2" s="1"/>
  <c r="CQ423" i="2" s="1"/>
  <c r="CN422" i="2"/>
  <c r="CO422" i="2" s="1"/>
  <c r="CQ422" i="2" s="1"/>
  <c r="CL422" i="2"/>
  <c r="CQ421" i="2"/>
  <c r="CO421" i="2"/>
  <c r="CN421" i="2"/>
  <c r="CL421" i="2"/>
  <c r="CL420" i="2"/>
  <c r="CN420" i="2" s="1"/>
  <c r="CO420" i="2" s="1"/>
  <c r="CQ420" i="2" s="1"/>
  <c r="CO419" i="2"/>
  <c r="CQ419" i="2" s="1"/>
  <c r="CN419" i="2"/>
  <c r="CL419" i="2"/>
  <c r="CL418" i="2"/>
  <c r="CN418" i="2" s="1"/>
  <c r="CO418" i="2" s="1"/>
  <c r="CQ418" i="2" s="1"/>
  <c r="CL417" i="2"/>
  <c r="CN417" i="2" s="1"/>
  <c r="CO417" i="2" s="1"/>
  <c r="CQ417" i="2" s="1"/>
  <c r="CQ416" i="2"/>
  <c r="CL416" i="2"/>
  <c r="CN416" i="2" s="1"/>
  <c r="CO416" i="2" s="1"/>
  <c r="CL415" i="2"/>
  <c r="CN415" i="2" s="1"/>
  <c r="CO415" i="2" s="1"/>
  <c r="CQ415" i="2" s="1"/>
  <c r="CQ414" i="2"/>
  <c r="CN414" i="2"/>
  <c r="CO414" i="2" s="1"/>
  <c r="CL414" i="2"/>
  <c r="CQ413" i="2"/>
  <c r="CO413" i="2"/>
  <c r="CN413" i="2"/>
  <c r="CL413" i="2"/>
  <c r="CN412" i="2"/>
  <c r="CO412" i="2" s="1"/>
  <c r="CQ412" i="2" s="1"/>
  <c r="CL412" i="2"/>
  <c r="CN411" i="2"/>
  <c r="CO411" i="2" s="1"/>
  <c r="CQ411" i="2" s="1"/>
  <c r="CL411" i="2"/>
  <c r="CN410" i="2"/>
  <c r="CO410" i="2" s="1"/>
  <c r="CQ410" i="2" s="1"/>
  <c r="CL410" i="2"/>
  <c r="CN409" i="2"/>
  <c r="CO409" i="2" s="1"/>
  <c r="CQ409" i="2" s="1"/>
  <c r="CL409" i="2"/>
  <c r="CL408" i="2"/>
  <c r="CN408" i="2" s="1"/>
  <c r="CO408" i="2" s="1"/>
  <c r="CQ408" i="2" s="1"/>
  <c r="CQ407" i="2"/>
  <c r="CO407" i="2"/>
  <c r="CL407" i="2"/>
  <c r="CN407" i="2" s="1"/>
  <c r="CN406" i="2"/>
  <c r="CO406" i="2" s="1"/>
  <c r="CQ406" i="2" s="1"/>
  <c r="CL406" i="2"/>
  <c r="CO405" i="2"/>
  <c r="CQ405" i="2" s="1"/>
  <c r="CN405" i="2"/>
  <c r="CL405" i="2"/>
  <c r="CL404" i="2"/>
  <c r="CN404" i="2" s="1"/>
  <c r="CO404" i="2" s="1"/>
  <c r="CQ404" i="2" s="1"/>
  <c r="CL403" i="2"/>
  <c r="CN403" i="2" s="1"/>
  <c r="CO403" i="2" s="1"/>
  <c r="CQ403" i="2" s="1"/>
  <c r="CN402" i="2"/>
  <c r="CO402" i="2" s="1"/>
  <c r="CQ402" i="2" s="1"/>
  <c r="CL402" i="2"/>
  <c r="CL401" i="2"/>
  <c r="CN401" i="2" s="1"/>
  <c r="CO401" i="2" s="1"/>
  <c r="CQ401" i="2" s="1"/>
  <c r="CL400" i="2"/>
  <c r="CN400" i="2" s="1"/>
  <c r="CO400" i="2" s="1"/>
  <c r="CQ400" i="2" s="1"/>
  <c r="CQ399" i="2"/>
  <c r="CO399" i="2"/>
  <c r="CL399" i="2"/>
  <c r="CN399" i="2" s="1"/>
  <c r="CN398" i="2"/>
  <c r="CO398" i="2" s="1"/>
  <c r="CQ398" i="2" s="1"/>
  <c r="CL398" i="2"/>
  <c r="CN397" i="2"/>
  <c r="CO397" i="2" s="1"/>
  <c r="CQ397" i="2" s="1"/>
  <c r="CL397" i="2"/>
  <c r="CL396" i="2"/>
  <c r="CN396" i="2" s="1"/>
  <c r="CO396" i="2" s="1"/>
  <c r="CQ396" i="2" s="1"/>
  <c r="CL395" i="2"/>
  <c r="CN395" i="2" s="1"/>
  <c r="CO395" i="2" s="1"/>
  <c r="CQ395" i="2" s="1"/>
  <c r="CN394" i="2"/>
  <c r="CO394" i="2" s="1"/>
  <c r="CQ394" i="2" s="1"/>
  <c r="CL394" i="2"/>
  <c r="CL393" i="2"/>
  <c r="CN393" i="2" s="1"/>
  <c r="CO393" i="2" s="1"/>
  <c r="CQ393" i="2" s="1"/>
  <c r="CQ392" i="2"/>
  <c r="CL392" i="2"/>
  <c r="CN392" i="2" s="1"/>
  <c r="CO392" i="2" s="1"/>
  <c r="CO391" i="2"/>
  <c r="CQ391" i="2" s="1"/>
  <c r="CL391" i="2"/>
  <c r="CN391" i="2" s="1"/>
  <c r="CQ390" i="2"/>
  <c r="CN390" i="2"/>
  <c r="CO390" i="2" s="1"/>
  <c r="CL390" i="2"/>
  <c r="CN389" i="2"/>
  <c r="CO389" i="2" s="1"/>
  <c r="CQ389" i="2" s="1"/>
  <c r="CL389" i="2"/>
  <c r="CQ388" i="2"/>
  <c r="CN388" i="2"/>
  <c r="CO388" i="2" s="1"/>
  <c r="CL388" i="2"/>
  <c r="CN387" i="2"/>
  <c r="CO387" i="2" s="1"/>
  <c r="CQ387" i="2" s="1"/>
  <c r="CL387" i="2"/>
  <c r="CL386" i="2"/>
  <c r="CN386" i="2" s="1"/>
  <c r="CO386" i="2" s="1"/>
  <c r="CQ386" i="2" s="1"/>
  <c r="CQ385" i="2"/>
  <c r="CN385" i="2"/>
  <c r="CO385" i="2" s="1"/>
  <c r="CL385" i="2"/>
  <c r="CL384" i="2"/>
  <c r="CN384" i="2" s="1"/>
  <c r="CO384" i="2" s="1"/>
  <c r="CQ384" i="2" s="1"/>
  <c r="CL383" i="2"/>
  <c r="CN383" i="2" s="1"/>
  <c r="CO383" i="2" s="1"/>
  <c r="CQ383" i="2" s="1"/>
  <c r="CQ382" i="2"/>
  <c r="CN382" i="2"/>
  <c r="CO382" i="2" s="1"/>
  <c r="CL382" i="2"/>
  <c r="CO381" i="2"/>
  <c r="CQ381" i="2" s="1"/>
  <c r="CN381" i="2"/>
  <c r="CL381" i="2"/>
  <c r="CQ380" i="2"/>
  <c r="CN380" i="2"/>
  <c r="CO380" i="2" s="1"/>
  <c r="CL380" i="2"/>
  <c r="CL379" i="2"/>
  <c r="CN379" i="2" s="1"/>
  <c r="CO379" i="2" s="1"/>
  <c r="CQ379" i="2" s="1"/>
  <c r="CL378" i="2"/>
  <c r="CN378" i="2" s="1"/>
  <c r="CO378" i="2" s="1"/>
  <c r="CQ378" i="2" s="1"/>
  <c r="CQ377" i="2"/>
  <c r="CN377" i="2"/>
  <c r="CO377" i="2" s="1"/>
  <c r="CL377" i="2"/>
  <c r="CL376" i="2"/>
  <c r="CN376" i="2" s="1"/>
  <c r="CO376" i="2" s="1"/>
  <c r="CQ376" i="2" s="1"/>
  <c r="CL375" i="2"/>
  <c r="CN375" i="2" s="1"/>
  <c r="CO375" i="2" s="1"/>
  <c r="CQ375" i="2" s="1"/>
  <c r="CQ374" i="2"/>
  <c r="CN374" i="2"/>
  <c r="CO374" i="2" s="1"/>
  <c r="CL374" i="2"/>
  <c r="CN373" i="2"/>
  <c r="CO373" i="2" s="1"/>
  <c r="CQ373" i="2" s="1"/>
  <c r="CL373" i="2"/>
  <c r="CN372" i="2"/>
  <c r="CO372" i="2" s="1"/>
  <c r="CQ372" i="2" s="1"/>
  <c r="CL372" i="2"/>
  <c r="CL371" i="2"/>
  <c r="CN371" i="2" s="1"/>
  <c r="CO371" i="2" s="1"/>
  <c r="CQ371" i="2" s="1"/>
  <c r="CN370" i="2"/>
  <c r="CO370" i="2" s="1"/>
  <c r="CQ370" i="2" s="1"/>
  <c r="CL370" i="2"/>
  <c r="CN369" i="2"/>
  <c r="CO369" i="2" s="1"/>
  <c r="CQ369" i="2" s="1"/>
  <c r="CL369" i="2"/>
  <c r="CQ368" i="2"/>
  <c r="CL368" i="2"/>
  <c r="CN368" i="2" s="1"/>
  <c r="CO368" i="2" s="1"/>
  <c r="CO367" i="2"/>
  <c r="CQ367" i="2" s="1"/>
  <c r="CL367" i="2"/>
  <c r="CN367" i="2" s="1"/>
  <c r="CN366" i="2"/>
  <c r="CO366" i="2" s="1"/>
  <c r="CQ366" i="2" s="1"/>
  <c r="CL366" i="2"/>
  <c r="CN365" i="2"/>
  <c r="CO365" i="2" s="1"/>
  <c r="CQ365" i="2" s="1"/>
  <c r="CL365" i="2"/>
  <c r="CL364" i="2"/>
  <c r="CN364" i="2" s="1"/>
  <c r="CO364" i="2" s="1"/>
  <c r="CQ364" i="2" s="1"/>
  <c r="CO363" i="2"/>
  <c r="CQ363" i="2" s="1"/>
  <c r="CN363" i="2"/>
  <c r="CL363" i="2"/>
  <c r="CL362" i="2"/>
  <c r="CN362" i="2" s="1"/>
  <c r="CO362" i="2" s="1"/>
  <c r="CQ362" i="2" s="1"/>
  <c r="CL361" i="2"/>
  <c r="CN361" i="2" s="1"/>
  <c r="CO361" i="2" s="1"/>
  <c r="CQ361" i="2" s="1"/>
  <c r="CQ360" i="2"/>
  <c r="CL360" i="2"/>
  <c r="CN360" i="2" s="1"/>
  <c r="CO360" i="2" s="1"/>
  <c r="CL359" i="2"/>
  <c r="CN359" i="2" s="1"/>
  <c r="CO359" i="2" s="1"/>
  <c r="CQ359" i="2" s="1"/>
  <c r="CN358" i="2"/>
  <c r="CO358" i="2" s="1"/>
  <c r="CQ358" i="2" s="1"/>
  <c r="CL358" i="2"/>
  <c r="CQ357" i="2"/>
  <c r="CO357" i="2"/>
  <c r="CN357" i="2"/>
  <c r="CL357" i="2"/>
  <c r="CL356" i="2"/>
  <c r="CN356" i="2" s="1"/>
  <c r="CO356" i="2" s="1"/>
  <c r="CQ356" i="2" s="1"/>
  <c r="CO355" i="2"/>
  <c r="CQ355" i="2" s="1"/>
  <c r="CN355" i="2"/>
  <c r="CL355" i="2"/>
  <c r="CL354" i="2"/>
  <c r="CN354" i="2" s="1"/>
  <c r="CO354" i="2" s="1"/>
  <c r="CQ354" i="2" s="1"/>
  <c r="CL353" i="2"/>
  <c r="CN353" i="2" s="1"/>
  <c r="CO353" i="2" s="1"/>
  <c r="CQ353" i="2" s="1"/>
  <c r="CQ352" i="2"/>
  <c r="CL352" i="2"/>
  <c r="CN352" i="2" s="1"/>
  <c r="CO352" i="2" s="1"/>
  <c r="CL351" i="2"/>
  <c r="CN351" i="2" s="1"/>
  <c r="CO351" i="2" s="1"/>
  <c r="CQ351" i="2" s="1"/>
  <c r="CQ350" i="2"/>
  <c r="CN350" i="2"/>
  <c r="CO350" i="2" s="1"/>
  <c r="CL350" i="2"/>
  <c r="CQ349" i="2"/>
  <c r="CO349" i="2"/>
  <c r="CN349" i="2"/>
  <c r="CL349" i="2"/>
  <c r="CN348" i="2"/>
  <c r="CO348" i="2" s="1"/>
  <c r="CQ348" i="2" s="1"/>
  <c r="CL348" i="2"/>
  <c r="CN347" i="2"/>
  <c r="CO347" i="2" s="1"/>
  <c r="CQ347" i="2" s="1"/>
  <c r="CL347" i="2"/>
  <c r="CN346" i="2"/>
  <c r="CO346" i="2" s="1"/>
  <c r="CQ346" i="2" s="1"/>
  <c r="CL346" i="2"/>
  <c r="CN345" i="2"/>
  <c r="CO345" i="2" s="1"/>
  <c r="CQ345" i="2" s="1"/>
  <c r="CL345" i="2"/>
  <c r="CL344" i="2"/>
  <c r="CN344" i="2" s="1"/>
  <c r="CO344" i="2" s="1"/>
  <c r="CQ344" i="2" s="1"/>
  <c r="CQ343" i="2"/>
  <c r="CO343" i="2"/>
  <c r="CL343" i="2"/>
  <c r="CN343" i="2" s="1"/>
  <c r="CN342" i="2"/>
  <c r="CO342" i="2" s="1"/>
  <c r="CQ342" i="2" s="1"/>
  <c r="CL342" i="2"/>
  <c r="CO341" i="2"/>
  <c r="CQ341" i="2" s="1"/>
  <c r="CN341" i="2"/>
  <c r="CL341" i="2"/>
  <c r="CL340" i="2"/>
  <c r="CN340" i="2" s="1"/>
  <c r="CO340" i="2" s="1"/>
  <c r="CQ340" i="2" s="1"/>
  <c r="CL339" i="2"/>
  <c r="CN339" i="2" s="1"/>
  <c r="CO339" i="2" s="1"/>
  <c r="CQ339" i="2" s="1"/>
  <c r="CN338" i="2"/>
  <c r="CO338" i="2" s="1"/>
  <c r="CQ338" i="2" s="1"/>
  <c r="CL338" i="2"/>
  <c r="CL337" i="2"/>
  <c r="CN337" i="2" s="1"/>
  <c r="CO337" i="2" s="1"/>
  <c r="CQ337" i="2" s="1"/>
  <c r="CL336" i="2"/>
  <c r="CN336" i="2" s="1"/>
  <c r="CO336" i="2" s="1"/>
  <c r="CQ336" i="2" s="1"/>
  <c r="CQ335" i="2"/>
  <c r="CO335" i="2"/>
  <c r="CL335" i="2"/>
  <c r="CN335" i="2" s="1"/>
  <c r="CN334" i="2"/>
  <c r="CO334" i="2" s="1"/>
  <c r="CQ334" i="2" s="1"/>
  <c r="CL334" i="2"/>
  <c r="CN333" i="2"/>
  <c r="CO333" i="2" s="1"/>
  <c r="CQ333" i="2" s="1"/>
  <c r="CL333" i="2"/>
  <c r="CL332" i="2"/>
  <c r="CN332" i="2" s="1"/>
  <c r="CO332" i="2" s="1"/>
  <c r="CQ332" i="2" s="1"/>
  <c r="CL331" i="2"/>
  <c r="CN331" i="2" s="1"/>
  <c r="CO331" i="2" s="1"/>
  <c r="CQ331" i="2" s="1"/>
  <c r="CN330" i="2"/>
  <c r="CO330" i="2" s="1"/>
  <c r="CQ330" i="2" s="1"/>
  <c r="CL330" i="2"/>
  <c r="CL329" i="2"/>
  <c r="CN329" i="2" s="1"/>
  <c r="CO329" i="2" s="1"/>
  <c r="CQ329" i="2" s="1"/>
  <c r="CQ328" i="2"/>
  <c r="CL328" i="2"/>
  <c r="CN328" i="2" s="1"/>
  <c r="CO328" i="2" s="1"/>
  <c r="CO327" i="2"/>
  <c r="CQ327" i="2" s="1"/>
  <c r="CL327" i="2"/>
  <c r="CN327" i="2" s="1"/>
  <c r="CQ326" i="2"/>
  <c r="CN326" i="2"/>
  <c r="CO326" i="2" s="1"/>
  <c r="CL326" i="2"/>
  <c r="CN325" i="2"/>
  <c r="CO325" i="2" s="1"/>
  <c r="CQ325" i="2" s="1"/>
  <c r="CL325" i="2"/>
  <c r="CQ324" i="2"/>
  <c r="CN324" i="2"/>
  <c r="CO324" i="2" s="1"/>
  <c r="CL324" i="2"/>
  <c r="CN323" i="2"/>
  <c r="CO323" i="2" s="1"/>
  <c r="CQ323" i="2" s="1"/>
  <c r="CL323" i="2"/>
  <c r="CL322" i="2"/>
  <c r="CN322" i="2" s="1"/>
  <c r="CO322" i="2" s="1"/>
  <c r="CQ322" i="2" s="1"/>
  <c r="CQ321" i="2"/>
  <c r="CN321" i="2"/>
  <c r="CO321" i="2" s="1"/>
  <c r="CL321" i="2"/>
  <c r="CL320" i="2"/>
  <c r="CN320" i="2" s="1"/>
  <c r="CO320" i="2" s="1"/>
  <c r="CQ320" i="2" s="1"/>
  <c r="CL319" i="2"/>
  <c r="CN319" i="2" s="1"/>
  <c r="CO319" i="2" s="1"/>
  <c r="CQ319" i="2" s="1"/>
  <c r="CQ318" i="2"/>
  <c r="CO318" i="2"/>
  <c r="CL318" i="2"/>
  <c r="CN318" i="2" s="1"/>
  <c r="CO317" i="2"/>
  <c r="CQ317" i="2" s="1"/>
  <c r="CL317" i="2"/>
  <c r="CN317" i="2" s="1"/>
  <c r="CO316" i="2"/>
  <c r="CQ316" i="2" s="1"/>
  <c r="CL316" i="2"/>
  <c r="CN316" i="2" s="1"/>
  <c r="CL315" i="2"/>
  <c r="CN315" i="2" s="1"/>
  <c r="CO315" i="2" s="1"/>
  <c r="CQ315" i="2" s="1"/>
  <c r="CL314" i="2"/>
  <c r="CN314" i="2" s="1"/>
  <c r="CO314" i="2" s="1"/>
  <c r="CQ314" i="2" s="1"/>
  <c r="CQ313" i="2"/>
  <c r="CO313" i="2"/>
  <c r="CL313" i="2"/>
  <c r="CN313" i="2" s="1"/>
  <c r="CL312" i="2"/>
  <c r="CN312" i="2" s="1"/>
  <c r="CO312" i="2" s="1"/>
  <c r="CQ312" i="2" s="1"/>
  <c r="CL311" i="2"/>
  <c r="CN311" i="2" s="1"/>
  <c r="CO311" i="2" s="1"/>
  <c r="CQ311" i="2" s="1"/>
  <c r="CQ310" i="2"/>
  <c r="CO310" i="2"/>
  <c r="CL310" i="2"/>
  <c r="CN310" i="2" s="1"/>
  <c r="CO309" i="2"/>
  <c r="CQ309" i="2" s="1"/>
  <c r="CL309" i="2"/>
  <c r="CN309" i="2" s="1"/>
  <c r="CO308" i="2"/>
  <c r="CQ308" i="2" s="1"/>
  <c r="CL308" i="2"/>
  <c r="CN308" i="2" s="1"/>
  <c r="CL307" i="2"/>
  <c r="CN307" i="2" s="1"/>
  <c r="CO307" i="2" s="1"/>
  <c r="CQ307" i="2" s="1"/>
  <c r="CL306" i="2"/>
  <c r="CN306" i="2" s="1"/>
  <c r="CO306" i="2" s="1"/>
  <c r="CQ306" i="2" s="1"/>
  <c r="CQ305" i="2"/>
  <c r="CO305" i="2"/>
  <c r="CL305" i="2"/>
  <c r="CN305" i="2" s="1"/>
  <c r="CL304" i="2"/>
  <c r="CN304" i="2" s="1"/>
  <c r="CO304" i="2" s="1"/>
  <c r="CQ304" i="2" s="1"/>
  <c r="CL303" i="2"/>
  <c r="CN303" i="2" s="1"/>
  <c r="CO303" i="2" s="1"/>
  <c r="CQ303" i="2" s="1"/>
  <c r="CQ302" i="2"/>
  <c r="CO302" i="2"/>
  <c r="CL302" i="2"/>
  <c r="CN302" i="2" s="1"/>
  <c r="CO301" i="2"/>
  <c r="CQ301" i="2" s="1"/>
  <c r="CL301" i="2"/>
  <c r="CN301" i="2" s="1"/>
  <c r="CO300" i="2"/>
  <c r="CQ300" i="2" s="1"/>
  <c r="CL300" i="2"/>
  <c r="CN300" i="2" s="1"/>
  <c r="CL299" i="2"/>
  <c r="CN299" i="2" s="1"/>
  <c r="CO299" i="2" s="1"/>
  <c r="CQ299" i="2" s="1"/>
  <c r="CL298" i="2"/>
  <c r="CN298" i="2" s="1"/>
  <c r="CO298" i="2" s="1"/>
  <c r="CQ298" i="2" s="1"/>
  <c r="CQ297" i="2"/>
  <c r="CO297" i="2"/>
  <c r="CL297" i="2"/>
  <c r="CN297" i="2" s="1"/>
  <c r="CL296" i="2"/>
  <c r="CN296" i="2" s="1"/>
  <c r="CO296" i="2" s="1"/>
  <c r="CQ296" i="2" s="1"/>
  <c r="CL295" i="2"/>
  <c r="CN295" i="2" s="1"/>
  <c r="CO295" i="2" s="1"/>
  <c r="CQ295" i="2" s="1"/>
  <c r="CQ294" i="2"/>
  <c r="CO294" i="2"/>
  <c r="CL294" i="2"/>
  <c r="CN294" i="2" s="1"/>
  <c r="CO293" i="2"/>
  <c r="CQ293" i="2" s="1"/>
  <c r="CL293" i="2"/>
  <c r="CN293" i="2" s="1"/>
  <c r="CO292" i="2"/>
  <c r="CQ292" i="2" s="1"/>
  <c r="CL292" i="2"/>
  <c r="CN292" i="2" s="1"/>
  <c r="CL291" i="2"/>
  <c r="CN291" i="2" s="1"/>
  <c r="CO291" i="2" s="1"/>
  <c r="CQ291" i="2" s="1"/>
  <c r="CL290" i="2"/>
  <c r="CN290" i="2" s="1"/>
  <c r="CO290" i="2" s="1"/>
  <c r="CQ290" i="2" s="1"/>
  <c r="CQ289" i="2"/>
  <c r="CO289" i="2"/>
  <c r="CL289" i="2"/>
  <c r="CN289" i="2" s="1"/>
  <c r="CL288" i="2"/>
  <c r="CN288" i="2" s="1"/>
  <c r="CO288" i="2" s="1"/>
  <c r="CQ288" i="2" s="1"/>
  <c r="CL287" i="2"/>
  <c r="CN287" i="2" s="1"/>
  <c r="CO287" i="2" s="1"/>
  <c r="CQ287" i="2" s="1"/>
  <c r="CQ286" i="2"/>
  <c r="CO286" i="2"/>
  <c r="CL286" i="2"/>
  <c r="CN286" i="2" s="1"/>
  <c r="CO285" i="2"/>
  <c r="CQ285" i="2" s="1"/>
  <c r="CL285" i="2"/>
  <c r="CN285" i="2" s="1"/>
  <c r="CO284" i="2"/>
  <c r="CQ284" i="2" s="1"/>
  <c r="CL284" i="2"/>
  <c r="CN284" i="2" s="1"/>
  <c r="CL283" i="2"/>
  <c r="CN283" i="2" s="1"/>
  <c r="CO283" i="2" s="1"/>
  <c r="CQ283" i="2" s="1"/>
  <c r="CL282" i="2"/>
  <c r="CN282" i="2" s="1"/>
  <c r="CO282" i="2" s="1"/>
  <c r="CQ282" i="2" s="1"/>
  <c r="CQ281" i="2"/>
  <c r="CO281" i="2"/>
  <c r="CL281" i="2"/>
  <c r="CN281" i="2" s="1"/>
  <c r="CL280" i="2"/>
  <c r="CN280" i="2" s="1"/>
  <c r="CO280" i="2" s="1"/>
  <c r="CQ280" i="2" s="1"/>
  <c r="CL279" i="2"/>
  <c r="CN279" i="2" s="1"/>
  <c r="CO279" i="2" s="1"/>
  <c r="CQ279" i="2" s="1"/>
  <c r="CQ278" i="2"/>
  <c r="CO278" i="2"/>
  <c r="CL278" i="2"/>
  <c r="CN278" i="2" s="1"/>
  <c r="CO277" i="2"/>
  <c r="CQ277" i="2" s="1"/>
  <c r="CL277" i="2"/>
  <c r="CN277" i="2" s="1"/>
  <c r="CO276" i="2"/>
  <c r="CQ276" i="2" s="1"/>
  <c r="CL276" i="2"/>
  <c r="CN276" i="2" s="1"/>
  <c r="CL275" i="2"/>
  <c r="CN275" i="2" s="1"/>
  <c r="CO275" i="2" s="1"/>
  <c r="CQ275" i="2" s="1"/>
  <c r="CQ274" i="2"/>
  <c r="CO274" i="2"/>
  <c r="CL274" i="2"/>
  <c r="CN274" i="2" s="1"/>
  <c r="CQ273" i="2"/>
  <c r="CO273" i="2"/>
  <c r="CL273" i="2"/>
  <c r="CN273" i="2" s="1"/>
  <c r="CL272" i="2"/>
  <c r="CN272" i="2" s="1"/>
  <c r="CO272" i="2" s="1"/>
  <c r="CQ272" i="2" s="1"/>
  <c r="CL271" i="2"/>
  <c r="CN271" i="2" s="1"/>
  <c r="CO271" i="2" s="1"/>
  <c r="CQ271" i="2" s="1"/>
  <c r="CQ270" i="2"/>
  <c r="CO270" i="2"/>
  <c r="CL270" i="2"/>
  <c r="CN270" i="2" s="1"/>
  <c r="CO269" i="2"/>
  <c r="CQ269" i="2" s="1"/>
  <c r="CL269" i="2"/>
  <c r="CN269" i="2" s="1"/>
  <c r="CO268" i="2"/>
  <c r="CQ268" i="2" s="1"/>
  <c r="CL268" i="2"/>
  <c r="CN268" i="2" s="1"/>
  <c r="CL267" i="2"/>
  <c r="CN267" i="2" s="1"/>
  <c r="CO267" i="2" s="1"/>
  <c r="CQ267" i="2" s="1"/>
  <c r="CQ266" i="2"/>
  <c r="CO266" i="2"/>
  <c r="CL266" i="2"/>
  <c r="CN266" i="2" s="1"/>
  <c r="CQ265" i="2"/>
  <c r="CO265" i="2"/>
  <c r="CL265" i="2"/>
  <c r="CN265" i="2" s="1"/>
  <c r="CL264" i="2"/>
  <c r="CN264" i="2" s="1"/>
  <c r="CO264" i="2" s="1"/>
  <c r="CQ264" i="2" s="1"/>
  <c r="CL263" i="2"/>
  <c r="CN263" i="2" s="1"/>
  <c r="CO263" i="2" s="1"/>
  <c r="CQ263" i="2" s="1"/>
  <c r="CQ262" i="2"/>
  <c r="CO262" i="2"/>
  <c r="CL262" i="2"/>
  <c r="CN262" i="2" s="1"/>
  <c r="CO261" i="2"/>
  <c r="CQ261" i="2" s="1"/>
  <c r="CL261" i="2"/>
  <c r="CN261" i="2" s="1"/>
  <c r="CO260" i="2"/>
  <c r="CQ260" i="2" s="1"/>
  <c r="CL260" i="2"/>
  <c r="CN260" i="2" s="1"/>
  <c r="CL259" i="2"/>
  <c r="CN259" i="2" s="1"/>
  <c r="CO259" i="2" s="1"/>
  <c r="CQ259" i="2" s="1"/>
  <c r="CQ258" i="2"/>
  <c r="CO258" i="2"/>
  <c r="CL258" i="2"/>
  <c r="CN258" i="2" s="1"/>
  <c r="CQ257" i="2"/>
  <c r="CO257" i="2"/>
  <c r="CL257" i="2"/>
  <c r="CN257" i="2" s="1"/>
  <c r="CL256" i="2"/>
  <c r="CN256" i="2" s="1"/>
  <c r="CO256" i="2" s="1"/>
  <c r="CQ256" i="2" s="1"/>
  <c r="CL255" i="2"/>
  <c r="CN255" i="2" s="1"/>
  <c r="CO255" i="2" s="1"/>
  <c r="CQ255" i="2" s="1"/>
  <c r="CQ254" i="2"/>
  <c r="CO254" i="2"/>
  <c r="CL254" i="2"/>
  <c r="CN254" i="2" s="1"/>
  <c r="CO253" i="2"/>
  <c r="CQ253" i="2" s="1"/>
  <c r="CL253" i="2"/>
  <c r="CN253" i="2" s="1"/>
  <c r="CO252" i="2"/>
  <c r="CQ252" i="2" s="1"/>
  <c r="CL252" i="2"/>
  <c r="CN252" i="2" s="1"/>
  <c r="CL251" i="2"/>
  <c r="CN251" i="2" s="1"/>
  <c r="CO251" i="2" s="1"/>
  <c r="CQ251" i="2" s="1"/>
  <c r="CQ250" i="2"/>
  <c r="CO250" i="2"/>
  <c r="CL250" i="2"/>
  <c r="CN250" i="2" s="1"/>
  <c r="CQ249" i="2"/>
  <c r="CO249" i="2"/>
  <c r="CL249" i="2"/>
  <c r="CN249" i="2" s="1"/>
  <c r="CL248" i="2"/>
  <c r="CN248" i="2" s="1"/>
  <c r="CO248" i="2" s="1"/>
  <c r="CQ248" i="2" s="1"/>
  <c r="CL247" i="2"/>
  <c r="CN247" i="2" s="1"/>
  <c r="CO247" i="2" s="1"/>
  <c r="CQ247" i="2" s="1"/>
  <c r="CQ246" i="2"/>
  <c r="CO246" i="2"/>
  <c r="CL246" i="2"/>
  <c r="CN246" i="2" s="1"/>
  <c r="CO245" i="2"/>
  <c r="CQ245" i="2" s="1"/>
  <c r="CL245" i="2"/>
  <c r="CN245" i="2" s="1"/>
  <c r="CO244" i="2"/>
  <c r="CQ244" i="2" s="1"/>
  <c r="CL244" i="2"/>
  <c r="CN244" i="2" s="1"/>
  <c r="CL243" i="2"/>
  <c r="CN243" i="2" s="1"/>
  <c r="CO243" i="2" s="1"/>
  <c r="CQ243" i="2" s="1"/>
  <c r="CQ242" i="2"/>
  <c r="CO242" i="2"/>
  <c r="CL242" i="2"/>
  <c r="CN242" i="2" s="1"/>
  <c r="CQ241" i="2"/>
  <c r="CO241" i="2"/>
  <c r="CL241" i="2"/>
  <c r="CN241" i="2" s="1"/>
  <c r="CL240" i="2"/>
  <c r="CN240" i="2" s="1"/>
  <c r="CO240" i="2" s="1"/>
  <c r="CQ240" i="2" s="1"/>
  <c r="CL239" i="2"/>
  <c r="CN239" i="2" s="1"/>
  <c r="CO239" i="2" s="1"/>
  <c r="CQ239" i="2" s="1"/>
  <c r="CQ238" i="2"/>
  <c r="CO238" i="2"/>
  <c r="CL238" i="2"/>
  <c r="CN238" i="2" s="1"/>
  <c r="CO237" i="2"/>
  <c r="CQ237" i="2" s="1"/>
  <c r="CL237" i="2"/>
  <c r="CN237" i="2" s="1"/>
  <c r="CO236" i="2"/>
  <c r="CQ236" i="2" s="1"/>
  <c r="CL236" i="2"/>
  <c r="CN236" i="2" s="1"/>
  <c r="CL235" i="2"/>
  <c r="CN235" i="2" s="1"/>
  <c r="CO235" i="2" s="1"/>
  <c r="CQ235" i="2" s="1"/>
  <c r="CQ234" i="2"/>
  <c r="CO234" i="2"/>
  <c r="CL234" i="2"/>
  <c r="CN234" i="2" s="1"/>
  <c r="CQ233" i="2"/>
  <c r="CO233" i="2"/>
  <c r="CL233" i="2"/>
  <c r="CN233" i="2" s="1"/>
  <c r="CL232" i="2"/>
  <c r="CN232" i="2" s="1"/>
  <c r="CO232" i="2" s="1"/>
  <c r="CQ232" i="2" s="1"/>
  <c r="CL231" i="2"/>
  <c r="CN231" i="2" s="1"/>
  <c r="CO231" i="2" s="1"/>
  <c r="CQ231" i="2" s="1"/>
  <c r="CQ230" i="2"/>
  <c r="CO230" i="2"/>
  <c r="CL230" i="2"/>
  <c r="CN230" i="2" s="1"/>
  <c r="CO229" i="2"/>
  <c r="CQ229" i="2" s="1"/>
  <c r="CL229" i="2"/>
  <c r="CN229" i="2" s="1"/>
  <c r="CO228" i="2"/>
  <c r="CQ228" i="2" s="1"/>
  <c r="CL228" i="2"/>
  <c r="CN228" i="2" s="1"/>
  <c r="CL227" i="2"/>
  <c r="CN227" i="2" s="1"/>
  <c r="CO227" i="2" s="1"/>
  <c r="CQ227" i="2" s="1"/>
  <c r="CQ226" i="2"/>
  <c r="CO226" i="2"/>
  <c r="CL226" i="2"/>
  <c r="CN226" i="2" s="1"/>
  <c r="CQ225" i="2"/>
  <c r="CO225" i="2"/>
  <c r="CL225" i="2"/>
  <c r="CN225" i="2" s="1"/>
  <c r="CL224" i="2"/>
  <c r="CN224" i="2" s="1"/>
  <c r="CO224" i="2" s="1"/>
  <c r="CQ224" i="2" s="1"/>
  <c r="CL223" i="2"/>
  <c r="CN223" i="2" s="1"/>
  <c r="CO223" i="2" s="1"/>
  <c r="CQ223" i="2" s="1"/>
  <c r="CQ222" i="2"/>
  <c r="CO222" i="2"/>
  <c r="CL222" i="2"/>
  <c r="CN222" i="2" s="1"/>
  <c r="CO221" i="2"/>
  <c r="CQ221" i="2" s="1"/>
  <c r="CL221" i="2"/>
  <c r="CN221" i="2" s="1"/>
  <c r="CO220" i="2"/>
  <c r="CQ220" i="2" s="1"/>
  <c r="CL220" i="2"/>
  <c r="CN220" i="2" s="1"/>
  <c r="CL219" i="2"/>
  <c r="CN219" i="2" s="1"/>
  <c r="CO219" i="2" s="1"/>
  <c r="CQ219" i="2" s="1"/>
  <c r="CQ218" i="2"/>
  <c r="CO218" i="2"/>
  <c r="CL218" i="2"/>
  <c r="CN218" i="2" s="1"/>
  <c r="CQ217" i="2"/>
  <c r="CO217" i="2"/>
  <c r="CL217" i="2"/>
  <c r="CN217" i="2" s="1"/>
  <c r="CL216" i="2"/>
  <c r="CN216" i="2" s="1"/>
  <c r="CO216" i="2" s="1"/>
  <c r="CQ216" i="2" s="1"/>
  <c r="CL215" i="2"/>
  <c r="CN215" i="2" s="1"/>
  <c r="CO215" i="2" s="1"/>
  <c r="CQ215" i="2" s="1"/>
  <c r="CQ214" i="2"/>
  <c r="CO214" i="2"/>
  <c r="CL214" i="2"/>
  <c r="CN214" i="2" s="1"/>
  <c r="CO213" i="2"/>
  <c r="CQ213" i="2" s="1"/>
  <c r="CL213" i="2"/>
  <c r="CN213" i="2" s="1"/>
  <c r="CO212" i="2"/>
  <c r="CQ212" i="2" s="1"/>
  <c r="CL212" i="2"/>
  <c r="CN212" i="2" s="1"/>
  <c r="CL211" i="2"/>
  <c r="CN211" i="2" s="1"/>
  <c r="CO211" i="2" s="1"/>
  <c r="CQ211" i="2" s="1"/>
  <c r="CQ210" i="2"/>
  <c r="CO210" i="2"/>
  <c r="CL210" i="2"/>
  <c r="CN210" i="2" s="1"/>
  <c r="CQ209" i="2"/>
  <c r="CO209" i="2"/>
  <c r="CL209" i="2"/>
  <c r="CN209" i="2" s="1"/>
  <c r="CL208" i="2"/>
  <c r="CN208" i="2" s="1"/>
  <c r="CO208" i="2" s="1"/>
  <c r="CQ208" i="2" s="1"/>
  <c r="CL207" i="2"/>
  <c r="CN207" i="2" s="1"/>
  <c r="CO207" i="2" s="1"/>
  <c r="CQ207" i="2" s="1"/>
  <c r="CQ206" i="2"/>
  <c r="CO206" i="2"/>
  <c r="CL206" i="2"/>
  <c r="CN206" i="2" s="1"/>
  <c r="CO205" i="2"/>
  <c r="CQ205" i="2" s="1"/>
  <c r="CL205" i="2"/>
  <c r="CN205" i="2" s="1"/>
  <c r="CO204" i="2"/>
  <c r="CQ204" i="2" s="1"/>
  <c r="CL204" i="2"/>
  <c r="CN204" i="2" s="1"/>
  <c r="CL203" i="2"/>
  <c r="CN203" i="2" s="1"/>
  <c r="CO203" i="2" s="1"/>
  <c r="CQ203" i="2" s="1"/>
  <c r="CQ202" i="2"/>
  <c r="CO202" i="2"/>
  <c r="CL202" i="2"/>
  <c r="CN202" i="2" s="1"/>
  <c r="CQ201" i="2"/>
  <c r="CO201" i="2"/>
  <c r="CL201" i="2"/>
  <c r="CN201" i="2" s="1"/>
  <c r="CL200" i="2"/>
  <c r="CN200" i="2" s="1"/>
  <c r="CO200" i="2" s="1"/>
  <c r="CQ200" i="2" s="1"/>
  <c r="CL199" i="2"/>
  <c r="CN199" i="2" s="1"/>
  <c r="CO199" i="2" s="1"/>
  <c r="CQ199" i="2" s="1"/>
  <c r="CQ198" i="2"/>
  <c r="CO198" i="2"/>
  <c r="CL198" i="2"/>
  <c r="CN198" i="2" s="1"/>
  <c r="CO197" i="2"/>
  <c r="CQ197" i="2" s="1"/>
  <c r="CL197" i="2"/>
  <c r="CN197" i="2" s="1"/>
  <c r="CO196" i="2"/>
  <c r="CQ196" i="2" s="1"/>
  <c r="CL196" i="2"/>
  <c r="CN196" i="2" s="1"/>
  <c r="CL195" i="2"/>
  <c r="CN195" i="2" s="1"/>
  <c r="CO195" i="2" s="1"/>
  <c r="CQ195" i="2" s="1"/>
  <c r="CQ194" i="2"/>
  <c r="CO194" i="2"/>
  <c r="CL194" i="2"/>
  <c r="CN194" i="2" s="1"/>
  <c r="CQ193" i="2"/>
  <c r="CO193" i="2"/>
  <c r="CL193" i="2"/>
  <c r="CN193" i="2" s="1"/>
  <c r="CL192" i="2"/>
  <c r="CN192" i="2" s="1"/>
  <c r="CO192" i="2" s="1"/>
  <c r="CQ192" i="2" s="1"/>
  <c r="CL191" i="2"/>
  <c r="CN191" i="2" s="1"/>
  <c r="CO191" i="2" s="1"/>
  <c r="CQ191" i="2" s="1"/>
  <c r="CQ190" i="2"/>
  <c r="CO190" i="2"/>
  <c r="CL190" i="2"/>
  <c r="CN190" i="2" s="1"/>
  <c r="CO189" i="2"/>
  <c r="CQ189" i="2" s="1"/>
  <c r="CL189" i="2"/>
  <c r="CN189" i="2" s="1"/>
  <c r="CO188" i="2"/>
  <c r="CQ188" i="2" s="1"/>
  <c r="CL188" i="2"/>
  <c r="CN188" i="2" s="1"/>
  <c r="CL187" i="2"/>
  <c r="CN187" i="2" s="1"/>
  <c r="CO187" i="2" s="1"/>
  <c r="CQ187" i="2" s="1"/>
  <c r="CQ186" i="2"/>
  <c r="CO186" i="2"/>
  <c r="CL186" i="2"/>
  <c r="CN186" i="2" s="1"/>
  <c r="CQ185" i="2"/>
  <c r="CO185" i="2"/>
  <c r="CL185" i="2"/>
  <c r="CN185" i="2" s="1"/>
  <c r="CL184" i="2"/>
  <c r="CN184" i="2" s="1"/>
  <c r="CO184" i="2" s="1"/>
  <c r="CQ184" i="2" s="1"/>
  <c r="CL183" i="2"/>
  <c r="CN183" i="2" s="1"/>
  <c r="CO183" i="2" s="1"/>
  <c r="CQ183" i="2" s="1"/>
  <c r="CQ182" i="2"/>
  <c r="CO182" i="2"/>
  <c r="CL182" i="2"/>
  <c r="CN182" i="2" s="1"/>
  <c r="CO181" i="2"/>
  <c r="CQ181" i="2" s="1"/>
  <c r="CL181" i="2"/>
  <c r="CN181" i="2" s="1"/>
  <c r="CO180" i="2"/>
  <c r="CQ180" i="2" s="1"/>
  <c r="CL180" i="2"/>
  <c r="CN180" i="2" s="1"/>
  <c r="CL179" i="2"/>
  <c r="CN179" i="2" s="1"/>
  <c r="CO179" i="2" s="1"/>
  <c r="CQ179" i="2" s="1"/>
  <c r="CQ178" i="2"/>
  <c r="CO178" i="2"/>
  <c r="CL178" i="2"/>
  <c r="CN178" i="2" s="1"/>
  <c r="CL177" i="2"/>
  <c r="CN177" i="2" s="1"/>
  <c r="CO177" i="2" s="1"/>
  <c r="CQ177" i="2" s="1"/>
  <c r="CL176" i="2"/>
  <c r="CN176" i="2" s="1"/>
  <c r="CO176" i="2" s="1"/>
  <c r="CQ176" i="2" s="1"/>
  <c r="CL175" i="2"/>
  <c r="CN175" i="2" s="1"/>
  <c r="CO175" i="2" s="1"/>
  <c r="CQ175" i="2" s="1"/>
  <c r="CO174" i="2"/>
  <c r="CQ174" i="2" s="1"/>
  <c r="CL174" i="2"/>
  <c r="CN174" i="2" s="1"/>
  <c r="CO173" i="2"/>
  <c r="CQ173" i="2" s="1"/>
  <c r="CL173" i="2"/>
  <c r="CN173" i="2" s="1"/>
  <c r="CO172" i="2"/>
  <c r="CQ172" i="2" s="1"/>
  <c r="CL172" i="2"/>
  <c r="CN172" i="2" s="1"/>
  <c r="CQ171" i="2"/>
  <c r="CL171" i="2"/>
  <c r="CN171" i="2" s="1"/>
  <c r="CO171" i="2" s="1"/>
  <c r="CQ170" i="2"/>
  <c r="CO170" i="2"/>
  <c r="CL170" i="2"/>
  <c r="CN170" i="2" s="1"/>
  <c r="CO169" i="2"/>
  <c r="CQ169" i="2" s="1"/>
  <c r="CL169" i="2"/>
  <c r="CN169" i="2" s="1"/>
  <c r="CL168" i="2"/>
  <c r="CN168" i="2" s="1"/>
  <c r="CO168" i="2" s="1"/>
  <c r="CQ168" i="2" s="1"/>
  <c r="CL167" i="2"/>
  <c r="CN167" i="2" s="1"/>
  <c r="CO167" i="2" s="1"/>
  <c r="CQ167" i="2" s="1"/>
  <c r="CQ166" i="2"/>
  <c r="CO166" i="2"/>
  <c r="CL166" i="2"/>
  <c r="CN166" i="2" s="1"/>
  <c r="CO165" i="2"/>
  <c r="CQ165" i="2" s="1"/>
  <c r="CL165" i="2"/>
  <c r="CN165" i="2" s="1"/>
  <c r="CL164" i="2"/>
  <c r="CN164" i="2" s="1"/>
  <c r="CO164" i="2" s="1"/>
  <c r="CQ164" i="2" s="1"/>
  <c r="CL163" i="2"/>
  <c r="CN163" i="2" s="1"/>
  <c r="CO163" i="2" s="1"/>
  <c r="CQ163" i="2" s="1"/>
  <c r="CQ162" i="2"/>
  <c r="CO162" i="2"/>
  <c r="CL162" i="2"/>
  <c r="CN162" i="2" s="1"/>
  <c r="CL161" i="2"/>
  <c r="CN161" i="2" s="1"/>
  <c r="CO161" i="2" s="1"/>
  <c r="CQ161" i="2" s="1"/>
  <c r="CL160" i="2"/>
  <c r="CN160" i="2" s="1"/>
  <c r="CO160" i="2" s="1"/>
  <c r="CQ160" i="2" s="1"/>
  <c r="CL159" i="2"/>
  <c r="CN159" i="2" s="1"/>
  <c r="CO159" i="2" s="1"/>
  <c r="CQ159" i="2" s="1"/>
  <c r="CO158" i="2"/>
  <c r="CQ158" i="2" s="1"/>
  <c r="CL158" i="2"/>
  <c r="CN158" i="2" s="1"/>
  <c r="CO157" i="2"/>
  <c r="CQ157" i="2" s="1"/>
  <c r="CL157" i="2"/>
  <c r="CN157" i="2" s="1"/>
  <c r="CO156" i="2"/>
  <c r="CQ156" i="2" s="1"/>
  <c r="CL156" i="2"/>
  <c r="CN156" i="2" s="1"/>
  <c r="CQ155" i="2"/>
  <c r="CL155" i="2"/>
  <c r="CN155" i="2" s="1"/>
  <c r="CO155" i="2" s="1"/>
  <c r="CQ154" i="2"/>
  <c r="CO154" i="2"/>
  <c r="CL154" i="2"/>
  <c r="CN154" i="2" s="1"/>
  <c r="CO153" i="2"/>
  <c r="CQ153" i="2" s="1"/>
  <c r="CL153" i="2"/>
  <c r="CN153" i="2" s="1"/>
  <c r="CL152" i="2"/>
  <c r="CN152" i="2" s="1"/>
  <c r="CO152" i="2" s="1"/>
  <c r="CQ152" i="2" s="1"/>
  <c r="CL151" i="2"/>
  <c r="CN151" i="2" s="1"/>
  <c r="CO151" i="2" s="1"/>
  <c r="CQ151" i="2" s="1"/>
  <c r="CQ150" i="2"/>
  <c r="CO150" i="2"/>
  <c r="CL150" i="2"/>
  <c r="CN150" i="2" s="1"/>
  <c r="CO149" i="2"/>
  <c r="CQ149" i="2" s="1"/>
  <c r="CL149" i="2"/>
  <c r="CN149" i="2" s="1"/>
  <c r="CL148" i="2"/>
  <c r="CN148" i="2" s="1"/>
  <c r="CO148" i="2" s="1"/>
  <c r="CQ148" i="2" s="1"/>
  <c r="CL147" i="2"/>
  <c r="CN147" i="2" s="1"/>
  <c r="CO147" i="2" s="1"/>
  <c r="CQ147" i="2" s="1"/>
  <c r="CQ146" i="2"/>
  <c r="CO146" i="2"/>
  <c r="CL146" i="2"/>
  <c r="CN146" i="2" s="1"/>
  <c r="CL145" i="2"/>
  <c r="CN145" i="2" s="1"/>
  <c r="CO145" i="2" s="1"/>
  <c r="CQ145" i="2" s="1"/>
  <c r="CL144" i="2"/>
  <c r="CN144" i="2" s="1"/>
  <c r="CO144" i="2" s="1"/>
  <c r="CQ144" i="2" s="1"/>
  <c r="CL143" i="2"/>
  <c r="CN143" i="2" s="1"/>
  <c r="CO143" i="2" s="1"/>
  <c r="CQ143" i="2" s="1"/>
  <c r="CO142" i="2"/>
  <c r="CQ142" i="2" s="1"/>
  <c r="CL142" i="2"/>
  <c r="CN142" i="2" s="1"/>
  <c r="CO141" i="2"/>
  <c r="CQ141" i="2" s="1"/>
  <c r="CL141" i="2"/>
  <c r="CN141" i="2" s="1"/>
  <c r="CO140" i="2"/>
  <c r="CQ140" i="2" s="1"/>
  <c r="CL140" i="2"/>
  <c r="CN140" i="2" s="1"/>
  <c r="CQ139" i="2"/>
  <c r="CL139" i="2"/>
  <c r="CN139" i="2" s="1"/>
  <c r="CO139" i="2" s="1"/>
  <c r="CL138" i="2"/>
  <c r="CN138" i="2" s="1"/>
  <c r="CO138" i="2" s="1"/>
  <c r="CQ138" i="2" s="1"/>
  <c r="CO137" i="2"/>
  <c r="CQ137" i="2" s="1"/>
  <c r="CL137" i="2"/>
  <c r="CN137" i="2" s="1"/>
  <c r="CQ136" i="2"/>
  <c r="CL136" i="2"/>
  <c r="CN136" i="2" s="1"/>
  <c r="CO136" i="2" s="1"/>
  <c r="CL135" i="2"/>
  <c r="CN135" i="2" s="1"/>
  <c r="CO135" i="2" s="1"/>
  <c r="CQ135" i="2" s="1"/>
  <c r="CL134" i="2"/>
  <c r="CN134" i="2" s="1"/>
  <c r="CO134" i="2" s="1"/>
  <c r="CQ134" i="2" s="1"/>
  <c r="CO133" i="2"/>
  <c r="CQ133" i="2" s="1"/>
  <c r="CL133" i="2"/>
  <c r="CN133" i="2" s="1"/>
  <c r="CQ132" i="2"/>
  <c r="CL132" i="2"/>
  <c r="CN132" i="2" s="1"/>
  <c r="CO132" i="2" s="1"/>
  <c r="CL131" i="2"/>
  <c r="CN131" i="2" s="1"/>
  <c r="CO131" i="2" s="1"/>
  <c r="CQ131" i="2" s="1"/>
  <c r="CL130" i="2"/>
  <c r="CN130" i="2" s="1"/>
  <c r="CO130" i="2" s="1"/>
  <c r="CQ130" i="2" s="1"/>
  <c r="CO129" i="2"/>
  <c r="CQ129" i="2" s="1"/>
  <c r="CL129" i="2"/>
  <c r="CN129" i="2" s="1"/>
  <c r="CQ128" i="2"/>
  <c r="CL128" i="2"/>
  <c r="CN128" i="2" s="1"/>
  <c r="CO128" i="2" s="1"/>
  <c r="CL127" i="2"/>
  <c r="CN127" i="2" s="1"/>
  <c r="CO127" i="2" s="1"/>
  <c r="CQ127" i="2" s="1"/>
  <c r="CL126" i="2"/>
  <c r="CN126" i="2" s="1"/>
  <c r="CO126" i="2" s="1"/>
  <c r="CQ126" i="2" s="1"/>
  <c r="CO125" i="2"/>
  <c r="CQ125" i="2" s="1"/>
  <c r="CL125" i="2"/>
  <c r="CN125" i="2" s="1"/>
  <c r="CQ124" i="2"/>
  <c r="CL124" i="2"/>
  <c r="CN124" i="2" s="1"/>
  <c r="CO124" i="2" s="1"/>
  <c r="CL123" i="2"/>
  <c r="CN123" i="2" s="1"/>
  <c r="CO123" i="2" s="1"/>
  <c r="CQ123" i="2" s="1"/>
  <c r="CL122" i="2"/>
  <c r="CN122" i="2" s="1"/>
  <c r="CO122" i="2" s="1"/>
  <c r="CQ122" i="2" s="1"/>
  <c r="CO121" i="2"/>
  <c r="CQ121" i="2" s="1"/>
  <c r="CL121" i="2"/>
  <c r="CN121" i="2" s="1"/>
  <c r="CQ120" i="2"/>
  <c r="CL120" i="2"/>
  <c r="CN120" i="2" s="1"/>
  <c r="CO120" i="2" s="1"/>
  <c r="CL119" i="2"/>
  <c r="CN119" i="2" s="1"/>
  <c r="CO119" i="2" s="1"/>
  <c r="CQ119" i="2" s="1"/>
  <c r="CL118" i="2"/>
  <c r="CN118" i="2" s="1"/>
  <c r="CO118" i="2" s="1"/>
  <c r="CQ118" i="2" s="1"/>
  <c r="CO117" i="2"/>
  <c r="CQ117" i="2" s="1"/>
  <c r="CL117" i="2"/>
  <c r="CN117" i="2" s="1"/>
  <c r="CQ116" i="2"/>
  <c r="CL116" i="2"/>
  <c r="CN116" i="2" s="1"/>
  <c r="CO116" i="2" s="1"/>
  <c r="CL115" i="2"/>
  <c r="CN115" i="2" s="1"/>
  <c r="CO115" i="2" s="1"/>
  <c r="CQ115" i="2" s="1"/>
  <c r="CL114" i="2"/>
  <c r="CN114" i="2" s="1"/>
  <c r="CO114" i="2" s="1"/>
  <c r="CQ114" i="2" s="1"/>
  <c r="CO113" i="2"/>
  <c r="CQ113" i="2" s="1"/>
  <c r="CL113" i="2"/>
  <c r="CN113" i="2" s="1"/>
  <c r="CQ112" i="2"/>
  <c r="CL112" i="2"/>
  <c r="CN112" i="2" s="1"/>
  <c r="CO112" i="2" s="1"/>
  <c r="CL111" i="2"/>
  <c r="CN111" i="2" s="1"/>
  <c r="CO111" i="2" s="1"/>
  <c r="CQ111" i="2" s="1"/>
  <c r="CL110" i="2"/>
  <c r="CN110" i="2" s="1"/>
  <c r="CO110" i="2" s="1"/>
  <c r="CQ110" i="2" s="1"/>
  <c r="CO109" i="2"/>
  <c r="CQ109" i="2" s="1"/>
  <c r="CL109" i="2"/>
  <c r="CN109" i="2" s="1"/>
  <c r="CQ108" i="2"/>
  <c r="CL108" i="2"/>
  <c r="CN108" i="2" s="1"/>
  <c r="CO108" i="2" s="1"/>
  <c r="CL107" i="2"/>
  <c r="CN107" i="2" s="1"/>
  <c r="CO107" i="2" s="1"/>
  <c r="CQ107" i="2" s="1"/>
  <c r="CL106" i="2"/>
  <c r="CN106" i="2" s="1"/>
  <c r="CO106" i="2" s="1"/>
  <c r="CQ106" i="2" s="1"/>
  <c r="CO105" i="2"/>
  <c r="CQ105" i="2" s="1"/>
  <c r="CL105" i="2"/>
  <c r="CN105" i="2" s="1"/>
  <c r="CQ104" i="2"/>
  <c r="CL104" i="2"/>
  <c r="CN104" i="2" s="1"/>
  <c r="CO104" i="2" s="1"/>
  <c r="CL103" i="2"/>
  <c r="CN103" i="2" s="1"/>
  <c r="CO103" i="2" s="1"/>
  <c r="CQ103" i="2" s="1"/>
  <c r="CL102" i="2"/>
  <c r="CN102" i="2" s="1"/>
  <c r="CO102" i="2" s="1"/>
  <c r="CQ102" i="2" s="1"/>
  <c r="CO101" i="2"/>
  <c r="CQ101" i="2" s="1"/>
  <c r="CL101" i="2"/>
  <c r="CN101" i="2" s="1"/>
  <c r="CQ100" i="2"/>
  <c r="CL100" i="2"/>
  <c r="CN100" i="2" s="1"/>
  <c r="CO100" i="2" s="1"/>
  <c r="CL99" i="2"/>
  <c r="CN99" i="2" s="1"/>
  <c r="CO99" i="2" s="1"/>
  <c r="CQ99" i="2" s="1"/>
  <c r="CL98" i="2"/>
  <c r="CN98" i="2" s="1"/>
  <c r="CO98" i="2" s="1"/>
  <c r="CQ98" i="2" s="1"/>
  <c r="CO97" i="2"/>
  <c r="CQ97" i="2" s="1"/>
  <c r="CL97" i="2"/>
  <c r="CN97" i="2" s="1"/>
  <c r="CQ96" i="2"/>
  <c r="CL96" i="2"/>
  <c r="CN96" i="2" s="1"/>
  <c r="CO96" i="2" s="1"/>
  <c r="CL95" i="2"/>
  <c r="CN95" i="2" s="1"/>
  <c r="CO95" i="2" s="1"/>
  <c r="CQ95" i="2" s="1"/>
  <c r="CL94" i="2"/>
  <c r="CN94" i="2" s="1"/>
  <c r="CO94" i="2" s="1"/>
  <c r="CQ94" i="2" s="1"/>
  <c r="CO93" i="2"/>
  <c r="CQ93" i="2" s="1"/>
  <c r="CL93" i="2"/>
  <c r="CN93" i="2" s="1"/>
  <c r="CQ92" i="2"/>
  <c r="CL92" i="2"/>
  <c r="CN92" i="2" s="1"/>
  <c r="CO92" i="2" s="1"/>
  <c r="CL91" i="2"/>
  <c r="CN91" i="2" s="1"/>
  <c r="CO91" i="2" s="1"/>
  <c r="CQ91" i="2" s="1"/>
  <c r="CL90" i="2"/>
  <c r="CN90" i="2" s="1"/>
  <c r="CO90" i="2" s="1"/>
  <c r="CQ90" i="2" s="1"/>
  <c r="CO89" i="2"/>
  <c r="CQ89" i="2" s="1"/>
  <c r="CL89" i="2"/>
  <c r="CN89" i="2" s="1"/>
  <c r="CQ88" i="2"/>
  <c r="CL88" i="2"/>
  <c r="CN88" i="2" s="1"/>
  <c r="CO88" i="2" s="1"/>
  <c r="CL87" i="2"/>
  <c r="CN87" i="2" s="1"/>
  <c r="CO87" i="2" s="1"/>
  <c r="CQ87" i="2" s="1"/>
  <c r="CL86" i="2"/>
  <c r="CN86" i="2" s="1"/>
  <c r="CO86" i="2" s="1"/>
  <c r="CQ86" i="2" s="1"/>
  <c r="CO85" i="2"/>
  <c r="CQ85" i="2" s="1"/>
  <c r="CL85" i="2"/>
  <c r="CN85" i="2" s="1"/>
  <c r="CQ84" i="2"/>
  <c r="CL84" i="2"/>
  <c r="CN84" i="2" s="1"/>
  <c r="CO84" i="2" s="1"/>
  <c r="CL83" i="2"/>
  <c r="CN83" i="2" s="1"/>
  <c r="CO83" i="2" s="1"/>
  <c r="CQ83" i="2" s="1"/>
  <c r="CL82" i="2"/>
  <c r="CN82" i="2" s="1"/>
  <c r="CO82" i="2" s="1"/>
  <c r="CQ82" i="2" s="1"/>
  <c r="CO81" i="2"/>
  <c r="CQ81" i="2" s="1"/>
  <c r="CL81" i="2"/>
  <c r="CN81" i="2" s="1"/>
  <c r="CQ80" i="2"/>
  <c r="CL80" i="2"/>
  <c r="CN80" i="2" s="1"/>
  <c r="CO80" i="2" s="1"/>
  <c r="CL79" i="2"/>
  <c r="CN79" i="2" s="1"/>
  <c r="CO79" i="2" s="1"/>
  <c r="CQ79" i="2" s="1"/>
  <c r="CL78" i="2"/>
  <c r="CN78" i="2" s="1"/>
  <c r="CO78" i="2" s="1"/>
  <c r="CQ78" i="2" s="1"/>
  <c r="CO77" i="2"/>
  <c r="CQ77" i="2" s="1"/>
  <c r="CL77" i="2"/>
  <c r="CN77" i="2" s="1"/>
  <c r="CQ76" i="2"/>
  <c r="CL76" i="2"/>
  <c r="CN76" i="2" s="1"/>
  <c r="CO76" i="2" s="1"/>
  <c r="CL75" i="2"/>
  <c r="CN75" i="2" s="1"/>
  <c r="CO75" i="2" s="1"/>
  <c r="CQ75" i="2" s="1"/>
  <c r="CL74" i="2"/>
  <c r="CN74" i="2" s="1"/>
  <c r="CO74" i="2" s="1"/>
  <c r="CQ74" i="2" s="1"/>
  <c r="CO73" i="2"/>
  <c r="CQ73" i="2" s="1"/>
  <c r="CL73" i="2"/>
  <c r="CN73" i="2" s="1"/>
  <c r="CQ72" i="2"/>
  <c r="CL72" i="2"/>
  <c r="CN72" i="2" s="1"/>
  <c r="CO72" i="2" s="1"/>
  <c r="CL71" i="2"/>
  <c r="CN71" i="2" s="1"/>
  <c r="CO71" i="2" s="1"/>
  <c r="CQ71" i="2" s="1"/>
  <c r="CL70" i="2"/>
  <c r="CN70" i="2" s="1"/>
  <c r="CO70" i="2" s="1"/>
  <c r="CQ70" i="2" s="1"/>
  <c r="CO69" i="2"/>
  <c r="CQ69" i="2" s="1"/>
  <c r="CL69" i="2"/>
  <c r="CN69" i="2" s="1"/>
  <c r="CQ68" i="2"/>
  <c r="CL68" i="2"/>
  <c r="CN68" i="2" s="1"/>
  <c r="CO68" i="2" s="1"/>
  <c r="CL67" i="2"/>
  <c r="CN67" i="2" s="1"/>
  <c r="CO67" i="2" s="1"/>
  <c r="CQ67" i="2" s="1"/>
  <c r="CL66" i="2"/>
  <c r="CN66" i="2" s="1"/>
  <c r="CO66" i="2" s="1"/>
  <c r="CQ66" i="2" s="1"/>
  <c r="CO65" i="2"/>
  <c r="CQ65" i="2" s="1"/>
  <c r="CL65" i="2"/>
  <c r="CN65" i="2" s="1"/>
  <c r="CQ64" i="2"/>
  <c r="CL64" i="2"/>
  <c r="CN64" i="2" s="1"/>
  <c r="CO64" i="2" s="1"/>
  <c r="CL63" i="2"/>
  <c r="CN63" i="2" s="1"/>
  <c r="CO63" i="2" s="1"/>
  <c r="CQ63" i="2" s="1"/>
  <c r="CL62" i="2"/>
  <c r="CN62" i="2" s="1"/>
  <c r="CO62" i="2" s="1"/>
  <c r="CQ62" i="2" s="1"/>
  <c r="CO61" i="2"/>
  <c r="CQ61" i="2" s="1"/>
  <c r="CL61" i="2"/>
  <c r="CN61" i="2" s="1"/>
  <c r="CQ60" i="2"/>
  <c r="CL60" i="2"/>
  <c r="CN60" i="2" s="1"/>
  <c r="CO60" i="2" s="1"/>
  <c r="CL59" i="2"/>
  <c r="CN59" i="2" s="1"/>
  <c r="CO59" i="2" s="1"/>
  <c r="CQ59" i="2" s="1"/>
  <c r="CL58" i="2"/>
  <c r="CN58" i="2" s="1"/>
  <c r="CO58" i="2" s="1"/>
  <c r="CQ58" i="2" s="1"/>
  <c r="CO57" i="2"/>
  <c r="CQ57" i="2" s="1"/>
  <c r="CL57" i="2"/>
  <c r="CN57" i="2" s="1"/>
  <c r="CQ56" i="2"/>
  <c r="CL56" i="2"/>
  <c r="CN56" i="2" s="1"/>
  <c r="CO56" i="2" s="1"/>
  <c r="CL55" i="2"/>
  <c r="CN55" i="2" s="1"/>
  <c r="CO55" i="2" s="1"/>
  <c r="CQ55" i="2" s="1"/>
  <c r="CL54" i="2"/>
  <c r="CN54" i="2" s="1"/>
  <c r="CO54" i="2" s="1"/>
  <c r="CQ54" i="2" s="1"/>
  <c r="CO53" i="2"/>
  <c r="CQ53" i="2" s="1"/>
  <c r="CL53" i="2"/>
  <c r="CN53" i="2" s="1"/>
  <c r="CQ52" i="2"/>
  <c r="CL52" i="2"/>
  <c r="CN52" i="2" s="1"/>
  <c r="CO52" i="2" s="1"/>
  <c r="CL51" i="2"/>
  <c r="CN51" i="2" s="1"/>
  <c r="CO51" i="2" s="1"/>
  <c r="CQ51" i="2" s="1"/>
  <c r="CL50" i="2"/>
  <c r="CN50" i="2" s="1"/>
  <c r="CO50" i="2" s="1"/>
  <c r="CQ50" i="2" s="1"/>
  <c r="CO49" i="2"/>
  <c r="CQ49" i="2" s="1"/>
  <c r="CL49" i="2"/>
  <c r="CN49" i="2" s="1"/>
  <c r="CQ48" i="2"/>
  <c r="CL48" i="2"/>
  <c r="CN48" i="2" s="1"/>
  <c r="CO48" i="2" s="1"/>
  <c r="CL47" i="2"/>
  <c r="CN47" i="2" s="1"/>
  <c r="CO47" i="2" s="1"/>
  <c r="CQ47" i="2" s="1"/>
  <c r="CL46" i="2"/>
  <c r="CN46" i="2" s="1"/>
  <c r="CO46" i="2" s="1"/>
  <c r="CQ46" i="2" s="1"/>
  <c r="CO45" i="2"/>
  <c r="CQ45" i="2" s="1"/>
  <c r="CL45" i="2"/>
  <c r="CN45" i="2" s="1"/>
  <c r="CQ44" i="2"/>
  <c r="CL44" i="2"/>
  <c r="CN44" i="2" s="1"/>
  <c r="CO44" i="2" s="1"/>
  <c r="CL43" i="2"/>
  <c r="CN43" i="2" s="1"/>
  <c r="CO43" i="2" s="1"/>
  <c r="CQ43" i="2" s="1"/>
  <c r="CL42" i="2"/>
  <c r="CN42" i="2" s="1"/>
  <c r="CO42" i="2" s="1"/>
  <c r="CQ42" i="2" s="1"/>
  <c r="CO41" i="2"/>
  <c r="CQ41" i="2" s="1"/>
  <c r="CL41" i="2"/>
  <c r="CN41" i="2" s="1"/>
  <c r="CQ40" i="2"/>
  <c r="CL40" i="2"/>
  <c r="CN40" i="2" s="1"/>
  <c r="CO40" i="2" s="1"/>
  <c r="CL39" i="2"/>
  <c r="CN39" i="2" s="1"/>
  <c r="CO39" i="2" s="1"/>
  <c r="CQ39" i="2" s="1"/>
  <c r="CL38" i="2"/>
  <c r="CN38" i="2" s="1"/>
  <c r="CO38" i="2" s="1"/>
  <c r="CQ38" i="2" s="1"/>
  <c r="CO37" i="2"/>
  <c r="CQ37" i="2" s="1"/>
  <c r="CL37" i="2"/>
  <c r="CN37" i="2" s="1"/>
  <c r="CQ36" i="2"/>
  <c r="CL36" i="2"/>
  <c r="CN36" i="2" s="1"/>
  <c r="CO36" i="2" s="1"/>
  <c r="CL35" i="2"/>
  <c r="CN35" i="2" s="1"/>
  <c r="CO35" i="2" s="1"/>
  <c r="CQ35" i="2" s="1"/>
  <c r="CL34" i="2"/>
  <c r="CN34" i="2" s="1"/>
  <c r="CO34" i="2" s="1"/>
  <c r="CQ34" i="2" s="1"/>
  <c r="CO33" i="2"/>
  <c r="CQ33" i="2" s="1"/>
  <c r="CL33" i="2"/>
  <c r="CN33" i="2" s="1"/>
  <c r="CQ32" i="2"/>
  <c r="CL32" i="2"/>
  <c r="CN32" i="2" s="1"/>
  <c r="CO32" i="2" s="1"/>
  <c r="CL31" i="2"/>
  <c r="CN31" i="2" s="1"/>
  <c r="CO31" i="2" s="1"/>
  <c r="CQ31" i="2" s="1"/>
  <c r="CL30" i="2"/>
  <c r="CN30" i="2" s="1"/>
  <c r="CO30" i="2" s="1"/>
  <c r="CQ30" i="2" s="1"/>
  <c r="CO29" i="2"/>
  <c r="CQ29" i="2" s="1"/>
  <c r="CL29" i="2"/>
  <c r="CN29" i="2" s="1"/>
  <c r="CQ28" i="2"/>
  <c r="CL28" i="2"/>
  <c r="CN28" i="2" s="1"/>
  <c r="CO28" i="2" s="1"/>
  <c r="CL27" i="2"/>
  <c r="CN27" i="2" s="1"/>
  <c r="CO27" i="2" s="1"/>
  <c r="CQ27" i="2" s="1"/>
  <c r="CL26" i="2"/>
  <c r="CN26" i="2" s="1"/>
  <c r="CO26" i="2" s="1"/>
  <c r="CQ26" i="2" s="1"/>
  <c r="CO25" i="2"/>
  <c r="CQ25" i="2" s="1"/>
  <c r="CL25" i="2"/>
  <c r="CN25" i="2" s="1"/>
  <c r="CQ24" i="2"/>
  <c r="CL24" i="2"/>
  <c r="CN24" i="2" s="1"/>
  <c r="CO24" i="2" s="1"/>
  <c r="CL23" i="2"/>
  <c r="CN23" i="2" s="1"/>
  <c r="CO23" i="2" s="1"/>
  <c r="CQ23" i="2" s="1"/>
  <c r="CL22" i="2"/>
  <c r="CN22" i="2" s="1"/>
  <c r="CO22" i="2" s="1"/>
  <c r="CQ22" i="2" s="1"/>
  <c r="CO21" i="2"/>
  <c r="CQ21" i="2" s="1"/>
  <c r="CL21" i="2"/>
  <c r="CN21" i="2" s="1"/>
  <c r="CQ20" i="2"/>
  <c r="CL20" i="2"/>
  <c r="CN20" i="2" s="1"/>
  <c r="CO20" i="2" s="1"/>
  <c r="CL19" i="2"/>
  <c r="CN19" i="2" s="1"/>
  <c r="CO19" i="2" s="1"/>
  <c r="CQ19" i="2" s="1"/>
  <c r="CL18" i="2"/>
  <c r="CN18" i="2" s="1"/>
  <c r="CO18" i="2" s="1"/>
  <c r="CQ18" i="2" s="1"/>
  <c r="CO17" i="2"/>
  <c r="CQ17" i="2" s="1"/>
  <c r="CL17" i="2"/>
  <c r="CN17" i="2" s="1"/>
  <c r="CQ16" i="2"/>
  <c r="CL16" i="2"/>
  <c r="CN16" i="2" s="1"/>
  <c r="CO16" i="2" s="1"/>
  <c r="CL15" i="2"/>
  <c r="CN15" i="2" s="1"/>
  <c r="CO15" i="2" s="1"/>
  <c r="CQ15" i="2" s="1"/>
  <c r="CL14" i="2"/>
  <c r="CN14" i="2" s="1"/>
  <c r="CO14" i="2" s="1"/>
  <c r="CQ14" i="2" s="1"/>
  <c r="CO13" i="2"/>
  <c r="CQ13" i="2" s="1"/>
  <c r="CL13" i="2"/>
  <c r="CN13" i="2" s="1"/>
  <c r="CQ12" i="2"/>
  <c r="CL12" i="2"/>
  <c r="CN12" i="2" s="1"/>
  <c r="CO12" i="2" s="1"/>
  <c r="CL11" i="2"/>
  <c r="CN11" i="2" s="1"/>
  <c r="CO11" i="2" s="1"/>
  <c r="CQ11" i="2" s="1"/>
  <c r="CL10" i="2"/>
  <c r="CN10" i="2" s="1"/>
  <c r="CO10" i="2" s="1"/>
  <c r="CQ10" i="2" s="1"/>
  <c r="CO9" i="2"/>
  <c r="CQ9" i="2" s="1"/>
  <c r="CL9" i="2"/>
  <c r="CN9" i="2" s="1"/>
  <c r="CQ8" i="2"/>
  <c r="CL8" i="2"/>
  <c r="CN8" i="2" s="1"/>
  <c r="CO8" i="2" s="1"/>
  <c r="CL7" i="2"/>
  <c r="CN7" i="2" s="1"/>
  <c r="CO7" i="2" s="1"/>
  <c r="CQ7" i="2" s="1"/>
  <c r="CL6" i="2"/>
  <c r="BAR2" i="1"/>
  <c r="BAQ2" i="1"/>
  <c r="BAP2" i="1"/>
  <c r="BAO2" i="1"/>
  <c r="BAN2" i="1"/>
  <c r="BAM2" i="1"/>
  <c r="BAL2" i="1"/>
  <c r="BAK2" i="1"/>
  <c r="BAJ2" i="1"/>
  <c r="BAI2" i="1"/>
  <c r="BAH2" i="1"/>
  <c r="BAG2" i="1"/>
  <c r="BAF2" i="1"/>
  <c r="BAE2" i="1"/>
  <c r="BAD2" i="1"/>
  <c r="BAB2" i="1"/>
  <c r="BAA2" i="1"/>
  <c r="AZZ2" i="1"/>
  <c r="AZY2" i="1"/>
  <c r="AZX2" i="1"/>
  <c r="AZW2" i="1"/>
  <c r="AZV2" i="1"/>
  <c r="AZU2" i="1"/>
  <c r="AZT2" i="1"/>
  <c r="AZS2" i="1"/>
  <c r="AZR2" i="1"/>
  <c r="AZQ2" i="1"/>
  <c r="AZP2" i="1"/>
  <c r="AZO2" i="1"/>
  <c r="AZN2" i="1"/>
  <c r="AZM2" i="1"/>
  <c r="AZL2" i="1"/>
  <c r="AZK2" i="1"/>
  <c r="AZJ2" i="1"/>
  <c r="AZI2" i="1"/>
  <c r="AZH2" i="1"/>
  <c r="AZG2" i="1"/>
  <c r="AZF2" i="1"/>
  <c r="AZE2" i="1"/>
  <c r="AZD2" i="1"/>
  <c r="AZC2" i="1"/>
  <c r="AZB2" i="1"/>
  <c r="AZA2" i="1"/>
  <c r="AYZ2" i="1"/>
  <c r="AYY2" i="1"/>
  <c r="AYX2" i="1"/>
  <c r="AYV2" i="1"/>
  <c r="AYU2" i="1"/>
  <c r="AYT2" i="1"/>
  <c r="AYS2" i="1"/>
  <c r="AYR2" i="1"/>
  <c r="AYQ2" i="1"/>
  <c r="AYP2" i="1"/>
  <c r="AYO2" i="1"/>
  <c r="AYN2" i="1"/>
  <c r="AYM2" i="1"/>
  <c r="AYL2" i="1"/>
  <c r="AYJ2" i="1"/>
  <c r="AYI2" i="1"/>
  <c r="AYH2" i="1"/>
  <c r="AYG2" i="1"/>
  <c r="AYF2" i="1"/>
  <c r="AYE2" i="1"/>
  <c r="AYD2" i="1"/>
  <c r="AYC2" i="1"/>
  <c r="AYB2" i="1"/>
  <c r="AYA2" i="1"/>
  <c r="AXZ2" i="1"/>
  <c r="AXY2" i="1"/>
  <c r="AXX2" i="1"/>
  <c r="AXW2" i="1"/>
  <c r="AXV2" i="1"/>
  <c r="AXU2" i="1"/>
  <c r="AXT2" i="1"/>
  <c r="AXS2" i="1"/>
  <c r="AXR2" i="1"/>
  <c r="AXQ2" i="1"/>
  <c r="AXP2" i="1"/>
  <c r="AXO2" i="1"/>
  <c r="AXN2" i="1"/>
  <c r="AXM2" i="1"/>
  <c r="AXL2" i="1"/>
  <c r="AXK2" i="1"/>
  <c r="AXJ2" i="1"/>
  <c r="AXI2" i="1"/>
  <c r="AXH2" i="1"/>
  <c r="AXG2" i="1"/>
  <c r="AXF2" i="1"/>
  <c r="AXE2" i="1"/>
  <c r="AXD2" i="1"/>
  <c r="AXC2" i="1"/>
  <c r="AXB2" i="1"/>
  <c r="AXA2" i="1"/>
  <c r="AWZ2" i="1"/>
  <c r="AWY2" i="1"/>
  <c r="AWX2" i="1"/>
  <c r="AWW2" i="1"/>
  <c r="AWV2" i="1"/>
  <c r="AWU2" i="1"/>
  <c r="AWT2" i="1"/>
  <c r="AWS2" i="1"/>
  <c r="AWR2" i="1"/>
  <c r="AWQ2" i="1"/>
  <c r="AWP2" i="1"/>
  <c r="AWO2" i="1"/>
  <c r="AWN2" i="1"/>
  <c r="AWM2" i="1"/>
  <c r="AWL2" i="1"/>
  <c r="AWK2" i="1"/>
  <c r="AWJ2" i="1"/>
  <c r="AWI2" i="1"/>
  <c r="AWH2" i="1"/>
  <c r="AWG2" i="1"/>
  <c r="AWF2" i="1"/>
  <c r="AWE2" i="1"/>
  <c r="AWD2" i="1"/>
  <c r="AWC2" i="1"/>
  <c r="AWB2" i="1"/>
  <c r="AWA2" i="1"/>
  <c r="AVZ2" i="1"/>
  <c r="AVY2" i="1"/>
  <c r="AVX2" i="1"/>
  <c r="AVW2" i="1"/>
  <c r="AVV2" i="1"/>
  <c r="AVU2" i="1"/>
  <c r="AVT2" i="1"/>
  <c r="AVS2" i="1"/>
  <c r="AVQ2" i="1"/>
  <c r="AVO2" i="1"/>
  <c r="AVN2" i="1"/>
  <c r="AVM2" i="1"/>
  <c r="AVL2" i="1"/>
  <c r="AVJ2" i="1"/>
  <c r="AVI2" i="1"/>
  <c r="AVG2" i="1"/>
  <c r="AVF2" i="1"/>
  <c r="AVD2" i="1"/>
  <c r="AVC2" i="1"/>
  <c r="AVB2" i="1"/>
  <c r="AVA2" i="1"/>
  <c r="AUZ2" i="1"/>
  <c r="AUV2" i="1"/>
  <c r="AUU2" i="1"/>
  <c r="AUT2" i="1"/>
  <c r="AUS2" i="1"/>
  <c r="AUR2" i="1"/>
  <c r="AUQ2" i="1"/>
  <c r="AUP2" i="1"/>
  <c r="AUO2" i="1"/>
  <c r="AUM2" i="1"/>
  <c r="ATZ2" i="1"/>
  <c r="ATY2" i="1"/>
  <c r="ATX2" i="1"/>
  <c r="ATW2" i="1"/>
  <c r="ATV2" i="1"/>
  <c r="ATU2" i="1"/>
  <c r="ATT2" i="1"/>
  <c r="ATS2" i="1"/>
  <c r="ATR2" i="1"/>
  <c r="ATQ2" i="1"/>
  <c r="ATP2" i="1"/>
  <c r="ATO2" i="1"/>
  <c r="ATN2" i="1"/>
  <c r="ATL2" i="1"/>
  <c r="ATK2" i="1"/>
  <c r="ATJ2" i="1"/>
  <c r="ATI2" i="1"/>
  <c r="ATF2" i="1"/>
  <c r="ATE2" i="1"/>
  <c r="ATD2" i="1"/>
  <c r="ATC2" i="1"/>
  <c r="ATB2" i="1"/>
  <c r="ATA2" i="1"/>
  <c r="ASZ2" i="1"/>
  <c r="ASV2" i="1"/>
  <c r="AST2" i="1"/>
  <c r="ASP2" i="1"/>
  <c r="ASO2" i="1"/>
  <c r="ASN2" i="1"/>
  <c r="ASM2" i="1"/>
  <c r="ASL2" i="1"/>
  <c r="ASK2" i="1"/>
  <c r="ASJ2" i="1"/>
  <c r="ASD2" i="1"/>
  <c r="ASC2" i="1"/>
  <c r="ASB2" i="1"/>
  <c r="ARZ2" i="1"/>
  <c r="ARY2" i="1"/>
  <c r="ARX2" i="1"/>
  <c r="ARU2" i="1"/>
  <c r="ART2" i="1"/>
  <c r="ARS2" i="1"/>
  <c r="ARR2" i="1"/>
  <c r="ARL2" i="1"/>
  <c r="ARJ2" i="1"/>
  <c r="ARC2" i="1"/>
  <c r="ARB2" i="1"/>
  <c r="ARA2" i="1"/>
  <c r="AQZ2" i="1"/>
  <c r="AQT2" i="1"/>
  <c r="AQS2" i="1"/>
  <c r="AQR2" i="1"/>
  <c r="AQP2" i="1"/>
  <c r="AQO2" i="1"/>
  <c r="AQN2" i="1"/>
  <c r="AQM2" i="1"/>
  <c r="AQL2" i="1"/>
  <c r="AQK2" i="1"/>
  <c r="AQJ2" i="1"/>
  <c r="AQI2" i="1"/>
  <c r="AQH2" i="1"/>
  <c r="AQC2" i="1"/>
  <c r="AQB2" i="1"/>
  <c r="APZ2" i="1"/>
  <c r="APV2" i="1"/>
  <c r="APU2" i="1"/>
  <c r="APT2" i="1"/>
  <c r="APS2" i="1"/>
  <c r="APR2" i="1"/>
  <c r="APQ2" i="1"/>
  <c r="APP2" i="1"/>
  <c r="APK2" i="1"/>
  <c r="APJ2" i="1"/>
  <c r="APH2" i="1"/>
  <c r="APD2" i="1"/>
  <c r="APC2" i="1"/>
  <c r="APB2" i="1"/>
  <c r="APA2" i="1"/>
  <c r="AOZ2" i="1"/>
  <c r="AOY2" i="1"/>
  <c r="AOX2" i="1"/>
  <c r="AOS2" i="1"/>
  <c r="AOR2" i="1"/>
  <c r="AOP2" i="1"/>
  <c r="AOL2" i="1"/>
  <c r="AOK2" i="1"/>
  <c r="AOJ2" i="1"/>
  <c r="AOI2" i="1"/>
  <c r="AOH2" i="1"/>
  <c r="AOG2" i="1"/>
  <c r="AOF2" i="1"/>
  <c r="ANZ2" i="1"/>
  <c r="ANY2" i="1"/>
  <c r="ANX2" i="1"/>
  <c r="ANW2" i="1"/>
  <c r="ANV2" i="1"/>
  <c r="ANU2" i="1"/>
  <c r="ANT2" i="1"/>
  <c r="ANQ2" i="1"/>
  <c r="ANP2" i="1"/>
  <c r="ANO2" i="1"/>
  <c r="ANN2" i="1"/>
  <c r="ANH2" i="1"/>
  <c r="ANF2" i="1"/>
  <c r="ANB2" i="1"/>
  <c r="ANA2" i="1"/>
  <c r="AMZ2" i="1"/>
  <c r="AMY2" i="1"/>
  <c r="AMX2" i="1"/>
  <c r="AMW2" i="1"/>
  <c r="AMV2" i="1"/>
  <c r="AMP2" i="1"/>
  <c r="AMO2" i="1"/>
  <c r="AMN2" i="1"/>
  <c r="AMM2" i="1"/>
  <c r="AML2" i="1"/>
  <c r="AMK2" i="1"/>
  <c r="AMJ2" i="1"/>
  <c r="AMG2" i="1"/>
  <c r="AMF2" i="1"/>
  <c r="AME2" i="1"/>
  <c r="AMD2" i="1"/>
  <c r="ALX2" i="1"/>
  <c r="ALV2" i="1"/>
  <c r="ALO2" i="1"/>
  <c r="ALN2" i="1"/>
  <c r="ALM2" i="1"/>
  <c r="ALL2" i="1"/>
  <c r="ALF2" i="1"/>
  <c r="ALD2" i="1"/>
  <c r="ALA2" i="1"/>
  <c r="AKZ2" i="1"/>
  <c r="AKY2" i="1"/>
  <c r="AKX2" i="1"/>
  <c r="AKW2" i="1"/>
  <c r="AKV2" i="1"/>
  <c r="AKU2" i="1"/>
  <c r="AKT2" i="1"/>
  <c r="AKO2" i="1"/>
  <c r="AKN2" i="1"/>
  <c r="AKL2" i="1"/>
  <c r="AKH2" i="1"/>
  <c r="AKF2" i="1"/>
  <c r="AKE2" i="1"/>
  <c r="AKD2" i="1"/>
  <c r="AKC2" i="1"/>
  <c r="AKB2" i="1"/>
  <c r="AJW2" i="1"/>
  <c r="AJV2" i="1"/>
  <c r="AJT2" i="1"/>
  <c r="AJP2" i="1"/>
  <c r="AJO2" i="1"/>
  <c r="AJN2" i="1"/>
  <c r="AJM2" i="1"/>
  <c r="AJL2" i="1"/>
  <c r="AJK2" i="1"/>
  <c r="AJJ2" i="1"/>
  <c r="AJE2" i="1"/>
  <c r="AJD2" i="1"/>
  <c r="AJB2" i="1"/>
  <c r="AIX2" i="1"/>
  <c r="AIW2" i="1"/>
  <c r="AIV2" i="1"/>
  <c r="AIU2" i="1"/>
  <c r="AIT2" i="1"/>
  <c r="AIS2" i="1"/>
  <c r="AIR2" i="1"/>
  <c r="AIL2" i="1"/>
  <c r="AIK2" i="1"/>
  <c r="AIJ2" i="1"/>
  <c r="AII2" i="1"/>
  <c r="AIH2" i="1"/>
  <c r="AIG2" i="1"/>
  <c r="AIF2" i="1"/>
  <c r="AIC2" i="1"/>
  <c r="AIB2" i="1"/>
  <c r="AIA2" i="1"/>
  <c r="AHZ2" i="1"/>
  <c r="AHT2" i="1"/>
  <c r="AHR2" i="1"/>
  <c r="AHN2" i="1"/>
  <c r="AHM2" i="1"/>
  <c r="AHL2" i="1"/>
  <c r="AHK2" i="1"/>
  <c r="AHJ2" i="1"/>
  <c r="AHI2" i="1"/>
  <c r="AHH2" i="1"/>
  <c r="AHB2" i="1"/>
  <c r="AGZ2" i="1"/>
  <c r="AGW2" i="1"/>
  <c r="AGV2" i="1"/>
  <c r="AGS2" i="1"/>
  <c r="AGR2" i="1"/>
  <c r="AGQ2" i="1"/>
  <c r="AGP2" i="1"/>
  <c r="AGJ2" i="1"/>
  <c r="AGH2" i="1"/>
  <c r="AGA2" i="1"/>
  <c r="AFZ2" i="1"/>
  <c r="AFY2" i="1"/>
  <c r="AFX2" i="1"/>
  <c r="AFR2" i="1"/>
  <c r="AFP2" i="1"/>
  <c r="AFM2" i="1"/>
  <c r="AFL2" i="1"/>
  <c r="AFK2" i="1"/>
  <c r="AFJ2" i="1"/>
  <c r="AFI2" i="1"/>
  <c r="AFH2" i="1"/>
  <c r="AFG2" i="1"/>
  <c r="AFF2" i="1"/>
  <c r="AFC2" i="1"/>
  <c r="AFB2" i="1"/>
  <c r="AFA2" i="1"/>
  <c r="AEZ2" i="1"/>
  <c r="AEY2" i="1"/>
  <c r="AEX2" i="1"/>
  <c r="AEV2" i="1"/>
  <c r="AEU2" i="1"/>
  <c r="AET2" i="1"/>
  <c r="AES2" i="1"/>
  <c r="AER2" i="1"/>
  <c r="AEQ2" i="1"/>
  <c r="AEP2" i="1"/>
  <c r="AEO2" i="1"/>
  <c r="AEN2" i="1"/>
  <c r="AEI2" i="1"/>
  <c r="AEH2" i="1"/>
  <c r="AEF2" i="1"/>
  <c r="AEB2" i="1"/>
  <c r="AEA2" i="1"/>
  <c r="ADZ2" i="1"/>
  <c r="ADY2" i="1"/>
  <c r="ADX2" i="1"/>
  <c r="ADW2" i="1"/>
  <c r="ADV2" i="1"/>
  <c r="ADQ2" i="1"/>
  <c r="ADP2" i="1"/>
  <c r="ADN2" i="1"/>
  <c r="ADJ2" i="1"/>
  <c r="ADI2" i="1"/>
  <c r="ADH2" i="1"/>
  <c r="ADG2" i="1"/>
  <c r="ADF2" i="1"/>
  <c r="ADE2" i="1"/>
  <c r="ADD2" i="1"/>
  <c r="ACX2" i="1"/>
  <c r="ACW2" i="1"/>
  <c r="ACV2" i="1"/>
  <c r="ACT2" i="1"/>
  <c r="ACR2" i="1"/>
  <c r="ACO2" i="1"/>
  <c r="ACN2" i="1"/>
  <c r="ACM2" i="1"/>
  <c r="ACL2" i="1"/>
  <c r="ACF2" i="1"/>
  <c r="ACD2" i="1"/>
  <c r="ABZ2" i="1"/>
  <c r="ABY2" i="1"/>
  <c r="ABX2" i="1"/>
  <c r="ABW2" i="1"/>
  <c r="ABV2" i="1"/>
  <c r="ABU2" i="1"/>
  <c r="ABT2" i="1"/>
  <c r="ABN2" i="1"/>
  <c r="ABM2" i="1"/>
  <c r="ABL2" i="1"/>
  <c r="ABK2" i="1"/>
  <c r="ABJ2" i="1"/>
  <c r="ABI2" i="1"/>
  <c r="ABH2" i="1"/>
  <c r="ABE2" i="1"/>
  <c r="ABD2" i="1"/>
  <c r="ABC2" i="1"/>
  <c r="ABB2" i="1"/>
  <c r="AAV2" i="1"/>
  <c r="AAT2" i="1"/>
  <c r="AAM2" i="1"/>
  <c r="AAL2" i="1"/>
  <c r="AAK2" i="1"/>
  <c r="AAJ2" i="1"/>
  <c r="AAD2" i="1"/>
  <c r="AAB2" i="1"/>
  <c r="ZY2" i="1"/>
  <c r="ZX2" i="1"/>
  <c r="ZW2" i="1"/>
  <c r="ZV2" i="1"/>
  <c r="ZU2" i="1"/>
  <c r="ZT2" i="1"/>
  <c r="ZS2" i="1"/>
  <c r="ZR2" i="1"/>
  <c r="ZM2" i="1"/>
  <c r="ZL2" i="1"/>
  <c r="ZJ2" i="1"/>
  <c r="ZF2" i="1"/>
  <c r="ZD2" i="1"/>
  <c r="ZC2" i="1"/>
  <c r="ZB2" i="1"/>
  <c r="ZA2" i="1"/>
  <c r="YZ2" i="1"/>
  <c r="YU2" i="1"/>
  <c r="YT2" i="1"/>
  <c r="YR2" i="1"/>
  <c r="YN2" i="1"/>
  <c r="YM2" i="1"/>
  <c r="YL2" i="1"/>
  <c r="YK2" i="1"/>
  <c r="YJ2" i="1"/>
  <c r="YI2" i="1"/>
  <c r="YH2" i="1"/>
  <c r="YC2" i="1"/>
  <c r="YB2" i="1"/>
  <c r="XZ2" i="1"/>
  <c r="XV2" i="1"/>
  <c r="XU2" i="1"/>
  <c r="XT2" i="1"/>
  <c r="XS2" i="1"/>
  <c r="XR2" i="1"/>
  <c r="XQ2" i="1"/>
  <c r="XP2" i="1"/>
  <c r="XJ2" i="1"/>
  <c r="XI2" i="1"/>
  <c r="XH2" i="1"/>
  <c r="XG2" i="1"/>
  <c r="XF2" i="1"/>
  <c r="XE2" i="1"/>
  <c r="XD2" i="1"/>
  <c r="XA2" i="1"/>
  <c r="WZ2" i="1"/>
  <c r="WY2" i="1"/>
  <c r="WX2" i="1"/>
  <c r="WR2" i="1"/>
  <c r="WP2" i="1"/>
  <c r="WL2" i="1"/>
  <c r="WK2" i="1"/>
  <c r="WJ2" i="1"/>
  <c r="WI2" i="1"/>
  <c r="WH2" i="1"/>
  <c r="WG2" i="1"/>
  <c r="WF2" i="1"/>
  <c r="VZ2" i="1"/>
  <c r="VY2" i="1"/>
  <c r="VW2" i="1"/>
  <c r="VV2" i="1"/>
  <c r="VU2" i="1"/>
  <c r="VT2" i="1"/>
  <c r="VQ2" i="1"/>
  <c r="VP2" i="1"/>
  <c r="VO2" i="1"/>
  <c r="VJ2" i="1"/>
  <c r="VF2" i="1"/>
  <c r="VE2" i="1"/>
  <c r="VD2" i="1"/>
  <c r="VC2" i="1"/>
  <c r="VA2" i="1"/>
  <c r="UY2" i="1"/>
  <c r="UX2" i="1"/>
  <c r="UW2" i="1"/>
  <c r="UV2" i="1"/>
  <c r="UU2" i="1"/>
  <c r="UT2" i="1"/>
  <c r="US2" i="1"/>
  <c r="UR2" i="1"/>
  <c r="UQ2" i="1"/>
  <c r="UN2" i="1"/>
  <c r="UM2" i="1"/>
  <c r="UL2" i="1"/>
  <c r="UK2" i="1"/>
  <c r="UG2" i="1"/>
  <c r="UD2" i="1"/>
  <c r="UC2" i="1"/>
  <c r="UB2" i="1"/>
  <c r="TY2" i="1"/>
  <c r="TX2" i="1"/>
  <c r="TW2" i="1"/>
  <c r="TV2" i="1"/>
  <c r="TR2" i="1"/>
  <c r="TL2" i="1"/>
  <c r="TK2" i="1"/>
  <c r="TJ2" i="1"/>
  <c r="TI2" i="1"/>
  <c r="TH2" i="1"/>
  <c r="TG2" i="1"/>
  <c r="TF2" i="1"/>
  <c r="TE2" i="1"/>
  <c r="TD2" i="1"/>
  <c r="TC2" i="1"/>
  <c r="TB2" i="1"/>
  <c r="TA2" i="1"/>
  <c r="SZ2" i="1"/>
  <c r="SY2" i="1"/>
  <c r="SN2" i="1"/>
  <c r="SL2" i="1"/>
  <c r="SK2" i="1"/>
  <c r="SJ2" i="1"/>
  <c r="SH2" i="1"/>
  <c r="SG2" i="1"/>
  <c r="SF2" i="1"/>
  <c r="SE2" i="1"/>
  <c r="SD2" i="1"/>
  <c r="RZ2" i="1"/>
  <c r="RY2" i="1"/>
  <c r="RX2" i="1"/>
  <c r="RW2" i="1"/>
  <c r="RV2" i="1"/>
  <c r="RU2" i="1"/>
  <c r="RT2" i="1"/>
  <c r="RS2" i="1"/>
  <c r="RR2" i="1"/>
  <c r="RQ2" i="1"/>
  <c r="RP2" i="1"/>
  <c r="RO2" i="1"/>
  <c r="RN2" i="1"/>
  <c r="RM2" i="1"/>
  <c r="RL2" i="1"/>
  <c r="RK2" i="1"/>
  <c r="RI2" i="1"/>
  <c r="RH2" i="1"/>
  <c r="RG2" i="1"/>
  <c r="RF2" i="1"/>
  <c r="RE2" i="1"/>
  <c r="RD2" i="1"/>
  <c r="RC2" i="1"/>
  <c r="RB2" i="1"/>
  <c r="QZ2" i="1"/>
  <c r="QE2" i="1"/>
  <c r="QD2" i="1"/>
  <c r="QC2" i="1"/>
  <c r="PZ2" i="1"/>
  <c r="PY2" i="1"/>
  <c r="PX2" i="1"/>
  <c r="PW2" i="1"/>
  <c r="PV2" i="1"/>
  <c r="PT2" i="1"/>
  <c r="PS2" i="1"/>
  <c r="PR2" i="1"/>
  <c r="PQ2" i="1"/>
  <c r="PP2" i="1"/>
  <c r="PO2" i="1"/>
  <c r="PN2" i="1"/>
  <c r="PM2" i="1"/>
  <c r="PL2" i="1"/>
  <c r="PK2" i="1"/>
  <c r="PJ2" i="1"/>
  <c r="PI2" i="1"/>
  <c r="PH2" i="1"/>
  <c r="PG2" i="1"/>
  <c r="PF2" i="1"/>
  <c r="PE2" i="1"/>
  <c r="PD2" i="1"/>
  <c r="PC2" i="1"/>
  <c r="PB2" i="1"/>
  <c r="PA2" i="1"/>
  <c r="OZ2" i="1"/>
  <c r="OR2" i="1"/>
  <c r="OQ2" i="1"/>
  <c r="ON2" i="1"/>
  <c r="OK2" i="1"/>
  <c r="OJ2" i="1"/>
  <c r="OI2" i="1"/>
  <c r="OH2" i="1"/>
  <c r="OG2" i="1"/>
  <c r="OF2" i="1"/>
  <c r="OB2" i="1"/>
  <c r="NX2" i="1"/>
  <c r="NW2" i="1"/>
  <c r="NV2" i="1"/>
  <c r="NT2" i="1"/>
  <c r="NP2" i="1"/>
  <c r="NO2" i="1"/>
  <c r="NN2" i="1"/>
  <c r="NK2" i="1"/>
  <c r="NJ2" i="1"/>
  <c r="NI2" i="1"/>
  <c r="NH2" i="1"/>
  <c r="NG2" i="1"/>
  <c r="NF2" i="1"/>
  <c r="NE2" i="1"/>
  <c r="ND2" i="1"/>
  <c r="NC2" i="1"/>
  <c r="NB2" i="1"/>
  <c r="NA2" i="1"/>
  <c r="MZ2" i="1"/>
  <c r="MY2" i="1"/>
  <c r="MX2" i="1"/>
  <c r="MW2" i="1"/>
  <c r="MV2" i="1"/>
  <c r="MU2" i="1"/>
  <c r="MT2" i="1"/>
  <c r="MF2" i="1"/>
  <c r="LM2" i="1"/>
  <c r="LL2" i="1"/>
  <c r="LK2" i="1"/>
  <c r="LI2" i="1"/>
  <c r="LH2" i="1"/>
  <c r="LG2" i="1"/>
  <c r="LE2" i="1"/>
  <c r="LC2" i="1"/>
  <c r="LB2" i="1"/>
  <c r="LA2" i="1"/>
  <c r="KZ2" i="1"/>
  <c r="KY2" i="1"/>
  <c r="KX2" i="1"/>
  <c r="KW2" i="1"/>
  <c r="KV2" i="1"/>
  <c r="KU2" i="1"/>
  <c r="KT2" i="1"/>
  <c r="KS2" i="1"/>
  <c r="KR2" i="1"/>
  <c r="KQ2" i="1"/>
  <c r="KP2" i="1"/>
  <c r="KO2" i="1"/>
  <c r="KN2" i="1"/>
  <c r="KM2" i="1"/>
  <c r="KL2" i="1"/>
  <c r="KK2" i="1"/>
  <c r="KJ2" i="1"/>
  <c r="KI2" i="1"/>
  <c r="KH2" i="1"/>
  <c r="KG2" i="1"/>
  <c r="KF2" i="1"/>
  <c r="KE2" i="1"/>
  <c r="KD2" i="1"/>
  <c r="KC2" i="1"/>
  <c r="KB2" i="1"/>
  <c r="KA2" i="1"/>
  <c r="JZ2" i="1"/>
  <c r="JY2" i="1"/>
  <c r="JX2" i="1"/>
  <c r="JW2" i="1"/>
  <c r="JV2" i="1"/>
  <c r="JU2" i="1"/>
  <c r="JT2" i="1"/>
  <c r="JS2" i="1"/>
  <c r="JR2" i="1"/>
  <c r="JQ2" i="1"/>
  <c r="JP2" i="1"/>
  <c r="JO2" i="1"/>
  <c r="JN2" i="1"/>
  <c r="JM2" i="1"/>
  <c r="JL2" i="1"/>
  <c r="JK2" i="1"/>
  <c r="JJ2" i="1"/>
  <c r="JI2" i="1"/>
  <c r="JH2" i="1"/>
  <c r="IV2" i="1"/>
  <c r="IT2" i="1"/>
  <c r="IS2" i="1"/>
  <c r="IR2" i="1"/>
  <c r="IQ2" i="1"/>
  <c r="IP2" i="1"/>
  <c r="IO2" i="1"/>
  <c r="IN2" i="1"/>
  <c r="HN2" i="1"/>
  <c r="HM2" i="1"/>
  <c r="HI2" i="1"/>
  <c r="HH2" i="1"/>
  <c r="HG2" i="1"/>
  <c r="HF2" i="1"/>
  <c r="HE2" i="1"/>
  <c r="HD2" i="1"/>
  <c r="GZ2" i="1"/>
  <c r="GU2" i="1"/>
  <c r="GT2" i="1"/>
  <c r="GR2" i="1"/>
  <c r="GQ2" i="1"/>
  <c r="GO2" i="1"/>
  <c r="GN2" i="1"/>
  <c r="GM2" i="1"/>
  <c r="GL2" i="1"/>
  <c r="GK2" i="1"/>
  <c r="GI2" i="1"/>
  <c r="GG2" i="1"/>
  <c r="GF2" i="1"/>
  <c r="GE2" i="1"/>
  <c r="GD2" i="1"/>
  <c r="GC2" i="1"/>
  <c r="GA2" i="1"/>
  <c r="FZ2" i="1"/>
  <c r="FY2" i="1"/>
  <c r="FX2" i="1"/>
  <c r="FW2" i="1"/>
  <c r="FV2" i="1"/>
  <c r="FU2" i="1"/>
  <c r="FR2" i="1"/>
  <c r="FQ2" i="1"/>
  <c r="FP2" i="1"/>
  <c r="FM2" i="1"/>
  <c r="FL2" i="1"/>
  <c r="FK2" i="1"/>
  <c r="FJ2" i="1"/>
  <c r="FH2" i="1"/>
  <c r="FC2" i="1"/>
  <c r="EY2" i="1"/>
  <c r="EX2" i="1"/>
  <c r="EV2" i="1"/>
  <c r="EU2" i="1"/>
  <c r="ES2" i="1"/>
  <c r="ER2" i="1"/>
  <c r="EQ2" i="1"/>
  <c r="EP2" i="1"/>
  <c r="EO2" i="1"/>
  <c r="EM2" i="1"/>
  <c r="EK2" i="1"/>
  <c r="EJ2" i="1"/>
  <c r="EI2" i="1"/>
  <c r="EH2" i="1"/>
  <c r="EG2" i="1"/>
  <c r="EE2" i="1"/>
  <c r="ED2" i="1"/>
  <c r="EC2" i="1"/>
  <c r="EB2" i="1"/>
  <c r="EA2" i="1"/>
  <c r="DZ2" i="1"/>
  <c r="DV2" i="1"/>
  <c r="DU2" i="1"/>
  <c r="DT2" i="1"/>
  <c r="DS2" i="1"/>
  <c r="DQ2" i="1"/>
  <c r="DP2" i="1"/>
  <c r="DO2" i="1"/>
  <c r="DN2" i="1"/>
  <c r="DM2" i="1"/>
  <c r="DL2" i="1"/>
  <c r="DI2" i="1"/>
  <c r="DH2" i="1"/>
  <c r="DG2" i="1"/>
  <c r="DF2" i="1"/>
  <c r="DC2" i="1"/>
  <c r="DB2" i="1"/>
  <c r="DA2" i="1"/>
  <c r="CZ2" i="1"/>
  <c r="CY2" i="1"/>
  <c r="CX2" i="1"/>
  <c r="CW2" i="1"/>
  <c r="CV2" i="1"/>
  <c r="CU2" i="1"/>
  <c r="CT2" i="1"/>
  <c r="CS2" i="1"/>
  <c r="CR2" i="1"/>
  <c r="CQ2" i="1"/>
  <c r="CP2" i="1"/>
  <c r="CO2" i="1"/>
  <c r="CN2" i="1"/>
  <c r="CM2" i="1"/>
  <c r="CL2" i="1"/>
  <c r="CK2" i="1"/>
  <c r="CJ2" i="1"/>
  <c r="CI2" i="1"/>
  <c r="CH2" i="1"/>
  <c r="CG2" i="1"/>
  <c r="CF2" i="1"/>
  <c r="CE2" i="1"/>
  <c r="CD2" i="1"/>
  <c r="CC2" i="1"/>
  <c r="BZ2" i="1"/>
  <c r="BY2" i="1"/>
  <c r="BX2" i="1"/>
  <c r="BW2" i="1"/>
  <c r="BU2" i="1"/>
  <c r="BT2" i="1"/>
  <c r="BS2" i="1"/>
  <c r="BR2" i="1"/>
  <c r="BP2" i="1"/>
  <c r="BM2" i="1"/>
  <c r="BL2" i="1"/>
  <c r="BK2" i="1"/>
  <c r="BG2" i="1"/>
  <c r="BF2" i="1"/>
  <c r="BE2" i="1"/>
  <c r="BD2" i="1"/>
  <c r="BC2" i="1"/>
  <c r="BA2" i="1"/>
  <c r="AZ2" i="1"/>
  <c r="AY2" i="1"/>
  <c r="AX2" i="1"/>
  <c r="AW2" i="1"/>
  <c r="AV2" i="1"/>
  <c r="AU2" i="1"/>
  <c r="AT2" i="1"/>
  <c r="AS2" i="1"/>
  <c r="AR2" i="1"/>
  <c r="AQ2" i="1"/>
  <c r="AP2" i="1"/>
  <c r="AO2" i="1"/>
  <c r="AN2" i="1"/>
  <c r="AM2" i="1"/>
  <c r="AL2" i="1"/>
  <c r="AK2" i="1"/>
  <c r="AJ2" i="1"/>
  <c r="AI2" i="1"/>
  <c r="AH2" i="1"/>
  <c r="AG2" i="1"/>
  <c r="AE2" i="1"/>
  <c r="AD2" i="1"/>
  <c r="AC2" i="1"/>
  <c r="AB2" i="1"/>
  <c r="AA2" i="1"/>
  <c r="Z2" i="1"/>
  <c r="Y2" i="1"/>
  <c r="U2" i="1"/>
  <c r="T2" i="1"/>
  <c r="S2" i="1"/>
  <c r="R2" i="1"/>
  <c r="Q2" i="1"/>
  <c r="P2" i="1"/>
  <c r="O2" i="1"/>
  <c r="N2" i="1"/>
  <c r="M2" i="1"/>
  <c r="L2" i="1"/>
  <c r="K2" i="1"/>
  <c r="J2" i="1"/>
  <c r="I2" i="1"/>
  <c r="H2" i="1"/>
  <c r="G2" i="1"/>
  <c r="F2" i="1"/>
  <c r="E2" i="1"/>
  <c r="D2" i="1"/>
  <c r="C2" i="1"/>
  <c r="B2" i="1"/>
  <c r="AE16" i="28" l="1"/>
  <c r="AE22" i="28" s="1"/>
  <c r="D9" i="4"/>
  <c r="VN2" i="1"/>
  <c r="Q64" i="27"/>
  <c r="U62" i="27" s="1"/>
  <c r="AE16" i="27"/>
  <c r="AE22" i="27" s="1"/>
  <c r="I90" i="27"/>
  <c r="VH2" i="1"/>
  <c r="HA2" i="1"/>
  <c r="GX2" i="1"/>
  <c r="GY2" i="1"/>
  <c r="AVP2" i="1"/>
  <c r="HJ2" i="1"/>
  <c r="HL2" i="1"/>
  <c r="HC2" i="1"/>
  <c r="FO2" i="1"/>
  <c r="BO2" i="1"/>
  <c r="HK2" i="1"/>
  <c r="BJ2" i="1"/>
  <c r="FB2" i="1"/>
  <c r="GS2" i="1"/>
  <c r="GP2" i="1"/>
  <c r="EW2" i="1"/>
  <c r="LW2" i="1"/>
  <c r="GJ2" i="1"/>
  <c r="EN2" i="1"/>
  <c r="EL2" i="1"/>
  <c r="GH2" i="1"/>
  <c r="DK2" i="1"/>
  <c r="FN2" i="1"/>
  <c r="ET2" i="1"/>
  <c r="A2" i="1"/>
  <c r="CN6" i="2"/>
  <c r="CO6" i="2" s="1"/>
  <c r="CQ6" i="2" s="1"/>
  <c r="AYK2" i="1"/>
  <c r="LJ2" i="1"/>
  <c r="AUG2" i="1"/>
  <c r="AUF2" i="1"/>
  <c r="AUL2" i="1"/>
  <c r="AUJ2" i="1"/>
  <c r="AUH2" i="1"/>
  <c r="FI2" i="1"/>
  <c r="V2" i="1"/>
  <c r="DY2" i="1"/>
  <c r="QF2" i="1"/>
  <c r="E25" i="14"/>
  <c r="VX2" i="1" s="1"/>
  <c r="E3" i="14"/>
  <c r="TU2" i="1"/>
  <c r="SI2" i="1"/>
  <c r="AC19" i="14"/>
  <c r="AC18" i="14"/>
  <c r="AUE2" i="1"/>
  <c r="OD2" i="1"/>
  <c r="TP2" i="1"/>
  <c r="VK2" i="1"/>
  <c r="TZ2" i="1"/>
  <c r="E5" i="14"/>
  <c r="AUD2" i="1"/>
  <c r="EF2" i="1"/>
  <c r="OM2" i="1"/>
  <c r="AUI2" i="1"/>
  <c r="BM29" i="14"/>
  <c r="TS2" i="1"/>
  <c r="AM19" i="14"/>
  <c r="AM18" i="14"/>
  <c r="UI2" i="1"/>
  <c r="AK14" i="14"/>
  <c r="AGU2" i="1" s="1"/>
  <c r="O18" i="14"/>
  <c r="O19" i="14"/>
  <c r="AE20" i="14"/>
  <c r="AEW2" i="1" s="1"/>
  <c r="AU18" i="14"/>
  <c r="AU19" i="14"/>
  <c r="BK18" i="14"/>
  <c r="BK19" i="14"/>
  <c r="BM20" i="14"/>
  <c r="AQQ2" i="1" s="1"/>
  <c r="AK20" i="14"/>
  <c r="AGY2" i="1" s="1"/>
  <c r="BQ20" i="14"/>
  <c r="ASA2" i="1" s="1"/>
  <c r="U13" i="14"/>
  <c r="ABF2" i="1" s="1"/>
  <c r="BA13" i="14"/>
  <c r="AMH2" i="1" s="1"/>
  <c r="AG19" i="14"/>
  <c r="Q28" i="14"/>
  <c r="AAE2" i="1" s="1"/>
  <c r="AG28" i="14"/>
  <c r="AFS2" i="1" s="1"/>
  <c r="AW28" i="14"/>
  <c r="ALG2" i="1" s="1"/>
  <c r="BM28" i="14"/>
  <c r="AQU2" i="1" s="1"/>
  <c r="AUK2" i="1"/>
  <c r="S17" i="14"/>
  <c r="S13" i="14"/>
  <c r="AI17" i="14"/>
  <c r="AI13" i="14"/>
  <c r="AGB2" i="1" s="1"/>
  <c r="AY17" i="14"/>
  <c r="AY13" i="14"/>
  <c r="ALP2" i="1" s="1"/>
  <c r="BO17" i="14"/>
  <c r="BO13" i="14"/>
  <c r="G19" i="14"/>
  <c r="G18" i="14"/>
  <c r="AS19" i="14"/>
  <c r="AS18" i="14"/>
  <c r="AK19" i="14"/>
  <c r="TM2" i="1"/>
  <c r="G9" i="14"/>
  <c r="W9" i="14"/>
  <c r="AM9" i="14"/>
  <c r="BC9" i="14"/>
  <c r="BS9" i="14"/>
  <c r="BC19" i="14"/>
  <c r="BC18" i="14"/>
  <c r="Y18" i="14"/>
  <c r="E28" i="14"/>
  <c r="WA2" i="1" s="1"/>
  <c r="U28" i="14"/>
  <c r="ABO2" i="1" s="1"/>
  <c r="BA28" i="14"/>
  <c r="AMQ2" i="1" s="1"/>
  <c r="O14" i="14"/>
  <c r="ZE2" i="1" s="1"/>
  <c r="AU14" i="14"/>
  <c r="AKG2" i="1" s="1"/>
  <c r="M19" i="14"/>
  <c r="M18" i="14"/>
  <c r="AW19" i="14"/>
  <c r="AW20" i="14" s="1"/>
  <c r="ALC2" i="1" s="1"/>
  <c r="G28" i="14"/>
  <c r="WS2" i="1" s="1"/>
  <c r="W28" i="14"/>
  <c r="ACG2" i="1" s="1"/>
  <c r="AM28" i="14"/>
  <c r="AHU2" i="1" s="1"/>
  <c r="BC28" i="14"/>
  <c r="ANI2" i="1" s="1"/>
  <c r="BS28" i="14"/>
  <c r="ASW2" i="1" s="1"/>
  <c r="I13" i="14"/>
  <c r="Y13" i="14"/>
  <c r="AO13" i="14"/>
  <c r="BE13" i="14"/>
  <c r="BE14" i="14" s="1"/>
  <c r="ANS2" i="1" s="1"/>
  <c r="E13" i="14"/>
  <c r="VR2" i="1" s="1"/>
  <c r="AK13" i="14"/>
  <c r="AGT2" i="1" s="1"/>
  <c r="BQ13" i="14"/>
  <c r="ARV2" i="1" s="1"/>
  <c r="W19" i="14"/>
  <c r="W18" i="14"/>
  <c r="BI19" i="14"/>
  <c r="BI18" i="14"/>
  <c r="BAC2" i="1"/>
  <c r="M9" i="14"/>
  <c r="AC9" i="14"/>
  <c r="AS9" i="14"/>
  <c r="BI9" i="14"/>
  <c r="S14" i="14"/>
  <c r="AAO2" i="1" s="1"/>
  <c r="AI14" i="14"/>
  <c r="AGC2" i="1" s="1"/>
  <c r="BO14" i="14"/>
  <c r="ARE2" i="1" s="1"/>
  <c r="K19" i="14"/>
  <c r="K18" i="14"/>
  <c r="AA19" i="14"/>
  <c r="AA18" i="14"/>
  <c r="AQ19" i="14"/>
  <c r="AQ18" i="14"/>
  <c r="BG19" i="14"/>
  <c r="BG18" i="14"/>
  <c r="BS19" i="14"/>
  <c r="BS18" i="14"/>
  <c r="Q19" i="14"/>
  <c r="AYW2" i="1"/>
  <c r="ATM2" i="1"/>
  <c r="Q62" i="27" l="1"/>
  <c r="AE14" i="28"/>
  <c r="AE14" i="27"/>
  <c r="AUX2" i="1"/>
  <c r="DD2" i="1"/>
  <c r="FA2" i="1"/>
  <c r="BI2" i="1"/>
  <c r="FT2" i="1"/>
  <c r="FG2" i="1"/>
  <c r="S19" i="14"/>
  <c r="S18" i="14"/>
  <c r="AAP2" i="1"/>
  <c r="AG26" i="14"/>
  <c r="AFN2" i="1"/>
  <c r="UF2" i="1"/>
  <c r="AF2" i="1"/>
  <c r="Y20" i="14"/>
  <c r="ACU2" i="1" s="1"/>
  <c r="ACS2" i="1"/>
  <c r="BO28" i="14"/>
  <c r="ARM2" i="1" s="1"/>
  <c r="ARD2" i="1"/>
  <c r="RJ2" i="1"/>
  <c r="BQ14" i="14"/>
  <c r="ARW2" i="1" s="1"/>
  <c r="UJ2" i="1"/>
  <c r="SA2" i="1"/>
  <c r="OE2" i="1"/>
  <c r="AC26" i="14"/>
  <c r="AED2" i="1"/>
  <c r="LF2" i="1"/>
  <c r="BS20" i="14"/>
  <c r="ASS2" i="1" s="1"/>
  <c r="ASQ2" i="1"/>
  <c r="K20" i="14"/>
  <c r="XY2" i="1" s="1"/>
  <c r="XW2" i="1"/>
  <c r="BS26" i="14"/>
  <c r="ASR2" i="1"/>
  <c r="K26" i="14"/>
  <c r="XX2" i="1"/>
  <c r="BC20" i="14"/>
  <c r="ANE2" i="1" s="1"/>
  <c r="ANC2" i="1"/>
  <c r="BO19" i="14"/>
  <c r="BO18" i="14"/>
  <c r="ARF2" i="1"/>
  <c r="BA29" i="14"/>
  <c r="BK26" i="14"/>
  <c r="APX2" i="1"/>
  <c r="BA14" i="14"/>
  <c r="AMI2" i="1" s="1"/>
  <c r="OU2" i="1"/>
  <c r="OT2" i="1"/>
  <c r="OP2" i="1"/>
  <c r="LN2" i="1"/>
  <c r="AY28" i="14"/>
  <c r="ALY2" i="1" s="1"/>
  <c r="E6" i="14"/>
  <c r="VM2" i="1" s="1"/>
  <c r="BE5" i="14"/>
  <c r="AO5" i="14"/>
  <c r="Y5" i="14"/>
  <c r="BS5" i="14"/>
  <c r="BC5" i="14"/>
  <c r="AM5" i="14"/>
  <c r="W5" i="14"/>
  <c r="G5" i="14"/>
  <c r="BO5" i="14"/>
  <c r="AY5" i="14"/>
  <c r="AI5" i="14"/>
  <c r="S5" i="14"/>
  <c r="AW5" i="14"/>
  <c r="AA5" i="14"/>
  <c r="AU5" i="14"/>
  <c r="U5" i="14"/>
  <c r="BQ5" i="14"/>
  <c r="AS5" i="14"/>
  <c r="Q5" i="14"/>
  <c r="BM5" i="14"/>
  <c r="AQ5" i="14"/>
  <c r="O5" i="14"/>
  <c r="BK5" i="14"/>
  <c r="AK5" i="14"/>
  <c r="M5" i="14"/>
  <c r="BI5" i="14"/>
  <c r="AG5" i="14"/>
  <c r="K5" i="14"/>
  <c r="BG5" i="14"/>
  <c r="BA5" i="14"/>
  <c r="AE5" i="14"/>
  <c r="AC5" i="14"/>
  <c r="I5" i="14"/>
  <c r="VL2" i="1"/>
  <c r="AI28" i="14"/>
  <c r="AGK2" i="1" s="1"/>
  <c r="AM20" i="14"/>
  <c r="AHQ2" i="1" s="1"/>
  <c r="AHO2" i="1"/>
  <c r="BG26" i="14"/>
  <c r="AON2" i="1"/>
  <c r="AY14" i="14"/>
  <c r="ALQ2" i="1" s="1"/>
  <c r="BI20" i="14"/>
  <c r="APG2" i="1" s="1"/>
  <c r="APE2" i="1"/>
  <c r="AO28" i="14"/>
  <c r="AID2" i="1"/>
  <c r="M20" i="14"/>
  <c r="YQ2" i="1" s="1"/>
  <c r="YO2" i="1"/>
  <c r="BQ28" i="14"/>
  <c r="AK26" i="14"/>
  <c r="AGX2" i="1"/>
  <c r="AY19" i="14"/>
  <c r="AY18" i="14"/>
  <c r="ALR2" i="1"/>
  <c r="AO14" i="14"/>
  <c r="AIE2" i="1" s="1"/>
  <c r="E29" i="14"/>
  <c r="AU26" i="14"/>
  <c r="AKJ2" i="1"/>
  <c r="U14" i="14"/>
  <c r="ABG2" i="1" s="1"/>
  <c r="AM26" i="14"/>
  <c r="AHP2" i="1"/>
  <c r="MG2" i="1"/>
  <c r="Q26" i="14"/>
  <c r="ZZ2" i="1"/>
  <c r="BG20" i="14"/>
  <c r="AOO2" i="1" s="1"/>
  <c r="AOM2" i="1"/>
  <c r="BK20" i="14"/>
  <c r="APY2" i="1" s="1"/>
  <c r="APW2" i="1"/>
  <c r="AQ20" i="14"/>
  <c r="AJA2" i="1" s="1"/>
  <c r="AIY2" i="1"/>
  <c r="BI26" i="14"/>
  <c r="APF2" i="1"/>
  <c r="Y28" i="14"/>
  <c r="ACP2" i="1"/>
  <c r="M26" i="14"/>
  <c r="YP2" i="1"/>
  <c r="AS20" i="14"/>
  <c r="AJS2" i="1" s="1"/>
  <c r="AJQ2" i="1"/>
  <c r="Y14" i="14"/>
  <c r="ACQ2" i="1" s="1"/>
  <c r="U29" i="14"/>
  <c r="AU20" i="14"/>
  <c r="AKK2" i="1" s="1"/>
  <c r="AKI2" i="1"/>
  <c r="E14" i="14"/>
  <c r="VS2" i="1" s="1"/>
  <c r="MI2" i="1"/>
  <c r="G26" i="14"/>
  <c r="WN2" i="1"/>
  <c r="BE28" i="14"/>
  <c r="ANR2" i="1"/>
  <c r="AW26" i="14"/>
  <c r="ALB2" i="1"/>
  <c r="BC26" i="14"/>
  <c r="AND2" i="1"/>
  <c r="AQ26" i="14"/>
  <c r="AIZ2" i="1"/>
  <c r="W20" i="14"/>
  <c r="ACC2" i="1" s="1"/>
  <c r="ACA2" i="1"/>
  <c r="I28" i="14"/>
  <c r="XB2" i="1"/>
  <c r="AK28" i="14"/>
  <c r="AHC2" i="1" s="1"/>
  <c r="AS26" i="14"/>
  <c r="AJR2" i="1"/>
  <c r="AI19" i="14"/>
  <c r="AI18" i="14"/>
  <c r="AGD2" i="1"/>
  <c r="I14" i="14"/>
  <c r="XC2" i="1" s="1"/>
  <c r="AG20" i="14"/>
  <c r="AFO2" i="1" s="1"/>
  <c r="CB2" i="1"/>
  <c r="IU2" i="1"/>
  <c r="ATH2" i="1"/>
  <c r="AA20" i="14"/>
  <c r="ADM2" i="1" s="1"/>
  <c r="ADK2" i="1"/>
  <c r="W26" i="14"/>
  <c r="ACB2" i="1"/>
  <c r="G20" i="14"/>
  <c r="WO2" i="1" s="1"/>
  <c r="WM2" i="1"/>
  <c r="S28" i="14"/>
  <c r="AAW2" i="1" s="1"/>
  <c r="AAN2" i="1"/>
  <c r="PU2" i="1"/>
  <c r="Q20" i="14"/>
  <c r="AAA2" i="1" s="1"/>
  <c r="O26" i="14"/>
  <c r="ZH2" i="1"/>
  <c r="BM30" i="14"/>
  <c r="AQV2" i="1"/>
  <c r="QA2" i="1"/>
  <c r="AC20" i="14"/>
  <c r="AEE2" i="1" s="1"/>
  <c r="AEC2" i="1"/>
  <c r="AA26" i="14"/>
  <c r="ADL2" i="1"/>
  <c r="O20" i="14"/>
  <c r="ZI2" i="1" s="1"/>
  <c r="ZG2" i="1"/>
  <c r="OO2" i="1"/>
  <c r="OL2" i="1"/>
  <c r="TO2" i="1"/>
  <c r="NY2" i="1"/>
  <c r="AUB2" i="1" l="1"/>
  <c r="AUA2" i="1"/>
  <c r="BH2" i="1"/>
  <c r="EZ2" i="1"/>
  <c r="AVK2" i="1"/>
  <c r="AUW2" i="1"/>
  <c r="LX2" i="1"/>
  <c r="VG2" i="1"/>
  <c r="AUC2" i="1"/>
  <c r="DW2" i="1"/>
  <c r="DJ2" i="1"/>
  <c r="AI26" i="14"/>
  <c r="AGF2" i="1"/>
  <c r="MQ2" i="1"/>
  <c r="AQ29" i="14"/>
  <c r="AJC2" i="1"/>
  <c r="G29" i="14"/>
  <c r="WQ2" i="1"/>
  <c r="AK29" i="14"/>
  <c r="AHA2" i="1"/>
  <c r="MR2" i="1"/>
  <c r="BC29" i="14"/>
  <c r="ANG2" i="1"/>
  <c r="MJ2" i="1"/>
  <c r="WB2" i="1"/>
  <c r="E30" i="14"/>
  <c r="BG29" i="14"/>
  <c r="AOQ2" i="1"/>
  <c r="BA6" i="14"/>
  <c r="AMC2" i="1" s="1"/>
  <c r="AMB2" i="1"/>
  <c r="O29" i="14"/>
  <c r="ZK2" i="1"/>
  <c r="M29" i="14"/>
  <c r="YS2" i="1"/>
  <c r="BG6" i="14"/>
  <c r="AOE2" i="1" s="1"/>
  <c r="AOD2" i="1"/>
  <c r="AQ6" i="14"/>
  <c r="AIQ2" i="1" s="1"/>
  <c r="AIP2" i="1"/>
  <c r="AW6" i="14"/>
  <c r="AKS2" i="1" s="1"/>
  <c r="AKR2" i="1"/>
  <c r="BC6" i="14"/>
  <c r="AMU2" i="1" s="1"/>
  <c r="AMT2" i="1"/>
  <c r="LQ2" i="1"/>
  <c r="BK29" i="14"/>
  <c r="AQA2" i="1"/>
  <c r="TT2" i="1"/>
  <c r="SB2" i="1"/>
  <c r="BI29" i="14"/>
  <c r="API2" i="1"/>
  <c r="Q29" i="14"/>
  <c r="AAC2" i="1"/>
  <c r="BM6" i="14"/>
  <c r="AQG2" i="1" s="1"/>
  <c r="AQF2" i="1"/>
  <c r="S6" i="14"/>
  <c r="AAI2" i="1" s="1"/>
  <c r="AAH2" i="1"/>
  <c r="BS6" i="14"/>
  <c r="ASI2" i="1" s="1"/>
  <c r="ASH2" i="1"/>
  <c r="LO2" i="1"/>
  <c r="BA30" i="14"/>
  <c r="AMR2" i="1"/>
  <c r="I6" i="14"/>
  <c r="WW2" i="1" s="1"/>
  <c r="WV2" i="1"/>
  <c r="W29" i="14"/>
  <c r="ACE2" i="1"/>
  <c r="IW2" i="1"/>
  <c r="XK2" i="1"/>
  <c r="I29" i="14"/>
  <c r="AW29" i="14"/>
  <c r="ALE2" i="1"/>
  <c r="Q6" i="14"/>
  <c r="ZQ2" i="1" s="1"/>
  <c r="ZP2" i="1"/>
  <c r="AI6" i="14"/>
  <c r="AFW2" i="1" s="1"/>
  <c r="AFV2" i="1"/>
  <c r="Y6" i="14"/>
  <c r="ACK2" i="1" s="1"/>
  <c r="ACJ2" i="1"/>
  <c r="AG29" i="14"/>
  <c r="AFQ2" i="1"/>
  <c r="K6" i="14"/>
  <c r="XO2" i="1" s="1"/>
  <c r="XN2" i="1"/>
  <c r="AA29" i="14"/>
  <c r="ADO2" i="1"/>
  <c r="ACY2" i="1"/>
  <c r="Y29" i="14"/>
  <c r="AY20" i="14"/>
  <c r="ALU2" i="1" s="1"/>
  <c r="ALS2" i="1"/>
  <c r="AO29" i="14"/>
  <c r="AIM2" i="1"/>
  <c r="AG6" i="14"/>
  <c r="AFE2" i="1" s="1"/>
  <c r="AFD2" i="1"/>
  <c r="W2" i="1"/>
  <c r="AI20" i="14"/>
  <c r="AGG2" i="1" s="1"/>
  <c r="AGE2" i="1"/>
  <c r="AOA2" i="1"/>
  <c r="BE29" i="14"/>
  <c r="U30" i="14"/>
  <c r="ABP2" i="1"/>
  <c r="AM29" i="14"/>
  <c r="AHS2" i="1"/>
  <c r="AY26" i="14"/>
  <c r="ALT2" i="1"/>
  <c r="BI6" i="14"/>
  <c r="AOW2" i="1" s="1"/>
  <c r="AOV2" i="1"/>
  <c r="AS6" i="14"/>
  <c r="AJI2" i="1" s="1"/>
  <c r="AJH2" i="1"/>
  <c r="AY6" i="14"/>
  <c r="ALK2" i="1" s="1"/>
  <c r="ALJ2" i="1"/>
  <c r="AO6" i="14"/>
  <c r="AHY2" i="1" s="1"/>
  <c r="AHX2" i="1"/>
  <c r="BO20" i="14"/>
  <c r="ARI2" i="1" s="1"/>
  <c r="ARG2" i="1"/>
  <c r="K29" i="14"/>
  <c r="YA2" i="1"/>
  <c r="M6" i="14"/>
  <c r="YG2" i="1" s="1"/>
  <c r="YF2" i="1"/>
  <c r="BQ6" i="14"/>
  <c r="ARQ2" i="1" s="1"/>
  <c r="ARP2" i="1"/>
  <c r="BO6" i="14"/>
  <c r="AQY2" i="1" s="1"/>
  <c r="AQX2" i="1"/>
  <c r="BE6" i="14"/>
  <c r="ANM2" i="1" s="1"/>
  <c r="ANL2" i="1"/>
  <c r="BO26" i="14"/>
  <c r="ARH2" i="1"/>
  <c r="SO2" i="1"/>
  <c r="SM2" i="1"/>
  <c r="SR2" i="1"/>
  <c r="S20" i="14"/>
  <c r="AAS2" i="1" s="1"/>
  <c r="AAQ2" i="1"/>
  <c r="AC6" i="14"/>
  <c r="ADU2" i="1" s="1"/>
  <c r="ADT2" i="1"/>
  <c r="AK6" i="14"/>
  <c r="AGO2" i="1" s="1"/>
  <c r="AGN2" i="1"/>
  <c r="G6" i="14"/>
  <c r="WE2" i="1" s="1"/>
  <c r="WD2" i="1"/>
  <c r="OV2" i="1"/>
  <c r="OS2" i="1"/>
  <c r="BS29" i="14"/>
  <c r="ASU2" i="1"/>
  <c r="FF2" i="1"/>
  <c r="BN2" i="1"/>
  <c r="S26" i="14"/>
  <c r="AAR2" i="1"/>
  <c r="U6" i="14"/>
  <c r="ABA2" i="1" s="1"/>
  <c r="AAZ2" i="1"/>
  <c r="BM8" i="14"/>
  <c r="AQW2" i="1"/>
  <c r="GW2" i="1"/>
  <c r="NM2" i="1"/>
  <c r="AS29" i="14"/>
  <c r="AJU2" i="1"/>
  <c r="ML2" i="1"/>
  <c r="MH2" i="1"/>
  <c r="AU29" i="14"/>
  <c r="AKM2" i="1"/>
  <c r="ASE2" i="1"/>
  <c r="BQ29" i="14"/>
  <c r="AE6" i="14"/>
  <c r="AEM2" i="1" s="1"/>
  <c r="AEL2" i="1"/>
  <c r="BK6" i="14"/>
  <c r="APO2" i="1" s="1"/>
  <c r="APN2" i="1"/>
  <c r="AU6" i="14"/>
  <c r="AKA2" i="1" s="1"/>
  <c r="AJZ2" i="1"/>
  <c r="W6" i="14"/>
  <c r="ABS2" i="1" s="1"/>
  <c r="ABR2" i="1"/>
  <c r="MC2" i="1"/>
  <c r="LY2" i="1"/>
  <c r="TN2" i="1"/>
  <c r="OY2" i="1"/>
  <c r="OX2" i="1"/>
  <c r="DX2" i="1"/>
  <c r="O6" i="14"/>
  <c r="YY2" i="1" s="1"/>
  <c r="YX2" i="1"/>
  <c r="AA6" i="14"/>
  <c r="ADC2" i="1" s="1"/>
  <c r="ADB2" i="1"/>
  <c r="AM6" i="14"/>
  <c r="AHG2" i="1" s="1"/>
  <c r="AHF2" i="1"/>
  <c r="AC29" i="14"/>
  <c r="AEG2" i="1"/>
  <c r="NQ2" i="1" l="1"/>
  <c r="GV2" i="1"/>
  <c r="BO29" i="14"/>
  <c r="ARK2" i="1"/>
  <c r="TQ2" i="1"/>
  <c r="QB2" i="1"/>
  <c r="AO30" i="14"/>
  <c r="AIN2" i="1"/>
  <c r="O30" i="14"/>
  <c r="ZN2" i="1"/>
  <c r="K30" i="14"/>
  <c r="YD2" i="1"/>
  <c r="U8" i="14"/>
  <c r="ABQ2" i="1"/>
  <c r="LT2" i="1"/>
  <c r="LP2" i="1"/>
  <c r="BK30" i="14"/>
  <c r="AQD2" i="1"/>
  <c r="AS30" i="14"/>
  <c r="AJX2" i="1"/>
  <c r="BE30" i="14"/>
  <c r="AOB2" i="1"/>
  <c r="Q30" i="14"/>
  <c r="AAF2" i="1"/>
  <c r="X2" i="1"/>
  <c r="Y30" i="14"/>
  <c r="ACZ2" i="1"/>
  <c r="W30" i="14"/>
  <c r="ACH2" i="1"/>
  <c r="LR2" i="1"/>
  <c r="MN2" i="1"/>
  <c r="MK2" i="1"/>
  <c r="AK30" i="14"/>
  <c r="AHD2" i="1"/>
  <c r="AI29" i="14"/>
  <c r="AGI2" i="1"/>
  <c r="BQ30" i="14"/>
  <c r="ASF2" i="1"/>
  <c r="BS30" i="14"/>
  <c r="ASX2" i="1"/>
  <c r="IA2" i="1"/>
  <c r="HV2" i="1"/>
  <c r="IB2" i="1"/>
  <c r="HX2" i="1"/>
  <c r="IC2" i="1"/>
  <c r="HW2" i="1"/>
  <c r="AUN2" i="1"/>
  <c r="AG30" i="14"/>
  <c r="AFT2" i="1"/>
  <c r="AW30" i="14"/>
  <c r="ALH2" i="1"/>
  <c r="BI30" i="14"/>
  <c r="APL2" i="1"/>
  <c r="AC30" i="14"/>
  <c r="AEJ2" i="1"/>
  <c r="AY29" i="14"/>
  <c r="ALW2" i="1"/>
  <c r="I30" i="14"/>
  <c r="XL2" i="1"/>
  <c r="BC30" i="14"/>
  <c r="ANJ2" i="1"/>
  <c r="G30" i="14"/>
  <c r="WT2" i="1"/>
  <c r="FS2" i="1"/>
  <c r="CA2" i="1"/>
  <c r="AU30" i="14"/>
  <c r="AKP2" i="1"/>
  <c r="S29" i="14"/>
  <c r="AAU2" i="1"/>
  <c r="AA30" i="14"/>
  <c r="ADR2" i="1"/>
  <c r="SC2" i="1"/>
  <c r="M30" i="14"/>
  <c r="YV2" i="1"/>
  <c r="BG30" i="14"/>
  <c r="AOT2" i="1"/>
  <c r="AM30" i="14"/>
  <c r="AHV2" i="1"/>
  <c r="AMS2" i="1"/>
  <c r="BA8" i="14"/>
  <c r="WC2" i="1"/>
  <c r="E8" i="14"/>
  <c r="AQ30" i="14"/>
  <c r="AJF2" i="1"/>
  <c r="OA2" i="1" l="1"/>
  <c r="AHW2" i="1"/>
  <c r="AM8" i="14"/>
  <c r="AK8" i="14"/>
  <c r="AHE2" i="1"/>
  <c r="O8" i="14"/>
  <c r="ZO2" i="1"/>
  <c r="ADA2" i="1"/>
  <c r="Y8" i="14"/>
  <c r="BO30" i="14"/>
  <c r="ARN2" i="1"/>
  <c r="ADS2" i="1"/>
  <c r="AA8" i="14"/>
  <c r="HQ2" i="1"/>
  <c r="AO8" i="14"/>
  <c r="AIO2" i="1"/>
  <c r="AEK2" i="1"/>
  <c r="AC8" i="14"/>
  <c r="AOU2" i="1"/>
  <c r="BG8" i="14"/>
  <c r="ANK2" i="1"/>
  <c r="BC8" i="14"/>
  <c r="AW8" i="14"/>
  <c r="ALI2" i="1"/>
  <c r="AJY2" i="1"/>
  <c r="AS8" i="14"/>
  <c r="YE2" i="1"/>
  <c r="K8" i="14"/>
  <c r="HO2" i="1"/>
  <c r="HB2" i="1"/>
  <c r="ST2" i="1"/>
  <c r="LV2" i="1"/>
  <c r="LS2" i="1"/>
  <c r="Q8" i="14"/>
  <c r="AAG2" i="1"/>
  <c r="WU2" i="1"/>
  <c r="G8" i="14"/>
  <c r="AJG2" i="1"/>
  <c r="AQ8" i="14"/>
  <c r="S30" i="14"/>
  <c r="AAX2" i="1"/>
  <c r="APM2" i="1"/>
  <c r="BI8" i="14"/>
  <c r="ASY2" i="1"/>
  <c r="BS8" i="14"/>
  <c r="AOC2" i="1"/>
  <c r="BE8" i="14"/>
  <c r="YW2" i="1"/>
  <c r="M8" i="14"/>
  <c r="AU8" i="14"/>
  <c r="AKQ2" i="1"/>
  <c r="XM2" i="1"/>
  <c r="I8" i="14"/>
  <c r="BQ8" i="14"/>
  <c r="ASG2" i="1"/>
  <c r="AY30" i="14"/>
  <c r="ALZ2" i="1"/>
  <c r="AG8" i="14"/>
  <c r="AFU2" i="1"/>
  <c r="HS2" i="1"/>
  <c r="AI30" i="14"/>
  <c r="AGL2" i="1"/>
  <c r="NL2" i="1"/>
  <c r="BK8" i="14"/>
  <c r="AQE2" i="1"/>
  <c r="HY2" i="1"/>
  <c r="HZ2" i="1"/>
  <c r="HT2" i="1"/>
  <c r="HU2" i="1"/>
  <c r="ACI2" i="1"/>
  <c r="W8" i="14"/>
  <c r="QI2" i="1" l="1"/>
  <c r="MO2" i="1"/>
  <c r="AMA2" i="1"/>
  <c r="AY8" i="14"/>
  <c r="S8" i="14"/>
  <c r="AAY2" i="1"/>
  <c r="MP2" i="1"/>
  <c r="IE2" i="1"/>
  <c r="LU2" i="1"/>
  <c r="AGM2" i="1"/>
  <c r="AI8" i="14"/>
  <c r="QK2" i="1"/>
  <c r="ARO2" i="1"/>
  <c r="BO8" i="14"/>
  <c r="I101" i="27" l="1"/>
  <c r="HR2" i="1"/>
  <c r="IJ2" i="1"/>
  <c r="JD2" i="1"/>
  <c r="IY2" i="1"/>
  <c r="QJ2" i="1"/>
  <c r="QL2" i="1"/>
  <c r="OW2" i="1"/>
  <c r="NU2" i="1"/>
  <c r="MS2" i="1"/>
  <c r="VI2" i="1"/>
  <c r="QM2" i="1"/>
  <c r="IG2" i="1" l="1"/>
  <c r="MM2" i="1"/>
  <c r="NS2" i="1"/>
  <c r="NR2" i="1"/>
  <c r="NZ2" i="1"/>
  <c r="QG2" i="1"/>
  <c r="D8" i="4"/>
  <c r="AE12" i="28" l="1"/>
  <c r="AE20" i="28" s="1"/>
  <c r="Q60" i="27"/>
  <c r="U60" i="27" s="1"/>
  <c r="AE12" i="27"/>
  <c r="AE20" i="27" s="1"/>
  <c r="LZ2" i="1"/>
  <c r="HP2" i="1"/>
  <c r="IL2" i="1"/>
  <c r="JF2" i="1"/>
  <c r="JA2" i="1"/>
  <c r="MA2" i="1" l="1"/>
  <c r="QS2" i="1"/>
  <c r="QO2" i="1"/>
  <c r="QR2" i="1"/>
  <c r="QV2" i="1"/>
  <c r="QQ2" i="1"/>
  <c r="QU2" i="1"/>
  <c r="QP2" i="1"/>
  <c r="QT2" i="1"/>
  <c r="QN2" i="1"/>
  <c r="QH2" i="1"/>
  <c r="LD2" i="1"/>
  <c r="ID2" i="1"/>
  <c r="MD2" i="1"/>
  <c r="ME2" i="1" l="1"/>
  <c r="MB2" i="1"/>
  <c r="II2" i="1"/>
  <c r="IH2" i="1"/>
  <c r="IF2" i="1"/>
  <c r="SX2" i="1" l="1"/>
  <c r="IZ2" i="1"/>
  <c r="IX2" i="1"/>
  <c r="JE2" i="1"/>
  <c r="JC2" i="1"/>
  <c r="IK2" i="1"/>
  <c r="SP2" i="1"/>
  <c r="RA2" i="1"/>
  <c r="QW2" i="1"/>
  <c r="G91" i="27" l="1"/>
  <c r="G92" i="27" s="1"/>
  <c r="QY2" i="1"/>
  <c r="QX2" i="1"/>
  <c r="IM2" i="1"/>
  <c r="JG2" i="1"/>
  <c r="JB2" i="1"/>
  <c r="SS2" i="1"/>
  <c r="G93" i="27" l="1"/>
  <c r="I93" i="27" s="1"/>
  <c r="I92" i="27"/>
  <c r="SU2" i="1" l="1"/>
  <c r="SW2" i="1" l="1"/>
  <c r="SV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末宗 理津子(suemune-ritsuko.b25)</author>
  </authors>
  <commentList>
    <comment ref="CM5" authorId="0" shapeId="0" xr:uid="{A2CD5D52-9B4E-4041-9375-B8E366C37D1E}">
      <text>
        <r>
          <rPr>
            <b/>
            <sz val="9"/>
            <color indexed="81"/>
            <rFont val="MS P ゴシック"/>
            <family val="3"/>
            <charset val="128"/>
          </rPr>
          <t>初期設定から貼り付け</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濵口 優人(hamaguchi-yuuto.sf5)</author>
    <author>Tsujimoto, Masatake (JP - AB 辻本 剛健)</author>
  </authors>
  <commentList>
    <comment ref="G34" authorId="0" shapeId="0" xr:uid="{7E3E49CF-D75A-456D-91A0-86DB56F4A96C}">
      <text>
        <r>
          <rPr>
            <b/>
            <sz val="9"/>
            <color indexed="81"/>
            <rFont val="Meiryo UI"/>
            <family val="3"/>
            <charset val="128"/>
            <scheme val="minor"/>
          </rPr>
          <t>重層的支援体制整備事業実施市町村にあっては、右記の留意事項を参照の上、入力すること</t>
        </r>
      </text>
    </comment>
    <comment ref="I34" authorId="0" shapeId="0" xr:uid="{A1B886E5-4E21-431D-90C5-7480B8F37089}">
      <text>
        <r>
          <rPr>
            <b/>
            <sz val="9"/>
            <color indexed="81"/>
            <rFont val="Meiryo UI"/>
            <family val="3"/>
            <charset val="128"/>
            <scheme val="minor"/>
          </rPr>
          <t>重層的支援体制整備事業実施市町村にあっては、右記の留意事項を参照の上、入力すること</t>
        </r>
        <r>
          <rPr>
            <sz val="9"/>
            <color indexed="81"/>
            <rFont val="MS P ゴシック"/>
            <family val="3"/>
            <charset val="128"/>
          </rPr>
          <t xml:space="preserve">
</t>
        </r>
      </text>
    </comment>
    <comment ref="G38" authorId="1" shapeId="0" xr:uid="{8386F2D2-583B-4449-93C9-090AF1BD0814}">
      <text>
        <r>
          <rPr>
            <b/>
            <sz val="9"/>
            <color indexed="81"/>
            <rFont val="Meiryo UI"/>
            <family val="3"/>
            <charset val="128"/>
            <scheme val="minor"/>
          </rPr>
          <t>地域包括支援センター運営費別表から自動算出されます</t>
        </r>
      </text>
    </comment>
    <comment ref="I38" authorId="1" shapeId="0" xr:uid="{04E20A61-C2A9-47FE-BA6B-45577DC3E4C8}">
      <text>
        <r>
          <rPr>
            <b/>
            <sz val="9"/>
            <color indexed="81"/>
            <rFont val="Meiryo UI"/>
            <family val="3"/>
            <charset val="128"/>
            <scheme val="minor"/>
          </rPr>
          <t>地域包括支援センター運営費別表から自動算出されます</t>
        </r>
      </text>
    </comment>
    <comment ref="M38" authorId="1" shapeId="0" xr:uid="{0DFA10CA-09CB-4170-9586-24D26150F488}">
      <text>
        <r>
          <rPr>
            <b/>
            <sz val="9"/>
            <color indexed="81"/>
            <rFont val="Meiryo UI"/>
            <family val="3"/>
            <charset val="128"/>
            <scheme val="minor"/>
          </rPr>
          <t>地域包括支援センター運営費別表から自動算出されます</t>
        </r>
      </text>
    </comment>
    <comment ref="M40" authorId="1" shapeId="0" xr:uid="{8956FAD0-0539-4364-B96F-BF2410434445}">
      <text>
        <r>
          <rPr>
            <b/>
            <sz val="9"/>
            <color indexed="81"/>
            <rFont val="Meiryo UI"/>
            <family val="3"/>
            <charset val="128"/>
            <scheme val="minor"/>
          </rPr>
          <t>任意事業計画書から自動算出されます</t>
        </r>
      </text>
    </comment>
    <comment ref="M41" authorId="1" shapeId="0" xr:uid="{FE1BC804-284F-4779-A47F-B988AD23A006}">
      <text>
        <r>
          <rPr>
            <b/>
            <sz val="9"/>
            <color indexed="81"/>
            <rFont val="Meiryo UI"/>
            <family val="3"/>
            <charset val="128"/>
            <scheme val="minor"/>
          </rPr>
          <t>任意事業計画書から自動算出されます</t>
        </r>
      </text>
    </comment>
    <comment ref="M42" authorId="1" shapeId="0" xr:uid="{451C47D5-1798-4A8A-8392-F24F1BAD8289}">
      <text>
        <r>
          <rPr>
            <b/>
            <sz val="9"/>
            <color indexed="81"/>
            <rFont val="Meiryo UI"/>
            <family val="3"/>
            <charset val="128"/>
            <scheme val="minor"/>
          </rPr>
          <t>任意事業計画書から自動算出されます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濵口 優人(hamaguchi-yuuto.sf5)</author>
    <author>Tsujimoto, Masatake (JP - AB 辻本 剛健)</author>
    <author>竹田</author>
  </authors>
  <commentList>
    <comment ref="G34" authorId="0" shapeId="0" xr:uid="{29360543-5495-4B37-B6DF-1C73C2813E3D}">
      <text>
        <r>
          <rPr>
            <b/>
            <sz val="9"/>
            <color indexed="81"/>
            <rFont val="Meiryo UI"/>
            <family val="3"/>
            <charset val="128"/>
            <scheme val="minor"/>
          </rPr>
          <t>重層的支援体制整備事業実施市町村にあっては、右記の留意事項を参照の上、入力すること</t>
        </r>
      </text>
    </comment>
    <comment ref="I34" authorId="0" shapeId="0" xr:uid="{F27AE12C-6238-4DC4-91EB-9F908560F0B6}">
      <text>
        <r>
          <rPr>
            <b/>
            <sz val="9"/>
            <color indexed="81"/>
            <rFont val="Meiryo UI"/>
            <family val="3"/>
            <charset val="128"/>
            <scheme val="minor"/>
          </rPr>
          <t>重層的支援体制整備事業実施市町村にあっては、右記の留意事項を参照の上、入力すること</t>
        </r>
        <r>
          <rPr>
            <sz val="9"/>
            <color indexed="81"/>
            <rFont val="MS P ゴシック"/>
            <family val="3"/>
            <charset val="128"/>
          </rPr>
          <t xml:space="preserve">
</t>
        </r>
      </text>
    </comment>
    <comment ref="G38" authorId="1" shapeId="0" xr:uid="{0575A3B6-ACB3-49F5-9B57-F4982C267FCA}">
      <text>
        <r>
          <rPr>
            <b/>
            <sz val="9"/>
            <color indexed="81"/>
            <rFont val="Meiryo UI"/>
            <family val="3"/>
            <charset val="128"/>
            <scheme val="minor"/>
          </rPr>
          <t>地域包括支援センター運営費別表から自動算出されます</t>
        </r>
      </text>
    </comment>
    <comment ref="I38" authorId="1" shapeId="0" xr:uid="{1AA73452-194E-4100-83AE-1D583529F55C}">
      <text>
        <r>
          <rPr>
            <b/>
            <sz val="9"/>
            <color indexed="81"/>
            <rFont val="Meiryo UI"/>
            <family val="3"/>
            <charset val="128"/>
            <scheme val="minor"/>
          </rPr>
          <t>地域包括支援センター運営費別表から自動算出されます</t>
        </r>
      </text>
    </comment>
    <comment ref="M38" authorId="1" shapeId="0" xr:uid="{1DADF1C4-D1E5-4B5F-980F-6CF2310CD96D}">
      <text>
        <r>
          <rPr>
            <b/>
            <sz val="9"/>
            <color indexed="81"/>
            <rFont val="Meiryo UI"/>
            <family val="3"/>
            <charset val="128"/>
            <scheme val="minor"/>
          </rPr>
          <t>地域包括支援センター運営費別表から自動算出されます</t>
        </r>
      </text>
    </comment>
    <comment ref="M40" authorId="1" shapeId="0" xr:uid="{8A5526DD-A418-420B-8708-EBB7BD81CB8F}">
      <text>
        <r>
          <rPr>
            <b/>
            <sz val="9"/>
            <color indexed="81"/>
            <rFont val="Meiryo UI"/>
            <family val="3"/>
            <charset val="128"/>
            <scheme val="minor"/>
          </rPr>
          <t>任意事業計画書から自動算出されます</t>
        </r>
      </text>
    </comment>
    <comment ref="M41" authorId="1" shapeId="0" xr:uid="{77BCC01C-EEA9-41E5-BA78-2713764C4BF1}">
      <text>
        <r>
          <rPr>
            <b/>
            <sz val="9"/>
            <color indexed="81"/>
            <rFont val="Meiryo UI"/>
            <family val="3"/>
            <charset val="128"/>
            <scheme val="minor"/>
          </rPr>
          <t>任意事業計画書から自動算出されます</t>
        </r>
      </text>
    </comment>
    <comment ref="M42" authorId="1" shapeId="0" xr:uid="{5372CBAA-E8CA-49D2-A686-E93355ACC049}">
      <text>
        <r>
          <rPr>
            <b/>
            <sz val="9"/>
            <color indexed="81"/>
            <rFont val="Meiryo UI"/>
            <family val="3"/>
            <charset val="128"/>
            <scheme val="minor"/>
          </rPr>
          <t>任意事業計画書から自動算出されます</t>
        </r>
      </text>
    </comment>
    <comment ref="AA63" authorId="2" shapeId="0" xr:uid="{E7CD0260-3DC9-4466-83A2-B0F6898D272B}">
      <text>
        <r>
          <rPr>
            <b/>
            <sz val="12"/>
            <color indexed="10"/>
            <rFont val="MS P ゴシック"/>
            <family val="3"/>
            <charset val="128"/>
          </rPr>
          <t>重層的支援体制整備事業に要する費用相当額欄は、別途行われる重層的支援体制整備事業交付金の実績報告に基づく額を初期設定シートに記入してください。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安松 泰佑(yasumatsu-taisuke)</author>
    <author>原 伊吹(hara-ibuki)</author>
  </authors>
  <commentList>
    <comment ref="C7" authorId="0" shapeId="0" xr:uid="{D1CF1CDA-D0BB-4C2B-8A9C-779484410C59}">
      <text>
        <r>
          <rPr>
            <b/>
            <sz val="11"/>
            <color indexed="81"/>
            <rFont val="MS P ゴシック"/>
            <family val="3"/>
            <charset val="128"/>
          </rPr>
          <t>「②特例の上限額」は、適用条件を満たすかつ29年度に特例上限額を使用した場合のみ選択可</t>
        </r>
      </text>
    </comment>
    <comment ref="E25" authorId="1" shapeId="0" xr:uid="{296ED9FA-B6C2-4735-94D6-C27F3ADAD550}">
      <text>
        <r>
          <rPr>
            <sz val="9"/>
            <color indexed="81"/>
            <rFont val="MS P ゴシック"/>
            <family val="3"/>
            <charset val="128"/>
          </rPr>
          <t>任意事業実施報告書から転記されます。
ただし、広域連合等の場合には、市町村ごとの額を手入力してください。</t>
        </r>
      </text>
    </comment>
  </commentList>
</comments>
</file>

<file path=xl/sharedStrings.xml><?xml version="1.0" encoding="utf-8"?>
<sst xmlns="http://schemas.openxmlformats.org/spreadsheetml/2006/main" count="33660" uniqueCount="15457">
  <si>
    <t>01項番</t>
    <rPh sb="2" eb="4">
      <t>コウバン</t>
    </rPh>
    <phoneticPr fontId="3"/>
  </si>
  <si>
    <t>01通し番号</t>
    <rPh sb="2" eb="3">
      <t>トオ</t>
    </rPh>
    <rPh sb="4" eb="6">
      <t>バンゴウ</t>
    </rPh>
    <phoneticPr fontId="3"/>
  </si>
  <si>
    <t>01厚生（支）局名</t>
    <rPh sb="2" eb="4">
      <t>コウセイ</t>
    </rPh>
    <rPh sb="5" eb="6">
      <t>シ</t>
    </rPh>
    <rPh sb="7" eb="8">
      <t>キョク</t>
    </rPh>
    <rPh sb="8" eb="9">
      <t>メイ</t>
    </rPh>
    <phoneticPr fontId="3"/>
  </si>
  <si>
    <t>01都道府県名</t>
    <rPh sb="6" eb="7">
      <t>メイ</t>
    </rPh>
    <phoneticPr fontId="3"/>
  </si>
  <si>
    <t>01保険者名</t>
    <phoneticPr fontId="3"/>
  </si>
  <si>
    <t>01保険者番号</t>
    <rPh sb="2" eb="5">
      <t>ホケンシャ</t>
    </rPh>
    <rPh sb="5" eb="7">
      <t>バンゴウ</t>
    </rPh>
    <phoneticPr fontId="3"/>
  </si>
  <si>
    <t>01市区町村ｺｰﾄﾞ</t>
    <phoneticPr fontId="3"/>
  </si>
  <si>
    <t>01都道府県ｺｰﾄﾞ</t>
    <phoneticPr fontId="3"/>
  </si>
  <si>
    <t>01H27総合事業上限設定</t>
    <rPh sb="5" eb="7">
      <t>ソウゴウ</t>
    </rPh>
    <rPh sb="7" eb="9">
      <t>ジギョウ</t>
    </rPh>
    <rPh sb="9" eb="11">
      <t>ジョウゲン</t>
    </rPh>
    <rPh sb="11" eb="13">
      <t>セッテイ</t>
    </rPh>
    <phoneticPr fontId="3"/>
  </si>
  <si>
    <t>01H28総合事業上限設定</t>
    <rPh sb="5" eb="7">
      <t>ソウゴウ</t>
    </rPh>
    <rPh sb="7" eb="9">
      <t>ジギョウ</t>
    </rPh>
    <rPh sb="9" eb="11">
      <t>ジョウゲン</t>
    </rPh>
    <rPh sb="11" eb="13">
      <t>セッテイ</t>
    </rPh>
    <phoneticPr fontId="3"/>
  </si>
  <si>
    <t>01H29総合事業上限設定</t>
    <rPh sb="5" eb="7">
      <t>ソウゴウ</t>
    </rPh>
    <rPh sb="7" eb="9">
      <t>ジギョウ</t>
    </rPh>
    <rPh sb="9" eb="11">
      <t>ジョウゲン</t>
    </rPh>
    <rPh sb="11" eb="13">
      <t>セッテイ</t>
    </rPh>
    <phoneticPr fontId="3"/>
  </si>
  <si>
    <t>01H30総合事業上限設定</t>
    <rPh sb="5" eb="7">
      <t>ソウゴウ</t>
    </rPh>
    <rPh sb="7" eb="9">
      <t>ジギョウ</t>
    </rPh>
    <rPh sb="9" eb="11">
      <t>ジョウゲン</t>
    </rPh>
    <rPh sb="11" eb="13">
      <t>セッテイ</t>
    </rPh>
    <phoneticPr fontId="3"/>
  </si>
  <si>
    <t>01R1総合事業上限設定</t>
    <rPh sb="4" eb="6">
      <t>ソウゴウ</t>
    </rPh>
    <rPh sb="6" eb="8">
      <t>ジギョウ</t>
    </rPh>
    <rPh sb="8" eb="10">
      <t>ジョウゲン</t>
    </rPh>
    <rPh sb="10" eb="12">
      <t>セッテイ</t>
    </rPh>
    <phoneticPr fontId="3"/>
  </si>
  <si>
    <t>01R2総合事業上限設定</t>
    <rPh sb="4" eb="6">
      <t>ソウゴウ</t>
    </rPh>
    <rPh sb="6" eb="8">
      <t>ジギョウ</t>
    </rPh>
    <rPh sb="8" eb="10">
      <t>ジョウゲン</t>
    </rPh>
    <rPh sb="10" eb="12">
      <t>セッテイ</t>
    </rPh>
    <phoneticPr fontId="3"/>
  </si>
  <si>
    <t>01R3総合事業上限設定</t>
    <rPh sb="4" eb="6">
      <t>ソウゴウ</t>
    </rPh>
    <rPh sb="6" eb="8">
      <t>ジギョウ</t>
    </rPh>
    <rPh sb="8" eb="10">
      <t>ジョウゲン</t>
    </rPh>
    <rPh sb="10" eb="12">
      <t>セッテイ</t>
    </rPh>
    <phoneticPr fontId="3"/>
  </si>
  <si>
    <t>01R4総合事業上限設定</t>
    <rPh sb="4" eb="6">
      <t>ソウゴウ</t>
    </rPh>
    <rPh sb="6" eb="8">
      <t>ジギョウ</t>
    </rPh>
    <rPh sb="8" eb="10">
      <t>ジョウゲン</t>
    </rPh>
    <rPh sb="10" eb="12">
      <t>セッテイ</t>
    </rPh>
    <phoneticPr fontId="3"/>
  </si>
  <si>
    <t>01R5総合事業上限設定</t>
    <rPh sb="4" eb="6">
      <t>ソウゴウ</t>
    </rPh>
    <rPh sb="6" eb="8">
      <t>ジギョウ</t>
    </rPh>
    <rPh sb="8" eb="10">
      <t>ジョウゲン</t>
    </rPh>
    <rPh sb="10" eb="12">
      <t>セッテイ</t>
    </rPh>
    <phoneticPr fontId="3"/>
  </si>
  <si>
    <t>01R6総合事業上限設定</t>
    <phoneticPr fontId="3"/>
  </si>
  <si>
    <t>01総合事業移行年</t>
    <rPh sb="8" eb="9">
      <t>ドシ</t>
    </rPh>
    <phoneticPr fontId="3"/>
  </si>
  <si>
    <t>01総合事業移行月</t>
    <rPh sb="8" eb="9">
      <t>ツキ</t>
    </rPh>
    <phoneticPr fontId="3"/>
  </si>
  <si>
    <t>01総合事業移行日</t>
    <rPh sb="8" eb="9">
      <t>ヒ</t>
    </rPh>
    <phoneticPr fontId="3"/>
  </si>
  <si>
    <t>01総合事業移行年月日</t>
    <rPh sb="8" eb="11">
      <t>ネンガッピ</t>
    </rPh>
    <phoneticPr fontId="3"/>
  </si>
  <si>
    <t>01総合事業移行年度</t>
    <rPh sb="8" eb="10">
      <t>ネンド</t>
    </rPh>
    <phoneticPr fontId="3"/>
  </si>
  <si>
    <t>01総合事業移行前年度</t>
    <rPh sb="8" eb="11">
      <t>ゼンネンド</t>
    </rPh>
    <phoneticPr fontId="3"/>
  </si>
  <si>
    <t>01指定都市</t>
    <rPh sb="2" eb="4">
      <t>シテイ</t>
    </rPh>
    <rPh sb="4" eb="6">
      <t>トシ</t>
    </rPh>
    <phoneticPr fontId="3"/>
  </si>
  <si>
    <t>01広域連合等</t>
    <rPh sb="2" eb="4">
      <t>コウイキ</t>
    </rPh>
    <rPh sb="4" eb="6">
      <t>レンゴウ</t>
    </rPh>
    <rPh sb="6" eb="7">
      <t>トウ</t>
    </rPh>
    <phoneticPr fontId="3"/>
  </si>
  <si>
    <t>01上記以外の市町村</t>
    <phoneticPr fontId="3"/>
  </si>
  <si>
    <t>01重層実施</t>
    <rPh sb="2" eb="4">
      <t>ジュウソウ</t>
    </rPh>
    <rPh sb="4" eb="6">
      <t>ジッシ</t>
    </rPh>
    <phoneticPr fontId="3"/>
  </si>
  <si>
    <t>01①地域介護予防活動支援事業に要する費用相当額を交付率で除して得た額</t>
    <phoneticPr fontId="3"/>
  </si>
  <si>
    <t>01②地域包括支援センターの運営に要する費用相当額を交付率で除して得た額</t>
    <phoneticPr fontId="3"/>
  </si>
  <si>
    <t>01③生活支援体制整備事業に要する費用相当額を交付率で除して得た額</t>
    <phoneticPr fontId="3"/>
  </si>
  <si>
    <t>A1000</t>
    <phoneticPr fontId="3"/>
  </si>
  <si>
    <t>A1100</t>
    <phoneticPr fontId="3"/>
  </si>
  <si>
    <t>A1110</t>
    <phoneticPr fontId="3"/>
  </si>
  <si>
    <t>A1120</t>
    <phoneticPr fontId="3"/>
  </si>
  <si>
    <t>A1130</t>
    <phoneticPr fontId="3"/>
  </si>
  <si>
    <t>A1140</t>
    <phoneticPr fontId="3"/>
  </si>
  <si>
    <t>A1150</t>
    <phoneticPr fontId="3"/>
  </si>
  <si>
    <t>A1160</t>
    <phoneticPr fontId="3"/>
  </si>
  <si>
    <t>A1200</t>
    <phoneticPr fontId="3"/>
  </si>
  <si>
    <t>A1210</t>
    <phoneticPr fontId="3"/>
  </si>
  <si>
    <t>A1220</t>
    <phoneticPr fontId="3"/>
  </si>
  <si>
    <t>A1230</t>
    <phoneticPr fontId="3"/>
  </si>
  <si>
    <t>A1240</t>
    <phoneticPr fontId="3"/>
  </si>
  <si>
    <t>A1250</t>
    <phoneticPr fontId="3"/>
  </si>
  <si>
    <t>A1300</t>
    <phoneticPr fontId="3"/>
  </si>
  <si>
    <t>A1310</t>
    <phoneticPr fontId="3"/>
  </si>
  <si>
    <t>A1320</t>
    <phoneticPr fontId="3"/>
  </si>
  <si>
    <t>A1330</t>
    <phoneticPr fontId="3"/>
  </si>
  <si>
    <t>A1340</t>
    <phoneticPr fontId="3"/>
  </si>
  <si>
    <t>A1400</t>
    <phoneticPr fontId="3"/>
  </si>
  <si>
    <t>A1500</t>
    <phoneticPr fontId="3"/>
  </si>
  <si>
    <t>A1600</t>
    <phoneticPr fontId="3"/>
  </si>
  <si>
    <t>A1700</t>
    <phoneticPr fontId="3"/>
  </si>
  <si>
    <t>A1710</t>
    <phoneticPr fontId="3"/>
  </si>
  <si>
    <t>A1720</t>
    <phoneticPr fontId="3"/>
  </si>
  <si>
    <t>A1730</t>
    <phoneticPr fontId="3"/>
  </si>
  <si>
    <t>A1740</t>
    <phoneticPr fontId="3"/>
  </si>
  <si>
    <t>A1750</t>
    <phoneticPr fontId="3"/>
  </si>
  <si>
    <t>A2000</t>
    <phoneticPr fontId="3"/>
  </si>
  <si>
    <t>A2100</t>
    <phoneticPr fontId="3"/>
  </si>
  <si>
    <t>A2200</t>
    <phoneticPr fontId="3"/>
  </si>
  <si>
    <t>A2210</t>
    <phoneticPr fontId="3"/>
  </si>
  <si>
    <t>A2220</t>
    <phoneticPr fontId="3"/>
  </si>
  <si>
    <t>A2230</t>
    <phoneticPr fontId="3"/>
  </si>
  <si>
    <t>A3000</t>
    <phoneticPr fontId="3"/>
  </si>
  <si>
    <t>A4000</t>
    <phoneticPr fontId="3"/>
  </si>
  <si>
    <t>A4100</t>
    <phoneticPr fontId="3"/>
  </si>
  <si>
    <t>A4200</t>
    <phoneticPr fontId="3"/>
  </si>
  <si>
    <t>A4210</t>
    <phoneticPr fontId="3"/>
  </si>
  <si>
    <t>A4220</t>
    <phoneticPr fontId="3"/>
  </si>
  <si>
    <t>A4230</t>
    <phoneticPr fontId="3"/>
  </si>
  <si>
    <t>A4240</t>
    <phoneticPr fontId="3"/>
  </si>
  <si>
    <t>A4300</t>
    <phoneticPr fontId="3"/>
  </si>
  <si>
    <t>A4310</t>
    <phoneticPr fontId="3"/>
  </si>
  <si>
    <t>A4320</t>
    <phoneticPr fontId="3"/>
  </si>
  <si>
    <t>A4330</t>
    <phoneticPr fontId="3"/>
  </si>
  <si>
    <t>A4400</t>
    <phoneticPr fontId="3"/>
  </si>
  <si>
    <t>A5000</t>
    <phoneticPr fontId="3"/>
  </si>
  <si>
    <t>B1000</t>
    <phoneticPr fontId="3"/>
  </si>
  <si>
    <t>B1100</t>
    <phoneticPr fontId="3"/>
  </si>
  <si>
    <t>B1110</t>
    <phoneticPr fontId="3"/>
  </si>
  <si>
    <t>B1120</t>
    <phoneticPr fontId="3"/>
  </si>
  <si>
    <t>B1130</t>
    <phoneticPr fontId="3"/>
  </si>
  <si>
    <t>B1140</t>
    <phoneticPr fontId="3"/>
  </si>
  <si>
    <t>B1150</t>
    <phoneticPr fontId="3"/>
  </si>
  <si>
    <t>B1160</t>
    <phoneticPr fontId="3"/>
  </si>
  <si>
    <t>B1200</t>
    <phoneticPr fontId="3"/>
  </si>
  <si>
    <t>B1210</t>
    <phoneticPr fontId="3"/>
  </si>
  <si>
    <t>B1220</t>
    <phoneticPr fontId="3"/>
  </si>
  <si>
    <t>B1230</t>
    <phoneticPr fontId="3"/>
  </si>
  <si>
    <t>B1240</t>
    <phoneticPr fontId="3"/>
  </si>
  <si>
    <t>B1250</t>
    <phoneticPr fontId="3"/>
  </si>
  <si>
    <t>B1300</t>
    <phoneticPr fontId="3"/>
  </si>
  <si>
    <t>B1310</t>
    <phoneticPr fontId="3"/>
  </si>
  <si>
    <t>B1320</t>
    <phoneticPr fontId="3"/>
  </si>
  <si>
    <t>B1330</t>
    <phoneticPr fontId="3"/>
  </si>
  <si>
    <t>B1340</t>
    <phoneticPr fontId="3"/>
  </si>
  <si>
    <t>B1400</t>
    <phoneticPr fontId="3"/>
  </si>
  <si>
    <t>B1500</t>
    <phoneticPr fontId="3"/>
  </si>
  <si>
    <t>B1600</t>
    <phoneticPr fontId="3"/>
  </si>
  <si>
    <t>B1700</t>
    <phoneticPr fontId="3"/>
  </si>
  <si>
    <t>B1710</t>
    <phoneticPr fontId="3"/>
  </si>
  <si>
    <t>B1720</t>
    <phoneticPr fontId="3"/>
  </si>
  <si>
    <t>B1730</t>
    <phoneticPr fontId="3"/>
  </si>
  <si>
    <t>B1740</t>
    <phoneticPr fontId="3"/>
  </si>
  <si>
    <t>B1750</t>
    <phoneticPr fontId="3"/>
  </si>
  <si>
    <t>B2000</t>
    <phoneticPr fontId="3"/>
  </si>
  <si>
    <t>B2100</t>
    <phoneticPr fontId="3"/>
  </si>
  <si>
    <t>B2200</t>
    <phoneticPr fontId="3"/>
  </si>
  <si>
    <t>B2210</t>
    <phoneticPr fontId="3"/>
  </si>
  <si>
    <t>B2220</t>
    <phoneticPr fontId="3"/>
  </si>
  <si>
    <t>B2230</t>
    <phoneticPr fontId="3"/>
  </si>
  <si>
    <t>B3000</t>
    <phoneticPr fontId="3"/>
  </si>
  <si>
    <t>B4000</t>
    <phoneticPr fontId="3"/>
  </si>
  <si>
    <t>B4100</t>
    <phoneticPr fontId="3"/>
  </si>
  <si>
    <t>B4200</t>
    <phoneticPr fontId="3"/>
  </si>
  <si>
    <t>B4210</t>
    <phoneticPr fontId="3"/>
  </si>
  <si>
    <t>B4220</t>
    <phoneticPr fontId="3"/>
  </si>
  <si>
    <t>B4230</t>
    <phoneticPr fontId="3"/>
  </si>
  <si>
    <t>B4240</t>
    <phoneticPr fontId="3"/>
  </si>
  <si>
    <t>B4300</t>
    <phoneticPr fontId="3"/>
  </si>
  <si>
    <t>B4310</t>
    <phoneticPr fontId="3"/>
  </si>
  <si>
    <t>B4320</t>
    <phoneticPr fontId="3"/>
  </si>
  <si>
    <t>B4330</t>
    <phoneticPr fontId="3"/>
  </si>
  <si>
    <t>B4400</t>
    <phoneticPr fontId="3"/>
  </si>
  <si>
    <t>B5000</t>
    <phoneticPr fontId="3"/>
  </si>
  <si>
    <t>C1000</t>
    <phoneticPr fontId="3"/>
  </si>
  <si>
    <t>C1100</t>
    <phoneticPr fontId="3"/>
  </si>
  <si>
    <t>C1110</t>
    <phoneticPr fontId="3"/>
  </si>
  <si>
    <t>C1120</t>
    <phoneticPr fontId="3"/>
  </si>
  <si>
    <t>C1130</t>
    <phoneticPr fontId="3"/>
  </si>
  <si>
    <t>C1140</t>
    <phoneticPr fontId="3"/>
  </si>
  <si>
    <t>C1150</t>
    <phoneticPr fontId="3"/>
  </si>
  <si>
    <t>C1160</t>
    <phoneticPr fontId="3"/>
  </si>
  <si>
    <t>C1200</t>
    <phoneticPr fontId="3"/>
  </si>
  <si>
    <t>C1210</t>
    <phoneticPr fontId="3"/>
  </si>
  <si>
    <t>C1220</t>
    <phoneticPr fontId="3"/>
  </si>
  <si>
    <t>C1230</t>
    <phoneticPr fontId="3"/>
  </si>
  <si>
    <t>C1240</t>
    <phoneticPr fontId="3"/>
  </si>
  <si>
    <t>C1250</t>
    <phoneticPr fontId="3"/>
  </si>
  <si>
    <t>C1300</t>
    <phoneticPr fontId="3"/>
  </si>
  <si>
    <t>C1310</t>
    <phoneticPr fontId="3"/>
  </si>
  <si>
    <t>C1320</t>
    <phoneticPr fontId="3"/>
  </si>
  <si>
    <t>C1330</t>
    <phoneticPr fontId="3"/>
  </si>
  <si>
    <t>C1340</t>
    <phoneticPr fontId="3"/>
  </si>
  <si>
    <t>C1400</t>
    <phoneticPr fontId="3"/>
  </si>
  <si>
    <t>C1500</t>
    <phoneticPr fontId="3"/>
  </si>
  <si>
    <t>C1600</t>
    <phoneticPr fontId="3"/>
  </si>
  <si>
    <t>C1700</t>
    <phoneticPr fontId="3"/>
  </si>
  <si>
    <t>C1710</t>
    <phoneticPr fontId="3"/>
  </si>
  <si>
    <t>C1720</t>
    <phoneticPr fontId="3"/>
  </si>
  <si>
    <t>C1730</t>
    <phoneticPr fontId="3"/>
  </si>
  <si>
    <t>C1740</t>
    <phoneticPr fontId="3"/>
  </si>
  <si>
    <t>C1750</t>
    <phoneticPr fontId="3"/>
  </si>
  <si>
    <t>C2000</t>
    <phoneticPr fontId="3"/>
  </si>
  <si>
    <t>C2100</t>
    <phoneticPr fontId="3"/>
  </si>
  <si>
    <t>C2200</t>
    <phoneticPr fontId="3"/>
  </si>
  <si>
    <t>C2210</t>
    <phoneticPr fontId="3"/>
  </si>
  <si>
    <t>C2220</t>
    <phoneticPr fontId="3"/>
  </si>
  <si>
    <t>C2230</t>
    <phoneticPr fontId="3"/>
  </si>
  <si>
    <t>C3000</t>
    <phoneticPr fontId="3"/>
  </si>
  <si>
    <t>C4000</t>
    <phoneticPr fontId="3"/>
  </si>
  <si>
    <t>C4100</t>
    <phoneticPr fontId="3"/>
  </si>
  <si>
    <t>C4200</t>
    <phoneticPr fontId="3"/>
  </si>
  <si>
    <t>C4210</t>
    <phoneticPr fontId="3"/>
  </si>
  <si>
    <t>C4220</t>
    <phoneticPr fontId="3"/>
  </si>
  <si>
    <t>C4230</t>
    <phoneticPr fontId="3"/>
  </si>
  <si>
    <t>C4240</t>
    <phoneticPr fontId="3"/>
  </si>
  <si>
    <t>C4300</t>
    <phoneticPr fontId="3"/>
  </si>
  <si>
    <t>C4310</t>
    <phoneticPr fontId="3"/>
  </si>
  <si>
    <t>C4320</t>
    <phoneticPr fontId="3"/>
  </si>
  <si>
    <t>C4330</t>
    <phoneticPr fontId="3"/>
  </si>
  <si>
    <t>C4400</t>
    <phoneticPr fontId="3"/>
  </si>
  <si>
    <t>C5000</t>
    <phoneticPr fontId="3"/>
  </si>
  <si>
    <t>D1000</t>
    <phoneticPr fontId="3"/>
  </si>
  <si>
    <t>D1100</t>
    <phoneticPr fontId="3"/>
  </si>
  <si>
    <t>D1110</t>
    <phoneticPr fontId="3"/>
  </si>
  <si>
    <t>D1120</t>
    <phoneticPr fontId="3"/>
  </si>
  <si>
    <t>D1130</t>
    <phoneticPr fontId="3"/>
  </si>
  <si>
    <t>D1140</t>
    <phoneticPr fontId="3"/>
  </si>
  <si>
    <t>D1150</t>
    <phoneticPr fontId="3"/>
  </si>
  <si>
    <t>D1160</t>
    <phoneticPr fontId="3"/>
  </si>
  <si>
    <t>D1200</t>
    <phoneticPr fontId="3"/>
  </si>
  <si>
    <t>D1210</t>
    <phoneticPr fontId="3"/>
  </si>
  <si>
    <t>D1220</t>
    <phoneticPr fontId="3"/>
  </si>
  <si>
    <t>D1230</t>
    <phoneticPr fontId="3"/>
  </si>
  <si>
    <t>D1240</t>
    <phoneticPr fontId="3"/>
  </si>
  <si>
    <t>D1250</t>
    <phoneticPr fontId="3"/>
  </si>
  <si>
    <t>D1300</t>
    <phoneticPr fontId="3"/>
  </si>
  <si>
    <t>D1310</t>
    <phoneticPr fontId="3"/>
  </si>
  <si>
    <t>D1320</t>
    <phoneticPr fontId="3"/>
  </si>
  <si>
    <t>D1330</t>
    <phoneticPr fontId="3"/>
  </si>
  <si>
    <t>D1340</t>
    <phoneticPr fontId="3"/>
  </si>
  <si>
    <t>D1400</t>
    <phoneticPr fontId="3"/>
  </si>
  <si>
    <t>D1500</t>
    <phoneticPr fontId="3"/>
  </si>
  <si>
    <t>D1600</t>
    <phoneticPr fontId="3"/>
  </si>
  <si>
    <t>D1700</t>
    <phoneticPr fontId="3"/>
  </si>
  <si>
    <t>D1710</t>
    <phoneticPr fontId="3"/>
  </si>
  <si>
    <t>D1720</t>
    <phoneticPr fontId="3"/>
  </si>
  <si>
    <t>D1730</t>
    <phoneticPr fontId="3"/>
  </si>
  <si>
    <t>D1740</t>
    <phoneticPr fontId="3"/>
  </si>
  <si>
    <t>D1750</t>
    <phoneticPr fontId="3"/>
  </si>
  <si>
    <t>D2000</t>
    <phoneticPr fontId="3"/>
  </si>
  <si>
    <t>D2100</t>
    <phoneticPr fontId="3"/>
  </si>
  <si>
    <t>D2200</t>
    <phoneticPr fontId="3"/>
  </si>
  <si>
    <t>D2210</t>
    <phoneticPr fontId="3"/>
  </si>
  <si>
    <t>D2220</t>
    <phoneticPr fontId="3"/>
  </si>
  <si>
    <t>D2230</t>
    <phoneticPr fontId="3"/>
  </si>
  <si>
    <t>D3000</t>
    <phoneticPr fontId="3"/>
  </si>
  <si>
    <t>D4000</t>
    <phoneticPr fontId="3"/>
  </si>
  <si>
    <t>D4100</t>
    <phoneticPr fontId="3"/>
  </si>
  <si>
    <t>D4200</t>
    <phoneticPr fontId="3"/>
  </si>
  <si>
    <t>D4210</t>
    <phoneticPr fontId="3"/>
  </si>
  <si>
    <t>D4220</t>
    <phoneticPr fontId="3"/>
  </si>
  <si>
    <t>D4230</t>
    <phoneticPr fontId="3"/>
  </si>
  <si>
    <t>D4240</t>
    <phoneticPr fontId="3"/>
  </si>
  <si>
    <t>D4300</t>
    <phoneticPr fontId="3"/>
  </si>
  <si>
    <t>D4310</t>
    <phoneticPr fontId="3"/>
  </si>
  <si>
    <t>D4320</t>
    <phoneticPr fontId="3"/>
  </si>
  <si>
    <t>D4330</t>
    <phoneticPr fontId="3"/>
  </si>
  <si>
    <t>D4400</t>
    <phoneticPr fontId="3"/>
  </si>
  <si>
    <t>D5000</t>
    <phoneticPr fontId="3"/>
  </si>
  <si>
    <t>E1000</t>
    <phoneticPr fontId="3"/>
  </si>
  <si>
    <t>E2000</t>
    <phoneticPr fontId="3"/>
  </si>
  <si>
    <t>E4000</t>
    <phoneticPr fontId="3"/>
  </si>
  <si>
    <t>E4100</t>
    <phoneticPr fontId="3"/>
  </si>
  <si>
    <t>E4200</t>
    <phoneticPr fontId="3"/>
  </si>
  <si>
    <t>E4210</t>
    <phoneticPr fontId="3"/>
  </si>
  <si>
    <t>E4220</t>
    <phoneticPr fontId="3"/>
  </si>
  <si>
    <t>E4230</t>
    <phoneticPr fontId="3"/>
  </si>
  <si>
    <t>E4240</t>
    <phoneticPr fontId="3"/>
  </si>
  <si>
    <t>E4300</t>
    <phoneticPr fontId="3"/>
  </si>
  <si>
    <t>E4310</t>
    <phoneticPr fontId="3"/>
  </si>
  <si>
    <t>E4320</t>
    <phoneticPr fontId="3"/>
  </si>
  <si>
    <t>E4330</t>
    <phoneticPr fontId="3"/>
  </si>
  <si>
    <t>E4400</t>
    <phoneticPr fontId="3"/>
  </si>
  <si>
    <t>F1000</t>
    <phoneticPr fontId="3"/>
  </si>
  <si>
    <t>F2000</t>
    <phoneticPr fontId="3"/>
  </si>
  <si>
    <t>F3000</t>
    <phoneticPr fontId="3"/>
  </si>
  <si>
    <t>F4000</t>
    <phoneticPr fontId="3"/>
  </si>
  <si>
    <t>F5000</t>
    <phoneticPr fontId="3"/>
  </si>
  <si>
    <t>G1000</t>
    <phoneticPr fontId="3"/>
  </si>
  <si>
    <t>G2000</t>
    <phoneticPr fontId="3"/>
  </si>
  <si>
    <t>G3000</t>
    <phoneticPr fontId="3"/>
  </si>
  <si>
    <t>G4000</t>
    <phoneticPr fontId="3"/>
  </si>
  <si>
    <t>G5000</t>
    <phoneticPr fontId="3"/>
  </si>
  <si>
    <t>H1000</t>
    <phoneticPr fontId="3"/>
  </si>
  <si>
    <t>H2000</t>
    <phoneticPr fontId="3"/>
  </si>
  <si>
    <t>H3000</t>
    <phoneticPr fontId="3"/>
  </si>
  <si>
    <t>H4000</t>
    <phoneticPr fontId="3"/>
  </si>
  <si>
    <t>H5000</t>
    <phoneticPr fontId="3"/>
  </si>
  <si>
    <t>I1000</t>
    <phoneticPr fontId="3"/>
  </si>
  <si>
    <t>I2000</t>
    <phoneticPr fontId="3"/>
  </si>
  <si>
    <t>I3000</t>
    <phoneticPr fontId="3"/>
  </si>
  <si>
    <t>I4000</t>
    <phoneticPr fontId="3"/>
  </si>
  <si>
    <t>I5000</t>
    <phoneticPr fontId="3"/>
  </si>
  <si>
    <t>J1000</t>
    <phoneticPr fontId="3"/>
  </si>
  <si>
    <t>J2000</t>
    <phoneticPr fontId="3"/>
  </si>
  <si>
    <t>J3000</t>
    <phoneticPr fontId="3"/>
  </si>
  <si>
    <t>J4000</t>
    <phoneticPr fontId="3"/>
  </si>
  <si>
    <t>J5000</t>
    <phoneticPr fontId="3"/>
  </si>
  <si>
    <t>K1000</t>
    <phoneticPr fontId="3"/>
  </si>
  <si>
    <t>K2000</t>
    <phoneticPr fontId="3"/>
  </si>
  <si>
    <t>K3000</t>
    <phoneticPr fontId="3"/>
  </si>
  <si>
    <t>K4000</t>
    <phoneticPr fontId="3"/>
  </si>
  <si>
    <t>K5000</t>
    <phoneticPr fontId="3"/>
  </si>
  <si>
    <t>備考欄1000</t>
    <phoneticPr fontId="3"/>
  </si>
  <si>
    <t>備考欄1100</t>
    <phoneticPr fontId="3"/>
  </si>
  <si>
    <t>備考欄1110</t>
    <phoneticPr fontId="3"/>
  </si>
  <si>
    <t>備考欄1120</t>
    <phoneticPr fontId="3"/>
  </si>
  <si>
    <t>備考欄1130</t>
    <phoneticPr fontId="3"/>
  </si>
  <si>
    <t>備考欄1140</t>
    <phoneticPr fontId="3"/>
  </si>
  <si>
    <t>備考欄1150</t>
    <phoneticPr fontId="3"/>
  </si>
  <si>
    <t>備考欄1160</t>
    <phoneticPr fontId="3"/>
  </si>
  <si>
    <t>備考欄1200</t>
    <phoneticPr fontId="3"/>
  </si>
  <si>
    <t>備考欄1210</t>
    <phoneticPr fontId="3"/>
  </si>
  <si>
    <t>備考欄1220</t>
    <phoneticPr fontId="3"/>
  </si>
  <si>
    <t>備考欄1230</t>
    <phoneticPr fontId="3"/>
  </si>
  <si>
    <t>備考欄1240</t>
    <phoneticPr fontId="3"/>
  </si>
  <si>
    <t>備考欄1250</t>
    <phoneticPr fontId="3"/>
  </si>
  <si>
    <t>備考欄1300</t>
    <phoneticPr fontId="3"/>
  </si>
  <si>
    <t>備考欄1310</t>
    <phoneticPr fontId="3"/>
  </si>
  <si>
    <t>備考欄1320</t>
    <phoneticPr fontId="3"/>
  </si>
  <si>
    <t>備考欄1330</t>
    <phoneticPr fontId="3"/>
  </si>
  <si>
    <t>備考欄1340</t>
    <phoneticPr fontId="3"/>
  </si>
  <si>
    <t>備考欄1400</t>
    <phoneticPr fontId="3"/>
  </si>
  <si>
    <t>備考欄1500</t>
    <phoneticPr fontId="3"/>
  </si>
  <si>
    <t>備考欄1600</t>
    <phoneticPr fontId="3"/>
  </si>
  <si>
    <t>備考欄1700</t>
    <phoneticPr fontId="3"/>
  </si>
  <si>
    <t>備考欄1710</t>
    <phoneticPr fontId="3"/>
  </si>
  <si>
    <t>備考欄1720</t>
    <phoneticPr fontId="3"/>
  </si>
  <si>
    <t>備考欄1730</t>
    <phoneticPr fontId="3"/>
  </si>
  <si>
    <t>備考欄1740</t>
    <phoneticPr fontId="3"/>
  </si>
  <si>
    <t>備考欄1750</t>
    <phoneticPr fontId="3"/>
  </si>
  <si>
    <t>備考欄2000</t>
    <phoneticPr fontId="3"/>
  </si>
  <si>
    <t>備考欄2100</t>
    <phoneticPr fontId="3"/>
  </si>
  <si>
    <t>備考欄2200</t>
    <phoneticPr fontId="3"/>
  </si>
  <si>
    <t>備考欄2210</t>
    <phoneticPr fontId="3"/>
  </si>
  <si>
    <t>備考欄2220</t>
    <phoneticPr fontId="3"/>
  </si>
  <si>
    <t>備考欄2230</t>
    <phoneticPr fontId="3"/>
  </si>
  <si>
    <t>備考欄3000</t>
    <phoneticPr fontId="3"/>
  </si>
  <si>
    <t>備考欄4000</t>
    <phoneticPr fontId="3"/>
  </si>
  <si>
    <t>備考欄4100</t>
    <phoneticPr fontId="3"/>
  </si>
  <si>
    <t>備考欄4200</t>
    <phoneticPr fontId="3"/>
  </si>
  <si>
    <t>備考欄4210</t>
    <phoneticPr fontId="3"/>
  </si>
  <si>
    <t>備考欄4220</t>
    <phoneticPr fontId="3"/>
  </si>
  <si>
    <t>備考欄4230</t>
    <phoneticPr fontId="3"/>
  </si>
  <si>
    <t>備考欄4240</t>
    <phoneticPr fontId="3"/>
  </si>
  <si>
    <t>備考欄4300</t>
    <phoneticPr fontId="3"/>
  </si>
  <si>
    <t>備考欄4310</t>
    <phoneticPr fontId="3"/>
  </si>
  <si>
    <t>備考欄4320</t>
    <phoneticPr fontId="3"/>
  </si>
  <si>
    <t>備考欄4330</t>
    <phoneticPr fontId="3"/>
  </si>
  <si>
    <t>備考欄4400</t>
    <phoneticPr fontId="3"/>
  </si>
  <si>
    <t>備考欄5000</t>
    <phoneticPr fontId="3"/>
  </si>
  <si>
    <t>総合事業の上限額設定状況</t>
    <rPh sb="0" eb="2">
      <t>ソウゴウ</t>
    </rPh>
    <rPh sb="2" eb="4">
      <t>ジギョウ</t>
    </rPh>
    <rPh sb="5" eb="7">
      <t>ジョウゲン</t>
    </rPh>
    <rPh sb="7" eb="8">
      <t>ガク</t>
    </rPh>
    <rPh sb="8" eb="10">
      <t>セッテイ</t>
    </rPh>
    <rPh sb="10" eb="12">
      <t>ジョウキョウ</t>
    </rPh>
    <phoneticPr fontId="3"/>
  </si>
  <si>
    <t>包括的支援事業（地域包括支援センターの運営）及び任意事業上限額設定状況</t>
    <phoneticPr fontId="3"/>
  </si>
  <si>
    <t>包括的支援事業（社会保障充実分）上限額設定状況</t>
    <phoneticPr fontId="3"/>
  </si>
  <si>
    <t>総合事業調整交付金調整基準標準事業費額</t>
    <phoneticPr fontId="3"/>
  </si>
  <si>
    <t>総合事業調整交付金所要額</t>
    <phoneticPr fontId="3"/>
  </si>
  <si>
    <t>重層的支援体制整備事業の実施有無</t>
    <phoneticPr fontId="3"/>
  </si>
  <si>
    <t>重層的支援体制整備事業に要する費用相当額総額</t>
    <rPh sb="0" eb="3">
      <t>ジュウソウテキ</t>
    </rPh>
    <rPh sb="3" eb="5">
      <t>シエン</t>
    </rPh>
    <rPh sb="5" eb="7">
      <t>タイセイ</t>
    </rPh>
    <rPh sb="7" eb="9">
      <t>セイビ</t>
    </rPh>
    <rPh sb="9" eb="11">
      <t>ジギョウ</t>
    </rPh>
    <rPh sb="12" eb="13">
      <t>ヨウ</t>
    </rPh>
    <rPh sb="15" eb="17">
      <t>ヒヨウ</t>
    </rPh>
    <rPh sb="17" eb="20">
      <t>ソウトウガク</t>
    </rPh>
    <rPh sb="20" eb="22">
      <t>ソウガク</t>
    </rPh>
    <phoneticPr fontId="3"/>
  </si>
  <si>
    <t>重層的支援体制整備事業に要する地域介護予防活動支援事業費相当額</t>
    <phoneticPr fontId="3"/>
  </si>
  <si>
    <t>重層的支援体制整備事業に要する地域包括支援センターの運営費相当額</t>
    <phoneticPr fontId="3"/>
  </si>
  <si>
    <t>重層的支援体制整備事業に要する生活支援体制整備事業費相当額</t>
    <phoneticPr fontId="3"/>
  </si>
  <si>
    <t>重層Kセンター運営対象経費基本額（影響額調整後）</t>
    <rPh sb="0" eb="2">
      <t>ジュウソウ</t>
    </rPh>
    <rPh sb="7" eb="9">
      <t>ウンエイ</t>
    </rPh>
    <phoneticPr fontId="3"/>
  </si>
  <si>
    <t>重層aセンター運営地域支援事業で実施される任意事業に要する費用</t>
    <phoneticPr fontId="3"/>
  </si>
  <si>
    <t>重層K'センター運営小計（ K + a ）</t>
    <rPh sb="10" eb="12">
      <t>ショウケイ</t>
    </rPh>
    <phoneticPr fontId="3"/>
  </si>
  <si>
    <t>重層Lセンター運営基準額</t>
    <phoneticPr fontId="3"/>
  </si>
  <si>
    <t>重層bセンター運営K’とLで、いずれか少ない額</t>
    <phoneticPr fontId="3"/>
  </si>
  <si>
    <t>重層Mセンター運営交付基本額（ b - a ）</t>
    <rPh sb="9" eb="11">
      <t>コウフ</t>
    </rPh>
    <rPh sb="11" eb="14">
      <t>キホンガク</t>
    </rPh>
    <phoneticPr fontId="3"/>
  </si>
  <si>
    <t>重層K'エラーセンター運営</t>
    <phoneticPr fontId="3"/>
  </si>
  <si>
    <t>重層bエラーセンター運営</t>
  </si>
  <si>
    <t>重層Mエラーセンター運営</t>
    <phoneticPr fontId="3"/>
  </si>
  <si>
    <t>重層K地域介護予防対象経費基本額（影響額調整後）</t>
    <rPh sb="0" eb="2">
      <t>ジュウソウ</t>
    </rPh>
    <rPh sb="3" eb="5">
      <t>チイキ</t>
    </rPh>
    <rPh sb="5" eb="7">
      <t>カイゴ</t>
    </rPh>
    <rPh sb="7" eb="9">
      <t>ヨボウ</t>
    </rPh>
    <phoneticPr fontId="3"/>
  </si>
  <si>
    <t>重層a地域介護予防地域支援事業で実施される介護予防・日常生活支援総合事業に要する費用</t>
    <phoneticPr fontId="3"/>
  </si>
  <si>
    <t>重層K'地域介護予防小計（ K + a ）</t>
    <rPh sb="10" eb="12">
      <t>ショウケイ</t>
    </rPh>
    <phoneticPr fontId="3"/>
  </si>
  <si>
    <t>重層L地域介護予防基準額</t>
    <phoneticPr fontId="3"/>
  </si>
  <si>
    <t>重層b地域介護予防K’とLで、いずれか少ない額</t>
    <phoneticPr fontId="3"/>
  </si>
  <si>
    <t>重層M地域介護予防交付基本額（ b - a ）</t>
    <rPh sb="9" eb="11">
      <t>コウフ</t>
    </rPh>
    <rPh sb="11" eb="14">
      <t>キホンガク</t>
    </rPh>
    <phoneticPr fontId="3"/>
  </si>
  <si>
    <t>重層K'エラー地域介護予防</t>
    <rPh sb="7" eb="9">
      <t>チイキ</t>
    </rPh>
    <rPh sb="9" eb="11">
      <t>カイゴ</t>
    </rPh>
    <rPh sb="11" eb="13">
      <t>ヨボウ</t>
    </rPh>
    <phoneticPr fontId="3"/>
  </si>
  <si>
    <t>重層bエラー地域介護予防</t>
  </si>
  <si>
    <t>重層Mエラー地域介護予防</t>
    <phoneticPr fontId="3"/>
  </si>
  <si>
    <t>重層K生活支援体制整備対象経費基本額（影響額調整後）</t>
    <rPh sb="0" eb="2">
      <t>ジュウソウ</t>
    </rPh>
    <rPh sb="3" eb="5">
      <t>セイカツ</t>
    </rPh>
    <rPh sb="5" eb="7">
      <t>シエン</t>
    </rPh>
    <rPh sb="7" eb="9">
      <t>タイセイ</t>
    </rPh>
    <rPh sb="9" eb="11">
      <t>セイビ</t>
    </rPh>
    <phoneticPr fontId="3"/>
  </si>
  <si>
    <t>重層a生活支援体制整備地域支援事業で実施される包括的支援事業（社会保障充実分）に要する費用</t>
    <phoneticPr fontId="3"/>
  </si>
  <si>
    <t>重層K'生活支援体制整備小計（ K + a ）</t>
    <rPh sb="12" eb="14">
      <t>ショウケイ</t>
    </rPh>
    <phoneticPr fontId="3"/>
  </si>
  <si>
    <t>重層L生活支援体制整備基準額</t>
    <phoneticPr fontId="3"/>
  </si>
  <si>
    <t>重層b生活支援体制整備K’とLで、いずれか少ない額</t>
    <phoneticPr fontId="3"/>
  </si>
  <si>
    <t>重層M生活支援体制整備交付基本額（ b - a ）</t>
    <rPh sb="11" eb="13">
      <t>コウフ</t>
    </rPh>
    <rPh sb="13" eb="16">
      <t>キホンガク</t>
    </rPh>
    <phoneticPr fontId="3"/>
  </si>
  <si>
    <t>重層K'エラー生活支援体制整備</t>
    <rPh sb="7" eb="15">
      <t>セイカツシエンタイセイセイビ</t>
    </rPh>
    <phoneticPr fontId="3"/>
  </si>
  <si>
    <t>重層bエラー生活支援体制整備</t>
  </si>
  <si>
    <t>重層Mエラー生活支援体制整備</t>
    <phoneticPr fontId="3"/>
  </si>
  <si>
    <t>02基本の上限額</t>
    <rPh sb="2" eb="4">
      <t>キホン</t>
    </rPh>
    <phoneticPr fontId="3"/>
  </si>
  <si>
    <t>02介護予防給付全体の伸びを考慮する上限額</t>
    <phoneticPr fontId="3"/>
  </si>
  <si>
    <t>02特例イ</t>
    <phoneticPr fontId="3"/>
  </si>
  <si>
    <t>02特例ロ</t>
    <phoneticPr fontId="3"/>
  </si>
  <si>
    <t>02原則の上限額</t>
    <phoneticPr fontId="3"/>
  </si>
  <si>
    <t>02予防給付＋介護予防等事業の額</t>
    <phoneticPr fontId="3"/>
  </si>
  <si>
    <t>02予防給付の額</t>
    <phoneticPr fontId="3"/>
  </si>
  <si>
    <t>02予防給付全体の額（移行前年度）</t>
    <phoneticPr fontId="3"/>
  </si>
  <si>
    <t>02予防給付全体の額（今年度）</t>
    <phoneticPr fontId="3"/>
  </si>
  <si>
    <t>0275歳人口(平成２３年１０月１日)</t>
    <phoneticPr fontId="3"/>
  </si>
  <si>
    <t>0275歳人口(平成２４年１０月１日)</t>
    <phoneticPr fontId="3"/>
  </si>
  <si>
    <t>0275歳人口(平成２５年１０月１日)</t>
    <phoneticPr fontId="3"/>
  </si>
  <si>
    <t>0275歳人口(平成２６年１０月１日)</t>
    <phoneticPr fontId="3"/>
  </si>
  <si>
    <t>0275歳人口(平成２７年１０月１日)</t>
    <phoneticPr fontId="3"/>
  </si>
  <si>
    <t>0275歳人口(平成２８年１０月１日)</t>
    <phoneticPr fontId="3"/>
  </si>
  <si>
    <t>0275歳人口(平成２９年１０月１日)</t>
    <phoneticPr fontId="3"/>
  </si>
  <si>
    <t>0275歳人口(平成３０年１０月１日)</t>
    <phoneticPr fontId="3"/>
  </si>
  <si>
    <t>0275歳人口(令和元年１０月１日)</t>
    <phoneticPr fontId="3"/>
  </si>
  <si>
    <t>0275歳人口(令和２年１０月１日)</t>
    <phoneticPr fontId="3"/>
  </si>
  <si>
    <t>0275歳人口(令和３年１０月１日)</t>
    <phoneticPr fontId="3"/>
  </si>
  <si>
    <t>0275歳人口(令和４年１０月１日)</t>
    <phoneticPr fontId="3"/>
  </si>
  <si>
    <t>025歳人口(令和５年１０月１日)</t>
    <phoneticPr fontId="3"/>
  </si>
  <si>
    <t>025歳人口(令和６年１０月１日)</t>
    <phoneticPr fontId="3"/>
  </si>
  <si>
    <t>0275歳以上高齢者伸び率使用値（基本の上限額を算定するにあたって参照する値）</t>
    <phoneticPr fontId="3"/>
  </si>
  <si>
    <t>0275歳以上高齢者伸び率使用値（特例イ・ロの額を算定するにあたって参照する値）</t>
    <phoneticPr fontId="3"/>
  </si>
  <si>
    <t>02平成２９年度の介護予防・日常生活支援総合事業費額</t>
    <phoneticPr fontId="3"/>
  </si>
  <si>
    <t>02平成29年度の予防給付費額（介護予防訪問介護・介護予防通所介護・介護予防支援の合計額）</t>
    <rPh sb="2" eb="4">
      <t>ヘイセイ</t>
    </rPh>
    <rPh sb="6" eb="8">
      <t>ネンド</t>
    </rPh>
    <rPh sb="9" eb="11">
      <t>ヨボウ</t>
    </rPh>
    <rPh sb="13" eb="14">
      <t>ヒ</t>
    </rPh>
    <rPh sb="14" eb="15">
      <t>ガク</t>
    </rPh>
    <rPh sb="16" eb="18">
      <t>カイゴ</t>
    </rPh>
    <rPh sb="18" eb="20">
      <t>ヨボウ</t>
    </rPh>
    <rPh sb="22" eb="24">
      <t>カイゴ</t>
    </rPh>
    <rPh sb="25" eb="27">
      <t>カイゴ</t>
    </rPh>
    <rPh sb="27" eb="29">
      <t>ヨボウ</t>
    </rPh>
    <rPh sb="31" eb="33">
      <t>カイゴ</t>
    </rPh>
    <rPh sb="34" eb="36">
      <t>カイゴ</t>
    </rPh>
    <phoneticPr fontId="3"/>
  </si>
  <si>
    <t>02平成２９年度の予防給付費額全体</t>
    <phoneticPr fontId="3"/>
  </si>
  <si>
    <t>02対象経費実支出額（清算書D欄）</t>
    <rPh sb="6" eb="7">
      <t>ジツ</t>
    </rPh>
    <rPh sb="7" eb="9">
      <t>シシュツ</t>
    </rPh>
    <rPh sb="11" eb="14">
      <t>セイサンショ</t>
    </rPh>
    <rPh sb="15" eb="16">
      <t>ラン</t>
    </rPh>
    <phoneticPr fontId="3"/>
  </si>
  <si>
    <t>02実績に基づく上限超過額</t>
    <phoneticPr fontId="3"/>
  </si>
  <si>
    <t>02個別協議の要否</t>
    <rPh sb="7" eb="9">
      <t>ヨウヒ</t>
    </rPh>
    <phoneticPr fontId="3"/>
  </si>
  <si>
    <t>02個別協議希望の有無</t>
    <phoneticPr fontId="3"/>
  </si>
  <si>
    <t>02事前の個別協議を行わない場合の政令で定める上限額</t>
    <phoneticPr fontId="3"/>
  </si>
  <si>
    <t>02前年10月１日人口</t>
    <rPh sb="2" eb="4">
      <t>ゼンネン</t>
    </rPh>
    <phoneticPr fontId="3"/>
  </si>
  <si>
    <t>02前年10月１日65歳以上人口</t>
    <rPh sb="2" eb="4">
      <t>ゼンネン</t>
    </rPh>
    <phoneticPr fontId="3"/>
  </si>
  <si>
    <t>02交付申請時における事前の個別協議の承認有無</t>
    <phoneticPr fontId="3"/>
  </si>
  <si>
    <t>02事由④の該当性</t>
    <rPh sb="2" eb="4">
      <t>ジユウ</t>
    </rPh>
    <rPh sb="6" eb="9">
      <t>ガイトウセイ</t>
    </rPh>
    <phoneticPr fontId="3"/>
  </si>
  <si>
    <t>02上限超過承認希望額（事由④）</t>
    <rPh sb="2" eb="4">
      <t>ジョウゲン</t>
    </rPh>
    <rPh sb="4" eb="6">
      <t>チョウカ</t>
    </rPh>
    <rPh sb="6" eb="8">
      <t>ショウニン</t>
    </rPh>
    <rPh sb="8" eb="10">
      <t>キボウ</t>
    </rPh>
    <rPh sb="10" eb="11">
      <t>ガク</t>
    </rPh>
    <rPh sb="12" eb="14">
      <t>ジユウ</t>
    </rPh>
    <phoneticPr fontId="3"/>
  </si>
  <si>
    <t>02高齢者１人あたり事業費</t>
    <phoneticPr fontId="3"/>
  </si>
  <si>
    <t>02「離島等の市町村」への該当性</t>
    <phoneticPr fontId="3"/>
  </si>
  <si>
    <t>02事由⑤の該当性</t>
    <rPh sb="2" eb="4">
      <t>ジユウ</t>
    </rPh>
    <rPh sb="6" eb="9">
      <t>ガイトウセイ</t>
    </rPh>
    <phoneticPr fontId="3"/>
  </si>
  <si>
    <t>02上限超過承認希望額（事由⑤）</t>
    <rPh sb="2" eb="4">
      <t>ジョウゲン</t>
    </rPh>
    <rPh sb="4" eb="6">
      <t>チョウカ</t>
    </rPh>
    <rPh sb="6" eb="8">
      <t>ショウニン</t>
    </rPh>
    <rPh sb="8" eb="10">
      <t>キボウ</t>
    </rPh>
    <rPh sb="10" eb="11">
      <t>ガク</t>
    </rPh>
    <rPh sb="12" eb="14">
      <t>ジユウ</t>
    </rPh>
    <phoneticPr fontId="3"/>
  </si>
  <si>
    <t>0275歳以上被保険者数変動率</t>
    <phoneticPr fontId="3"/>
  </si>
  <si>
    <t>02将来における介護予防・日常生活支援総合事業に要する費用の低減に資すると見込まれる事業の実施の有無</t>
    <rPh sb="2" eb="4">
      <t>ショウライ</t>
    </rPh>
    <rPh sb="8" eb="10">
      <t>カイゴ</t>
    </rPh>
    <rPh sb="10" eb="12">
      <t>ヨボウ</t>
    </rPh>
    <rPh sb="13" eb="15">
      <t>ニチジョウ</t>
    </rPh>
    <rPh sb="15" eb="17">
      <t>セイカツ</t>
    </rPh>
    <rPh sb="17" eb="19">
      <t>シエン</t>
    </rPh>
    <rPh sb="19" eb="21">
      <t>ソウゴウ</t>
    </rPh>
    <rPh sb="21" eb="23">
      <t>ジギョウ</t>
    </rPh>
    <rPh sb="24" eb="25">
      <t>ヨウ</t>
    </rPh>
    <rPh sb="27" eb="29">
      <t>ヒヨウ</t>
    </rPh>
    <rPh sb="30" eb="32">
      <t>テイゲン</t>
    </rPh>
    <rPh sb="33" eb="34">
      <t>シ</t>
    </rPh>
    <rPh sb="37" eb="39">
      <t>ミコ</t>
    </rPh>
    <rPh sb="42" eb="44">
      <t>ジギョウ</t>
    </rPh>
    <rPh sb="45" eb="47">
      <t>ジッシ</t>
    </rPh>
    <rPh sb="48" eb="50">
      <t>ウム</t>
    </rPh>
    <phoneticPr fontId="4"/>
  </si>
  <si>
    <t>02前年度における当該③による個別協議の有無</t>
    <rPh sb="2" eb="5">
      <t>ゼンネンド</t>
    </rPh>
    <rPh sb="3" eb="5">
      <t>ネンド</t>
    </rPh>
    <rPh sb="9" eb="11">
      <t>トウガイ</t>
    </rPh>
    <rPh sb="15" eb="17">
      <t>コベツ</t>
    </rPh>
    <rPh sb="17" eb="19">
      <t>キョウギ</t>
    </rPh>
    <rPh sb="20" eb="22">
      <t>ウム</t>
    </rPh>
    <phoneticPr fontId="5"/>
  </si>
  <si>
    <t>02前年度における上限超過承認額・・・ア</t>
    <rPh sb="2" eb="3">
      <t>マエ</t>
    </rPh>
    <rPh sb="3" eb="5">
      <t>ネンド</t>
    </rPh>
    <phoneticPr fontId="3"/>
  </si>
  <si>
    <t>02前年10月１日における75歳以上の人口</t>
    <rPh sb="2" eb="3">
      <t>マエ</t>
    </rPh>
    <phoneticPr fontId="3"/>
  </si>
  <si>
    <t>02前年10月１日における75歳以上80歳未満人口</t>
    <rPh sb="2" eb="3">
      <t>マエ</t>
    </rPh>
    <phoneticPr fontId="3"/>
  </si>
  <si>
    <t>02前年10月１日における80歳以上85歳未満人口</t>
    <rPh sb="2" eb="3">
      <t>マエ</t>
    </rPh>
    <phoneticPr fontId="3"/>
  </si>
  <si>
    <t>02前年10月１日における85歳以上の人口</t>
    <rPh sb="2" eb="3">
      <t>マエ</t>
    </rPh>
    <phoneticPr fontId="5"/>
  </si>
  <si>
    <t>02前年度の10月１日における75歳以上80歳未満人口を同日における75歳以上人口で除して得た率・・・X1</t>
    <rPh sb="2" eb="5">
      <t>ゼンネンド</t>
    </rPh>
    <rPh sb="3" eb="5">
      <t>ネンド</t>
    </rPh>
    <rPh sb="8" eb="9">
      <t>ガツ</t>
    </rPh>
    <rPh sb="10" eb="11">
      <t>ニチ</t>
    </rPh>
    <rPh sb="17" eb="20">
      <t>サイイジョウ</t>
    </rPh>
    <rPh sb="22" eb="25">
      <t>サイミマン</t>
    </rPh>
    <rPh sb="25" eb="27">
      <t>ジンコウ</t>
    </rPh>
    <rPh sb="28" eb="30">
      <t>ドウジツ</t>
    </rPh>
    <rPh sb="36" eb="39">
      <t>サイイジョウ</t>
    </rPh>
    <rPh sb="39" eb="41">
      <t>ジンコウ</t>
    </rPh>
    <rPh sb="42" eb="43">
      <t>ジョ</t>
    </rPh>
    <rPh sb="45" eb="46">
      <t>エ</t>
    </rPh>
    <rPh sb="47" eb="48">
      <t>リツ</t>
    </rPh>
    <phoneticPr fontId="5"/>
  </si>
  <si>
    <t>02前年度の10月１日における80歳以上85歳未満人口を同日における75歳以上人口で除して得た率・・・Y1</t>
    <rPh sb="2" eb="3">
      <t>マエ</t>
    </rPh>
    <rPh sb="3" eb="5">
      <t>ネンド</t>
    </rPh>
    <rPh sb="8" eb="9">
      <t>ガツ</t>
    </rPh>
    <rPh sb="10" eb="11">
      <t>ニチ</t>
    </rPh>
    <rPh sb="17" eb="20">
      <t>サイイジョウ</t>
    </rPh>
    <rPh sb="22" eb="25">
      <t>サイミマン</t>
    </rPh>
    <rPh sb="25" eb="27">
      <t>ジンコウ</t>
    </rPh>
    <rPh sb="28" eb="30">
      <t>ドウジツ</t>
    </rPh>
    <rPh sb="36" eb="39">
      <t>サイイジョウ</t>
    </rPh>
    <rPh sb="39" eb="41">
      <t>ジンコウ</t>
    </rPh>
    <rPh sb="42" eb="43">
      <t>ジョ</t>
    </rPh>
    <rPh sb="45" eb="46">
      <t>エ</t>
    </rPh>
    <rPh sb="47" eb="48">
      <t>リツ</t>
    </rPh>
    <phoneticPr fontId="5"/>
  </si>
  <si>
    <t>02前年度の10月１日における85歳以上人口を同日における75歳以上人口で除して得た率・・・Z1</t>
    <rPh sb="2" eb="3">
      <t>マエ</t>
    </rPh>
    <rPh sb="3" eb="5">
      <t>ネンド</t>
    </rPh>
    <phoneticPr fontId="5"/>
  </si>
  <si>
    <t>令和３年10月１日における75歳以上の人口</t>
  </si>
  <si>
    <t>02当該年度の初日の属する年の４年前の４月１日の属する年度の10月１日における75歳以上80歳未満人口</t>
    <rPh sb="2" eb="4">
      <t>トウガイ</t>
    </rPh>
    <rPh sb="4" eb="6">
      <t>ネンド</t>
    </rPh>
    <rPh sb="7" eb="9">
      <t>ショニチ</t>
    </rPh>
    <rPh sb="10" eb="11">
      <t>ゾク</t>
    </rPh>
    <rPh sb="13" eb="14">
      <t>トシ</t>
    </rPh>
    <rPh sb="16" eb="18">
      <t>ネンマエ</t>
    </rPh>
    <rPh sb="20" eb="21">
      <t>ガツ</t>
    </rPh>
    <rPh sb="22" eb="23">
      <t>ニチ</t>
    </rPh>
    <rPh sb="24" eb="25">
      <t>ゾク</t>
    </rPh>
    <rPh sb="27" eb="29">
      <t>ネンド</t>
    </rPh>
    <phoneticPr fontId="5"/>
  </si>
  <si>
    <t>02当該年度の初日の属する年の４年前の４月１日の属する年度の10月１日における80歳以上85歳未満人口</t>
    <rPh sb="2" eb="4">
      <t>トウガイ</t>
    </rPh>
    <rPh sb="4" eb="6">
      <t>ネンド</t>
    </rPh>
    <rPh sb="7" eb="9">
      <t>ショニチ</t>
    </rPh>
    <rPh sb="10" eb="11">
      <t>ゾク</t>
    </rPh>
    <rPh sb="13" eb="14">
      <t>トシ</t>
    </rPh>
    <rPh sb="16" eb="18">
      <t>ネンマエ</t>
    </rPh>
    <rPh sb="20" eb="21">
      <t>ガツ</t>
    </rPh>
    <rPh sb="22" eb="23">
      <t>ニチ</t>
    </rPh>
    <rPh sb="24" eb="25">
      <t>ゾク</t>
    </rPh>
    <rPh sb="27" eb="29">
      <t>ネンド</t>
    </rPh>
    <phoneticPr fontId="5"/>
  </si>
  <si>
    <t>02当該年度の初日の属する年の４年前の４月１日の属する年度の10月１日における85歳以上の人口</t>
    <rPh sb="2" eb="4">
      <t>トウガイ</t>
    </rPh>
    <rPh sb="4" eb="6">
      <t>ネンド</t>
    </rPh>
    <rPh sb="7" eb="9">
      <t>ショニチ</t>
    </rPh>
    <rPh sb="10" eb="11">
      <t>ゾク</t>
    </rPh>
    <rPh sb="13" eb="14">
      <t>トシ</t>
    </rPh>
    <rPh sb="16" eb="18">
      <t>ネンマエ</t>
    </rPh>
    <rPh sb="20" eb="21">
      <t>ガツ</t>
    </rPh>
    <rPh sb="22" eb="23">
      <t>ニチ</t>
    </rPh>
    <rPh sb="24" eb="25">
      <t>ゾク</t>
    </rPh>
    <rPh sb="27" eb="29">
      <t>ネンド</t>
    </rPh>
    <phoneticPr fontId="5"/>
  </si>
  <si>
    <t>02当該年度の初日の属する年の４年前の４月１日の属する年度の10月１日における75歳以上80歳未満人口を同日における75歳以上人口で除して得た率・・・X2</t>
    <rPh sb="2" eb="4">
      <t>トウガイ</t>
    </rPh>
    <rPh sb="4" eb="6">
      <t>ネンド</t>
    </rPh>
    <rPh sb="7" eb="9">
      <t>ショニチ</t>
    </rPh>
    <rPh sb="10" eb="11">
      <t>ゾク</t>
    </rPh>
    <rPh sb="13" eb="14">
      <t>トシ</t>
    </rPh>
    <rPh sb="16" eb="18">
      <t>ネンマエ</t>
    </rPh>
    <rPh sb="20" eb="21">
      <t>ガツ</t>
    </rPh>
    <rPh sb="22" eb="23">
      <t>ニチ</t>
    </rPh>
    <rPh sb="24" eb="25">
      <t>ゾク</t>
    </rPh>
    <rPh sb="27" eb="29">
      <t>ネンド</t>
    </rPh>
    <rPh sb="32" eb="33">
      <t>ガツ</t>
    </rPh>
    <rPh sb="34" eb="35">
      <t>ニチ</t>
    </rPh>
    <rPh sb="41" eb="44">
      <t>サイイジョウ</t>
    </rPh>
    <rPh sb="46" eb="49">
      <t>サイミマン</t>
    </rPh>
    <rPh sb="49" eb="51">
      <t>ジンコウ</t>
    </rPh>
    <rPh sb="52" eb="54">
      <t>ドウジツ</t>
    </rPh>
    <rPh sb="60" eb="63">
      <t>サイイジョウ</t>
    </rPh>
    <rPh sb="63" eb="65">
      <t>ジンコウ</t>
    </rPh>
    <rPh sb="66" eb="67">
      <t>ジョ</t>
    </rPh>
    <rPh sb="69" eb="70">
      <t>エ</t>
    </rPh>
    <rPh sb="71" eb="72">
      <t>リツ</t>
    </rPh>
    <phoneticPr fontId="5"/>
  </si>
  <si>
    <t>02当該年度の初日の属する年の４年前の４月１日の属する年度の10月１日における80歳以上85歳未満人口を同日における75歳以上人口で除して得た率・・・Y2</t>
    <rPh sb="2" eb="4">
      <t>トウガイ</t>
    </rPh>
    <rPh sb="4" eb="6">
      <t>ネンド</t>
    </rPh>
    <rPh sb="7" eb="9">
      <t>ショニチ</t>
    </rPh>
    <rPh sb="10" eb="11">
      <t>ゾク</t>
    </rPh>
    <rPh sb="13" eb="14">
      <t>トシ</t>
    </rPh>
    <rPh sb="16" eb="18">
      <t>ネンマエ</t>
    </rPh>
    <rPh sb="20" eb="21">
      <t>ガツ</t>
    </rPh>
    <rPh sb="22" eb="23">
      <t>ニチ</t>
    </rPh>
    <rPh sb="24" eb="25">
      <t>ゾク</t>
    </rPh>
    <rPh sb="27" eb="29">
      <t>ネンド</t>
    </rPh>
    <rPh sb="32" eb="33">
      <t>ガツ</t>
    </rPh>
    <rPh sb="34" eb="35">
      <t>ニチ</t>
    </rPh>
    <rPh sb="49" eb="51">
      <t>ジンコウ</t>
    </rPh>
    <rPh sb="52" eb="54">
      <t>ドウジツ</t>
    </rPh>
    <rPh sb="60" eb="63">
      <t>サイイジョウ</t>
    </rPh>
    <rPh sb="63" eb="65">
      <t>ジンコウ</t>
    </rPh>
    <rPh sb="66" eb="67">
      <t>ジョ</t>
    </rPh>
    <rPh sb="69" eb="70">
      <t>エ</t>
    </rPh>
    <rPh sb="71" eb="72">
      <t>リツ</t>
    </rPh>
    <phoneticPr fontId="5"/>
  </si>
  <si>
    <t>02当該年度の初日の属する年の４年前の４月１日の属する年度の10月１日における85歳以上人口を同日における75歳以上人口で除して得た率・・・Z2</t>
    <rPh sb="2" eb="4">
      <t>トウガイ</t>
    </rPh>
    <rPh sb="4" eb="6">
      <t>ネンド</t>
    </rPh>
    <rPh sb="7" eb="9">
      <t>ショニチ</t>
    </rPh>
    <rPh sb="10" eb="11">
      <t>ゾク</t>
    </rPh>
    <rPh sb="13" eb="14">
      <t>トシ</t>
    </rPh>
    <rPh sb="16" eb="18">
      <t>ネンマエ</t>
    </rPh>
    <rPh sb="20" eb="21">
      <t>ガツ</t>
    </rPh>
    <rPh sb="22" eb="23">
      <t>ニチ</t>
    </rPh>
    <rPh sb="24" eb="25">
      <t>ゾク</t>
    </rPh>
    <rPh sb="27" eb="29">
      <t>ネンド</t>
    </rPh>
    <phoneticPr fontId="5"/>
  </si>
  <si>
    <t>02　A×0.9×(X1＋Y1×2＋Z1×3)/(X2＋Y2×2＋Z2×3)＋A×0.1－A・・・イ</t>
    <phoneticPr fontId="3"/>
  </si>
  <si>
    <t>02事由③の該当性</t>
    <rPh sb="2" eb="4">
      <t>ジユウ</t>
    </rPh>
    <phoneticPr fontId="3"/>
  </si>
  <si>
    <t>02上限超過承認希望額（事由③）</t>
    <rPh sb="2" eb="4">
      <t>ジョウゲン</t>
    </rPh>
    <rPh sb="4" eb="6">
      <t>チョウカ</t>
    </rPh>
    <rPh sb="6" eb="8">
      <t>ショウニン</t>
    </rPh>
    <rPh sb="8" eb="10">
      <t>キボウ</t>
    </rPh>
    <rPh sb="10" eb="11">
      <t>ガク</t>
    </rPh>
    <rPh sb="12" eb="14">
      <t>ジユウ</t>
    </rPh>
    <phoneticPr fontId="3"/>
  </si>
  <si>
    <t>02介護予防の効果が高く、かつ、将来における介護予防・日常生活支援総合事業に要する費用の低減に資すると見込まれる新たな事業の開始年度</t>
    <rPh sb="2" eb="4">
      <t>カイゴ</t>
    </rPh>
    <rPh sb="4" eb="6">
      <t>ヨボウ</t>
    </rPh>
    <rPh sb="7" eb="9">
      <t>コウカ</t>
    </rPh>
    <rPh sb="10" eb="11">
      <t>タカ</t>
    </rPh>
    <rPh sb="16" eb="18">
      <t>ショウライ</t>
    </rPh>
    <rPh sb="22" eb="24">
      <t>カイゴ</t>
    </rPh>
    <rPh sb="24" eb="26">
      <t>ヨボウ</t>
    </rPh>
    <rPh sb="27" eb="29">
      <t>ニチジョウ</t>
    </rPh>
    <rPh sb="29" eb="31">
      <t>セイカツ</t>
    </rPh>
    <rPh sb="31" eb="33">
      <t>シエン</t>
    </rPh>
    <rPh sb="33" eb="35">
      <t>ソウゴウ</t>
    </rPh>
    <rPh sb="35" eb="37">
      <t>ジギョウ</t>
    </rPh>
    <rPh sb="38" eb="39">
      <t>ヨウ</t>
    </rPh>
    <rPh sb="41" eb="43">
      <t>ヒヨウ</t>
    </rPh>
    <rPh sb="44" eb="46">
      <t>テイゲン</t>
    </rPh>
    <rPh sb="47" eb="48">
      <t>シ</t>
    </rPh>
    <rPh sb="51" eb="53">
      <t>ミコ</t>
    </rPh>
    <rPh sb="56" eb="57">
      <t>アラ</t>
    </rPh>
    <rPh sb="59" eb="61">
      <t>ジギョウ</t>
    </rPh>
    <rPh sb="62" eb="64">
      <t>カイシ</t>
    </rPh>
    <rPh sb="64" eb="66">
      <t>ネンド</t>
    </rPh>
    <phoneticPr fontId="6"/>
  </si>
  <si>
    <t>02事由②の該当性（1年度目）</t>
    <rPh sb="2" eb="4">
      <t>ジユウ</t>
    </rPh>
    <rPh sb="11" eb="14">
      <t>ネンドメ</t>
    </rPh>
    <phoneticPr fontId="3"/>
  </si>
  <si>
    <t>02新たなプログラム等の実施に要する額（１年度目の上限超過承認希望額）</t>
    <rPh sb="21" eb="24">
      <t>ネンドメ</t>
    </rPh>
    <rPh sb="25" eb="27">
      <t>ジョウゲン</t>
    </rPh>
    <rPh sb="27" eb="29">
      <t>チョウカ</t>
    </rPh>
    <rPh sb="29" eb="31">
      <t>ショウニン</t>
    </rPh>
    <rPh sb="31" eb="33">
      <t>キボウ</t>
    </rPh>
    <rPh sb="33" eb="34">
      <t>ガク</t>
    </rPh>
    <phoneticPr fontId="3"/>
  </si>
  <si>
    <t>02前年度における本事由に係る上限超過承認額（２年度目）</t>
    <rPh sb="2" eb="3">
      <t>マエ</t>
    </rPh>
    <rPh sb="3" eb="5">
      <t>ネンド</t>
    </rPh>
    <rPh sb="9" eb="10">
      <t>ホン</t>
    </rPh>
    <rPh sb="10" eb="12">
      <t>ジユウ</t>
    </rPh>
    <rPh sb="13" eb="14">
      <t>カカ</t>
    </rPh>
    <rPh sb="15" eb="17">
      <t>ジョウゲン</t>
    </rPh>
    <rPh sb="17" eb="19">
      <t>チョウカ</t>
    </rPh>
    <rPh sb="19" eb="22">
      <t>ショウニンガク</t>
    </rPh>
    <rPh sb="24" eb="27">
      <t>ネンドメ</t>
    </rPh>
    <phoneticPr fontId="3"/>
  </si>
  <si>
    <t>02当該年度における新たなプログラム等の実施に要する額</t>
    <rPh sb="2" eb="4">
      <t>トウガイ</t>
    </rPh>
    <rPh sb="4" eb="6">
      <t>ネンド</t>
    </rPh>
    <rPh sb="6" eb="8">
      <t>トウネンド</t>
    </rPh>
    <rPh sb="10" eb="11">
      <t>アラ</t>
    </rPh>
    <rPh sb="18" eb="19">
      <t>ナド</t>
    </rPh>
    <rPh sb="20" eb="22">
      <t>ジッシ</t>
    </rPh>
    <rPh sb="23" eb="24">
      <t>ヨウ</t>
    </rPh>
    <rPh sb="26" eb="27">
      <t>ガク</t>
    </rPh>
    <phoneticPr fontId="3"/>
  </si>
  <si>
    <t>02前年度における個別協議の際に申請した当該見込み額</t>
    <rPh sb="2" eb="3">
      <t>マエ</t>
    </rPh>
    <rPh sb="3" eb="5">
      <t>ネンド</t>
    </rPh>
    <phoneticPr fontId="3"/>
  </si>
  <si>
    <t>02事由②の該当性（2年度目）</t>
    <rPh sb="2" eb="4">
      <t>ジユウ</t>
    </rPh>
    <rPh sb="11" eb="14">
      <t>ネンドメ</t>
    </rPh>
    <phoneticPr fontId="3"/>
  </si>
  <si>
    <t>02　２年度目の上限超過承認希望額</t>
    <phoneticPr fontId="3"/>
  </si>
  <si>
    <t>02前年度における本事由に係る上限超過承認額（３年度目）</t>
    <rPh sb="2" eb="3">
      <t>マエ</t>
    </rPh>
    <rPh sb="3" eb="5">
      <t>ネンド</t>
    </rPh>
    <rPh sb="9" eb="10">
      <t>ホン</t>
    </rPh>
    <rPh sb="10" eb="12">
      <t>ジユウ</t>
    </rPh>
    <rPh sb="13" eb="14">
      <t>カカ</t>
    </rPh>
    <rPh sb="15" eb="17">
      <t>ジョウゲン</t>
    </rPh>
    <rPh sb="17" eb="19">
      <t>チョウカ</t>
    </rPh>
    <rPh sb="19" eb="22">
      <t>ショウニンガク</t>
    </rPh>
    <rPh sb="24" eb="27">
      <t>ネンドメ</t>
    </rPh>
    <phoneticPr fontId="3"/>
  </si>
  <si>
    <t>02当該年度年度における新たなプログラム等の実施に要する額</t>
    <rPh sb="2" eb="4">
      <t>トウガイ</t>
    </rPh>
    <phoneticPr fontId="3"/>
  </si>
  <si>
    <t>02事由②の該当性（３年度目）</t>
    <rPh sb="2" eb="4">
      <t>ジユウ</t>
    </rPh>
    <rPh sb="11" eb="14">
      <t>ネンドメ</t>
    </rPh>
    <phoneticPr fontId="3"/>
  </si>
  <si>
    <t>02　３年度目の上限超過承認希望額</t>
    <phoneticPr fontId="3"/>
  </si>
  <si>
    <t>02　事由②による上限超過承認希望額</t>
    <rPh sb="3" eb="5">
      <t>ジユウ</t>
    </rPh>
    <phoneticPr fontId="3"/>
  </si>
  <si>
    <t>02従前相当サービス以外の第一号訪問事業の対象経費支出予定額</t>
    <phoneticPr fontId="3"/>
  </si>
  <si>
    <t>02従前相当サービス以外の第一号通所事業の対象経費支出予定額</t>
    <rPh sb="16" eb="18">
      <t>ツウショ</t>
    </rPh>
    <phoneticPr fontId="3"/>
  </si>
  <si>
    <t>02要介護認定又は要支援認定の状況把握</t>
    <phoneticPr fontId="3"/>
  </si>
  <si>
    <t>02数の把握</t>
    <rPh sb="2" eb="3">
      <t>カズ</t>
    </rPh>
    <rPh sb="4" eb="6">
      <t>ハアク</t>
    </rPh>
    <phoneticPr fontId="3"/>
  </si>
  <si>
    <t>02認定率（前々年度末日）</t>
    <rPh sb="6" eb="8">
      <t>ゼンゼン</t>
    </rPh>
    <phoneticPr fontId="3"/>
  </si>
  <si>
    <t>02サービス利用率（前々年度末日）</t>
    <rPh sb="6" eb="9">
      <t>リヨウリツ</t>
    </rPh>
    <phoneticPr fontId="3"/>
  </si>
  <si>
    <t>02認定率（前前々年度末日）</t>
    <rPh sb="7" eb="9">
      <t>ゼンゼン</t>
    </rPh>
    <rPh sb="9" eb="12">
      <t>ネンドマツ</t>
    </rPh>
    <phoneticPr fontId="3"/>
  </si>
  <si>
    <t>02サービス利用率（前前々年度末日）</t>
    <rPh sb="6" eb="9">
      <t>リヨウリツ</t>
    </rPh>
    <phoneticPr fontId="3"/>
  </si>
  <si>
    <t>02前々年度の末日における認定率－前々々年度年度の末日における認定率≦０</t>
    <rPh sb="2" eb="4">
      <t>ゼンゼン</t>
    </rPh>
    <rPh sb="17" eb="19">
      <t>ゼンゼン</t>
    </rPh>
    <rPh sb="20" eb="22">
      <t>ネンド</t>
    </rPh>
    <rPh sb="22" eb="24">
      <t>ネンド</t>
    </rPh>
    <phoneticPr fontId="3"/>
  </si>
  <si>
    <t>02前々年度の末日におけるサービス利用率－前々々年度の末日におけるサービス利用率≦０</t>
    <rPh sb="2" eb="4">
      <t>ゼンゼン</t>
    </rPh>
    <rPh sb="21" eb="23">
      <t>ゼンゼン</t>
    </rPh>
    <phoneticPr fontId="3"/>
  </si>
  <si>
    <t>02調整済み認定率（前々年度末日）</t>
    <rPh sb="2" eb="4">
      <t>チョウセイ</t>
    </rPh>
    <rPh sb="4" eb="5">
      <t>ズ</t>
    </rPh>
    <rPh sb="10" eb="12">
      <t>ゼンゼン</t>
    </rPh>
    <phoneticPr fontId="3"/>
  </si>
  <si>
    <t>02全国の調整済み認定率の平均（前々年度末日）</t>
    <rPh sb="2" eb="4">
      <t>ゼンコク</t>
    </rPh>
    <rPh sb="5" eb="7">
      <t>チョウセイ</t>
    </rPh>
    <rPh sb="7" eb="8">
      <t>ズ</t>
    </rPh>
    <rPh sb="9" eb="11">
      <t>ニンテイ</t>
    </rPh>
    <rPh sb="11" eb="12">
      <t>リツ</t>
    </rPh>
    <rPh sb="13" eb="15">
      <t>ヘイキン</t>
    </rPh>
    <phoneticPr fontId="3"/>
  </si>
  <si>
    <t>02全国の調整済みサービス利用率の平均（前々年度末日）</t>
    <rPh sb="2" eb="4">
      <t>ゼンコク</t>
    </rPh>
    <rPh sb="5" eb="7">
      <t>チョウセイ</t>
    </rPh>
    <rPh sb="7" eb="8">
      <t>ズ</t>
    </rPh>
    <rPh sb="13" eb="16">
      <t>リヨウリツ</t>
    </rPh>
    <rPh sb="17" eb="19">
      <t>ヘイキン</t>
    </rPh>
    <phoneticPr fontId="3"/>
  </si>
  <si>
    <t>02前々年度の末日における調整済み認定率－前々々年度の末日における全国の調整済み認定率の平均≦０</t>
    <rPh sb="2" eb="4">
      <t>ゼンゼン</t>
    </rPh>
    <rPh sb="21" eb="23">
      <t>ゼンゼン</t>
    </rPh>
    <phoneticPr fontId="3"/>
  </si>
  <si>
    <t>02前々年度の末日における調整済みサービス利用率－前々々年度の末日における全国の調整済みサービス利用率の平均≦０</t>
    <rPh sb="2" eb="4">
      <t>ゼンゼン</t>
    </rPh>
    <rPh sb="25" eb="27">
      <t>ゼンゼン</t>
    </rPh>
    <phoneticPr fontId="3"/>
  </si>
  <si>
    <t>02事由⑨の該当性</t>
    <rPh sb="2" eb="4">
      <t>ジユウ</t>
    </rPh>
    <phoneticPr fontId="3"/>
  </si>
  <si>
    <t>02前々年度の末日に要介護認定を受けていた第１号被保険者であって、前年度の末日に要支援認定を受けている又は要介護認定及び要支援認定のいずれも受けていない者の数</t>
    <rPh sb="2" eb="4">
      <t>ゼンゼン</t>
    </rPh>
    <rPh sb="33" eb="34">
      <t>ゼン</t>
    </rPh>
    <phoneticPr fontId="3"/>
  </si>
  <si>
    <t>02前年度の介護予防・日常生活支援総合事業のうち従前相当サービスに要する費用の額として、前年度の交付申請に計上した額</t>
    <rPh sb="2" eb="3">
      <t>ゼン</t>
    </rPh>
    <rPh sb="44" eb="47">
      <t>ゼンネンド</t>
    </rPh>
    <phoneticPr fontId="3"/>
  </si>
  <si>
    <t>02前年度において、従前相当サービスを利用した者の数</t>
    <rPh sb="2" eb="3">
      <t>ゼン</t>
    </rPh>
    <phoneticPr fontId="3"/>
  </si>
  <si>
    <t>02上限超過承認額（事由⑨）</t>
    <rPh sb="2" eb="4">
      <t>ジョウゲン</t>
    </rPh>
    <rPh sb="4" eb="6">
      <t>チョウカ</t>
    </rPh>
    <rPh sb="6" eb="8">
      <t>ショウニン</t>
    </rPh>
    <rPh sb="8" eb="9">
      <t>ガク</t>
    </rPh>
    <rPh sb="10" eb="12">
      <t>ジユウ</t>
    </rPh>
    <phoneticPr fontId="3"/>
  </si>
  <si>
    <t>02(4)１、(4)２又は(4)３による個別協議を行う場合の上限超過の承認を希望する額</t>
    <phoneticPr fontId="3"/>
  </si>
  <si>
    <t>02(4)１、(4)２又は(4)３による個別協議を行う場合の政令で定める上限額</t>
    <phoneticPr fontId="3"/>
  </si>
  <si>
    <t>02(4)４のみによる個別協議を行う場合の上限超過の承認を希望する額</t>
    <phoneticPr fontId="3"/>
  </si>
  <si>
    <t>02(4)４のみによる個別協議を行う場合の政令で定める上限額</t>
    <phoneticPr fontId="3"/>
  </si>
  <si>
    <t>02(4)５のみによる個別協議を行う場合の上限超過の承認を希望する額</t>
    <phoneticPr fontId="3"/>
  </si>
  <si>
    <t>02(4)５のみによる個別協議を行う場合の政令で定める上限額</t>
    <phoneticPr fontId="3"/>
  </si>
  <si>
    <t>02事由４による上限超過の承認を希望する額と事由５による上限超過の承認を希望する額の合計</t>
    <phoneticPr fontId="3"/>
  </si>
  <si>
    <t>02事由４による上限超過の承認を希望する額と事由５による上限超過の承認を希望する額の合計ー上限超過額</t>
    <phoneticPr fontId="3"/>
  </si>
  <si>
    <t>02149行目が０以下である場合の事由４による上限超過の承認を希望する額</t>
    <rPh sb="5" eb="7">
      <t>ギョウメ</t>
    </rPh>
    <rPh sb="9" eb="11">
      <t>イカ</t>
    </rPh>
    <rPh sb="14" eb="16">
      <t>バアイ</t>
    </rPh>
    <rPh sb="17" eb="19">
      <t>ジユウ</t>
    </rPh>
    <phoneticPr fontId="3"/>
  </si>
  <si>
    <t>02149行目が０以下である場合の事由５による上限超過の承認を希望する額</t>
    <rPh sb="5" eb="7">
      <t>ギョウメ</t>
    </rPh>
    <rPh sb="9" eb="11">
      <t>イカ</t>
    </rPh>
    <rPh sb="14" eb="16">
      <t>バアイ</t>
    </rPh>
    <rPh sb="17" eb="19">
      <t>ジユウ</t>
    </rPh>
    <phoneticPr fontId="3"/>
  </si>
  <si>
    <t>02149行目が０以下である場合の政令で定める上限額</t>
    <phoneticPr fontId="3"/>
  </si>
  <si>
    <t>02149行目が０を上回る場合、上限超過額ー事由４による上限超過の承認を希望する額</t>
    <rPh sb="5" eb="7">
      <t>ギョウメ</t>
    </rPh>
    <rPh sb="10" eb="12">
      <t>ウワマワ</t>
    </rPh>
    <rPh sb="13" eb="15">
      <t>バアイ</t>
    </rPh>
    <rPh sb="16" eb="18">
      <t>ジョウゲン</t>
    </rPh>
    <rPh sb="18" eb="21">
      <t>チョウカガク</t>
    </rPh>
    <rPh sb="22" eb="24">
      <t>ジユウ</t>
    </rPh>
    <phoneticPr fontId="3"/>
  </si>
  <si>
    <t>02153行目と147行目のいずれか少ない方の額</t>
    <rPh sb="5" eb="7">
      <t>ギョウメ</t>
    </rPh>
    <rPh sb="11" eb="13">
      <t>ギョウメ</t>
    </rPh>
    <rPh sb="18" eb="19">
      <t>スク</t>
    </rPh>
    <rPh sb="21" eb="22">
      <t>ホウ</t>
    </rPh>
    <rPh sb="23" eb="24">
      <t>ガク</t>
    </rPh>
    <phoneticPr fontId="3"/>
  </si>
  <si>
    <t>02149行目が０を上回る場合の事由４による上限超過の承認を希望する額</t>
    <rPh sb="5" eb="7">
      <t>ギョウメ</t>
    </rPh>
    <rPh sb="10" eb="12">
      <t>ウワマワ</t>
    </rPh>
    <rPh sb="13" eb="15">
      <t>バアイ</t>
    </rPh>
    <rPh sb="16" eb="18">
      <t>ジユウ</t>
    </rPh>
    <phoneticPr fontId="3"/>
  </si>
  <si>
    <t>02149行目が０を上回る場合の事由５による上限超過の承認を希望する額</t>
    <rPh sb="5" eb="7">
      <t>ギョウメ</t>
    </rPh>
    <rPh sb="10" eb="12">
      <t>ウワマワ</t>
    </rPh>
    <rPh sb="13" eb="15">
      <t>バアイ</t>
    </rPh>
    <rPh sb="16" eb="18">
      <t>ジユウ</t>
    </rPh>
    <phoneticPr fontId="3"/>
  </si>
  <si>
    <t>02149行目が０を上回る場合の政令で定める上限額</t>
    <rPh sb="5" eb="7">
      <t>ギョウメ</t>
    </rPh>
    <rPh sb="10" eb="12">
      <t>ウワマワ</t>
    </rPh>
    <rPh sb="13" eb="15">
      <t>バアイ</t>
    </rPh>
    <rPh sb="16" eb="18">
      <t>セイレイ</t>
    </rPh>
    <rPh sb="19" eb="20">
      <t>サダ</t>
    </rPh>
    <rPh sb="22" eb="25">
      <t>ジョウゲンガク</t>
    </rPh>
    <phoneticPr fontId="3"/>
  </si>
  <si>
    <t>02事前協議後の上限額（原則の上限額及び①～④のうち最も高い金額）</t>
    <rPh sb="2" eb="4">
      <t>ジゼン</t>
    </rPh>
    <rPh sb="4" eb="6">
      <t>キョウギ</t>
    </rPh>
    <rPh sb="6" eb="7">
      <t>ゴ</t>
    </rPh>
    <phoneticPr fontId="3"/>
  </si>
  <si>
    <t>02実際の上限超過額（事前協議後の上限超過額：196行目－192行目）</t>
    <phoneticPr fontId="3"/>
  </si>
  <si>
    <t>02事後の個別協議の要否</t>
    <rPh sb="2" eb="4">
      <t>ジゴ</t>
    </rPh>
    <rPh sb="10" eb="12">
      <t>ヨウヒ</t>
    </rPh>
    <phoneticPr fontId="3"/>
  </si>
  <si>
    <t>02事後の個別協議希望の有無</t>
    <rPh sb="2" eb="4">
      <t>ジゴ</t>
    </rPh>
    <phoneticPr fontId="3"/>
  </si>
  <si>
    <t>02事後の個別協議を行わない場合の政令で定める上限額</t>
    <phoneticPr fontId="3"/>
  </si>
  <si>
    <t>02災害による居宅要支援被保険者等の数の増加有無</t>
    <phoneticPr fontId="3"/>
  </si>
  <si>
    <t>02ア～ウのうち該当する項目</t>
    <phoneticPr fontId="3"/>
  </si>
  <si>
    <t>02ア・イに該当する場合には災害・感染症の名称、ウに該当する場合には具体的な内容</t>
    <phoneticPr fontId="3"/>
  </si>
  <si>
    <t>02事由①の該当性</t>
    <rPh sb="2" eb="4">
      <t>ジユウ</t>
    </rPh>
    <phoneticPr fontId="3"/>
  </si>
  <si>
    <t>02ア　災害により増加した居宅要支援被保険者等に対して実施した介護予防・日常生活支援総合事業に要した費用の額</t>
    <phoneticPr fontId="3"/>
  </si>
  <si>
    <t>02令和７年４月１日から令和７年９月30日における災害等にかかる令和６年度の介護予防・日常生活支援総合事業特別調整交付金の額</t>
    <phoneticPr fontId="3"/>
  </si>
  <si>
    <t>02令和７年10月１日から令和８年３月31日における災害等にかかる令和７年度に交付される予定の介護予防・日常生活支援総合事業特別調整交付金の額</t>
    <phoneticPr fontId="3"/>
  </si>
  <si>
    <t>02イ　介護保険法第122条の２第２項に規定する交付金の額の算定に関する省令（平成27年厚生労働省令第58号）第７条各号に定める介護予防・日常 生活支援総合事業特別調整交付金の額</t>
    <phoneticPr fontId="3"/>
  </si>
  <si>
    <t>02上限超過承認希望額（事由①）</t>
    <rPh sb="2" eb="4">
      <t>ジョウゲン</t>
    </rPh>
    <rPh sb="4" eb="6">
      <t>チョウカ</t>
    </rPh>
    <rPh sb="6" eb="8">
      <t>ショウニン</t>
    </rPh>
    <rPh sb="8" eb="10">
      <t>キボウ</t>
    </rPh>
    <rPh sb="10" eb="11">
      <t>ガク</t>
    </rPh>
    <rPh sb="12" eb="14">
      <t>ジユウ</t>
    </rPh>
    <phoneticPr fontId="3"/>
  </si>
  <si>
    <t>第一号訪問事業介護職員等処遇改善加算(Ⅰ)a</t>
    <phoneticPr fontId="3"/>
  </si>
  <si>
    <t>第一号訪問事業介護職員等処遇改善加算(Ⅱ)a</t>
    <phoneticPr fontId="3"/>
  </si>
  <si>
    <t>第一号訪問事業介護職員等処遇改善加算(Ⅲ)a</t>
    <phoneticPr fontId="3"/>
  </si>
  <si>
    <t>第一号訪問事業介護職員等処遇改善加算(Ⅳ)a</t>
    <phoneticPr fontId="3"/>
  </si>
  <si>
    <t>第一号通所事業介護職員等処遇改善加算(Ⅰ)a</t>
    <phoneticPr fontId="3"/>
  </si>
  <si>
    <t>第一号通所事業介護職員等処遇改善加算(Ⅱ)a</t>
    <phoneticPr fontId="3"/>
  </si>
  <si>
    <t>第一号通所事業介護職員等処遇改善加算(Ⅲ)a</t>
    <phoneticPr fontId="3"/>
  </si>
  <si>
    <t>第一号通所事業介護職員等処遇改善加算(Ⅳ)a</t>
    <phoneticPr fontId="3"/>
  </si>
  <si>
    <t>第一号訪問事業介護職員等処遇改善加算(Ⅰ)c</t>
    <phoneticPr fontId="3"/>
  </si>
  <si>
    <t>第一号訪問事業介護職員等処遇改善加算(Ⅱ)c</t>
    <phoneticPr fontId="3"/>
  </si>
  <si>
    <t>第一号訪問事業介護職員等処遇改善加算(Ⅲ)c</t>
    <phoneticPr fontId="3"/>
  </si>
  <si>
    <t>第一号訪問事業介護職員等処遇改善加算(Ⅳ)c</t>
    <phoneticPr fontId="3"/>
  </si>
  <si>
    <t>第一号通所事業介護職員等処遇改善加算(Ⅰ)c</t>
    <phoneticPr fontId="3"/>
  </si>
  <si>
    <t>第一号通所事業介護職員等処遇改善加算(Ⅱ)c</t>
    <phoneticPr fontId="3"/>
  </si>
  <si>
    <t>第一号通所事業介護職員等処遇改善加算(Ⅲ)c</t>
    <phoneticPr fontId="3"/>
  </si>
  <si>
    <t>第一号通所事業介護職員等処遇改善加算(Ⅳ)c</t>
    <phoneticPr fontId="3"/>
  </si>
  <si>
    <t>02介護職員等処遇改善加算等の支給に要した費用</t>
    <rPh sb="2" eb="4">
      <t>カイゴ</t>
    </rPh>
    <rPh sb="4" eb="6">
      <t>ショクイン</t>
    </rPh>
    <rPh sb="6" eb="7">
      <t>トウ</t>
    </rPh>
    <rPh sb="7" eb="9">
      <t>ショグウ</t>
    </rPh>
    <rPh sb="9" eb="11">
      <t>カイゼン</t>
    </rPh>
    <rPh sb="11" eb="14">
      <t>カサンナド</t>
    </rPh>
    <rPh sb="15" eb="17">
      <t>シキュウ</t>
    </rPh>
    <rPh sb="18" eb="19">
      <t>ヨウ</t>
    </rPh>
    <rPh sb="21" eb="23">
      <t>ヒヨウ</t>
    </rPh>
    <phoneticPr fontId="3"/>
  </si>
  <si>
    <t>02事由⑦の該当性</t>
    <rPh sb="2" eb="4">
      <t>ジユウ</t>
    </rPh>
    <phoneticPr fontId="3"/>
  </si>
  <si>
    <t>02上限超過承認希望額（事由⑦）</t>
    <rPh sb="2" eb="4">
      <t>ジョウゲン</t>
    </rPh>
    <rPh sb="4" eb="6">
      <t>チョウカ</t>
    </rPh>
    <rPh sb="6" eb="8">
      <t>ショウニン</t>
    </rPh>
    <rPh sb="8" eb="10">
      <t>キボウ</t>
    </rPh>
    <rPh sb="10" eb="11">
      <t>ガク</t>
    </rPh>
    <rPh sb="12" eb="14">
      <t>ジユウ</t>
    </rPh>
    <phoneticPr fontId="3"/>
  </si>
  <si>
    <t>02継続利用要介護者に係る第一号訪問事業の実施に要した額</t>
    <phoneticPr fontId="3"/>
  </si>
  <si>
    <t>02継続利用要介護者に係る第一号通所事業の実施に要した額</t>
    <phoneticPr fontId="3"/>
  </si>
  <si>
    <t>02継続利用要介護者に係る第一号生活支援事業の実施に要した額</t>
    <phoneticPr fontId="3"/>
  </si>
  <si>
    <t>02継続利用要介護者に係る第一号介護予防支援事業の実施に要した額</t>
    <phoneticPr fontId="3"/>
  </si>
  <si>
    <t>02事由⑧の該当性</t>
    <rPh sb="2" eb="4">
      <t>ジユウ</t>
    </rPh>
    <phoneticPr fontId="3"/>
  </si>
  <si>
    <t>02上限超過承認希望額（事由⑧）</t>
    <rPh sb="2" eb="4">
      <t>ジョウゲン</t>
    </rPh>
    <rPh sb="4" eb="6">
      <t>チョウカ</t>
    </rPh>
    <rPh sb="6" eb="8">
      <t>ショウニン</t>
    </rPh>
    <rPh sb="8" eb="10">
      <t>キボウ</t>
    </rPh>
    <rPh sb="10" eb="11">
      <t>ガク</t>
    </rPh>
    <rPh sb="12" eb="14">
      <t>ジユウ</t>
    </rPh>
    <phoneticPr fontId="3"/>
  </si>
  <si>
    <t>02令和３年度における介護予防支援に係る保険給付に要する費用の額</t>
    <phoneticPr fontId="3"/>
  </si>
  <si>
    <t>02令和６年度における介護予防支援に係る保険給付に要する費用の額</t>
    <phoneticPr fontId="3"/>
  </si>
  <si>
    <t>02令和７年度の介護予防支援費変動率（（252行目/251行目）+1）</t>
    <phoneticPr fontId="3"/>
  </si>
  <si>
    <t>02令和７年度の介護予防支援費変動率－75歳以上被保険者数変動率（253行目－250行目）</t>
    <phoneticPr fontId="3"/>
  </si>
  <si>
    <t>02令和７年度における介護予防支援に係る保険給付に要した費用の額</t>
    <phoneticPr fontId="3"/>
  </si>
  <si>
    <t>02イ　令和７年度の当該市町村の被保険者に対する介護予防支援に係る保険給付に要する費用の額に令和７年度の介護予防支援費変動率から令和７年度の75歳以上被保険者数変動率を減じて得た数（当該数が０以下である場合は０とする。）を乗じて得た額（254行目×256行目）</t>
    <phoneticPr fontId="3"/>
  </si>
  <si>
    <t>02ウ　令和７年度の原則の上限額に、本項に定める事由以外の上限額告示及び本通知に定める事由により増加する当該年度の介護予防・日常生活支援総合事業に要する費用の額を加えた額（192行目+217行目+234行目+244行目）</t>
    <phoneticPr fontId="3"/>
  </si>
  <si>
    <t>02事由⑥の該当性</t>
    <rPh sb="2" eb="4">
      <t>ジユウ</t>
    </rPh>
    <phoneticPr fontId="3"/>
  </si>
  <si>
    <t>02上限超過承認希望額（事由⑥）</t>
    <rPh sb="2" eb="4">
      <t>ジョウゲン</t>
    </rPh>
    <rPh sb="4" eb="6">
      <t>チョウカ</t>
    </rPh>
    <rPh sb="6" eb="8">
      <t>ショウニン</t>
    </rPh>
    <rPh sb="8" eb="10">
      <t>キボウ</t>
    </rPh>
    <rPh sb="10" eb="11">
      <t>ガク</t>
    </rPh>
    <rPh sb="12" eb="14">
      <t>ジユウ</t>
    </rPh>
    <phoneticPr fontId="3"/>
  </si>
  <si>
    <t>02事前の個別協議における上限超過承認額</t>
    <phoneticPr fontId="3"/>
  </si>
  <si>
    <t>02事後の個別協議における上限超過承認希望額の合計額</t>
    <phoneticPr fontId="3"/>
  </si>
  <si>
    <t>02事後の個別協議における上限超過承認希望額</t>
    <phoneticPr fontId="3"/>
  </si>
  <si>
    <t>02事後（または事前・事後両方）の個別協議を行う場合の政令で定める上限額</t>
    <phoneticPr fontId="3"/>
  </si>
  <si>
    <t>02（うち事前・事後の個別協議における上限超過承認希望額）</t>
    <phoneticPr fontId="3"/>
  </si>
  <si>
    <t>02令和７年度実績に基づく政令で定める上限額</t>
    <phoneticPr fontId="3"/>
  </si>
  <si>
    <t>低減計画H30事業費</t>
    <rPh sb="0" eb="2">
      <t>テイゲン</t>
    </rPh>
    <rPh sb="2" eb="4">
      <t>ケイカク</t>
    </rPh>
    <rPh sb="7" eb="10">
      <t>ジギョウヒ</t>
    </rPh>
    <phoneticPr fontId="3"/>
  </si>
  <si>
    <t>低減計画H30上限超過額</t>
    <rPh sb="0" eb="2">
      <t>テイゲン</t>
    </rPh>
    <rPh sb="2" eb="4">
      <t>ケイカク</t>
    </rPh>
    <rPh sb="7" eb="9">
      <t>ジョウゲン</t>
    </rPh>
    <rPh sb="9" eb="12">
      <t>チョウカガク</t>
    </rPh>
    <phoneticPr fontId="3"/>
  </si>
  <si>
    <t>低減計画R1事業費</t>
    <rPh sb="0" eb="2">
      <t>テイゲン</t>
    </rPh>
    <rPh sb="2" eb="4">
      <t>ケイカク</t>
    </rPh>
    <rPh sb="6" eb="9">
      <t>ジギョウヒ</t>
    </rPh>
    <phoneticPr fontId="3"/>
  </si>
  <si>
    <t>低減計画R1上限超過額</t>
    <rPh sb="0" eb="2">
      <t>テイゲン</t>
    </rPh>
    <rPh sb="2" eb="4">
      <t>ケイカク</t>
    </rPh>
    <rPh sb="6" eb="8">
      <t>ジョウゲン</t>
    </rPh>
    <rPh sb="8" eb="11">
      <t>チョウカガク</t>
    </rPh>
    <phoneticPr fontId="3"/>
  </si>
  <si>
    <t>低減計画R2事業費</t>
    <rPh sb="0" eb="2">
      <t>テイゲン</t>
    </rPh>
    <rPh sb="2" eb="4">
      <t>ケイカク</t>
    </rPh>
    <rPh sb="6" eb="9">
      <t>ジギョウヒ</t>
    </rPh>
    <phoneticPr fontId="3"/>
  </si>
  <si>
    <t>低減計画R2上限超過額</t>
    <rPh sb="0" eb="2">
      <t>テイゲン</t>
    </rPh>
    <rPh sb="2" eb="4">
      <t>ケイカク</t>
    </rPh>
    <rPh sb="6" eb="8">
      <t>ジョウゲン</t>
    </rPh>
    <rPh sb="8" eb="11">
      <t>チョウカガク</t>
    </rPh>
    <phoneticPr fontId="3"/>
  </si>
  <si>
    <t>低減計画R3事業費</t>
    <rPh sb="0" eb="2">
      <t>テイゲン</t>
    </rPh>
    <rPh sb="2" eb="4">
      <t>ケイカク</t>
    </rPh>
    <rPh sb="6" eb="9">
      <t>ジギョウヒ</t>
    </rPh>
    <phoneticPr fontId="3"/>
  </si>
  <si>
    <t>低減計画R3上限超過額</t>
    <rPh sb="0" eb="2">
      <t>テイゲン</t>
    </rPh>
    <rPh sb="2" eb="4">
      <t>ケイカク</t>
    </rPh>
    <rPh sb="6" eb="8">
      <t>ジョウゲン</t>
    </rPh>
    <rPh sb="8" eb="11">
      <t>チョウカガク</t>
    </rPh>
    <phoneticPr fontId="3"/>
  </si>
  <si>
    <t>低減計画R4事業費</t>
    <rPh sb="0" eb="2">
      <t>テイゲン</t>
    </rPh>
    <rPh sb="2" eb="4">
      <t>ケイカク</t>
    </rPh>
    <rPh sb="6" eb="9">
      <t>ジギョウヒ</t>
    </rPh>
    <phoneticPr fontId="3"/>
  </si>
  <si>
    <t>低減計画R4上限超過額</t>
    <rPh sb="0" eb="2">
      <t>テイゲン</t>
    </rPh>
    <rPh sb="2" eb="4">
      <t>ケイカク</t>
    </rPh>
    <rPh sb="6" eb="8">
      <t>ジョウゲン</t>
    </rPh>
    <rPh sb="8" eb="11">
      <t>チョウカガク</t>
    </rPh>
    <phoneticPr fontId="3"/>
  </si>
  <si>
    <t>低減計画R5事業費</t>
    <rPh sb="0" eb="2">
      <t>テイゲン</t>
    </rPh>
    <rPh sb="2" eb="4">
      <t>ケイカク</t>
    </rPh>
    <rPh sb="6" eb="9">
      <t>ジギョウヒ</t>
    </rPh>
    <phoneticPr fontId="3"/>
  </si>
  <si>
    <t>低減計画R5上限超過額</t>
    <rPh sb="0" eb="2">
      <t>テイゲン</t>
    </rPh>
    <rPh sb="2" eb="4">
      <t>ケイカク</t>
    </rPh>
    <rPh sb="6" eb="8">
      <t>ジョウゲン</t>
    </rPh>
    <rPh sb="8" eb="11">
      <t>チョウカガク</t>
    </rPh>
    <phoneticPr fontId="3"/>
  </si>
  <si>
    <t>低減計画R6事業費</t>
    <rPh sb="0" eb="2">
      <t>テイゲン</t>
    </rPh>
    <rPh sb="2" eb="4">
      <t>ケイカク</t>
    </rPh>
    <rPh sb="6" eb="9">
      <t>ジギョウヒ</t>
    </rPh>
    <phoneticPr fontId="3"/>
  </si>
  <si>
    <t>低減計画R6上限超過額</t>
    <rPh sb="0" eb="2">
      <t>テイゲン</t>
    </rPh>
    <rPh sb="2" eb="4">
      <t>ケイカク</t>
    </rPh>
    <rPh sb="6" eb="8">
      <t>ジョウゲン</t>
    </rPh>
    <rPh sb="8" eb="11">
      <t>チョウカガク</t>
    </rPh>
    <phoneticPr fontId="3"/>
  </si>
  <si>
    <t>03①新たなプログラム</t>
    <rPh sb="3" eb="4">
      <t>アラ</t>
    </rPh>
    <phoneticPr fontId="3"/>
  </si>
  <si>
    <t>03②75歳以上被保険者数変動率1以下</t>
    <rPh sb="17" eb="19">
      <t>イカ</t>
    </rPh>
    <phoneticPr fontId="3"/>
  </si>
  <si>
    <t>03③1万人未満</t>
    <rPh sb="4" eb="6">
      <t>マンニン</t>
    </rPh>
    <rPh sb="6" eb="8">
      <t>ミマン</t>
    </rPh>
    <phoneticPr fontId="3"/>
  </si>
  <si>
    <t>03④離島</t>
    <rPh sb="3" eb="5">
      <t>リトウ</t>
    </rPh>
    <phoneticPr fontId="3"/>
  </si>
  <si>
    <t>03⑤効果的な総合事業</t>
    <rPh sb="3" eb="6">
      <t>コウカテキ</t>
    </rPh>
    <rPh sb="7" eb="9">
      <t>ソウゴウ</t>
    </rPh>
    <rPh sb="9" eb="11">
      <t>ジギョウ</t>
    </rPh>
    <phoneticPr fontId="3"/>
  </si>
  <si>
    <t>03⑥災害</t>
    <rPh sb="3" eb="5">
      <t>サイガイ</t>
    </rPh>
    <phoneticPr fontId="3"/>
  </si>
  <si>
    <t>03⑦介護予防支援の増加率＞75歳以上被保険者数変動率</t>
    <rPh sb="3" eb="5">
      <t>カイゴ</t>
    </rPh>
    <rPh sb="5" eb="7">
      <t>ヨボウ</t>
    </rPh>
    <rPh sb="7" eb="9">
      <t>シエン</t>
    </rPh>
    <rPh sb="10" eb="12">
      <t>ゾウカ</t>
    </rPh>
    <rPh sb="12" eb="13">
      <t>リツ</t>
    </rPh>
    <rPh sb="16" eb="17">
      <t>サイ</t>
    </rPh>
    <rPh sb="17" eb="19">
      <t>イジョウ</t>
    </rPh>
    <rPh sb="19" eb="23">
      <t>ヒホケンジャ</t>
    </rPh>
    <rPh sb="23" eb="24">
      <t>スウ</t>
    </rPh>
    <rPh sb="24" eb="27">
      <t>ヘンドウリツ</t>
    </rPh>
    <phoneticPr fontId="3"/>
  </si>
  <si>
    <t>03⑧処遇改善</t>
    <rPh sb="3" eb="5">
      <t>ショグウ</t>
    </rPh>
    <rPh sb="5" eb="7">
      <t>カイゼン</t>
    </rPh>
    <phoneticPr fontId="3"/>
  </si>
  <si>
    <t>03⑨継続利用要介護者</t>
    <rPh sb="3" eb="11">
      <t>ケイゾクリヨウヨウカイゴシャ</t>
    </rPh>
    <phoneticPr fontId="3"/>
  </si>
  <si>
    <t>031(1)新たなプログラムの類型</t>
    <phoneticPr fontId="3"/>
  </si>
  <si>
    <t>031(2)新たなプログラムの開始年度</t>
    <phoneticPr fontId="3"/>
  </si>
  <si>
    <t>031(3)新たなプログラムの開始３年度目の事業費（見込額）</t>
    <phoneticPr fontId="3"/>
  </si>
  <si>
    <t>031(4)新たなプログラムの開始３年度目の翌年度の事業費（見込額）</t>
    <phoneticPr fontId="3"/>
  </si>
  <si>
    <t>031(5)開始２年度目の新たなプログラム等の実施に要する額が開始１年度目の当該額を上回る見込みの有無</t>
    <phoneticPr fontId="3"/>
  </si>
  <si>
    <t>03費用低減が見込まれる年度</t>
    <rPh sb="2" eb="4">
      <t>ヒヨウ</t>
    </rPh>
    <rPh sb="4" eb="6">
      <t>テイゲン</t>
    </rPh>
    <rPh sb="7" eb="9">
      <t>ミコ</t>
    </rPh>
    <rPh sb="12" eb="14">
      <t>ネンド</t>
    </rPh>
    <phoneticPr fontId="3"/>
  </si>
  <si>
    <t>03費用を低減させる方法</t>
    <rPh sb="2" eb="4">
      <t>ヒヨウ</t>
    </rPh>
    <rPh sb="5" eb="7">
      <t>テイゲン</t>
    </rPh>
    <rPh sb="10" eb="12">
      <t>ホウホウ</t>
    </rPh>
    <phoneticPr fontId="3"/>
  </si>
  <si>
    <t>03前々年度認定率</t>
    <rPh sb="2" eb="4">
      <t>ゼンゼン</t>
    </rPh>
    <rPh sb="4" eb="5">
      <t>ドシ</t>
    </rPh>
    <rPh sb="5" eb="6">
      <t>ド</t>
    </rPh>
    <phoneticPr fontId="3"/>
  </si>
  <si>
    <t>03前々年度調整済み認定率</t>
    <rPh sb="2" eb="4">
      <t>ゼンゼン</t>
    </rPh>
    <rPh sb="4" eb="5">
      <t>ドシ</t>
    </rPh>
    <rPh sb="5" eb="6">
      <t>ド</t>
    </rPh>
    <rPh sb="6" eb="8">
      <t>チョウセイ</t>
    </rPh>
    <rPh sb="8" eb="9">
      <t>ス</t>
    </rPh>
    <phoneticPr fontId="3"/>
  </si>
  <si>
    <t>03前々々年度認定率</t>
    <rPh sb="4" eb="6">
      <t>ネンド</t>
    </rPh>
    <phoneticPr fontId="3"/>
  </si>
  <si>
    <t>03前々年度サービス利用率</t>
    <rPh sb="2" eb="4">
      <t>マエマエ</t>
    </rPh>
    <rPh sb="4" eb="5">
      <t>ドシ</t>
    </rPh>
    <rPh sb="5" eb="6">
      <t>ド</t>
    </rPh>
    <rPh sb="10" eb="12">
      <t>リヨウ</t>
    </rPh>
    <phoneticPr fontId="3"/>
  </si>
  <si>
    <t>03前々々年度サービス利用率</t>
    <phoneticPr fontId="3"/>
  </si>
  <si>
    <t>03災害による居宅要支援被保険者等の数の増加有無（有の場合に○）</t>
    <phoneticPr fontId="3"/>
  </si>
  <si>
    <t>03介護予防支援費変動率</t>
    <phoneticPr fontId="3"/>
  </si>
  <si>
    <t>03介護職員等処遇改善加算等の支給に要した費用</t>
    <phoneticPr fontId="3"/>
  </si>
  <si>
    <t>03継続利用要介護者に係る第一号事業の実施に要した額</t>
    <phoneticPr fontId="3"/>
  </si>
  <si>
    <t>034(1)30事業費</t>
    <rPh sb="8" eb="11">
      <t>ジギョウヒ</t>
    </rPh>
    <phoneticPr fontId="3"/>
  </si>
  <si>
    <t>034(1)30個別</t>
    <rPh sb="8" eb="10">
      <t>コベツ</t>
    </rPh>
    <phoneticPr fontId="3"/>
  </si>
  <si>
    <t>034(1)30超過</t>
    <rPh sb="8" eb="10">
      <t>チョウカ</t>
    </rPh>
    <phoneticPr fontId="3"/>
  </si>
  <si>
    <t>034(1)１事業費</t>
    <rPh sb="7" eb="10">
      <t>ジギョウヒ</t>
    </rPh>
    <phoneticPr fontId="3"/>
  </si>
  <si>
    <t>034(1)１個別</t>
    <rPh sb="7" eb="9">
      <t>コベツ</t>
    </rPh>
    <phoneticPr fontId="3"/>
  </si>
  <si>
    <t>034(1)１超過</t>
    <rPh sb="7" eb="9">
      <t>チョウカ</t>
    </rPh>
    <phoneticPr fontId="3"/>
  </si>
  <si>
    <t>034(1)2事業費</t>
    <rPh sb="7" eb="10">
      <t>ジギョウヒ</t>
    </rPh>
    <phoneticPr fontId="3"/>
  </si>
  <si>
    <t>034(1)2個別</t>
    <rPh sb="7" eb="9">
      <t>コベツ</t>
    </rPh>
    <phoneticPr fontId="3"/>
  </si>
  <si>
    <t>034(1)2超過</t>
    <rPh sb="7" eb="9">
      <t>チョウカ</t>
    </rPh>
    <phoneticPr fontId="3"/>
  </si>
  <si>
    <t>034(1)3事業費</t>
    <rPh sb="7" eb="10">
      <t>ジギョウヒ</t>
    </rPh>
    <phoneticPr fontId="3"/>
  </si>
  <si>
    <t>034(1)3個別</t>
    <rPh sb="7" eb="9">
      <t>コベツ</t>
    </rPh>
    <phoneticPr fontId="3"/>
  </si>
  <si>
    <t>034(1)3超過</t>
    <rPh sb="7" eb="9">
      <t>チョウカ</t>
    </rPh>
    <phoneticPr fontId="3"/>
  </si>
  <si>
    <t>034(1)4事業費</t>
    <rPh sb="7" eb="10">
      <t>ジギョウヒ</t>
    </rPh>
    <phoneticPr fontId="3"/>
  </si>
  <si>
    <t>034(1)4個別</t>
    <rPh sb="7" eb="9">
      <t>コベツ</t>
    </rPh>
    <phoneticPr fontId="3"/>
  </si>
  <si>
    <t>034(1)4超過</t>
    <rPh sb="7" eb="9">
      <t>チョウカ</t>
    </rPh>
    <phoneticPr fontId="3"/>
  </si>
  <si>
    <t>034(1)5事業費</t>
    <rPh sb="7" eb="10">
      <t>ジギョウヒ</t>
    </rPh>
    <phoneticPr fontId="3"/>
  </si>
  <si>
    <t>034(1)5個別</t>
    <rPh sb="7" eb="9">
      <t>コベツ</t>
    </rPh>
    <phoneticPr fontId="3"/>
  </si>
  <si>
    <t>034(1)5超過</t>
    <rPh sb="7" eb="9">
      <t>チョウカ</t>
    </rPh>
    <phoneticPr fontId="3"/>
  </si>
  <si>
    <t>034(1)6事業費</t>
    <rPh sb="7" eb="10">
      <t>ジギョウヒ</t>
    </rPh>
    <phoneticPr fontId="3"/>
  </si>
  <si>
    <t>034(1)6個別</t>
    <rPh sb="7" eb="9">
      <t>コベツ</t>
    </rPh>
    <phoneticPr fontId="3"/>
  </si>
  <si>
    <t>034(1)6超過</t>
    <rPh sb="7" eb="9">
      <t>チョウカ</t>
    </rPh>
    <phoneticPr fontId="3"/>
  </si>
  <si>
    <t>034(1)7事業費</t>
    <rPh sb="7" eb="10">
      <t>ジギョウヒ</t>
    </rPh>
    <phoneticPr fontId="3"/>
  </si>
  <si>
    <t>034(1)7個別</t>
    <rPh sb="7" eb="9">
      <t>コベツ</t>
    </rPh>
    <phoneticPr fontId="3"/>
  </si>
  <si>
    <t>034(1)7超過</t>
    <rPh sb="7" eb="9">
      <t>チョウカ</t>
    </rPh>
    <phoneticPr fontId="3"/>
  </si>
  <si>
    <t>03(2)３年度目の翌年度には、介護予防・日常生活支援総合事業に要する費用が令和６年度の原則の上限額以下となるための方策（理由①のみ）</t>
    <phoneticPr fontId="3"/>
  </si>
  <si>
    <t>03（1(5)が○の場合のみ）新たなプログラムを開始した日が１年度目の途中であること又は２年度目以降に新たなプログラムの実施対象地域の拡大を予定していること等の事情により、予め２年度目の新たなプログラム等の実施に要する額が１年度目の当該額を上回ることが見込まれる場合、上回る理由と上回る額</t>
    <phoneticPr fontId="3"/>
  </si>
  <si>
    <t>04通し番号1</t>
  </si>
  <si>
    <t>04市町村名1</t>
  </si>
  <si>
    <t>04適用する上限式1</t>
  </si>
  <si>
    <t>04A1</t>
  </si>
  <si>
    <t>04B1</t>
  </si>
  <si>
    <t>04C1</t>
  </si>
  <si>
    <t>04D1</t>
  </si>
  <si>
    <t>04F1</t>
  </si>
  <si>
    <t>04G1</t>
  </si>
  <si>
    <t>04H1</t>
  </si>
  <si>
    <t>04I1</t>
  </si>
  <si>
    <t>04J1</t>
  </si>
  <si>
    <t>04(a)1</t>
  </si>
  <si>
    <t>04K1</t>
  </si>
  <si>
    <t>04(b)1</t>
  </si>
  <si>
    <t>04(a)、(b)のいずれか高い方の金額1</t>
  </si>
  <si>
    <t>04上限式適否1</t>
  </si>
  <si>
    <t>04通し番号2</t>
  </si>
  <si>
    <t>04市町村名2</t>
  </si>
  <si>
    <t>04適用する上限式2</t>
  </si>
  <si>
    <t>04A2</t>
  </si>
  <si>
    <t>04B2</t>
  </si>
  <si>
    <t>04C2</t>
  </si>
  <si>
    <t>04D2</t>
  </si>
  <si>
    <t>04F2</t>
  </si>
  <si>
    <t>04G2</t>
  </si>
  <si>
    <t>04H2</t>
  </si>
  <si>
    <t>04I2</t>
  </si>
  <si>
    <t>04J2</t>
  </si>
  <si>
    <t>04(a)2</t>
  </si>
  <si>
    <t>04K2</t>
  </si>
  <si>
    <t>04(b)2</t>
  </si>
  <si>
    <t>04(a)、(b)のいずれか高い方の金額2</t>
  </si>
  <si>
    <t>04上限式適否2</t>
  </si>
  <si>
    <t>04通し番号3</t>
  </si>
  <si>
    <t>04市町村名3</t>
  </si>
  <si>
    <t>04適用する上限式3</t>
  </si>
  <si>
    <t>04A3</t>
  </si>
  <si>
    <t>04B3</t>
  </si>
  <si>
    <t>04C3</t>
  </si>
  <si>
    <t>04D3</t>
  </si>
  <si>
    <t>04F3</t>
  </si>
  <si>
    <t>04G3</t>
  </si>
  <si>
    <t>04H3</t>
  </si>
  <si>
    <t>04I3</t>
  </si>
  <si>
    <t>04J3</t>
  </si>
  <si>
    <t>04(a)3</t>
  </si>
  <si>
    <t>04K3</t>
  </si>
  <si>
    <t>04(b)3</t>
  </si>
  <si>
    <t>04(a)、(b)のいずれか高い方の金額3</t>
  </si>
  <si>
    <t>04上限式適否3</t>
  </si>
  <si>
    <t>04通し番号4</t>
  </si>
  <si>
    <t>04市町村名4</t>
  </si>
  <si>
    <t>04適用する上限式4</t>
  </si>
  <si>
    <t>04A4</t>
  </si>
  <si>
    <t>04B4</t>
  </si>
  <si>
    <t>04C4</t>
  </si>
  <si>
    <t>04D4</t>
  </si>
  <si>
    <t>04F4</t>
  </si>
  <si>
    <t>04G4</t>
  </si>
  <si>
    <t>04H4</t>
  </si>
  <si>
    <t>04I4</t>
  </si>
  <si>
    <t>04J4</t>
  </si>
  <si>
    <t>04(a)4</t>
  </si>
  <si>
    <t>04K4</t>
  </si>
  <si>
    <t>04(b)4</t>
  </si>
  <si>
    <t>04(a)、(b)のいずれか高い方の金額4</t>
  </si>
  <si>
    <t>04上限式適否4</t>
  </si>
  <si>
    <t>04通し番号5</t>
  </si>
  <si>
    <t>04市町村名5</t>
  </si>
  <si>
    <t>04適用する上限式5</t>
  </si>
  <si>
    <t>04A5</t>
  </si>
  <si>
    <t>04B5</t>
  </si>
  <si>
    <t>04C5</t>
  </si>
  <si>
    <t>04D5</t>
  </si>
  <si>
    <t>04F5</t>
  </si>
  <si>
    <t>04G5</t>
  </si>
  <si>
    <t>04H5</t>
  </si>
  <si>
    <t>04I5</t>
  </si>
  <si>
    <t>04J5</t>
  </si>
  <si>
    <t>04(a)5</t>
  </si>
  <si>
    <t>04K5</t>
  </si>
  <si>
    <t>04(b)5</t>
  </si>
  <si>
    <t>04(a)、(b)のいずれか高い方の金額5</t>
  </si>
  <si>
    <t>04上限式適否5</t>
  </si>
  <si>
    <t>04通し番号6</t>
  </si>
  <si>
    <t>04市町村名6</t>
  </si>
  <si>
    <t>04適用する上限式6</t>
  </si>
  <si>
    <t>04A6</t>
  </si>
  <si>
    <t>04B6</t>
  </si>
  <si>
    <t>04C6</t>
  </si>
  <si>
    <t>04D6</t>
  </si>
  <si>
    <t>04F6</t>
  </si>
  <si>
    <t>04G6</t>
  </si>
  <si>
    <t>04H6</t>
  </si>
  <si>
    <t>04I6</t>
  </si>
  <si>
    <t>04J6</t>
  </si>
  <si>
    <t>04(a)6</t>
  </si>
  <si>
    <t>04K6</t>
  </si>
  <si>
    <t>04(b)6</t>
  </si>
  <si>
    <t>04(a)、(b)のいずれか高い方の金額6</t>
  </si>
  <si>
    <t>04上限式適否6</t>
  </si>
  <si>
    <t>04通し番号7</t>
  </si>
  <si>
    <t>04市町村名7</t>
  </si>
  <si>
    <t>04適用する上限式7</t>
  </si>
  <si>
    <t>04A7</t>
  </si>
  <si>
    <t>04B7</t>
  </si>
  <si>
    <t>04C7</t>
  </si>
  <si>
    <t>04D7</t>
  </si>
  <si>
    <t>04F7</t>
  </si>
  <si>
    <t>04G7</t>
  </si>
  <si>
    <t>04H7</t>
  </si>
  <si>
    <t>04I7</t>
  </si>
  <si>
    <t>04J7</t>
  </si>
  <si>
    <t>04(a)7</t>
  </si>
  <si>
    <t>04K7</t>
  </si>
  <si>
    <t>04(b)7</t>
  </si>
  <si>
    <t>04(a)、(b)のいずれか高い方の金額7</t>
  </si>
  <si>
    <t>04上限式適否7</t>
  </si>
  <si>
    <t>04通し番号8</t>
  </si>
  <si>
    <t>04市町村名8</t>
  </si>
  <si>
    <t>04適用する上限式8</t>
  </si>
  <si>
    <t>04A8</t>
  </si>
  <si>
    <t>04B8</t>
  </si>
  <si>
    <t>04C8</t>
  </si>
  <si>
    <t>04D8</t>
  </si>
  <si>
    <t>04F8</t>
  </si>
  <si>
    <t>04G8</t>
  </si>
  <si>
    <t>04H8</t>
  </si>
  <si>
    <t>04I8</t>
  </si>
  <si>
    <t>04J8</t>
  </si>
  <si>
    <t>04(a)8</t>
  </si>
  <si>
    <t>04K8</t>
  </si>
  <si>
    <t>04(b)8</t>
  </si>
  <si>
    <t>04(a)、(b)のいずれか高い方の金額8</t>
  </si>
  <si>
    <t>04上限式適否8</t>
  </si>
  <si>
    <t>04通し番号9</t>
  </si>
  <si>
    <t>04市町村名9</t>
  </si>
  <si>
    <t>04適用する上限式9</t>
  </si>
  <si>
    <t>04A9</t>
  </si>
  <si>
    <t>04B9</t>
  </si>
  <si>
    <t>04C9</t>
  </si>
  <si>
    <t>04D9</t>
  </si>
  <si>
    <t>04F9</t>
  </si>
  <si>
    <t>04G9</t>
  </si>
  <si>
    <t>04H9</t>
  </si>
  <si>
    <t>04I9</t>
  </si>
  <si>
    <t>04J9</t>
  </si>
  <si>
    <t>04(a)9</t>
  </si>
  <si>
    <t>04K9</t>
  </si>
  <si>
    <t>04(b)9</t>
  </si>
  <si>
    <t>04(a)、(b)のいずれか高い方の金額9</t>
  </si>
  <si>
    <t>04上限式適否9</t>
  </si>
  <si>
    <t>04通し番号10</t>
  </si>
  <si>
    <t>04市町村名10</t>
  </si>
  <si>
    <t>04適用する上限式10</t>
  </si>
  <si>
    <t>04A10</t>
  </si>
  <si>
    <t>04B10</t>
  </si>
  <si>
    <t>04C10</t>
  </si>
  <si>
    <t>04D10</t>
  </si>
  <si>
    <t>04F10</t>
  </si>
  <si>
    <t>04G10</t>
  </si>
  <si>
    <t>04H10</t>
  </si>
  <si>
    <t>04I10</t>
  </si>
  <si>
    <t>04J10</t>
  </si>
  <si>
    <t>04(a)10</t>
  </si>
  <si>
    <t>04K10</t>
  </si>
  <si>
    <t>04(b)10</t>
  </si>
  <si>
    <t>04(a)、(b)のいずれか高い方の金額10</t>
  </si>
  <si>
    <t>04上限式適否10</t>
  </si>
  <si>
    <t>04通し番号11</t>
  </si>
  <si>
    <t>04市町村名11</t>
  </si>
  <si>
    <t>04適用する上限式11</t>
  </si>
  <si>
    <t>04A11</t>
  </si>
  <si>
    <t>04B11</t>
  </si>
  <si>
    <t>04C11</t>
  </si>
  <si>
    <t>04D11</t>
  </si>
  <si>
    <t>04F11</t>
  </si>
  <si>
    <t>04G11</t>
  </si>
  <si>
    <t>04H11</t>
  </si>
  <si>
    <t>04I11</t>
  </si>
  <si>
    <t>04J11</t>
  </si>
  <si>
    <t>04(a)11</t>
  </si>
  <si>
    <t>04K11</t>
  </si>
  <si>
    <t>04(b)11</t>
  </si>
  <si>
    <t>04(a)、(b)のいずれか高い方の金額11</t>
  </si>
  <si>
    <t>04上限式適否11</t>
  </si>
  <si>
    <t>04通し番号12</t>
  </si>
  <si>
    <t>04市町村名12</t>
  </si>
  <si>
    <t>04適用する上限式12</t>
  </si>
  <si>
    <t>04A12</t>
  </si>
  <si>
    <t>04B12</t>
  </si>
  <si>
    <t>04C12</t>
  </si>
  <si>
    <t>04D12</t>
  </si>
  <si>
    <t>04F12</t>
  </si>
  <si>
    <t>04G12</t>
  </si>
  <si>
    <t>04H12</t>
  </si>
  <si>
    <t>04I12</t>
  </si>
  <si>
    <t>04J12</t>
  </si>
  <si>
    <t>04(a)12</t>
  </si>
  <si>
    <t>04K12</t>
  </si>
  <si>
    <t>04(b)12</t>
  </si>
  <si>
    <t>04(a)、(b)のいずれか高い方の金額12</t>
  </si>
  <si>
    <t>04上限式適否12</t>
  </si>
  <si>
    <t>04通し番号13</t>
  </si>
  <si>
    <t>04市町村名13</t>
  </si>
  <si>
    <t>04適用する上限式13</t>
  </si>
  <si>
    <t>04A13</t>
  </si>
  <si>
    <t>04B13</t>
  </si>
  <si>
    <t>04C13</t>
  </si>
  <si>
    <t>04D13</t>
  </si>
  <si>
    <t>04F13</t>
  </si>
  <si>
    <t>04G13</t>
  </si>
  <si>
    <t>04H13</t>
  </si>
  <si>
    <t>04I13</t>
  </si>
  <si>
    <t>04J13</t>
  </si>
  <si>
    <t>04(a)13</t>
  </si>
  <si>
    <t>04K13</t>
  </si>
  <si>
    <t>04(b)13</t>
  </si>
  <si>
    <t>04(a)、(b)のいずれか高い方の金額13</t>
  </si>
  <si>
    <t>04上限式適否13</t>
  </si>
  <si>
    <t>04通し番号14</t>
  </si>
  <si>
    <t>04市町村名14</t>
  </si>
  <si>
    <t>04適用する上限式14</t>
  </si>
  <si>
    <t>04A14</t>
  </si>
  <si>
    <t>04B14</t>
  </si>
  <si>
    <t>04C14</t>
  </si>
  <si>
    <t>04D14</t>
  </si>
  <si>
    <t>04F14</t>
  </si>
  <si>
    <t>04G14</t>
  </si>
  <si>
    <t>04H14</t>
  </si>
  <si>
    <t>04I14</t>
  </si>
  <si>
    <t>04J14</t>
  </si>
  <si>
    <t>04(a)14</t>
  </si>
  <si>
    <t>04K14</t>
  </si>
  <si>
    <t>04(b)14</t>
  </si>
  <si>
    <t>04(a)、(b)のいずれか高い方の金額14</t>
  </si>
  <si>
    <t>04上限式適否14</t>
  </si>
  <si>
    <t>04通し番号15</t>
  </si>
  <si>
    <t>04市町村名15</t>
  </si>
  <si>
    <t>04適用する上限式15</t>
  </si>
  <si>
    <t>04A15</t>
  </si>
  <si>
    <t>04B15</t>
  </si>
  <si>
    <t>04C15</t>
  </si>
  <si>
    <t>04D15</t>
  </si>
  <si>
    <t>04F15</t>
  </si>
  <si>
    <t>04G15</t>
  </si>
  <si>
    <t>04H15</t>
  </si>
  <si>
    <t>04I15</t>
  </si>
  <si>
    <t>04J15</t>
  </si>
  <si>
    <t>04(a)15</t>
  </si>
  <si>
    <t>04K15</t>
  </si>
  <si>
    <t>04(b)15</t>
  </si>
  <si>
    <t>04(a)、(b)のいずれか高い方の金額15</t>
  </si>
  <si>
    <t>04上限式適否15</t>
  </si>
  <si>
    <t>04通し番号16</t>
  </si>
  <si>
    <t>04市町村名16</t>
  </si>
  <si>
    <t>04適用する上限式16</t>
  </si>
  <si>
    <t>04A16</t>
  </si>
  <si>
    <t>04B16</t>
  </si>
  <si>
    <t>04C16</t>
  </si>
  <si>
    <t>04D16</t>
  </si>
  <si>
    <t>04F16</t>
  </si>
  <si>
    <t>04G16</t>
  </si>
  <si>
    <t>04H16</t>
  </si>
  <si>
    <t>04I16</t>
  </si>
  <si>
    <t>04J16</t>
  </si>
  <si>
    <t>04(a)16</t>
  </si>
  <si>
    <t>04K16</t>
  </si>
  <si>
    <t>04(b)16</t>
  </si>
  <si>
    <t>04(a)、(b)のいずれか高い方の金額16</t>
  </si>
  <si>
    <t>04上限式適否16</t>
  </si>
  <si>
    <t>04通し番号17</t>
  </si>
  <si>
    <t>04市町村名17</t>
  </si>
  <si>
    <t>04適用する上限式17</t>
  </si>
  <si>
    <t>04A17</t>
  </si>
  <si>
    <t>04B17</t>
  </si>
  <si>
    <t>04C17</t>
  </si>
  <si>
    <t>04D17</t>
  </si>
  <si>
    <t>04F17</t>
  </si>
  <si>
    <t>04G17</t>
  </si>
  <si>
    <t>04H17</t>
  </si>
  <si>
    <t>04I17</t>
  </si>
  <si>
    <t>04J17</t>
  </si>
  <si>
    <t>04(a)17</t>
  </si>
  <si>
    <t>04K17</t>
  </si>
  <si>
    <t>04(b)17</t>
  </si>
  <si>
    <t>04(a)、(b)のいずれか高い方の金額17</t>
  </si>
  <si>
    <t>04上限式適否17</t>
  </si>
  <si>
    <t>04通し番号18</t>
  </si>
  <si>
    <t>04市町村名18</t>
  </si>
  <si>
    <t>04適用する上限式18</t>
  </si>
  <si>
    <t>04A18</t>
  </si>
  <si>
    <t>04B18</t>
  </si>
  <si>
    <t>04C18</t>
  </si>
  <si>
    <t>04D18</t>
  </si>
  <si>
    <t>04F18</t>
  </si>
  <si>
    <t>04G18</t>
  </si>
  <si>
    <t>04H18</t>
  </si>
  <si>
    <t>04I18</t>
  </si>
  <si>
    <t>04J18</t>
  </si>
  <si>
    <t>04(a)18</t>
  </si>
  <si>
    <t>04K18</t>
  </si>
  <si>
    <t>04(b)18</t>
  </si>
  <si>
    <t>04(a)、(b)のいずれか高い方の金額18</t>
  </si>
  <si>
    <t>04上限式適否18</t>
  </si>
  <si>
    <t>04通し番号19</t>
  </si>
  <si>
    <t>04市町村名19</t>
  </si>
  <si>
    <t>04適用する上限式19</t>
  </si>
  <si>
    <t>04A19</t>
  </si>
  <si>
    <t>04B19</t>
  </si>
  <si>
    <t>04C19</t>
  </si>
  <si>
    <t>04D19</t>
  </si>
  <si>
    <t>04F19</t>
  </si>
  <si>
    <t>04G19</t>
  </si>
  <si>
    <t>04H19</t>
  </si>
  <si>
    <t>04I19</t>
  </si>
  <si>
    <t>04J19</t>
  </si>
  <si>
    <t>04(a)19</t>
  </si>
  <si>
    <t>04K19</t>
  </si>
  <si>
    <t>04(b)19</t>
  </si>
  <si>
    <t>04(a)、(b)のいずれか高い方の金額19</t>
  </si>
  <si>
    <t>04上限式適否19</t>
  </si>
  <si>
    <t>04通し番号20</t>
  </si>
  <si>
    <t>04市町村名20</t>
  </si>
  <si>
    <t>04適用する上限式20</t>
  </si>
  <si>
    <t>04A20</t>
  </si>
  <si>
    <t>04B20</t>
  </si>
  <si>
    <t>04C20</t>
  </si>
  <si>
    <t>04D20</t>
  </si>
  <si>
    <t>04F20</t>
  </si>
  <si>
    <t>04G20</t>
  </si>
  <si>
    <t>04H20</t>
  </si>
  <si>
    <t>04I20</t>
  </si>
  <si>
    <t>04J20</t>
  </si>
  <si>
    <t>04(a)20</t>
  </si>
  <si>
    <t>04K20</t>
  </si>
  <si>
    <t>04(b)20</t>
  </si>
  <si>
    <t>04(a)、(b)のいずれか高い方の金額20</t>
  </si>
  <si>
    <t>04上限式適否20</t>
  </si>
  <si>
    <t>04通し番号21</t>
  </si>
  <si>
    <t>04市町村名21</t>
  </si>
  <si>
    <t>04適用する上限式21</t>
  </si>
  <si>
    <t>04A21</t>
  </si>
  <si>
    <t>04B21</t>
  </si>
  <si>
    <t>04C21</t>
  </si>
  <si>
    <t>04D21</t>
  </si>
  <si>
    <t>04F21</t>
  </si>
  <si>
    <t>04G21</t>
  </si>
  <si>
    <t>04H21</t>
  </si>
  <si>
    <t>04I21</t>
  </si>
  <si>
    <t>04J21</t>
  </si>
  <si>
    <t>04(a)21</t>
  </si>
  <si>
    <t>04K21</t>
  </si>
  <si>
    <t>04(b)21</t>
  </si>
  <si>
    <t>04(a)、(b)のいずれか高い方の金額21</t>
  </si>
  <si>
    <t>04上限式適否21</t>
  </si>
  <si>
    <t>04通し番号22</t>
  </si>
  <si>
    <t>04市町村名22</t>
  </si>
  <si>
    <t>04適用する上限式22</t>
  </si>
  <si>
    <t>04A22</t>
  </si>
  <si>
    <t>04B22</t>
  </si>
  <si>
    <t>04C22</t>
  </si>
  <si>
    <t>04D22</t>
  </si>
  <si>
    <t>04F22</t>
  </si>
  <si>
    <t>04G22</t>
  </si>
  <si>
    <t>04H22</t>
  </si>
  <si>
    <t>04I22</t>
  </si>
  <si>
    <t>04J22</t>
  </si>
  <si>
    <t>04(a)22</t>
  </si>
  <si>
    <t>04K22</t>
  </si>
  <si>
    <t>04(b)22</t>
  </si>
  <si>
    <t>04(a)、(b)のいずれか高い方の金額22</t>
  </si>
  <si>
    <t>04上限式適否22</t>
  </si>
  <si>
    <t>04通し番号23</t>
  </si>
  <si>
    <t>04市町村名23</t>
  </si>
  <si>
    <t>04適用する上限式23</t>
  </si>
  <si>
    <t>04A23</t>
  </si>
  <si>
    <t>04B23</t>
  </si>
  <si>
    <t>04C23</t>
  </si>
  <si>
    <t>04D23</t>
  </si>
  <si>
    <t>04F23</t>
  </si>
  <si>
    <t>04G23</t>
  </si>
  <si>
    <t>04H23</t>
  </si>
  <si>
    <t>04I23</t>
  </si>
  <si>
    <t>04J23</t>
  </si>
  <si>
    <t>04(a)23</t>
  </si>
  <si>
    <t>04K23</t>
  </si>
  <si>
    <t>04(b)23</t>
  </si>
  <si>
    <t>04(a)、(b)のいずれか高い方の金額23</t>
  </si>
  <si>
    <t>04上限式適否23</t>
  </si>
  <si>
    <t>04通し番号24</t>
  </si>
  <si>
    <t>04市町村名24</t>
  </si>
  <si>
    <t>04適用する上限式24</t>
  </si>
  <si>
    <t>04A24</t>
  </si>
  <si>
    <t>04B24</t>
  </si>
  <si>
    <t>04C24</t>
  </si>
  <si>
    <t>04D24</t>
  </si>
  <si>
    <t>04F24</t>
  </si>
  <si>
    <t>04G24</t>
  </si>
  <si>
    <t>04H24</t>
  </si>
  <si>
    <t>04I24</t>
  </si>
  <si>
    <t>04J24</t>
  </si>
  <si>
    <t>04(a)24</t>
  </si>
  <si>
    <t>04K24</t>
  </si>
  <si>
    <t>04(b)24</t>
  </si>
  <si>
    <t>04(a)、(b)のいずれか高い方の金額24</t>
  </si>
  <si>
    <t>04上限式適否24</t>
  </si>
  <si>
    <t>04通し番号25</t>
  </si>
  <si>
    <t>04市町村名25</t>
  </si>
  <si>
    <t>04適用する上限式25</t>
  </si>
  <si>
    <t>04A25</t>
  </si>
  <si>
    <t>04B25</t>
  </si>
  <si>
    <t>04C25</t>
  </si>
  <si>
    <t>04D25</t>
  </si>
  <si>
    <t>04F25</t>
  </si>
  <si>
    <t>04G25</t>
  </si>
  <si>
    <t>04H25</t>
  </si>
  <si>
    <t>04I25</t>
  </si>
  <si>
    <t>04J25</t>
  </si>
  <si>
    <t>04(a)25</t>
  </si>
  <si>
    <t>04K25</t>
  </si>
  <si>
    <t>04(b)25</t>
  </si>
  <si>
    <t>04(a)、(b)のいずれか高い方の金額25</t>
  </si>
  <si>
    <t>04上限式適否25</t>
  </si>
  <si>
    <t>04通し番号26</t>
  </si>
  <si>
    <t>04市町村名26</t>
  </si>
  <si>
    <t>04適用する上限式26</t>
  </si>
  <si>
    <t>04A26</t>
  </si>
  <si>
    <t>04B26</t>
  </si>
  <si>
    <t>04C26</t>
  </si>
  <si>
    <t>04D26</t>
  </si>
  <si>
    <t>04F26</t>
  </si>
  <si>
    <t>04G26</t>
  </si>
  <si>
    <t>04H26</t>
  </si>
  <si>
    <t>04I26</t>
  </si>
  <si>
    <t>04J26</t>
  </si>
  <si>
    <t>04(a)26</t>
  </si>
  <si>
    <t>04K26</t>
  </si>
  <si>
    <t>04(b)26</t>
  </si>
  <si>
    <t>04(a)、(b)のいずれか高い方の金額26</t>
  </si>
  <si>
    <t>04上限式適否26</t>
  </si>
  <si>
    <t>04通し番号27</t>
  </si>
  <si>
    <t>04市町村名27</t>
  </si>
  <si>
    <t>04適用する上限式27</t>
  </si>
  <si>
    <t>04A27</t>
  </si>
  <si>
    <t>04B27</t>
  </si>
  <si>
    <t>04C27</t>
  </si>
  <si>
    <t>04D27</t>
  </si>
  <si>
    <t>04F27</t>
  </si>
  <si>
    <t>04G27</t>
  </si>
  <si>
    <t>04H27</t>
  </si>
  <si>
    <t>04I27</t>
  </si>
  <si>
    <t>04J27</t>
  </si>
  <si>
    <t>04(a)27</t>
  </si>
  <si>
    <t>04K27</t>
  </si>
  <si>
    <t>04(b)27</t>
  </si>
  <si>
    <t>04(a)、(b)のいずれか高い方の金額27</t>
  </si>
  <si>
    <t>04上限式適否27</t>
  </si>
  <si>
    <t>04通し番号28</t>
  </si>
  <si>
    <t>04市町村名28</t>
  </si>
  <si>
    <t>04適用する上限式28</t>
  </si>
  <si>
    <t>04A28</t>
  </si>
  <si>
    <t>04B28</t>
  </si>
  <si>
    <t>04C28</t>
  </si>
  <si>
    <t>04D28</t>
  </si>
  <si>
    <t>04F28</t>
  </si>
  <si>
    <t>04G28</t>
  </si>
  <si>
    <t>04H28</t>
  </si>
  <si>
    <t>04I28</t>
  </si>
  <si>
    <t>04J28</t>
  </si>
  <si>
    <t>04(a)28</t>
  </si>
  <si>
    <t>04K28</t>
  </si>
  <si>
    <t>04(b)28</t>
  </si>
  <si>
    <t>04(a)、(b)のいずれか高い方の金額28</t>
  </si>
  <si>
    <t>04上限式適否28</t>
  </si>
  <si>
    <t>04通し番号29</t>
  </si>
  <si>
    <t>04市町村名29</t>
  </si>
  <si>
    <t>04適用する上限式29</t>
  </si>
  <si>
    <t>04A29</t>
  </si>
  <si>
    <t>04B29</t>
  </si>
  <si>
    <t>04C29</t>
  </si>
  <si>
    <t>04D29</t>
  </si>
  <si>
    <t>04F29</t>
  </si>
  <si>
    <t>04G29</t>
  </si>
  <si>
    <t>04H29</t>
  </si>
  <si>
    <t>04I29</t>
  </si>
  <si>
    <t>04J29</t>
  </si>
  <si>
    <t>04(a)29</t>
  </si>
  <si>
    <t>04K29</t>
  </si>
  <si>
    <t>04(b)29</t>
  </si>
  <si>
    <t>04(a)、(b)のいずれか高い方の金額29</t>
  </si>
  <si>
    <t>04上限式適否29</t>
  </si>
  <si>
    <t>04通し番号30</t>
  </si>
  <si>
    <t>04市町村名30</t>
  </si>
  <si>
    <t>04適用する上限式30</t>
  </si>
  <si>
    <t>04A30</t>
  </si>
  <si>
    <t>04B30</t>
  </si>
  <si>
    <t>04C30</t>
  </si>
  <si>
    <t>04D30</t>
  </si>
  <si>
    <t>04F30</t>
  </si>
  <si>
    <t>04G30</t>
  </si>
  <si>
    <t>04H30</t>
  </si>
  <si>
    <t>04I30</t>
  </si>
  <si>
    <t>04J30</t>
  </si>
  <si>
    <t>04(a)30</t>
  </si>
  <si>
    <t>04K30</t>
  </si>
  <si>
    <t>04(b)30</t>
  </si>
  <si>
    <t>04(a)、(b)のいずれか高い方の金額30</t>
  </si>
  <si>
    <t>04上限式適否30</t>
  </si>
  <si>
    <t>04通し番号31</t>
  </si>
  <si>
    <t>04市町村名31</t>
  </si>
  <si>
    <t>04適用する上限式31</t>
  </si>
  <si>
    <t>04A31</t>
  </si>
  <si>
    <t>04B31</t>
  </si>
  <si>
    <t>04C31</t>
  </si>
  <si>
    <t>04D31</t>
  </si>
  <si>
    <t>04F31</t>
  </si>
  <si>
    <t>04G31</t>
  </si>
  <si>
    <t>04H31</t>
  </si>
  <si>
    <t>04I31</t>
  </si>
  <si>
    <t>04J31</t>
  </si>
  <si>
    <t>04(a)31</t>
  </si>
  <si>
    <t>04K31</t>
  </si>
  <si>
    <t>04(b)31</t>
  </si>
  <si>
    <t>04(a)、(b)のいずれか高い方の金額31</t>
  </si>
  <si>
    <t>04上限式適否31</t>
  </si>
  <si>
    <t>04通し番号32</t>
  </si>
  <si>
    <t>04市町村名32</t>
  </si>
  <si>
    <t>04適用する上限式32</t>
  </si>
  <si>
    <t>04A32</t>
  </si>
  <si>
    <t>04B32</t>
  </si>
  <si>
    <t>04C32</t>
  </si>
  <si>
    <t>04D32</t>
  </si>
  <si>
    <t>04F32</t>
  </si>
  <si>
    <t>04G32</t>
  </si>
  <si>
    <t>04H32</t>
  </si>
  <si>
    <t>04I32</t>
  </si>
  <si>
    <t>04J32</t>
  </si>
  <si>
    <t>04(a)32</t>
  </si>
  <si>
    <t>04K32</t>
  </si>
  <si>
    <t>04(b)32</t>
  </si>
  <si>
    <t>04(a)、(b)のいずれか高い方の金額32</t>
  </si>
  <si>
    <t>04上限式適否32</t>
  </si>
  <si>
    <t>04通し番号33</t>
  </si>
  <si>
    <t>04市町村名33</t>
  </si>
  <si>
    <t>04適用する上限式33</t>
  </si>
  <si>
    <t>04A33</t>
  </si>
  <si>
    <t>04B33</t>
  </si>
  <si>
    <t>04C33</t>
  </si>
  <si>
    <t>04D33</t>
  </si>
  <si>
    <t>04F33</t>
  </si>
  <si>
    <t>04G33</t>
  </si>
  <si>
    <t>04H33</t>
  </si>
  <si>
    <t>04I33</t>
  </si>
  <si>
    <t>04J33</t>
  </si>
  <si>
    <t>04(a)33</t>
  </si>
  <si>
    <t>04K33</t>
  </si>
  <si>
    <t>04(b)33</t>
  </si>
  <si>
    <t>04(a)、(b)のいずれか高い方の金額33</t>
  </si>
  <si>
    <t>04上限式適否33</t>
  </si>
  <si>
    <t>04通し番号34</t>
  </si>
  <si>
    <t>04市町村名34</t>
  </si>
  <si>
    <t>04適用する上限式34</t>
  </si>
  <si>
    <t>04A34</t>
  </si>
  <si>
    <t>04B34</t>
  </si>
  <si>
    <t>04C34</t>
  </si>
  <si>
    <t>04D34</t>
  </si>
  <si>
    <t>04F34</t>
  </si>
  <si>
    <t>04G34</t>
  </si>
  <si>
    <t>04H34</t>
  </si>
  <si>
    <t>04I34</t>
  </si>
  <si>
    <t>04J34</t>
  </si>
  <si>
    <t>04(a)34</t>
  </si>
  <si>
    <t>04K34</t>
  </si>
  <si>
    <t>04(b)34</t>
  </si>
  <si>
    <t>04(a)、(b)のいずれか高い方の金額34</t>
  </si>
  <si>
    <t>04上限式適否34</t>
  </si>
  <si>
    <t>05①総事業費</t>
    <phoneticPr fontId="3"/>
  </si>
  <si>
    <t>05②対象経費額（様式１B欄）</t>
    <rPh sb="9" eb="11">
      <t>ヨウシキ</t>
    </rPh>
    <rPh sb="13" eb="14">
      <t>ラン</t>
    </rPh>
    <phoneticPr fontId="3"/>
  </si>
  <si>
    <t>05③寄付金その他の収入額</t>
    <phoneticPr fontId="3"/>
  </si>
  <si>
    <t>05④指定介護予防支援等にかかる収入額</t>
    <phoneticPr fontId="3"/>
  </si>
  <si>
    <t>05⑤総合相談支援事業の一部委託にかかる委託費</t>
    <phoneticPr fontId="3"/>
  </si>
  <si>
    <t>05⑥委託費を除いた総事業費</t>
    <phoneticPr fontId="3"/>
  </si>
  <si>
    <t>05⑦様式１A欄</t>
    <rPh sb="3" eb="5">
      <t>ヨウシキ</t>
    </rPh>
    <rPh sb="7" eb="8">
      <t>ラン</t>
    </rPh>
    <phoneticPr fontId="3"/>
  </si>
  <si>
    <t>05⑧様式１C欄</t>
    <rPh sb="3" eb="5">
      <t>ヨウシキ</t>
    </rPh>
    <rPh sb="7" eb="8">
      <t>ラン</t>
    </rPh>
    <phoneticPr fontId="3"/>
  </si>
  <si>
    <t>05⑩様式１D欄</t>
    <rPh sb="3" eb="5">
      <t>ヨウシキ</t>
    </rPh>
    <rPh sb="7" eb="8">
      <t>ラン</t>
    </rPh>
    <phoneticPr fontId="3"/>
  </si>
  <si>
    <t>05設置する地域包括支援センター数</t>
    <phoneticPr fontId="3"/>
  </si>
  <si>
    <t>06地域包括支援センター数</t>
    <phoneticPr fontId="3"/>
  </si>
  <si>
    <t>06日常生活圏域数</t>
    <phoneticPr fontId="3"/>
  </si>
  <si>
    <t>06専任の認知症地域支援推進員</t>
    <rPh sb="2" eb="4">
      <t>センニン</t>
    </rPh>
    <rPh sb="5" eb="15">
      <t>ニンチショウチイキシエンスイシンイン</t>
    </rPh>
    <phoneticPr fontId="3"/>
  </si>
  <si>
    <t>06第１層(市町村圏域）の数</t>
    <phoneticPr fontId="3"/>
  </si>
  <si>
    <t>06行政区数</t>
    <rPh sb="2" eb="5">
      <t>ギョウセイク</t>
    </rPh>
    <rPh sb="5" eb="6">
      <t>スウ</t>
    </rPh>
    <phoneticPr fontId="3"/>
  </si>
  <si>
    <t>06構成市町村数</t>
    <rPh sb="2" eb="4">
      <t>コウセイ</t>
    </rPh>
    <rPh sb="4" eb="7">
      <t>シチョウソン</t>
    </rPh>
    <rPh sb="7" eb="8">
      <t>スウ</t>
    </rPh>
    <phoneticPr fontId="3"/>
  </si>
  <si>
    <t>06（広域）専任の認知症地域支援推進員</t>
    <rPh sb="3" eb="5">
      <t>コウイキ</t>
    </rPh>
    <rPh sb="6" eb="8">
      <t>センニン</t>
    </rPh>
    <rPh sb="9" eb="19">
      <t>ニンチショウチイキシエンスイシンイン</t>
    </rPh>
    <phoneticPr fontId="3"/>
  </si>
  <si>
    <t>06在宅医療・介護連携推進事業の実施</t>
    <rPh sb="14" eb="15">
      <t>シ</t>
    </rPh>
    <rPh sb="16" eb="18">
      <t>ジッシ</t>
    </rPh>
    <phoneticPr fontId="3"/>
  </si>
  <si>
    <t>06生活支援コーディネーター・協議体の実施</t>
    <phoneticPr fontId="3"/>
  </si>
  <si>
    <t>06相談支援連携体制構築事業の実施</t>
    <rPh sb="15" eb="17">
      <t>ジッシ</t>
    </rPh>
    <phoneticPr fontId="3"/>
  </si>
  <si>
    <t>06住民参画・官民連携推進事業の実施</t>
    <rPh sb="2" eb="4">
      <t>ジュウミン</t>
    </rPh>
    <rPh sb="4" eb="6">
      <t>サンカク</t>
    </rPh>
    <rPh sb="7" eb="9">
      <t>カンミン</t>
    </rPh>
    <rPh sb="9" eb="11">
      <t>レンケイ</t>
    </rPh>
    <rPh sb="11" eb="13">
      <t>スイシン</t>
    </rPh>
    <rPh sb="13" eb="15">
      <t>ジギョウ</t>
    </rPh>
    <phoneticPr fontId="3"/>
  </si>
  <si>
    <t>06就労的活動支援コーディネーターの実施</t>
    <rPh sb="2" eb="4">
      <t>シュウロウ</t>
    </rPh>
    <rPh sb="4" eb="5">
      <t>テキ</t>
    </rPh>
    <rPh sb="5" eb="7">
      <t>カツドウ</t>
    </rPh>
    <rPh sb="7" eb="9">
      <t>シエン</t>
    </rPh>
    <phoneticPr fontId="3"/>
  </si>
  <si>
    <t>06認知症初期集中支援事業の実施</t>
    <rPh sb="2" eb="5">
      <t>ニンチショウ</t>
    </rPh>
    <rPh sb="5" eb="7">
      <t>ショキ</t>
    </rPh>
    <rPh sb="7" eb="9">
      <t>シュウチュウ</t>
    </rPh>
    <rPh sb="9" eb="11">
      <t>シエン</t>
    </rPh>
    <rPh sb="11" eb="13">
      <t>ジギョウ</t>
    </rPh>
    <phoneticPr fontId="3"/>
  </si>
  <si>
    <t>06認知症地域支援・ケア向上事業の実施</t>
    <rPh sb="2" eb="5">
      <t>ニンチショウ</t>
    </rPh>
    <rPh sb="5" eb="7">
      <t>チイキ</t>
    </rPh>
    <rPh sb="7" eb="9">
      <t>シエン</t>
    </rPh>
    <rPh sb="12" eb="14">
      <t>コウジョウ</t>
    </rPh>
    <rPh sb="14" eb="16">
      <t>ジギョウ</t>
    </rPh>
    <phoneticPr fontId="3"/>
  </si>
  <si>
    <t>06認知症サポーター活動促進・地域づくり推進事業の実施</t>
    <rPh sb="2" eb="5">
      <t>ニンチショウ</t>
    </rPh>
    <rPh sb="10" eb="12">
      <t>カツドウ</t>
    </rPh>
    <rPh sb="12" eb="14">
      <t>ソクシン</t>
    </rPh>
    <rPh sb="15" eb="17">
      <t>チイキ</t>
    </rPh>
    <rPh sb="20" eb="22">
      <t>スイシン</t>
    </rPh>
    <rPh sb="22" eb="24">
      <t>ジギョウ</t>
    </rPh>
    <phoneticPr fontId="3"/>
  </si>
  <si>
    <t>06地域ケア会議推進事業の実施</t>
    <rPh sb="2" eb="4">
      <t>チイキ</t>
    </rPh>
    <rPh sb="6" eb="8">
      <t>カイギ</t>
    </rPh>
    <rPh sb="8" eb="10">
      <t>スイシン</t>
    </rPh>
    <rPh sb="10" eb="12">
      <t>ジギョウ</t>
    </rPh>
    <phoneticPr fontId="3"/>
  </si>
  <si>
    <t>06居住支援連携の実施</t>
    <rPh sb="2" eb="4">
      <t>キョジュウ</t>
    </rPh>
    <rPh sb="4" eb="6">
      <t>シエン</t>
    </rPh>
    <rPh sb="6" eb="8">
      <t>レンケイ</t>
    </rPh>
    <phoneticPr fontId="3"/>
  </si>
  <si>
    <t>06標準額</t>
    <rPh sb="2" eb="5">
      <t>ヒョウジュンガク</t>
    </rPh>
    <phoneticPr fontId="3"/>
  </si>
  <si>
    <t>06個別協議額</t>
    <rPh sb="2" eb="4">
      <t>コベツ</t>
    </rPh>
    <rPh sb="4" eb="6">
      <t>キョウギ</t>
    </rPh>
    <phoneticPr fontId="3"/>
  </si>
  <si>
    <t>06在宅医療・介護連携推進事業標準額</t>
    <rPh sb="15" eb="17">
      <t>ヒョウジュン</t>
    </rPh>
    <rPh sb="17" eb="18">
      <t>ガク</t>
    </rPh>
    <phoneticPr fontId="3"/>
  </si>
  <si>
    <t>06生活支援コーディネーター・協議体標準額</t>
    <rPh sb="18" eb="20">
      <t>ヒョウジュン</t>
    </rPh>
    <rPh sb="20" eb="21">
      <t>ガク</t>
    </rPh>
    <phoneticPr fontId="3"/>
  </si>
  <si>
    <t>06相談支援連携体制構築事業標準額</t>
    <rPh sb="14" eb="16">
      <t>ヒョウジュン</t>
    </rPh>
    <rPh sb="16" eb="17">
      <t>ガク</t>
    </rPh>
    <phoneticPr fontId="3"/>
  </si>
  <si>
    <t>06住民参画・官民連携推進事業標準額</t>
    <phoneticPr fontId="3"/>
  </si>
  <si>
    <t>06就労的活動支援コーディネーター標準額</t>
    <rPh sb="2" eb="4">
      <t>シュウロウ</t>
    </rPh>
    <rPh sb="4" eb="5">
      <t>テキ</t>
    </rPh>
    <rPh sb="5" eb="7">
      <t>カツドウ</t>
    </rPh>
    <rPh sb="7" eb="9">
      <t>シエン</t>
    </rPh>
    <rPh sb="17" eb="19">
      <t>ヒョウジュン</t>
    </rPh>
    <rPh sb="19" eb="20">
      <t>ガク</t>
    </rPh>
    <phoneticPr fontId="3"/>
  </si>
  <si>
    <t>06認知症初期集中支援事業標準額</t>
    <rPh sb="2" eb="5">
      <t>ニンチショウ</t>
    </rPh>
    <rPh sb="5" eb="7">
      <t>ショキ</t>
    </rPh>
    <rPh sb="7" eb="9">
      <t>シュウチュウ</t>
    </rPh>
    <rPh sb="9" eb="11">
      <t>シエン</t>
    </rPh>
    <rPh sb="11" eb="13">
      <t>ジギョウ</t>
    </rPh>
    <rPh sb="13" eb="15">
      <t>ヒョウジュン</t>
    </rPh>
    <rPh sb="15" eb="16">
      <t>ガク</t>
    </rPh>
    <phoneticPr fontId="3"/>
  </si>
  <si>
    <t>06認知症地域支援・ケア向上事業標準額</t>
    <rPh sb="2" eb="5">
      <t>ニンチショウ</t>
    </rPh>
    <rPh sb="5" eb="7">
      <t>チイキ</t>
    </rPh>
    <rPh sb="7" eb="9">
      <t>シエン</t>
    </rPh>
    <rPh sb="12" eb="14">
      <t>コウジョウ</t>
    </rPh>
    <rPh sb="14" eb="16">
      <t>ジギョウ</t>
    </rPh>
    <rPh sb="16" eb="18">
      <t>ヒョウジュン</t>
    </rPh>
    <rPh sb="18" eb="19">
      <t>ガク</t>
    </rPh>
    <phoneticPr fontId="3"/>
  </si>
  <si>
    <t>06認知症サポーター活動促進・地域づくり推進事業標準額</t>
    <rPh sb="2" eb="5">
      <t>ニンチショウ</t>
    </rPh>
    <rPh sb="10" eb="12">
      <t>カツドウ</t>
    </rPh>
    <rPh sb="12" eb="14">
      <t>ソクシン</t>
    </rPh>
    <rPh sb="15" eb="17">
      <t>チイキ</t>
    </rPh>
    <rPh sb="20" eb="22">
      <t>スイシン</t>
    </rPh>
    <rPh sb="22" eb="24">
      <t>ジギョウ</t>
    </rPh>
    <rPh sb="24" eb="26">
      <t>ヒョウジュン</t>
    </rPh>
    <rPh sb="26" eb="27">
      <t>ガク</t>
    </rPh>
    <phoneticPr fontId="3"/>
  </si>
  <si>
    <t>06地域ケア会議推進事業標準額</t>
    <rPh sb="2" eb="4">
      <t>チイキ</t>
    </rPh>
    <rPh sb="6" eb="8">
      <t>カイギ</t>
    </rPh>
    <rPh sb="8" eb="10">
      <t>スイシン</t>
    </rPh>
    <rPh sb="10" eb="12">
      <t>ジギョウ</t>
    </rPh>
    <rPh sb="12" eb="14">
      <t>ヒョウジュン</t>
    </rPh>
    <rPh sb="14" eb="15">
      <t>ガク</t>
    </rPh>
    <phoneticPr fontId="3"/>
  </si>
  <si>
    <t>06（再掲）居住支援加算標準額</t>
    <rPh sb="3" eb="5">
      <t>サイケイ</t>
    </rPh>
    <rPh sb="6" eb="12">
      <t>キョジュウシエンカサン</t>
    </rPh>
    <rPh sb="12" eb="14">
      <t>ヒョウジュン</t>
    </rPh>
    <rPh sb="14" eb="15">
      <t>ガク</t>
    </rPh>
    <phoneticPr fontId="3"/>
  </si>
  <si>
    <t>06【令和６年度包括的支援事業（社会保障充実分）上限額設定】</t>
    <phoneticPr fontId="3"/>
  </si>
  <si>
    <t>06エラー</t>
    <phoneticPr fontId="3"/>
  </si>
  <si>
    <t>06-1（一般市町村）SCをセンターに配置</t>
    <rPh sb="5" eb="7">
      <t>イッパン</t>
    </rPh>
    <rPh sb="7" eb="10">
      <t>シチョウソン</t>
    </rPh>
    <rPh sb="19" eb="21">
      <t>ハイチ</t>
    </rPh>
    <phoneticPr fontId="3"/>
  </si>
  <si>
    <t>06-1（指定都市）実施行政区数</t>
    <rPh sb="5" eb="7">
      <t>シテイ</t>
    </rPh>
    <rPh sb="7" eb="9">
      <t>トシ</t>
    </rPh>
    <rPh sb="10" eb="12">
      <t>ジッシ</t>
    </rPh>
    <rPh sb="12" eb="15">
      <t>ギョウセイク</t>
    </rPh>
    <rPh sb="15" eb="16">
      <t>スウ</t>
    </rPh>
    <phoneticPr fontId="3"/>
  </si>
  <si>
    <t>06-1（指定都市）うちSCをセンターに配置している数</t>
    <rPh sb="5" eb="7">
      <t>シテイ</t>
    </rPh>
    <rPh sb="7" eb="9">
      <t>トシ</t>
    </rPh>
    <rPh sb="20" eb="22">
      <t>ハイチ</t>
    </rPh>
    <rPh sb="26" eb="27">
      <t>スウ</t>
    </rPh>
    <phoneticPr fontId="3"/>
  </si>
  <si>
    <t>06-1（広域）実施構成市町村数</t>
    <rPh sb="5" eb="7">
      <t>コウイキ</t>
    </rPh>
    <rPh sb="8" eb="10">
      <t>ジッシ</t>
    </rPh>
    <rPh sb="10" eb="12">
      <t>コウセイ</t>
    </rPh>
    <rPh sb="12" eb="15">
      <t>シチョウソン</t>
    </rPh>
    <rPh sb="15" eb="16">
      <t>スウ</t>
    </rPh>
    <phoneticPr fontId="3"/>
  </si>
  <si>
    <t>06-1（広域）うちSCをセンターに配置している数</t>
    <rPh sb="5" eb="7">
      <t>コウイキ</t>
    </rPh>
    <rPh sb="18" eb="20">
      <t>ハイチ</t>
    </rPh>
    <rPh sb="24" eb="25">
      <t>スウ</t>
    </rPh>
    <phoneticPr fontId="3"/>
  </si>
  <si>
    <t>06-1（広域）うち重層実施数</t>
    <rPh sb="5" eb="7">
      <t>コウイキ</t>
    </rPh>
    <rPh sb="10" eb="12">
      <t>ジュウソウ</t>
    </rPh>
    <rPh sb="12" eb="14">
      <t>ジッシ</t>
    </rPh>
    <rPh sb="14" eb="15">
      <t>スウ</t>
    </rPh>
    <phoneticPr fontId="3"/>
  </si>
  <si>
    <t>06-2（指定都市）連携体制構築されている行政区数</t>
    <rPh sb="5" eb="7">
      <t>シテイ</t>
    </rPh>
    <rPh sb="7" eb="9">
      <t>トシ</t>
    </rPh>
    <rPh sb="10" eb="12">
      <t>レンケイ</t>
    </rPh>
    <rPh sb="12" eb="14">
      <t>タイセイ</t>
    </rPh>
    <rPh sb="14" eb="16">
      <t>コウチク</t>
    </rPh>
    <rPh sb="21" eb="24">
      <t>ギョウセイク</t>
    </rPh>
    <rPh sb="24" eb="25">
      <t>スウ</t>
    </rPh>
    <phoneticPr fontId="3"/>
  </si>
  <si>
    <t>06-2（広域）連携体制構築されている構成市町村数</t>
    <rPh sb="5" eb="7">
      <t>コウイキ</t>
    </rPh>
    <rPh sb="8" eb="10">
      <t>レンケイ</t>
    </rPh>
    <rPh sb="10" eb="12">
      <t>タイセイ</t>
    </rPh>
    <rPh sb="12" eb="14">
      <t>コウチク</t>
    </rPh>
    <rPh sb="19" eb="21">
      <t>コウセイ</t>
    </rPh>
    <rPh sb="21" eb="24">
      <t>シチョウソン</t>
    </rPh>
    <rPh sb="24" eb="25">
      <t>スウ</t>
    </rPh>
    <phoneticPr fontId="3"/>
  </si>
  <si>
    <t>07社会保障充実分対象経費額</t>
    <rPh sb="2" eb="4">
      <t>シャカイ</t>
    </rPh>
    <rPh sb="4" eb="6">
      <t>ホショウ</t>
    </rPh>
    <rPh sb="6" eb="8">
      <t>ジュウジツ</t>
    </rPh>
    <rPh sb="8" eb="9">
      <t>ブン</t>
    </rPh>
    <rPh sb="9" eb="11">
      <t>タイショウ</t>
    </rPh>
    <rPh sb="11" eb="13">
      <t>ケイヒ</t>
    </rPh>
    <rPh sb="13" eb="14">
      <t>ガク</t>
    </rPh>
    <phoneticPr fontId="3"/>
  </si>
  <si>
    <t>07標準額</t>
    <rPh sb="2" eb="4">
      <t>ヒョウジュン</t>
    </rPh>
    <rPh sb="4" eb="5">
      <t>ガク</t>
    </rPh>
    <phoneticPr fontId="3"/>
  </si>
  <si>
    <t>07①在宅医療・介護連携推進対象経費額</t>
    <rPh sb="3" eb="5">
      <t>ザイタク</t>
    </rPh>
    <rPh sb="5" eb="7">
      <t>イリョウ</t>
    </rPh>
    <rPh sb="8" eb="10">
      <t>カイゴ</t>
    </rPh>
    <rPh sb="10" eb="12">
      <t>レンケイ</t>
    </rPh>
    <rPh sb="12" eb="14">
      <t>スイシン</t>
    </rPh>
    <rPh sb="14" eb="16">
      <t>タイショウ</t>
    </rPh>
    <rPh sb="16" eb="18">
      <t>ケイヒ</t>
    </rPh>
    <rPh sb="18" eb="19">
      <t>ガク</t>
    </rPh>
    <phoneticPr fontId="3"/>
  </si>
  <si>
    <t>07①ア（イ）等の会議</t>
    <rPh sb="7" eb="8">
      <t>トウ</t>
    </rPh>
    <rPh sb="9" eb="11">
      <t>カイギ</t>
    </rPh>
    <phoneticPr fontId="3"/>
  </si>
  <si>
    <t>07①イ（ア）の相談窓口</t>
    <rPh sb="8" eb="10">
      <t>ソウダン</t>
    </rPh>
    <rPh sb="10" eb="12">
      <t>マドグチ</t>
    </rPh>
    <phoneticPr fontId="3"/>
  </si>
  <si>
    <t>07①イ（ア）のコーディネーター</t>
    <phoneticPr fontId="3"/>
  </si>
  <si>
    <t>07①イ（ウ）②多職種研修</t>
    <rPh sb="8" eb="11">
      <t>タショクシュ</t>
    </rPh>
    <rPh sb="11" eb="13">
      <t>ケンシュウ</t>
    </rPh>
    <phoneticPr fontId="3"/>
  </si>
  <si>
    <t>07①イ（ウ）②その他の研修</t>
    <rPh sb="10" eb="11">
      <t>タ</t>
    </rPh>
    <rPh sb="12" eb="14">
      <t>ケンシュウ</t>
    </rPh>
    <phoneticPr fontId="3"/>
  </si>
  <si>
    <t>07②生活支援体制整備対象経費額</t>
    <rPh sb="11" eb="13">
      <t>タイショウ</t>
    </rPh>
    <rPh sb="13" eb="15">
      <t>ケイヒ</t>
    </rPh>
    <rPh sb="15" eb="16">
      <t>ガク</t>
    </rPh>
    <phoneticPr fontId="3"/>
  </si>
  <si>
    <t>07②第１層生活支援コーディネーター</t>
    <phoneticPr fontId="3"/>
  </si>
  <si>
    <t>07②第２層生活支援コーディネーター</t>
    <phoneticPr fontId="3"/>
  </si>
  <si>
    <t>07②住民参画・官民連携推進事業</t>
    <phoneticPr fontId="3"/>
  </si>
  <si>
    <t>07②生活支援コーディネーターを中心とした相談支援連携体制構築事業</t>
    <phoneticPr fontId="3"/>
  </si>
  <si>
    <t>07②就労的活動支援コーディネーター</t>
    <phoneticPr fontId="3"/>
  </si>
  <si>
    <t>07③認知症総合支援対象経費額</t>
    <rPh sb="3" eb="6">
      <t>ニンチショウ</t>
    </rPh>
    <rPh sb="6" eb="8">
      <t>ソウゴウ</t>
    </rPh>
    <rPh sb="8" eb="10">
      <t>シエン</t>
    </rPh>
    <rPh sb="10" eb="12">
      <t>タイショウ</t>
    </rPh>
    <rPh sb="12" eb="14">
      <t>ケイヒ</t>
    </rPh>
    <rPh sb="14" eb="15">
      <t>ガク</t>
    </rPh>
    <phoneticPr fontId="3"/>
  </si>
  <si>
    <t>07③認知症初期集中支援チーム設置</t>
    <phoneticPr fontId="3"/>
  </si>
  <si>
    <t>07③認知症地域支援推進員設置</t>
    <rPh sb="3" eb="6">
      <t>ニンチショウ</t>
    </rPh>
    <rPh sb="6" eb="8">
      <t>チイキ</t>
    </rPh>
    <rPh sb="8" eb="10">
      <t>シエン</t>
    </rPh>
    <rPh sb="10" eb="13">
      <t>スイシンイン</t>
    </rPh>
    <rPh sb="13" eb="15">
      <t>セッチ</t>
    </rPh>
    <phoneticPr fontId="3"/>
  </si>
  <si>
    <t>07③うち専任の認知症地域支援推進員</t>
    <phoneticPr fontId="3"/>
  </si>
  <si>
    <t>07③チームオレンジコーディネーター</t>
    <phoneticPr fontId="3"/>
  </si>
  <si>
    <t>07④地域ケア会議推進事業対象経費額</t>
    <phoneticPr fontId="3"/>
  </si>
  <si>
    <t>07④地域ケア個別会議</t>
    <phoneticPr fontId="3"/>
  </si>
  <si>
    <t>07④居住支援連携</t>
    <rPh sb="3" eb="5">
      <t>キョジュウ</t>
    </rPh>
    <rPh sb="5" eb="7">
      <t>シエン</t>
    </rPh>
    <rPh sb="7" eb="9">
      <t>レンケイ</t>
    </rPh>
    <phoneticPr fontId="3"/>
  </si>
  <si>
    <t>08①対象経費額</t>
    <phoneticPr fontId="3"/>
  </si>
  <si>
    <t>08①事業内容</t>
    <phoneticPr fontId="3"/>
  </si>
  <si>
    <t>08①効果</t>
    <phoneticPr fontId="3"/>
  </si>
  <si>
    <t>08②対象経費額</t>
    <phoneticPr fontId="3"/>
  </si>
  <si>
    <t>08②事業内容</t>
    <phoneticPr fontId="3"/>
  </si>
  <si>
    <t>08②効果</t>
    <phoneticPr fontId="3"/>
  </si>
  <si>
    <t>08③対象経費額</t>
    <phoneticPr fontId="3"/>
  </si>
  <si>
    <t>08③事業内容</t>
    <phoneticPr fontId="3"/>
  </si>
  <si>
    <t>08③効果</t>
    <phoneticPr fontId="3"/>
  </si>
  <si>
    <t>08④対象経費額</t>
    <phoneticPr fontId="3"/>
  </si>
  <si>
    <t>08④事業内容</t>
    <phoneticPr fontId="3"/>
  </si>
  <si>
    <t>08④効果</t>
    <phoneticPr fontId="3"/>
  </si>
  <si>
    <t>08⑤対象経費額</t>
    <phoneticPr fontId="3"/>
  </si>
  <si>
    <t>08⑤事業内容</t>
    <phoneticPr fontId="3"/>
  </si>
  <si>
    <t>08⑤効果</t>
    <phoneticPr fontId="3"/>
  </si>
  <si>
    <t>08⑥対象経費額</t>
    <phoneticPr fontId="3"/>
  </si>
  <si>
    <t>08⑥事業内容</t>
    <phoneticPr fontId="3"/>
  </si>
  <si>
    <t>08⑥効果</t>
    <phoneticPr fontId="3"/>
  </si>
  <si>
    <t>08⑦対象経費額</t>
    <phoneticPr fontId="3"/>
  </si>
  <si>
    <t>08⑦事業内容</t>
    <phoneticPr fontId="3"/>
  </si>
  <si>
    <t>08⑦効果</t>
    <phoneticPr fontId="3"/>
  </si>
  <si>
    <t>08⑧対象経費額</t>
    <phoneticPr fontId="3"/>
  </si>
  <si>
    <t>08⑧事業内容</t>
    <phoneticPr fontId="3"/>
  </si>
  <si>
    <t>08⑧効果</t>
    <phoneticPr fontId="3"/>
  </si>
  <si>
    <t>08⑨対象経費額</t>
    <phoneticPr fontId="3"/>
  </si>
  <si>
    <t>08⑨事業内容</t>
    <phoneticPr fontId="3"/>
  </si>
  <si>
    <t>08⑨効果</t>
    <phoneticPr fontId="3"/>
  </si>
  <si>
    <t>08⑩対象経費額</t>
    <phoneticPr fontId="3"/>
  </si>
  <si>
    <t>08⑩事業内容</t>
    <phoneticPr fontId="3"/>
  </si>
  <si>
    <t>08⑩効果</t>
    <phoneticPr fontId="3"/>
  </si>
  <si>
    <t>08⑪対象経費額</t>
    <phoneticPr fontId="3"/>
  </si>
  <si>
    <t>08⑪事業内容</t>
    <phoneticPr fontId="3"/>
  </si>
  <si>
    <t>08⑪効果</t>
    <phoneticPr fontId="3"/>
  </si>
  <si>
    <t>08⑫対象経費額</t>
    <phoneticPr fontId="3"/>
  </si>
  <si>
    <t>08⑫事業内容</t>
    <phoneticPr fontId="3"/>
  </si>
  <si>
    <t>08⑫効果</t>
    <phoneticPr fontId="3"/>
  </si>
  <si>
    <t>08⑬対象経費額</t>
    <phoneticPr fontId="3"/>
  </si>
  <si>
    <t>08⑬事業内容</t>
    <phoneticPr fontId="3"/>
  </si>
  <si>
    <t>08⑬効果</t>
    <phoneticPr fontId="3"/>
  </si>
  <si>
    <t>08⑭対象経費額</t>
    <phoneticPr fontId="3"/>
  </si>
  <si>
    <t>08⑭事業内容</t>
    <phoneticPr fontId="3"/>
  </si>
  <si>
    <t>08⑭効果</t>
    <phoneticPr fontId="3"/>
  </si>
  <si>
    <t>08⑮対象経費額</t>
    <phoneticPr fontId="3"/>
  </si>
  <si>
    <t>08⑮事業内容</t>
    <phoneticPr fontId="3"/>
  </si>
  <si>
    <t>08⑮効果</t>
    <phoneticPr fontId="3"/>
  </si>
  <si>
    <t>08⑯対象経費額</t>
    <phoneticPr fontId="3"/>
  </si>
  <si>
    <t>08⑯事業内容</t>
    <phoneticPr fontId="3"/>
  </si>
  <si>
    <t>08⑯効果</t>
    <phoneticPr fontId="3"/>
  </si>
  <si>
    <t>08⑰対象経費額</t>
    <phoneticPr fontId="3"/>
  </si>
  <si>
    <t>08⑰事業内容</t>
    <phoneticPr fontId="3"/>
  </si>
  <si>
    <t>08⑰効果</t>
    <phoneticPr fontId="3"/>
  </si>
  <si>
    <t>08⑱対象経費額</t>
    <phoneticPr fontId="3"/>
  </si>
  <si>
    <t>08⑱事業内容</t>
    <phoneticPr fontId="3"/>
  </si>
  <si>
    <t>08⑱効果</t>
    <phoneticPr fontId="3"/>
  </si>
  <si>
    <t>08⑲対象経費額</t>
    <phoneticPr fontId="3"/>
  </si>
  <si>
    <t>08⑲事業内容</t>
    <phoneticPr fontId="3"/>
  </si>
  <si>
    <t>08⑲効果</t>
    <phoneticPr fontId="3"/>
  </si>
  <si>
    <t>08⑳対象経費額</t>
    <phoneticPr fontId="3"/>
  </si>
  <si>
    <t>08⑳事業内容</t>
    <phoneticPr fontId="3"/>
  </si>
  <si>
    <t>08⑳効果</t>
    <phoneticPr fontId="3"/>
  </si>
  <si>
    <t>08㉑対象経費額</t>
    <phoneticPr fontId="3"/>
  </si>
  <si>
    <t>08㉑事業内容</t>
    <phoneticPr fontId="3"/>
  </si>
  <si>
    <t>08㉑効果</t>
    <phoneticPr fontId="3"/>
  </si>
  <si>
    <t>08事業名（特区等）</t>
    <phoneticPr fontId="3"/>
  </si>
  <si>
    <t>08対象経費額（特区等）</t>
    <phoneticPr fontId="3"/>
  </si>
  <si>
    <t>08事業内容（特区等）</t>
    <phoneticPr fontId="3"/>
  </si>
  <si>
    <t>08効果（特区等）</t>
    <rPh sb="2" eb="4">
      <t>コウカ</t>
    </rPh>
    <phoneticPr fontId="3"/>
  </si>
  <si>
    <t>08合計</t>
    <phoneticPr fontId="3"/>
  </si>
  <si>
    <t>保険者No</t>
    <rPh sb="0" eb="3">
      <t>ホケンシャ</t>
    </rPh>
    <phoneticPr fontId="7"/>
  </si>
  <si>
    <t>市町村</t>
    <rPh sb="0" eb="3">
      <t>シチョウソン</t>
    </rPh>
    <phoneticPr fontId="8"/>
  </si>
  <si>
    <t>有</t>
    <rPh sb="0" eb="1">
      <t>ア</t>
    </rPh>
    <phoneticPr fontId="8"/>
  </si>
  <si>
    <t>(1)R2対象経費支出予定額</t>
  </si>
  <si>
    <t>(1)R3対象経費支出予定額</t>
  </si>
  <si>
    <t>(1)R4対象経費支出予定額</t>
  </si>
  <si>
    <t>(1)R5対象経費支出予定額</t>
  </si>
  <si>
    <t>(1)R6対象経費支出予定額</t>
    <phoneticPr fontId="3"/>
  </si>
  <si>
    <t>(2)交付上限額</t>
    <rPh sb="3" eb="5">
      <t>コウフ</t>
    </rPh>
    <rPh sb="5" eb="8">
      <t>ジョウゲンガク</t>
    </rPh>
    <phoneticPr fontId="8"/>
  </si>
  <si>
    <t>(3)やむを得ない事情の場合の交付上限額</t>
    <rPh sb="15" eb="17">
      <t>コウフ</t>
    </rPh>
    <rPh sb="17" eb="20">
      <t>ジョウゲンガク</t>
    </rPh>
    <phoneticPr fontId="8"/>
  </si>
  <si>
    <t>(4)①下方変動</t>
    <rPh sb="4" eb="6">
      <t>カホウ</t>
    </rPh>
    <rPh sb="6" eb="8">
      <t>ヘンドウ</t>
    </rPh>
    <phoneticPr fontId="8"/>
  </si>
  <si>
    <t>(4)①上方変動</t>
    <rPh sb="4" eb="6">
      <t>ジョウホウ</t>
    </rPh>
    <rPh sb="6" eb="8">
      <t>ヘンドウ</t>
    </rPh>
    <phoneticPr fontId="8"/>
  </si>
  <si>
    <t>(4)①その他</t>
    <rPh sb="6" eb="7">
      <t>タ</t>
    </rPh>
    <phoneticPr fontId="8"/>
  </si>
  <si>
    <t>(4)②その他の内容</t>
    <rPh sb="6" eb="7">
      <t>タ</t>
    </rPh>
    <phoneticPr fontId="8"/>
  </si>
  <si>
    <t>介護用品上限</t>
    <rPh sb="0" eb="2">
      <t>カイゴ</t>
    </rPh>
    <rPh sb="2" eb="4">
      <t>ヨウヒン</t>
    </rPh>
    <rPh sb="4" eb="6">
      <t>ジョウゲン</t>
    </rPh>
    <phoneticPr fontId="3"/>
  </si>
  <si>
    <t>(5)合計人数</t>
    <rPh sb="3" eb="5">
      <t>ゴウケイ</t>
    </rPh>
    <rPh sb="5" eb="7">
      <t>ニンズウ</t>
    </rPh>
    <phoneticPr fontId="8"/>
  </si>
  <si>
    <t>(5)人数（地域支援事業）</t>
    <rPh sb="6" eb="8">
      <t>チイキ</t>
    </rPh>
    <rPh sb="8" eb="10">
      <t>シエン</t>
    </rPh>
    <rPh sb="10" eb="12">
      <t>ジギョウ</t>
    </rPh>
    <phoneticPr fontId="8"/>
  </si>
  <si>
    <t>(5)人数（市町村特別給付）</t>
    <rPh sb="6" eb="9">
      <t>シチョウソン</t>
    </rPh>
    <rPh sb="9" eb="11">
      <t>トクベツ</t>
    </rPh>
    <rPh sb="11" eb="13">
      <t>キュウフ</t>
    </rPh>
    <phoneticPr fontId="8"/>
  </si>
  <si>
    <t>(5)人数（保健福祉事業）</t>
    <rPh sb="6" eb="8">
      <t>ホケン</t>
    </rPh>
    <rPh sb="8" eb="10">
      <t>フクシ</t>
    </rPh>
    <rPh sb="10" eb="12">
      <t>ジギョウ</t>
    </rPh>
    <phoneticPr fontId="8"/>
  </si>
  <si>
    <t>(5)人数（一般財源）</t>
    <rPh sb="6" eb="8">
      <t>イッパン</t>
    </rPh>
    <rPh sb="8" eb="10">
      <t>ザイゲン</t>
    </rPh>
    <phoneticPr fontId="8"/>
  </si>
  <si>
    <t>(5)合計額</t>
    <rPh sb="3" eb="5">
      <t>ゴウケイ</t>
    </rPh>
    <rPh sb="5" eb="6">
      <t>ガク</t>
    </rPh>
    <phoneticPr fontId="8"/>
  </si>
  <si>
    <t>(5)支出予定額（地域支援事業）</t>
    <rPh sb="3" eb="5">
      <t>シシュツ</t>
    </rPh>
    <rPh sb="5" eb="7">
      <t>ヨテイ</t>
    </rPh>
    <rPh sb="7" eb="8">
      <t>ガク</t>
    </rPh>
    <rPh sb="9" eb="15">
      <t>チイキシエンジギョウ</t>
    </rPh>
    <phoneticPr fontId="8"/>
  </si>
  <si>
    <t>(5)支出予定額（市町村特別給付）</t>
    <rPh sb="3" eb="5">
      <t>シシュツ</t>
    </rPh>
    <rPh sb="5" eb="7">
      <t>ヨテイ</t>
    </rPh>
    <rPh sb="7" eb="8">
      <t>ガク</t>
    </rPh>
    <rPh sb="9" eb="16">
      <t>シチョウソントクベツキュウフ</t>
    </rPh>
    <phoneticPr fontId="8"/>
  </si>
  <si>
    <t>(5)支出予定額（保健福祉事業）</t>
    <rPh sb="3" eb="5">
      <t>シシュツ</t>
    </rPh>
    <rPh sb="5" eb="7">
      <t>ヨテイ</t>
    </rPh>
    <rPh sb="7" eb="8">
      <t>ガク</t>
    </rPh>
    <rPh sb="9" eb="11">
      <t>ホケン</t>
    </rPh>
    <rPh sb="11" eb="13">
      <t>フクシ</t>
    </rPh>
    <rPh sb="13" eb="15">
      <t>ジギョウ</t>
    </rPh>
    <phoneticPr fontId="8"/>
  </si>
  <si>
    <t>(5)支出予定額（一般財源）</t>
    <rPh sb="3" eb="5">
      <t>シシュツ</t>
    </rPh>
    <rPh sb="5" eb="7">
      <t>ヨテイ</t>
    </rPh>
    <rPh sb="7" eb="8">
      <t>ガク</t>
    </rPh>
    <rPh sb="9" eb="11">
      <t>イッパン</t>
    </rPh>
    <rPh sb="11" eb="13">
      <t>ザイゲン</t>
    </rPh>
    <phoneticPr fontId="8"/>
  </si>
  <si>
    <t>（６）①支給予定人数計</t>
    <rPh sb="4" eb="6">
      <t>シキュウ</t>
    </rPh>
    <rPh sb="6" eb="8">
      <t>ヨテイ</t>
    </rPh>
    <rPh sb="8" eb="10">
      <t>ニンズウ</t>
    </rPh>
    <rPh sb="10" eb="11">
      <t>ケイ</t>
    </rPh>
    <phoneticPr fontId="3"/>
  </si>
  <si>
    <t>(6)①第１～３段階（要介護５）</t>
    <rPh sb="11" eb="12">
      <t>ヨウ</t>
    </rPh>
    <rPh sb="12" eb="14">
      <t>カイゴ</t>
    </rPh>
    <phoneticPr fontId="8"/>
  </si>
  <si>
    <t>(6)①第４段階（要介護５）</t>
  </si>
  <si>
    <t>(6)①第５段階（要介護５）</t>
  </si>
  <si>
    <t>(6)①第１～３段階（要介護４）</t>
    <rPh sb="11" eb="14">
      <t>ヨウカイゴ</t>
    </rPh>
    <phoneticPr fontId="8"/>
  </si>
  <si>
    <t>(6)①第４段階（要介護４）</t>
  </si>
  <si>
    <t>(6)①第５段階（要介護４）</t>
  </si>
  <si>
    <t>(6)①第１～３段階（要介護３）</t>
    <rPh sb="11" eb="12">
      <t>ヨウ</t>
    </rPh>
    <rPh sb="12" eb="14">
      <t>カイゴ</t>
    </rPh>
    <phoneticPr fontId="8"/>
  </si>
  <si>
    <t>(6)①第４段階（要介護３）</t>
  </si>
  <si>
    <t>(6)①第５段階（要介護３）</t>
  </si>
  <si>
    <t>(6)①第１～３段階（要介護１～２）</t>
    <rPh sb="11" eb="12">
      <t>ヨウ</t>
    </rPh>
    <rPh sb="12" eb="14">
      <t>カイゴ</t>
    </rPh>
    <phoneticPr fontId="8"/>
  </si>
  <si>
    <t>(6)①第４段階（要介護１～２）</t>
  </si>
  <si>
    <t>(6)①第５段階（要介護１～２）</t>
  </si>
  <si>
    <t>(6)①第１～３段階（要支援１～２）</t>
    <rPh sb="11" eb="14">
      <t>ヨウシエン</t>
    </rPh>
    <phoneticPr fontId="8"/>
  </si>
  <si>
    <t>(6)①第４段階（要支援１～２）</t>
  </si>
  <si>
    <t>(6)①第５段階（要支援１～２）</t>
  </si>
  <si>
    <t>(6)①第１～３段階（事業対象者）</t>
    <rPh sb="11" eb="13">
      <t>ジギョウ</t>
    </rPh>
    <rPh sb="13" eb="15">
      <t>タイショウ</t>
    </rPh>
    <rPh sb="15" eb="16">
      <t>シャ</t>
    </rPh>
    <phoneticPr fontId="8"/>
  </si>
  <si>
    <t>(6)①第４段階（事業対象者）</t>
  </si>
  <si>
    <t>(6)①第５段階（事業対象者）</t>
  </si>
  <si>
    <t>(6)②一人当たり支給上限額</t>
    <rPh sb="4" eb="6">
      <t>ヒトリ</t>
    </rPh>
    <rPh sb="6" eb="7">
      <t>ア</t>
    </rPh>
    <rPh sb="9" eb="11">
      <t>シキュウ</t>
    </rPh>
    <rPh sb="11" eb="14">
      <t>ジョウゲンガク</t>
    </rPh>
    <phoneticPr fontId="8"/>
  </si>
  <si>
    <t>(6)②詳細</t>
    <rPh sb="4" eb="6">
      <t>ショウサイ</t>
    </rPh>
    <phoneticPr fontId="8"/>
  </si>
  <si>
    <t>(6)③交付希望額</t>
    <rPh sb="4" eb="6">
      <t>コウフ</t>
    </rPh>
    <rPh sb="6" eb="8">
      <t>キボウ</t>
    </rPh>
    <rPh sb="8" eb="9">
      <t>ガク</t>
    </rPh>
    <phoneticPr fontId="8"/>
  </si>
  <si>
    <t>R6廃止・縮小</t>
    <rPh sb="2" eb="4">
      <t>ハイシ</t>
    </rPh>
    <rPh sb="5" eb="7">
      <t>シュクショウ</t>
    </rPh>
    <phoneticPr fontId="9"/>
  </si>
  <si>
    <t>R6具体的な取組（縮小）</t>
    <rPh sb="2" eb="5">
      <t>グタイテキ</t>
    </rPh>
    <rPh sb="6" eb="8">
      <t>トリクミ</t>
    </rPh>
    <rPh sb="9" eb="11">
      <t>シュクショウ</t>
    </rPh>
    <phoneticPr fontId="9"/>
  </si>
  <si>
    <t>R6廃止後の移行先等</t>
    <rPh sb="2" eb="5">
      <t>ハイシゴ</t>
    </rPh>
    <rPh sb="6" eb="9">
      <t>イコウサキ</t>
    </rPh>
    <rPh sb="9" eb="10">
      <t>トウ</t>
    </rPh>
    <phoneticPr fontId="9"/>
  </si>
  <si>
    <t>R7廃止・縮小</t>
    <rPh sb="2" eb="4">
      <t>ハイシ</t>
    </rPh>
    <rPh sb="5" eb="7">
      <t>シュクショウ</t>
    </rPh>
    <phoneticPr fontId="9"/>
  </si>
  <si>
    <t>R7具体的な取組（縮小）</t>
    <rPh sb="2" eb="5">
      <t>グタイテキ</t>
    </rPh>
    <rPh sb="6" eb="8">
      <t>トリクミ</t>
    </rPh>
    <rPh sb="9" eb="11">
      <t>シュクショウ</t>
    </rPh>
    <phoneticPr fontId="9"/>
  </si>
  <si>
    <t>R7廃止後の移行先等</t>
    <rPh sb="2" eb="5">
      <t>ハイシゴ</t>
    </rPh>
    <rPh sb="6" eb="9">
      <t>イコウサキ</t>
    </rPh>
    <rPh sb="9" eb="10">
      <t>トウ</t>
    </rPh>
    <phoneticPr fontId="9"/>
  </si>
  <si>
    <t>R8廃止・縮小</t>
    <rPh sb="2" eb="4">
      <t>ハイシ</t>
    </rPh>
    <rPh sb="5" eb="7">
      <t>シュクショウ</t>
    </rPh>
    <phoneticPr fontId="9"/>
  </si>
  <si>
    <t>R8具体的な取組（縮小）</t>
    <rPh sb="2" eb="5">
      <t>グタイテキ</t>
    </rPh>
    <rPh sb="6" eb="8">
      <t>トリクミ</t>
    </rPh>
    <rPh sb="9" eb="11">
      <t>シュクショウ</t>
    </rPh>
    <phoneticPr fontId="9"/>
  </si>
  <si>
    <t>R8廃止後の移行先等</t>
    <rPh sb="2" eb="5">
      <t>ハイシゴ</t>
    </rPh>
    <rPh sb="6" eb="9">
      <t>イコウサキ</t>
    </rPh>
    <rPh sb="9" eb="10">
      <t>トウ</t>
    </rPh>
    <phoneticPr fontId="9"/>
  </si>
  <si>
    <t>（介護用品）任意事業計画書に転記する額</t>
    <rPh sb="1" eb="3">
      <t>カイゴ</t>
    </rPh>
    <rPh sb="3" eb="5">
      <t>ヨウヒン</t>
    </rPh>
    <rPh sb="6" eb="8">
      <t>ニンイ</t>
    </rPh>
    <rPh sb="8" eb="10">
      <t>ジギョウ</t>
    </rPh>
    <rPh sb="10" eb="13">
      <t>ケイカクショ</t>
    </rPh>
    <rPh sb="14" eb="16">
      <t>テンキ</t>
    </rPh>
    <rPh sb="18" eb="19">
      <t>ガク</t>
    </rPh>
    <phoneticPr fontId="3"/>
  </si>
  <si>
    <t>介護用品上限額</t>
    <rPh sb="0" eb="2">
      <t>カイゴ</t>
    </rPh>
    <rPh sb="2" eb="4">
      <t>ヨウヒン</t>
    </rPh>
    <rPh sb="4" eb="7">
      <t>ジョウゲンガク</t>
    </rPh>
    <phoneticPr fontId="3"/>
  </si>
  <si>
    <t>介護用品やむを得ない場合の上限額</t>
    <rPh sb="0" eb="2">
      <t>カイゴ</t>
    </rPh>
    <rPh sb="2" eb="4">
      <t>ヨウヒン</t>
    </rPh>
    <rPh sb="7" eb="8">
      <t>エ</t>
    </rPh>
    <rPh sb="10" eb="12">
      <t>バアイ</t>
    </rPh>
    <rPh sb="13" eb="16">
      <t>ジョウゲンガク</t>
    </rPh>
    <phoneticPr fontId="3"/>
  </si>
  <si>
    <t>別紙様式４番号</t>
    <rPh sb="0" eb="2">
      <t>ベッシ</t>
    </rPh>
    <rPh sb="2" eb="4">
      <t>ヨウシキ</t>
    </rPh>
    <rPh sb="5" eb="7">
      <t>バンゴウ</t>
    </rPh>
    <phoneticPr fontId="3"/>
  </si>
  <si>
    <t>別紙様式２日付</t>
    <rPh sb="0" eb="2">
      <t>ベッシ</t>
    </rPh>
    <rPh sb="2" eb="4">
      <t>ヨウシキ</t>
    </rPh>
    <rPh sb="5" eb="7">
      <t>ヒヅケ</t>
    </rPh>
    <phoneticPr fontId="3"/>
  </si>
  <si>
    <t>別紙様式２職氏名</t>
    <rPh sb="0" eb="2">
      <t>ベッシ</t>
    </rPh>
    <rPh sb="2" eb="4">
      <t>ヨウシキ</t>
    </rPh>
    <rPh sb="5" eb="6">
      <t>ショク</t>
    </rPh>
    <rPh sb="6" eb="8">
      <t>シメイ</t>
    </rPh>
    <phoneticPr fontId="3"/>
  </si>
  <si>
    <t>令和６年10月１日における85歳以上の人口</t>
    <rPh sb="0" eb="2">
      <t>レイワ</t>
    </rPh>
    <phoneticPr fontId="5"/>
  </si>
  <si>
    <t>令和６年度の10月１日における75歳以上80歳未満人口を同日における75歳以上人口で除して得た率・・・X1</t>
    <rPh sb="0" eb="2">
      <t>レイワ</t>
    </rPh>
    <rPh sb="3" eb="5">
      <t>ネンド</t>
    </rPh>
    <rPh sb="8" eb="9">
      <t>ガツ</t>
    </rPh>
    <rPh sb="10" eb="11">
      <t>ニチ</t>
    </rPh>
    <rPh sb="17" eb="20">
      <t>サイイジョウ</t>
    </rPh>
    <rPh sb="22" eb="25">
      <t>サイミマン</t>
    </rPh>
    <rPh sb="25" eb="27">
      <t>ジンコウ</t>
    </rPh>
    <rPh sb="28" eb="30">
      <t>ドウジツ</t>
    </rPh>
    <rPh sb="36" eb="39">
      <t>サイイジョウ</t>
    </rPh>
    <rPh sb="39" eb="41">
      <t>ジンコウ</t>
    </rPh>
    <rPh sb="42" eb="43">
      <t>ジョ</t>
    </rPh>
    <rPh sb="45" eb="46">
      <t>エ</t>
    </rPh>
    <rPh sb="47" eb="48">
      <t>リツ</t>
    </rPh>
    <phoneticPr fontId="5"/>
  </si>
  <si>
    <t>令和６年度の10月１日における80歳以上85歳未満人口を同日における75歳以上人口で除して得た率・・・Y1</t>
    <rPh sb="0" eb="2">
      <t>レイワ</t>
    </rPh>
    <rPh sb="3" eb="5">
      <t>ネンド</t>
    </rPh>
    <rPh sb="8" eb="9">
      <t>ガツ</t>
    </rPh>
    <rPh sb="10" eb="11">
      <t>ニチ</t>
    </rPh>
    <rPh sb="17" eb="20">
      <t>サイイジョウ</t>
    </rPh>
    <rPh sb="22" eb="25">
      <t>サイミマン</t>
    </rPh>
    <rPh sb="25" eb="27">
      <t>ジンコウ</t>
    </rPh>
    <rPh sb="28" eb="30">
      <t>ドウジツ</t>
    </rPh>
    <rPh sb="36" eb="39">
      <t>サイイジョウ</t>
    </rPh>
    <rPh sb="39" eb="41">
      <t>ジンコウ</t>
    </rPh>
    <rPh sb="42" eb="43">
      <t>ジョ</t>
    </rPh>
    <rPh sb="45" eb="46">
      <t>エ</t>
    </rPh>
    <rPh sb="47" eb="48">
      <t>リツ</t>
    </rPh>
    <phoneticPr fontId="5"/>
  </si>
  <si>
    <t>令和６年度の10月１日における85歳以上人口を同日における75歳以上人口で除して得た率・・・Z1</t>
    <rPh sb="0" eb="2">
      <t>レイワ</t>
    </rPh>
    <rPh sb="3" eb="5">
      <t>ネンド</t>
    </rPh>
    <phoneticPr fontId="5"/>
  </si>
  <si>
    <t>令和３年10月１日における75歳以上80歳未満人口</t>
    <rPh sb="0" eb="2">
      <t>レイワ</t>
    </rPh>
    <phoneticPr fontId="5"/>
  </si>
  <si>
    <t>令和３年10月１日における80歳以上85歳未満人口</t>
    <rPh sb="0" eb="2">
      <t>レイワ</t>
    </rPh>
    <phoneticPr fontId="5"/>
  </si>
  <si>
    <t>令和３年10月１日における85歳以上の人口</t>
    <rPh sb="0" eb="2">
      <t>レイワ</t>
    </rPh>
    <phoneticPr fontId="5"/>
  </si>
  <si>
    <t>令和３年度の10月１日における75歳以上80歳未満人口を同日における75歳以上人口で除して得た率・・・X2</t>
    <rPh sb="0" eb="2">
      <t>レイワ</t>
    </rPh>
    <rPh sb="3" eb="5">
      <t>ネンド</t>
    </rPh>
    <rPh sb="8" eb="9">
      <t>ガツ</t>
    </rPh>
    <rPh sb="10" eb="11">
      <t>ニチ</t>
    </rPh>
    <rPh sb="17" eb="20">
      <t>サイイジョウ</t>
    </rPh>
    <rPh sb="22" eb="25">
      <t>サイミマン</t>
    </rPh>
    <rPh sb="25" eb="27">
      <t>ジンコウ</t>
    </rPh>
    <rPh sb="28" eb="30">
      <t>ドウジツ</t>
    </rPh>
    <rPh sb="36" eb="39">
      <t>サイイジョウ</t>
    </rPh>
    <rPh sb="39" eb="41">
      <t>ジンコウ</t>
    </rPh>
    <rPh sb="42" eb="43">
      <t>ジョ</t>
    </rPh>
    <rPh sb="45" eb="46">
      <t>エ</t>
    </rPh>
    <rPh sb="47" eb="48">
      <t>リツ</t>
    </rPh>
    <phoneticPr fontId="5"/>
  </si>
  <si>
    <t>令和３年度の10月１日における80歳以上85歳未満人口を同日における75歳以上人口で除して得た率・・・Y2</t>
    <rPh sb="0" eb="2">
      <t>レイワ</t>
    </rPh>
    <rPh sb="3" eb="5">
      <t>ネンド</t>
    </rPh>
    <rPh sb="8" eb="9">
      <t>ガツ</t>
    </rPh>
    <rPh sb="10" eb="11">
      <t>ニチ</t>
    </rPh>
    <rPh sb="25" eb="27">
      <t>ジンコウ</t>
    </rPh>
    <rPh sb="28" eb="30">
      <t>ドウジツ</t>
    </rPh>
    <rPh sb="36" eb="39">
      <t>サイイジョウ</t>
    </rPh>
    <rPh sb="39" eb="41">
      <t>ジンコウ</t>
    </rPh>
    <rPh sb="42" eb="43">
      <t>ジョ</t>
    </rPh>
    <rPh sb="45" eb="46">
      <t>エ</t>
    </rPh>
    <rPh sb="47" eb="48">
      <t>リツ</t>
    </rPh>
    <phoneticPr fontId="5"/>
  </si>
  <si>
    <t>令和３年度の10月１日における85歳以上人口を同日における75歳以上人口で除して得た率・・・Z2</t>
    <rPh sb="0" eb="2">
      <t>レイワ</t>
    </rPh>
    <rPh sb="3" eb="5">
      <t>ネンド</t>
    </rPh>
    <phoneticPr fontId="5"/>
  </si>
  <si>
    <t>A×0.9×(X1＋Y1×2＋Z1×3)/(X2＋Y2×2＋Z2×3)＋A×0.1－A・・・イ</t>
  </si>
  <si>
    <t>厚生(支)局一覧</t>
    <rPh sb="0" eb="2">
      <t>コウセイ</t>
    </rPh>
    <rPh sb="3" eb="4">
      <t>シ</t>
    </rPh>
    <rPh sb="5" eb="6">
      <t>キョク</t>
    </rPh>
    <rPh sb="6" eb="8">
      <t>イチラン</t>
    </rPh>
    <phoneticPr fontId="3"/>
  </si>
  <si>
    <t>都道府県一覧</t>
    <rPh sb="0" eb="4">
      <t>トドウフケン</t>
    </rPh>
    <rPh sb="4" eb="6">
      <t>イチラン</t>
    </rPh>
    <phoneticPr fontId="3"/>
  </si>
  <si>
    <t>地方公共団体一覧</t>
    <rPh sb="0" eb="2">
      <t>チホウ</t>
    </rPh>
    <rPh sb="2" eb="4">
      <t>コウキョウ</t>
    </rPh>
    <rPh sb="4" eb="6">
      <t>ダンタイ</t>
    </rPh>
    <rPh sb="6" eb="8">
      <t>イチラン</t>
    </rPh>
    <phoneticPr fontId="3"/>
  </si>
  <si>
    <t>地方公共団体一覧(都道府県別）</t>
    <rPh sb="9" eb="13">
      <t>トドウフケン</t>
    </rPh>
    <rPh sb="13" eb="14">
      <t>ベツ</t>
    </rPh>
    <phoneticPr fontId="3"/>
  </si>
  <si>
    <t>プルダウン一覧</t>
    <rPh sb="5" eb="7">
      <t>イチラン</t>
    </rPh>
    <phoneticPr fontId="3"/>
  </si>
  <si>
    <t>北海道</t>
  </si>
  <si>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</si>
  <si>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</si>
  <si>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</si>
  <si>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</si>
  <si>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</si>
  <si>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</si>
  <si>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</si>
  <si>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</si>
  <si>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</si>
  <si>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</si>
  <si>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</si>
  <si>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</si>
  <si>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</si>
  <si>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</si>
  <si>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</si>
  <si>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</si>
  <si>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</si>
  <si>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</si>
  <si>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</si>
  <si>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</si>
  <si>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</si>
  <si>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</si>
  <si>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</si>
  <si>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</si>
  <si>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</si>
  <si>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</si>
  <si>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</si>
  <si>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</si>
  <si>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</si>
  <si>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</si>
  <si>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</si>
  <si>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</si>
  <si>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</si>
  <si>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</si>
  <si>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</si>
  <si>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</si>
  <si>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</si>
  <si>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</si>
  <si>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</si>
  <si>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</si>
  <si>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</si>
  <si>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</si>
  <si>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</si>
  <si>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</si>
  <si>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</si>
  <si>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</si>
  <si>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上限設定状況</t>
    <rPh sb="0" eb="2">
      <t>ジョウゲン</t>
    </rPh>
    <rPh sb="2" eb="4">
      <t>セッテイ</t>
    </rPh>
    <rPh sb="4" eb="6">
      <t>ジョウキョウ</t>
    </rPh>
    <phoneticPr fontId="3"/>
  </si>
  <si>
    <t>実績上限設定状況</t>
    <rPh sb="0" eb="2">
      <t>ジッセキ</t>
    </rPh>
    <rPh sb="2" eb="4">
      <t>ジョウゲン</t>
    </rPh>
    <rPh sb="4" eb="6">
      <t>セッテイ</t>
    </rPh>
    <rPh sb="6" eb="8">
      <t>ジョウキョウ</t>
    </rPh>
    <phoneticPr fontId="3"/>
  </si>
  <si>
    <t>厚生(支)局番号</t>
    <rPh sb="0" eb="2">
      <t>コウセイ</t>
    </rPh>
    <rPh sb="3" eb="4">
      <t>シ</t>
    </rPh>
    <rPh sb="5" eb="6">
      <t>キョク</t>
    </rPh>
    <rPh sb="6" eb="8">
      <t>バンゴウ</t>
    </rPh>
    <phoneticPr fontId="15"/>
  </si>
  <si>
    <t>厚生(支)局名</t>
    <rPh sb="0" eb="2">
      <t>コウセイ</t>
    </rPh>
    <rPh sb="3" eb="4">
      <t>シ</t>
    </rPh>
    <rPh sb="5" eb="6">
      <t>キョク</t>
    </rPh>
    <rPh sb="6" eb="7">
      <t>メイ</t>
    </rPh>
    <phoneticPr fontId="15"/>
  </si>
  <si>
    <t>地方公共団体コード</t>
    <rPh sb="0" eb="2">
      <t>チホウ</t>
    </rPh>
    <rPh sb="2" eb="4">
      <t>コウキョウ</t>
    </rPh>
    <rPh sb="4" eb="6">
      <t>ダンタイ</t>
    </rPh>
    <phoneticPr fontId="3"/>
  </si>
  <si>
    <t>都道府県コード</t>
    <rPh sb="0" eb="4">
      <t>トドウフケン</t>
    </rPh>
    <phoneticPr fontId="15"/>
  </si>
  <si>
    <t>都道府県名</t>
    <rPh sb="0" eb="5">
      <t>トドウフケンメイ</t>
    </rPh>
    <phoneticPr fontId="15"/>
  </si>
  <si>
    <t>通し番号</t>
    <rPh sb="0" eb="1">
      <t>トオ</t>
    </rPh>
    <rPh sb="2" eb="4">
      <t>バンゴウ</t>
    </rPh>
    <phoneticPr fontId="16"/>
  </si>
  <si>
    <t>都道府県番号</t>
    <rPh sb="0" eb="4">
      <t>トドウフケン</t>
    </rPh>
    <rPh sb="4" eb="6">
      <t>バンゴウ</t>
    </rPh>
    <phoneticPr fontId="16"/>
  </si>
  <si>
    <t>保険者番号</t>
    <rPh sb="0" eb="3">
      <t>ホケンシャ</t>
    </rPh>
    <rPh sb="3" eb="5">
      <t>バンゴウ</t>
    </rPh>
    <phoneticPr fontId="16"/>
  </si>
  <si>
    <t>都道府県コード</t>
  </si>
  <si>
    <t>市区町村コード</t>
  </si>
  <si>
    <t>Ｃ・Ｄ</t>
  </si>
  <si>
    <t>団体名</t>
    <rPh sb="0" eb="2">
      <t>ダンタイ</t>
    </rPh>
    <rPh sb="2" eb="3">
      <t>メイ</t>
    </rPh>
    <phoneticPr fontId="5"/>
  </si>
  <si>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</si>
  <si>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</si>
  <si>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</si>
  <si>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</si>
  <si>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</si>
  <si>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</si>
  <si>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</si>
  <si>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</si>
  <si>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</si>
  <si>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</si>
  <si>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</si>
  <si>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</si>
  <si>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</si>
  <si>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</si>
  <si>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</si>
  <si>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</si>
  <si>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</si>
  <si>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</si>
  <si>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</si>
  <si>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</si>
  <si>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</si>
  <si>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</si>
  <si>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</si>
  <si>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</si>
  <si>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</si>
  <si>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</si>
  <si>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</si>
  <si>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</si>
  <si>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</si>
  <si>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</si>
  <si>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</si>
  <si>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</si>
  <si>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</si>
  <si>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</si>
  <si>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</si>
  <si>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</si>
  <si>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</si>
  <si>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</si>
  <si>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</si>
  <si>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</si>
  <si>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</si>
  <si>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</si>
  <si>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</si>
  <si>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</si>
  <si>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</si>
  <si>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</si>
  <si>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</si>
  <si>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①総合事業上限設定状況</t>
    <rPh sb="1" eb="3">
      <t>ソウゴウ</t>
    </rPh>
    <rPh sb="3" eb="5">
      <t>ジギョウ</t>
    </rPh>
    <phoneticPr fontId="3"/>
  </si>
  <si>
    <t>②センター運営上限設定状況</t>
    <rPh sb="5" eb="7">
      <t>ウンエイ</t>
    </rPh>
    <phoneticPr fontId="3"/>
  </si>
  <si>
    <t>③社会保障充実上限設定状況</t>
    <rPh sb="1" eb="3">
      <t>シャカイ</t>
    </rPh>
    <rPh sb="3" eb="5">
      <t>ホショウ</t>
    </rPh>
    <rPh sb="5" eb="7">
      <t>ジュウジツ</t>
    </rPh>
    <phoneticPr fontId="3"/>
  </si>
  <si>
    <t>①総合事業実績上限設定状況</t>
    <rPh sb="5" eb="7">
      <t>ジッセキ</t>
    </rPh>
    <phoneticPr fontId="3"/>
  </si>
  <si>
    <t>移行年度</t>
    <rPh sb="0" eb="2">
      <t>イコウ</t>
    </rPh>
    <rPh sb="2" eb="4">
      <t>ネンド</t>
    </rPh>
    <phoneticPr fontId="3"/>
  </si>
  <si>
    <t>サービス類型</t>
    <rPh sb="4" eb="6">
      <t>ルイケイ</t>
    </rPh>
    <phoneticPr fontId="5"/>
  </si>
  <si>
    <t>都道府県名</t>
  </si>
  <si>
    <t>保険者名</t>
  </si>
  <si>
    <t>項番</t>
  </si>
  <si>
    <t>北海道厚生局</t>
  </si>
  <si>
    <t>010006</t>
  </si>
  <si>
    <t>0001-1</t>
  </si>
  <si>
    <t>北海道札幌市</t>
  </si>
  <si>
    <t>0001</t>
  </si>
  <si>
    <t>011007</t>
  </si>
  <si>
    <t>100</t>
  </si>
  <si>
    <t>7</t>
  </si>
  <si>
    <t>札幌市</t>
  </si>
  <si>
    <t>011002</t>
  </si>
  <si>
    <t>青森市</t>
  </si>
  <si>
    <t>盛岡市</t>
  </si>
  <si>
    <t>仙台市</t>
  </si>
  <si>
    <t>秋田市</t>
  </si>
  <si>
    <t>山形市</t>
  </si>
  <si>
    <t>福島市</t>
  </si>
  <si>
    <t>水戸市</t>
  </si>
  <si>
    <t>宇都宮市</t>
  </si>
  <si>
    <t>前橋市</t>
  </si>
  <si>
    <t>さいたま市</t>
  </si>
  <si>
    <t>千葉市</t>
  </si>
  <si>
    <t>千代田区</t>
  </si>
  <si>
    <t>横浜市</t>
  </si>
  <si>
    <t>新潟市</t>
  </si>
  <si>
    <t>富山市</t>
  </si>
  <si>
    <t>金沢市</t>
  </si>
  <si>
    <t>福井市</t>
  </si>
  <si>
    <t>甲府市</t>
  </si>
  <si>
    <t>長野市</t>
  </si>
  <si>
    <t>岐阜市</t>
  </si>
  <si>
    <t>静岡市</t>
  </si>
  <si>
    <t>名古屋市</t>
  </si>
  <si>
    <t>津市</t>
  </si>
  <si>
    <t>大津市</t>
  </si>
  <si>
    <t>京都市</t>
  </si>
  <si>
    <t>大阪市</t>
  </si>
  <si>
    <t>神戸市</t>
  </si>
  <si>
    <t>奈良市</t>
  </si>
  <si>
    <t>和歌山市</t>
  </si>
  <si>
    <t>鳥取市</t>
  </si>
  <si>
    <t>松江市</t>
  </si>
  <si>
    <t>岡山市</t>
  </si>
  <si>
    <t>広島市</t>
  </si>
  <si>
    <t>下関市</t>
  </si>
  <si>
    <t>徳島市</t>
  </si>
  <si>
    <t>高松市</t>
  </si>
  <si>
    <t>松山市</t>
  </si>
  <si>
    <t>高知市</t>
  </si>
  <si>
    <t>北九州市</t>
  </si>
  <si>
    <t>唐津市</t>
  </si>
  <si>
    <t>長崎市</t>
  </si>
  <si>
    <t>熊本市</t>
  </si>
  <si>
    <t>大分市</t>
  </si>
  <si>
    <t>宮崎市</t>
  </si>
  <si>
    <t>鹿児島市</t>
  </si>
  <si>
    <t>那覇市</t>
  </si>
  <si>
    <t>①基本の上限額</t>
    <rPh sb="1" eb="3">
      <t>キホン</t>
    </rPh>
    <phoneticPr fontId="3"/>
  </si>
  <si>
    <t>①原則の上限額</t>
    <rPh sb="6" eb="7">
      <t>ガク</t>
    </rPh>
    <phoneticPr fontId="3"/>
  </si>
  <si>
    <t>①標準額</t>
  </si>
  <si>
    <t>訪問型サービス・活動A</t>
    <rPh sb="8" eb="10">
      <t>カツドウ</t>
    </rPh>
    <phoneticPr fontId="3"/>
  </si>
  <si>
    <t>希望する</t>
    <rPh sb="0" eb="2">
      <t>キボウ</t>
    </rPh>
    <phoneticPr fontId="3"/>
  </si>
  <si>
    <t>11札幌市</t>
  </si>
  <si>
    <t>東北厚生局</t>
  </si>
  <si>
    <t>020001</t>
  </si>
  <si>
    <t>0002-1</t>
  </si>
  <si>
    <t>北海道函館市</t>
  </si>
  <si>
    <t>0002</t>
  </si>
  <si>
    <t>012021</t>
  </si>
  <si>
    <t>202</t>
  </si>
  <si>
    <t>1</t>
  </si>
  <si>
    <t>函館市</t>
  </si>
  <si>
    <t>012025</t>
  </si>
  <si>
    <t>弘前市</t>
  </si>
  <si>
    <t>宮古市</t>
  </si>
  <si>
    <t>石巻市</t>
  </si>
  <si>
    <t>能代市</t>
  </si>
  <si>
    <t>米沢市</t>
  </si>
  <si>
    <t>会津若松市</t>
  </si>
  <si>
    <t>日立市</t>
  </si>
  <si>
    <t>足利市</t>
  </si>
  <si>
    <t>高崎市</t>
  </si>
  <si>
    <t>川越市</t>
  </si>
  <si>
    <t>銚子市</t>
  </si>
  <si>
    <t>中央区</t>
  </si>
  <si>
    <t>川崎市</t>
  </si>
  <si>
    <t>長岡市</t>
  </si>
  <si>
    <t>高岡市</t>
  </si>
  <si>
    <t>七尾市</t>
  </si>
  <si>
    <t>敦賀市</t>
  </si>
  <si>
    <t>富士吉田市</t>
  </si>
  <si>
    <t>松本市</t>
  </si>
  <si>
    <t>大垣市</t>
  </si>
  <si>
    <t>浜松市</t>
  </si>
  <si>
    <t>岡崎市</t>
  </si>
  <si>
    <t>四日市市</t>
  </si>
  <si>
    <t>彦根市</t>
  </si>
  <si>
    <t>福知山市</t>
  </si>
  <si>
    <t>堺市</t>
  </si>
  <si>
    <t>姫路市</t>
  </si>
  <si>
    <t>大和高田市</t>
  </si>
  <si>
    <t>海南市</t>
  </si>
  <si>
    <t>米子市</t>
  </si>
  <si>
    <t>出雲市</t>
  </si>
  <si>
    <t>倉敷市</t>
  </si>
  <si>
    <t>呉市</t>
  </si>
  <si>
    <t>宇部市</t>
  </si>
  <si>
    <t>鳴門市</t>
  </si>
  <si>
    <t>丸亀市</t>
  </si>
  <si>
    <t>今治市</t>
  </si>
  <si>
    <t>室戸市</t>
  </si>
  <si>
    <t>福岡市</t>
  </si>
  <si>
    <t>伊万里市</t>
  </si>
  <si>
    <t>佐世保市</t>
  </si>
  <si>
    <t>八代市</t>
  </si>
  <si>
    <t>別府市</t>
  </si>
  <si>
    <t>都城市</t>
  </si>
  <si>
    <t>鹿屋市</t>
  </si>
  <si>
    <t>宜野湾市</t>
  </si>
  <si>
    <t>②介護予防給付全体の伸びを考慮する上限額</t>
    <phoneticPr fontId="3"/>
  </si>
  <si>
    <t>②特例の上限額</t>
    <rPh sb="6" eb="7">
      <t>ガク</t>
    </rPh>
    <phoneticPr fontId="3"/>
  </si>
  <si>
    <t>②個別協議希望</t>
  </si>
  <si>
    <t>訪問型サービス・活動B</t>
    <rPh sb="8" eb="10">
      <t>カツドウ</t>
    </rPh>
    <phoneticPr fontId="3"/>
  </si>
  <si>
    <t>希望しない</t>
    <rPh sb="0" eb="2">
      <t>キボウ</t>
    </rPh>
    <phoneticPr fontId="3"/>
  </si>
  <si>
    <t>22函館市</t>
  </si>
  <si>
    <t>関東信越厚生局</t>
  </si>
  <si>
    <t>030007</t>
  </si>
  <si>
    <t>0003-1</t>
  </si>
  <si>
    <t>北海道小樽市</t>
  </si>
  <si>
    <t>0003</t>
  </si>
  <si>
    <t>012039</t>
  </si>
  <si>
    <t>203</t>
  </si>
  <si>
    <t>9</t>
  </si>
  <si>
    <t>小樽市</t>
  </si>
  <si>
    <t>012033</t>
  </si>
  <si>
    <t>八戸市</t>
  </si>
  <si>
    <t>大船渡市</t>
  </si>
  <si>
    <t>塩竈市</t>
  </si>
  <si>
    <t>横手市</t>
  </si>
  <si>
    <t>鶴岡市</t>
  </si>
  <si>
    <t>郡山市</t>
  </si>
  <si>
    <t>土浦市</t>
  </si>
  <si>
    <t>栃木市</t>
  </si>
  <si>
    <t>桐生市</t>
  </si>
  <si>
    <t>川口市</t>
  </si>
  <si>
    <t>市川市</t>
  </si>
  <si>
    <t>港区</t>
  </si>
  <si>
    <t>相模原市</t>
  </si>
  <si>
    <t>三条市</t>
  </si>
  <si>
    <t>魚津市</t>
  </si>
  <si>
    <t>小松市</t>
  </si>
  <si>
    <t>小浜市</t>
  </si>
  <si>
    <t>都留市</t>
  </si>
  <si>
    <t>上田市</t>
  </si>
  <si>
    <t>高山市</t>
  </si>
  <si>
    <t>沼津市</t>
  </si>
  <si>
    <t>一宮市</t>
  </si>
  <si>
    <t>伊勢市</t>
  </si>
  <si>
    <t>長浜市</t>
  </si>
  <si>
    <t>舞鶴市</t>
  </si>
  <si>
    <t>岸和田市</t>
  </si>
  <si>
    <t>尼崎市</t>
  </si>
  <si>
    <t>大和郡山市</t>
  </si>
  <si>
    <t>橋本市</t>
  </si>
  <si>
    <t>倉吉市</t>
  </si>
  <si>
    <t>益田市</t>
  </si>
  <si>
    <t>津山市</t>
  </si>
  <si>
    <t>竹原市</t>
  </si>
  <si>
    <t>山口市</t>
  </si>
  <si>
    <t>小松島市</t>
  </si>
  <si>
    <t>坂出市</t>
  </si>
  <si>
    <t>宇和島市</t>
  </si>
  <si>
    <t>安芸市</t>
  </si>
  <si>
    <t>大牟田市</t>
  </si>
  <si>
    <t>玄海町</t>
  </si>
  <si>
    <t>諫早市</t>
  </si>
  <si>
    <t>人吉市</t>
  </si>
  <si>
    <t>中津市</t>
  </si>
  <si>
    <t>延岡市</t>
  </si>
  <si>
    <t>枕崎市</t>
  </si>
  <si>
    <t>石垣市</t>
  </si>
  <si>
    <t>③特例イ</t>
  </si>
  <si>
    <t>訪問型サービス・活動C</t>
    <phoneticPr fontId="3"/>
  </si>
  <si>
    <t>33小樽市</t>
  </si>
  <si>
    <t>東海北陸厚生局</t>
  </si>
  <si>
    <t>040002</t>
  </si>
  <si>
    <t>0004-1</t>
  </si>
  <si>
    <t>北海道旭川市</t>
  </si>
  <si>
    <t>0004</t>
  </si>
  <si>
    <t>012047</t>
  </si>
  <si>
    <t>204</t>
  </si>
  <si>
    <t>旭川市</t>
  </si>
  <si>
    <t>012041</t>
  </si>
  <si>
    <t>黒石市</t>
  </si>
  <si>
    <t>花巻市</t>
  </si>
  <si>
    <t>気仙沼市</t>
  </si>
  <si>
    <t>大館市</t>
  </si>
  <si>
    <t>酒田市</t>
  </si>
  <si>
    <t>いわき市</t>
  </si>
  <si>
    <t>古河市</t>
  </si>
  <si>
    <t>佐野市</t>
  </si>
  <si>
    <t>伊勢崎市</t>
  </si>
  <si>
    <t>行田市</t>
  </si>
  <si>
    <t>船橋市</t>
  </si>
  <si>
    <t>新宿区</t>
  </si>
  <si>
    <t>横須賀市</t>
  </si>
  <si>
    <t>柏崎市</t>
  </si>
  <si>
    <t>氷見市</t>
  </si>
  <si>
    <t>輪島市</t>
  </si>
  <si>
    <t>大野市</t>
  </si>
  <si>
    <t>山梨市</t>
  </si>
  <si>
    <t>飯田市</t>
  </si>
  <si>
    <t>多治見市</t>
  </si>
  <si>
    <t>熱海市</t>
  </si>
  <si>
    <t>瀬戸市</t>
  </si>
  <si>
    <t>松阪市</t>
  </si>
  <si>
    <t>近江八幡市</t>
  </si>
  <si>
    <t>綾部市</t>
  </si>
  <si>
    <t>豊中市</t>
  </si>
  <si>
    <t>明石市</t>
  </si>
  <si>
    <t>天理市</t>
  </si>
  <si>
    <t>有田市</t>
  </si>
  <si>
    <t>境港市</t>
  </si>
  <si>
    <t>大田市</t>
  </si>
  <si>
    <t>玉野市</t>
  </si>
  <si>
    <t>三原市</t>
  </si>
  <si>
    <t>萩市</t>
  </si>
  <si>
    <t>阿南市</t>
  </si>
  <si>
    <t>善通寺市</t>
  </si>
  <si>
    <t>八幡浜市</t>
  </si>
  <si>
    <t>南国市</t>
  </si>
  <si>
    <t>久留米市</t>
  </si>
  <si>
    <t>有田町</t>
  </si>
  <si>
    <t>大村市</t>
  </si>
  <si>
    <t>荒尾市</t>
  </si>
  <si>
    <t>日田市</t>
  </si>
  <si>
    <t>日南市</t>
  </si>
  <si>
    <t>阿久根市</t>
  </si>
  <si>
    <t>浦添市</t>
  </si>
  <si>
    <t>④特例ロ</t>
  </si>
  <si>
    <t>訪問型サービス・活動D</t>
    <phoneticPr fontId="3"/>
  </si>
  <si>
    <t>44旭川市</t>
  </si>
  <si>
    <t>近畿厚生局</t>
  </si>
  <si>
    <t>050008</t>
  </si>
  <si>
    <t>0005-1</t>
  </si>
  <si>
    <t>北海道室蘭市</t>
  </si>
  <si>
    <t>0005</t>
  </si>
  <si>
    <t>012054</t>
  </si>
  <si>
    <t>205</t>
  </si>
  <si>
    <t>4</t>
  </si>
  <si>
    <t>室蘭市</t>
  </si>
  <si>
    <t>012050</t>
  </si>
  <si>
    <t>五所川原市</t>
  </si>
  <si>
    <t>北上市</t>
  </si>
  <si>
    <t>白石市</t>
  </si>
  <si>
    <t>男鹿市</t>
  </si>
  <si>
    <t>新庄市</t>
  </si>
  <si>
    <t>白河市</t>
  </si>
  <si>
    <t>石岡市</t>
  </si>
  <si>
    <t>鹿沼市</t>
  </si>
  <si>
    <t>太田市</t>
  </si>
  <si>
    <t>秩父市</t>
  </si>
  <si>
    <t>館山市</t>
  </si>
  <si>
    <t>文京区</t>
  </si>
  <si>
    <t>平塚市</t>
  </si>
  <si>
    <t>新発田市</t>
  </si>
  <si>
    <t>滑川市</t>
  </si>
  <si>
    <t>珠洲市</t>
  </si>
  <si>
    <t>勝山市</t>
  </si>
  <si>
    <t>大月市</t>
  </si>
  <si>
    <t>須坂市</t>
  </si>
  <si>
    <t>関市</t>
  </si>
  <si>
    <t>三島市</t>
  </si>
  <si>
    <t>半田市</t>
  </si>
  <si>
    <t>桑名市</t>
  </si>
  <si>
    <t>草津市</t>
  </si>
  <si>
    <t>宇治市</t>
  </si>
  <si>
    <t>池田市</t>
  </si>
  <si>
    <t>西宮市</t>
  </si>
  <si>
    <t>橿原市</t>
  </si>
  <si>
    <t>御坊市</t>
  </si>
  <si>
    <t>岩美町</t>
  </si>
  <si>
    <t>安来市</t>
  </si>
  <si>
    <t>笠岡市</t>
  </si>
  <si>
    <t>尾道市</t>
  </si>
  <si>
    <t>防府市</t>
  </si>
  <si>
    <t>吉野川市</t>
  </si>
  <si>
    <t>観音寺市</t>
  </si>
  <si>
    <t>新居浜市</t>
  </si>
  <si>
    <t>土佐市</t>
  </si>
  <si>
    <t>直方市</t>
  </si>
  <si>
    <t>杵藤地区広域市町村圏組合</t>
  </si>
  <si>
    <t>平戸市</t>
  </si>
  <si>
    <t>水俣市</t>
  </si>
  <si>
    <t>佐伯市</t>
  </si>
  <si>
    <t>小林市</t>
  </si>
  <si>
    <t>出水市</t>
  </si>
  <si>
    <t>名護市</t>
  </si>
  <si>
    <t>⑤個別協議希望</t>
  </si>
  <si>
    <t>⑤個別協議</t>
  </si>
  <si>
    <t>通所型サービス・活動A</t>
    <phoneticPr fontId="3"/>
  </si>
  <si>
    <t>55室蘭市</t>
  </si>
  <si>
    <t>中国四国厚生局</t>
  </si>
  <si>
    <t>060003</t>
  </si>
  <si>
    <t>0006-1</t>
  </si>
  <si>
    <t>北海道釧路市</t>
  </si>
  <si>
    <t>0006</t>
  </si>
  <si>
    <t>012062</t>
  </si>
  <si>
    <t>206</t>
  </si>
  <si>
    <t>2</t>
  </si>
  <si>
    <t>釧路市</t>
  </si>
  <si>
    <t>012068</t>
  </si>
  <si>
    <t>十和田市</t>
  </si>
  <si>
    <t>遠野市</t>
  </si>
  <si>
    <t>名取市</t>
  </si>
  <si>
    <t>湯沢市</t>
  </si>
  <si>
    <t>寒河江市</t>
  </si>
  <si>
    <t>須賀川市</t>
  </si>
  <si>
    <t>結城市</t>
  </si>
  <si>
    <t>日光市</t>
  </si>
  <si>
    <t>沼田市</t>
  </si>
  <si>
    <t>所沢市</t>
  </si>
  <si>
    <t>木更津市</t>
  </si>
  <si>
    <t>台東区</t>
  </si>
  <si>
    <t>鎌倉市</t>
  </si>
  <si>
    <t>小千谷市</t>
  </si>
  <si>
    <t>射水市</t>
  </si>
  <si>
    <t>加賀市</t>
  </si>
  <si>
    <t>鯖江市</t>
  </si>
  <si>
    <t>韮崎市</t>
  </si>
  <si>
    <t>小諸市</t>
  </si>
  <si>
    <t>中津川市</t>
  </si>
  <si>
    <t>富士宮市</t>
  </si>
  <si>
    <t>春日井市</t>
  </si>
  <si>
    <t>名張市</t>
  </si>
  <si>
    <t>守山市</t>
  </si>
  <si>
    <t>宮津市</t>
  </si>
  <si>
    <t>吹田市</t>
  </si>
  <si>
    <t>洲本市</t>
  </si>
  <si>
    <t>桜井市</t>
  </si>
  <si>
    <t>田辺市</t>
  </si>
  <si>
    <t>若桜町</t>
  </si>
  <si>
    <t>津和野町</t>
  </si>
  <si>
    <t>井原市</t>
  </si>
  <si>
    <t>福山市</t>
  </si>
  <si>
    <t>下松市</t>
  </si>
  <si>
    <t>阿波市</t>
  </si>
  <si>
    <t>さぬき市</t>
  </si>
  <si>
    <t>西条市</t>
  </si>
  <si>
    <t>須崎市</t>
  </si>
  <si>
    <t>飯塚市</t>
  </si>
  <si>
    <t>武雄市</t>
  </si>
  <si>
    <t>松浦市</t>
  </si>
  <si>
    <t>玉名市</t>
  </si>
  <si>
    <t>臼杵市</t>
  </si>
  <si>
    <t>日向市</t>
  </si>
  <si>
    <t>指宿市</t>
  </si>
  <si>
    <t>糸満市</t>
  </si>
  <si>
    <t>⑥総合事業未実施</t>
  </si>
  <si>
    <t>通所型サービス・活動B</t>
    <phoneticPr fontId="3"/>
  </si>
  <si>
    <t>66釧路市</t>
  </si>
  <si>
    <t>四国厚生支局</t>
  </si>
  <si>
    <t>070009</t>
  </si>
  <si>
    <t>0007-1</t>
  </si>
  <si>
    <t>北海道帯広市</t>
  </si>
  <si>
    <t>0007</t>
  </si>
  <si>
    <t>012070</t>
  </si>
  <si>
    <t>207</t>
  </si>
  <si>
    <t>0</t>
  </si>
  <si>
    <t>帯広市</t>
  </si>
  <si>
    <t>012076</t>
  </si>
  <si>
    <t>三沢市</t>
  </si>
  <si>
    <t>陸前高田市</t>
  </si>
  <si>
    <t>角田市</t>
  </si>
  <si>
    <t>鹿角市</t>
  </si>
  <si>
    <t>上山市</t>
  </si>
  <si>
    <t>喜多方市</t>
  </si>
  <si>
    <t>龍ケ崎市</t>
  </si>
  <si>
    <t>小山市</t>
  </si>
  <si>
    <t>館林市</t>
  </si>
  <si>
    <t>飯能市</t>
  </si>
  <si>
    <t>松戸市</t>
  </si>
  <si>
    <t>墨田区</t>
  </si>
  <si>
    <t>藤沢市</t>
  </si>
  <si>
    <t>加茂市</t>
  </si>
  <si>
    <t>中新川広域行政事務組合</t>
  </si>
  <si>
    <t>羽咋市</t>
  </si>
  <si>
    <t>越前市</t>
  </si>
  <si>
    <t>南アルプス市</t>
  </si>
  <si>
    <t>伊那市</t>
  </si>
  <si>
    <t>美濃市</t>
  </si>
  <si>
    <t>伊東市</t>
  </si>
  <si>
    <t>津島市</t>
  </si>
  <si>
    <t>鳥羽市</t>
  </si>
  <si>
    <t>甲賀市</t>
  </si>
  <si>
    <t>亀岡市</t>
  </si>
  <si>
    <t>泉大津市</t>
  </si>
  <si>
    <t>芦屋市</t>
  </si>
  <si>
    <t>五條市</t>
  </si>
  <si>
    <t>新宮市</t>
  </si>
  <si>
    <t>智頭町</t>
  </si>
  <si>
    <t>吉賀町</t>
  </si>
  <si>
    <t>総社市</t>
  </si>
  <si>
    <t>府中市</t>
  </si>
  <si>
    <t>岩国市</t>
  </si>
  <si>
    <t>美馬市</t>
  </si>
  <si>
    <t>東かがわ市</t>
  </si>
  <si>
    <t>大洲市</t>
  </si>
  <si>
    <t>宿毛市</t>
  </si>
  <si>
    <t>八女市</t>
  </si>
  <si>
    <t>鹿島市</t>
  </si>
  <si>
    <t>対馬市</t>
  </si>
  <si>
    <t>山鹿市</t>
  </si>
  <si>
    <t>津久見市</t>
  </si>
  <si>
    <t>串間市</t>
  </si>
  <si>
    <t>西之表市</t>
  </si>
  <si>
    <t>沖縄市</t>
  </si>
  <si>
    <t>通所型サービス・活動C</t>
    <phoneticPr fontId="3"/>
  </si>
  <si>
    <t>77帯広市</t>
  </si>
  <si>
    <t>九州厚生局</t>
  </si>
  <si>
    <t>080004</t>
  </si>
  <si>
    <t>0008-1</t>
  </si>
  <si>
    <t>北海道北見市</t>
  </si>
  <si>
    <t>0008</t>
  </si>
  <si>
    <t>012088</t>
  </si>
  <si>
    <t>208</t>
  </si>
  <si>
    <t>8</t>
  </si>
  <si>
    <t>北見市</t>
  </si>
  <si>
    <t>012084</t>
  </si>
  <si>
    <t>むつ市</t>
  </si>
  <si>
    <t>釜石市</t>
  </si>
  <si>
    <t>多賀城市</t>
  </si>
  <si>
    <t>潟上市</t>
  </si>
  <si>
    <t>村山市</t>
  </si>
  <si>
    <t>相馬市</t>
  </si>
  <si>
    <t>下妻市</t>
  </si>
  <si>
    <t>真岡市</t>
  </si>
  <si>
    <t>渋川市</t>
  </si>
  <si>
    <t>加須市</t>
  </si>
  <si>
    <t>野田市</t>
  </si>
  <si>
    <t>江東区</t>
  </si>
  <si>
    <t>小田原市</t>
  </si>
  <si>
    <t>十日町市</t>
  </si>
  <si>
    <t>舟橋村</t>
  </si>
  <si>
    <t>かほく市</t>
  </si>
  <si>
    <t>永平寺町</t>
  </si>
  <si>
    <t>北杜市</t>
  </si>
  <si>
    <t>駒ヶ根市</t>
  </si>
  <si>
    <t>瑞浪市</t>
  </si>
  <si>
    <t>島田市</t>
  </si>
  <si>
    <t>碧南市</t>
  </si>
  <si>
    <t>いなべ市</t>
  </si>
  <si>
    <t>野洲市</t>
  </si>
  <si>
    <t>城陽市</t>
  </si>
  <si>
    <t>高槻市</t>
  </si>
  <si>
    <t>伊丹市</t>
  </si>
  <si>
    <t>御所市</t>
  </si>
  <si>
    <t>紀の川市</t>
  </si>
  <si>
    <t>八頭町</t>
  </si>
  <si>
    <t>邑智郡総合事務組合</t>
  </si>
  <si>
    <t>高梁市</t>
  </si>
  <si>
    <t>三次市</t>
  </si>
  <si>
    <t>光市</t>
  </si>
  <si>
    <t>勝浦町</t>
  </si>
  <si>
    <t>三豊市</t>
  </si>
  <si>
    <t>伊予市</t>
  </si>
  <si>
    <t>土佐清水市</t>
  </si>
  <si>
    <t>筑後市</t>
  </si>
  <si>
    <t>嬉野市</t>
  </si>
  <si>
    <t>壱岐市</t>
  </si>
  <si>
    <t>菊池市</t>
  </si>
  <si>
    <t>竹田市</t>
  </si>
  <si>
    <t>西都市</t>
  </si>
  <si>
    <t>垂水市</t>
  </si>
  <si>
    <t>うるま市</t>
  </si>
  <si>
    <t>その他生活支援サービス（見守り）</t>
  </si>
  <si>
    <t>88北見市</t>
  </si>
  <si>
    <t>090000</t>
  </si>
  <si>
    <t>0009-1</t>
  </si>
  <si>
    <t>北海道夕張市</t>
  </si>
  <si>
    <t>0009</t>
  </si>
  <si>
    <t>012096</t>
  </si>
  <si>
    <t>209</t>
  </si>
  <si>
    <t>6</t>
  </si>
  <si>
    <t>夕張市</t>
  </si>
  <si>
    <t>012092</t>
  </si>
  <si>
    <t>つがる市</t>
  </si>
  <si>
    <t>奥州市</t>
  </si>
  <si>
    <t>岩沼市</t>
  </si>
  <si>
    <t>北秋田市</t>
  </si>
  <si>
    <t>長井市</t>
  </si>
  <si>
    <t>二本松市</t>
  </si>
  <si>
    <t>常総市</t>
  </si>
  <si>
    <t>大田原市</t>
  </si>
  <si>
    <t>藤岡市</t>
  </si>
  <si>
    <t>本庄市</t>
  </si>
  <si>
    <t>茂原市</t>
  </si>
  <si>
    <t>品川区</t>
  </si>
  <si>
    <t>茅ヶ崎市</t>
  </si>
  <si>
    <t>見附市</t>
  </si>
  <si>
    <t>上市町</t>
  </si>
  <si>
    <t>白山市</t>
  </si>
  <si>
    <t>池田町</t>
  </si>
  <si>
    <t>甲斐市</t>
  </si>
  <si>
    <t>中野市</t>
  </si>
  <si>
    <t>羽島市</t>
  </si>
  <si>
    <t>富士市</t>
  </si>
  <si>
    <t>刈谷市</t>
  </si>
  <si>
    <t>志摩市</t>
  </si>
  <si>
    <t>湖南市</t>
  </si>
  <si>
    <t>向日市</t>
  </si>
  <si>
    <t>貝塚市</t>
  </si>
  <si>
    <t>相生市</t>
  </si>
  <si>
    <t>生駒市</t>
  </si>
  <si>
    <t>岩出市</t>
  </si>
  <si>
    <t>三朝町</t>
  </si>
  <si>
    <t>川本町</t>
  </si>
  <si>
    <t>新見市</t>
  </si>
  <si>
    <t>庄原市</t>
  </si>
  <si>
    <t>長門市</t>
  </si>
  <si>
    <t>上勝町</t>
  </si>
  <si>
    <t>土庄町</t>
  </si>
  <si>
    <t>四国中央市</t>
  </si>
  <si>
    <t>四万十市</t>
  </si>
  <si>
    <t>大川市</t>
  </si>
  <si>
    <t>大町町</t>
  </si>
  <si>
    <t>五島市</t>
  </si>
  <si>
    <t>宇土市</t>
  </si>
  <si>
    <t>豊後高田市</t>
  </si>
  <si>
    <t>えびの市</t>
  </si>
  <si>
    <t>薩摩川内市</t>
  </si>
  <si>
    <t>宮古島市</t>
  </si>
  <si>
    <t>その他生活支援サービス（配食）</t>
  </si>
  <si>
    <t>99夕張市</t>
  </si>
  <si>
    <t>100005</t>
  </si>
  <si>
    <t>0010-1</t>
  </si>
  <si>
    <t>北海道岩見沢市</t>
  </si>
  <si>
    <t>0010</t>
  </si>
  <si>
    <t>012104</t>
  </si>
  <si>
    <t>210</t>
  </si>
  <si>
    <t>岩見沢市</t>
  </si>
  <si>
    <t>012106</t>
  </si>
  <si>
    <t>平川市</t>
  </si>
  <si>
    <t>滝沢市</t>
  </si>
  <si>
    <t>登米市</t>
  </si>
  <si>
    <t>小坂町</t>
  </si>
  <si>
    <t>天童市</t>
  </si>
  <si>
    <t>田村市</t>
  </si>
  <si>
    <t>常陸太田市</t>
  </si>
  <si>
    <t>矢板市</t>
  </si>
  <si>
    <t>富岡市</t>
  </si>
  <si>
    <t>東松山市</t>
  </si>
  <si>
    <t>成田市</t>
  </si>
  <si>
    <t>目黒区</t>
  </si>
  <si>
    <t>逗子市</t>
  </si>
  <si>
    <t>村上市</t>
  </si>
  <si>
    <t>立山町</t>
  </si>
  <si>
    <t>能美市</t>
  </si>
  <si>
    <t>南越前町</t>
  </si>
  <si>
    <t>笛吹市</t>
  </si>
  <si>
    <t>飯山市</t>
  </si>
  <si>
    <t>恵那市</t>
  </si>
  <si>
    <t>磐田市</t>
  </si>
  <si>
    <t>豊田市</t>
  </si>
  <si>
    <t>伊賀市</t>
  </si>
  <si>
    <t>高島市</t>
  </si>
  <si>
    <t>長岡京市</t>
  </si>
  <si>
    <t>枚方市</t>
  </si>
  <si>
    <t>豊岡市</t>
  </si>
  <si>
    <t>香芝市</t>
  </si>
  <si>
    <t>紀美野町</t>
  </si>
  <si>
    <t>湯梨浜町</t>
  </si>
  <si>
    <t>美郷町</t>
  </si>
  <si>
    <t>備前市</t>
  </si>
  <si>
    <t>大竹市</t>
  </si>
  <si>
    <t>柳井市</t>
  </si>
  <si>
    <t>佐那河内村</t>
  </si>
  <si>
    <t>小豆島町</t>
  </si>
  <si>
    <t>西予市</t>
  </si>
  <si>
    <t>香南市</t>
  </si>
  <si>
    <t>行橋市</t>
  </si>
  <si>
    <t>江北町</t>
  </si>
  <si>
    <t>西海市</t>
  </si>
  <si>
    <t>上天草市</t>
  </si>
  <si>
    <t>杵築市</t>
  </si>
  <si>
    <t>三股町</t>
  </si>
  <si>
    <t>日置市</t>
  </si>
  <si>
    <t>多良間村</t>
  </si>
  <si>
    <t>その他生活支援サービス（その他）</t>
  </si>
  <si>
    <t>1010岩見沢市</t>
  </si>
  <si>
    <t>110001</t>
  </si>
  <si>
    <t>0011-1</t>
  </si>
  <si>
    <t>北海道網走市</t>
  </si>
  <si>
    <t>0011</t>
  </si>
  <si>
    <t>012112</t>
  </si>
  <si>
    <t>211</t>
  </si>
  <si>
    <t>網走市</t>
  </si>
  <si>
    <t>012114</t>
  </si>
  <si>
    <t>平内町</t>
  </si>
  <si>
    <t>雫石町</t>
  </si>
  <si>
    <t>栗原市</t>
  </si>
  <si>
    <t>上小阿仁村</t>
  </si>
  <si>
    <t>東根市</t>
  </si>
  <si>
    <t>南相馬市</t>
  </si>
  <si>
    <t>高萩市</t>
  </si>
  <si>
    <t>那須塩原市</t>
  </si>
  <si>
    <t>安中市</t>
  </si>
  <si>
    <t>春日部市</t>
  </si>
  <si>
    <t>佐倉市</t>
  </si>
  <si>
    <t>大田区</t>
  </si>
  <si>
    <t>三浦市</t>
  </si>
  <si>
    <t>燕市</t>
  </si>
  <si>
    <t>砺波地方介護保険組合</t>
  </si>
  <si>
    <t>野々市市</t>
  </si>
  <si>
    <t>越前町</t>
  </si>
  <si>
    <t>上野原市</t>
  </si>
  <si>
    <t>塩尻市</t>
  </si>
  <si>
    <t>美濃加茂市</t>
  </si>
  <si>
    <t>焼津市</t>
  </si>
  <si>
    <t>安城市</t>
  </si>
  <si>
    <t>木曽岬町</t>
  </si>
  <si>
    <t>東近江市</t>
  </si>
  <si>
    <t>八幡市</t>
  </si>
  <si>
    <t>茨木市</t>
  </si>
  <si>
    <t>加古川市</t>
  </si>
  <si>
    <t>葛城市</t>
  </si>
  <si>
    <t>かつらぎ町</t>
  </si>
  <si>
    <t>琴浦町</t>
  </si>
  <si>
    <t>邑南町</t>
  </si>
  <si>
    <t>瀬戸内市</t>
  </si>
  <si>
    <t>東広島市</t>
  </si>
  <si>
    <t>美祢市</t>
  </si>
  <si>
    <t>石井町</t>
  </si>
  <si>
    <t>三木町</t>
  </si>
  <si>
    <t>東温市</t>
  </si>
  <si>
    <t>香美市</t>
  </si>
  <si>
    <t>中間市</t>
  </si>
  <si>
    <t>白石町</t>
  </si>
  <si>
    <t>長与町</t>
  </si>
  <si>
    <t>宇城市</t>
  </si>
  <si>
    <t>宇佐市</t>
  </si>
  <si>
    <t>高原町</t>
  </si>
  <si>
    <t>曽於市</t>
  </si>
  <si>
    <t>竹富町</t>
  </si>
  <si>
    <t>一般介護予防事業</t>
  </si>
  <si>
    <t>1111網走市</t>
  </si>
  <si>
    <t>120006</t>
  </si>
  <si>
    <t>0012-1</t>
  </si>
  <si>
    <t>北海道留萌市</t>
  </si>
  <si>
    <t>0012</t>
  </si>
  <si>
    <t>012120</t>
  </si>
  <si>
    <t>212</t>
  </si>
  <si>
    <t>留萌市</t>
  </si>
  <si>
    <t>012122</t>
  </si>
  <si>
    <t>今別町</t>
  </si>
  <si>
    <t>紫波町</t>
  </si>
  <si>
    <t>東松島市</t>
  </si>
  <si>
    <t>藤里町</t>
  </si>
  <si>
    <t>尾花沢市</t>
  </si>
  <si>
    <t>伊達市</t>
  </si>
  <si>
    <t>北茨城市</t>
  </si>
  <si>
    <t>さくら市</t>
  </si>
  <si>
    <t>みどり市</t>
  </si>
  <si>
    <t>狭山市</t>
  </si>
  <si>
    <t>東金市</t>
  </si>
  <si>
    <t>世田谷区</t>
  </si>
  <si>
    <t>秦野市</t>
  </si>
  <si>
    <t>糸魚川市</t>
  </si>
  <si>
    <t>砺波市</t>
  </si>
  <si>
    <t>川北町</t>
  </si>
  <si>
    <t>美浜町</t>
  </si>
  <si>
    <t>甲州市</t>
  </si>
  <si>
    <t>佐久市</t>
  </si>
  <si>
    <t>土岐市</t>
  </si>
  <si>
    <t>掛川市</t>
  </si>
  <si>
    <t>西尾市</t>
  </si>
  <si>
    <t>東員町</t>
  </si>
  <si>
    <t>米原市</t>
  </si>
  <si>
    <t>京田辺市</t>
  </si>
  <si>
    <t>八尾市</t>
  </si>
  <si>
    <t>赤穂市</t>
  </si>
  <si>
    <t>宇陀市</t>
  </si>
  <si>
    <t>九度山町</t>
  </si>
  <si>
    <t>北栄町</t>
  </si>
  <si>
    <t>浜田地区広域行政組合</t>
  </si>
  <si>
    <t>赤磐市</t>
  </si>
  <si>
    <t>廿日市市</t>
  </si>
  <si>
    <t>周南市</t>
  </si>
  <si>
    <t>神山町</t>
  </si>
  <si>
    <t>直島町</t>
  </si>
  <si>
    <t>上島町</t>
  </si>
  <si>
    <t>東洋町</t>
  </si>
  <si>
    <t>小郡市</t>
  </si>
  <si>
    <t>太良町</t>
  </si>
  <si>
    <t>時津町</t>
  </si>
  <si>
    <t>阿蘇市</t>
  </si>
  <si>
    <t>豊後大野市</t>
  </si>
  <si>
    <t>国富町</t>
  </si>
  <si>
    <t>霧島市</t>
  </si>
  <si>
    <t>与那国町</t>
  </si>
  <si>
    <t>1212留萌市</t>
  </si>
  <si>
    <t>130001</t>
  </si>
  <si>
    <t>0013-1</t>
  </si>
  <si>
    <t>北海道苫小牧市</t>
  </si>
  <si>
    <t>0013</t>
  </si>
  <si>
    <t>012138</t>
  </si>
  <si>
    <t>213</t>
  </si>
  <si>
    <t>苫小牧市</t>
  </si>
  <si>
    <t>012131</t>
  </si>
  <si>
    <t>蓬田村</t>
  </si>
  <si>
    <t>矢巾町</t>
  </si>
  <si>
    <t>大崎市</t>
  </si>
  <si>
    <t>三種町</t>
  </si>
  <si>
    <t>南陽市</t>
  </si>
  <si>
    <t>本宮市</t>
  </si>
  <si>
    <t>笠間市</t>
  </si>
  <si>
    <t>那須烏山市</t>
  </si>
  <si>
    <t>榛東村</t>
  </si>
  <si>
    <t>羽生市</t>
  </si>
  <si>
    <t>旭市</t>
  </si>
  <si>
    <t>渋谷区</t>
  </si>
  <si>
    <t>厚木市</t>
  </si>
  <si>
    <t>妙高市</t>
  </si>
  <si>
    <t>小矢部市</t>
  </si>
  <si>
    <t>津幡町</t>
  </si>
  <si>
    <t>高浜町</t>
  </si>
  <si>
    <t>中央市</t>
  </si>
  <si>
    <t>千曲市</t>
  </si>
  <si>
    <t>各務原市</t>
  </si>
  <si>
    <t>藤枝市</t>
  </si>
  <si>
    <t>犬山市</t>
  </si>
  <si>
    <t>菰野町</t>
  </si>
  <si>
    <t>栗東市</t>
  </si>
  <si>
    <t>京丹後市</t>
  </si>
  <si>
    <t>泉佐野市</t>
  </si>
  <si>
    <t>西脇市</t>
  </si>
  <si>
    <t>山添村</t>
  </si>
  <si>
    <t>高野町</t>
  </si>
  <si>
    <t>大山町</t>
  </si>
  <si>
    <t>浜田市</t>
  </si>
  <si>
    <t>真庭市</t>
  </si>
  <si>
    <t>安芸高田市</t>
  </si>
  <si>
    <t>山陽小野田市</t>
  </si>
  <si>
    <t>那賀町</t>
  </si>
  <si>
    <t>宇多津町</t>
  </si>
  <si>
    <t>久万高原町</t>
  </si>
  <si>
    <t>芸西村</t>
  </si>
  <si>
    <t>筑紫野市</t>
  </si>
  <si>
    <t>鳥栖地区広域市町村圏組合</t>
  </si>
  <si>
    <t>東彼杵町</t>
  </si>
  <si>
    <t>天草市</t>
  </si>
  <si>
    <t>由布市</t>
  </si>
  <si>
    <t>綾町</t>
  </si>
  <si>
    <t>いちき串木野市</t>
  </si>
  <si>
    <t>沖縄県介護保険広域連合</t>
  </si>
  <si>
    <t>1313苫小牧市</t>
  </si>
  <si>
    <t>140007</t>
  </si>
  <si>
    <t>0014-1</t>
  </si>
  <si>
    <t>北海道稚内市</t>
  </si>
  <si>
    <t>0014</t>
  </si>
  <si>
    <t>012146</t>
  </si>
  <si>
    <t>214</t>
  </si>
  <si>
    <t>稚内市</t>
  </si>
  <si>
    <t>012149</t>
  </si>
  <si>
    <t>外ヶ浜町</t>
  </si>
  <si>
    <t>西和賀町</t>
  </si>
  <si>
    <t>富谷市</t>
  </si>
  <si>
    <t>八峰町</t>
  </si>
  <si>
    <t>山辺町</t>
  </si>
  <si>
    <t>桑折町</t>
  </si>
  <si>
    <t>取手市</t>
  </si>
  <si>
    <t>下野市</t>
  </si>
  <si>
    <t>吉岡町</t>
  </si>
  <si>
    <t>鴻巣市</t>
  </si>
  <si>
    <t>習志野市</t>
  </si>
  <si>
    <t>中野区</t>
  </si>
  <si>
    <t>大和市</t>
  </si>
  <si>
    <t>五泉市</t>
  </si>
  <si>
    <t>南砺市</t>
  </si>
  <si>
    <t>内灘町</t>
  </si>
  <si>
    <t>おおい町</t>
  </si>
  <si>
    <t>市川三郷町</t>
  </si>
  <si>
    <t>東御市</t>
  </si>
  <si>
    <t>可児市</t>
  </si>
  <si>
    <t>御殿場市</t>
  </si>
  <si>
    <t>常滑市</t>
  </si>
  <si>
    <t>朝日町</t>
  </si>
  <si>
    <t>日野町</t>
  </si>
  <si>
    <t>南丹市</t>
  </si>
  <si>
    <t>富田林市</t>
  </si>
  <si>
    <t>宝塚市</t>
  </si>
  <si>
    <t>平群町</t>
  </si>
  <si>
    <t>湯浅町</t>
  </si>
  <si>
    <t>日南町</t>
  </si>
  <si>
    <t>江津市</t>
  </si>
  <si>
    <t>美作市</t>
  </si>
  <si>
    <t>江田島市</t>
  </si>
  <si>
    <t>周防大島町</t>
  </si>
  <si>
    <t>牟岐町</t>
  </si>
  <si>
    <t>綾川町</t>
  </si>
  <si>
    <t>松前町</t>
  </si>
  <si>
    <t>本山町</t>
  </si>
  <si>
    <t>春日市</t>
  </si>
  <si>
    <t>鳥栖市</t>
  </si>
  <si>
    <t>川棚町</t>
  </si>
  <si>
    <t>合志市</t>
  </si>
  <si>
    <t>国東市</t>
  </si>
  <si>
    <t>高鍋町</t>
  </si>
  <si>
    <t>南さつま市</t>
  </si>
  <si>
    <t>豊見城市</t>
  </si>
  <si>
    <t>1414稚内市</t>
  </si>
  <si>
    <t>150002</t>
  </si>
  <si>
    <t>0015-1</t>
  </si>
  <si>
    <t>北海道美唄市</t>
  </si>
  <si>
    <t>0015</t>
  </si>
  <si>
    <t>012153</t>
  </si>
  <si>
    <t>215</t>
  </si>
  <si>
    <t>3</t>
  </si>
  <si>
    <t>美唄市</t>
  </si>
  <si>
    <t>012157</t>
  </si>
  <si>
    <t>鰺ヶ沢町</t>
  </si>
  <si>
    <t>金ケ崎町</t>
  </si>
  <si>
    <t>蔵王町</t>
  </si>
  <si>
    <t>五城目町</t>
  </si>
  <si>
    <t>中山町</t>
  </si>
  <si>
    <t>国見町</t>
  </si>
  <si>
    <t>牛久市</t>
  </si>
  <si>
    <t>上三川町</t>
  </si>
  <si>
    <t>上野村</t>
  </si>
  <si>
    <t>上尾市</t>
  </si>
  <si>
    <t>柏市</t>
  </si>
  <si>
    <t>杉並区</t>
  </si>
  <si>
    <t>伊勢原市</t>
  </si>
  <si>
    <t>上越市</t>
  </si>
  <si>
    <t>新川地域介護保険・ケーブルテレビ事業組合</t>
  </si>
  <si>
    <t>志賀町</t>
  </si>
  <si>
    <t>若狭町</t>
  </si>
  <si>
    <t>早川町</t>
  </si>
  <si>
    <t>安曇野市</t>
  </si>
  <si>
    <t>山県市</t>
  </si>
  <si>
    <t>袋井市</t>
  </si>
  <si>
    <t>江南市</t>
  </si>
  <si>
    <t>川越町</t>
  </si>
  <si>
    <t>竜王町</t>
  </si>
  <si>
    <t>木津川市</t>
  </si>
  <si>
    <t>寝屋川市</t>
  </si>
  <si>
    <t>三木市</t>
  </si>
  <si>
    <t>三郷町</t>
  </si>
  <si>
    <t>広川町</t>
  </si>
  <si>
    <t>雲南広域連合</t>
  </si>
  <si>
    <t>浅口市</t>
  </si>
  <si>
    <t>府中町</t>
  </si>
  <si>
    <t>和木町</t>
  </si>
  <si>
    <t>美波町</t>
  </si>
  <si>
    <t>琴平町</t>
  </si>
  <si>
    <t>砥部町</t>
  </si>
  <si>
    <t>大豊町</t>
  </si>
  <si>
    <t>大野城市</t>
  </si>
  <si>
    <t>基山町</t>
  </si>
  <si>
    <t>波佐見町</t>
  </si>
  <si>
    <t>美里町</t>
  </si>
  <si>
    <t>姫島村</t>
  </si>
  <si>
    <t>新富町</t>
  </si>
  <si>
    <t>志布志市</t>
  </si>
  <si>
    <t>南城市</t>
  </si>
  <si>
    <t>1515美唄市</t>
  </si>
  <si>
    <t>160008</t>
  </si>
  <si>
    <t>0016-1</t>
  </si>
  <si>
    <t>北海道芦別市</t>
  </si>
  <si>
    <t>0016</t>
  </si>
  <si>
    <t>012161</t>
  </si>
  <si>
    <t>216</t>
  </si>
  <si>
    <t>芦別市</t>
  </si>
  <si>
    <t>012165</t>
  </si>
  <si>
    <t>深浦町</t>
  </si>
  <si>
    <t>住田町</t>
  </si>
  <si>
    <t>七ヶ宿町</t>
  </si>
  <si>
    <t>八郎潟町</t>
  </si>
  <si>
    <t>河北町</t>
  </si>
  <si>
    <t>川俣町</t>
  </si>
  <si>
    <t>つくば市</t>
  </si>
  <si>
    <t>益子町</t>
  </si>
  <si>
    <t>神流町</t>
  </si>
  <si>
    <t>草加市</t>
  </si>
  <si>
    <t>勝浦市</t>
  </si>
  <si>
    <t>豊島区</t>
  </si>
  <si>
    <t>海老名市</t>
  </si>
  <si>
    <t>阿賀野市</t>
  </si>
  <si>
    <t>黒部市</t>
  </si>
  <si>
    <t>宝達志水町</t>
  </si>
  <si>
    <t>坂井地区広域連合</t>
  </si>
  <si>
    <t>身延町</t>
  </si>
  <si>
    <t>小海町</t>
  </si>
  <si>
    <t>飛騨市</t>
  </si>
  <si>
    <t>下田市</t>
  </si>
  <si>
    <t>小牧市</t>
  </si>
  <si>
    <t>多気町</t>
  </si>
  <si>
    <t>愛荘町</t>
  </si>
  <si>
    <t>大山崎町</t>
  </si>
  <si>
    <t>河内長野市</t>
  </si>
  <si>
    <t>高砂市</t>
  </si>
  <si>
    <t>斑鳩町</t>
  </si>
  <si>
    <t>有田川町</t>
  </si>
  <si>
    <t>江府町</t>
  </si>
  <si>
    <t>雲南市</t>
  </si>
  <si>
    <t>和気町</t>
  </si>
  <si>
    <t>海田町</t>
  </si>
  <si>
    <t>上関町</t>
  </si>
  <si>
    <t>海陽町</t>
  </si>
  <si>
    <t>多度津町</t>
  </si>
  <si>
    <t>内子町</t>
  </si>
  <si>
    <t>土佐町</t>
  </si>
  <si>
    <t>宗像市</t>
  </si>
  <si>
    <t>みやき町</t>
  </si>
  <si>
    <t>小値賀町</t>
  </si>
  <si>
    <t>玉東町</t>
  </si>
  <si>
    <t>日出町</t>
  </si>
  <si>
    <t>西米良村</t>
  </si>
  <si>
    <t>奄美市</t>
  </si>
  <si>
    <t>国頭村</t>
  </si>
  <si>
    <t>1616芦別市</t>
  </si>
  <si>
    <t>170003</t>
  </si>
  <si>
    <t>0017-1</t>
  </si>
  <si>
    <t>北海道江別市</t>
  </si>
  <si>
    <t>0017</t>
  </si>
  <si>
    <t>012179</t>
  </si>
  <si>
    <t>217</t>
  </si>
  <si>
    <t>江別市</t>
  </si>
  <si>
    <t>012173</t>
  </si>
  <si>
    <t>西目屋村</t>
  </si>
  <si>
    <t>大槌町</t>
  </si>
  <si>
    <t>大河原町</t>
  </si>
  <si>
    <t>井川町</t>
  </si>
  <si>
    <t>西川町</t>
  </si>
  <si>
    <t>大玉村</t>
  </si>
  <si>
    <t>ひたちなか市</t>
  </si>
  <si>
    <t>茂木町</t>
  </si>
  <si>
    <t>下仁田町</t>
  </si>
  <si>
    <t>越谷市</t>
  </si>
  <si>
    <t>市原市</t>
  </si>
  <si>
    <t>北区</t>
  </si>
  <si>
    <t>座間市</t>
  </si>
  <si>
    <t>佐渡市</t>
  </si>
  <si>
    <t>入善町</t>
  </si>
  <si>
    <t>中能登町</t>
  </si>
  <si>
    <t>あわら市</t>
  </si>
  <si>
    <t>南部町</t>
  </si>
  <si>
    <t>川上村</t>
  </si>
  <si>
    <t>郡上市</t>
  </si>
  <si>
    <t>裾野市</t>
  </si>
  <si>
    <t>稲沢市</t>
  </si>
  <si>
    <t>明和町</t>
  </si>
  <si>
    <t>豊郷町</t>
  </si>
  <si>
    <t>久御山町</t>
  </si>
  <si>
    <t>松原市</t>
  </si>
  <si>
    <t>川西市</t>
  </si>
  <si>
    <t>安堵町</t>
  </si>
  <si>
    <t>南部箕蚊屋広域連合</t>
  </si>
  <si>
    <t>奥出雲町</t>
  </si>
  <si>
    <t>早島町</t>
  </si>
  <si>
    <t>熊野町</t>
  </si>
  <si>
    <t>田布施町</t>
  </si>
  <si>
    <t>松茂町</t>
  </si>
  <si>
    <t>まんのう町</t>
  </si>
  <si>
    <t>伊方町</t>
  </si>
  <si>
    <t>大川村</t>
  </si>
  <si>
    <t>太宰府市</t>
  </si>
  <si>
    <t>上峰町</t>
  </si>
  <si>
    <t>佐々町</t>
  </si>
  <si>
    <t>南関町</t>
  </si>
  <si>
    <t>九重町</t>
  </si>
  <si>
    <t>木城町</t>
  </si>
  <si>
    <t>南九州市</t>
  </si>
  <si>
    <t>大宜味村</t>
  </si>
  <si>
    <t>1717江別市</t>
  </si>
  <si>
    <t>180009</t>
  </si>
  <si>
    <t>0018-1</t>
  </si>
  <si>
    <t>北海道赤平市</t>
  </si>
  <si>
    <t>0018</t>
  </si>
  <si>
    <t>012187</t>
  </si>
  <si>
    <t>218</t>
  </si>
  <si>
    <t>赤平市</t>
  </si>
  <si>
    <t>012181</t>
  </si>
  <si>
    <t>藤崎町</t>
  </si>
  <si>
    <t>山田町</t>
  </si>
  <si>
    <t>村田町</t>
  </si>
  <si>
    <t>大潟村</t>
  </si>
  <si>
    <t>鏡石町</t>
  </si>
  <si>
    <t>鹿嶋市</t>
  </si>
  <si>
    <t>市貝町</t>
  </si>
  <si>
    <t>南牧村</t>
  </si>
  <si>
    <t>蕨市</t>
  </si>
  <si>
    <t>流山市</t>
  </si>
  <si>
    <t>荒川区</t>
  </si>
  <si>
    <t>南足柄市</t>
  </si>
  <si>
    <t>魚沼市</t>
  </si>
  <si>
    <t>穴水町</t>
  </si>
  <si>
    <t>坂井市</t>
  </si>
  <si>
    <t>富士川町</t>
  </si>
  <si>
    <t>下呂市</t>
  </si>
  <si>
    <t>湖西市</t>
  </si>
  <si>
    <t>知立市</t>
  </si>
  <si>
    <t>大台町</t>
  </si>
  <si>
    <t>甲良町</t>
  </si>
  <si>
    <t>井手町</t>
  </si>
  <si>
    <t>大東市</t>
  </si>
  <si>
    <t>小野市</t>
  </si>
  <si>
    <t>川西町</t>
  </si>
  <si>
    <t>日高町</t>
  </si>
  <si>
    <t>飯南町</t>
  </si>
  <si>
    <t>里庄町</t>
  </si>
  <si>
    <t>坂町</t>
  </si>
  <si>
    <t>平生町</t>
  </si>
  <si>
    <t>北島町</t>
  </si>
  <si>
    <t>松野町</t>
  </si>
  <si>
    <t>いの町</t>
  </si>
  <si>
    <t>古賀市</t>
  </si>
  <si>
    <t>佐賀中部広域連合</t>
  </si>
  <si>
    <t>新上五島町</t>
  </si>
  <si>
    <t>長洲町</t>
  </si>
  <si>
    <t>玖珠町</t>
  </si>
  <si>
    <t>川南町</t>
  </si>
  <si>
    <t>伊佐市</t>
  </si>
  <si>
    <t>東村</t>
  </si>
  <si>
    <t>1818赤平市</t>
  </si>
  <si>
    <t>190004</t>
  </si>
  <si>
    <t>0019-1</t>
  </si>
  <si>
    <t>北海道紋別市</t>
  </si>
  <si>
    <t>0019</t>
  </si>
  <si>
    <t>012195</t>
  </si>
  <si>
    <t>219</t>
  </si>
  <si>
    <t>5</t>
  </si>
  <si>
    <t>紋別市</t>
  </si>
  <si>
    <t>012190</t>
  </si>
  <si>
    <t>大鰐町</t>
  </si>
  <si>
    <t>岩泉町</t>
  </si>
  <si>
    <t>柴田町</t>
  </si>
  <si>
    <t>羽後町</t>
  </si>
  <si>
    <t>大江町</t>
  </si>
  <si>
    <t>天栄村</t>
  </si>
  <si>
    <t>潮来市</t>
  </si>
  <si>
    <t>芳賀町</t>
  </si>
  <si>
    <t>甘楽町</t>
  </si>
  <si>
    <t>戸田市</t>
  </si>
  <si>
    <t>八千代市</t>
  </si>
  <si>
    <t>板橋区</t>
  </si>
  <si>
    <t>綾瀬市</t>
  </si>
  <si>
    <t>南魚沼市</t>
  </si>
  <si>
    <t>能登町</t>
  </si>
  <si>
    <t>昭和町</t>
  </si>
  <si>
    <t>南相木村</t>
  </si>
  <si>
    <t>海津市</t>
  </si>
  <si>
    <t>伊豆市</t>
  </si>
  <si>
    <t>尾張旭市</t>
  </si>
  <si>
    <t>玉城町</t>
  </si>
  <si>
    <t>多賀町</t>
  </si>
  <si>
    <t>宇治田原町</t>
  </si>
  <si>
    <t>和泉市</t>
  </si>
  <si>
    <t>三田市</t>
  </si>
  <si>
    <t>三宅町</t>
  </si>
  <si>
    <t>由良町</t>
  </si>
  <si>
    <t>伯耆町</t>
  </si>
  <si>
    <t>隠岐広域連合</t>
  </si>
  <si>
    <t>矢掛町</t>
  </si>
  <si>
    <t>安芸太田町</t>
  </si>
  <si>
    <t>阿武町</t>
  </si>
  <si>
    <t>藍住町</t>
  </si>
  <si>
    <t>鬼北町</t>
  </si>
  <si>
    <t>仁淀川町</t>
  </si>
  <si>
    <t>福津市</t>
  </si>
  <si>
    <t>佐賀市</t>
  </si>
  <si>
    <t>島原地域広域市町村圏組合</t>
  </si>
  <si>
    <t>和水町</t>
  </si>
  <si>
    <t>都農町</t>
  </si>
  <si>
    <t>姶良市</t>
  </si>
  <si>
    <t>今帰仁村</t>
  </si>
  <si>
    <t>1919紋別市</t>
  </si>
  <si>
    <t>200000</t>
  </si>
  <si>
    <t>0020-1</t>
  </si>
  <si>
    <t>北海道士別市</t>
  </si>
  <si>
    <t>0020</t>
  </si>
  <si>
    <t>012203</t>
  </si>
  <si>
    <t>220</t>
  </si>
  <si>
    <t>士別市</t>
  </si>
  <si>
    <t>田舎館村</t>
  </si>
  <si>
    <t>田野畑村</t>
  </si>
  <si>
    <t>川崎町</t>
  </si>
  <si>
    <t>東成瀬村</t>
  </si>
  <si>
    <t>大石田町</t>
  </si>
  <si>
    <t>下郷町</t>
  </si>
  <si>
    <t>守谷市</t>
  </si>
  <si>
    <t>壬生町</t>
  </si>
  <si>
    <t>中之条町</t>
  </si>
  <si>
    <t>入間市</t>
  </si>
  <si>
    <t>我孫子市</t>
  </si>
  <si>
    <t>練馬区</t>
  </si>
  <si>
    <t>葉山町</t>
  </si>
  <si>
    <t>胎内市</t>
  </si>
  <si>
    <t>道志村</t>
  </si>
  <si>
    <t>北相木村</t>
  </si>
  <si>
    <t>岐南町</t>
  </si>
  <si>
    <t>御前崎市</t>
  </si>
  <si>
    <t>高浜市</t>
  </si>
  <si>
    <t>度会町</t>
  </si>
  <si>
    <t>笠置町</t>
  </si>
  <si>
    <t>箕面市</t>
  </si>
  <si>
    <t>加西市</t>
  </si>
  <si>
    <t>田原本町</t>
  </si>
  <si>
    <t>印南町</t>
  </si>
  <si>
    <t>日吉津村</t>
  </si>
  <si>
    <t>隠岐の島町</t>
  </si>
  <si>
    <t>新庄村</t>
  </si>
  <si>
    <t>北広島町</t>
  </si>
  <si>
    <t>板野町</t>
  </si>
  <si>
    <t>愛南町</t>
  </si>
  <si>
    <t>中土佐町</t>
  </si>
  <si>
    <t>嘉麻市</t>
  </si>
  <si>
    <t>多久市</t>
  </si>
  <si>
    <t>島原市</t>
  </si>
  <si>
    <t>大津町</t>
  </si>
  <si>
    <t>門川町</t>
  </si>
  <si>
    <t>三島村</t>
  </si>
  <si>
    <t>本部町</t>
  </si>
  <si>
    <t>2020士別市</t>
  </si>
  <si>
    <t>210005</t>
  </si>
  <si>
    <t>0021-1</t>
  </si>
  <si>
    <t>北海道名寄市</t>
  </si>
  <si>
    <t>0021</t>
  </si>
  <si>
    <t>012211</t>
  </si>
  <si>
    <t>221</t>
  </si>
  <si>
    <t>名寄市</t>
  </si>
  <si>
    <t>板柳町</t>
  </si>
  <si>
    <t>二戸地区広域行政事務組合</t>
  </si>
  <si>
    <t>丸森町</t>
  </si>
  <si>
    <t>由利本荘市</t>
  </si>
  <si>
    <t>金山町</t>
  </si>
  <si>
    <t>檜枝岐村</t>
  </si>
  <si>
    <t>常陸大宮市</t>
  </si>
  <si>
    <t>野木町</t>
  </si>
  <si>
    <t>長野原町</t>
  </si>
  <si>
    <t>朝霞市</t>
  </si>
  <si>
    <t>鴨川市</t>
  </si>
  <si>
    <t>足立区</t>
  </si>
  <si>
    <t>寒川町</t>
  </si>
  <si>
    <t>聖籠町</t>
  </si>
  <si>
    <t>西桂町</t>
  </si>
  <si>
    <t>佐久穂町</t>
  </si>
  <si>
    <t>笠松町</t>
  </si>
  <si>
    <t>菊川市</t>
  </si>
  <si>
    <t>岩倉市</t>
  </si>
  <si>
    <t>大紀町</t>
  </si>
  <si>
    <t>和束町</t>
  </si>
  <si>
    <t>柏原市</t>
  </si>
  <si>
    <t>丹波篠山市</t>
  </si>
  <si>
    <t>曽爾村</t>
  </si>
  <si>
    <t>みなべ町</t>
  </si>
  <si>
    <t>西ノ島町</t>
  </si>
  <si>
    <t>鏡野町</t>
  </si>
  <si>
    <t>大崎上島町</t>
  </si>
  <si>
    <t>上板町</t>
  </si>
  <si>
    <t>佐川町</t>
  </si>
  <si>
    <t>朝倉市</t>
  </si>
  <si>
    <t>小城市</t>
  </si>
  <si>
    <t>雲仙市</t>
  </si>
  <si>
    <t>菊陽町</t>
  </si>
  <si>
    <t>諸塚村</t>
  </si>
  <si>
    <t>十島村</t>
  </si>
  <si>
    <t>恩納村</t>
  </si>
  <si>
    <t>2121名寄市</t>
  </si>
  <si>
    <t>220001</t>
  </si>
  <si>
    <t>0022-1</t>
  </si>
  <si>
    <t>北海道三笠市</t>
  </si>
  <si>
    <t>0022</t>
  </si>
  <si>
    <t>012229</t>
  </si>
  <si>
    <t>222</t>
  </si>
  <si>
    <t>三笠市</t>
  </si>
  <si>
    <t>012220</t>
  </si>
  <si>
    <t>鶴田町</t>
  </si>
  <si>
    <t>二戸市</t>
  </si>
  <si>
    <t>亘理町</t>
  </si>
  <si>
    <t>にかほ市</t>
  </si>
  <si>
    <t>最上町</t>
  </si>
  <si>
    <t>只見町</t>
  </si>
  <si>
    <t>那珂市</t>
  </si>
  <si>
    <t>塩谷町</t>
  </si>
  <si>
    <t>嬬恋村</t>
  </si>
  <si>
    <t>志木市</t>
  </si>
  <si>
    <t>鎌ケ谷市</t>
  </si>
  <si>
    <t>葛飾区</t>
  </si>
  <si>
    <t>大磯町</t>
  </si>
  <si>
    <t>弥彦村</t>
  </si>
  <si>
    <t>忍野村</t>
  </si>
  <si>
    <t>軽井沢町</t>
  </si>
  <si>
    <t>養老町</t>
  </si>
  <si>
    <t>伊豆の国市</t>
  </si>
  <si>
    <t>豊明市</t>
  </si>
  <si>
    <t>南伊勢町</t>
  </si>
  <si>
    <t>精華町</t>
  </si>
  <si>
    <t>羽曳野市</t>
  </si>
  <si>
    <t>養父市</t>
  </si>
  <si>
    <t>御杖村</t>
  </si>
  <si>
    <t>日高川町</t>
  </si>
  <si>
    <t>海士町</t>
  </si>
  <si>
    <t>勝央町</t>
  </si>
  <si>
    <t>世羅町</t>
  </si>
  <si>
    <t>つるぎ町</t>
  </si>
  <si>
    <t>越知町</t>
  </si>
  <si>
    <t>みやま市</t>
  </si>
  <si>
    <t>神埼市</t>
  </si>
  <si>
    <t>南島原市</t>
  </si>
  <si>
    <t>南小国町</t>
  </si>
  <si>
    <t>椎葉村</t>
  </si>
  <si>
    <t>さつま町</t>
  </si>
  <si>
    <t>宜野座村</t>
  </si>
  <si>
    <t>2222三笠市</t>
  </si>
  <si>
    <t>230006</t>
  </si>
  <si>
    <t>0023-1</t>
  </si>
  <si>
    <t>北海道根室市</t>
  </si>
  <si>
    <t>0023</t>
  </si>
  <si>
    <t>012237</t>
  </si>
  <si>
    <t>223</t>
  </si>
  <si>
    <t>根室市</t>
  </si>
  <si>
    <t>012238</t>
  </si>
  <si>
    <t>中泊町</t>
  </si>
  <si>
    <t>一戸町</t>
  </si>
  <si>
    <t>山元町</t>
  </si>
  <si>
    <t>大曲仙北広域市町村圏組合</t>
  </si>
  <si>
    <t>舟形町</t>
  </si>
  <si>
    <t>南会津町</t>
  </si>
  <si>
    <t>筑西市</t>
  </si>
  <si>
    <t>高根沢町</t>
  </si>
  <si>
    <t>草津町</t>
  </si>
  <si>
    <t>和光市</t>
  </si>
  <si>
    <t>君津市</t>
  </si>
  <si>
    <t>江戸川区</t>
  </si>
  <si>
    <t>二宮町</t>
  </si>
  <si>
    <t>田上町</t>
  </si>
  <si>
    <t>山中湖村</t>
  </si>
  <si>
    <t>御代田町</t>
  </si>
  <si>
    <t>垂井町</t>
  </si>
  <si>
    <t>牧之原市</t>
  </si>
  <si>
    <t>日進市</t>
  </si>
  <si>
    <t>紀北広域連合</t>
  </si>
  <si>
    <t>南山城村</t>
  </si>
  <si>
    <t>摂津市</t>
  </si>
  <si>
    <t>丹波市</t>
  </si>
  <si>
    <t>高取町</t>
  </si>
  <si>
    <t>白浜町</t>
  </si>
  <si>
    <t>知夫村</t>
  </si>
  <si>
    <t>奈義町</t>
  </si>
  <si>
    <t>神石高原町</t>
  </si>
  <si>
    <t>みよし広域連合</t>
  </si>
  <si>
    <t>梼原町</t>
  </si>
  <si>
    <t>糸島市</t>
  </si>
  <si>
    <t>吉野ヶ里町</t>
  </si>
  <si>
    <t>小国町</t>
  </si>
  <si>
    <t>長島町</t>
  </si>
  <si>
    <t>金武町</t>
  </si>
  <si>
    <t>2323根室市</t>
  </si>
  <si>
    <t>240001</t>
  </si>
  <si>
    <t>0024-1</t>
  </si>
  <si>
    <t>北海道千歳市</t>
  </si>
  <si>
    <t>0024</t>
  </si>
  <si>
    <t>012245</t>
  </si>
  <si>
    <t>224</t>
  </si>
  <si>
    <t>千歳市</t>
  </si>
  <si>
    <t>012246</t>
  </si>
  <si>
    <t>野辺地町</t>
  </si>
  <si>
    <t>軽米町</t>
  </si>
  <si>
    <t>松島町</t>
  </si>
  <si>
    <t>大仙市</t>
  </si>
  <si>
    <t>真室川町</t>
  </si>
  <si>
    <t>北塩原村</t>
  </si>
  <si>
    <t>坂東市</t>
  </si>
  <si>
    <t>那須町</t>
  </si>
  <si>
    <t>高山村</t>
  </si>
  <si>
    <t>新座市</t>
  </si>
  <si>
    <t>富津市</t>
  </si>
  <si>
    <t>八王子市</t>
  </si>
  <si>
    <t>中井町</t>
  </si>
  <si>
    <t>阿賀町</t>
  </si>
  <si>
    <t>鳴沢村</t>
  </si>
  <si>
    <t>立科町</t>
  </si>
  <si>
    <t>関ヶ原町</t>
  </si>
  <si>
    <t>東伊豆町</t>
  </si>
  <si>
    <t>愛西市</t>
  </si>
  <si>
    <t>尾鷲市</t>
  </si>
  <si>
    <t>京丹波町</t>
  </si>
  <si>
    <t>高石市</t>
  </si>
  <si>
    <t>南あわじ市</t>
  </si>
  <si>
    <t>明日香村</t>
  </si>
  <si>
    <t>上富田町</t>
  </si>
  <si>
    <t>西粟倉村</t>
  </si>
  <si>
    <t>三好市</t>
  </si>
  <si>
    <t>日高村</t>
  </si>
  <si>
    <t>那珂川市</t>
  </si>
  <si>
    <t>産山村</t>
  </si>
  <si>
    <t>高千穂町</t>
  </si>
  <si>
    <t>湧水町</t>
  </si>
  <si>
    <t>伊江村</t>
  </si>
  <si>
    <t>2424千歳市</t>
  </si>
  <si>
    <t>250007</t>
  </si>
  <si>
    <t>0025-1</t>
  </si>
  <si>
    <t>北海道滝川市</t>
  </si>
  <si>
    <t>0025</t>
  </si>
  <si>
    <t>012252</t>
  </si>
  <si>
    <t>225</t>
  </si>
  <si>
    <t>滝川市</t>
  </si>
  <si>
    <t>012254</t>
  </si>
  <si>
    <t>七戸町</t>
  </si>
  <si>
    <t>九戸村</t>
  </si>
  <si>
    <t>七ヶ浜町</t>
  </si>
  <si>
    <t>仙北市</t>
  </si>
  <si>
    <t>大蔵村</t>
  </si>
  <si>
    <t>西会津町</t>
  </si>
  <si>
    <t>稲敷市</t>
  </si>
  <si>
    <t>那珂川町</t>
  </si>
  <si>
    <t>東吾妻町</t>
  </si>
  <si>
    <t>桶川市</t>
  </si>
  <si>
    <t>浦安市</t>
  </si>
  <si>
    <t>立川市</t>
  </si>
  <si>
    <t>大井町</t>
  </si>
  <si>
    <t>出雲崎町</t>
  </si>
  <si>
    <t>富士河口湖町</t>
  </si>
  <si>
    <t>青木村</t>
  </si>
  <si>
    <t>坂祝町</t>
  </si>
  <si>
    <t>河津町</t>
  </si>
  <si>
    <t>清須市</t>
  </si>
  <si>
    <t>紀北町</t>
  </si>
  <si>
    <t>伊根町</t>
  </si>
  <si>
    <t>藤井寺市</t>
  </si>
  <si>
    <t>朝来市</t>
  </si>
  <si>
    <t>上牧町</t>
  </si>
  <si>
    <t>すさみ町</t>
  </si>
  <si>
    <t>久米南町</t>
  </si>
  <si>
    <t>東みよし町</t>
  </si>
  <si>
    <t>津野町</t>
  </si>
  <si>
    <t>粕屋町</t>
  </si>
  <si>
    <t>高森町</t>
  </si>
  <si>
    <t>日之影町</t>
  </si>
  <si>
    <t>大崎町</t>
  </si>
  <si>
    <t>読谷村</t>
  </si>
  <si>
    <t>2525滝川市</t>
  </si>
  <si>
    <t>260002</t>
  </si>
  <si>
    <t>0026-1</t>
  </si>
  <si>
    <t>北海道砂川市</t>
  </si>
  <si>
    <t>0026</t>
  </si>
  <si>
    <t>012260</t>
  </si>
  <si>
    <t>226</t>
  </si>
  <si>
    <t>砂川市</t>
  </si>
  <si>
    <t>012262</t>
  </si>
  <si>
    <t>六戸町</t>
  </si>
  <si>
    <t>盛岡北部行政事務組合</t>
  </si>
  <si>
    <t>利府町</t>
  </si>
  <si>
    <t>鮭川村</t>
  </si>
  <si>
    <t>磐梯町</t>
  </si>
  <si>
    <t>かすみがうら市</t>
  </si>
  <si>
    <t>片品村</t>
  </si>
  <si>
    <t>久喜市</t>
  </si>
  <si>
    <t>四街道市</t>
  </si>
  <si>
    <t>武蔵野市</t>
  </si>
  <si>
    <t>松田町</t>
  </si>
  <si>
    <t>湯沢町</t>
  </si>
  <si>
    <t>小菅村</t>
  </si>
  <si>
    <t>長和町</t>
  </si>
  <si>
    <t>富加町</t>
  </si>
  <si>
    <t>南伊豆町</t>
  </si>
  <si>
    <t>北名古屋市</t>
  </si>
  <si>
    <t>紀南介護保険広域連合</t>
  </si>
  <si>
    <t>与謝野町</t>
  </si>
  <si>
    <t>東大阪市</t>
  </si>
  <si>
    <t>淡路市</t>
  </si>
  <si>
    <t>王寺町</t>
  </si>
  <si>
    <t>那智勝浦町</t>
  </si>
  <si>
    <t>美咲町</t>
  </si>
  <si>
    <t>四万十町</t>
  </si>
  <si>
    <t>苅田町</t>
  </si>
  <si>
    <t>西原村</t>
  </si>
  <si>
    <t>五ヶ瀬町</t>
  </si>
  <si>
    <t>東串良町</t>
  </si>
  <si>
    <t>嘉手納町</t>
  </si>
  <si>
    <t>2626砂川市</t>
  </si>
  <si>
    <t>270008</t>
  </si>
  <si>
    <t>0027-1</t>
  </si>
  <si>
    <t>北海道深川市</t>
  </si>
  <si>
    <t>0027</t>
  </si>
  <si>
    <t>012286</t>
  </si>
  <si>
    <t>228</t>
  </si>
  <si>
    <t>深川市</t>
  </si>
  <si>
    <t>012289</t>
  </si>
  <si>
    <t>横浜町</t>
  </si>
  <si>
    <t>八幡平市</t>
  </si>
  <si>
    <t>大和町</t>
  </si>
  <si>
    <t>戸沢村</t>
  </si>
  <si>
    <t>猪苗代町</t>
  </si>
  <si>
    <t>桜川市</t>
  </si>
  <si>
    <t>川場村</t>
  </si>
  <si>
    <t>北本市</t>
  </si>
  <si>
    <t>袖ケ浦市</t>
  </si>
  <si>
    <t>三鷹市</t>
  </si>
  <si>
    <t>山北町</t>
  </si>
  <si>
    <t>津南町</t>
  </si>
  <si>
    <t>丹波山村</t>
  </si>
  <si>
    <t>辰野町</t>
  </si>
  <si>
    <t>川辺町</t>
  </si>
  <si>
    <t>松崎町</t>
  </si>
  <si>
    <t>弥富市</t>
  </si>
  <si>
    <t>熊野市</t>
  </si>
  <si>
    <t>泉南市</t>
  </si>
  <si>
    <t>宍粟市</t>
  </si>
  <si>
    <t>広陵町</t>
  </si>
  <si>
    <t>太地町</t>
  </si>
  <si>
    <t>吉備中央町</t>
  </si>
  <si>
    <t>大月町</t>
  </si>
  <si>
    <t>みやこ町</t>
  </si>
  <si>
    <t>南阿蘇村</t>
  </si>
  <si>
    <t>錦江町</t>
  </si>
  <si>
    <t>北谷町</t>
  </si>
  <si>
    <t>2727深川市</t>
  </si>
  <si>
    <t>280003</t>
  </si>
  <si>
    <t>0028-1</t>
  </si>
  <si>
    <t>北海道富良野市</t>
  </si>
  <si>
    <t>0028</t>
  </si>
  <si>
    <t>012294</t>
  </si>
  <si>
    <t>229</t>
  </si>
  <si>
    <t>富良野市</t>
  </si>
  <si>
    <t>012297</t>
  </si>
  <si>
    <t>東北町</t>
  </si>
  <si>
    <t>岩手町</t>
  </si>
  <si>
    <t>大郷町</t>
  </si>
  <si>
    <t>高畠町</t>
  </si>
  <si>
    <t>会津坂下町</t>
  </si>
  <si>
    <t>神栖市</t>
  </si>
  <si>
    <t>昭和村</t>
  </si>
  <si>
    <t>八潮市</t>
  </si>
  <si>
    <t>八街市</t>
  </si>
  <si>
    <t>青梅市</t>
  </si>
  <si>
    <t>開成町</t>
  </si>
  <si>
    <t>刈羽村</t>
  </si>
  <si>
    <t>箕輪町</t>
  </si>
  <si>
    <t>七宗町</t>
  </si>
  <si>
    <t>西伊豆町</t>
  </si>
  <si>
    <t>みよし市</t>
  </si>
  <si>
    <t>御浜町</t>
  </si>
  <si>
    <t>交野市</t>
  </si>
  <si>
    <t>加東市</t>
  </si>
  <si>
    <t>河合町</t>
  </si>
  <si>
    <t>古座川町</t>
  </si>
  <si>
    <t>三原村</t>
  </si>
  <si>
    <t>福岡県介護保険広域連合</t>
  </si>
  <si>
    <t>御船町</t>
  </si>
  <si>
    <t>南大隅町</t>
  </si>
  <si>
    <t>北中城村</t>
  </si>
  <si>
    <t>2828富良野市</t>
  </si>
  <si>
    <t>290009</t>
  </si>
  <si>
    <t>0029-1</t>
  </si>
  <si>
    <t>北海道登別市</t>
  </si>
  <si>
    <t>0029</t>
  </si>
  <si>
    <t>012302</t>
  </si>
  <si>
    <t>230</t>
  </si>
  <si>
    <t>登別市</t>
  </si>
  <si>
    <t>012301</t>
  </si>
  <si>
    <t>六ヶ所村</t>
  </si>
  <si>
    <t>葛巻町</t>
  </si>
  <si>
    <t>大衡村</t>
  </si>
  <si>
    <t>湯川村</t>
  </si>
  <si>
    <t>行方市</t>
  </si>
  <si>
    <t>みなかみ町</t>
  </si>
  <si>
    <t>富士見市</t>
  </si>
  <si>
    <t>印西市</t>
  </si>
  <si>
    <t>箱根町</t>
  </si>
  <si>
    <t>関川村</t>
  </si>
  <si>
    <t>飯島町</t>
  </si>
  <si>
    <t>八百津町</t>
  </si>
  <si>
    <t>函南町</t>
  </si>
  <si>
    <t>あま市</t>
  </si>
  <si>
    <t>紀宝町</t>
  </si>
  <si>
    <t>大阪狭山市</t>
  </si>
  <si>
    <t>たつの市</t>
  </si>
  <si>
    <t>吉野町</t>
  </si>
  <si>
    <t>北山村</t>
  </si>
  <si>
    <t>黒潮町</t>
  </si>
  <si>
    <t>田川市</t>
  </si>
  <si>
    <t>嘉島町</t>
  </si>
  <si>
    <t>肝付町</t>
  </si>
  <si>
    <t>中城村</t>
  </si>
  <si>
    <t>2929登別市</t>
  </si>
  <si>
    <t>300004</t>
  </si>
  <si>
    <t>0030-1</t>
  </si>
  <si>
    <t>北海道恵庭市</t>
  </si>
  <si>
    <t>0030</t>
  </si>
  <si>
    <t>012310</t>
  </si>
  <si>
    <t>231</t>
  </si>
  <si>
    <t>恵庭市</t>
  </si>
  <si>
    <t>012319</t>
  </si>
  <si>
    <t>おいらせ町</t>
  </si>
  <si>
    <t>久慈広域連合</t>
  </si>
  <si>
    <t>色麻町</t>
  </si>
  <si>
    <t>柳津町</t>
  </si>
  <si>
    <t>鉾田市</t>
  </si>
  <si>
    <t>玉村町</t>
  </si>
  <si>
    <t>三郷市</t>
  </si>
  <si>
    <t>南房総市</t>
  </si>
  <si>
    <t>昭島市</t>
  </si>
  <si>
    <t>真鶴町</t>
  </si>
  <si>
    <t>粟島浦村</t>
  </si>
  <si>
    <t>南箕輪村</t>
  </si>
  <si>
    <t>白川町</t>
  </si>
  <si>
    <t>清水町</t>
  </si>
  <si>
    <t>長久手市</t>
  </si>
  <si>
    <t>鈴鹿亀山地区広域連合</t>
  </si>
  <si>
    <t>阪南市</t>
  </si>
  <si>
    <t>猪名川町</t>
  </si>
  <si>
    <t>大淀町</t>
  </si>
  <si>
    <t>串本町</t>
  </si>
  <si>
    <t>中芸広域連合</t>
  </si>
  <si>
    <t>柳川市</t>
  </si>
  <si>
    <t>益城町</t>
  </si>
  <si>
    <t>中種子町</t>
  </si>
  <si>
    <t>西原町</t>
  </si>
  <si>
    <t>3030恵庭市</t>
  </si>
  <si>
    <t>310000</t>
  </si>
  <si>
    <t>0031-1</t>
  </si>
  <si>
    <t>北海道伊達市</t>
  </si>
  <si>
    <t>0031</t>
  </si>
  <si>
    <t>012336</t>
  </si>
  <si>
    <t>233</t>
  </si>
  <si>
    <t>012335</t>
  </si>
  <si>
    <t>大間町</t>
  </si>
  <si>
    <t>久慈市</t>
  </si>
  <si>
    <t>加美町</t>
  </si>
  <si>
    <t>白鷹町</t>
  </si>
  <si>
    <t>三島町</t>
  </si>
  <si>
    <t>つくばみらい市</t>
  </si>
  <si>
    <t>板倉町</t>
  </si>
  <si>
    <t>蓮田市</t>
  </si>
  <si>
    <t>匝瑳市</t>
  </si>
  <si>
    <t>調布市</t>
  </si>
  <si>
    <t>湯河原町</t>
  </si>
  <si>
    <t>中川村</t>
  </si>
  <si>
    <t>東白川村</t>
  </si>
  <si>
    <t>長泉町</t>
  </si>
  <si>
    <t>東郷町</t>
  </si>
  <si>
    <t>鈴鹿市</t>
  </si>
  <si>
    <t>島本町</t>
  </si>
  <si>
    <t>多可町</t>
  </si>
  <si>
    <t>下市町</t>
  </si>
  <si>
    <t>奈半利町</t>
  </si>
  <si>
    <t>豊前市</t>
  </si>
  <si>
    <t>甲佐町</t>
  </si>
  <si>
    <t>南種子町</t>
  </si>
  <si>
    <t>与那原町</t>
  </si>
  <si>
    <t>3131伊達市</t>
  </si>
  <si>
    <t>320005</t>
  </si>
  <si>
    <t>0032-1</t>
  </si>
  <si>
    <t>北海道北広島市</t>
  </si>
  <si>
    <t>0032</t>
  </si>
  <si>
    <t>012344</t>
  </si>
  <si>
    <t>234</t>
  </si>
  <si>
    <t>北広島市</t>
  </si>
  <si>
    <t>012343</t>
  </si>
  <si>
    <t>東通村</t>
  </si>
  <si>
    <t>洋野町</t>
  </si>
  <si>
    <t>涌谷町</t>
  </si>
  <si>
    <t>飯豊町</t>
  </si>
  <si>
    <t>小美玉市</t>
  </si>
  <si>
    <t>坂戸市</t>
  </si>
  <si>
    <t>香取市</t>
  </si>
  <si>
    <t>町田市</t>
  </si>
  <si>
    <t>愛川町</t>
  </si>
  <si>
    <t>宮田村</t>
  </si>
  <si>
    <t>御嵩町</t>
  </si>
  <si>
    <t>小山町</t>
  </si>
  <si>
    <t>豊山町</t>
  </si>
  <si>
    <t>亀山市</t>
  </si>
  <si>
    <t>豊能町</t>
  </si>
  <si>
    <t>稲美町</t>
  </si>
  <si>
    <t>黒滝村</t>
  </si>
  <si>
    <t>田野町</t>
  </si>
  <si>
    <t>うきは市</t>
  </si>
  <si>
    <t>山都町</t>
  </si>
  <si>
    <t>屋久島町</t>
  </si>
  <si>
    <t>南風原町</t>
  </si>
  <si>
    <t>3232北広島市</t>
  </si>
  <si>
    <t>330001</t>
  </si>
  <si>
    <t>0033-1</t>
  </si>
  <si>
    <t>北海道石狩市</t>
  </si>
  <si>
    <t>0033</t>
  </si>
  <si>
    <t>012351</t>
  </si>
  <si>
    <t>235</t>
  </si>
  <si>
    <t>石狩市</t>
  </si>
  <si>
    <t>風間浦村</t>
  </si>
  <si>
    <t>野田村</t>
  </si>
  <si>
    <t>三川町</t>
  </si>
  <si>
    <t>茨城町</t>
  </si>
  <si>
    <t>千代田町</t>
  </si>
  <si>
    <t>幸手市</t>
  </si>
  <si>
    <t>山武市</t>
  </si>
  <si>
    <t>小金井市</t>
  </si>
  <si>
    <t>清川村</t>
  </si>
  <si>
    <t>松川町</t>
  </si>
  <si>
    <t>白川村</t>
  </si>
  <si>
    <t>吉田町</t>
  </si>
  <si>
    <t>大口町</t>
  </si>
  <si>
    <t>能勢町</t>
  </si>
  <si>
    <t>播磨町</t>
  </si>
  <si>
    <t>天川村</t>
  </si>
  <si>
    <t>安田町</t>
  </si>
  <si>
    <t>宮若市</t>
  </si>
  <si>
    <t>氷川町</t>
  </si>
  <si>
    <t>大和村</t>
  </si>
  <si>
    <t>渡嘉敷村</t>
  </si>
  <si>
    <t>3333石狩市</t>
  </si>
  <si>
    <t>340006</t>
  </si>
  <si>
    <t>0034-1</t>
  </si>
  <si>
    <t>北海道北斗市</t>
  </si>
  <si>
    <t>0034</t>
  </si>
  <si>
    <t>012369</t>
  </si>
  <si>
    <t>236</t>
  </si>
  <si>
    <t>北斗市</t>
  </si>
  <si>
    <t>012360</t>
  </si>
  <si>
    <t>佐井村</t>
  </si>
  <si>
    <t>普代村</t>
  </si>
  <si>
    <t>女川町</t>
  </si>
  <si>
    <t>庄内町</t>
  </si>
  <si>
    <t>会津美里町</t>
  </si>
  <si>
    <t>大洗町</t>
  </si>
  <si>
    <t>大泉町</t>
  </si>
  <si>
    <t>鶴ヶ島市</t>
  </si>
  <si>
    <t>いすみ市</t>
  </si>
  <si>
    <t>小平市</t>
  </si>
  <si>
    <t>安八郡広域連合</t>
  </si>
  <si>
    <t>川根本町</t>
  </si>
  <si>
    <t>扶桑町</t>
  </si>
  <si>
    <t>忠岡町</t>
  </si>
  <si>
    <t>市川町</t>
  </si>
  <si>
    <t>野迫川村</t>
  </si>
  <si>
    <t>北川村</t>
  </si>
  <si>
    <t>宇美町</t>
  </si>
  <si>
    <t>芦北町</t>
  </si>
  <si>
    <t>宇検村</t>
  </si>
  <si>
    <t>座間味村</t>
  </si>
  <si>
    <t>3434北斗市</t>
  </si>
  <si>
    <t>350001</t>
  </si>
  <si>
    <t>0035-1</t>
  </si>
  <si>
    <t>北海道当別町</t>
  </si>
  <si>
    <t>0035</t>
  </si>
  <si>
    <t>013037</t>
  </si>
  <si>
    <t>303</t>
  </si>
  <si>
    <t>当別町</t>
  </si>
  <si>
    <t>013030</t>
  </si>
  <si>
    <t>三戸町</t>
  </si>
  <si>
    <t>一関地区広域行政組合</t>
  </si>
  <si>
    <t>南三陸町</t>
  </si>
  <si>
    <t>遊佐町</t>
  </si>
  <si>
    <t>西郷村</t>
  </si>
  <si>
    <t>城里町</t>
  </si>
  <si>
    <t>邑楽町</t>
  </si>
  <si>
    <t>日高市</t>
  </si>
  <si>
    <t>大網白里市</t>
  </si>
  <si>
    <t>日野市</t>
  </si>
  <si>
    <t>阿南町</t>
  </si>
  <si>
    <t>神戸町</t>
  </si>
  <si>
    <t>森町</t>
  </si>
  <si>
    <t>大治町</t>
  </si>
  <si>
    <t>熊取町</t>
  </si>
  <si>
    <t>福崎町</t>
  </si>
  <si>
    <t>十津川村</t>
  </si>
  <si>
    <t>馬路村</t>
  </si>
  <si>
    <t>篠栗町</t>
  </si>
  <si>
    <t>津奈木町</t>
  </si>
  <si>
    <t>瀬戸内町</t>
  </si>
  <si>
    <t>粟国村</t>
  </si>
  <si>
    <t>3535当別町</t>
  </si>
  <si>
    <t>360007</t>
  </si>
  <si>
    <t>0036-1</t>
  </si>
  <si>
    <t>北海道新篠津村</t>
  </si>
  <si>
    <t>0036</t>
  </si>
  <si>
    <t>013045</t>
  </si>
  <si>
    <t>304</t>
  </si>
  <si>
    <t>新篠津村</t>
  </si>
  <si>
    <t>013048</t>
  </si>
  <si>
    <t>五戸町</t>
  </si>
  <si>
    <t>一関市</t>
  </si>
  <si>
    <t>泉崎村</t>
  </si>
  <si>
    <t>東海村</t>
  </si>
  <si>
    <t>吉川市</t>
  </si>
  <si>
    <t>酒々井町</t>
  </si>
  <si>
    <t>東村山市</t>
  </si>
  <si>
    <t>阿智村</t>
  </si>
  <si>
    <t>輪之内町</t>
  </si>
  <si>
    <t>蟹江町</t>
  </si>
  <si>
    <t>田尻町</t>
  </si>
  <si>
    <t>神河町</t>
  </si>
  <si>
    <t>下北山村</t>
  </si>
  <si>
    <t>志免町</t>
  </si>
  <si>
    <t>錦町</t>
  </si>
  <si>
    <t>龍郷町</t>
  </si>
  <si>
    <t>渡名喜村</t>
  </si>
  <si>
    <t>3636新篠津村</t>
  </si>
  <si>
    <t>370002</t>
  </si>
  <si>
    <t>0037-1</t>
  </si>
  <si>
    <t>北海道松前町</t>
  </si>
  <si>
    <t>0037</t>
  </si>
  <si>
    <t>013318</t>
  </si>
  <si>
    <t>331</t>
  </si>
  <si>
    <t>013315</t>
  </si>
  <si>
    <t>田子町</t>
  </si>
  <si>
    <t>平泉町</t>
  </si>
  <si>
    <t>中島村</t>
  </si>
  <si>
    <t>大子町</t>
  </si>
  <si>
    <t>ふじみ野市</t>
  </si>
  <si>
    <t>富里市</t>
  </si>
  <si>
    <t>国分寺市</t>
  </si>
  <si>
    <t>平谷村</t>
  </si>
  <si>
    <t>安八町</t>
  </si>
  <si>
    <t>飛島村</t>
  </si>
  <si>
    <t>岬町</t>
  </si>
  <si>
    <t>太子町</t>
  </si>
  <si>
    <t>上北山村</t>
  </si>
  <si>
    <t>須惠町</t>
  </si>
  <si>
    <t>多良木町</t>
  </si>
  <si>
    <t>喜界町</t>
  </si>
  <si>
    <t>南大東村</t>
  </si>
  <si>
    <t>3737松前町</t>
  </si>
  <si>
    <t>380008</t>
  </si>
  <si>
    <t>0038-1</t>
  </si>
  <si>
    <t>北海道福島町</t>
  </si>
  <si>
    <t>0038</t>
  </si>
  <si>
    <t>013326</t>
  </si>
  <si>
    <t>332</t>
  </si>
  <si>
    <t>福島町</t>
  </si>
  <si>
    <t>013323</t>
  </si>
  <si>
    <t>矢吹町</t>
  </si>
  <si>
    <t>美浦村</t>
  </si>
  <si>
    <t>白岡市</t>
  </si>
  <si>
    <t>白井市</t>
  </si>
  <si>
    <t>国立市</t>
  </si>
  <si>
    <t>根羽村</t>
  </si>
  <si>
    <t>揖斐広域連合</t>
  </si>
  <si>
    <t>阿久比町</t>
  </si>
  <si>
    <t>上郡町</t>
  </si>
  <si>
    <t>新宮町</t>
  </si>
  <si>
    <t>湯前町</t>
  </si>
  <si>
    <t>徳之島町</t>
  </si>
  <si>
    <t>北大東村</t>
  </si>
  <si>
    <t>3838福島町</t>
  </si>
  <si>
    <t>390003</t>
  </si>
  <si>
    <t>0039-1</t>
  </si>
  <si>
    <t>北海道知内町</t>
  </si>
  <si>
    <t>0039</t>
  </si>
  <si>
    <t>013334</t>
  </si>
  <si>
    <t>333</t>
  </si>
  <si>
    <t>知内町</t>
  </si>
  <si>
    <t>013331</t>
  </si>
  <si>
    <t>階上町</t>
  </si>
  <si>
    <t>棚倉町</t>
  </si>
  <si>
    <t>阿見町</t>
  </si>
  <si>
    <t>伊奈町</t>
  </si>
  <si>
    <t>栄町</t>
  </si>
  <si>
    <t>福生市</t>
  </si>
  <si>
    <t>下條村</t>
  </si>
  <si>
    <t>揖斐川町</t>
  </si>
  <si>
    <t>南知多町</t>
  </si>
  <si>
    <t>河南町</t>
  </si>
  <si>
    <t>佐用町</t>
  </si>
  <si>
    <t>東吉野村</t>
  </si>
  <si>
    <t>久山町</t>
  </si>
  <si>
    <t>水上村</t>
  </si>
  <si>
    <t>天城町</t>
  </si>
  <si>
    <t>伊平屋村</t>
  </si>
  <si>
    <t>3939知内町</t>
  </si>
  <si>
    <t>400009</t>
  </si>
  <si>
    <t>0040-1</t>
  </si>
  <si>
    <t>北海道木古内町</t>
  </si>
  <si>
    <t>0040</t>
  </si>
  <si>
    <t>013342</t>
  </si>
  <si>
    <t>334</t>
  </si>
  <si>
    <t>木古内町</t>
  </si>
  <si>
    <t>013340</t>
  </si>
  <si>
    <t>新郷村</t>
  </si>
  <si>
    <t>矢祭町</t>
  </si>
  <si>
    <t>河内町</t>
  </si>
  <si>
    <t>三芳町</t>
  </si>
  <si>
    <t>神崎町</t>
  </si>
  <si>
    <t>狛江市</t>
  </si>
  <si>
    <t>売木村</t>
  </si>
  <si>
    <t>大野町</t>
  </si>
  <si>
    <t>千早赤阪村</t>
  </si>
  <si>
    <t>香美町</t>
  </si>
  <si>
    <t>芦屋町</t>
  </si>
  <si>
    <t>相良村</t>
  </si>
  <si>
    <t>伊仙町</t>
  </si>
  <si>
    <t>伊是名村</t>
  </si>
  <si>
    <t>4040木古内町</t>
  </si>
  <si>
    <t>410004</t>
  </si>
  <si>
    <t>0041-1</t>
  </si>
  <si>
    <t>北海道七飯町</t>
  </si>
  <si>
    <t>0041</t>
  </si>
  <si>
    <t>013375</t>
  </si>
  <si>
    <t>337</t>
  </si>
  <si>
    <t>七飯町</t>
  </si>
  <si>
    <t>013374</t>
  </si>
  <si>
    <t>塙町</t>
  </si>
  <si>
    <t>八千代町</t>
  </si>
  <si>
    <t>毛呂山町</t>
  </si>
  <si>
    <t>多古町</t>
  </si>
  <si>
    <t>東大和市</t>
  </si>
  <si>
    <t>天龍村</t>
  </si>
  <si>
    <t>武豊町</t>
  </si>
  <si>
    <t>守口市</t>
  </si>
  <si>
    <t>新温泉町</t>
  </si>
  <si>
    <t>水巻町</t>
  </si>
  <si>
    <t>五木村</t>
  </si>
  <si>
    <t>和泊町</t>
  </si>
  <si>
    <t>久米島町</t>
  </si>
  <si>
    <t>4141七飯町</t>
  </si>
  <si>
    <t>420000</t>
  </si>
  <si>
    <t>0042-1</t>
  </si>
  <si>
    <t>北海道鹿部町</t>
  </si>
  <si>
    <t>0042</t>
  </si>
  <si>
    <t>013433</t>
  </si>
  <si>
    <t>343</t>
  </si>
  <si>
    <t>鹿部町</t>
  </si>
  <si>
    <t>013439</t>
  </si>
  <si>
    <t>鮫川村</t>
  </si>
  <si>
    <t>五霞町</t>
  </si>
  <si>
    <t>越生町</t>
  </si>
  <si>
    <t>東庄町</t>
  </si>
  <si>
    <t>清瀬市</t>
  </si>
  <si>
    <t>泰阜村</t>
  </si>
  <si>
    <t>もとす広域連合</t>
  </si>
  <si>
    <t>幸田町</t>
  </si>
  <si>
    <t>門真市</t>
  </si>
  <si>
    <t>岡垣町</t>
  </si>
  <si>
    <t>山江村</t>
  </si>
  <si>
    <t>知名町</t>
  </si>
  <si>
    <t>八重瀬町</t>
  </si>
  <si>
    <t>4242鹿部町</t>
  </si>
  <si>
    <t>430005</t>
  </si>
  <si>
    <t>0043-1</t>
  </si>
  <si>
    <t>北海道森町</t>
  </si>
  <si>
    <t>0043</t>
  </si>
  <si>
    <t>013458</t>
  </si>
  <si>
    <t>345</t>
  </si>
  <si>
    <t>013455</t>
  </si>
  <si>
    <t>石川町</t>
  </si>
  <si>
    <t>境町</t>
  </si>
  <si>
    <t>滑川町</t>
  </si>
  <si>
    <t>九十九里町</t>
  </si>
  <si>
    <t>東久留米市</t>
  </si>
  <si>
    <t>喬木村</t>
  </si>
  <si>
    <t>瑞穂市</t>
  </si>
  <si>
    <t>知多北部広域連合</t>
  </si>
  <si>
    <t>四條畷市</t>
  </si>
  <si>
    <t>遠賀町</t>
  </si>
  <si>
    <t>球磨村</t>
  </si>
  <si>
    <t>与論町</t>
  </si>
  <si>
    <t>4343森町</t>
  </si>
  <si>
    <t>440001</t>
  </si>
  <si>
    <t>0044-1</t>
  </si>
  <si>
    <t>北海道八雲町</t>
  </si>
  <si>
    <t>0044</t>
  </si>
  <si>
    <t>013466</t>
  </si>
  <si>
    <t>346</t>
  </si>
  <si>
    <t>八雲町</t>
  </si>
  <si>
    <t>013463</t>
  </si>
  <si>
    <t>玉川村</t>
  </si>
  <si>
    <t>利根町</t>
  </si>
  <si>
    <t>嵐山町</t>
  </si>
  <si>
    <t>芝山町</t>
  </si>
  <si>
    <t>武蔵村山市</t>
  </si>
  <si>
    <t>豊丘村</t>
  </si>
  <si>
    <t>本巣市</t>
  </si>
  <si>
    <t>東海市</t>
  </si>
  <si>
    <t>小竹町</t>
  </si>
  <si>
    <t>あさぎり町</t>
  </si>
  <si>
    <t>4444八雲町</t>
  </si>
  <si>
    <t>450006</t>
  </si>
  <si>
    <t>0045-1</t>
  </si>
  <si>
    <t>北海道長万部町</t>
  </si>
  <si>
    <t>0045</t>
  </si>
  <si>
    <t>013474</t>
  </si>
  <si>
    <t>347</t>
  </si>
  <si>
    <t>長万部町</t>
  </si>
  <si>
    <t>013471</t>
  </si>
  <si>
    <t>平田村</t>
  </si>
  <si>
    <t>小川町</t>
  </si>
  <si>
    <t>横芝光町</t>
  </si>
  <si>
    <t>多摩市</t>
  </si>
  <si>
    <t>大鹿村</t>
  </si>
  <si>
    <t>北方町</t>
  </si>
  <si>
    <t>大府市</t>
  </si>
  <si>
    <t>鞍手町</t>
  </si>
  <si>
    <t>苓北町</t>
  </si>
  <si>
    <t>4545長万部町</t>
  </si>
  <si>
    <t>460001</t>
  </si>
  <si>
    <t>0046-1</t>
  </si>
  <si>
    <t>北海道江差町</t>
  </si>
  <si>
    <t>0046</t>
  </si>
  <si>
    <t>013615</t>
  </si>
  <si>
    <t>361</t>
  </si>
  <si>
    <t>江差町</t>
  </si>
  <si>
    <t>013617</t>
  </si>
  <si>
    <t>浅川町</t>
  </si>
  <si>
    <t>川島町</t>
  </si>
  <si>
    <t>一宮町</t>
  </si>
  <si>
    <t>稲城市</t>
  </si>
  <si>
    <t>麻績村</t>
  </si>
  <si>
    <t>知多市</t>
  </si>
  <si>
    <t>筑前町</t>
  </si>
  <si>
    <t>4646江差町</t>
  </si>
  <si>
    <t>470007</t>
  </si>
  <si>
    <t>0047-1</t>
  </si>
  <si>
    <t>北海道上ノ国町</t>
  </si>
  <si>
    <t>0047</t>
  </si>
  <si>
    <t>013623</t>
  </si>
  <si>
    <t>362</t>
  </si>
  <si>
    <t>上ノ国町</t>
  </si>
  <si>
    <t>013625</t>
  </si>
  <si>
    <t>古殿町</t>
  </si>
  <si>
    <t>吉見町</t>
  </si>
  <si>
    <t>睦沢町</t>
  </si>
  <si>
    <t>羽村市</t>
  </si>
  <si>
    <t>生坂村</t>
  </si>
  <si>
    <t>東浦町</t>
  </si>
  <si>
    <t>東峰村</t>
  </si>
  <si>
    <t>4747上ノ国町</t>
  </si>
  <si>
    <t>0048-1</t>
  </si>
  <si>
    <t>北海道厚沢部町</t>
  </si>
  <si>
    <t>0048</t>
  </si>
  <si>
    <t>013631</t>
  </si>
  <si>
    <t>363</t>
  </si>
  <si>
    <t>厚沢部町</t>
  </si>
  <si>
    <t>013633</t>
  </si>
  <si>
    <t>三春町</t>
  </si>
  <si>
    <t>鳩山町</t>
  </si>
  <si>
    <t>長生村</t>
  </si>
  <si>
    <t>あきる野市</t>
  </si>
  <si>
    <t>山形村</t>
  </si>
  <si>
    <t>東三河広域連合</t>
  </si>
  <si>
    <t>大刀洗町</t>
  </si>
  <si>
    <t>4848厚沢部町</t>
  </si>
  <si>
    <t>0049-1</t>
  </si>
  <si>
    <t>北海道乙部町</t>
  </si>
  <si>
    <t>0049</t>
  </si>
  <si>
    <t>013649</t>
  </si>
  <si>
    <t>364</t>
  </si>
  <si>
    <t>乙部町</t>
  </si>
  <si>
    <t>013641</t>
  </si>
  <si>
    <t>小野町</t>
  </si>
  <si>
    <t>ときがわ町</t>
  </si>
  <si>
    <t>白子町</t>
  </si>
  <si>
    <t>西東京市</t>
  </si>
  <si>
    <t>朝日村</t>
  </si>
  <si>
    <t>豊橋市</t>
  </si>
  <si>
    <t>大木町</t>
  </si>
  <si>
    <t>4949乙部町</t>
  </si>
  <si>
    <t>0050-1</t>
  </si>
  <si>
    <t>北海道奥尻町</t>
  </si>
  <si>
    <t>0050</t>
  </si>
  <si>
    <t>013672</t>
  </si>
  <si>
    <t>367</t>
  </si>
  <si>
    <t>奥尻町</t>
  </si>
  <si>
    <t>013676</t>
  </si>
  <si>
    <t>広野町</t>
  </si>
  <si>
    <t>横瀬町</t>
  </si>
  <si>
    <t>長柄町</t>
  </si>
  <si>
    <t>瑞穂町</t>
  </si>
  <si>
    <t>筑北村</t>
  </si>
  <si>
    <t>豊川市</t>
  </si>
  <si>
    <t>5050奥尻町</t>
  </si>
  <si>
    <t>0051-1</t>
  </si>
  <si>
    <t>北海道今金町</t>
  </si>
  <si>
    <t>0051</t>
  </si>
  <si>
    <t>013706</t>
  </si>
  <si>
    <t>370</t>
  </si>
  <si>
    <t>今金町</t>
  </si>
  <si>
    <t>楢葉町</t>
  </si>
  <si>
    <t>皆野町</t>
  </si>
  <si>
    <t>長南町</t>
  </si>
  <si>
    <t>日の出町</t>
  </si>
  <si>
    <t>坂城町</t>
  </si>
  <si>
    <t>蒲郡市</t>
  </si>
  <si>
    <t>桂川町</t>
  </si>
  <si>
    <t>5151今金町</t>
  </si>
  <si>
    <t>0052-1</t>
  </si>
  <si>
    <t>北海道せたな町</t>
  </si>
  <si>
    <t>0052</t>
  </si>
  <si>
    <t>013714</t>
  </si>
  <si>
    <t>371</t>
  </si>
  <si>
    <t>せたな町</t>
  </si>
  <si>
    <t>富岡町</t>
  </si>
  <si>
    <t>長瀞町</t>
  </si>
  <si>
    <t>大多喜町</t>
  </si>
  <si>
    <t>檜原村</t>
  </si>
  <si>
    <t>小布施町</t>
  </si>
  <si>
    <t>新城市</t>
  </si>
  <si>
    <t>香春町</t>
  </si>
  <si>
    <t>5252せたな町</t>
  </si>
  <si>
    <t>0053-1</t>
  </si>
  <si>
    <t>北海道寿都町</t>
  </si>
  <si>
    <t>0053</t>
  </si>
  <si>
    <t>013920</t>
  </si>
  <si>
    <t>392</t>
  </si>
  <si>
    <t>寿都町</t>
  </si>
  <si>
    <t>013927</t>
  </si>
  <si>
    <t>川内村</t>
  </si>
  <si>
    <t>小鹿野町</t>
  </si>
  <si>
    <t>御宿町</t>
  </si>
  <si>
    <t>奥多摩町</t>
  </si>
  <si>
    <t>田原市</t>
  </si>
  <si>
    <t>添田町</t>
  </si>
  <si>
    <t>5353寿都町</t>
  </si>
  <si>
    <t>0054-1</t>
  </si>
  <si>
    <t>北海道岩内町</t>
  </si>
  <si>
    <t>0054</t>
  </si>
  <si>
    <t>014027</t>
  </si>
  <si>
    <t>402</t>
  </si>
  <si>
    <t>岩内町</t>
  </si>
  <si>
    <t>014028</t>
  </si>
  <si>
    <t>大熊町</t>
  </si>
  <si>
    <t>東秩父村</t>
  </si>
  <si>
    <t>鋸南町</t>
  </si>
  <si>
    <t>大島町</t>
  </si>
  <si>
    <t>山ノ内町</t>
  </si>
  <si>
    <t>設楽町</t>
  </si>
  <si>
    <t>糸田町</t>
  </si>
  <si>
    <t>5454岩内町</t>
  </si>
  <si>
    <t>0055-1</t>
  </si>
  <si>
    <t>北海道余市町</t>
  </si>
  <si>
    <t>0055</t>
  </si>
  <si>
    <t>014084</t>
  </si>
  <si>
    <t>408</t>
  </si>
  <si>
    <t>余市町</t>
  </si>
  <si>
    <t>014087</t>
  </si>
  <si>
    <t>双葉町</t>
  </si>
  <si>
    <t>利島村</t>
  </si>
  <si>
    <t>木島平村</t>
  </si>
  <si>
    <t>東栄町</t>
  </si>
  <si>
    <t>5555余市町</t>
  </si>
  <si>
    <t>0056-1</t>
  </si>
  <si>
    <t>北海道南幌町</t>
  </si>
  <si>
    <t>0056</t>
  </si>
  <si>
    <t>014233</t>
  </si>
  <si>
    <t>423</t>
  </si>
  <si>
    <t>南幌町</t>
  </si>
  <si>
    <t>014231</t>
  </si>
  <si>
    <t>浪江町</t>
  </si>
  <si>
    <t>神川町</t>
  </si>
  <si>
    <t>新島村</t>
  </si>
  <si>
    <t>野沢温泉村</t>
  </si>
  <si>
    <t>豊根村</t>
  </si>
  <si>
    <t>大任町</t>
  </si>
  <si>
    <t>5656南幌町</t>
  </si>
  <si>
    <t>0057-1</t>
  </si>
  <si>
    <t>北海道由仁町</t>
  </si>
  <si>
    <t>0057</t>
  </si>
  <si>
    <t>014274</t>
  </si>
  <si>
    <t>427</t>
  </si>
  <si>
    <t>由仁町</t>
  </si>
  <si>
    <t>014273</t>
  </si>
  <si>
    <t>葛尾村</t>
  </si>
  <si>
    <t>上里町</t>
  </si>
  <si>
    <t>神津島村</t>
  </si>
  <si>
    <t>信濃町</t>
  </si>
  <si>
    <t>福智町</t>
  </si>
  <si>
    <t>5757由仁町</t>
  </si>
  <si>
    <t>0058-1</t>
  </si>
  <si>
    <t>北海道長沼町</t>
  </si>
  <si>
    <t>0058</t>
  </si>
  <si>
    <t>014282</t>
  </si>
  <si>
    <t>428</t>
  </si>
  <si>
    <t>長沼町</t>
  </si>
  <si>
    <t>014281</t>
  </si>
  <si>
    <t>新地町</t>
  </si>
  <si>
    <t>宮代町</t>
  </si>
  <si>
    <t>三宅村</t>
  </si>
  <si>
    <t>小川村</t>
  </si>
  <si>
    <t>赤村</t>
  </si>
  <si>
    <t>5858長沼町</t>
  </si>
  <si>
    <t>0059-1</t>
  </si>
  <si>
    <t>北海道栗山町</t>
  </si>
  <si>
    <t>0059</t>
  </si>
  <si>
    <t>014290</t>
  </si>
  <si>
    <t>429</t>
  </si>
  <si>
    <t>栗山町</t>
  </si>
  <si>
    <t>飯舘村</t>
  </si>
  <si>
    <t>杉戸町</t>
  </si>
  <si>
    <t>御蔵島村</t>
  </si>
  <si>
    <t>飯綱町</t>
  </si>
  <si>
    <t>吉富町</t>
  </si>
  <si>
    <t>5959栗山町</t>
  </si>
  <si>
    <t>0060-1</t>
  </si>
  <si>
    <t>北海道月形町</t>
  </si>
  <si>
    <t>0060</t>
  </si>
  <si>
    <t>014308</t>
  </si>
  <si>
    <t>430</t>
  </si>
  <si>
    <t>月形町</t>
  </si>
  <si>
    <t>014303</t>
  </si>
  <si>
    <t>松伏町</t>
  </si>
  <si>
    <t>八丈町</t>
  </si>
  <si>
    <t>栄村</t>
  </si>
  <si>
    <t>上毛町</t>
  </si>
  <si>
    <t>6060月形町</t>
  </si>
  <si>
    <t>0061-1</t>
  </si>
  <si>
    <t>北海道妹背牛町</t>
  </si>
  <si>
    <t>0061</t>
  </si>
  <si>
    <t>014332</t>
  </si>
  <si>
    <t>433</t>
  </si>
  <si>
    <t>妹背牛町</t>
  </si>
  <si>
    <t>014338</t>
  </si>
  <si>
    <t>大里広域市町村圏組合</t>
  </si>
  <si>
    <t>青ヶ島村</t>
  </si>
  <si>
    <t>北アルプス広域連合</t>
  </si>
  <si>
    <t>築上町</t>
  </si>
  <si>
    <t>6161妹背牛町</t>
  </si>
  <si>
    <t>0062-1</t>
  </si>
  <si>
    <t>北海道秩父別町</t>
  </si>
  <si>
    <t>0062</t>
  </si>
  <si>
    <t>014340</t>
  </si>
  <si>
    <t>434</t>
  </si>
  <si>
    <t>秩父別町</t>
  </si>
  <si>
    <t>014346</t>
  </si>
  <si>
    <t>熊谷市</t>
  </si>
  <si>
    <t>小笠原村</t>
  </si>
  <si>
    <t>大町市</t>
  </si>
  <si>
    <t>6262秩父別町</t>
  </si>
  <si>
    <t>0063-1</t>
  </si>
  <si>
    <t>北海道北竜町</t>
  </si>
  <si>
    <t>0063</t>
  </si>
  <si>
    <t>014373</t>
  </si>
  <si>
    <t>437</t>
  </si>
  <si>
    <t>北竜町</t>
  </si>
  <si>
    <t>014371</t>
  </si>
  <si>
    <t>深谷市</t>
  </si>
  <si>
    <t>6363北竜町</t>
  </si>
  <si>
    <t>0064-1</t>
  </si>
  <si>
    <t>北海道沼田町</t>
  </si>
  <si>
    <t>0064</t>
  </si>
  <si>
    <t>014381</t>
  </si>
  <si>
    <t>438</t>
  </si>
  <si>
    <t>沼田町</t>
  </si>
  <si>
    <t>014389</t>
  </si>
  <si>
    <t>寄居町</t>
  </si>
  <si>
    <t>松川村</t>
  </si>
  <si>
    <t>6464沼田町</t>
  </si>
  <si>
    <t>0065-1</t>
  </si>
  <si>
    <t>北海道幌加内町</t>
  </si>
  <si>
    <t>0065</t>
  </si>
  <si>
    <t>014399</t>
  </si>
  <si>
    <t>439</t>
  </si>
  <si>
    <t>幌加内町</t>
  </si>
  <si>
    <t>014729</t>
  </si>
  <si>
    <t>白馬村</t>
  </si>
  <si>
    <t>6565幌加内町</t>
  </si>
  <si>
    <t>0066-1</t>
  </si>
  <si>
    <t>北海道鷹栖町</t>
  </si>
  <si>
    <t>0066</t>
  </si>
  <si>
    <t>014522</t>
  </si>
  <si>
    <t>452</t>
  </si>
  <si>
    <t>鷹栖町</t>
  </si>
  <si>
    <t>014524</t>
  </si>
  <si>
    <t>小谷村</t>
  </si>
  <si>
    <t>6666鷹栖町</t>
  </si>
  <si>
    <t>0067-1</t>
  </si>
  <si>
    <t>北海道当麻町</t>
  </si>
  <si>
    <t>0067</t>
  </si>
  <si>
    <t>014548</t>
  </si>
  <si>
    <t>454</t>
  </si>
  <si>
    <t>当麻町</t>
  </si>
  <si>
    <t>014541</t>
  </si>
  <si>
    <t>木曽広域連合</t>
  </si>
  <si>
    <t>6767当麻町</t>
  </si>
  <si>
    <t>0068-1</t>
  </si>
  <si>
    <t>北海道比布町</t>
  </si>
  <si>
    <t>0068</t>
  </si>
  <si>
    <t>014555</t>
  </si>
  <si>
    <t>455</t>
  </si>
  <si>
    <t>比布町</t>
  </si>
  <si>
    <t>014559</t>
  </si>
  <si>
    <t>木曽町</t>
  </si>
  <si>
    <t>6868比布町</t>
  </si>
  <si>
    <t>0069-1</t>
  </si>
  <si>
    <t>北海道愛別町</t>
  </si>
  <si>
    <t>0069</t>
  </si>
  <si>
    <t>014563</t>
  </si>
  <si>
    <t>456</t>
  </si>
  <si>
    <t>愛別町</t>
  </si>
  <si>
    <t>014567</t>
  </si>
  <si>
    <t>上松町</t>
  </si>
  <si>
    <t>6969愛別町</t>
  </si>
  <si>
    <t>0070-1</t>
  </si>
  <si>
    <t>北海道上川町</t>
  </si>
  <si>
    <t>0070</t>
  </si>
  <si>
    <t>014571</t>
  </si>
  <si>
    <t>457</t>
  </si>
  <si>
    <t>上川町</t>
  </si>
  <si>
    <t>014575</t>
  </si>
  <si>
    <t>南木曽町</t>
  </si>
  <si>
    <t>7070上川町</t>
  </si>
  <si>
    <t>0071-1</t>
  </si>
  <si>
    <t>北海道上富良野町</t>
  </si>
  <si>
    <t>0071</t>
  </si>
  <si>
    <t>014605</t>
  </si>
  <si>
    <t>460</t>
  </si>
  <si>
    <t>上富良野町</t>
  </si>
  <si>
    <t>木祖村</t>
  </si>
  <si>
    <t>7171上富良野町</t>
  </si>
  <si>
    <t>0072-1</t>
  </si>
  <si>
    <t>北海道中富良野町</t>
  </si>
  <si>
    <t>0072</t>
  </si>
  <si>
    <t>014613</t>
  </si>
  <si>
    <t>461</t>
  </si>
  <si>
    <t>中富良野町</t>
  </si>
  <si>
    <t>王滝村</t>
  </si>
  <si>
    <t>7272中富良野町</t>
  </si>
  <si>
    <t>0073-1</t>
  </si>
  <si>
    <t>北海道南富良野町</t>
  </si>
  <si>
    <t>0073</t>
  </si>
  <si>
    <t>014621</t>
  </si>
  <si>
    <t>462</t>
  </si>
  <si>
    <t>南富良野町</t>
  </si>
  <si>
    <t>大桑村</t>
  </si>
  <si>
    <t>7373南富良野町</t>
  </si>
  <si>
    <t>0074-1</t>
  </si>
  <si>
    <t>北海道占冠村</t>
  </si>
  <si>
    <t>0074</t>
  </si>
  <si>
    <t>014639</t>
  </si>
  <si>
    <t>463</t>
  </si>
  <si>
    <t>占冠村</t>
  </si>
  <si>
    <t>014630</t>
  </si>
  <si>
    <t>諏訪広域連合</t>
  </si>
  <si>
    <t>7474占冠村</t>
  </si>
  <si>
    <t>0075-1</t>
  </si>
  <si>
    <t>北海道和寒町</t>
  </si>
  <si>
    <t>0075</t>
  </si>
  <si>
    <t>014647</t>
  </si>
  <si>
    <t>464</t>
  </si>
  <si>
    <t>和寒町</t>
  </si>
  <si>
    <t>014648</t>
  </si>
  <si>
    <t>岡谷市</t>
  </si>
  <si>
    <t>7575和寒町</t>
  </si>
  <si>
    <t>0076-1</t>
  </si>
  <si>
    <t>北海道剣淵町</t>
  </si>
  <si>
    <t>0076</t>
  </si>
  <si>
    <t>014654</t>
  </si>
  <si>
    <t>465</t>
  </si>
  <si>
    <t>剣淵町</t>
  </si>
  <si>
    <t>014656</t>
  </si>
  <si>
    <t>諏訪市</t>
  </si>
  <si>
    <t>7676剣淵町</t>
  </si>
  <si>
    <t>0077-1</t>
  </si>
  <si>
    <t>北海道下川町</t>
  </si>
  <si>
    <t>0077</t>
  </si>
  <si>
    <t>014688</t>
  </si>
  <si>
    <t>468</t>
  </si>
  <si>
    <t>下川町</t>
  </si>
  <si>
    <t>014681</t>
  </si>
  <si>
    <t>茅野市</t>
  </si>
  <si>
    <t>7777下川町</t>
  </si>
  <si>
    <t>0078-1</t>
  </si>
  <si>
    <t>北海道美深町</t>
  </si>
  <si>
    <t>0078</t>
  </si>
  <si>
    <t>014696</t>
  </si>
  <si>
    <t>469</t>
  </si>
  <si>
    <t>美深町</t>
  </si>
  <si>
    <t>014699</t>
  </si>
  <si>
    <t>下諏訪町</t>
  </si>
  <si>
    <t>7878美深町</t>
  </si>
  <si>
    <t>0079-1</t>
  </si>
  <si>
    <t>北海道音威子府村</t>
  </si>
  <si>
    <t>0079</t>
  </si>
  <si>
    <t>014704</t>
  </si>
  <si>
    <t>470</t>
  </si>
  <si>
    <t>音威子府村</t>
  </si>
  <si>
    <t>014702</t>
  </si>
  <si>
    <t>富士見町</t>
  </si>
  <si>
    <t>7979音威子府村</t>
  </si>
  <si>
    <t>0080-1</t>
  </si>
  <si>
    <t>北海道中川町</t>
  </si>
  <si>
    <t>0080</t>
  </si>
  <si>
    <t>014712</t>
  </si>
  <si>
    <t>471</t>
  </si>
  <si>
    <t>中川町</t>
  </si>
  <si>
    <t>014711</t>
  </si>
  <si>
    <t>原村</t>
  </si>
  <si>
    <t>8080中川町</t>
  </si>
  <si>
    <t>0081-1</t>
  </si>
  <si>
    <t>北海道増毛町</t>
  </si>
  <si>
    <t>0081</t>
  </si>
  <si>
    <t>014811</t>
  </si>
  <si>
    <t>481</t>
  </si>
  <si>
    <t>増毛町</t>
  </si>
  <si>
    <t>014818</t>
  </si>
  <si>
    <t>8181増毛町</t>
  </si>
  <si>
    <t>0082-1</t>
  </si>
  <si>
    <t>北海道小平町</t>
  </si>
  <si>
    <t>0082</t>
  </si>
  <si>
    <t>014829</t>
  </si>
  <si>
    <t>482</t>
  </si>
  <si>
    <t>小平町</t>
  </si>
  <si>
    <t>014826</t>
  </si>
  <si>
    <t>8282小平町</t>
  </si>
  <si>
    <t>0083-1</t>
  </si>
  <si>
    <t>北海道苫前町</t>
  </si>
  <si>
    <t>0083</t>
  </si>
  <si>
    <t>014837</t>
  </si>
  <si>
    <t>483</t>
  </si>
  <si>
    <t>苫前町</t>
  </si>
  <si>
    <t>014834</t>
  </si>
  <si>
    <t>8383苫前町</t>
  </si>
  <si>
    <t>0084-1</t>
  </si>
  <si>
    <t>北海道羽幌町</t>
  </si>
  <si>
    <t>0084</t>
  </si>
  <si>
    <t>014845</t>
  </si>
  <si>
    <t>484</t>
  </si>
  <si>
    <t>羽幌町</t>
  </si>
  <si>
    <t>014842</t>
  </si>
  <si>
    <t>8484羽幌町</t>
  </si>
  <si>
    <t>0085-1</t>
  </si>
  <si>
    <t>北海道初山別村</t>
  </si>
  <si>
    <t>0085</t>
  </si>
  <si>
    <t>014852</t>
  </si>
  <si>
    <t>485</t>
  </si>
  <si>
    <t>初山別村</t>
  </si>
  <si>
    <t>014851</t>
  </si>
  <si>
    <t>8585初山別村</t>
  </si>
  <si>
    <t>0086-1</t>
  </si>
  <si>
    <t>北海道遠別町</t>
  </si>
  <si>
    <t>0086</t>
  </si>
  <si>
    <t>014860</t>
  </si>
  <si>
    <t>486</t>
  </si>
  <si>
    <t>遠別町</t>
  </si>
  <si>
    <t>014869</t>
  </si>
  <si>
    <t>8686遠別町</t>
  </si>
  <si>
    <t>0087-1</t>
  </si>
  <si>
    <t>北海道天塩町</t>
  </si>
  <si>
    <t>0087</t>
  </si>
  <si>
    <t>014878</t>
  </si>
  <si>
    <t>487</t>
  </si>
  <si>
    <t>天塩町</t>
  </si>
  <si>
    <t>014877</t>
  </si>
  <si>
    <t>8787天塩町</t>
  </si>
  <si>
    <t>0088-1</t>
  </si>
  <si>
    <t>北海道猿払村</t>
  </si>
  <si>
    <t>0088</t>
  </si>
  <si>
    <t>015115</t>
  </si>
  <si>
    <t>511</t>
  </si>
  <si>
    <t>猿払村</t>
  </si>
  <si>
    <t>015113</t>
  </si>
  <si>
    <t>8888猿払村</t>
  </si>
  <si>
    <t>0089-1</t>
  </si>
  <si>
    <t>北海道浜頓別町</t>
  </si>
  <si>
    <t>0089</t>
  </si>
  <si>
    <t>015123</t>
  </si>
  <si>
    <t>512</t>
  </si>
  <si>
    <t>浜頓別町</t>
  </si>
  <si>
    <t>015121</t>
  </si>
  <si>
    <t>8989浜頓別町</t>
  </si>
  <si>
    <t>0090-1</t>
  </si>
  <si>
    <t>北海道中頓別町</t>
  </si>
  <si>
    <t>0090</t>
  </si>
  <si>
    <t>015131</t>
  </si>
  <si>
    <t>513</t>
  </si>
  <si>
    <t>中頓別町</t>
  </si>
  <si>
    <t>015130</t>
  </si>
  <si>
    <t>9090中頓別町</t>
  </si>
  <si>
    <t>0091-1</t>
  </si>
  <si>
    <t>北海道枝幸町</t>
  </si>
  <si>
    <t>0091</t>
  </si>
  <si>
    <t>015149</t>
  </si>
  <si>
    <t>514</t>
  </si>
  <si>
    <t>枝幸町</t>
  </si>
  <si>
    <t>015148</t>
  </si>
  <si>
    <t>9191枝幸町</t>
  </si>
  <si>
    <t>0092-1</t>
  </si>
  <si>
    <t>北海道豊富町</t>
  </si>
  <si>
    <t>0092</t>
  </si>
  <si>
    <t>015164</t>
  </si>
  <si>
    <t>516</t>
  </si>
  <si>
    <t>豊富町</t>
  </si>
  <si>
    <t>9292豊富町</t>
  </si>
  <si>
    <t>0093-1</t>
  </si>
  <si>
    <t>北海道礼文町</t>
  </si>
  <si>
    <t>0093</t>
  </si>
  <si>
    <t>015172</t>
  </si>
  <si>
    <t>517</t>
  </si>
  <si>
    <t>礼文町</t>
  </si>
  <si>
    <t>9393礼文町</t>
  </si>
  <si>
    <t>0094-1</t>
  </si>
  <si>
    <t>北海道利尻町</t>
  </si>
  <si>
    <t>0094</t>
  </si>
  <si>
    <t>015180</t>
  </si>
  <si>
    <t>518</t>
  </si>
  <si>
    <t>利尻町</t>
  </si>
  <si>
    <t>015181</t>
  </si>
  <si>
    <t>9494利尻町</t>
  </si>
  <si>
    <t>0095-1</t>
  </si>
  <si>
    <t>北海道利尻富士町</t>
  </si>
  <si>
    <t>0095</t>
  </si>
  <si>
    <t>015198</t>
  </si>
  <si>
    <t>519</t>
  </si>
  <si>
    <t>利尻富士町</t>
  </si>
  <si>
    <t>015199</t>
  </si>
  <si>
    <t>9595利尻富士町</t>
  </si>
  <si>
    <t>0096-1</t>
  </si>
  <si>
    <t>北海道幌延町</t>
  </si>
  <si>
    <t>0096</t>
  </si>
  <si>
    <t>015206</t>
  </si>
  <si>
    <t>520</t>
  </si>
  <si>
    <t>幌延町</t>
  </si>
  <si>
    <t>015202</t>
  </si>
  <si>
    <t>9696幌延町</t>
  </si>
  <si>
    <t>0097-1</t>
  </si>
  <si>
    <t>北海道美幌町</t>
  </si>
  <si>
    <t>0097</t>
  </si>
  <si>
    <t>015438</t>
  </si>
  <si>
    <t>543</t>
  </si>
  <si>
    <t>美幌町</t>
  </si>
  <si>
    <t>015431</t>
  </si>
  <si>
    <t>9797美幌町</t>
  </si>
  <si>
    <t>0098-1</t>
  </si>
  <si>
    <t>北海道津別町</t>
  </si>
  <si>
    <t>0098</t>
  </si>
  <si>
    <t>015446</t>
  </si>
  <si>
    <t>544</t>
  </si>
  <si>
    <t>津別町</t>
  </si>
  <si>
    <t>015440</t>
  </si>
  <si>
    <t>9898津別町</t>
  </si>
  <si>
    <t>0099-1</t>
  </si>
  <si>
    <t>北海道斜里町</t>
  </si>
  <si>
    <t>0099</t>
  </si>
  <si>
    <t>015453</t>
  </si>
  <si>
    <t>545</t>
  </si>
  <si>
    <t>斜里町</t>
  </si>
  <si>
    <t>015458</t>
  </si>
  <si>
    <t>9999斜里町</t>
  </si>
  <si>
    <t>0100-1</t>
  </si>
  <si>
    <t>北海道清里町</t>
  </si>
  <si>
    <t>0100</t>
  </si>
  <si>
    <t>015461</t>
  </si>
  <si>
    <t>546</t>
  </si>
  <si>
    <t>清里町</t>
  </si>
  <si>
    <t>015466</t>
  </si>
  <si>
    <t>100100清里町</t>
  </si>
  <si>
    <t>0101-1</t>
  </si>
  <si>
    <t>北海道小清水町</t>
  </si>
  <si>
    <t>0101</t>
  </si>
  <si>
    <t>015479</t>
  </si>
  <si>
    <t>547</t>
  </si>
  <si>
    <t>小清水町</t>
  </si>
  <si>
    <t>015474</t>
  </si>
  <si>
    <t>101101小清水町</t>
  </si>
  <si>
    <t>0102-1</t>
  </si>
  <si>
    <t>北海道訓子府町</t>
  </si>
  <si>
    <t>0102</t>
  </si>
  <si>
    <t>015495</t>
  </si>
  <si>
    <t>549</t>
  </si>
  <si>
    <t>訓子府町</t>
  </si>
  <si>
    <t>015491</t>
  </si>
  <si>
    <t>102102訓子府町</t>
  </si>
  <si>
    <t>0103-1</t>
  </si>
  <si>
    <t>北海道置戸町</t>
  </si>
  <si>
    <t>0103</t>
  </si>
  <si>
    <t>015503</t>
  </si>
  <si>
    <t>550</t>
  </si>
  <si>
    <t>置戸町</t>
  </si>
  <si>
    <t>015504</t>
  </si>
  <si>
    <t>103103置戸町</t>
  </si>
  <si>
    <t>0104-1</t>
  </si>
  <si>
    <t>北海道佐呂間町</t>
  </si>
  <si>
    <t>0104</t>
  </si>
  <si>
    <t>015529</t>
  </si>
  <si>
    <t>552</t>
  </si>
  <si>
    <t>佐呂間町</t>
  </si>
  <si>
    <t>015521</t>
  </si>
  <si>
    <t>104104佐呂間町</t>
  </si>
  <si>
    <t>0105-1</t>
  </si>
  <si>
    <t>北海道遠軽町</t>
  </si>
  <si>
    <t>0105</t>
  </si>
  <si>
    <t>015552</t>
  </si>
  <si>
    <t>555</t>
  </si>
  <si>
    <t>遠軽町</t>
  </si>
  <si>
    <t>015555</t>
  </si>
  <si>
    <t>105105遠軽町</t>
  </si>
  <si>
    <t>0106-1</t>
  </si>
  <si>
    <t>北海道湧別町</t>
  </si>
  <si>
    <t>0106</t>
  </si>
  <si>
    <t>015594</t>
  </si>
  <si>
    <t>559</t>
  </si>
  <si>
    <t>湧別町</t>
  </si>
  <si>
    <t>015598</t>
  </si>
  <si>
    <t>106106湧別町</t>
  </si>
  <si>
    <t>0107-1</t>
  </si>
  <si>
    <t>北海道滝上町</t>
  </si>
  <si>
    <t>0107</t>
  </si>
  <si>
    <t>015602</t>
  </si>
  <si>
    <t>560</t>
  </si>
  <si>
    <t>滝上町</t>
  </si>
  <si>
    <t>015601</t>
  </si>
  <si>
    <t>107107滝上町</t>
  </si>
  <si>
    <t>0108-1</t>
  </si>
  <si>
    <t>北海道興部町</t>
  </si>
  <si>
    <t>0108</t>
  </si>
  <si>
    <t>015610</t>
  </si>
  <si>
    <t>561</t>
  </si>
  <si>
    <t>興部町</t>
  </si>
  <si>
    <t>108108興部町</t>
  </si>
  <si>
    <t>0109-1</t>
  </si>
  <si>
    <t>北海道西興部村</t>
  </si>
  <si>
    <t>0109</t>
  </si>
  <si>
    <t>015628</t>
  </si>
  <si>
    <t>562</t>
  </si>
  <si>
    <t>西興部村</t>
  </si>
  <si>
    <t>109109西興部村</t>
  </si>
  <si>
    <t>0110-1</t>
  </si>
  <si>
    <t>北海道雄武町</t>
  </si>
  <si>
    <t>0110</t>
  </si>
  <si>
    <t>015636</t>
  </si>
  <si>
    <t>563</t>
  </si>
  <si>
    <t>雄武町</t>
  </si>
  <si>
    <t>110110雄武町</t>
  </si>
  <si>
    <t>0111-1</t>
  </si>
  <si>
    <t>北海道大空町</t>
  </si>
  <si>
    <t>0111</t>
  </si>
  <si>
    <t>015644</t>
  </si>
  <si>
    <t>564</t>
  </si>
  <si>
    <t>大空町</t>
  </si>
  <si>
    <t>111111大空町</t>
  </si>
  <si>
    <t>0112-1</t>
  </si>
  <si>
    <t>北海道豊浦町</t>
  </si>
  <si>
    <t>0112</t>
  </si>
  <si>
    <t>015719</t>
  </si>
  <si>
    <t>571</t>
  </si>
  <si>
    <t>豊浦町</t>
  </si>
  <si>
    <t>015717</t>
  </si>
  <si>
    <t>112112豊浦町</t>
  </si>
  <si>
    <t>0113-1</t>
  </si>
  <si>
    <t>北海道壮瞥町</t>
  </si>
  <si>
    <t>0113</t>
  </si>
  <si>
    <t>015750</t>
  </si>
  <si>
    <t>575</t>
  </si>
  <si>
    <t>壮瞥町</t>
  </si>
  <si>
    <t>113113壮瞥町</t>
  </si>
  <si>
    <t>0114-1</t>
  </si>
  <si>
    <t>北海道白老町</t>
  </si>
  <si>
    <t>0114</t>
  </si>
  <si>
    <t>015784</t>
  </si>
  <si>
    <t>578</t>
  </si>
  <si>
    <t>白老町</t>
  </si>
  <si>
    <t>114114白老町</t>
  </si>
  <si>
    <t>0115-1</t>
  </si>
  <si>
    <t>北海道厚真町</t>
  </si>
  <si>
    <t>0115</t>
  </si>
  <si>
    <t>015818</t>
  </si>
  <si>
    <t>581</t>
  </si>
  <si>
    <t>厚真町</t>
  </si>
  <si>
    <t>015814</t>
  </si>
  <si>
    <t>115115厚真町</t>
  </si>
  <si>
    <t>0116-1</t>
  </si>
  <si>
    <t>北海道洞爺湖町</t>
  </si>
  <si>
    <t>0116</t>
  </si>
  <si>
    <t>015842</t>
  </si>
  <si>
    <t>584</t>
  </si>
  <si>
    <t>洞爺湖町</t>
  </si>
  <si>
    <t>015849</t>
  </si>
  <si>
    <t>116116洞爺湖町</t>
  </si>
  <si>
    <t>0117-1</t>
  </si>
  <si>
    <t>北海道安平町</t>
  </si>
  <si>
    <t>0117</t>
  </si>
  <si>
    <t>015859</t>
  </si>
  <si>
    <t>585</t>
  </si>
  <si>
    <t>安平町</t>
  </si>
  <si>
    <t>015857</t>
  </si>
  <si>
    <t>117117安平町</t>
  </si>
  <si>
    <t>0118-1</t>
  </si>
  <si>
    <t>北海道むかわ町</t>
  </si>
  <si>
    <t>0118</t>
  </si>
  <si>
    <t>015867</t>
  </si>
  <si>
    <t>586</t>
  </si>
  <si>
    <t>むかわ町</t>
  </si>
  <si>
    <t>015865</t>
  </si>
  <si>
    <t>118118むかわ町</t>
  </si>
  <si>
    <t>0119-1</t>
  </si>
  <si>
    <t>北海道日高町</t>
  </si>
  <si>
    <t>0119</t>
  </si>
  <si>
    <t>016014</t>
  </si>
  <si>
    <t>601</t>
  </si>
  <si>
    <t>016012</t>
  </si>
  <si>
    <t>119119日高町</t>
  </si>
  <si>
    <t>0120-1</t>
  </si>
  <si>
    <t>北海道平取町</t>
  </si>
  <si>
    <t>0120</t>
  </si>
  <si>
    <t>016022</t>
  </si>
  <si>
    <t>602</t>
  </si>
  <si>
    <t>平取町</t>
  </si>
  <si>
    <t>016021</t>
  </si>
  <si>
    <t>120120平取町</t>
  </si>
  <si>
    <t>0121-1</t>
  </si>
  <si>
    <t>北海道浦河町</t>
  </si>
  <si>
    <t>0121</t>
  </si>
  <si>
    <t>016071</t>
  </si>
  <si>
    <t>607</t>
  </si>
  <si>
    <t>浦河町</t>
  </si>
  <si>
    <t>121121浦河町</t>
  </si>
  <si>
    <t>0122-1</t>
  </si>
  <si>
    <t>北海道様似町</t>
  </si>
  <si>
    <t>0122</t>
  </si>
  <si>
    <t>016089</t>
  </si>
  <si>
    <t>608</t>
  </si>
  <si>
    <t>様似町</t>
  </si>
  <si>
    <t>016080</t>
  </si>
  <si>
    <t>122122様似町</t>
  </si>
  <si>
    <t>0123-1</t>
  </si>
  <si>
    <t>北海道えりも町</t>
  </si>
  <si>
    <t>0123</t>
  </si>
  <si>
    <t>016097</t>
  </si>
  <si>
    <t>609</t>
  </si>
  <si>
    <t>えりも町</t>
  </si>
  <si>
    <t>016098</t>
  </si>
  <si>
    <t>123123えりも町</t>
  </si>
  <si>
    <t>0124-1</t>
  </si>
  <si>
    <t>北海道音更町</t>
  </si>
  <si>
    <t>0124</t>
  </si>
  <si>
    <t>016311</t>
  </si>
  <si>
    <t>631</t>
  </si>
  <si>
    <t>音更町</t>
  </si>
  <si>
    <t>016314</t>
  </si>
  <si>
    <t>124124音更町</t>
  </si>
  <si>
    <t>0125-1</t>
  </si>
  <si>
    <t>北海道士幌町</t>
  </si>
  <si>
    <t>0125</t>
  </si>
  <si>
    <t>016329</t>
  </si>
  <si>
    <t>632</t>
  </si>
  <si>
    <t>士幌町</t>
  </si>
  <si>
    <t>016322</t>
  </si>
  <si>
    <t>125125士幌町</t>
  </si>
  <si>
    <t>0126-1</t>
  </si>
  <si>
    <t>北海道上士幌町</t>
  </si>
  <si>
    <t>0126</t>
  </si>
  <si>
    <t>016337</t>
  </si>
  <si>
    <t>633</t>
  </si>
  <si>
    <t>上士幌町</t>
  </si>
  <si>
    <t>016331</t>
  </si>
  <si>
    <t>126126上士幌町</t>
  </si>
  <si>
    <t>0127-1</t>
  </si>
  <si>
    <t>北海道鹿追町</t>
  </si>
  <si>
    <t>0127</t>
  </si>
  <si>
    <t>016345</t>
  </si>
  <si>
    <t>634</t>
  </si>
  <si>
    <t>鹿追町</t>
  </si>
  <si>
    <t>016349</t>
  </si>
  <si>
    <t>127127鹿追町</t>
  </si>
  <si>
    <t>0128-1</t>
  </si>
  <si>
    <t>北海道新得町</t>
  </si>
  <si>
    <t>0128</t>
  </si>
  <si>
    <t>016352</t>
  </si>
  <si>
    <t>635</t>
  </si>
  <si>
    <t>新得町</t>
  </si>
  <si>
    <t>016357</t>
  </si>
  <si>
    <t>128128新得町</t>
  </si>
  <si>
    <t>0129-1</t>
  </si>
  <si>
    <t>北海道清水町</t>
  </si>
  <si>
    <t>0129</t>
  </si>
  <si>
    <t>016360</t>
  </si>
  <si>
    <t>636</t>
  </si>
  <si>
    <t>016365</t>
  </si>
  <si>
    <t>129129清水町</t>
  </si>
  <si>
    <t>0130-1</t>
  </si>
  <si>
    <t>北海道芽室町</t>
  </si>
  <si>
    <t>0130</t>
  </si>
  <si>
    <t>016378</t>
  </si>
  <si>
    <t>637</t>
  </si>
  <si>
    <t>芽室町</t>
  </si>
  <si>
    <t>016373</t>
  </si>
  <si>
    <t>130130芽室町</t>
  </si>
  <si>
    <t>0131-1</t>
  </si>
  <si>
    <t>北海道中札内村</t>
  </si>
  <si>
    <t>0131</t>
  </si>
  <si>
    <t>016386</t>
  </si>
  <si>
    <t>638</t>
  </si>
  <si>
    <t>中札内村</t>
  </si>
  <si>
    <t>016381</t>
  </si>
  <si>
    <t>131131中札内村</t>
  </si>
  <si>
    <t>0132-1</t>
  </si>
  <si>
    <t>北海道更別村</t>
  </si>
  <si>
    <t>0132</t>
  </si>
  <si>
    <t>016394</t>
  </si>
  <si>
    <t>639</t>
  </si>
  <si>
    <t>更別村</t>
  </si>
  <si>
    <t>016390</t>
  </si>
  <si>
    <t>132132更別村</t>
  </si>
  <si>
    <t>0133-1</t>
  </si>
  <si>
    <t>北海道大樹町</t>
  </si>
  <si>
    <t>0133</t>
  </si>
  <si>
    <t>016410</t>
  </si>
  <si>
    <t>641</t>
  </si>
  <si>
    <t>大樹町</t>
  </si>
  <si>
    <t>016411</t>
  </si>
  <si>
    <t>133133大樹町</t>
  </si>
  <si>
    <t>0134-1</t>
  </si>
  <si>
    <t>北海道広尾町</t>
  </si>
  <si>
    <t>0134</t>
  </si>
  <si>
    <t>016428</t>
  </si>
  <si>
    <t>642</t>
  </si>
  <si>
    <t>広尾町</t>
  </si>
  <si>
    <t>016420</t>
  </si>
  <si>
    <t>134134広尾町</t>
  </si>
  <si>
    <t>0135-1</t>
  </si>
  <si>
    <t>北海道幕別町</t>
  </si>
  <si>
    <t>0135</t>
  </si>
  <si>
    <t>016436</t>
  </si>
  <si>
    <t>643</t>
  </si>
  <si>
    <t>幕別町</t>
  </si>
  <si>
    <t>016438</t>
  </si>
  <si>
    <t>135135幕別町</t>
  </si>
  <si>
    <t>0136-1</t>
  </si>
  <si>
    <t>北海道池田町</t>
  </si>
  <si>
    <t>0136</t>
  </si>
  <si>
    <t>016444</t>
  </si>
  <si>
    <t>644</t>
  </si>
  <si>
    <t>016446</t>
  </si>
  <si>
    <t>136136池田町</t>
  </si>
  <si>
    <t>0137-1</t>
  </si>
  <si>
    <t>北海道豊頃町</t>
  </si>
  <si>
    <t>0137</t>
  </si>
  <si>
    <t>016451</t>
  </si>
  <si>
    <t>645</t>
  </si>
  <si>
    <t>豊頃町</t>
  </si>
  <si>
    <t>016454</t>
  </si>
  <si>
    <t>137137豊頃町</t>
  </si>
  <si>
    <t>0138-1</t>
  </si>
  <si>
    <t>北海道本別町</t>
  </si>
  <si>
    <t>0138</t>
  </si>
  <si>
    <t>016469</t>
  </si>
  <si>
    <t>646</t>
  </si>
  <si>
    <t>本別町</t>
  </si>
  <si>
    <t>016462</t>
  </si>
  <si>
    <t>138138本別町</t>
  </si>
  <si>
    <t>0139-1</t>
  </si>
  <si>
    <t>北海道足寄町</t>
  </si>
  <si>
    <t>0139</t>
  </si>
  <si>
    <t>016477</t>
  </si>
  <si>
    <t>647</t>
  </si>
  <si>
    <t>足寄町</t>
  </si>
  <si>
    <t>016471</t>
  </si>
  <si>
    <t>139139足寄町</t>
  </si>
  <si>
    <t>0140-1</t>
  </si>
  <si>
    <t>北海道陸別町</t>
  </si>
  <si>
    <t>0140</t>
  </si>
  <si>
    <t>016485</t>
  </si>
  <si>
    <t>648</t>
  </si>
  <si>
    <t>陸別町</t>
  </si>
  <si>
    <t>016489</t>
  </si>
  <si>
    <t>140140陸別町</t>
  </si>
  <si>
    <t>0141-1</t>
  </si>
  <si>
    <t>北海道浦幌町</t>
  </si>
  <si>
    <t>0141</t>
  </si>
  <si>
    <t>016493</t>
  </si>
  <si>
    <t>649</t>
  </si>
  <si>
    <t>浦幌町</t>
  </si>
  <si>
    <t>016497</t>
  </si>
  <si>
    <t>141141浦幌町</t>
  </si>
  <si>
    <t>0142-1</t>
  </si>
  <si>
    <t>北海道釧路町</t>
  </si>
  <si>
    <t>0142</t>
  </si>
  <si>
    <t>016618</t>
  </si>
  <si>
    <t>661</t>
  </si>
  <si>
    <t>釧路町</t>
  </si>
  <si>
    <t>016616</t>
  </si>
  <si>
    <t>142142釧路町</t>
  </si>
  <si>
    <t>0143-1</t>
  </si>
  <si>
    <t>北海道厚岸町</t>
  </si>
  <si>
    <t>0143</t>
  </si>
  <si>
    <t>016626</t>
  </si>
  <si>
    <t>662</t>
  </si>
  <si>
    <t>厚岸町</t>
  </si>
  <si>
    <t>016624</t>
  </si>
  <si>
    <t>143143厚岸町</t>
  </si>
  <si>
    <t>0144-1</t>
  </si>
  <si>
    <t>北海道浜中町</t>
  </si>
  <si>
    <t>0144</t>
  </si>
  <si>
    <t>016634</t>
  </si>
  <si>
    <t>663</t>
  </si>
  <si>
    <t>浜中町</t>
  </si>
  <si>
    <t>016632</t>
  </si>
  <si>
    <t>144144浜中町</t>
  </si>
  <si>
    <t>0145-1</t>
  </si>
  <si>
    <t>北海道標茶町</t>
  </si>
  <si>
    <t>0145</t>
  </si>
  <si>
    <t>016642</t>
  </si>
  <si>
    <t>664</t>
  </si>
  <si>
    <t>標茶町</t>
  </si>
  <si>
    <t>016641</t>
  </si>
  <si>
    <t>145145標茶町</t>
  </si>
  <si>
    <t>0146-1</t>
  </si>
  <si>
    <t>北海道弟子屈町</t>
  </si>
  <si>
    <t>0146</t>
  </si>
  <si>
    <t>016659</t>
  </si>
  <si>
    <t>665</t>
  </si>
  <si>
    <t>弟子屈町</t>
  </si>
  <si>
    <t>146146弟子屈町</t>
  </si>
  <si>
    <t>0147-1</t>
  </si>
  <si>
    <t>北海道鶴居村</t>
  </si>
  <si>
    <t>0147</t>
  </si>
  <si>
    <t>016675</t>
  </si>
  <si>
    <t>667</t>
  </si>
  <si>
    <t>鶴居村</t>
  </si>
  <si>
    <t>147147鶴居村</t>
  </si>
  <si>
    <t>0148-1</t>
  </si>
  <si>
    <t>北海道白糠町</t>
  </si>
  <si>
    <t>0148</t>
  </si>
  <si>
    <t>016683</t>
  </si>
  <si>
    <t>668</t>
  </si>
  <si>
    <t>白糠町</t>
  </si>
  <si>
    <t>148148白糠町</t>
  </si>
  <si>
    <t>0149-1</t>
  </si>
  <si>
    <t>北海道別海町</t>
  </si>
  <si>
    <t>0149</t>
  </si>
  <si>
    <t>016915</t>
  </si>
  <si>
    <t>691</t>
  </si>
  <si>
    <t>別海町</t>
  </si>
  <si>
    <t>016918</t>
  </si>
  <si>
    <t>149149別海町</t>
  </si>
  <si>
    <t>0150-1</t>
  </si>
  <si>
    <t>北海道中標津町</t>
  </si>
  <si>
    <t>0150</t>
  </si>
  <si>
    <t>016923</t>
  </si>
  <si>
    <t>692</t>
  </si>
  <si>
    <t>中標津町</t>
  </si>
  <si>
    <t>016926</t>
  </si>
  <si>
    <t>150150中標津町</t>
  </si>
  <si>
    <t>0151-1</t>
  </si>
  <si>
    <t>北海道標津町</t>
  </si>
  <si>
    <t>0151</t>
  </si>
  <si>
    <t>016931</t>
  </si>
  <si>
    <t>693</t>
  </si>
  <si>
    <t>標津町</t>
  </si>
  <si>
    <t>016934</t>
  </si>
  <si>
    <t>151151標津町</t>
  </si>
  <si>
    <t>0152-1</t>
  </si>
  <si>
    <t>北海道羅臼町</t>
  </si>
  <si>
    <t>0152</t>
  </si>
  <si>
    <t>016949</t>
  </si>
  <si>
    <t>694</t>
  </si>
  <si>
    <t>羅臼町</t>
  </si>
  <si>
    <t>016942</t>
  </si>
  <si>
    <t>152152羅臼町</t>
  </si>
  <si>
    <t>0153-1</t>
  </si>
  <si>
    <t>北海道日高中部広域連合</t>
  </si>
  <si>
    <t>0153</t>
  </si>
  <si>
    <t>018010</t>
  </si>
  <si>
    <t>801</t>
  </si>
  <si>
    <t>日高中部広域連合</t>
  </si>
  <si>
    <t>018015</t>
  </si>
  <si>
    <t>153153日高中部広域連合</t>
  </si>
  <si>
    <t>0153-2</t>
  </si>
  <si>
    <t>北海道新冠町</t>
  </si>
  <si>
    <t>0154</t>
  </si>
  <si>
    <t>016048</t>
  </si>
  <si>
    <t>604</t>
  </si>
  <si>
    <t>新冠町</t>
  </si>
  <si>
    <t>016047</t>
  </si>
  <si>
    <t>空知中部広域連合</t>
  </si>
  <si>
    <t>154156空知中部広域連合</t>
  </si>
  <si>
    <t>0153-3</t>
  </si>
  <si>
    <t>北海道新ひだか町</t>
  </si>
  <si>
    <t>0155</t>
  </si>
  <si>
    <t>016105</t>
  </si>
  <si>
    <t>610</t>
  </si>
  <si>
    <t>新ひだか町</t>
  </si>
  <si>
    <t>016101</t>
  </si>
  <si>
    <t>後志広域連合</t>
  </si>
  <si>
    <t>155163後志広域連合</t>
  </si>
  <si>
    <t>0156-1</t>
  </si>
  <si>
    <t>北海道空知中部広域連合</t>
  </si>
  <si>
    <t>0156</t>
  </si>
  <si>
    <t>018127</t>
  </si>
  <si>
    <t>812</t>
  </si>
  <si>
    <t>018121</t>
  </si>
  <si>
    <t>大雪地区広域連合</t>
  </si>
  <si>
    <t>156180大雪地区広域連合</t>
  </si>
  <si>
    <t>0156-2</t>
  </si>
  <si>
    <t>北海道歌志内市</t>
  </si>
  <si>
    <t>0157</t>
  </si>
  <si>
    <t>012278</t>
  </si>
  <si>
    <t>227</t>
  </si>
  <si>
    <t>歌志内市</t>
  </si>
  <si>
    <t>012271</t>
  </si>
  <si>
    <t>157184青森市</t>
  </si>
  <si>
    <t>0156-3</t>
  </si>
  <si>
    <t>北海道奈井江町</t>
  </si>
  <si>
    <t>0158</t>
  </si>
  <si>
    <t>014241</t>
  </si>
  <si>
    <t>424</t>
  </si>
  <si>
    <t>奈井江町</t>
  </si>
  <si>
    <t>014249</t>
  </si>
  <si>
    <t>158185弘前市</t>
  </si>
  <si>
    <t>0156-4</t>
  </si>
  <si>
    <t>北海道上砂川町</t>
  </si>
  <si>
    <t>0159</t>
  </si>
  <si>
    <t>014258</t>
  </si>
  <si>
    <t>425</t>
  </si>
  <si>
    <t>上砂川町</t>
  </si>
  <si>
    <t>014257</t>
  </si>
  <si>
    <t>159186八戸市</t>
  </si>
  <si>
    <t>0156-5</t>
  </si>
  <si>
    <t>北海道浦臼町</t>
  </si>
  <si>
    <t>0160</t>
  </si>
  <si>
    <t>014316</t>
  </si>
  <si>
    <t>431</t>
  </si>
  <si>
    <t>浦臼町</t>
  </si>
  <si>
    <t>014311</t>
  </si>
  <si>
    <t>160187黒石市</t>
  </si>
  <si>
    <t>0156-6</t>
  </si>
  <si>
    <t>北海道新十津川町</t>
  </si>
  <si>
    <t>0161</t>
  </si>
  <si>
    <t>014324</t>
  </si>
  <si>
    <t>432</t>
  </si>
  <si>
    <t>新十津川町</t>
  </si>
  <si>
    <t>014320</t>
  </si>
  <si>
    <t>161188五所川原市</t>
  </si>
  <si>
    <t>0156-7</t>
  </si>
  <si>
    <t>北海道雨竜町</t>
  </si>
  <si>
    <t>0162</t>
  </si>
  <si>
    <t>014365</t>
  </si>
  <si>
    <t>436</t>
  </si>
  <si>
    <t>雨竜町</t>
  </si>
  <si>
    <t>014362</t>
  </si>
  <si>
    <t>162189十和田市</t>
  </si>
  <si>
    <t>0163-1</t>
  </si>
  <si>
    <t>北海道後志広域連合</t>
  </si>
  <si>
    <t>0163</t>
  </si>
  <si>
    <t>018150</t>
  </si>
  <si>
    <t>815</t>
  </si>
  <si>
    <t>018155</t>
  </si>
  <si>
    <t>163190三沢市</t>
  </si>
  <si>
    <t>0163-2</t>
  </si>
  <si>
    <t>北海道島牧村</t>
  </si>
  <si>
    <t>0164</t>
  </si>
  <si>
    <t>013912</t>
  </si>
  <si>
    <t>391</t>
  </si>
  <si>
    <t>島牧村</t>
  </si>
  <si>
    <t>013919</t>
  </si>
  <si>
    <t>164191むつ市</t>
  </si>
  <si>
    <t>0163-3</t>
  </si>
  <si>
    <t>北海道黒松内町</t>
  </si>
  <si>
    <t>0165</t>
  </si>
  <si>
    <t>013938</t>
  </si>
  <si>
    <t>393</t>
  </si>
  <si>
    <t>黒松内町</t>
  </si>
  <si>
    <t>013935</t>
  </si>
  <si>
    <t>165192つがる市</t>
  </si>
  <si>
    <t>0163-4</t>
  </si>
  <si>
    <t>北海道蘭越町</t>
  </si>
  <si>
    <t>0166</t>
  </si>
  <si>
    <t>013946</t>
  </si>
  <si>
    <t>394</t>
  </si>
  <si>
    <t>蘭越町</t>
  </si>
  <si>
    <t>013943</t>
  </si>
  <si>
    <t>166193平川市</t>
  </si>
  <si>
    <t>0163-5</t>
  </si>
  <si>
    <t>北海道ニセコ町</t>
  </si>
  <si>
    <t>0167</t>
  </si>
  <si>
    <t>013953</t>
  </si>
  <si>
    <t>395</t>
  </si>
  <si>
    <t>ニセコ町</t>
  </si>
  <si>
    <t>013951</t>
  </si>
  <si>
    <t>167194平内町</t>
  </si>
  <si>
    <t>0163-6</t>
  </si>
  <si>
    <t>北海道真狩村</t>
  </si>
  <si>
    <t>0168</t>
  </si>
  <si>
    <t>013961</t>
  </si>
  <si>
    <t>396</t>
  </si>
  <si>
    <t>真狩村</t>
  </si>
  <si>
    <t>013960</t>
  </si>
  <si>
    <t>168195今別町</t>
  </si>
  <si>
    <t>0163-7</t>
  </si>
  <si>
    <t>北海道留寿都村</t>
  </si>
  <si>
    <t>0169</t>
  </si>
  <si>
    <t>013979</t>
  </si>
  <si>
    <t>397</t>
  </si>
  <si>
    <t>留寿都村</t>
  </si>
  <si>
    <t>013978</t>
  </si>
  <si>
    <t>169196蓬田村</t>
  </si>
  <si>
    <t>0163-8</t>
  </si>
  <si>
    <t>北海道喜茂別町</t>
  </si>
  <si>
    <t>0170</t>
  </si>
  <si>
    <t>013987</t>
  </si>
  <si>
    <t>398</t>
  </si>
  <si>
    <t>喜茂別町</t>
  </si>
  <si>
    <t>013986</t>
  </si>
  <si>
    <t>170197外ヶ浜町</t>
  </si>
  <si>
    <t>0163-9</t>
  </si>
  <si>
    <t>北海道京極町</t>
  </si>
  <si>
    <t>0171</t>
  </si>
  <si>
    <t>013995</t>
  </si>
  <si>
    <t>399</t>
  </si>
  <si>
    <t>京極町</t>
  </si>
  <si>
    <t>013994</t>
  </si>
  <si>
    <t>171198鰺ヶ沢町</t>
  </si>
  <si>
    <t>0163-10</t>
  </si>
  <si>
    <t>北海道倶知安町</t>
  </si>
  <si>
    <t>0172</t>
  </si>
  <si>
    <t>014001</t>
  </si>
  <si>
    <t>400</t>
  </si>
  <si>
    <t>倶知安町</t>
  </si>
  <si>
    <t>172199深浦町</t>
  </si>
  <si>
    <t>0163-11</t>
  </si>
  <si>
    <t>北海道共和町</t>
  </si>
  <si>
    <t>0173</t>
  </si>
  <si>
    <t>014019</t>
  </si>
  <si>
    <t>401</t>
  </si>
  <si>
    <t>共和町</t>
  </si>
  <si>
    <t>014010</t>
  </si>
  <si>
    <t>173200西目屋村</t>
  </si>
  <si>
    <t>0163-12</t>
  </si>
  <si>
    <t>北海道泊村</t>
  </si>
  <si>
    <t>0174</t>
  </si>
  <si>
    <t>014035</t>
  </si>
  <si>
    <t>403</t>
  </si>
  <si>
    <t>泊村</t>
  </si>
  <si>
    <t>014036</t>
  </si>
  <si>
    <t>174201藤崎町</t>
  </si>
  <si>
    <t>0163-13</t>
  </si>
  <si>
    <t>北海道神恵内村</t>
  </si>
  <si>
    <t>0175</t>
  </si>
  <si>
    <t>014043</t>
  </si>
  <si>
    <t>404</t>
  </si>
  <si>
    <t>神恵内村</t>
  </si>
  <si>
    <t>014044</t>
  </si>
  <si>
    <t>175202大鰐町</t>
  </si>
  <si>
    <t>0163-14</t>
  </si>
  <si>
    <t>北海道積丹町</t>
  </si>
  <si>
    <t>0176</t>
  </si>
  <si>
    <t>014050</t>
  </si>
  <si>
    <t>405</t>
  </si>
  <si>
    <t>積丹町</t>
  </si>
  <si>
    <t>014052</t>
  </si>
  <si>
    <t>176203田舎館村</t>
  </si>
  <si>
    <t>0163-15</t>
  </si>
  <si>
    <t>北海道古平町</t>
  </si>
  <si>
    <t>0177</t>
  </si>
  <si>
    <t>014068</t>
  </si>
  <si>
    <t>406</t>
  </si>
  <si>
    <t>古平町</t>
  </si>
  <si>
    <t>014061</t>
  </si>
  <si>
    <t>177204板柳町</t>
  </si>
  <si>
    <t>0163-16</t>
  </si>
  <si>
    <t>北海道仁木町</t>
  </si>
  <si>
    <t>0178</t>
  </si>
  <si>
    <t>014076</t>
  </si>
  <si>
    <t>407</t>
  </si>
  <si>
    <t>仁木町</t>
  </si>
  <si>
    <t>014079</t>
  </si>
  <si>
    <t>178205鶴田町</t>
  </si>
  <si>
    <t>0163-17</t>
  </si>
  <si>
    <t>北海道赤井川村</t>
  </si>
  <si>
    <t>0179</t>
  </si>
  <si>
    <t>014092</t>
  </si>
  <si>
    <t>409</t>
  </si>
  <si>
    <t>赤井川村</t>
  </si>
  <si>
    <t>014095</t>
  </si>
  <si>
    <t>179206中泊町</t>
  </si>
  <si>
    <t>0180-1</t>
  </si>
  <si>
    <t>北海道大雪地区広域連合</t>
  </si>
  <si>
    <t>0180</t>
  </si>
  <si>
    <t>018325</t>
  </si>
  <si>
    <t>832</t>
  </si>
  <si>
    <t>180207野辺地町</t>
  </si>
  <si>
    <t>0180-2</t>
  </si>
  <si>
    <t>北海道東川町</t>
  </si>
  <si>
    <t>0181</t>
  </si>
  <si>
    <t>014589</t>
  </si>
  <si>
    <t>458</t>
  </si>
  <si>
    <t>東川町</t>
  </si>
  <si>
    <t>014583</t>
  </si>
  <si>
    <t>181208七戸町</t>
  </si>
  <si>
    <t>0180-3</t>
  </si>
  <si>
    <t>北海道美瑛町</t>
  </si>
  <si>
    <t>0182</t>
  </si>
  <si>
    <t>014597</t>
  </si>
  <si>
    <t>459</t>
  </si>
  <si>
    <t>美瑛町</t>
  </si>
  <si>
    <t>014591</t>
  </si>
  <si>
    <t>182209六戸町</t>
  </si>
  <si>
    <t>0180-4</t>
  </si>
  <si>
    <t>北海道東神楽町</t>
  </si>
  <si>
    <t>0183</t>
  </si>
  <si>
    <t>014530</t>
  </si>
  <si>
    <t>453</t>
  </si>
  <si>
    <t>東神楽町</t>
  </si>
  <si>
    <t>014532</t>
  </si>
  <si>
    <t>183210横浜町</t>
  </si>
  <si>
    <t>0184-1</t>
  </si>
  <si>
    <t>青森県青森市</t>
  </si>
  <si>
    <t>0184</t>
  </si>
  <si>
    <t>022012</t>
  </si>
  <si>
    <t>201</t>
  </si>
  <si>
    <t>184211東北町</t>
  </si>
  <si>
    <t>0185-1</t>
  </si>
  <si>
    <t>青森県弘前市</t>
  </si>
  <si>
    <t>0185</t>
  </si>
  <si>
    <t>022020</t>
  </si>
  <si>
    <t>022021</t>
  </si>
  <si>
    <t>185212六ヶ所村</t>
  </si>
  <si>
    <t>0186-1</t>
  </si>
  <si>
    <t>青森県八戸市</t>
  </si>
  <si>
    <t>0186</t>
  </si>
  <si>
    <t>022038</t>
  </si>
  <si>
    <t>022039</t>
  </si>
  <si>
    <t>186213おいらせ町</t>
  </si>
  <si>
    <t>0187-1</t>
  </si>
  <si>
    <t>青森県黒石市</t>
  </si>
  <si>
    <t>0187</t>
  </si>
  <si>
    <t>022046</t>
  </si>
  <si>
    <t>022047</t>
  </si>
  <si>
    <t>187214大間町</t>
  </si>
  <si>
    <t>0188-1</t>
  </si>
  <si>
    <t>青森県五所川原市</t>
  </si>
  <si>
    <t>0188</t>
  </si>
  <si>
    <t>022053</t>
  </si>
  <si>
    <t>022055</t>
  </si>
  <si>
    <t>188215東通村</t>
  </si>
  <si>
    <t>0189-1</t>
  </si>
  <si>
    <t>青森県十和田市</t>
  </si>
  <si>
    <t>0189</t>
  </si>
  <si>
    <t>022061</t>
  </si>
  <si>
    <t>022063</t>
  </si>
  <si>
    <t>189216風間浦村</t>
  </si>
  <si>
    <t>0190-1</t>
  </si>
  <si>
    <t>青森県三沢市</t>
  </si>
  <si>
    <t>0190</t>
  </si>
  <si>
    <t>022079</t>
  </si>
  <si>
    <t>022071</t>
  </si>
  <si>
    <t>190217佐井村</t>
  </si>
  <si>
    <t>0191-1</t>
  </si>
  <si>
    <t>青森県むつ市</t>
  </si>
  <si>
    <t>0191</t>
  </si>
  <si>
    <t>022087</t>
  </si>
  <si>
    <t>022080</t>
  </si>
  <si>
    <t>191218三戸町</t>
  </si>
  <si>
    <t>0192-1</t>
  </si>
  <si>
    <t>青森県つがる市</t>
  </si>
  <si>
    <t>0192</t>
  </si>
  <si>
    <t>022095</t>
  </si>
  <si>
    <t>022098</t>
  </si>
  <si>
    <t>192219五戸町</t>
  </si>
  <si>
    <t>0193-1</t>
  </si>
  <si>
    <t>青森県平川市</t>
  </si>
  <si>
    <t>0193</t>
  </si>
  <si>
    <t>022103</t>
  </si>
  <si>
    <t>022101</t>
  </si>
  <si>
    <t>193220田子町</t>
  </si>
  <si>
    <t>0194-1</t>
  </si>
  <si>
    <t>青森県平内町</t>
  </si>
  <si>
    <t>0194</t>
  </si>
  <si>
    <t>023010</t>
  </si>
  <si>
    <t>301</t>
  </si>
  <si>
    <t>023019</t>
  </si>
  <si>
    <t>194221南部町</t>
  </si>
  <si>
    <t>0195-1</t>
  </si>
  <si>
    <t>青森県今別町</t>
  </si>
  <si>
    <t>0195</t>
  </si>
  <si>
    <t>023036</t>
  </si>
  <si>
    <t>023035</t>
  </si>
  <si>
    <t>195222階上町</t>
  </si>
  <si>
    <t>0196-1</t>
  </si>
  <si>
    <t>青森県蓬田村</t>
  </si>
  <si>
    <t>0196</t>
  </si>
  <si>
    <t>023044</t>
  </si>
  <si>
    <t>023043</t>
  </si>
  <si>
    <t>196223新郷村</t>
  </si>
  <si>
    <t>0197-1</t>
  </si>
  <si>
    <t>青森県外ヶ浜町</t>
  </si>
  <si>
    <t>0197</t>
  </si>
  <si>
    <t>023077</t>
  </si>
  <si>
    <t>307</t>
  </si>
  <si>
    <t>023078</t>
  </si>
  <si>
    <t>197224盛岡市</t>
  </si>
  <si>
    <t>0198-1</t>
  </si>
  <si>
    <t>青森県鰺ヶ沢町</t>
  </si>
  <si>
    <t>0198</t>
  </si>
  <si>
    <t>023218</t>
  </si>
  <si>
    <t>321</t>
  </si>
  <si>
    <t>023213</t>
  </si>
  <si>
    <t>198225宮古市</t>
  </si>
  <si>
    <t>0199-1</t>
  </si>
  <si>
    <t>青森県深浦町</t>
  </si>
  <si>
    <t>0199</t>
  </si>
  <si>
    <t>023234</t>
  </si>
  <si>
    <t>323</t>
  </si>
  <si>
    <t>023230</t>
  </si>
  <si>
    <t>199226大船渡市</t>
  </si>
  <si>
    <t>0200-1</t>
  </si>
  <si>
    <t>青森県西目屋村</t>
  </si>
  <si>
    <t>0200</t>
  </si>
  <si>
    <t>023432</t>
  </si>
  <si>
    <t>023434</t>
  </si>
  <si>
    <t>200227花巻市</t>
  </si>
  <si>
    <t>0201-1</t>
  </si>
  <si>
    <t>青森県藤崎町</t>
  </si>
  <si>
    <t>0201</t>
  </si>
  <si>
    <t>023614</t>
  </si>
  <si>
    <t>023612</t>
  </si>
  <si>
    <t>201228北上市</t>
  </si>
  <si>
    <t>0202-1</t>
  </si>
  <si>
    <t>青森県大鰐町</t>
  </si>
  <si>
    <t>0202</t>
  </si>
  <si>
    <t>023622</t>
  </si>
  <si>
    <t>023621</t>
  </si>
  <si>
    <t>202229遠野市</t>
  </si>
  <si>
    <t>0203-1</t>
  </si>
  <si>
    <t>青森県田舎館村</t>
  </si>
  <si>
    <t>0203</t>
  </si>
  <si>
    <t>023671</t>
  </si>
  <si>
    <t>203230陸前高田市</t>
  </si>
  <si>
    <t>0204-1</t>
  </si>
  <si>
    <t>青森県板柳町</t>
  </si>
  <si>
    <t>0204</t>
  </si>
  <si>
    <t>023812</t>
  </si>
  <si>
    <t>381</t>
  </si>
  <si>
    <t>023817</t>
  </si>
  <si>
    <t>204231釜石市</t>
  </si>
  <si>
    <t>0205-1</t>
  </si>
  <si>
    <t>青森県鶴田町</t>
  </si>
  <si>
    <t>0205</t>
  </si>
  <si>
    <t>023846</t>
  </si>
  <si>
    <t>384</t>
  </si>
  <si>
    <t>023841</t>
  </si>
  <si>
    <t>205232奥州市</t>
  </si>
  <si>
    <t>0206-1</t>
  </si>
  <si>
    <t>青森県中泊町</t>
  </si>
  <si>
    <t>0206</t>
  </si>
  <si>
    <t>023879</t>
  </si>
  <si>
    <t>387</t>
  </si>
  <si>
    <t>023876</t>
  </si>
  <si>
    <t>206233滝沢市</t>
  </si>
  <si>
    <t>0207-1</t>
  </si>
  <si>
    <t>青森県野辺地町</t>
  </si>
  <si>
    <t>0207</t>
  </si>
  <si>
    <t>024018</t>
  </si>
  <si>
    <t>024015</t>
  </si>
  <si>
    <t>207234雫石町</t>
  </si>
  <si>
    <t>0208-1</t>
  </si>
  <si>
    <t>青森県七戸町</t>
  </si>
  <si>
    <t>0208</t>
  </si>
  <si>
    <t>024026</t>
  </si>
  <si>
    <t>024023</t>
  </si>
  <si>
    <t>208235紫波町</t>
  </si>
  <si>
    <t>0209-1</t>
  </si>
  <si>
    <t>青森県六戸町</t>
  </si>
  <si>
    <t>0209</t>
  </si>
  <si>
    <t>024059</t>
  </si>
  <si>
    <t>024058</t>
  </si>
  <si>
    <t>209236矢巾町</t>
  </si>
  <si>
    <t>0210-1</t>
  </si>
  <si>
    <t>青森県横浜町</t>
  </si>
  <si>
    <t>0210</t>
  </si>
  <si>
    <t>024067</t>
  </si>
  <si>
    <t>024066</t>
  </si>
  <si>
    <t>210237西和賀町</t>
  </si>
  <si>
    <t>0211-1</t>
  </si>
  <si>
    <t>青森県東北町</t>
  </si>
  <si>
    <t>0211</t>
  </si>
  <si>
    <t>024083</t>
  </si>
  <si>
    <t>024082</t>
  </si>
  <si>
    <t>211238金ケ崎町</t>
  </si>
  <si>
    <t>0212-1</t>
  </si>
  <si>
    <t>青森県六ヶ所村</t>
  </si>
  <si>
    <t>0212</t>
  </si>
  <si>
    <t>024117</t>
  </si>
  <si>
    <t>411</t>
  </si>
  <si>
    <t>024112</t>
  </si>
  <si>
    <t>212239住田町</t>
  </si>
  <si>
    <t>0213-1</t>
  </si>
  <si>
    <t>青森県おいらせ町</t>
  </si>
  <si>
    <t>0213</t>
  </si>
  <si>
    <t>024125</t>
  </si>
  <si>
    <t>412</t>
  </si>
  <si>
    <t>024121</t>
  </si>
  <si>
    <t>213240大槌町</t>
  </si>
  <si>
    <t>0214-1</t>
  </si>
  <si>
    <t>青森県大間町</t>
  </si>
  <si>
    <t>0214</t>
  </si>
  <si>
    <t>024232</t>
  </si>
  <si>
    <t>024236</t>
  </si>
  <si>
    <t>214241山田町</t>
  </si>
  <si>
    <t>0215-1</t>
  </si>
  <si>
    <t>青森県東通村</t>
  </si>
  <si>
    <t>0215</t>
  </si>
  <si>
    <t>024240</t>
  </si>
  <si>
    <t>024244</t>
  </si>
  <si>
    <t>215242岩泉町</t>
  </si>
  <si>
    <t>0216-1</t>
  </si>
  <si>
    <t>青森県風間浦村</t>
  </si>
  <si>
    <t>0216</t>
  </si>
  <si>
    <t>024257</t>
  </si>
  <si>
    <t>024252</t>
  </si>
  <si>
    <t>216243田野畑村</t>
  </si>
  <si>
    <t>0217-1</t>
  </si>
  <si>
    <t>青森県佐井村</t>
  </si>
  <si>
    <t>0217</t>
  </si>
  <si>
    <t>024265</t>
  </si>
  <si>
    <t>426</t>
  </si>
  <si>
    <t>024261</t>
  </si>
  <si>
    <t>217244二戸地区広域行政事務組合</t>
  </si>
  <si>
    <t>0218-1</t>
  </si>
  <si>
    <t>青森県三戸町</t>
  </si>
  <si>
    <t>0218</t>
  </si>
  <si>
    <t>024414</t>
  </si>
  <si>
    <t>441</t>
  </si>
  <si>
    <t>218249盛岡北部行政事務組合</t>
  </si>
  <si>
    <t>0219-1</t>
  </si>
  <si>
    <t>青森県五戸町</t>
  </si>
  <si>
    <t>0219</t>
  </si>
  <si>
    <t>024422</t>
  </si>
  <si>
    <t>442</t>
  </si>
  <si>
    <t>219253久慈広域連合</t>
  </si>
  <si>
    <t>0220-1</t>
  </si>
  <si>
    <t>青森県田子町</t>
  </si>
  <si>
    <t>0220</t>
  </si>
  <si>
    <t>024430</t>
  </si>
  <si>
    <t>443</t>
  </si>
  <si>
    <t>024431</t>
  </si>
  <si>
    <t>220258一関地区広域行政組合</t>
  </si>
  <si>
    <t>0221-1</t>
  </si>
  <si>
    <t>青森県南部町</t>
  </si>
  <si>
    <t>0221</t>
  </si>
  <si>
    <t>024455</t>
  </si>
  <si>
    <t>445</t>
  </si>
  <si>
    <t>024457</t>
  </si>
  <si>
    <t>221261仙台市</t>
  </si>
  <si>
    <t>0222-1</t>
  </si>
  <si>
    <t>青森県階上町</t>
  </si>
  <si>
    <t>0222</t>
  </si>
  <si>
    <t>024463</t>
  </si>
  <si>
    <t>446</t>
  </si>
  <si>
    <t>024465</t>
  </si>
  <si>
    <t>222262石巻市</t>
  </si>
  <si>
    <t>0223-1</t>
  </si>
  <si>
    <t>青森県新郷村</t>
  </si>
  <si>
    <t>0223</t>
  </si>
  <si>
    <t>024505</t>
  </si>
  <si>
    <t>450</t>
  </si>
  <si>
    <t>024503</t>
  </si>
  <si>
    <t>223263塩竈市</t>
  </si>
  <si>
    <t>0224-1</t>
  </si>
  <si>
    <t>岩手県盛岡市</t>
  </si>
  <si>
    <t>0224</t>
  </si>
  <si>
    <t>032011</t>
  </si>
  <si>
    <t>032018</t>
  </si>
  <si>
    <t>224264気仙沼市</t>
  </si>
  <si>
    <t>0225-1</t>
  </si>
  <si>
    <t>岩手県宮古市</t>
  </si>
  <si>
    <t>0225</t>
  </si>
  <si>
    <t>032029</t>
  </si>
  <si>
    <t>032026</t>
  </si>
  <si>
    <t>225265白石市</t>
  </si>
  <si>
    <t>0226-1</t>
  </si>
  <si>
    <t>岩手県大船渡市</t>
  </si>
  <si>
    <t>0226</t>
  </si>
  <si>
    <t>032037</t>
  </si>
  <si>
    <t>032034</t>
  </si>
  <si>
    <t>226266名取市</t>
  </si>
  <si>
    <t>0227-1</t>
  </si>
  <si>
    <t>岩手県花巻市</t>
  </si>
  <si>
    <t>0227</t>
  </si>
  <si>
    <t>032052</t>
  </si>
  <si>
    <t>032051</t>
  </si>
  <si>
    <t>227267角田市</t>
  </si>
  <si>
    <t>0228-1</t>
  </si>
  <si>
    <t>岩手県北上市</t>
  </si>
  <si>
    <t>0228</t>
  </si>
  <si>
    <t>032060</t>
  </si>
  <si>
    <t>032069</t>
  </si>
  <si>
    <t>228268多賀城市</t>
  </si>
  <si>
    <t>0229-1</t>
  </si>
  <si>
    <t>岩手県遠野市</t>
  </si>
  <si>
    <t>0229</t>
  </si>
  <si>
    <t>032086</t>
  </si>
  <si>
    <t>032085</t>
  </si>
  <si>
    <t>229269岩沼市</t>
  </si>
  <si>
    <t>0230-1</t>
  </si>
  <si>
    <t>岩手県陸前高田市</t>
  </si>
  <si>
    <t>0230</t>
  </si>
  <si>
    <t>032102</t>
  </si>
  <si>
    <t>032107</t>
  </si>
  <si>
    <t>230270登米市</t>
  </si>
  <si>
    <t>0231-1</t>
  </si>
  <si>
    <t>岩手県釜石市</t>
  </si>
  <si>
    <t>0231</t>
  </si>
  <si>
    <t>032110</t>
  </si>
  <si>
    <t>032115</t>
  </si>
  <si>
    <t>231271栗原市</t>
  </si>
  <si>
    <t>0232-1</t>
  </si>
  <si>
    <t>岩手県奥州市</t>
  </si>
  <si>
    <t>0232</t>
  </si>
  <si>
    <t>032151</t>
  </si>
  <si>
    <t>032158</t>
  </si>
  <si>
    <t>232272東松島市</t>
  </si>
  <si>
    <t>0233-1</t>
  </si>
  <si>
    <t>岩手県滝沢市</t>
  </si>
  <si>
    <t>0233</t>
  </si>
  <si>
    <t>032169</t>
  </si>
  <si>
    <t>032166</t>
  </si>
  <si>
    <t>233273大崎市</t>
  </si>
  <si>
    <t>0234-1</t>
  </si>
  <si>
    <t>岩手県雫石町</t>
  </si>
  <si>
    <t>0234</t>
  </si>
  <si>
    <t>033019</t>
  </si>
  <si>
    <t>033014</t>
  </si>
  <si>
    <t>234274富谷市</t>
  </si>
  <si>
    <t>0235-1</t>
  </si>
  <si>
    <t>岩手県紫波町</t>
  </si>
  <si>
    <t>0235</t>
  </si>
  <si>
    <t>033217</t>
  </si>
  <si>
    <t>033219</t>
  </si>
  <si>
    <t>235275蔵王町</t>
  </si>
  <si>
    <t>0236-1</t>
  </si>
  <si>
    <t>岩手県矢巾町</t>
  </si>
  <si>
    <t>0236</t>
  </si>
  <si>
    <t>033225</t>
  </si>
  <si>
    <t>322</t>
  </si>
  <si>
    <t>033227</t>
  </si>
  <si>
    <t>236276七ヶ宿町</t>
  </si>
  <si>
    <t>0237-1</t>
  </si>
  <si>
    <t>岩手県西和賀町</t>
  </si>
  <si>
    <t>0237</t>
  </si>
  <si>
    <t>033662</t>
  </si>
  <si>
    <t>366</t>
  </si>
  <si>
    <t>033669</t>
  </si>
  <si>
    <t>237277大河原町</t>
  </si>
  <si>
    <t>0238-1</t>
  </si>
  <si>
    <t>岩手県金ケ崎町</t>
  </si>
  <si>
    <t>0238</t>
  </si>
  <si>
    <t>033811</t>
  </si>
  <si>
    <t>033812</t>
  </si>
  <si>
    <t>238278村田町</t>
  </si>
  <si>
    <t>0239-1</t>
  </si>
  <si>
    <t>岩手県住田町</t>
  </si>
  <si>
    <t>0239</t>
  </si>
  <si>
    <t>034413</t>
  </si>
  <si>
    <t>034410</t>
  </si>
  <si>
    <t>239279柴田町</t>
  </si>
  <si>
    <t>0240-1</t>
  </si>
  <si>
    <t>岩手県大槌町</t>
  </si>
  <si>
    <t>0240</t>
  </si>
  <si>
    <t>034611</t>
  </si>
  <si>
    <t>034614</t>
  </si>
  <si>
    <t>240280川崎町</t>
  </si>
  <si>
    <t>0241-1</t>
  </si>
  <si>
    <t>岩手県山田町</t>
  </si>
  <si>
    <t>0241</t>
  </si>
  <si>
    <t>034827</t>
  </si>
  <si>
    <t>241281丸森町</t>
  </si>
  <si>
    <t>0242-1</t>
  </si>
  <si>
    <t>岩手県岩泉町</t>
  </si>
  <si>
    <t>0242</t>
  </si>
  <si>
    <t>034835</t>
  </si>
  <si>
    <t>242282亘理町</t>
  </si>
  <si>
    <t>0243-1</t>
  </si>
  <si>
    <t>岩手県田野畑村</t>
  </si>
  <si>
    <t>0243</t>
  </si>
  <si>
    <t>034843</t>
  </si>
  <si>
    <t>243283山元町</t>
  </si>
  <si>
    <t>0244-1</t>
  </si>
  <si>
    <t>岩手県二戸地区広域行政事務組合</t>
  </si>
  <si>
    <t>0244</t>
  </si>
  <si>
    <t>038281</t>
  </si>
  <si>
    <t>828</t>
  </si>
  <si>
    <t>038288</t>
  </si>
  <si>
    <t>244284松島町</t>
  </si>
  <si>
    <t>0244-2</t>
  </si>
  <si>
    <t>岩手県二戸市</t>
  </si>
  <si>
    <t>0245</t>
  </si>
  <si>
    <t>032136</t>
  </si>
  <si>
    <t>032131</t>
  </si>
  <si>
    <t>245285七ヶ浜町</t>
  </si>
  <si>
    <t>0244-3</t>
  </si>
  <si>
    <t>岩手県一戸町</t>
  </si>
  <si>
    <t>0246</t>
  </si>
  <si>
    <t>035246</t>
  </si>
  <si>
    <t>524</t>
  </si>
  <si>
    <t>246286利府町</t>
  </si>
  <si>
    <t>0244-4</t>
  </si>
  <si>
    <t>岩手県軽米町</t>
  </si>
  <si>
    <t>0247</t>
  </si>
  <si>
    <t>035014</t>
  </si>
  <si>
    <t>501</t>
  </si>
  <si>
    <t>035017</t>
  </si>
  <si>
    <t>247287大和町</t>
  </si>
  <si>
    <t>0244-5</t>
  </si>
  <si>
    <t>岩手県九戸村</t>
  </si>
  <si>
    <t>0248</t>
  </si>
  <si>
    <t>035063</t>
  </si>
  <si>
    <t>506</t>
  </si>
  <si>
    <t>035068</t>
  </si>
  <si>
    <t>248288大郷町</t>
  </si>
  <si>
    <t>0249-1</t>
  </si>
  <si>
    <t>岩手県盛岡北部行政事務組合</t>
  </si>
  <si>
    <t>0249</t>
  </si>
  <si>
    <t>038299</t>
  </si>
  <si>
    <t>829</t>
  </si>
  <si>
    <t>038296</t>
  </si>
  <si>
    <t>249289大衡村</t>
  </si>
  <si>
    <t>0249-2</t>
  </si>
  <si>
    <t>岩手県八幡平市</t>
  </si>
  <si>
    <t>0250</t>
  </si>
  <si>
    <t>032144</t>
  </si>
  <si>
    <t>032140</t>
  </si>
  <si>
    <t>250290色麻町</t>
  </si>
  <si>
    <t>0249-3</t>
  </si>
  <si>
    <t>岩手県岩手町</t>
  </si>
  <si>
    <t>0251</t>
  </si>
  <si>
    <t>033035</t>
  </si>
  <si>
    <t>033031</t>
  </si>
  <si>
    <t>251291加美町</t>
  </si>
  <si>
    <t>0249-4</t>
  </si>
  <si>
    <t>岩手県葛巻町</t>
  </si>
  <si>
    <t>0252</t>
  </si>
  <si>
    <t>033027</t>
  </si>
  <si>
    <t>302</t>
  </si>
  <si>
    <t>033022</t>
  </si>
  <si>
    <t>252292涌谷町</t>
  </si>
  <si>
    <t>0253-1</t>
  </si>
  <si>
    <t>岩手県久慈広域連合</t>
  </si>
  <si>
    <t>0253</t>
  </si>
  <si>
    <t>038802</t>
  </si>
  <si>
    <t>880</t>
  </si>
  <si>
    <t>038903</t>
  </si>
  <si>
    <t>253293美里町</t>
  </si>
  <si>
    <t>0253-2</t>
  </si>
  <si>
    <t>岩手県久慈市</t>
  </si>
  <si>
    <t>0254</t>
  </si>
  <si>
    <t>032078</t>
  </si>
  <si>
    <t>032077</t>
  </si>
  <si>
    <t>254294女川町</t>
  </si>
  <si>
    <t>0253-3</t>
  </si>
  <si>
    <t>岩手県洋野町</t>
  </si>
  <si>
    <t>0255</t>
  </si>
  <si>
    <t>035071</t>
  </si>
  <si>
    <t>507</t>
  </si>
  <si>
    <t>035076</t>
  </si>
  <si>
    <t>255295南三陸町</t>
  </si>
  <si>
    <t>0253-4</t>
  </si>
  <si>
    <t>岩手県野田村</t>
  </si>
  <si>
    <t>0256</t>
  </si>
  <si>
    <t>035030</t>
  </si>
  <si>
    <t>503</t>
  </si>
  <si>
    <t>035033</t>
  </si>
  <si>
    <t>256296秋田市</t>
  </si>
  <si>
    <t>0253-5</t>
  </si>
  <si>
    <t>岩手県普代村</t>
  </si>
  <si>
    <t>0257</t>
  </si>
  <si>
    <t>034850</t>
  </si>
  <si>
    <t>034851</t>
  </si>
  <si>
    <t>257297能代市</t>
  </si>
  <si>
    <t>0258-1</t>
  </si>
  <si>
    <t>岩手県一関地区広域行政組合</t>
  </si>
  <si>
    <t>0258</t>
  </si>
  <si>
    <t>038828</t>
  </si>
  <si>
    <t>882</t>
  </si>
  <si>
    <t>038911</t>
  </si>
  <si>
    <t>258298横手市</t>
  </si>
  <si>
    <t>0258-2</t>
  </si>
  <si>
    <t>岩手県一関市</t>
  </si>
  <si>
    <t>0259</t>
  </si>
  <si>
    <t>032094</t>
  </si>
  <si>
    <t>032093</t>
  </si>
  <si>
    <t>259299大館市</t>
  </si>
  <si>
    <t>0258-3</t>
  </si>
  <si>
    <t>岩手県平泉町</t>
  </si>
  <si>
    <t>0260</t>
  </si>
  <si>
    <t>034025</t>
  </si>
  <si>
    <t>034029</t>
  </si>
  <si>
    <t>260300男鹿市</t>
  </si>
  <si>
    <t>0261-1</t>
  </si>
  <si>
    <t>宮城県仙台市</t>
  </si>
  <si>
    <t>0261</t>
  </si>
  <si>
    <t>041004</t>
  </si>
  <si>
    <t>041009</t>
  </si>
  <si>
    <t>261301湯沢市</t>
  </si>
  <si>
    <t>0262-1</t>
  </si>
  <si>
    <t>宮城県石巻市</t>
  </si>
  <si>
    <t>0262</t>
  </si>
  <si>
    <t>042028</t>
  </si>
  <si>
    <t>042021</t>
  </si>
  <si>
    <t>262302鹿角市</t>
  </si>
  <si>
    <t>0263-1</t>
  </si>
  <si>
    <t>宮城県塩竈市</t>
  </si>
  <si>
    <t>0263</t>
  </si>
  <si>
    <t>042036</t>
  </si>
  <si>
    <t>042030</t>
  </si>
  <si>
    <t>263303潟上市</t>
  </si>
  <si>
    <t>0264-1</t>
  </si>
  <si>
    <t>宮城県気仙沼市</t>
  </si>
  <si>
    <t>0264</t>
  </si>
  <si>
    <t>042051</t>
  </si>
  <si>
    <t>042056</t>
  </si>
  <si>
    <t>264304北秋田市</t>
  </si>
  <si>
    <t>0265-1</t>
  </si>
  <si>
    <t>宮城県白石市</t>
  </si>
  <si>
    <t>0265</t>
  </si>
  <si>
    <t>042069</t>
  </si>
  <si>
    <t>042064</t>
  </si>
  <si>
    <t>265305小坂町</t>
  </si>
  <si>
    <t>0266-1</t>
  </si>
  <si>
    <t>宮城県名取市</t>
  </si>
  <si>
    <t>0266</t>
  </si>
  <si>
    <t>042077</t>
  </si>
  <si>
    <t>042072</t>
  </si>
  <si>
    <t>266306上小阿仁村</t>
  </si>
  <si>
    <t>0267-1</t>
  </si>
  <si>
    <t>宮城県角田市</t>
  </si>
  <si>
    <t>0267</t>
  </si>
  <si>
    <t>042085</t>
  </si>
  <si>
    <t>042081</t>
  </si>
  <si>
    <t>267307藤里町</t>
  </si>
  <si>
    <t>0268-1</t>
  </si>
  <si>
    <t>宮城県多賀城市</t>
  </si>
  <si>
    <t>0268</t>
  </si>
  <si>
    <t>042093</t>
  </si>
  <si>
    <t>042099</t>
  </si>
  <si>
    <t>268308三種町</t>
  </si>
  <si>
    <t>0269-1</t>
  </si>
  <si>
    <t>宮城県岩沼市</t>
  </si>
  <si>
    <t>0269</t>
  </si>
  <si>
    <t>042119</t>
  </si>
  <si>
    <t>042111</t>
  </si>
  <si>
    <t>269309八峰町</t>
  </si>
  <si>
    <t>0270-1</t>
  </si>
  <si>
    <t>宮城県登米市</t>
  </si>
  <si>
    <t>0270</t>
  </si>
  <si>
    <t>042127</t>
  </si>
  <si>
    <t>042129</t>
  </si>
  <si>
    <t>270310五城目町</t>
  </si>
  <si>
    <t>0271-1</t>
  </si>
  <si>
    <t>宮城県栗原市</t>
  </si>
  <si>
    <t>0271</t>
  </si>
  <si>
    <t>042135</t>
  </si>
  <si>
    <t>042137</t>
  </si>
  <si>
    <t>271311八郎潟町</t>
  </si>
  <si>
    <t>0272-1</t>
  </si>
  <si>
    <t>宮城県東松島市</t>
  </si>
  <si>
    <t>0272</t>
  </si>
  <si>
    <t>042143</t>
  </si>
  <si>
    <t>042145</t>
  </si>
  <si>
    <t>272312井川町</t>
  </si>
  <si>
    <t>0273-1</t>
  </si>
  <si>
    <t>宮城県大崎市</t>
  </si>
  <si>
    <t>0273</t>
  </si>
  <si>
    <t>042150</t>
  </si>
  <si>
    <t>042153</t>
  </si>
  <si>
    <t>273313大潟村</t>
  </si>
  <si>
    <t>0274-1</t>
  </si>
  <si>
    <t>宮城県富谷市</t>
  </si>
  <si>
    <t>0274</t>
  </si>
  <si>
    <t>042168</t>
  </si>
  <si>
    <t>042161</t>
  </si>
  <si>
    <t>274314羽後町</t>
  </si>
  <si>
    <t>0275-1</t>
  </si>
  <si>
    <t>宮城県蔵王町</t>
  </si>
  <si>
    <t>0275</t>
  </si>
  <si>
    <t>043018</t>
  </si>
  <si>
    <t>043010</t>
  </si>
  <si>
    <t>275315東成瀬村</t>
  </si>
  <si>
    <t>0276-1</t>
  </si>
  <si>
    <t>宮城県七ヶ宿町</t>
  </si>
  <si>
    <t>0276</t>
  </si>
  <si>
    <t>043026</t>
  </si>
  <si>
    <t>043028</t>
  </si>
  <si>
    <t>276316由利本荘市</t>
  </si>
  <si>
    <t>0277-1</t>
  </si>
  <si>
    <t>宮城県大河原町</t>
  </si>
  <si>
    <t>0277</t>
  </si>
  <si>
    <t>043216</t>
  </si>
  <si>
    <t>043214</t>
  </si>
  <si>
    <t>277317にかほ市</t>
  </si>
  <si>
    <t>0278-1</t>
  </si>
  <si>
    <t>宮城県村田町</t>
  </si>
  <si>
    <t>0278</t>
  </si>
  <si>
    <t>043224</t>
  </si>
  <si>
    <t>043222</t>
  </si>
  <si>
    <t>278318大曲仙北広域市町村圏組合</t>
  </si>
  <si>
    <t>0279-1</t>
  </si>
  <si>
    <t>宮城県柴田町</t>
  </si>
  <si>
    <t>0279</t>
  </si>
  <si>
    <t>043232</t>
  </si>
  <si>
    <t>043231</t>
  </si>
  <si>
    <t>279322山形市</t>
  </si>
  <si>
    <t>0280-1</t>
  </si>
  <si>
    <t>宮城県川崎町</t>
  </si>
  <si>
    <t>0280</t>
  </si>
  <si>
    <t>043240</t>
  </si>
  <si>
    <t>324</t>
  </si>
  <si>
    <t>043249</t>
  </si>
  <si>
    <t>280323米沢市</t>
  </si>
  <si>
    <t>0281-1</t>
  </si>
  <si>
    <t>宮城県丸森町</t>
  </si>
  <si>
    <t>0281</t>
  </si>
  <si>
    <t>043414</t>
  </si>
  <si>
    <t>341</t>
  </si>
  <si>
    <t>043419</t>
  </si>
  <si>
    <t>281324鶴岡市</t>
  </si>
  <si>
    <t>0282-1</t>
  </si>
  <si>
    <t>宮城県亘理町</t>
  </si>
  <si>
    <t>0282</t>
  </si>
  <si>
    <t>043612</t>
  </si>
  <si>
    <t>043613</t>
  </si>
  <si>
    <t>282325酒田市</t>
  </si>
  <si>
    <t>0283-1</t>
  </si>
  <si>
    <t>宮城県山元町</t>
  </si>
  <si>
    <t>0283</t>
  </si>
  <si>
    <t>043620</t>
  </si>
  <si>
    <t>043621</t>
  </si>
  <si>
    <t>283326新庄市</t>
  </si>
  <si>
    <t>0284-1</t>
  </si>
  <si>
    <t>宮城県松島町</t>
  </si>
  <si>
    <t>0284</t>
  </si>
  <si>
    <t>044016</t>
  </si>
  <si>
    <t>284327寒河江市</t>
  </si>
  <si>
    <t>0285-1</t>
  </si>
  <si>
    <t>宮城県七ヶ浜町</t>
  </si>
  <si>
    <t>0285</t>
  </si>
  <si>
    <t>044040</t>
  </si>
  <si>
    <t>044041</t>
  </si>
  <si>
    <t>285328上山市</t>
  </si>
  <si>
    <t>0286-1</t>
  </si>
  <si>
    <t>宮城県利府町</t>
  </si>
  <si>
    <t>0286</t>
  </si>
  <si>
    <t>044065</t>
  </si>
  <si>
    <t>044067</t>
  </si>
  <si>
    <t>286329村山市</t>
  </si>
  <si>
    <t>0287-1</t>
  </si>
  <si>
    <t>宮城県大和町</t>
  </si>
  <si>
    <t>0287</t>
  </si>
  <si>
    <t>044214</t>
  </si>
  <si>
    <t>421</t>
  </si>
  <si>
    <t>044211</t>
  </si>
  <si>
    <t>287330長井市</t>
  </si>
  <si>
    <t>0288-1</t>
  </si>
  <si>
    <t>宮城県大郷町</t>
  </si>
  <si>
    <t>0288</t>
  </si>
  <si>
    <t>044222</t>
  </si>
  <si>
    <t>422</t>
  </si>
  <si>
    <t>044229</t>
  </si>
  <si>
    <t>288331天童市</t>
  </si>
  <si>
    <t>0289-1</t>
  </si>
  <si>
    <t>宮城県大衡村</t>
  </si>
  <si>
    <t>0289</t>
  </si>
  <si>
    <t>044248</t>
  </si>
  <si>
    <t>044245</t>
  </si>
  <si>
    <t>289332東根市</t>
  </si>
  <si>
    <t>0290-1</t>
  </si>
  <si>
    <t>宮城県色麻町</t>
  </si>
  <si>
    <t>0290</t>
  </si>
  <si>
    <t>044446</t>
  </si>
  <si>
    <t>444</t>
  </si>
  <si>
    <t>044440</t>
  </si>
  <si>
    <t>290333尾花沢市</t>
  </si>
  <si>
    <t>0291-1</t>
  </si>
  <si>
    <t>宮城県加美町</t>
  </si>
  <si>
    <t>0291</t>
  </si>
  <si>
    <t>044453</t>
  </si>
  <si>
    <t>044458</t>
  </si>
  <si>
    <t>291334南陽市</t>
  </si>
  <si>
    <t>0292-1</t>
  </si>
  <si>
    <t>宮城県涌谷町</t>
  </si>
  <si>
    <t>0292</t>
  </si>
  <si>
    <t>045013</t>
  </si>
  <si>
    <t>045012</t>
  </si>
  <si>
    <t>292335山辺町</t>
  </si>
  <si>
    <t>0293-1</t>
  </si>
  <si>
    <t>宮城県美里町</t>
  </si>
  <si>
    <t>0293</t>
  </si>
  <si>
    <t>045054</t>
  </si>
  <si>
    <t>505</t>
  </si>
  <si>
    <t>045055</t>
  </si>
  <si>
    <t>293336中山町</t>
  </si>
  <si>
    <t>0294-1</t>
  </si>
  <si>
    <t>宮城県女川町</t>
  </si>
  <si>
    <t>0294</t>
  </si>
  <si>
    <t>045815</t>
  </si>
  <si>
    <t>045811</t>
  </si>
  <si>
    <t>294337河北町</t>
  </si>
  <si>
    <t>0295-1</t>
  </si>
  <si>
    <t>宮城県南三陸町</t>
  </si>
  <si>
    <t>0295</t>
  </si>
  <si>
    <t>046060</t>
  </si>
  <si>
    <t>606</t>
  </si>
  <si>
    <t>295338西川町</t>
  </si>
  <si>
    <t>0296-1</t>
  </si>
  <si>
    <t>秋田県秋田市</t>
  </si>
  <si>
    <t>0296</t>
  </si>
  <si>
    <t>052019</t>
  </si>
  <si>
    <t>296339朝日町</t>
  </si>
  <si>
    <t>0297-1</t>
  </si>
  <si>
    <t>秋田県能代市</t>
  </si>
  <si>
    <t>0297</t>
  </si>
  <si>
    <t>052027</t>
  </si>
  <si>
    <t>297340大江町</t>
  </si>
  <si>
    <t>0298-1</t>
  </si>
  <si>
    <t>秋田県横手市</t>
  </si>
  <si>
    <t>0298</t>
  </si>
  <si>
    <t>052035</t>
  </si>
  <si>
    <t>298341大石田町</t>
  </si>
  <si>
    <t>0299-1</t>
  </si>
  <si>
    <t>秋田県大館市</t>
  </si>
  <si>
    <t>0299</t>
  </si>
  <si>
    <t>052043</t>
  </si>
  <si>
    <t>299342金山町</t>
  </si>
  <si>
    <t>0300-1</t>
  </si>
  <si>
    <t>秋田県男鹿市</t>
  </si>
  <si>
    <t>0300</t>
  </si>
  <si>
    <t>052068</t>
  </si>
  <si>
    <t>052060</t>
  </si>
  <si>
    <t>300343最上町</t>
  </si>
  <si>
    <t>0301-1</t>
  </si>
  <si>
    <t>秋田県湯沢市</t>
  </si>
  <si>
    <t>0301</t>
  </si>
  <si>
    <t>052076</t>
  </si>
  <si>
    <t>052078</t>
  </si>
  <si>
    <t>301344舟形町</t>
  </si>
  <si>
    <t>0302-1</t>
  </si>
  <si>
    <t>秋田県鹿角市</t>
  </si>
  <si>
    <t>0302</t>
  </si>
  <si>
    <t>052092</t>
  </si>
  <si>
    <t>052094</t>
  </si>
  <si>
    <t>302345真室川町</t>
  </si>
  <si>
    <t>0303-1</t>
  </si>
  <si>
    <t>秋田県潟上市</t>
  </si>
  <si>
    <t>0303</t>
  </si>
  <si>
    <t>052118</t>
  </si>
  <si>
    <t>052116</t>
  </si>
  <si>
    <t>303346大蔵村</t>
  </si>
  <si>
    <t>0304-1</t>
  </si>
  <si>
    <t>秋田県北秋田市</t>
  </si>
  <si>
    <t>0304</t>
  </si>
  <si>
    <t>052134</t>
  </si>
  <si>
    <t>052132</t>
  </si>
  <si>
    <t>304347鮭川村</t>
  </si>
  <si>
    <t>0305-1</t>
  </si>
  <si>
    <t>秋田県小坂町</t>
  </si>
  <si>
    <t>0305</t>
  </si>
  <si>
    <t>053033</t>
  </si>
  <si>
    <t>053031</t>
  </si>
  <si>
    <t>305348戸沢村</t>
  </si>
  <si>
    <t>0306-1</t>
  </si>
  <si>
    <t>秋田県上小阿仁村</t>
  </si>
  <si>
    <t>0306</t>
  </si>
  <si>
    <t>053272</t>
  </si>
  <si>
    <t>327</t>
  </si>
  <si>
    <t>053279</t>
  </si>
  <si>
    <t>306349高畠町</t>
  </si>
  <si>
    <t>0307-1</t>
  </si>
  <si>
    <t>秋田県藤里町</t>
  </si>
  <si>
    <t>0307</t>
  </si>
  <si>
    <t>053462</t>
  </si>
  <si>
    <t>053465</t>
  </si>
  <si>
    <t>307350川西町</t>
  </si>
  <si>
    <t>0308-1</t>
  </si>
  <si>
    <t>秋田県三種町</t>
  </si>
  <si>
    <t>0308</t>
  </si>
  <si>
    <t>053488</t>
  </si>
  <si>
    <t>348</t>
  </si>
  <si>
    <t>053481</t>
  </si>
  <si>
    <t>308351小国町</t>
  </si>
  <si>
    <t>0309-1</t>
  </si>
  <si>
    <t>秋田県八峰町</t>
  </si>
  <si>
    <t>0309</t>
  </si>
  <si>
    <t>053496</t>
  </si>
  <si>
    <t>349</t>
  </si>
  <si>
    <t>053490</t>
  </si>
  <si>
    <t>309352白鷹町</t>
  </si>
  <si>
    <t>0310-1</t>
  </si>
  <si>
    <t>秋田県五城目町</t>
  </si>
  <si>
    <t>0310</t>
  </si>
  <si>
    <t>053611</t>
  </si>
  <si>
    <t>053619</t>
  </si>
  <si>
    <t>310353飯豊町</t>
  </si>
  <si>
    <t>0311-1</t>
  </si>
  <si>
    <t>秋田県八郎潟町</t>
  </si>
  <si>
    <t>0311</t>
  </si>
  <si>
    <t>053637</t>
  </si>
  <si>
    <t>053635</t>
  </si>
  <si>
    <t>311354三川町</t>
  </si>
  <si>
    <t>0312-1</t>
  </si>
  <si>
    <t>秋田県井川町</t>
  </si>
  <si>
    <t>0312</t>
  </si>
  <si>
    <t>053660</t>
  </si>
  <si>
    <t>312355庄内町</t>
  </si>
  <si>
    <t>0313-1</t>
  </si>
  <si>
    <t>秋田県大潟村</t>
  </si>
  <si>
    <t>0313</t>
  </si>
  <si>
    <t>053686</t>
  </si>
  <si>
    <t>368</t>
  </si>
  <si>
    <t>313356遊佐町</t>
  </si>
  <si>
    <t>0314-1</t>
  </si>
  <si>
    <t>秋田県羽後町</t>
  </si>
  <si>
    <t>0314</t>
  </si>
  <si>
    <t>054635</t>
  </si>
  <si>
    <t>054631</t>
  </si>
  <si>
    <t>314357福島市</t>
  </si>
  <si>
    <t>0315-1</t>
  </si>
  <si>
    <t>秋田県東成瀬村</t>
  </si>
  <si>
    <t>0315</t>
  </si>
  <si>
    <t>054643</t>
  </si>
  <si>
    <t>054640</t>
  </si>
  <si>
    <t>315358会津若松市</t>
  </si>
  <si>
    <t>0316-1</t>
    <phoneticPr fontId="3"/>
  </si>
  <si>
    <t>秋田県由利本荘市</t>
  </si>
  <si>
    <t>0316</t>
  </si>
  <si>
    <t>052100</t>
  </si>
  <si>
    <t>052108</t>
  </si>
  <si>
    <t>316359郡山市</t>
  </si>
  <si>
    <t>0317-1</t>
    <phoneticPr fontId="3"/>
  </si>
  <si>
    <t>秋田県にかほ市</t>
  </si>
  <si>
    <t>0317</t>
  </si>
  <si>
    <t>052142</t>
  </si>
  <si>
    <t>052141</t>
  </si>
  <si>
    <t>317360いわき市</t>
  </si>
  <si>
    <t>0318-1</t>
  </si>
  <si>
    <t>秋田県大曲仙北広域市町村圏組合</t>
  </si>
  <si>
    <t>0318</t>
  </si>
  <si>
    <t>058628</t>
  </si>
  <si>
    <t>862</t>
  </si>
  <si>
    <t>058629</t>
  </si>
  <si>
    <t>318361白河市</t>
  </si>
  <si>
    <t>0318-2</t>
  </si>
  <si>
    <t>秋田県大仙市</t>
  </si>
  <si>
    <t>0319</t>
  </si>
  <si>
    <t>052126</t>
  </si>
  <si>
    <t>052124</t>
  </si>
  <si>
    <t>319362須賀川市</t>
  </si>
  <si>
    <t>0318-3</t>
  </si>
  <si>
    <t>秋田県仙北市</t>
  </si>
  <si>
    <t>0320</t>
  </si>
  <si>
    <t>052159</t>
  </si>
  <si>
    <t>320363喜多方市</t>
  </si>
  <si>
    <t>0318-4</t>
  </si>
  <si>
    <t>秋田県美郷町</t>
  </si>
  <si>
    <t>0321</t>
  </si>
  <si>
    <t>054346</t>
  </si>
  <si>
    <t>054348</t>
  </si>
  <si>
    <t>321364相馬市</t>
  </si>
  <si>
    <t>0322-1</t>
  </si>
  <si>
    <t>山形県山形市</t>
  </si>
  <si>
    <t>0322</t>
  </si>
  <si>
    <t>062018</t>
  </si>
  <si>
    <t>062014</t>
  </si>
  <si>
    <t>322365二本松市</t>
  </si>
  <si>
    <t>0323-1</t>
  </si>
  <si>
    <t>山形県米沢市</t>
  </si>
  <si>
    <t>0323</t>
  </si>
  <si>
    <t>062026</t>
  </si>
  <si>
    <t>062022</t>
  </si>
  <si>
    <t>323366田村市</t>
  </si>
  <si>
    <t>0324-1</t>
  </si>
  <si>
    <t>山形県鶴岡市</t>
  </si>
  <si>
    <t>0324</t>
  </si>
  <si>
    <t>062034</t>
  </si>
  <si>
    <t>062031</t>
  </si>
  <si>
    <t>324367南相馬市</t>
  </si>
  <si>
    <t>0325-1</t>
  </si>
  <si>
    <t>山形県酒田市</t>
  </si>
  <si>
    <t>0325</t>
  </si>
  <si>
    <t>062042</t>
  </si>
  <si>
    <t>062049</t>
  </si>
  <si>
    <t>325368伊達市</t>
  </si>
  <si>
    <t>0326-1</t>
  </si>
  <si>
    <t>山形県新庄市</t>
  </si>
  <si>
    <t>0326</t>
  </si>
  <si>
    <t>062059</t>
  </si>
  <si>
    <t>062057</t>
  </si>
  <si>
    <t>326369本宮市</t>
  </si>
  <si>
    <t>0327-1</t>
  </si>
  <si>
    <t>山形県寒河江市</t>
  </si>
  <si>
    <t>0327</t>
  </si>
  <si>
    <t>062067</t>
  </si>
  <si>
    <t>062065</t>
  </si>
  <si>
    <t>327370桑折町</t>
  </si>
  <si>
    <t>0328-1</t>
  </si>
  <si>
    <t>山形県上山市</t>
  </si>
  <si>
    <t>0328</t>
  </si>
  <si>
    <t>062075</t>
  </si>
  <si>
    <t>062073</t>
  </si>
  <si>
    <t>328371国見町</t>
  </si>
  <si>
    <t>0329-1</t>
  </si>
  <si>
    <t>山形県村山市</t>
  </si>
  <si>
    <t>0329</t>
  </si>
  <si>
    <t>062083</t>
  </si>
  <si>
    <t>062081</t>
  </si>
  <si>
    <t>329372川俣町</t>
  </si>
  <si>
    <t>0330-1</t>
  </si>
  <si>
    <t>山形県長井市</t>
  </si>
  <si>
    <t>0330</t>
  </si>
  <si>
    <t>062091</t>
  </si>
  <si>
    <t>062090</t>
  </si>
  <si>
    <t>330373大玉村</t>
  </si>
  <si>
    <t>0331-1</t>
  </si>
  <si>
    <t>山形県天童市</t>
  </si>
  <si>
    <t>0331</t>
  </si>
  <si>
    <t>062109</t>
  </si>
  <si>
    <t>062103</t>
  </si>
  <si>
    <t>331374鏡石町</t>
  </si>
  <si>
    <t>0332-1</t>
  </si>
  <si>
    <t>山形県東根市</t>
  </si>
  <si>
    <t>0332</t>
  </si>
  <si>
    <t>062117</t>
  </si>
  <si>
    <t>062111</t>
  </si>
  <si>
    <t>332375天栄村</t>
  </si>
  <si>
    <t>0333-1</t>
  </si>
  <si>
    <t>山形県尾花沢市</t>
  </si>
  <si>
    <t>0333</t>
  </si>
  <si>
    <t>062125</t>
  </si>
  <si>
    <t>062120</t>
  </si>
  <si>
    <t>333376下郷町</t>
  </si>
  <si>
    <t>0334-1</t>
  </si>
  <si>
    <t>山形県南陽市</t>
  </si>
  <si>
    <t>0334</t>
  </si>
  <si>
    <t>062133</t>
  </si>
  <si>
    <t>062138</t>
  </si>
  <si>
    <t>334377檜枝岐村</t>
  </si>
  <si>
    <t>0335-1</t>
  </si>
  <si>
    <t>山形県山辺町</t>
  </si>
  <si>
    <t>0335</t>
  </si>
  <si>
    <t>063016</t>
  </si>
  <si>
    <t>063011</t>
  </si>
  <si>
    <t>335378只見町</t>
  </si>
  <si>
    <t>0336-1</t>
  </si>
  <si>
    <t>山形県中山町</t>
  </si>
  <si>
    <t>0336</t>
  </si>
  <si>
    <t>063024</t>
  </si>
  <si>
    <t>063029</t>
  </si>
  <si>
    <t>336379南会津町</t>
  </si>
  <si>
    <t>0337-1</t>
  </si>
  <si>
    <t>山形県河北町</t>
  </si>
  <si>
    <t>0337</t>
  </si>
  <si>
    <t>063214</t>
  </si>
  <si>
    <t>063215</t>
  </si>
  <si>
    <t>337380北塩原村</t>
  </si>
  <si>
    <t>0338-1</t>
  </si>
  <si>
    <t>山形県西川町</t>
  </si>
  <si>
    <t>0338</t>
  </si>
  <si>
    <t>063222</t>
  </si>
  <si>
    <t>063223</t>
  </si>
  <si>
    <t>338381西会津町</t>
  </si>
  <si>
    <t>0339-1</t>
  </si>
  <si>
    <t>山形県朝日町</t>
  </si>
  <si>
    <t>0339</t>
  </si>
  <si>
    <t>063230</t>
  </si>
  <si>
    <t>063231</t>
  </si>
  <si>
    <t>339382磐梯町</t>
  </si>
  <si>
    <t>0340-1</t>
  </si>
  <si>
    <t>山形県大江町</t>
  </si>
  <si>
    <t>0340</t>
  </si>
  <si>
    <t>063248</t>
  </si>
  <si>
    <t>063240</t>
  </si>
  <si>
    <t>340383猪苗代町</t>
  </si>
  <si>
    <t>0341-1</t>
  </si>
  <si>
    <t>山形県大石田町</t>
  </si>
  <si>
    <t>0341</t>
  </si>
  <si>
    <t>063412</t>
  </si>
  <si>
    <t>063410</t>
  </si>
  <si>
    <t>341384会津坂下町</t>
  </si>
  <si>
    <t>0342-1</t>
  </si>
  <si>
    <t>山形県金山町</t>
  </si>
  <si>
    <t>0342</t>
  </si>
  <si>
    <t>063610</t>
  </si>
  <si>
    <t>063614</t>
  </si>
  <si>
    <t>342385湯川村</t>
  </si>
  <si>
    <t>0343-1</t>
  </si>
  <si>
    <t>山形県最上町</t>
  </si>
  <si>
    <t>0343</t>
  </si>
  <si>
    <t>063628</t>
  </si>
  <si>
    <t>063622</t>
  </si>
  <si>
    <t>343386柳津町</t>
  </si>
  <si>
    <t>0344-1</t>
  </si>
  <si>
    <t>山形県舟形町</t>
  </si>
  <si>
    <t>0344</t>
  </si>
  <si>
    <t>063636</t>
  </si>
  <si>
    <t>063631</t>
  </si>
  <si>
    <t>344387三島町</t>
  </si>
  <si>
    <t>0345-1</t>
  </si>
  <si>
    <t>山形県真室川町</t>
  </si>
  <si>
    <t>0345</t>
  </si>
  <si>
    <t>063644</t>
  </si>
  <si>
    <t>063649</t>
  </si>
  <si>
    <t>345388金山町</t>
  </si>
  <si>
    <t>0346-1</t>
  </si>
  <si>
    <t>山形県大蔵村</t>
  </si>
  <si>
    <t>0346</t>
  </si>
  <si>
    <t>063651</t>
  </si>
  <si>
    <t>365</t>
  </si>
  <si>
    <t>063657</t>
  </si>
  <si>
    <t>346389昭和村</t>
  </si>
  <si>
    <t>0347-1</t>
  </si>
  <si>
    <t>山形県鮭川村</t>
  </si>
  <si>
    <t>0347</t>
  </si>
  <si>
    <t>063669</t>
  </si>
  <si>
    <t>063665</t>
  </si>
  <si>
    <t>347390会津美里町</t>
  </si>
  <si>
    <t>0348-1</t>
  </si>
  <si>
    <t>山形県戸沢村</t>
  </si>
  <si>
    <t>0348</t>
  </si>
  <si>
    <t>063677</t>
  </si>
  <si>
    <t>063673</t>
  </si>
  <si>
    <t>348391西郷村</t>
  </si>
  <si>
    <t>0349-1</t>
  </si>
  <si>
    <t>山形県高畠町</t>
  </si>
  <si>
    <t>0349</t>
  </si>
  <si>
    <t>063818</t>
  </si>
  <si>
    <t>063819</t>
  </si>
  <si>
    <t>349392泉崎村</t>
  </si>
  <si>
    <t>0350-1</t>
  </si>
  <si>
    <t>山形県川西町</t>
  </si>
  <si>
    <t>0350</t>
  </si>
  <si>
    <t>063826</t>
  </si>
  <si>
    <t>382</t>
  </si>
  <si>
    <t>063827</t>
  </si>
  <si>
    <t>350393中島村</t>
  </si>
  <si>
    <t>0351-1</t>
  </si>
  <si>
    <t>山形県小国町</t>
  </si>
  <si>
    <t>0351</t>
  </si>
  <si>
    <t>064014</t>
  </si>
  <si>
    <t>064017</t>
  </si>
  <si>
    <t>351394矢吹町</t>
  </si>
  <si>
    <t>0352-1</t>
  </si>
  <si>
    <t>山形県白鷹町</t>
  </si>
  <si>
    <t>0352</t>
  </si>
  <si>
    <t>064022</t>
  </si>
  <si>
    <t>064025</t>
  </si>
  <si>
    <t>352395棚倉町</t>
  </si>
  <si>
    <t>0353-1</t>
  </si>
  <si>
    <t>山形県飯豊町</t>
  </si>
  <si>
    <t>0353</t>
  </si>
  <si>
    <t>064030</t>
  </si>
  <si>
    <t>064033</t>
  </si>
  <si>
    <t>353396矢祭町</t>
  </si>
  <si>
    <t>0354-1</t>
  </si>
  <si>
    <t>山形県三川町</t>
  </si>
  <si>
    <t>0354</t>
  </si>
  <si>
    <t>064261</t>
  </si>
  <si>
    <t>064262</t>
  </si>
  <si>
    <t>354397塙町</t>
  </si>
  <si>
    <t>0355-1</t>
  </si>
  <si>
    <t>山形県庄内町</t>
  </si>
  <si>
    <t>0355</t>
  </si>
  <si>
    <t>064287</t>
  </si>
  <si>
    <t>064289</t>
  </si>
  <si>
    <t>355398鮫川村</t>
  </si>
  <si>
    <t>0356-1</t>
  </si>
  <si>
    <t>山形県遊佐町</t>
  </si>
  <si>
    <t>0356</t>
  </si>
  <si>
    <t>064618</t>
  </si>
  <si>
    <t>064611</t>
  </si>
  <si>
    <t>356399石川町</t>
  </si>
  <si>
    <t>0357-1</t>
  </si>
  <si>
    <t>福島県福島市</t>
  </si>
  <si>
    <t>0357</t>
  </si>
  <si>
    <t>072017</t>
  </si>
  <si>
    <t>072010</t>
  </si>
  <si>
    <t>357400玉川村</t>
  </si>
  <si>
    <t>0358-1</t>
  </si>
  <si>
    <t>福島県会津若松市</t>
  </si>
  <si>
    <t>0358</t>
  </si>
  <si>
    <t>072025</t>
  </si>
  <si>
    <t>072028</t>
  </si>
  <si>
    <t>358401平田村</t>
  </si>
  <si>
    <t>0359-1</t>
  </si>
  <si>
    <t>福島県郡山市</t>
  </si>
  <si>
    <t>0359</t>
  </si>
  <si>
    <t>072033</t>
  </si>
  <si>
    <t>072036</t>
  </si>
  <si>
    <t>359402浅川町</t>
  </si>
  <si>
    <t>0360-1</t>
  </si>
  <si>
    <t>福島県いわき市</t>
  </si>
  <si>
    <t>0360</t>
  </si>
  <si>
    <t>072041</t>
  </si>
  <si>
    <t>072044</t>
  </si>
  <si>
    <t>360403古殿町</t>
  </si>
  <si>
    <t>0361-1</t>
  </si>
  <si>
    <t>福島県白河市</t>
  </si>
  <si>
    <t>0361</t>
  </si>
  <si>
    <t>072058</t>
  </si>
  <si>
    <t>072052</t>
  </si>
  <si>
    <t>361404三春町</t>
  </si>
  <si>
    <t>0362-1</t>
  </si>
  <si>
    <t>福島県須賀川市</t>
  </si>
  <si>
    <t>0362</t>
  </si>
  <si>
    <t>072074</t>
  </si>
  <si>
    <t>072079</t>
  </si>
  <si>
    <t>362405小野町</t>
  </si>
  <si>
    <t>0363-1</t>
  </si>
  <si>
    <t>福島県喜多方市</t>
  </si>
  <si>
    <t>0363</t>
  </si>
  <si>
    <t>072082</t>
  </si>
  <si>
    <t>072087</t>
  </si>
  <si>
    <t>363406広野町</t>
  </si>
  <si>
    <t>0364-1</t>
  </si>
  <si>
    <t>福島県相馬市</t>
  </si>
  <si>
    <t>0364</t>
  </si>
  <si>
    <t>072090</t>
  </si>
  <si>
    <t>072095</t>
  </si>
  <si>
    <t>364407楢葉町</t>
  </si>
  <si>
    <t>0365-1</t>
  </si>
  <si>
    <t>福島県二本松市</t>
  </si>
  <si>
    <t>0365</t>
  </si>
  <si>
    <t>072108</t>
  </si>
  <si>
    <t>072109</t>
  </si>
  <si>
    <t>365408富岡町</t>
  </si>
  <si>
    <t>0366-1</t>
  </si>
  <si>
    <t>福島県田村市</t>
  </si>
  <si>
    <t>0366</t>
  </si>
  <si>
    <t>072116</t>
  </si>
  <si>
    <t>072117</t>
  </si>
  <si>
    <t>366409川内村</t>
  </si>
  <si>
    <t>0367-1</t>
  </si>
  <si>
    <t>福島県南相馬市</t>
  </si>
  <si>
    <t>0367</t>
  </si>
  <si>
    <t>072124</t>
  </si>
  <si>
    <t>072125</t>
  </si>
  <si>
    <t>367410大熊町</t>
  </si>
  <si>
    <t>0368-1</t>
  </si>
  <si>
    <t>福島県伊達市</t>
  </si>
  <si>
    <t>0368</t>
  </si>
  <si>
    <t>072132</t>
  </si>
  <si>
    <t>072133</t>
  </si>
  <si>
    <t>368411双葉町</t>
  </si>
  <si>
    <t>0369-1</t>
  </si>
  <si>
    <t>福島県本宮市</t>
  </si>
  <si>
    <t>0369</t>
  </si>
  <si>
    <t>072140</t>
  </si>
  <si>
    <t>072141</t>
  </si>
  <si>
    <t>369412浪江町</t>
  </si>
  <si>
    <t>0370-1</t>
  </si>
  <si>
    <t>福島県桑折町</t>
  </si>
  <si>
    <t>0370</t>
  </si>
  <si>
    <t>073015</t>
  </si>
  <si>
    <t>073016</t>
  </si>
  <si>
    <t>370413葛尾村</t>
  </si>
  <si>
    <t>0371-1</t>
  </si>
  <si>
    <t>福島県国見町</t>
  </si>
  <si>
    <t>0371</t>
  </si>
  <si>
    <t>073031</t>
  </si>
  <si>
    <t>073032</t>
  </si>
  <si>
    <t>371414新地町</t>
  </si>
  <si>
    <t>0372-1</t>
  </si>
  <si>
    <t>福島県川俣町</t>
  </si>
  <si>
    <t>0372</t>
  </si>
  <si>
    <t>073080</t>
  </si>
  <si>
    <t>308</t>
  </si>
  <si>
    <t>073083</t>
  </si>
  <si>
    <t>372415飯舘村</t>
  </si>
  <si>
    <t>0373-1</t>
  </si>
  <si>
    <t>福島県大玉村</t>
  </si>
  <si>
    <t>0373</t>
  </si>
  <si>
    <t>073221</t>
  </si>
  <si>
    <t>073229</t>
  </si>
  <si>
    <t>373416水戸市</t>
  </si>
  <si>
    <t>0374-1</t>
  </si>
  <si>
    <t>福島県鏡石町</t>
  </si>
  <si>
    <t>0374</t>
  </si>
  <si>
    <t>073429</t>
  </si>
  <si>
    <t>342</t>
  </si>
  <si>
    <t>073423</t>
  </si>
  <si>
    <t>374417日立市</t>
  </si>
  <si>
    <t>0375-1</t>
  </si>
  <si>
    <t>福島県天栄村</t>
  </si>
  <si>
    <t>0375</t>
  </si>
  <si>
    <t>073445</t>
  </si>
  <si>
    <t>344</t>
  </si>
  <si>
    <t>073440</t>
  </si>
  <si>
    <t>375418土浦市</t>
  </si>
  <si>
    <t>0376-1</t>
  </si>
  <si>
    <t>福島県下郷町</t>
  </si>
  <si>
    <t>0376</t>
  </si>
  <si>
    <t>073627</t>
  </si>
  <si>
    <t>073628</t>
  </si>
  <si>
    <t>376419古河市</t>
  </si>
  <si>
    <t>0377-1</t>
  </si>
  <si>
    <t>福島県檜枝岐村</t>
  </si>
  <si>
    <t>0377</t>
  </si>
  <si>
    <t>073643</t>
  </si>
  <si>
    <t>073644</t>
  </si>
  <si>
    <t>377420石岡市</t>
  </si>
  <si>
    <t>0378-1</t>
  </si>
  <si>
    <t>福島県只見町</t>
  </si>
  <si>
    <t>0378</t>
  </si>
  <si>
    <t>073676</t>
  </si>
  <si>
    <t>073679</t>
  </si>
  <si>
    <t>378421結城市</t>
  </si>
  <si>
    <t>0379-1</t>
  </si>
  <si>
    <t>福島県南会津町</t>
  </si>
  <si>
    <t>0379</t>
  </si>
  <si>
    <t>073684</t>
  </si>
  <si>
    <t>073687</t>
  </si>
  <si>
    <t>379422龍ケ崎市</t>
  </si>
  <si>
    <t>0380-1</t>
  </si>
  <si>
    <t>福島県北塩原村</t>
  </si>
  <si>
    <t>0380</t>
  </si>
  <si>
    <t>074021</t>
  </si>
  <si>
    <t>380423下妻市</t>
  </si>
  <si>
    <t>0381-1</t>
  </si>
  <si>
    <t>福島県西会津町</t>
  </si>
  <si>
    <t>0381</t>
  </si>
  <si>
    <t>074054</t>
  </si>
  <si>
    <t>074055</t>
  </si>
  <si>
    <t>381424常総市</t>
  </si>
  <si>
    <t>0382-1</t>
  </si>
  <si>
    <t>福島県磐梯町</t>
  </si>
  <si>
    <t>0382</t>
  </si>
  <si>
    <t>074070</t>
  </si>
  <si>
    <t>074071</t>
  </si>
  <si>
    <t>382425常陸太田市</t>
  </si>
  <si>
    <t>0383-1</t>
  </si>
  <si>
    <t>福島県猪苗代町</t>
  </si>
  <si>
    <t>0383</t>
  </si>
  <si>
    <t>074088</t>
  </si>
  <si>
    <t>074080</t>
  </si>
  <si>
    <t>383426高萩市</t>
  </si>
  <si>
    <t>0384-1</t>
  </si>
  <si>
    <t>福島県会津坂下町</t>
  </si>
  <si>
    <t>0384</t>
  </si>
  <si>
    <t>074211</t>
  </si>
  <si>
    <t>074217</t>
  </si>
  <si>
    <t>384427北茨城市</t>
  </si>
  <si>
    <t>0385-1</t>
  </si>
  <si>
    <t>福島県湯川村</t>
  </si>
  <si>
    <t>0385</t>
  </si>
  <si>
    <t>074229</t>
  </si>
  <si>
    <t>074225</t>
  </si>
  <si>
    <t>385428笠間市</t>
  </si>
  <si>
    <t>0386-1</t>
  </si>
  <si>
    <t>福島県柳津町</t>
  </si>
  <si>
    <t>0386</t>
  </si>
  <si>
    <t>074237</t>
  </si>
  <si>
    <t>074233</t>
  </si>
  <si>
    <t>386429取手市</t>
  </si>
  <si>
    <t>0387-1</t>
  </si>
  <si>
    <t>福島県三島町</t>
  </si>
  <si>
    <t>0387</t>
  </si>
  <si>
    <t>074443</t>
  </si>
  <si>
    <t>074446</t>
  </si>
  <si>
    <t>387430牛久市</t>
  </si>
  <si>
    <t>0388-1</t>
  </si>
  <si>
    <t>福島県金山町</t>
  </si>
  <si>
    <t>0388</t>
  </si>
  <si>
    <t>074450</t>
  </si>
  <si>
    <t>074454</t>
  </si>
  <si>
    <t>388431つくば市</t>
  </si>
  <si>
    <t>0389-1</t>
  </si>
  <si>
    <t>福島県昭和村</t>
  </si>
  <si>
    <t>0389</t>
  </si>
  <si>
    <t>074468</t>
  </si>
  <si>
    <t>074462</t>
  </si>
  <si>
    <t>389432ひたちなか市</t>
  </si>
  <si>
    <t>0390-1</t>
  </si>
  <si>
    <t>福島県会津美里町</t>
  </si>
  <si>
    <t>0390</t>
  </si>
  <si>
    <t>074476</t>
  </si>
  <si>
    <t>447</t>
  </si>
  <si>
    <t>074471</t>
  </si>
  <si>
    <t>390433鹿嶋市</t>
  </si>
  <si>
    <t>0391-1</t>
  </si>
  <si>
    <t>福島県西郷村</t>
  </si>
  <si>
    <t>0391</t>
  </si>
  <si>
    <t>074617</t>
  </si>
  <si>
    <t>074616</t>
  </si>
  <si>
    <t>391434潮来市</t>
  </si>
  <si>
    <t>0392-1</t>
  </si>
  <si>
    <t>福島県泉崎村</t>
  </si>
  <si>
    <t>0392</t>
  </si>
  <si>
    <t>074641</t>
  </si>
  <si>
    <t>392435守谷市</t>
  </si>
  <si>
    <t>0393-1</t>
  </si>
  <si>
    <t>福島県中島村</t>
  </si>
  <si>
    <t>0393</t>
  </si>
  <si>
    <t>074658</t>
  </si>
  <si>
    <t>074659</t>
  </si>
  <si>
    <t>393436常陸大宮市</t>
  </si>
  <si>
    <t>0394-1</t>
  </si>
  <si>
    <t>福島県矢吹町</t>
  </si>
  <si>
    <t>0394</t>
  </si>
  <si>
    <t>074666</t>
  </si>
  <si>
    <t>466</t>
  </si>
  <si>
    <t>074667</t>
  </si>
  <si>
    <t>394437那珂市</t>
  </si>
  <si>
    <t>0395-1</t>
  </si>
  <si>
    <t>福島県棚倉町</t>
  </si>
  <si>
    <t>0395</t>
  </si>
  <si>
    <t>074815</t>
  </si>
  <si>
    <t>074811</t>
  </si>
  <si>
    <t>395438筑西市</t>
  </si>
  <si>
    <t>0396-1</t>
  </si>
  <si>
    <t>福島県矢祭町</t>
  </si>
  <si>
    <t>0396</t>
  </si>
  <si>
    <t>074823</t>
  </si>
  <si>
    <t>074829</t>
  </si>
  <si>
    <t>396439坂東市</t>
  </si>
  <si>
    <t>0397-1</t>
  </si>
  <si>
    <t>福島県塙町</t>
  </si>
  <si>
    <t>0397</t>
  </si>
  <si>
    <t>074831</t>
  </si>
  <si>
    <t>074837</t>
  </si>
  <si>
    <t>397440稲敷市</t>
  </si>
  <si>
    <t>0398-1</t>
  </si>
  <si>
    <t>福島県鮫川村</t>
  </si>
  <si>
    <t>0398</t>
  </si>
  <si>
    <t>074849</t>
  </si>
  <si>
    <t>074845</t>
  </si>
  <si>
    <t>398441かすみがうら市</t>
  </si>
  <si>
    <t>0399-1</t>
  </si>
  <si>
    <t>福島県石川町</t>
  </si>
  <si>
    <t>0399</t>
  </si>
  <si>
    <t>075010</t>
  </si>
  <si>
    <t>075019</t>
  </si>
  <si>
    <t>399442桜川市</t>
  </si>
  <si>
    <t>0400-1</t>
  </si>
  <si>
    <t>福島県玉川村</t>
  </si>
  <si>
    <t>0400</t>
  </si>
  <si>
    <t>075028</t>
  </si>
  <si>
    <t>502</t>
  </si>
  <si>
    <t>075027</t>
  </si>
  <si>
    <t>400443神栖市</t>
  </si>
  <si>
    <t>0401-1</t>
  </si>
  <si>
    <t>福島県平田村</t>
  </si>
  <si>
    <t>0401</t>
  </si>
  <si>
    <t>075036</t>
  </si>
  <si>
    <t>075035</t>
  </si>
  <si>
    <t>401444行方市</t>
  </si>
  <si>
    <t>0402-1</t>
  </si>
  <si>
    <t>福島県浅川町</t>
  </si>
  <si>
    <t>0402</t>
  </si>
  <si>
    <t>075044</t>
  </si>
  <si>
    <t>504</t>
  </si>
  <si>
    <t>075043</t>
  </si>
  <si>
    <t>402445鉾田市</t>
  </si>
  <si>
    <t>0403-1</t>
  </si>
  <si>
    <t>福島県古殿町</t>
  </si>
  <si>
    <t>0403</t>
  </si>
  <si>
    <t>075051</t>
  </si>
  <si>
    <t>403446つくばみらい市</t>
  </si>
  <si>
    <t>0404-1</t>
  </si>
  <si>
    <t>福島県三春町</t>
  </si>
  <si>
    <t>0404</t>
  </si>
  <si>
    <t>075218</t>
  </si>
  <si>
    <t>521</t>
  </si>
  <si>
    <t>075213</t>
  </si>
  <si>
    <t>404447小美玉市</t>
  </si>
  <si>
    <t>0405-1</t>
  </si>
  <si>
    <t>福島県小野町</t>
  </si>
  <si>
    <t>0405</t>
  </si>
  <si>
    <t>075226</t>
  </si>
  <si>
    <t>522</t>
  </si>
  <si>
    <t>075221</t>
  </si>
  <si>
    <t>405448茨城町</t>
  </si>
  <si>
    <t>0406-1</t>
  </si>
  <si>
    <t>福島県広野町</t>
  </si>
  <si>
    <t>0406</t>
  </si>
  <si>
    <t>075416</t>
  </si>
  <si>
    <t>541</t>
  </si>
  <si>
    <t>075418</t>
  </si>
  <si>
    <t>406449大洗町</t>
  </si>
  <si>
    <t>0407-1</t>
  </si>
  <si>
    <t>福島県楢葉町</t>
  </si>
  <si>
    <t>0407</t>
  </si>
  <si>
    <t>075424</t>
  </si>
  <si>
    <t>542</t>
  </si>
  <si>
    <t>075426</t>
  </si>
  <si>
    <t>407450城里町</t>
  </si>
  <si>
    <t>0408-1</t>
  </si>
  <si>
    <t>福島県富岡町</t>
  </si>
  <si>
    <t>0408</t>
  </si>
  <si>
    <t>075432</t>
  </si>
  <si>
    <t>075434</t>
  </si>
  <si>
    <t>408451東海村</t>
  </si>
  <si>
    <t>0409-1</t>
  </si>
  <si>
    <t>福島県川内村</t>
  </si>
  <si>
    <t>0409</t>
  </si>
  <si>
    <t>075440</t>
  </si>
  <si>
    <t>075442</t>
  </si>
  <si>
    <t>409452大子町</t>
  </si>
  <si>
    <t>0410-1</t>
  </si>
  <si>
    <t>福島県大熊町</t>
  </si>
  <si>
    <t>0410</t>
  </si>
  <si>
    <t>075457</t>
  </si>
  <si>
    <t>075451</t>
  </si>
  <si>
    <t>410453美浦村</t>
  </si>
  <si>
    <t>0411-1</t>
  </si>
  <si>
    <t>福島県双葉町</t>
  </si>
  <si>
    <t>0411</t>
  </si>
  <si>
    <t>075465</t>
  </si>
  <si>
    <t>075469</t>
  </si>
  <si>
    <t>411454阿見町</t>
  </si>
  <si>
    <t>0412-1</t>
  </si>
  <si>
    <t>福島県浪江町</t>
  </si>
  <si>
    <t>0412</t>
  </si>
  <si>
    <t>075473</t>
  </si>
  <si>
    <t>075477</t>
  </si>
  <si>
    <t>412455河内町</t>
  </si>
  <si>
    <t>0413-1</t>
  </si>
  <si>
    <t>福島県葛尾村</t>
  </si>
  <si>
    <t>0413</t>
  </si>
  <si>
    <t>075481</t>
  </si>
  <si>
    <t>548</t>
  </si>
  <si>
    <t>075485</t>
  </si>
  <si>
    <t>413456八千代町</t>
  </si>
  <si>
    <t>0414-1</t>
  </si>
  <si>
    <t>福島県新地町</t>
  </si>
  <si>
    <t>0414</t>
  </si>
  <si>
    <t>075614</t>
  </si>
  <si>
    <t>075612</t>
  </si>
  <si>
    <t>414457五霞町</t>
  </si>
  <si>
    <t>0415-1</t>
  </si>
  <si>
    <t>福島県飯舘村</t>
  </si>
  <si>
    <t>0415</t>
  </si>
  <si>
    <t>075648</t>
  </si>
  <si>
    <t>075647</t>
  </si>
  <si>
    <t>415458境町</t>
  </si>
  <si>
    <t>0416-1</t>
  </si>
  <si>
    <t>茨城県水戸市</t>
  </si>
  <si>
    <t>0416</t>
  </si>
  <si>
    <t>082016</t>
  </si>
  <si>
    <t>082015</t>
  </si>
  <si>
    <t>416459利根町</t>
  </si>
  <si>
    <t>0417-1</t>
  </si>
  <si>
    <t>茨城県日立市</t>
  </si>
  <si>
    <t>0417</t>
  </si>
  <si>
    <t>082024</t>
  </si>
  <si>
    <t>082023</t>
  </si>
  <si>
    <t>417460宇都宮市</t>
  </si>
  <si>
    <t>0418-1</t>
  </si>
  <si>
    <t>茨城県土浦市</t>
  </si>
  <si>
    <t>0418</t>
  </si>
  <si>
    <t>082032</t>
  </si>
  <si>
    <t>082031</t>
  </si>
  <si>
    <t>418461足利市</t>
  </si>
  <si>
    <t>0419-1</t>
  </si>
  <si>
    <t>茨城県古河市</t>
  </si>
  <si>
    <t>0419</t>
  </si>
  <si>
    <t>082040</t>
  </si>
  <si>
    <t>419462栃木市</t>
  </si>
  <si>
    <t>0420-1</t>
  </si>
  <si>
    <t>茨城県石岡市</t>
  </si>
  <si>
    <t>0420</t>
  </si>
  <si>
    <t>082057</t>
  </si>
  <si>
    <t>082058</t>
  </si>
  <si>
    <t>420463佐野市</t>
  </si>
  <si>
    <t>0421-1</t>
  </si>
  <si>
    <t>茨城県結城市</t>
  </si>
  <si>
    <t>0421</t>
  </si>
  <si>
    <t>082073</t>
  </si>
  <si>
    <t>082074</t>
  </si>
  <si>
    <t>421464鹿沼市</t>
  </si>
  <si>
    <t>0422-1</t>
  </si>
  <si>
    <t>茨城県龍ケ崎市</t>
  </si>
  <si>
    <t>0422</t>
  </si>
  <si>
    <t>082081</t>
  </si>
  <si>
    <t>082082</t>
  </si>
  <si>
    <t>422465日光市</t>
  </si>
  <si>
    <t>0423-1</t>
  </si>
  <si>
    <t>茨城県下妻市</t>
  </si>
  <si>
    <t>0423</t>
  </si>
  <si>
    <t>082107</t>
  </si>
  <si>
    <t>082104</t>
  </si>
  <si>
    <t>423466小山市</t>
  </si>
  <si>
    <t>0424-1</t>
  </si>
  <si>
    <t>茨城県常総市</t>
  </si>
  <si>
    <t>0424</t>
  </si>
  <si>
    <t>082115</t>
  </si>
  <si>
    <t>082112</t>
  </si>
  <si>
    <t>424467真岡市</t>
  </si>
  <si>
    <t>0425-1</t>
  </si>
  <si>
    <t>茨城県常陸太田市</t>
  </si>
  <si>
    <t>0425</t>
  </si>
  <si>
    <t>082123</t>
  </si>
  <si>
    <t>082121</t>
  </si>
  <si>
    <t>425468大田原市</t>
  </si>
  <si>
    <t>0426-1</t>
  </si>
  <si>
    <t>茨城県高萩市</t>
  </si>
  <si>
    <t>0426</t>
  </si>
  <si>
    <t>082149</t>
  </si>
  <si>
    <t>082147</t>
  </si>
  <si>
    <t>426469矢板市</t>
  </si>
  <si>
    <t>0427-1</t>
  </si>
  <si>
    <t>茨城県北茨城市</t>
  </si>
  <si>
    <t>0427</t>
  </si>
  <si>
    <t>082156</t>
  </si>
  <si>
    <t>082155</t>
  </si>
  <si>
    <t>427470那須塩原市</t>
  </si>
  <si>
    <t>0428-1</t>
  </si>
  <si>
    <t>茨城県笠間市</t>
  </si>
  <si>
    <t>0428</t>
  </si>
  <si>
    <t>082164</t>
  </si>
  <si>
    <t>082163</t>
  </si>
  <si>
    <t>428471さくら市</t>
  </si>
  <si>
    <t>0429-1</t>
  </si>
  <si>
    <t>茨城県取手市</t>
  </si>
  <si>
    <t>0429</t>
  </si>
  <si>
    <t>082172</t>
  </si>
  <si>
    <t>082171</t>
  </si>
  <si>
    <t>429472那須烏山市</t>
  </si>
  <si>
    <t>0430-1</t>
  </si>
  <si>
    <t>茨城県牛久市</t>
  </si>
  <si>
    <t>0430</t>
  </si>
  <si>
    <t>082198</t>
  </si>
  <si>
    <t>430473下野市</t>
  </si>
  <si>
    <t>0431-1</t>
  </si>
  <si>
    <t>茨城県つくば市</t>
  </si>
  <si>
    <t>0431</t>
  </si>
  <si>
    <t>082206</t>
  </si>
  <si>
    <t>082201</t>
  </si>
  <si>
    <t>431474上三川町</t>
  </si>
  <si>
    <t>0432-1</t>
  </si>
  <si>
    <t>茨城県ひたちなか市</t>
  </si>
  <si>
    <t>0432</t>
  </si>
  <si>
    <t>082214</t>
  </si>
  <si>
    <t>082210</t>
  </si>
  <si>
    <t>432475益子町</t>
  </si>
  <si>
    <t>0433-1</t>
  </si>
  <si>
    <t>茨城県鹿嶋市</t>
  </si>
  <si>
    <t>0433</t>
  </si>
  <si>
    <t>082222</t>
  </si>
  <si>
    <t>082228</t>
  </si>
  <si>
    <t>433476茂木町</t>
  </si>
  <si>
    <t>0434-1</t>
  </si>
  <si>
    <t>茨城県潮来市</t>
  </si>
  <si>
    <t>0434</t>
  </si>
  <si>
    <t>082230</t>
  </si>
  <si>
    <t>082236</t>
  </si>
  <si>
    <t>434477市貝町</t>
  </si>
  <si>
    <t>0435-1</t>
  </si>
  <si>
    <t>茨城県守谷市</t>
  </si>
  <si>
    <t>0435</t>
  </si>
  <si>
    <t>082248</t>
  </si>
  <si>
    <t>082244</t>
  </si>
  <si>
    <t>435478芳賀町</t>
  </si>
  <si>
    <t>0436-1</t>
  </si>
  <si>
    <t>茨城県常陸大宮市</t>
  </si>
  <si>
    <t>0436</t>
  </si>
  <si>
    <t>082255</t>
  </si>
  <si>
    <t>082252</t>
  </si>
  <si>
    <t>436479壬生町</t>
  </si>
  <si>
    <t>0437-1</t>
  </si>
  <si>
    <t>茨城県那珂市</t>
  </si>
  <si>
    <t>0437</t>
  </si>
  <si>
    <t>082263</t>
  </si>
  <si>
    <t>082261</t>
  </si>
  <si>
    <t>437480野木町</t>
  </si>
  <si>
    <t>0438-1</t>
  </si>
  <si>
    <t>茨城県筑西市</t>
  </si>
  <si>
    <t>0438</t>
  </si>
  <si>
    <t>082271</t>
  </si>
  <si>
    <t>082279</t>
  </si>
  <si>
    <t>438481塩谷町</t>
  </si>
  <si>
    <t>0439-1</t>
  </si>
  <si>
    <t>茨城県坂東市</t>
  </si>
  <si>
    <t>0439</t>
  </si>
  <si>
    <t>082289</t>
  </si>
  <si>
    <t>082287</t>
  </si>
  <si>
    <t>439482高根沢町</t>
  </si>
  <si>
    <t>0440-1</t>
  </si>
  <si>
    <t>茨城県稲敷市</t>
  </si>
  <si>
    <t>0440</t>
  </si>
  <si>
    <t>082297</t>
  </si>
  <si>
    <t>082295</t>
  </si>
  <si>
    <t>440483那須町</t>
  </si>
  <si>
    <t>0441-1</t>
  </si>
  <si>
    <t>茨城県かすみがうら市</t>
  </si>
  <si>
    <t>0441</t>
  </si>
  <si>
    <t>082305</t>
  </si>
  <si>
    <t>082309</t>
  </si>
  <si>
    <t>441484那珂川町</t>
  </si>
  <si>
    <t>0442-1</t>
  </si>
  <si>
    <t>茨城県桜川市</t>
  </si>
  <si>
    <t>0442</t>
  </si>
  <si>
    <t>082313</t>
  </si>
  <si>
    <t>082317</t>
  </si>
  <si>
    <t>442485前橋市</t>
  </si>
  <si>
    <t>0443-1</t>
  </si>
  <si>
    <t>茨城県神栖市</t>
  </si>
  <si>
    <t>0443</t>
  </si>
  <si>
    <t>082321</t>
  </si>
  <si>
    <t>232</t>
  </si>
  <si>
    <t>082325</t>
  </si>
  <si>
    <t>443486高崎市</t>
  </si>
  <si>
    <t>0444-1</t>
  </si>
  <si>
    <t>茨城県行方市</t>
  </si>
  <si>
    <t>0444</t>
  </si>
  <si>
    <t>082339</t>
  </si>
  <si>
    <t>082333</t>
  </si>
  <si>
    <t>444487桐生市</t>
  </si>
  <si>
    <t>0445-1</t>
  </si>
  <si>
    <t>茨城県鉾田市</t>
  </si>
  <si>
    <t>0445</t>
  </si>
  <si>
    <t>082347</t>
  </si>
  <si>
    <t>082341</t>
  </si>
  <si>
    <t>445488伊勢崎市</t>
  </si>
  <si>
    <t>0446-1</t>
  </si>
  <si>
    <t>茨城県つくばみらい市</t>
  </si>
  <si>
    <t>0446</t>
  </si>
  <si>
    <t>082354</t>
  </si>
  <si>
    <t>082350</t>
  </si>
  <si>
    <t>446489太田市</t>
  </si>
  <si>
    <t>0447-1</t>
  </si>
  <si>
    <t>茨城県小美玉市</t>
  </si>
  <si>
    <t>0447</t>
  </si>
  <si>
    <t>082362</t>
  </si>
  <si>
    <t>082368</t>
  </si>
  <si>
    <t>447490沼田市</t>
  </si>
  <si>
    <t>0448-1</t>
  </si>
  <si>
    <t>茨城県茨城町</t>
  </si>
  <si>
    <t>0448</t>
  </si>
  <si>
    <t>083022</t>
  </si>
  <si>
    <t>083020</t>
  </si>
  <si>
    <t>448491館林市</t>
  </si>
  <si>
    <t>0449-1</t>
  </si>
  <si>
    <t>茨城県大洗町</t>
  </si>
  <si>
    <t>0449</t>
  </si>
  <si>
    <t>083097</t>
  </si>
  <si>
    <t>309</t>
  </si>
  <si>
    <t>449492渋川市</t>
  </si>
  <si>
    <t>0450-1</t>
  </si>
  <si>
    <t>茨城県城里町</t>
  </si>
  <si>
    <t>0450</t>
  </si>
  <si>
    <t>083105</t>
  </si>
  <si>
    <t>310</t>
  </si>
  <si>
    <t>083101</t>
  </si>
  <si>
    <t>450493藤岡市</t>
  </si>
  <si>
    <t>0451-1</t>
  </si>
  <si>
    <t>茨城県東海村</t>
  </si>
  <si>
    <t>0451</t>
  </si>
  <si>
    <t>083410</t>
  </si>
  <si>
    <t>083411</t>
  </si>
  <si>
    <t>451494富岡市</t>
  </si>
  <si>
    <t>0452-1</t>
  </si>
  <si>
    <t>茨城県大子町</t>
  </si>
  <si>
    <t>0452</t>
  </si>
  <si>
    <t>083642</t>
  </si>
  <si>
    <t>083640</t>
  </si>
  <si>
    <t>452495安中市</t>
  </si>
  <si>
    <t>0453-1</t>
  </si>
  <si>
    <t>茨城県美浦村</t>
  </si>
  <si>
    <t>0453</t>
  </si>
  <si>
    <t>084426</t>
  </si>
  <si>
    <t>084425</t>
  </si>
  <si>
    <t>453496みどり市</t>
  </si>
  <si>
    <t>0454-1</t>
  </si>
  <si>
    <t>茨城県阿見町</t>
  </si>
  <si>
    <t>0454</t>
  </si>
  <si>
    <t>084434</t>
  </si>
  <si>
    <t>084433</t>
  </si>
  <si>
    <t>454497榛東村</t>
  </si>
  <si>
    <t>0455-1</t>
  </si>
  <si>
    <t>茨城県河内町</t>
  </si>
  <si>
    <t>0455</t>
  </si>
  <si>
    <t>084475</t>
  </si>
  <si>
    <t>084476</t>
  </si>
  <si>
    <t>455498吉岡町</t>
  </si>
  <si>
    <t>0456-1</t>
  </si>
  <si>
    <t>茨城県八千代町</t>
  </si>
  <si>
    <t>0456</t>
  </si>
  <si>
    <t>085217</t>
  </si>
  <si>
    <t>085219</t>
  </si>
  <si>
    <t>456499上野村</t>
  </si>
  <si>
    <t>0457-1</t>
  </si>
  <si>
    <t>茨城県五霞町</t>
  </si>
  <si>
    <t>0457</t>
  </si>
  <si>
    <t>085423</t>
  </si>
  <si>
    <t>085421</t>
  </si>
  <si>
    <t>457500神流町</t>
  </si>
  <si>
    <t>0458-1</t>
  </si>
  <si>
    <t>茨城県境町</t>
  </si>
  <si>
    <t>0458</t>
  </si>
  <si>
    <t>085464</t>
  </si>
  <si>
    <t>458501下仁田町</t>
  </si>
  <si>
    <t>0459-1</t>
  </si>
  <si>
    <t>茨城県利根町</t>
  </si>
  <si>
    <t>0459</t>
  </si>
  <si>
    <t>085647</t>
  </si>
  <si>
    <t>085642</t>
  </si>
  <si>
    <t>459502南牧村</t>
  </si>
  <si>
    <t>0460-1</t>
  </si>
  <si>
    <t>栃木県宇都宮市</t>
  </si>
  <si>
    <t>0460</t>
  </si>
  <si>
    <t>092015</t>
  </si>
  <si>
    <t>092011</t>
  </si>
  <si>
    <t>460503甘楽町</t>
  </si>
  <si>
    <t>0461-1</t>
  </si>
  <si>
    <t>栃木県足利市</t>
  </si>
  <si>
    <t>0461</t>
  </si>
  <si>
    <t>092023</t>
  </si>
  <si>
    <t>092029</t>
  </si>
  <si>
    <t>461504中之条町</t>
  </si>
  <si>
    <t>0462-1</t>
  </si>
  <si>
    <t>栃木県栃木市</t>
  </si>
  <si>
    <t>0462</t>
  </si>
  <si>
    <t>092031</t>
  </si>
  <si>
    <t>092037</t>
  </si>
  <si>
    <t>462505長野原町</t>
  </si>
  <si>
    <t>0463-1</t>
  </si>
  <si>
    <t>栃木県佐野市</t>
  </si>
  <si>
    <t>0463</t>
  </si>
  <si>
    <t>092049</t>
  </si>
  <si>
    <t>092045</t>
  </si>
  <si>
    <t>463506嬬恋村</t>
  </si>
  <si>
    <t>0464-1</t>
  </si>
  <si>
    <t>栃木県鹿沼市</t>
  </si>
  <si>
    <t>0464</t>
  </si>
  <si>
    <t>092056</t>
  </si>
  <si>
    <t>092053</t>
  </si>
  <si>
    <t>464507草津町</t>
  </si>
  <si>
    <t>0465-1</t>
  </si>
  <si>
    <t>栃木県日光市</t>
  </si>
  <si>
    <t>0465</t>
  </si>
  <si>
    <t>092064</t>
  </si>
  <si>
    <t>092061</t>
  </si>
  <si>
    <t>465508高山村</t>
  </si>
  <si>
    <t>0466-1</t>
  </si>
  <si>
    <t>栃木県小山市</t>
  </si>
  <si>
    <t>0466</t>
  </si>
  <si>
    <t>092080</t>
  </si>
  <si>
    <t>092088</t>
  </si>
  <si>
    <t>466509東吾妻町</t>
  </si>
  <si>
    <t>0467-1</t>
  </si>
  <si>
    <t>栃木県真岡市</t>
  </si>
  <si>
    <t>0467</t>
  </si>
  <si>
    <t>092098</t>
  </si>
  <si>
    <t>092096</t>
  </si>
  <si>
    <t>467510片品村</t>
  </si>
  <si>
    <t>0468-1</t>
  </si>
  <si>
    <t>栃木県大田原市</t>
  </si>
  <si>
    <t>0468</t>
  </si>
  <si>
    <t>092106</t>
  </si>
  <si>
    <t>092100</t>
  </si>
  <si>
    <t>468511川場村</t>
  </si>
  <si>
    <t>0469-1</t>
  </si>
  <si>
    <t>栃木県矢板市</t>
  </si>
  <si>
    <t>0469</t>
  </si>
  <si>
    <t>092114</t>
  </si>
  <si>
    <t>092118</t>
  </si>
  <si>
    <t>469512昭和村</t>
  </si>
  <si>
    <t>0470-1</t>
  </si>
  <si>
    <t>栃木県那須塩原市</t>
  </si>
  <si>
    <t>0470</t>
  </si>
  <si>
    <t>092130</t>
  </si>
  <si>
    <t>092134</t>
  </si>
  <si>
    <t>470513みなかみ町</t>
  </si>
  <si>
    <t>0471-1</t>
  </si>
  <si>
    <t>栃木県さくら市</t>
  </si>
  <si>
    <t>0471</t>
  </si>
  <si>
    <t>092148</t>
  </si>
  <si>
    <t>092142</t>
  </si>
  <si>
    <t>471514玉村町</t>
  </si>
  <si>
    <t>0472-1</t>
  </si>
  <si>
    <t>栃木県那須烏山市</t>
  </si>
  <si>
    <t>0472</t>
  </si>
  <si>
    <t>092155</t>
  </si>
  <si>
    <t>092151</t>
  </si>
  <si>
    <t>472515板倉町</t>
  </si>
  <si>
    <t>0473-1</t>
  </si>
  <si>
    <t>栃木県下野市</t>
  </si>
  <si>
    <t>0473</t>
  </si>
  <si>
    <t>092163</t>
  </si>
  <si>
    <t>092169</t>
  </si>
  <si>
    <t>473516明和町</t>
  </si>
  <si>
    <t>0474-1</t>
  </si>
  <si>
    <t>栃木県上三川町</t>
  </si>
  <si>
    <t>0474</t>
  </si>
  <si>
    <t>093013</t>
  </si>
  <si>
    <t>093017</t>
  </si>
  <si>
    <t>474517千代田町</t>
  </si>
  <si>
    <t>0475-1</t>
  </si>
  <si>
    <t>栃木県益子町</t>
  </si>
  <si>
    <t>0475</t>
  </si>
  <si>
    <t>093427</t>
  </si>
  <si>
    <t>093424</t>
  </si>
  <si>
    <t>475518大泉町</t>
  </si>
  <si>
    <t>0476-1</t>
  </si>
  <si>
    <t>栃木県茂木町</t>
  </si>
  <si>
    <t>0476</t>
  </si>
  <si>
    <t>093435</t>
  </si>
  <si>
    <t>093432</t>
  </si>
  <si>
    <t>476519邑楽町</t>
  </si>
  <si>
    <t>0477-1</t>
  </si>
  <si>
    <t>栃木県市貝町</t>
  </si>
  <si>
    <t>0477</t>
  </si>
  <si>
    <t>093443</t>
  </si>
  <si>
    <t>093441</t>
  </si>
  <si>
    <t>477520さいたま市</t>
  </si>
  <si>
    <t>0478-1</t>
  </si>
  <si>
    <t>栃木県芳賀町</t>
  </si>
  <si>
    <t>0478</t>
  </si>
  <si>
    <t>093450</t>
  </si>
  <si>
    <t>093459</t>
  </si>
  <si>
    <t>478521川越市</t>
  </si>
  <si>
    <t>0479-1</t>
  </si>
  <si>
    <t>栃木県壬生町</t>
  </si>
  <si>
    <t>0479</t>
  </si>
  <si>
    <t>093617</t>
  </si>
  <si>
    <t>093611</t>
  </si>
  <si>
    <t>479522川口市</t>
  </si>
  <si>
    <t>0480-1</t>
  </si>
  <si>
    <t>栃木県野木町</t>
  </si>
  <si>
    <t>0480</t>
  </si>
  <si>
    <t>093641</t>
  </si>
  <si>
    <t>093645</t>
  </si>
  <si>
    <t>480523行田市</t>
  </si>
  <si>
    <t>0481-1</t>
  </si>
  <si>
    <t>栃木県塩谷町</t>
  </si>
  <si>
    <t>0481</t>
  </si>
  <si>
    <t>093849</t>
  </si>
  <si>
    <t>093840</t>
  </si>
  <si>
    <t>481524秩父市</t>
  </si>
  <si>
    <t>0482-1</t>
  </si>
  <si>
    <t>栃木県高根沢町</t>
  </si>
  <si>
    <t>0482</t>
  </si>
  <si>
    <t>093864</t>
  </si>
  <si>
    <t>386</t>
  </si>
  <si>
    <t>093866</t>
  </si>
  <si>
    <t>482525所沢市</t>
  </si>
  <si>
    <t>0483-1</t>
  </si>
  <si>
    <t>栃木県那須町</t>
  </si>
  <si>
    <t>0483</t>
  </si>
  <si>
    <t>094078</t>
  </si>
  <si>
    <t>094072</t>
  </si>
  <si>
    <t>483526飯能市</t>
  </si>
  <si>
    <t>0484-1</t>
  </si>
  <si>
    <t>栃木県那珂川町</t>
  </si>
  <si>
    <t>0484</t>
  </si>
  <si>
    <t>094110</t>
  </si>
  <si>
    <t>094111</t>
  </si>
  <si>
    <t>484527加須市</t>
  </si>
  <si>
    <t>0485-1</t>
  </si>
  <si>
    <t>群馬県前橋市</t>
  </si>
  <si>
    <t>0485</t>
  </si>
  <si>
    <t>102012</t>
  </si>
  <si>
    <t>102016</t>
  </si>
  <si>
    <t>485528本庄市</t>
  </si>
  <si>
    <t>0486-1</t>
  </si>
  <si>
    <t>群馬県高崎市</t>
  </si>
  <si>
    <t>0486</t>
  </si>
  <si>
    <t>102020</t>
  </si>
  <si>
    <t>102024</t>
  </si>
  <si>
    <t>486529東松山市</t>
  </si>
  <si>
    <t>0487-1</t>
  </si>
  <si>
    <t>群馬県桐生市</t>
  </si>
  <si>
    <t>0487</t>
  </si>
  <si>
    <t>102038</t>
  </si>
  <si>
    <t>102032</t>
  </si>
  <si>
    <t>487530春日部市</t>
  </si>
  <si>
    <t>0488-1</t>
  </si>
  <si>
    <t>群馬県伊勢崎市</t>
  </si>
  <si>
    <t>0488</t>
  </si>
  <si>
    <t>102046</t>
  </si>
  <si>
    <t>102041</t>
  </si>
  <si>
    <t>488531狭山市</t>
  </si>
  <si>
    <t>0489-1</t>
  </si>
  <si>
    <t>群馬県太田市</t>
  </si>
  <si>
    <t>0489</t>
  </si>
  <si>
    <t>102053</t>
  </si>
  <si>
    <t>102059</t>
  </si>
  <si>
    <t>489532羽生市</t>
  </si>
  <si>
    <t>0490-1</t>
  </si>
  <si>
    <t>群馬県沼田市</t>
  </si>
  <si>
    <t>0490</t>
  </si>
  <si>
    <t>102061</t>
  </si>
  <si>
    <t>102067</t>
  </si>
  <si>
    <t>490533鴻巣市</t>
  </si>
  <si>
    <t>0491-1</t>
  </si>
  <si>
    <t>群馬県館林市</t>
  </si>
  <si>
    <t>0491</t>
  </si>
  <si>
    <t>102079</t>
  </si>
  <si>
    <t>102075</t>
  </si>
  <si>
    <t>491534上尾市</t>
  </si>
  <si>
    <t>0492-1</t>
  </si>
  <si>
    <t>群馬県渋川市</t>
  </si>
  <si>
    <t>0492</t>
  </si>
  <si>
    <t>102087</t>
  </si>
  <si>
    <t>102083</t>
  </si>
  <si>
    <t>492535草加市</t>
  </si>
  <si>
    <t>0493-1</t>
  </si>
  <si>
    <t>群馬県藤岡市</t>
  </si>
  <si>
    <t>0493</t>
  </si>
  <si>
    <t>102095</t>
  </si>
  <si>
    <t>102091</t>
  </si>
  <si>
    <t>493536越谷市</t>
  </si>
  <si>
    <t>0494-1</t>
  </si>
  <si>
    <t>群馬県富岡市</t>
  </si>
  <si>
    <t>0494</t>
  </si>
  <si>
    <t>102103</t>
  </si>
  <si>
    <t>102105</t>
  </si>
  <si>
    <t>494537蕨市</t>
  </si>
  <si>
    <t>0495-1</t>
  </si>
  <si>
    <t>群馬県安中市</t>
  </si>
  <si>
    <t>0495</t>
  </si>
  <si>
    <t>102111</t>
  </si>
  <si>
    <t>102113</t>
  </si>
  <si>
    <t>495538戸田市</t>
  </si>
  <si>
    <t>0496-1</t>
  </si>
  <si>
    <t>群馬県みどり市</t>
  </si>
  <si>
    <t>0496</t>
  </si>
  <si>
    <t>102129</t>
  </si>
  <si>
    <t>102121</t>
  </si>
  <si>
    <t>496539入間市</t>
  </si>
  <si>
    <t>0497-1</t>
  </si>
  <si>
    <t>群馬県榛東村</t>
  </si>
  <si>
    <t>0497</t>
  </si>
  <si>
    <t>103440</t>
  </si>
  <si>
    <t>103446</t>
  </si>
  <si>
    <t>497540朝霞市</t>
  </si>
  <si>
    <t>0498-1</t>
  </si>
  <si>
    <t>群馬県吉岡町</t>
  </si>
  <si>
    <t>0498</t>
  </si>
  <si>
    <t>103457</t>
  </si>
  <si>
    <t>103454</t>
  </si>
  <si>
    <t>498541志木市</t>
  </si>
  <si>
    <t>0499-1</t>
  </si>
  <si>
    <t>群馬県上野村</t>
  </si>
  <si>
    <t>0499</t>
  </si>
  <si>
    <t>103663</t>
  </si>
  <si>
    <t>103667</t>
  </si>
  <si>
    <t>499542和光市</t>
  </si>
  <si>
    <t>0500-1</t>
  </si>
  <si>
    <t>群馬県神流町</t>
  </si>
  <si>
    <t>0500</t>
  </si>
  <si>
    <t>103671</t>
  </si>
  <si>
    <t>103675</t>
  </si>
  <si>
    <t>500543新座市</t>
  </si>
  <si>
    <t>0501-1</t>
  </si>
  <si>
    <t>群馬県下仁田町</t>
  </si>
  <si>
    <t>0501</t>
  </si>
  <si>
    <t>103820</t>
  </si>
  <si>
    <t>103829</t>
  </si>
  <si>
    <t>501544桶川市</t>
  </si>
  <si>
    <t>0502-1</t>
  </si>
  <si>
    <t>群馬県南牧村</t>
  </si>
  <si>
    <t>0502</t>
  </si>
  <si>
    <t>103838</t>
  </si>
  <si>
    <t>383</t>
  </si>
  <si>
    <t>103837</t>
  </si>
  <si>
    <t>502545久喜市</t>
  </si>
  <si>
    <t>0503-1</t>
  </si>
  <si>
    <t>群馬県甘楽町</t>
  </si>
  <si>
    <t>0503</t>
  </si>
  <si>
    <t>103846</t>
  </si>
  <si>
    <t>103845</t>
  </si>
  <si>
    <t>503546北本市</t>
  </si>
  <si>
    <t>0504-1</t>
  </si>
  <si>
    <t>群馬県中之条町</t>
  </si>
  <si>
    <t>0504</t>
  </si>
  <si>
    <t>104216</t>
  </si>
  <si>
    <t>104213</t>
  </si>
  <si>
    <t>504547八潮市</t>
  </si>
  <si>
    <t>0505-1</t>
  </si>
  <si>
    <t>群馬県長野原町</t>
  </si>
  <si>
    <t>0505</t>
  </si>
  <si>
    <t>104240</t>
  </si>
  <si>
    <t>104248</t>
  </si>
  <si>
    <t>505548富士見市</t>
  </si>
  <si>
    <t>0506-1</t>
  </si>
  <si>
    <t>群馬県嬬恋村</t>
  </si>
  <si>
    <t>0506</t>
  </si>
  <si>
    <t>104257</t>
  </si>
  <si>
    <t>104256</t>
  </si>
  <si>
    <t>506549三郷市</t>
  </si>
  <si>
    <t>0507-1</t>
  </si>
  <si>
    <t>群馬県草津町</t>
  </si>
  <si>
    <t>0507</t>
  </si>
  <si>
    <t>104265</t>
  </si>
  <si>
    <t>104264</t>
  </si>
  <si>
    <t>507550蓮田市</t>
  </si>
  <si>
    <t>0508-1</t>
  </si>
  <si>
    <t>群馬県高山村</t>
  </si>
  <si>
    <t>0508</t>
  </si>
  <si>
    <t>104281</t>
  </si>
  <si>
    <t>508551坂戸市</t>
  </si>
  <si>
    <t>0509-1</t>
  </si>
  <si>
    <t>群馬県東吾妻町</t>
  </si>
  <si>
    <t>0509</t>
  </si>
  <si>
    <t>104299</t>
  </si>
  <si>
    <t>509552幸手市</t>
  </si>
  <si>
    <t>0510-1</t>
  </si>
  <si>
    <t>群馬県片品村</t>
  </si>
  <si>
    <t>0510</t>
  </si>
  <si>
    <t>104430</t>
  </si>
  <si>
    <t>104434</t>
  </si>
  <si>
    <t>510553鶴ヶ島市</t>
  </si>
  <si>
    <t>0511-1</t>
  </si>
  <si>
    <t>群馬県川場村</t>
  </si>
  <si>
    <t>0511</t>
  </si>
  <si>
    <t>104448</t>
  </si>
  <si>
    <t>104442</t>
  </si>
  <si>
    <t>511554日高市</t>
  </si>
  <si>
    <t>0512-1</t>
  </si>
  <si>
    <t>群馬県昭和村</t>
  </si>
  <si>
    <t>0512</t>
  </si>
  <si>
    <t>104489</t>
  </si>
  <si>
    <t>448</t>
  </si>
  <si>
    <t>104485</t>
  </si>
  <si>
    <t>512555吉川市</t>
  </si>
  <si>
    <t>0513-1</t>
  </si>
  <si>
    <t>群馬県みなかみ町</t>
  </si>
  <si>
    <t>0513</t>
  </si>
  <si>
    <t>104497</t>
  </si>
  <si>
    <t>449</t>
  </si>
  <si>
    <t>104493</t>
  </si>
  <si>
    <t>513556ふじみ野市</t>
  </si>
  <si>
    <t>0514-1</t>
  </si>
  <si>
    <t>群馬県玉村町</t>
  </si>
  <si>
    <t>0514</t>
  </si>
  <si>
    <t>104646</t>
  </si>
  <si>
    <t>104647</t>
  </si>
  <si>
    <t>514557白岡市</t>
  </si>
  <si>
    <t>0515-1</t>
  </si>
  <si>
    <t>群馬県板倉町</t>
  </si>
  <si>
    <t>0515</t>
  </si>
  <si>
    <t>105213</t>
  </si>
  <si>
    <t>105210</t>
  </si>
  <si>
    <t>515558伊奈町</t>
  </si>
  <si>
    <t>0516-1</t>
  </si>
  <si>
    <t>群馬県明和町</t>
  </si>
  <si>
    <t>0516</t>
  </si>
  <si>
    <t>105221</t>
  </si>
  <si>
    <t>105228</t>
  </si>
  <si>
    <t>516559三芳町</t>
  </si>
  <si>
    <t>0517-1</t>
  </si>
  <si>
    <t>群馬県千代田町</t>
  </si>
  <si>
    <t>0517</t>
  </si>
  <si>
    <t>105239</t>
  </si>
  <si>
    <t>523</t>
  </si>
  <si>
    <t>105236</t>
  </si>
  <si>
    <t>517560毛呂山町</t>
  </si>
  <si>
    <t>0518-1</t>
  </si>
  <si>
    <t>群馬県大泉町</t>
  </si>
  <si>
    <t>0518</t>
  </si>
  <si>
    <t>105247</t>
  </si>
  <si>
    <t>105244</t>
  </si>
  <si>
    <t>518561越生町</t>
  </si>
  <si>
    <t>0519-1</t>
  </si>
  <si>
    <t>群馬県邑楽町</t>
  </si>
  <si>
    <t>0519</t>
  </si>
  <si>
    <t>105254</t>
  </si>
  <si>
    <t>525</t>
  </si>
  <si>
    <t>105252</t>
  </si>
  <si>
    <t>519562滑川町</t>
  </si>
  <si>
    <t>0520-1</t>
  </si>
  <si>
    <t>埼玉県さいたま市</t>
  </si>
  <si>
    <t>0520</t>
  </si>
  <si>
    <t>111005</t>
  </si>
  <si>
    <t>111007</t>
  </si>
  <si>
    <t>520563嵐山町</t>
  </si>
  <si>
    <t>0521-1</t>
  </si>
  <si>
    <t>埼玉県川越市</t>
  </si>
  <si>
    <t>0521</t>
  </si>
  <si>
    <t>112011</t>
  </si>
  <si>
    <t>521564小川町</t>
  </si>
  <si>
    <t>0522-1</t>
  </si>
  <si>
    <t>埼玉県川口市</t>
  </si>
  <si>
    <t>0522</t>
  </si>
  <si>
    <t>112037</t>
  </si>
  <si>
    <t>112038</t>
  </si>
  <si>
    <t>522565川島町</t>
  </si>
  <si>
    <t>0523-1</t>
  </si>
  <si>
    <t>埼玉県行田市</t>
  </si>
  <si>
    <t>0523</t>
  </si>
  <si>
    <t>112060</t>
  </si>
  <si>
    <t>112062</t>
  </si>
  <si>
    <t>523566吉見町</t>
  </si>
  <si>
    <t>0524-1</t>
  </si>
  <si>
    <t>埼玉県秩父市</t>
  </si>
  <si>
    <t>0524</t>
  </si>
  <si>
    <t>112078</t>
  </si>
  <si>
    <t>112071</t>
  </si>
  <si>
    <t>524567鳩山町</t>
  </si>
  <si>
    <t>0525-1</t>
  </si>
  <si>
    <t>埼玉県所沢市</t>
  </si>
  <si>
    <t>0525</t>
  </si>
  <si>
    <t>112086</t>
  </si>
  <si>
    <t>112089</t>
  </si>
  <si>
    <t>525568ときがわ町</t>
  </si>
  <si>
    <t>0526-1</t>
  </si>
  <si>
    <t>埼玉県飯能市</t>
  </si>
  <si>
    <t>0526</t>
  </si>
  <si>
    <t>112094</t>
  </si>
  <si>
    <t>112097</t>
  </si>
  <si>
    <t>526569横瀬町</t>
  </si>
  <si>
    <t>0527-1</t>
  </si>
  <si>
    <t>埼玉県加須市</t>
  </si>
  <si>
    <t>0527</t>
  </si>
  <si>
    <t>112102</t>
  </si>
  <si>
    <t>112101</t>
  </si>
  <si>
    <t>527570皆野町</t>
  </si>
  <si>
    <t>0528-1</t>
  </si>
  <si>
    <t>埼玉県本庄市</t>
  </si>
  <si>
    <t>0528</t>
  </si>
  <si>
    <t>112110</t>
  </si>
  <si>
    <t>112119</t>
  </si>
  <si>
    <t>528571長瀞町</t>
  </si>
  <si>
    <t>0529-1</t>
  </si>
  <si>
    <t>埼玉県東松山市</t>
  </si>
  <si>
    <t>0529</t>
  </si>
  <si>
    <t>112128</t>
  </si>
  <si>
    <t>112127</t>
  </si>
  <si>
    <t>529572小鹿野町</t>
  </si>
  <si>
    <t>0530-1</t>
  </si>
  <si>
    <t>埼玉県春日部市</t>
  </si>
  <si>
    <t>0530</t>
  </si>
  <si>
    <t>112144</t>
  </si>
  <si>
    <t>112143</t>
  </si>
  <si>
    <t>530573東秩父村</t>
  </si>
  <si>
    <t>0531-1</t>
  </si>
  <si>
    <t>埼玉県狭山市</t>
  </si>
  <si>
    <t>0531</t>
  </si>
  <si>
    <t>112151</t>
  </si>
  <si>
    <t>531574美里町</t>
  </si>
  <si>
    <t>0532-1</t>
  </si>
  <si>
    <t>埼玉県羽生市</t>
  </si>
  <si>
    <t>0532</t>
  </si>
  <si>
    <t>112169</t>
  </si>
  <si>
    <t>112160</t>
  </si>
  <si>
    <t>532575神川町</t>
  </si>
  <si>
    <t>0533-1</t>
  </si>
  <si>
    <t>埼玉県鴻巣市</t>
  </si>
  <si>
    <t>0533</t>
  </si>
  <si>
    <t>112177</t>
  </si>
  <si>
    <t>112178</t>
  </si>
  <si>
    <t>533576上里町</t>
  </si>
  <si>
    <t>0534-1</t>
  </si>
  <si>
    <t>埼玉県上尾市</t>
  </si>
  <si>
    <t>0534</t>
  </si>
  <si>
    <t>112193</t>
  </si>
  <si>
    <t>112194</t>
  </si>
  <si>
    <t>534577宮代町</t>
  </si>
  <si>
    <t>0535-1</t>
  </si>
  <si>
    <t>埼玉県草加市</t>
  </si>
  <si>
    <t>0535</t>
  </si>
  <si>
    <t>112219</t>
  </si>
  <si>
    <t>112216</t>
  </si>
  <si>
    <t>535578杉戸町</t>
  </si>
  <si>
    <t>0536-1</t>
  </si>
  <si>
    <t>埼玉県越谷市</t>
  </si>
  <si>
    <t>0536</t>
  </si>
  <si>
    <t>112227</t>
  </si>
  <si>
    <t>112224</t>
  </si>
  <si>
    <t>536579松伏町</t>
  </si>
  <si>
    <t>0537-1</t>
  </si>
  <si>
    <t>埼玉県蕨市</t>
  </si>
  <si>
    <t>0537</t>
  </si>
  <si>
    <t>112235</t>
  </si>
  <si>
    <t>112232</t>
  </si>
  <si>
    <t>537580大里広域市町村圏組合</t>
  </si>
  <si>
    <t>0538-1</t>
  </si>
  <si>
    <t>埼玉県戸田市</t>
  </si>
  <si>
    <t>0538</t>
  </si>
  <si>
    <t>112243</t>
  </si>
  <si>
    <t>112241</t>
  </si>
  <si>
    <t>538584千葉市</t>
  </si>
  <si>
    <t>0539-1</t>
  </si>
  <si>
    <t>埼玉県入間市</t>
  </si>
  <si>
    <t>0539</t>
  </si>
  <si>
    <t>112250</t>
  </si>
  <si>
    <t>112259</t>
  </si>
  <si>
    <t>539585銚子市</t>
  </si>
  <si>
    <t>0540-1</t>
  </si>
  <si>
    <t>埼玉県朝霞市</t>
  </si>
  <si>
    <t>0540</t>
  </si>
  <si>
    <t>112276</t>
  </si>
  <si>
    <t>112275</t>
  </si>
  <si>
    <t>540586市川市</t>
  </si>
  <si>
    <t>0541-1</t>
  </si>
  <si>
    <t>埼玉県志木市</t>
  </si>
  <si>
    <t>0541</t>
  </si>
  <si>
    <t>112284</t>
  </si>
  <si>
    <t>112283</t>
  </si>
  <si>
    <t>541587船橋市</t>
  </si>
  <si>
    <t>0542-1</t>
  </si>
  <si>
    <t>埼玉県和光市</t>
  </si>
  <si>
    <t>0542</t>
  </si>
  <si>
    <t>112292</t>
  </si>
  <si>
    <t>112291</t>
  </si>
  <si>
    <t>542588館山市</t>
  </si>
  <si>
    <t>0543-1</t>
  </si>
  <si>
    <t>埼玉県新座市</t>
  </si>
  <si>
    <t>0543</t>
  </si>
  <si>
    <t>112300</t>
  </si>
  <si>
    <t>112305</t>
  </si>
  <si>
    <t>543589木更津市</t>
  </si>
  <si>
    <t>0544-1</t>
  </si>
  <si>
    <t>埼玉県桶川市</t>
  </si>
  <si>
    <t>0544</t>
  </si>
  <si>
    <t>112318</t>
  </si>
  <si>
    <t>112313</t>
  </si>
  <si>
    <t>544590松戸市</t>
  </si>
  <si>
    <t>0545-1</t>
  </si>
  <si>
    <t>埼玉県久喜市</t>
  </si>
  <si>
    <t>0545</t>
  </si>
  <si>
    <t>112326</t>
  </si>
  <si>
    <t>112321</t>
  </si>
  <si>
    <t>545591野田市</t>
  </si>
  <si>
    <t>0546-1</t>
  </si>
  <si>
    <t>埼玉県北本市</t>
  </si>
  <si>
    <t>0546</t>
  </si>
  <si>
    <t>112334</t>
  </si>
  <si>
    <t>112330</t>
  </si>
  <si>
    <t>546592茂原市</t>
  </si>
  <si>
    <t>0547-1</t>
  </si>
  <si>
    <t>埼玉県八潮市</t>
  </si>
  <si>
    <t>0547</t>
  </si>
  <si>
    <t>112342</t>
  </si>
  <si>
    <t>112348</t>
  </si>
  <si>
    <t>547593成田市</t>
  </si>
  <si>
    <t>0548-1</t>
  </si>
  <si>
    <t>埼玉県富士見市</t>
  </si>
  <si>
    <t>0548</t>
  </si>
  <si>
    <t>112359</t>
  </si>
  <si>
    <t>112356</t>
  </si>
  <si>
    <t>548594佐倉市</t>
  </si>
  <si>
    <t>0549-1</t>
  </si>
  <si>
    <t>埼玉県三郷市</t>
  </si>
  <si>
    <t>0549</t>
  </si>
  <si>
    <t>112375</t>
  </si>
  <si>
    <t>237</t>
  </si>
  <si>
    <t>112372</t>
  </si>
  <si>
    <t>549595東金市</t>
  </si>
  <si>
    <t>0550-1</t>
  </si>
  <si>
    <t>埼玉県蓮田市</t>
  </si>
  <si>
    <t>0550</t>
  </si>
  <si>
    <t>112383</t>
  </si>
  <si>
    <t>238</t>
  </si>
  <si>
    <t>112381</t>
  </si>
  <si>
    <t>550596旭市</t>
  </si>
  <si>
    <t>0551-1</t>
  </si>
  <si>
    <t>埼玉県坂戸市</t>
  </si>
  <si>
    <t>0551</t>
  </si>
  <si>
    <t>112391</t>
  </si>
  <si>
    <t>239</t>
  </si>
  <si>
    <t>112399</t>
  </si>
  <si>
    <t>551597習志野市</t>
  </si>
  <si>
    <t>0552-1</t>
  </si>
  <si>
    <t>埼玉県幸手市</t>
  </si>
  <si>
    <t>0552</t>
  </si>
  <si>
    <t>112409</t>
  </si>
  <si>
    <t>240</t>
  </si>
  <si>
    <t>112402</t>
  </si>
  <si>
    <t>552598柏市</t>
  </si>
  <si>
    <t>0553-1</t>
  </si>
  <si>
    <t>埼玉県鶴ヶ島市</t>
  </si>
  <si>
    <t>0553</t>
  </si>
  <si>
    <t>112417</t>
  </si>
  <si>
    <t>241</t>
  </si>
  <si>
    <t>112411</t>
  </si>
  <si>
    <t>553599勝浦市</t>
  </si>
  <si>
    <t>0554-1</t>
  </si>
  <si>
    <t>埼玉県日高市</t>
  </si>
  <si>
    <t>0554</t>
  </si>
  <si>
    <t>112425</t>
  </si>
  <si>
    <t>242</t>
  </si>
  <si>
    <t>112429</t>
  </si>
  <si>
    <t>554600市原市</t>
  </si>
  <si>
    <t>0555-1</t>
  </si>
  <si>
    <t>埼玉県吉川市</t>
  </si>
  <si>
    <t>0555</t>
  </si>
  <si>
    <t>112433</t>
  </si>
  <si>
    <t>243</t>
  </si>
  <si>
    <t>112437</t>
  </si>
  <si>
    <t>555601流山市</t>
  </si>
  <si>
    <t>0556-1</t>
  </si>
  <si>
    <t>埼玉県ふじみ野市</t>
  </si>
  <si>
    <t>0556</t>
  </si>
  <si>
    <t>112458</t>
  </si>
  <si>
    <t>245</t>
  </si>
  <si>
    <t>112453</t>
  </si>
  <si>
    <t>556602八千代市</t>
  </si>
  <si>
    <t>0557-1</t>
  </si>
  <si>
    <t>埼玉県白岡市</t>
  </si>
  <si>
    <t>0557</t>
  </si>
  <si>
    <t>112466</t>
  </si>
  <si>
    <t>246</t>
  </si>
  <si>
    <t>112461</t>
  </si>
  <si>
    <t>557603我孫子市</t>
  </si>
  <si>
    <t>0558-1</t>
  </si>
  <si>
    <t>埼玉県伊奈町</t>
  </si>
  <si>
    <t>0558</t>
  </si>
  <si>
    <t>113019</t>
  </si>
  <si>
    <t>113018</t>
  </si>
  <si>
    <t>558604鴨川市</t>
  </si>
  <si>
    <t>0559-1</t>
  </si>
  <si>
    <t>埼玉県三芳町</t>
  </si>
  <si>
    <t>0559</t>
  </si>
  <si>
    <t>113241</t>
  </si>
  <si>
    <t>113247</t>
  </si>
  <si>
    <t>559605鎌ケ谷市</t>
  </si>
  <si>
    <t>0560-1</t>
  </si>
  <si>
    <t>埼玉県毛呂山町</t>
  </si>
  <si>
    <t>0560</t>
  </si>
  <si>
    <t>113266</t>
  </si>
  <si>
    <t>326</t>
  </si>
  <si>
    <t>113263</t>
  </si>
  <si>
    <t>560606君津市</t>
  </si>
  <si>
    <t>0561-1</t>
  </si>
  <si>
    <t>埼玉県越生町</t>
  </si>
  <si>
    <t>0561</t>
  </si>
  <si>
    <t>113274</t>
  </si>
  <si>
    <t>113271</t>
  </si>
  <si>
    <t>561607富津市</t>
  </si>
  <si>
    <t>0562-1</t>
  </si>
  <si>
    <t>埼玉県滑川町</t>
  </si>
  <si>
    <t>0562</t>
  </si>
  <si>
    <t>113415</t>
  </si>
  <si>
    <t>113417</t>
  </si>
  <si>
    <t>562608浦安市</t>
  </si>
  <si>
    <t>0563-1</t>
  </si>
  <si>
    <t>埼玉県嵐山町</t>
  </si>
  <si>
    <t>0563</t>
  </si>
  <si>
    <t>113423</t>
  </si>
  <si>
    <t>113425</t>
  </si>
  <si>
    <t>563609四街道市</t>
  </si>
  <si>
    <t>0564-1</t>
  </si>
  <si>
    <t>埼玉県小川町</t>
  </si>
  <si>
    <t>0564</t>
  </si>
  <si>
    <t>113431</t>
  </si>
  <si>
    <t>113433</t>
  </si>
  <si>
    <t>564610袖ケ浦市</t>
  </si>
  <si>
    <t>0565-1</t>
  </si>
  <si>
    <t>埼玉県川島町</t>
  </si>
  <si>
    <t>0565</t>
  </si>
  <si>
    <t>113464</t>
  </si>
  <si>
    <t>113468</t>
  </si>
  <si>
    <t>565611八街市</t>
  </si>
  <si>
    <t>0566-1</t>
  </si>
  <si>
    <t>埼玉県吉見町</t>
  </si>
  <si>
    <t>0566</t>
  </si>
  <si>
    <t>113472</t>
  </si>
  <si>
    <t>113476</t>
  </si>
  <si>
    <t>566612印西市</t>
  </si>
  <si>
    <t>0567-1</t>
  </si>
  <si>
    <t>埼玉県鳩山町</t>
  </si>
  <si>
    <t>0567</t>
  </si>
  <si>
    <t>113480</t>
  </si>
  <si>
    <t>113484</t>
  </si>
  <si>
    <t>567613南房総市</t>
  </si>
  <si>
    <t>0568-1</t>
  </si>
  <si>
    <t>埼玉県ときがわ町</t>
  </si>
  <si>
    <t>0568</t>
  </si>
  <si>
    <t>113498</t>
  </si>
  <si>
    <t>113492</t>
  </si>
  <si>
    <t>568614匝瑳市</t>
  </si>
  <si>
    <t>0569-1</t>
  </si>
  <si>
    <t>埼玉県横瀬町</t>
  </si>
  <si>
    <t>0569</t>
  </si>
  <si>
    <t>113613</t>
  </si>
  <si>
    <t>113611</t>
  </si>
  <si>
    <t>569615香取市</t>
  </si>
  <si>
    <t>0570-1</t>
  </si>
  <si>
    <t>埼玉県皆野町</t>
  </si>
  <si>
    <t>0570</t>
  </si>
  <si>
    <t>113621</t>
  </si>
  <si>
    <t>113620</t>
  </si>
  <si>
    <t>570616山武市</t>
  </si>
  <si>
    <t>0571-1</t>
  </si>
  <si>
    <t>埼玉県長瀞町</t>
  </si>
  <si>
    <t>0571</t>
  </si>
  <si>
    <t>113639</t>
  </si>
  <si>
    <t>113638</t>
  </si>
  <si>
    <t>571617いすみ市</t>
  </si>
  <si>
    <t>0572-1</t>
  </si>
  <si>
    <t>埼玉県小鹿野町</t>
  </si>
  <si>
    <t>0572</t>
  </si>
  <si>
    <t>113654</t>
  </si>
  <si>
    <t>572618大網白里市</t>
  </si>
  <si>
    <t>0573-1</t>
  </si>
  <si>
    <t>埼玉県東秩父村</t>
  </si>
  <si>
    <t>0573</t>
  </si>
  <si>
    <t>113696</t>
  </si>
  <si>
    <t>369</t>
  </si>
  <si>
    <t>113697</t>
  </si>
  <si>
    <t>573619酒々井町</t>
  </si>
  <si>
    <t>0574-1</t>
  </si>
  <si>
    <t>埼玉県美里町</t>
  </si>
  <si>
    <t>0574</t>
  </si>
  <si>
    <t>113811</t>
  </si>
  <si>
    <t>113816</t>
  </si>
  <si>
    <t>574620富里市</t>
  </si>
  <si>
    <t>0575-1</t>
  </si>
  <si>
    <t>埼玉県神川町</t>
  </si>
  <si>
    <t>0575</t>
  </si>
  <si>
    <t>113837</t>
  </si>
  <si>
    <t>113832</t>
  </si>
  <si>
    <t>575621白井市</t>
  </si>
  <si>
    <t>0576-1</t>
  </si>
  <si>
    <t>埼玉県上里町</t>
  </si>
  <si>
    <t>0576</t>
  </si>
  <si>
    <t>113852</t>
  </si>
  <si>
    <t>385</t>
  </si>
  <si>
    <t>113859</t>
  </si>
  <si>
    <t>576622栄町</t>
  </si>
  <si>
    <t>0577-1</t>
  </si>
  <si>
    <t>埼玉県宮代町</t>
  </si>
  <si>
    <t>0577</t>
  </si>
  <si>
    <t>114421</t>
  </si>
  <si>
    <t>577623神崎町</t>
  </si>
  <si>
    <t>0578-1</t>
  </si>
  <si>
    <t>埼玉県杉戸町</t>
  </si>
  <si>
    <t>0578</t>
  </si>
  <si>
    <t>114645</t>
  </si>
  <si>
    <t>114642</t>
  </si>
  <si>
    <t>578624多古町</t>
  </si>
  <si>
    <t>0579-1</t>
  </si>
  <si>
    <t>埼玉県松伏町</t>
  </si>
  <si>
    <t>0579</t>
  </si>
  <si>
    <t>114652</t>
  </si>
  <si>
    <t>114651</t>
  </si>
  <si>
    <t>579625東庄町</t>
  </si>
  <si>
    <t>0580-1</t>
  </si>
  <si>
    <t>埼玉県大里広域市町村圏組合</t>
  </si>
  <si>
    <t>0580</t>
  </si>
  <si>
    <t>118729</t>
  </si>
  <si>
    <t>872</t>
  </si>
  <si>
    <t>580626九十九里町</t>
  </si>
  <si>
    <t>0580-2</t>
  </si>
  <si>
    <t>埼玉県熊谷市</t>
  </si>
  <si>
    <t>0581</t>
  </si>
  <si>
    <t>112029</t>
  </si>
  <si>
    <t>112020</t>
  </si>
  <si>
    <t>581627芝山町</t>
  </si>
  <si>
    <t>0580-3</t>
  </si>
  <si>
    <t>埼玉県深谷市</t>
  </si>
  <si>
    <t>0582</t>
  </si>
  <si>
    <t>112185</t>
  </si>
  <si>
    <t>112186</t>
  </si>
  <si>
    <t>582628横芝光町</t>
  </si>
  <si>
    <t>0580-4</t>
  </si>
  <si>
    <t>埼玉県寄居町</t>
  </si>
  <si>
    <t>0583</t>
  </si>
  <si>
    <t>114082</t>
  </si>
  <si>
    <t>114081</t>
  </si>
  <si>
    <t>583629一宮町</t>
  </si>
  <si>
    <t>0584-1</t>
  </si>
  <si>
    <t>千葉県千葉市</t>
  </si>
  <si>
    <t>0584</t>
  </si>
  <si>
    <t>121004</t>
  </si>
  <si>
    <t>121002</t>
  </si>
  <si>
    <t>584630睦沢町</t>
  </si>
  <si>
    <t>0585-1</t>
  </si>
  <si>
    <t>千葉県銚子市</t>
  </si>
  <si>
    <t>0585</t>
  </si>
  <si>
    <t>122028</t>
  </si>
  <si>
    <t>122025</t>
  </si>
  <si>
    <t>585631長生村</t>
  </si>
  <si>
    <t>0586-1</t>
  </si>
  <si>
    <t>千葉県市川市</t>
  </si>
  <si>
    <t>0586</t>
  </si>
  <si>
    <t>122036</t>
  </si>
  <si>
    <t>122033</t>
  </si>
  <si>
    <t>586632白子町</t>
  </si>
  <si>
    <t>0587-1</t>
  </si>
  <si>
    <t>千葉県船橋市</t>
  </si>
  <si>
    <t>0587</t>
  </si>
  <si>
    <t>122044</t>
  </si>
  <si>
    <t>122041</t>
  </si>
  <si>
    <t>587633長柄町</t>
  </si>
  <si>
    <t>0588-1</t>
  </si>
  <si>
    <t>千葉県館山市</t>
  </si>
  <si>
    <t>0588</t>
  </si>
  <si>
    <t>122051</t>
  </si>
  <si>
    <t>122050</t>
  </si>
  <si>
    <t>588634長南町</t>
  </si>
  <si>
    <t>0589-1</t>
  </si>
  <si>
    <t>千葉県木更津市</t>
  </si>
  <si>
    <t>0589</t>
  </si>
  <si>
    <t>122069</t>
  </si>
  <si>
    <t>122068</t>
  </si>
  <si>
    <t>589635大多喜町</t>
  </si>
  <si>
    <t>0590-1</t>
  </si>
  <si>
    <t>千葉県松戸市</t>
  </si>
  <si>
    <t>0590</t>
  </si>
  <si>
    <t>122077</t>
  </si>
  <si>
    <t>122076</t>
  </si>
  <si>
    <t>590636御宿町</t>
  </si>
  <si>
    <t>0591-1</t>
  </si>
  <si>
    <t>千葉県野田市</t>
  </si>
  <si>
    <t>0591</t>
  </si>
  <si>
    <t>122085</t>
  </si>
  <si>
    <t>122084</t>
  </si>
  <si>
    <t>591637鋸南町</t>
  </si>
  <si>
    <t>0592-1</t>
  </si>
  <si>
    <t>千葉県茂原市</t>
  </si>
  <si>
    <t>0592</t>
  </si>
  <si>
    <t>122101</t>
  </si>
  <si>
    <t>122106</t>
  </si>
  <si>
    <t>592638千代田区</t>
  </si>
  <si>
    <t>0593-1</t>
  </si>
  <si>
    <t>千葉県成田市</t>
  </si>
  <si>
    <t>0593</t>
  </si>
  <si>
    <t>122119</t>
  </si>
  <si>
    <t>122114</t>
  </si>
  <si>
    <t>593639中央区</t>
  </si>
  <si>
    <t>0594-1</t>
  </si>
  <si>
    <t>千葉県佐倉市</t>
  </si>
  <si>
    <t>0594</t>
  </si>
  <si>
    <t>122127</t>
  </si>
  <si>
    <t>122122</t>
  </si>
  <si>
    <t>594640港区</t>
  </si>
  <si>
    <t>0595-1</t>
  </si>
  <si>
    <t>千葉県東金市</t>
  </si>
  <si>
    <t>0595</t>
  </si>
  <si>
    <t>122135</t>
  </si>
  <si>
    <t>122131</t>
  </si>
  <si>
    <t>595641新宿区</t>
  </si>
  <si>
    <t>0596-1</t>
  </si>
  <si>
    <t>千葉県旭市</t>
  </si>
  <si>
    <t>0596</t>
  </si>
  <si>
    <t>122150</t>
  </si>
  <si>
    <t>122157</t>
  </si>
  <si>
    <t>596642文京区</t>
  </si>
  <si>
    <t>0597-1</t>
  </si>
  <si>
    <t>千葉県習志野市</t>
  </si>
  <si>
    <t>0597</t>
  </si>
  <si>
    <t>122168</t>
  </si>
  <si>
    <t>122165</t>
  </si>
  <si>
    <t>597643台東区</t>
  </si>
  <si>
    <t>0598-1</t>
  </si>
  <si>
    <t>千葉県柏市</t>
  </si>
  <si>
    <t>0598</t>
  </si>
  <si>
    <t>122176</t>
  </si>
  <si>
    <t>122173</t>
  </si>
  <si>
    <t>598644墨田区</t>
  </si>
  <si>
    <t>0599-1</t>
  </si>
  <si>
    <t>千葉県勝浦市</t>
  </si>
  <si>
    <t>0599</t>
  </si>
  <si>
    <t>122184</t>
  </si>
  <si>
    <t>122181</t>
  </si>
  <si>
    <t>599645江東区</t>
  </si>
  <si>
    <t>0600-1</t>
  </si>
  <si>
    <t>千葉県市原市</t>
  </si>
  <si>
    <t>0600</t>
  </si>
  <si>
    <t>122192</t>
  </si>
  <si>
    <t>122190</t>
  </si>
  <si>
    <t>600646品川区</t>
  </si>
  <si>
    <t>0601-1</t>
  </si>
  <si>
    <t>千葉県流山市</t>
  </si>
  <si>
    <t>0601</t>
  </si>
  <si>
    <t>122200</t>
  </si>
  <si>
    <t>122203</t>
  </si>
  <si>
    <t>601647目黒区</t>
  </si>
  <si>
    <t>0602-1</t>
  </si>
  <si>
    <t>千葉県八千代市</t>
  </si>
  <si>
    <t>0602</t>
  </si>
  <si>
    <t>122218</t>
  </si>
  <si>
    <t>122211</t>
  </si>
  <si>
    <t>602648大田区</t>
  </si>
  <si>
    <t>0603-1</t>
  </si>
  <si>
    <t>千葉県我孫子市</t>
  </si>
  <si>
    <t>0603</t>
  </si>
  <si>
    <t>122226</t>
  </si>
  <si>
    <t>122220</t>
  </si>
  <si>
    <t>603649世田谷区</t>
  </si>
  <si>
    <t>0604-1</t>
  </si>
  <si>
    <t>千葉県鴨川市</t>
  </si>
  <si>
    <t>0604</t>
  </si>
  <si>
    <t>122234</t>
  </si>
  <si>
    <t>122238</t>
  </si>
  <si>
    <t>604650渋谷区</t>
  </si>
  <si>
    <t>0605-1</t>
  </si>
  <si>
    <t>千葉県鎌ケ谷市</t>
  </si>
  <si>
    <t>0605</t>
  </si>
  <si>
    <t>122242</t>
  </si>
  <si>
    <t>鎌ケ谷市</t>
    <rPh sb="0" eb="4">
      <t>カマガヤシ</t>
    </rPh>
    <phoneticPr fontId="16"/>
  </si>
  <si>
    <t>122246</t>
  </si>
  <si>
    <t>605651中野区</t>
  </si>
  <si>
    <t>0606-1</t>
  </si>
  <si>
    <t>千葉県君津市</t>
  </si>
  <si>
    <t>0606</t>
  </si>
  <si>
    <t>122259</t>
  </si>
  <si>
    <t>122254</t>
  </si>
  <si>
    <t>606652杉並区</t>
  </si>
  <si>
    <t>0607-1</t>
  </si>
  <si>
    <t>千葉県富津市</t>
  </si>
  <si>
    <t>0607</t>
  </si>
  <si>
    <t>122267</t>
  </si>
  <si>
    <t>122262</t>
  </si>
  <si>
    <t>607653豊島区</t>
  </si>
  <si>
    <t>0608-1</t>
  </si>
  <si>
    <t>千葉県浦安市</t>
  </si>
  <si>
    <t>0608</t>
  </si>
  <si>
    <t>122275</t>
  </si>
  <si>
    <t>122271</t>
  </si>
  <si>
    <t>608654北区</t>
  </si>
  <si>
    <t>0609-1</t>
  </si>
  <si>
    <t>千葉県四街道市</t>
  </si>
  <si>
    <t>0609</t>
  </si>
  <si>
    <t>122283</t>
  </si>
  <si>
    <t>122289</t>
  </si>
  <si>
    <t>609655荒川区</t>
  </si>
  <si>
    <t>0610-1</t>
  </si>
  <si>
    <t>千葉県袖ケ浦市</t>
  </si>
  <si>
    <t>0610</t>
  </si>
  <si>
    <t>122291</t>
  </si>
  <si>
    <t>122297</t>
  </si>
  <si>
    <t>610656板橋区</t>
  </si>
  <si>
    <t>0611-1</t>
  </si>
  <si>
    <t>千葉県八街市</t>
  </si>
  <si>
    <t>0611</t>
  </si>
  <si>
    <t>122309</t>
  </si>
  <si>
    <t>122301</t>
  </si>
  <si>
    <t>611657練馬区</t>
  </si>
  <si>
    <t>0612-1</t>
  </si>
  <si>
    <t>千葉県印西市</t>
  </si>
  <si>
    <t>0612</t>
  </si>
  <si>
    <t>122317</t>
  </si>
  <si>
    <t>122319</t>
  </si>
  <si>
    <t>612658足立区</t>
  </si>
  <si>
    <t>0613-1</t>
  </si>
  <si>
    <t>千葉県南房総市</t>
  </si>
  <si>
    <t>0613</t>
  </si>
  <si>
    <t>122341</t>
  </si>
  <si>
    <t>122343</t>
  </si>
  <si>
    <t>613659葛飾区</t>
  </si>
  <si>
    <t>0614-1</t>
  </si>
  <si>
    <t>千葉県匝瑳市</t>
  </si>
  <si>
    <t>0614</t>
  </si>
  <si>
    <t>122358</t>
  </si>
  <si>
    <t>122351</t>
  </si>
  <si>
    <t>614660江戸川区</t>
  </si>
  <si>
    <t>0615-1</t>
  </si>
  <si>
    <t>千葉県香取市</t>
  </si>
  <si>
    <t>0615</t>
  </si>
  <si>
    <t>122366</t>
  </si>
  <si>
    <t>122360</t>
  </si>
  <si>
    <t>615661八王子市</t>
  </si>
  <si>
    <t>0616-1</t>
  </si>
  <si>
    <t>千葉県山武市</t>
  </si>
  <si>
    <t>0616</t>
  </si>
  <si>
    <t>122374</t>
  </si>
  <si>
    <t>122378</t>
  </si>
  <si>
    <t>616662立川市</t>
  </si>
  <si>
    <t>0617-1</t>
  </si>
  <si>
    <t>千葉県いすみ市</t>
  </si>
  <si>
    <t>0617</t>
  </si>
  <si>
    <t>122382</t>
  </si>
  <si>
    <t>122386</t>
  </si>
  <si>
    <t>617663武蔵野市</t>
  </si>
  <si>
    <t>0618-1</t>
  </si>
  <si>
    <t>千葉県大網白里市</t>
  </si>
  <si>
    <t>0618</t>
  </si>
  <si>
    <t>122390</t>
  </si>
  <si>
    <t>122394</t>
  </si>
  <si>
    <t>618664三鷹市</t>
  </si>
  <si>
    <t>0619-1</t>
  </si>
  <si>
    <t>千葉県酒々井町</t>
  </si>
  <si>
    <t>0619</t>
  </si>
  <si>
    <t>123224</t>
  </si>
  <si>
    <t>123226</t>
  </si>
  <si>
    <t>619665青梅市</t>
  </si>
  <si>
    <t>0620-1</t>
  </si>
  <si>
    <t>千葉県富里市</t>
  </si>
  <si>
    <t>0620</t>
  </si>
  <si>
    <t>123240</t>
  </si>
  <si>
    <t>122335</t>
  </si>
  <si>
    <t>620666府中市</t>
  </si>
  <si>
    <t>0621-1</t>
  </si>
  <si>
    <t>千葉県白井市</t>
  </si>
  <si>
    <t>0621</t>
  </si>
  <si>
    <t>123265</t>
  </si>
  <si>
    <t>122327</t>
  </si>
  <si>
    <t>621667昭島市</t>
  </si>
  <si>
    <t>0622-1</t>
  </si>
  <si>
    <t>千葉県栄町</t>
  </si>
  <si>
    <t>0622</t>
  </si>
  <si>
    <t>123299</t>
  </si>
  <si>
    <t>329</t>
  </si>
  <si>
    <t>123293</t>
  </si>
  <si>
    <t>622668調布市</t>
  </si>
  <si>
    <t>0623-1</t>
  </si>
  <si>
    <t>千葉県神崎町</t>
  </si>
  <si>
    <t>0623</t>
  </si>
  <si>
    <t>123422</t>
  </si>
  <si>
    <t>123421</t>
  </si>
  <si>
    <t>623669町田市</t>
  </si>
  <si>
    <t>0624-1</t>
  </si>
  <si>
    <t>千葉県多古町</t>
  </si>
  <si>
    <t>0624</t>
  </si>
  <si>
    <t>123471</t>
  </si>
  <si>
    <t>624670小金井市</t>
  </si>
  <si>
    <t>0625-1</t>
  </si>
  <si>
    <t>千葉県東庄町</t>
  </si>
  <si>
    <t>0625</t>
  </si>
  <si>
    <t>123497</t>
  </si>
  <si>
    <t>123498</t>
  </si>
  <si>
    <t>625671小平市</t>
  </si>
  <si>
    <t>0626-1</t>
  </si>
  <si>
    <t>千葉県九十九里町</t>
  </si>
  <si>
    <t>0626</t>
  </si>
  <si>
    <t>124032</t>
  </si>
  <si>
    <t>124036</t>
  </si>
  <si>
    <t>626672日野市</t>
  </si>
  <si>
    <t>0627-1</t>
  </si>
  <si>
    <t>千葉県芝山町</t>
  </si>
  <si>
    <t>0627</t>
  </si>
  <si>
    <t>124099</t>
  </si>
  <si>
    <t>124095</t>
  </si>
  <si>
    <t>627673東村山市</t>
  </si>
  <si>
    <t>0628-1</t>
  </si>
  <si>
    <t>千葉県横芝光町</t>
  </si>
  <si>
    <t>0628</t>
  </si>
  <si>
    <t>124107</t>
  </si>
  <si>
    <t>410</t>
  </si>
  <si>
    <t>124109</t>
  </si>
  <si>
    <t>628674国分寺市</t>
  </si>
  <si>
    <t>0629-1</t>
  </si>
  <si>
    <t>千葉県一宮町</t>
  </si>
  <si>
    <t>0629</t>
  </si>
  <si>
    <t>124214</t>
  </si>
  <si>
    <t>629675国立市</t>
  </si>
  <si>
    <t>0630-1</t>
  </si>
  <si>
    <t>千葉県睦沢町</t>
  </si>
  <si>
    <t>0630</t>
  </si>
  <si>
    <t>124222</t>
  </si>
  <si>
    <t>630676福生市</t>
  </si>
  <si>
    <t>0631-1</t>
  </si>
  <si>
    <t>千葉県長生村</t>
  </si>
  <si>
    <t>0631</t>
  </si>
  <si>
    <t>124230</t>
  </si>
  <si>
    <t>124231</t>
  </si>
  <si>
    <t>631677狛江市</t>
  </si>
  <si>
    <t>0632-1</t>
  </si>
  <si>
    <t>千葉県白子町</t>
  </si>
  <si>
    <t>0632</t>
  </si>
  <si>
    <t>124248</t>
  </si>
  <si>
    <t>124249</t>
  </si>
  <si>
    <t>632678東大和市</t>
  </si>
  <si>
    <t>0633-1</t>
  </si>
  <si>
    <t>千葉県長柄町</t>
  </si>
  <si>
    <t>0633</t>
  </si>
  <si>
    <t>124263</t>
  </si>
  <si>
    <t>124265</t>
  </si>
  <si>
    <t>633679清瀬市</t>
  </si>
  <si>
    <t>0634-1</t>
  </si>
  <si>
    <t>千葉県長南町</t>
  </si>
  <si>
    <t>0634</t>
  </si>
  <si>
    <t>124271</t>
  </si>
  <si>
    <t>124273</t>
  </si>
  <si>
    <t>634680東久留米市</t>
  </si>
  <si>
    <t>0635-1</t>
  </si>
  <si>
    <t>千葉県大多喜町</t>
  </si>
  <si>
    <t>0635</t>
  </si>
  <si>
    <t>124412</t>
  </si>
  <si>
    <t>124419</t>
  </si>
  <si>
    <t>635681武蔵村山市</t>
  </si>
  <si>
    <t>0636-1</t>
  </si>
  <si>
    <t>千葉県御宿町</t>
  </si>
  <si>
    <t>0636</t>
  </si>
  <si>
    <t>124438</t>
  </si>
  <si>
    <t>124435</t>
  </si>
  <si>
    <t>636682多摩市</t>
  </si>
  <si>
    <t>0637-1</t>
  </si>
  <si>
    <t>千葉県鋸南町</t>
  </si>
  <si>
    <t>0637</t>
  </si>
  <si>
    <t>124636</t>
  </si>
  <si>
    <t>124630</t>
  </si>
  <si>
    <t>637683稲城市</t>
  </si>
  <si>
    <t>0638-1</t>
  </si>
  <si>
    <t>東京都千代田区</t>
  </si>
  <si>
    <t>0638</t>
  </si>
  <si>
    <t>131011</t>
  </si>
  <si>
    <t>101</t>
  </si>
  <si>
    <t>131016</t>
  </si>
  <si>
    <t>638684羽村市</t>
  </si>
  <si>
    <t>0639-1</t>
  </si>
  <si>
    <t>東京都中央区</t>
  </si>
  <si>
    <t>0639</t>
  </si>
  <si>
    <t>131029</t>
  </si>
  <si>
    <t>102</t>
  </si>
  <si>
    <t>131024</t>
  </si>
  <si>
    <t>639685あきる野市</t>
  </si>
  <si>
    <t>0640-1</t>
  </si>
  <si>
    <t>東京都港区</t>
  </si>
  <si>
    <t>0640</t>
  </si>
  <si>
    <t>131037</t>
  </si>
  <si>
    <t>103</t>
  </si>
  <si>
    <t>131032</t>
  </si>
  <si>
    <t>640686西東京市</t>
  </si>
  <si>
    <t>0641-1</t>
  </si>
  <si>
    <t>東京都新宿区</t>
  </si>
  <si>
    <t>0641</t>
  </si>
  <si>
    <t>131045</t>
  </si>
  <si>
    <t>104</t>
  </si>
  <si>
    <t>131041</t>
  </si>
  <si>
    <t>641687瑞穂町</t>
  </si>
  <si>
    <t>0642-1</t>
  </si>
  <si>
    <t>東京都文京区</t>
  </si>
  <si>
    <t>0642</t>
  </si>
  <si>
    <t>131052</t>
  </si>
  <si>
    <t>105</t>
  </si>
  <si>
    <t>131059</t>
  </si>
  <si>
    <t>642688日の出町</t>
  </si>
  <si>
    <t>0643-1</t>
  </si>
  <si>
    <t>東京都台東区</t>
  </si>
  <si>
    <t>0643</t>
  </si>
  <si>
    <t>131060</t>
  </si>
  <si>
    <t>106</t>
  </si>
  <si>
    <t>131067</t>
  </si>
  <si>
    <t>643689檜原村</t>
  </si>
  <si>
    <t>0644-1</t>
  </si>
  <si>
    <t>東京都墨田区</t>
  </si>
  <si>
    <t>0644</t>
  </si>
  <si>
    <t>131078</t>
  </si>
  <si>
    <t>107</t>
  </si>
  <si>
    <t>131075</t>
  </si>
  <si>
    <t>644690奥多摩町</t>
  </si>
  <si>
    <t>0645-1</t>
  </si>
  <si>
    <t>東京都江東区</t>
  </si>
  <si>
    <t>0645</t>
  </si>
  <si>
    <t>131086</t>
  </si>
  <si>
    <t>108</t>
  </si>
  <si>
    <t>131083</t>
  </si>
  <si>
    <t>645691大島町</t>
  </si>
  <si>
    <t>0646-1</t>
  </si>
  <si>
    <t>東京都品川区</t>
  </si>
  <si>
    <t>0646</t>
  </si>
  <si>
    <t>131094</t>
  </si>
  <si>
    <t>109</t>
  </si>
  <si>
    <t>131091</t>
  </si>
  <si>
    <t>646692利島村</t>
  </si>
  <si>
    <t>0647-1</t>
  </si>
  <si>
    <t>東京都目黒区</t>
  </si>
  <si>
    <t>0647</t>
  </si>
  <si>
    <t>131102</t>
  </si>
  <si>
    <t>110</t>
  </si>
  <si>
    <t>131105</t>
  </si>
  <si>
    <t>647693新島村</t>
  </si>
  <si>
    <t>0648-1</t>
  </si>
  <si>
    <t>東京都大田区</t>
  </si>
  <si>
    <t>0648</t>
  </si>
  <si>
    <t>131110</t>
  </si>
  <si>
    <t>111</t>
  </si>
  <si>
    <t>131113</t>
  </si>
  <si>
    <t>648694神津島村</t>
  </si>
  <si>
    <t>0649-1</t>
  </si>
  <si>
    <t>東京都世田谷区</t>
  </si>
  <si>
    <t>0649</t>
  </si>
  <si>
    <t>131128</t>
  </si>
  <si>
    <t>112</t>
  </si>
  <si>
    <t>131121</t>
  </si>
  <si>
    <t>649695三宅村</t>
  </si>
  <si>
    <t>0650-1</t>
  </si>
  <si>
    <t>東京都渋谷区</t>
  </si>
  <si>
    <t>0650</t>
  </si>
  <si>
    <t>131136</t>
  </si>
  <si>
    <t>113</t>
  </si>
  <si>
    <t>131130</t>
  </si>
  <si>
    <t>650696御蔵島村</t>
  </si>
  <si>
    <t>0651-1</t>
  </si>
  <si>
    <t>東京都中野区</t>
  </si>
  <si>
    <t>0651</t>
  </si>
  <si>
    <t>131144</t>
  </si>
  <si>
    <t>114</t>
  </si>
  <si>
    <t>131148</t>
  </si>
  <si>
    <t>651697八丈町</t>
  </si>
  <si>
    <t>0652-1</t>
  </si>
  <si>
    <t>東京都杉並区</t>
  </si>
  <si>
    <t>0652</t>
  </si>
  <si>
    <t>131151</t>
  </si>
  <si>
    <t>115</t>
  </si>
  <si>
    <t>131156</t>
  </si>
  <si>
    <t>652698青ヶ島村</t>
  </si>
  <si>
    <t>0653-1</t>
  </si>
  <si>
    <t>東京都豊島区</t>
  </si>
  <si>
    <t>0653</t>
  </si>
  <si>
    <t>131169</t>
  </si>
  <si>
    <t>116</t>
  </si>
  <si>
    <t>131164</t>
  </si>
  <si>
    <t>653699小笠原村</t>
  </si>
  <si>
    <t>0654-1</t>
  </si>
  <si>
    <t>東京都北区</t>
  </si>
  <si>
    <t>0654</t>
  </si>
  <si>
    <t>131177</t>
  </si>
  <si>
    <t>117</t>
  </si>
  <si>
    <t>131172</t>
  </si>
  <si>
    <t>654700横浜市</t>
  </si>
  <si>
    <t>0655-1</t>
  </si>
  <si>
    <t>東京都荒川区</t>
  </si>
  <si>
    <t>0655</t>
  </si>
  <si>
    <t>131185</t>
  </si>
  <si>
    <t>118</t>
  </si>
  <si>
    <t>131181</t>
  </si>
  <si>
    <t>655701川崎市</t>
  </si>
  <si>
    <t>0656-1</t>
  </si>
  <si>
    <t>東京都板橋区</t>
  </si>
  <si>
    <t>0656</t>
  </si>
  <si>
    <t>131193</t>
  </si>
  <si>
    <t>119</t>
  </si>
  <si>
    <t>131199</t>
  </si>
  <si>
    <t>656702相模原市</t>
  </si>
  <si>
    <t>0657-1</t>
  </si>
  <si>
    <t>東京都練馬区</t>
  </si>
  <si>
    <t>0657</t>
  </si>
  <si>
    <t>131201</t>
  </si>
  <si>
    <t>120</t>
  </si>
  <si>
    <t>131202</t>
  </si>
  <si>
    <t>657703横須賀市</t>
  </si>
  <si>
    <t>0658-1</t>
  </si>
  <si>
    <t>東京都足立区</t>
  </si>
  <si>
    <t>0658</t>
  </si>
  <si>
    <t>131219</t>
  </si>
  <si>
    <t>121</t>
  </si>
  <si>
    <t>131211</t>
  </si>
  <si>
    <t>658704平塚市</t>
  </si>
  <si>
    <t>0659-1</t>
  </si>
  <si>
    <t>東京都葛飾区</t>
  </si>
  <si>
    <t>0659</t>
  </si>
  <si>
    <t>131227</t>
  </si>
  <si>
    <t>122</t>
  </si>
  <si>
    <t>131229</t>
  </si>
  <si>
    <t>659705鎌倉市</t>
  </si>
  <si>
    <t>0660-1</t>
  </si>
  <si>
    <t>東京都江戸川区</t>
  </si>
  <si>
    <t>0660</t>
  </si>
  <si>
    <t>131235</t>
  </si>
  <si>
    <t>123</t>
  </si>
  <si>
    <t>131237</t>
  </si>
  <si>
    <t>660706藤沢市</t>
  </si>
  <si>
    <t>0661-1</t>
  </si>
  <si>
    <t>東京都八王子市</t>
  </si>
  <si>
    <t>0661</t>
  </si>
  <si>
    <t>132019</t>
  </si>
  <si>
    <t>132012</t>
  </si>
  <si>
    <t>661707小田原市</t>
  </si>
  <si>
    <t>0662-1</t>
  </si>
  <si>
    <t>東京都立川市</t>
  </si>
  <si>
    <t>0662</t>
  </si>
  <si>
    <t>132027</t>
  </si>
  <si>
    <t>132021</t>
  </si>
  <si>
    <t>662708茅ヶ崎市</t>
  </si>
  <si>
    <t>0663-1</t>
  </si>
  <si>
    <t>東京都武蔵野市</t>
  </si>
  <si>
    <t>0663</t>
  </si>
  <si>
    <t>132035</t>
  </si>
  <si>
    <t>132039</t>
  </si>
  <si>
    <t>663709逗子市</t>
  </si>
  <si>
    <t>0664-1</t>
  </si>
  <si>
    <t>東京都三鷹市</t>
  </si>
  <si>
    <t>0664</t>
  </si>
  <si>
    <t>132043</t>
  </si>
  <si>
    <t>132047</t>
  </si>
  <si>
    <t>664710三浦市</t>
  </si>
  <si>
    <t>0665-1</t>
  </si>
  <si>
    <t>東京都青梅市</t>
  </si>
  <si>
    <t>0665</t>
  </si>
  <si>
    <t>132050</t>
  </si>
  <si>
    <t>132055</t>
  </si>
  <si>
    <t>665711秦野市</t>
  </si>
  <si>
    <t>0666-1</t>
  </si>
  <si>
    <t>東京都府中市</t>
  </si>
  <si>
    <t>0666</t>
  </si>
  <si>
    <t>132068</t>
  </si>
  <si>
    <t>132063</t>
  </si>
  <si>
    <t>666712厚木市</t>
  </si>
  <si>
    <t>0667-1</t>
  </si>
  <si>
    <t>東京都昭島市</t>
  </si>
  <si>
    <t>0667</t>
  </si>
  <si>
    <t>132076</t>
  </si>
  <si>
    <t>132071</t>
  </si>
  <si>
    <t>667713大和市</t>
  </si>
  <si>
    <t>0668-1</t>
  </si>
  <si>
    <t>東京都調布市</t>
  </si>
  <si>
    <t>0668</t>
  </si>
  <si>
    <t>132084</t>
  </si>
  <si>
    <t>132080</t>
  </si>
  <si>
    <t>668714伊勢原市</t>
  </si>
  <si>
    <t>0669-1</t>
  </si>
  <si>
    <t>東京都町田市</t>
  </si>
  <si>
    <t>0669</t>
  </si>
  <si>
    <t>132092</t>
  </si>
  <si>
    <t>132098</t>
  </si>
  <si>
    <t>669715海老名市</t>
  </si>
  <si>
    <t>0670-1</t>
  </si>
  <si>
    <t>東京都小金井市</t>
  </si>
  <si>
    <t>0670</t>
  </si>
  <si>
    <t>132100</t>
  </si>
  <si>
    <t>132101</t>
  </si>
  <si>
    <t>670716座間市</t>
  </si>
  <si>
    <t>0671-1</t>
  </si>
  <si>
    <t>東京都小平市</t>
  </si>
  <si>
    <t>0671</t>
  </si>
  <si>
    <t>132118</t>
  </si>
  <si>
    <t>132110</t>
  </si>
  <si>
    <t>671717南足柄市</t>
  </si>
  <si>
    <t>0672-1</t>
  </si>
  <si>
    <t>東京都日野市</t>
  </si>
  <si>
    <t>0672</t>
  </si>
  <si>
    <t>132126</t>
  </si>
  <si>
    <t>132128</t>
  </si>
  <si>
    <t>672718綾瀬市</t>
  </si>
  <si>
    <t>0673-1</t>
  </si>
  <si>
    <t>東京都東村山市</t>
  </si>
  <si>
    <t>0673</t>
  </si>
  <si>
    <t>132134</t>
  </si>
  <si>
    <t>132136</t>
  </si>
  <si>
    <t>673719葉山町</t>
  </si>
  <si>
    <t>0674-1</t>
  </si>
  <si>
    <t>東京都国分寺市</t>
  </si>
  <si>
    <t>0674</t>
  </si>
  <si>
    <t>132142</t>
  </si>
  <si>
    <t>132144</t>
  </si>
  <si>
    <t>674720寒川町</t>
  </si>
  <si>
    <t>0675-1</t>
  </si>
  <si>
    <t>東京都国立市</t>
  </si>
  <si>
    <t>0675</t>
  </si>
  <si>
    <t>132159</t>
  </si>
  <si>
    <t>132152</t>
  </si>
  <si>
    <t>675721大磯町</t>
  </si>
  <si>
    <t>0676-1</t>
  </si>
  <si>
    <t>東京都福生市</t>
  </si>
  <si>
    <t>0676</t>
  </si>
  <si>
    <t>132183</t>
  </si>
  <si>
    <t>132187</t>
  </si>
  <si>
    <t>676722二宮町</t>
  </si>
  <si>
    <t>0677-1</t>
  </si>
  <si>
    <t>東京都狛江市</t>
  </si>
  <si>
    <t>0677</t>
  </si>
  <si>
    <t>132191</t>
  </si>
  <si>
    <t>132195</t>
  </si>
  <si>
    <t>677723中井町</t>
  </si>
  <si>
    <t>0678-1</t>
  </si>
  <si>
    <t>東京都東大和市</t>
  </si>
  <si>
    <t>0678</t>
  </si>
  <si>
    <t>132209</t>
  </si>
  <si>
    <t>678724大井町</t>
  </si>
  <si>
    <t>0679-1</t>
  </si>
  <si>
    <t>東京都清瀬市</t>
  </si>
  <si>
    <t>0679</t>
  </si>
  <si>
    <t>132217</t>
  </si>
  <si>
    <t>679725松田町</t>
  </si>
  <si>
    <t>0680-1</t>
  </si>
  <si>
    <t>東京都東久留米市</t>
  </si>
  <si>
    <t>0680</t>
  </si>
  <si>
    <t>132225</t>
  </si>
  <si>
    <t>680726山北町</t>
  </si>
  <si>
    <t>0681-1</t>
  </si>
  <si>
    <t>東京都武蔵村山市</t>
  </si>
  <si>
    <t>0681</t>
  </si>
  <si>
    <t>132233</t>
  </si>
  <si>
    <t>681727開成町</t>
  </si>
  <si>
    <t>0682-1</t>
  </si>
  <si>
    <t>東京都多摩市</t>
  </si>
  <si>
    <t>0682</t>
  </si>
  <si>
    <t>132241</t>
  </si>
  <si>
    <t>682728箱根町</t>
  </si>
  <si>
    <t>0683-1</t>
  </si>
  <si>
    <t>東京都稲城市</t>
  </si>
  <si>
    <t>0683</t>
  </si>
  <si>
    <t>132258</t>
  </si>
  <si>
    <t>132250</t>
  </si>
  <si>
    <t>683729真鶴町</t>
  </si>
  <si>
    <t>0684-1</t>
  </si>
  <si>
    <t>東京都羽村市</t>
  </si>
  <si>
    <t>0684</t>
  </si>
  <si>
    <t>132274</t>
  </si>
  <si>
    <t>132276</t>
  </si>
  <si>
    <t>684730湯河原町</t>
  </si>
  <si>
    <t>0685-1</t>
  </si>
  <si>
    <t>東京都あきる野市</t>
  </si>
  <si>
    <t>0685</t>
  </si>
  <si>
    <t>132282</t>
  </si>
  <si>
    <t>132284</t>
  </si>
  <si>
    <t>685731愛川町</t>
  </si>
  <si>
    <t>0686-1</t>
  </si>
  <si>
    <t>東京都西東京市</t>
  </si>
  <si>
    <t>0686</t>
  </si>
  <si>
    <t>132290</t>
  </si>
  <si>
    <t>132292</t>
  </si>
  <si>
    <t>686732清川村</t>
  </si>
  <si>
    <t>0687-1</t>
  </si>
  <si>
    <t>東京都瑞穂町</t>
  </si>
  <si>
    <t>0687</t>
  </si>
  <si>
    <t>133033</t>
  </si>
  <si>
    <t>133035</t>
  </si>
  <si>
    <t>687733新潟市</t>
  </si>
  <si>
    <t>0688-1</t>
  </si>
  <si>
    <t>東京都日の出町</t>
  </si>
  <si>
    <t>0688</t>
  </si>
  <si>
    <t>133058</t>
  </si>
  <si>
    <t>305</t>
  </si>
  <si>
    <t>133051</t>
  </si>
  <si>
    <t>688734長岡市</t>
  </si>
  <si>
    <t>0689-1</t>
  </si>
  <si>
    <t>東京都檜原村</t>
  </si>
  <si>
    <t>0689</t>
  </si>
  <si>
    <t>133074</t>
  </si>
  <si>
    <t>133078</t>
  </si>
  <si>
    <t>689735三条市</t>
  </si>
  <si>
    <t>0690-1</t>
  </si>
  <si>
    <t>東京都奥多摩町</t>
  </si>
  <si>
    <t>0690</t>
  </si>
  <si>
    <t>133082</t>
  </si>
  <si>
    <t>133086</t>
  </si>
  <si>
    <t>690736柏崎市</t>
  </si>
  <si>
    <t>0691-1</t>
  </si>
  <si>
    <t>東京都大島町</t>
  </si>
  <si>
    <t>0691</t>
  </si>
  <si>
    <t>133611</t>
  </si>
  <si>
    <t>133612</t>
  </si>
  <si>
    <t>691737新発田市</t>
  </si>
  <si>
    <t>0692-1</t>
  </si>
  <si>
    <t>東京都利島村</t>
  </si>
  <si>
    <t>0692</t>
  </si>
  <si>
    <t>133629</t>
  </si>
  <si>
    <t>133621</t>
  </si>
  <si>
    <t>692738小千谷市</t>
  </si>
  <si>
    <t>0693-1</t>
  </si>
  <si>
    <t>東京都新島村</t>
  </si>
  <si>
    <t>0693</t>
  </si>
  <si>
    <t>133637</t>
  </si>
  <si>
    <t>133639</t>
  </si>
  <si>
    <t>693739加茂市</t>
  </si>
  <si>
    <t>0694-1</t>
  </si>
  <si>
    <t>東京都神津島村</t>
  </si>
  <si>
    <t>0694</t>
  </si>
  <si>
    <t>133645</t>
  </si>
  <si>
    <t>133647</t>
  </si>
  <si>
    <t>694740十日町市</t>
  </si>
  <si>
    <t>0695-1</t>
  </si>
  <si>
    <t>東京都三宅村</t>
  </si>
  <si>
    <t>0695</t>
  </si>
  <si>
    <t>133819</t>
  </si>
  <si>
    <t>133817</t>
  </si>
  <si>
    <t>695741見附市</t>
  </si>
  <si>
    <t>0696-1</t>
  </si>
  <si>
    <t>東京都御蔵島村</t>
  </si>
  <si>
    <t>0696</t>
  </si>
  <si>
    <t>133827</t>
  </si>
  <si>
    <t>133825</t>
  </si>
  <si>
    <t>696742村上市</t>
  </si>
  <si>
    <t>0697-1</t>
  </si>
  <si>
    <t>東京都八丈町</t>
  </si>
  <si>
    <t>0697</t>
  </si>
  <si>
    <t>134015</t>
  </si>
  <si>
    <t>697743燕市</t>
  </si>
  <si>
    <t>0698-1</t>
  </si>
  <si>
    <t>東京都青ヶ島村</t>
  </si>
  <si>
    <t>0698</t>
  </si>
  <si>
    <t>134023</t>
  </si>
  <si>
    <t>698744糸魚川市</t>
  </si>
  <si>
    <t>0699-1</t>
  </si>
  <si>
    <t>東京都小笠原村</t>
  </si>
  <si>
    <t>0699</t>
  </si>
  <si>
    <t>134213</t>
  </si>
  <si>
    <t>134210</t>
  </si>
  <si>
    <t>699745妙高市</t>
  </si>
  <si>
    <t>0700-1</t>
  </si>
  <si>
    <t>神奈川県横浜市</t>
  </si>
  <si>
    <t>0700</t>
  </si>
  <si>
    <t>141002</t>
  </si>
  <si>
    <t>141003</t>
  </si>
  <si>
    <t>700746五泉市</t>
  </si>
  <si>
    <t>0701-1</t>
  </si>
  <si>
    <t>神奈川県川崎市</t>
  </si>
  <si>
    <t>0701</t>
  </si>
  <si>
    <t>141309</t>
  </si>
  <si>
    <t>130</t>
  </si>
  <si>
    <t>141305</t>
  </si>
  <si>
    <t>701747上越市</t>
  </si>
  <si>
    <t>0702-1</t>
  </si>
  <si>
    <t>神奈川県相模原市</t>
  </si>
  <si>
    <t>0702</t>
  </si>
  <si>
    <t>141507</t>
  </si>
  <si>
    <t>150</t>
  </si>
  <si>
    <t>141500</t>
  </si>
  <si>
    <t>702748阿賀野市</t>
  </si>
  <si>
    <t>0703-1</t>
  </si>
  <si>
    <t>神奈川県横須賀市</t>
  </si>
  <si>
    <t>0703</t>
  </si>
  <si>
    <t>142018</t>
  </si>
  <si>
    <t>703749佐渡市</t>
  </si>
  <si>
    <t>0704-1</t>
  </si>
  <si>
    <t>神奈川県平塚市</t>
  </si>
  <si>
    <t>0704</t>
  </si>
  <si>
    <t>142034</t>
  </si>
  <si>
    <t>704750魚沼市</t>
  </si>
  <si>
    <t>0705-1</t>
  </si>
  <si>
    <t>神奈川県鎌倉市</t>
  </si>
  <si>
    <t>0705</t>
  </si>
  <si>
    <t>142042</t>
  </si>
  <si>
    <t>705751南魚沼市</t>
  </si>
  <si>
    <t>0706-1</t>
  </si>
  <si>
    <t>神奈川県藤沢市</t>
  </si>
  <si>
    <t>0706</t>
  </si>
  <si>
    <t>142059</t>
  </si>
  <si>
    <t>142051</t>
  </si>
  <si>
    <t>706752胎内市</t>
  </si>
  <si>
    <t>0707-1</t>
  </si>
  <si>
    <t>神奈川県小田原市</t>
  </si>
  <si>
    <t>0707</t>
  </si>
  <si>
    <t>142067</t>
  </si>
  <si>
    <t>142069</t>
  </si>
  <si>
    <t>707753聖籠町</t>
  </si>
  <si>
    <t>0708-1</t>
  </si>
  <si>
    <t>神奈川県茅ヶ崎市</t>
  </si>
  <si>
    <t>0708</t>
  </si>
  <si>
    <t>142075</t>
  </si>
  <si>
    <t>142077</t>
  </si>
  <si>
    <t>708754弥彦村</t>
  </si>
  <si>
    <t>0709-1</t>
  </si>
  <si>
    <t>神奈川県逗子市</t>
  </si>
  <si>
    <t>0709</t>
  </si>
  <si>
    <t>142083</t>
  </si>
  <si>
    <t>142085</t>
  </si>
  <si>
    <t>709755田上町</t>
  </si>
  <si>
    <t>0710-1</t>
  </si>
  <si>
    <t>神奈川県三浦市</t>
  </si>
  <si>
    <t>0710</t>
  </si>
  <si>
    <t>142109</t>
  </si>
  <si>
    <t>142107</t>
  </si>
  <si>
    <t>710756阿賀町</t>
  </si>
  <si>
    <t>0711-1</t>
  </si>
  <si>
    <t>神奈川県秦野市</t>
  </si>
  <si>
    <t>0711</t>
  </si>
  <si>
    <t>142117</t>
  </si>
  <si>
    <t>142115</t>
  </si>
  <si>
    <t>711757出雲崎町</t>
  </si>
  <si>
    <t>0712-1</t>
  </si>
  <si>
    <t>神奈川県厚木市</t>
  </si>
  <si>
    <t>0712</t>
  </si>
  <si>
    <t>142125</t>
  </si>
  <si>
    <t>142123</t>
  </si>
  <si>
    <t>712758湯沢町</t>
  </si>
  <si>
    <t>0713-1</t>
  </si>
  <si>
    <t>神奈川県大和市</t>
  </si>
  <si>
    <t>0713</t>
  </si>
  <si>
    <t>142133</t>
  </si>
  <si>
    <t>142131</t>
  </si>
  <si>
    <t>713759津南町</t>
  </si>
  <si>
    <t>0714-1</t>
  </si>
  <si>
    <t>神奈川県伊勢原市</t>
  </si>
  <si>
    <t>0714</t>
  </si>
  <si>
    <t>142141</t>
  </si>
  <si>
    <t>142140</t>
  </si>
  <si>
    <t>714760刈羽村</t>
  </si>
  <si>
    <t>0715-1</t>
  </si>
  <si>
    <t>神奈川県海老名市</t>
  </si>
  <si>
    <t>0715</t>
  </si>
  <si>
    <t>142158</t>
  </si>
  <si>
    <t>715761関川村</t>
  </si>
  <si>
    <t>0716-1</t>
  </si>
  <si>
    <t>神奈川県座間市</t>
  </si>
  <si>
    <t>0716</t>
  </si>
  <si>
    <t>142166</t>
  </si>
  <si>
    <t>716762粟島浦村</t>
  </si>
  <si>
    <t>0717-1</t>
  </si>
  <si>
    <t>神奈川県南足柄市</t>
  </si>
  <si>
    <t>0717</t>
  </si>
  <si>
    <t>142174</t>
  </si>
  <si>
    <t>717763富山市</t>
  </si>
  <si>
    <t>0718-1</t>
  </si>
  <si>
    <t>神奈川県綾瀬市</t>
  </si>
  <si>
    <t>0718</t>
  </si>
  <si>
    <t>142182</t>
  </si>
  <si>
    <t>718764高岡市</t>
  </si>
  <si>
    <t>0719-1</t>
  </si>
  <si>
    <t>神奈川県葉山町</t>
  </si>
  <si>
    <t>0719</t>
  </si>
  <si>
    <t>143016</t>
  </si>
  <si>
    <t>143014</t>
  </si>
  <si>
    <t>719765魚津市</t>
  </si>
  <si>
    <t>0720-1</t>
  </si>
  <si>
    <t>神奈川県寒川町</t>
  </si>
  <si>
    <t>0720</t>
  </si>
  <si>
    <t>143214</t>
  </si>
  <si>
    <t>143219</t>
  </si>
  <si>
    <t>720766氷見市</t>
  </si>
  <si>
    <t>0721-1</t>
  </si>
  <si>
    <t>神奈川県大磯町</t>
  </si>
  <si>
    <t>0721</t>
  </si>
  <si>
    <t>143412</t>
  </si>
  <si>
    <t>143413</t>
  </si>
  <si>
    <t>721767滑川市</t>
  </si>
  <si>
    <t>0722-1</t>
  </si>
  <si>
    <t>神奈川県二宮町</t>
  </si>
  <si>
    <t>0722</t>
  </si>
  <si>
    <t>143420</t>
  </si>
  <si>
    <t>143421</t>
  </si>
  <si>
    <t>722768射水市</t>
  </si>
  <si>
    <t>0723-1</t>
  </si>
  <si>
    <t>神奈川県中井町</t>
  </si>
  <si>
    <t>0723</t>
  </si>
  <si>
    <t>143610</t>
  </si>
  <si>
    <t>143618</t>
  </si>
  <si>
    <t>723769中新川広域行政事務組合</t>
  </si>
  <si>
    <t>0724-1</t>
  </si>
  <si>
    <t>神奈川県大井町</t>
  </si>
  <si>
    <t>0724</t>
  </si>
  <si>
    <t>143628</t>
  </si>
  <si>
    <t>143626</t>
  </si>
  <si>
    <t>724773砺波地方介護保険組合</t>
  </si>
  <si>
    <t>0725-1</t>
  </si>
  <si>
    <t>神奈川県松田町</t>
  </si>
  <si>
    <t>0725</t>
  </si>
  <si>
    <t>143636</t>
  </si>
  <si>
    <t>143634</t>
  </si>
  <si>
    <t>725777新川地域介護保険・ケーブルテレビ事業組合</t>
  </si>
  <si>
    <t>0726-1</t>
  </si>
  <si>
    <t>神奈川県山北町</t>
  </si>
  <si>
    <t>0726</t>
  </si>
  <si>
    <t>143644</t>
  </si>
  <si>
    <t>143642</t>
  </si>
  <si>
    <t>726781金沢市</t>
  </si>
  <si>
    <t>0727-1</t>
  </si>
  <si>
    <t>神奈川県開成町</t>
  </si>
  <si>
    <t>0727</t>
  </si>
  <si>
    <t>143669</t>
  </si>
  <si>
    <t>727782七尾市</t>
  </si>
  <si>
    <t>0728-1</t>
  </si>
  <si>
    <t>神奈川県箱根町</t>
  </si>
  <si>
    <t>0728</t>
  </si>
  <si>
    <t>143826</t>
  </si>
  <si>
    <t>143821</t>
  </si>
  <si>
    <t>728783小松市</t>
  </si>
  <si>
    <t>0729-1</t>
  </si>
  <si>
    <t>神奈川県真鶴町</t>
  </si>
  <si>
    <t>0729</t>
  </si>
  <si>
    <t>143834</t>
  </si>
  <si>
    <t>143839</t>
  </si>
  <si>
    <t>729784輪島市</t>
  </si>
  <si>
    <t>0730-1</t>
  </si>
  <si>
    <t>神奈川県湯河原町</t>
  </si>
  <si>
    <t>0730</t>
  </si>
  <si>
    <t>143842</t>
  </si>
  <si>
    <t>143847</t>
  </si>
  <si>
    <t>730785珠洲市</t>
  </si>
  <si>
    <t>0731-1</t>
  </si>
  <si>
    <t>神奈川県愛川町</t>
  </si>
  <si>
    <t>0731</t>
  </si>
  <si>
    <t>144014</t>
  </si>
  <si>
    <t>144011</t>
  </si>
  <si>
    <t>731786加賀市</t>
  </si>
  <si>
    <t>0732-1</t>
  </si>
  <si>
    <t>神奈川県清川村</t>
  </si>
  <si>
    <t>0732</t>
  </si>
  <si>
    <t>144022</t>
  </si>
  <si>
    <t>144029</t>
  </si>
  <si>
    <t>732787羽咋市</t>
  </si>
  <si>
    <t>0733-1</t>
  </si>
  <si>
    <t>新潟県新潟市</t>
  </si>
  <si>
    <t>0733</t>
  </si>
  <si>
    <t>151001</t>
  </si>
  <si>
    <t>151009</t>
  </si>
  <si>
    <t>733788かほく市</t>
  </si>
  <si>
    <t>0734-1</t>
  </si>
  <si>
    <t>新潟県長岡市</t>
  </si>
  <si>
    <t>0734</t>
  </si>
  <si>
    <t>152025</t>
  </si>
  <si>
    <t>152021</t>
  </si>
  <si>
    <t>734789白山市</t>
  </si>
  <si>
    <t>0735-1</t>
  </si>
  <si>
    <t>新潟県三条市</t>
  </si>
  <si>
    <t>0735</t>
  </si>
  <si>
    <t>152041</t>
  </si>
  <si>
    <t>152048</t>
  </si>
  <si>
    <t>735790能美市</t>
  </si>
  <si>
    <t>0736-1</t>
  </si>
  <si>
    <t>新潟県柏崎市</t>
  </si>
  <si>
    <t>0736</t>
  </si>
  <si>
    <t>152058</t>
  </si>
  <si>
    <t>152056</t>
  </si>
  <si>
    <t>736791野々市市</t>
  </si>
  <si>
    <t>0737-1</t>
  </si>
  <si>
    <t>新潟県新発田市</t>
  </si>
  <si>
    <t>0737</t>
  </si>
  <si>
    <t>152066</t>
  </si>
  <si>
    <t>152064</t>
  </si>
  <si>
    <t>737792川北町</t>
  </si>
  <si>
    <t>0738-1</t>
  </si>
  <si>
    <t>新潟県小千谷市</t>
  </si>
  <si>
    <t>0738</t>
  </si>
  <si>
    <t>152082</t>
  </si>
  <si>
    <t>152081</t>
  </si>
  <si>
    <t>738793津幡町</t>
  </si>
  <si>
    <t>0739-1</t>
  </si>
  <si>
    <t>新潟県加茂市</t>
  </si>
  <si>
    <t>0739</t>
  </si>
  <si>
    <t>152090</t>
  </si>
  <si>
    <t>152099</t>
  </si>
  <si>
    <t>739794内灘町</t>
  </si>
  <si>
    <t>0740-1</t>
  </si>
  <si>
    <t>新潟県十日町市</t>
  </si>
  <si>
    <t>0740</t>
  </si>
  <si>
    <t>152108</t>
  </si>
  <si>
    <t>152102</t>
  </si>
  <si>
    <t>740795志賀町</t>
  </si>
  <si>
    <t>0741-1</t>
  </si>
  <si>
    <t>新潟県見附市</t>
  </si>
  <si>
    <t>0741</t>
  </si>
  <si>
    <t>152116</t>
  </si>
  <si>
    <t>152111</t>
  </si>
  <si>
    <t>741796宝達志水町</t>
  </si>
  <si>
    <t>0742-1</t>
  </si>
  <si>
    <t>新潟県村上市</t>
  </si>
  <si>
    <t>0742</t>
  </si>
  <si>
    <t>152124</t>
  </si>
  <si>
    <t>152129</t>
  </si>
  <si>
    <t>742797中能登町</t>
  </si>
  <si>
    <t>0743-1</t>
  </si>
  <si>
    <t>新潟県燕市</t>
  </si>
  <si>
    <t>0743</t>
  </si>
  <si>
    <t>152132</t>
  </si>
  <si>
    <t>152137</t>
  </si>
  <si>
    <t>743798穴水町</t>
  </si>
  <si>
    <t>0744-1</t>
  </si>
  <si>
    <t>新潟県糸魚川市</t>
  </si>
  <si>
    <t>0744</t>
  </si>
  <si>
    <t>152165</t>
  </si>
  <si>
    <t>152161</t>
  </si>
  <si>
    <t>744799能登町</t>
  </si>
  <si>
    <t>0745-1</t>
  </si>
  <si>
    <t>新潟県妙高市</t>
  </si>
  <si>
    <t>0745</t>
  </si>
  <si>
    <t>152173</t>
  </si>
  <si>
    <t>152170</t>
  </si>
  <si>
    <t>745800福井市</t>
  </si>
  <si>
    <t>0746-1</t>
  </si>
  <si>
    <t>新潟県五泉市</t>
  </si>
  <si>
    <t>0746</t>
  </si>
  <si>
    <t>152181</t>
  </si>
  <si>
    <t>152188</t>
  </si>
  <si>
    <t>746801敦賀市</t>
  </si>
  <si>
    <t>0747-1</t>
  </si>
  <si>
    <t>新潟県上越市</t>
  </si>
  <si>
    <t>0747</t>
  </si>
  <si>
    <t>152223</t>
  </si>
  <si>
    <t>152226</t>
  </si>
  <si>
    <t>747802小浜市</t>
  </si>
  <si>
    <t>0748-1</t>
  </si>
  <si>
    <t>新潟県阿賀野市</t>
  </si>
  <si>
    <t>0748</t>
  </si>
  <si>
    <t>152231</t>
  </si>
  <si>
    <t>152234</t>
  </si>
  <si>
    <t>748803大野市</t>
  </si>
  <si>
    <t>0749-1</t>
  </si>
  <si>
    <t>新潟県佐渡市</t>
  </si>
  <si>
    <t>0749</t>
  </si>
  <si>
    <t>152249</t>
  </si>
  <si>
    <t>152242</t>
  </si>
  <si>
    <t>749804勝山市</t>
  </si>
  <si>
    <t>0750-1</t>
  </si>
  <si>
    <t>新潟県魚沼市</t>
  </si>
  <si>
    <t>0750</t>
  </si>
  <si>
    <t>152256</t>
  </si>
  <si>
    <t>152251</t>
  </si>
  <si>
    <t>750805鯖江市</t>
  </si>
  <si>
    <t>0751-1</t>
  </si>
  <si>
    <t>新潟県南魚沼市</t>
  </si>
  <si>
    <t>0751</t>
  </si>
  <si>
    <t>152264</t>
  </si>
  <si>
    <t>152269</t>
  </si>
  <si>
    <t>751806越前市</t>
  </si>
  <si>
    <t>0752-1</t>
  </si>
  <si>
    <t>新潟県胎内市</t>
  </si>
  <si>
    <t>0752</t>
  </si>
  <si>
    <t>152272</t>
  </si>
  <si>
    <t>152277</t>
  </si>
  <si>
    <t>752807永平寺町</t>
  </si>
  <si>
    <t>0753-1</t>
  </si>
  <si>
    <t>新潟県聖籠町</t>
  </si>
  <si>
    <t>0753</t>
  </si>
  <si>
    <t>153072</t>
  </si>
  <si>
    <t>153079</t>
  </si>
  <si>
    <t>753808池田町</t>
  </si>
  <si>
    <t>0754-1</t>
  </si>
  <si>
    <t>新潟県弥彦村</t>
  </si>
  <si>
    <t>0754</t>
  </si>
  <si>
    <t>153429</t>
  </si>
  <si>
    <t>153427</t>
  </si>
  <si>
    <t>754809南越前町</t>
  </si>
  <si>
    <t>0755-1</t>
  </si>
  <si>
    <t>新潟県田上町</t>
  </si>
  <si>
    <t>0755</t>
  </si>
  <si>
    <t>153619</t>
  </si>
  <si>
    <t>153613</t>
  </si>
  <si>
    <t>755810越前町</t>
  </si>
  <si>
    <t>0756-1</t>
  </si>
  <si>
    <t>新潟県阿賀町</t>
  </si>
  <si>
    <t>0756</t>
  </si>
  <si>
    <t>153858</t>
  </si>
  <si>
    <t>153851</t>
  </si>
  <si>
    <t>756811美浜町</t>
  </si>
  <si>
    <t>0757-1</t>
  </si>
  <si>
    <t>新潟県出雲崎町</t>
  </si>
  <si>
    <t>0757</t>
  </si>
  <si>
    <t>154054</t>
  </si>
  <si>
    <t>154059</t>
  </si>
  <si>
    <t>757812高浜町</t>
  </si>
  <si>
    <t>0758-1</t>
  </si>
  <si>
    <t>新潟県湯沢町</t>
  </si>
  <si>
    <t>0758</t>
  </si>
  <si>
    <t>154617</t>
  </si>
  <si>
    <t>154610</t>
  </si>
  <si>
    <t>758813おおい町</t>
  </si>
  <si>
    <t>0759-1</t>
  </si>
  <si>
    <t>新潟県津南町</t>
  </si>
  <si>
    <t>0759</t>
  </si>
  <si>
    <t>154823</t>
  </si>
  <si>
    <t>154822</t>
  </si>
  <si>
    <t>759814若狭町</t>
  </si>
  <si>
    <t>0760-1</t>
  </si>
  <si>
    <t>新潟県刈羽村</t>
  </si>
  <si>
    <t>0760</t>
  </si>
  <si>
    <t>155044</t>
  </si>
  <si>
    <t>155047</t>
  </si>
  <si>
    <t>760815坂井地区広域連合</t>
  </si>
  <si>
    <t>0761-1</t>
  </si>
  <si>
    <t>新潟県関川村</t>
  </si>
  <si>
    <t>0761</t>
  </si>
  <si>
    <t>155812</t>
  </si>
  <si>
    <t>155811</t>
  </si>
  <si>
    <t>761818甲府市</t>
  </si>
  <si>
    <t>0762-1</t>
  </si>
  <si>
    <t>新潟県粟島浦村</t>
  </si>
  <si>
    <t>0762</t>
  </si>
  <si>
    <t>155861</t>
  </si>
  <si>
    <t>762819富士吉田市</t>
  </si>
  <si>
    <t>0763-1</t>
  </si>
  <si>
    <t>富山県富山市</t>
  </si>
  <si>
    <t>0763</t>
  </si>
  <si>
    <t>162016</t>
  </si>
  <si>
    <t>162019</t>
  </si>
  <si>
    <t>763820都留市</t>
  </si>
  <si>
    <t>0764-1</t>
  </si>
  <si>
    <t>富山県高岡市</t>
  </si>
  <si>
    <t>0764</t>
  </si>
  <si>
    <t>162024</t>
  </si>
  <si>
    <t>162027</t>
  </si>
  <si>
    <t>764821山梨市</t>
  </si>
  <si>
    <t>0765-1</t>
  </si>
  <si>
    <t>富山県魚津市</t>
  </si>
  <si>
    <t>0765</t>
  </si>
  <si>
    <t>162040</t>
  </si>
  <si>
    <t>162043</t>
  </si>
  <si>
    <t>765822大月市</t>
  </si>
  <si>
    <t>0766-1</t>
  </si>
  <si>
    <t>富山県氷見市</t>
  </si>
  <si>
    <t>0766</t>
  </si>
  <si>
    <t>162057</t>
  </si>
  <si>
    <t>162051</t>
  </si>
  <si>
    <t>766823韮崎市</t>
  </si>
  <si>
    <t>0767-1</t>
  </si>
  <si>
    <t>富山県滑川市</t>
  </si>
  <si>
    <t>0767</t>
  </si>
  <si>
    <t>162065</t>
  </si>
  <si>
    <t>162060</t>
  </si>
  <si>
    <t>767824南アルプス市</t>
  </si>
  <si>
    <t>0768-1</t>
  </si>
  <si>
    <t>富山県射水市</t>
  </si>
  <si>
    <t>0768</t>
  </si>
  <si>
    <t>162115</t>
  </si>
  <si>
    <t>162116</t>
  </si>
  <si>
    <t>768825北杜市</t>
  </si>
  <si>
    <t>0769-1</t>
  </si>
  <si>
    <t>富山県中新川広域行政事務組合</t>
  </si>
  <si>
    <t>0769</t>
  </si>
  <si>
    <t>169045</t>
  </si>
  <si>
    <t>904</t>
  </si>
  <si>
    <t>169048</t>
  </si>
  <si>
    <t>769826甲斐市</t>
  </si>
  <si>
    <t>0769-2</t>
  </si>
  <si>
    <t>富山県舟橋村</t>
  </si>
  <si>
    <t>0770</t>
  </si>
  <si>
    <t>163212</t>
  </si>
  <si>
    <t>163210</t>
  </si>
  <si>
    <t>770827笛吹市</t>
  </si>
  <si>
    <t>0769-3</t>
  </si>
  <si>
    <t>富山県上市町</t>
  </si>
  <si>
    <t>0771</t>
  </si>
  <si>
    <t>163220</t>
  </si>
  <si>
    <t>163228</t>
  </si>
  <si>
    <t>771828上野原市</t>
  </si>
  <si>
    <t>0769-4</t>
  </si>
  <si>
    <t>富山県立山町</t>
  </si>
  <si>
    <t>0772</t>
  </si>
  <si>
    <t>163238</t>
  </si>
  <si>
    <t>163236</t>
  </si>
  <si>
    <t>772829甲州市</t>
  </si>
  <si>
    <t>0773-1</t>
  </si>
  <si>
    <t>富山県砺波地方介護保険組合</t>
  </si>
  <si>
    <t>0773</t>
  </si>
  <si>
    <t>169078</t>
  </si>
  <si>
    <t>907</t>
  </si>
  <si>
    <t>169072</t>
  </si>
  <si>
    <t>773830中央市</t>
  </si>
  <si>
    <t>0773-2</t>
  </si>
  <si>
    <t>富山県砺波市</t>
  </si>
  <si>
    <t>0774</t>
  </si>
  <si>
    <t>162081</t>
  </si>
  <si>
    <t>162086</t>
  </si>
  <si>
    <t>774831市川三郷町</t>
  </si>
  <si>
    <t>0773-3</t>
  </si>
  <si>
    <t>富山県小矢部市</t>
  </si>
  <si>
    <t>0775</t>
  </si>
  <si>
    <t>162099</t>
  </si>
  <si>
    <t>162094</t>
  </si>
  <si>
    <t>775832早川町</t>
  </si>
  <si>
    <t>0773-4</t>
  </si>
  <si>
    <t>富山県南砺市</t>
  </si>
  <si>
    <t>0776</t>
  </si>
  <si>
    <t>162107</t>
  </si>
  <si>
    <t>162108</t>
  </si>
  <si>
    <t>776833身延町</t>
  </si>
  <si>
    <t>0777-1</t>
  </si>
  <si>
    <t>富山県新川地域介護保険・ケーブルテレビ事業組合</t>
  </si>
  <si>
    <t>0777</t>
  </si>
  <si>
    <t>169094</t>
  </si>
  <si>
    <t>909</t>
  </si>
  <si>
    <t>169099</t>
  </si>
  <si>
    <t>777834南部町</t>
  </si>
  <si>
    <t>0777-2</t>
  </si>
  <si>
    <t>富山県黒部市</t>
  </si>
  <si>
    <t>0778</t>
  </si>
  <si>
    <t>162073</t>
  </si>
  <si>
    <t>162078</t>
  </si>
  <si>
    <t>778835富士川町</t>
  </si>
  <si>
    <t>0777-3</t>
  </si>
  <si>
    <t>富山県入善町</t>
  </si>
  <si>
    <t>0779</t>
  </si>
  <si>
    <t>163428</t>
  </si>
  <si>
    <t>163422</t>
  </si>
  <si>
    <t>779836昭和町</t>
  </si>
  <si>
    <t>0777-4</t>
  </si>
  <si>
    <t>富山県朝日町</t>
  </si>
  <si>
    <t>0780</t>
  </si>
  <si>
    <t>163436</t>
  </si>
  <si>
    <t>163431</t>
  </si>
  <si>
    <t>780837道志村</t>
  </si>
  <si>
    <t>0781-1</t>
  </si>
  <si>
    <t>石川県金沢市</t>
  </si>
  <si>
    <t>0781</t>
  </si>
  <si>
    <t>172015</t>
  </si>
  <si>
    <t>172014</t>
  </si>
  <si>
    <t>781838西桂町</t>
  </si>
  <si>
    <t>0782-1</t>
  </si>
  <si>
    <t>石川県七尾市</t>
  </si>
  <si>
    <t>0782</t>
  </si>
  <si>
    <t>172023</t>
  </si>
  <si>
    <t>172022</t>
  </si>
  <si>
    <t>782839忍野村</t>
  </si>
  <si>
    <t>0783-1</t>
  </si>
  <si>
    <t>石川県小松市</t>
  </si>
  <si>
    <t>0783</t>
  </si>
  <si>
    <t>172031</t>
  </si>
  <si>
    <t>783840山中湖村</t>
  </si>
  <si>
    <t>0784-1</t>
  </si>
  <si>
    <t>石川県輪島市</t>
  </si>
  <si>
    <t>0784</t>
  </si>
  <si>
    <t>172049</t>
  </si>
  <si>
    <t>784841鳴沢村</t>
  </si>
  <si>
    <t>0785-1</t>
  </si>
  <si>
    <t>石川県珠洲市</t>
  </si>
  <si>
    <t>0785</t>
  </si>
  <si>
    <t>172056</t>
  </si>
  <si>
    <t>172057</t>
  </si>
  <si>
    <t>785842富士河口湖町</t>
  </si>
  <si>
    <t>0786-1</t>
  </si>
  <si>
    <t>石川県加賀市</t>
  </si>
  <si>
    <t>0786</t>
  </si>
  <si>
    <t>172064</t>
  </si>
  <si>
    <t>172065</t>
  </si>
  <si>
    <t>786843小菅村</t>
  </si>
  <si>
    <t>0787-1</t>
  </si>
  <si>
    <t>石川県羽咋市</t>
  </si>
  <si>
    <t>0787</t>
  </si>
  <si>
    <t>172072</t>
  </si>
  <si>
    <t>172073</t>
  </si>
  <si>
    <t>787844丹波山村</t>
  </si>
  <si>
    <t>0788-1</t>
  </si>
  <si>
    <t>石川県かほく市</t>
  </si>
  <si>
    <t>0788</t>
  </si>
  <si>
    <t>172098</t>
  </si>
  <si>
    <t>172090</t>
  </si>
  <si>
    <t>788845長野市</t>
  </si>
  <si>
    <t>0789-1</t>
  </si>
  <si>
    <t>石川県白山市</t>
  </si>
  <si>
    <t>0789</t>
  </si>
  <si>
    <t>172106</t>
  </si>
  <si>
    <t>172103</t>
  </si>
  <si>
    <t>789846松本市</t>
  </si>
  <si>
    <t>0790-1</t>
  </si>
  <si>
    <t>石川県能美市</t>
  </si>
  <si>
    <t>0790</t>
  </si>
  <si>
    <t>172114</t>
  </si>
  <si>
    <t>172111</t>
  </si>
  <si>
    <t>790847上田市</t>
  </si>
  <si>
    <t>0791-1</t>
  </si>
  <si>
    <t>石川県野々市市</t>
  </si>
  <si>
    <t>0791</t>
  </si>
  <si>
    <t>172122</t>
  </si>
  <si>
    <t>172120</t>
  </si>
  <si>
    <t>791848飯田市</t>
  </si>
  <si>
    <t>0792-1</t>
  </si>
  <si>
    <t>石川県川北町</t>
  </si>
  <si>
    <t>0792</t>
  </si>
  <si>
    <t>173245</t>
  </si>
  <si>
    <t>173240</t>
  </si>
  <si>
    <t>792849須坂市</t>
  </si>
  <si>
    <t>0793-1</t>
  </si>
  <si>
    <t>石川県津幡町</t>
  </si>
  <si>
    <t>0793</t>
  </si>
  <si>
    <t>173617</t>
  </si>
  <si>
    <t>173614</t>
  </si>
  <si>
    <t>793850小諸市</t>
  </si>
  <si>
    <t>0794-1</t>
  </si>
  <si>
    <t>石川県内灘町</t>
  </si>
  <si>
    <t>0794</t>
  </si>
  <si>
    <t>173658</t>
  </si>
  <si>
    <t>173657</t>
  </si>
  <si>
    <t>794851伊那市</t>
  </si>
  <si>
    <t>0795-1</t>
  </si>
  <si>
    <t>石川県志賀町</t>
  </si>
  <si>
    <t>0795</t>
  </si>
  <si>
    <t>173849</t>
  </si>
  <si>
    <t>173843</t>
  </si>
  <si>
    <t>795852駒ヶ根市</t>
  </si>
  <si>
    <t>0796-1</t>
  </si>
  <si>
    <t>石川県宝達志水町</t>
  </si>
  <si>
    <t>0796</t>
  </si>
  <si>
    <t>173864</t>
  </si>
  <si>
    <t>173860</t>
  </si>
  <si>
    <t>796853中野市</t>
  </si>
  <si>
    <t>0797-1</t>
  </si>
  <si>
    <t>石川県中能登町</t>
  </si>
  <si>
    <t>0797</t>
  </si>
  <si>
    <t>174078</t>
  </si>
  <si>
    <t>174076</t>
  </si>
  <si>
    <t>797854飯山市</t>
  </si>
  <si>
    <t>0798-1</t>
  </si>
  <si>
    <t>石川県穴水町</t>
  </si>
  <si>
    <t>0798</t>
  </si>
  <si>
    <t>174615</t>
  </si>
  <si>
    <t>174611</t>
  </si>
  <si>
    <t>798855塩尻市</t>
  </si>
  <si>
    <t>0799-1</t>
  </si>
  <si>
    <t>石川県能登町</t>
  </si>
  <si>
    <t>0799</t>
  </si>
  <si>
    <t>174631</t>
  </si>
  <si>
    <t>174637</t>
  </si>
  <si>
    <t>799856佐久市</t>
  </si>
  <si>
    <t>0800-1</t>
  </si>
  <si>
    <t>福井県福井市</t>
  </si>
  <si>
    <t>0800</t>
  </si>
  <si>
    <t>182014</t>
  </si>
  <si>
    <t>182010</t>
  </si>
  <si>
    <t>800857千曲市</t>
  </si>
  <si>
    <t>0801-1</t>
  </si>
  <si>
    <t>福井県敦賀市</t>
  </si>
  <si>
    <t>0801</t>
  </si>
  <si>
    <t>182022</t>
  </si>
  <si>
    <t>182028</t>
  </si>
  <si>
    <t>801858東御市</t>
  </si>
  <si>
    <t>0802-1</t>
  </si>
  <si>
    <t>福井県小浜市</t>
  </si>
  <si>
    <t>0802</t>
  </si>
  <si>
    <t>182048</t>
  </si>
  <si>
    <t>182044</t>
  </si>
  <si>
    <t>802859安曇野市</t>
  </si>
  <si>
    <t>0803-1</t>
  </si>
  <si>
    <t>福井県大野市</t>
  </si>
  <si>
    <t>0803</t>
  </si>
  <si>
    <t>182055</t>
  </si>
  <si>
    <t>182052</t>
  </si>
  <si>
    <t>803860小海町</t>
  </si>
  <si>
    <t>0804-1</t>
  </si>
  <si>
    <t>福井県勝山市</t>
  </si>
  <si>
    <t>0804</t>
  </si>
  <si>
    <t>182063</t>
  </si>
  <si>
    <t>182061</t>
  </si>
  <si>
    <t>804861川上村</t>
  </si>
  <si>
    <t>0805-1</t>
  </si>
  <si>
    <t>福井県鯖江市</t>
  </si>
  <si>
    <t>0805</t>
  </si>
  <si>
    <t>182071</t>
  </si>
  <si>
    <t>182079</t>
  </si>
  <si>
    <t>805862南牧村</t>
  </si>
  <si>
    <t>0806-1</t>
  </si>
  <si>
    <t>福井県越前市</t>
  </si>
  <si>
    <t>0806</t>
  </si>
  <si>
    <t>182097</t>
  </si>
  <si>
    <t>182095</t>
  </si>
  <si>
    <t>806863南相木村</t>
  </si>
  <si>
    <t>0807-1</t>
  </si>
  <si>
    <t>福井県永平寺町</t>
  </si>
  <si>
    <t>0807</t>
  </si>
  <si>
    <t>183228</t>
  </si>
  <si>
    <t>183229</t>
  </si>
  <si>
    <t>807864北相木村</t>
  </si>
  <si>
    <t>0808-1</t>
  </si>
  <si>
    <t>福井県池田町</t>
  </si>
  <si>
    <t>0808</t>
  </si>
  <si>
    <t>183822</t>
  </si>
  <si>
    <t>808865佐久穂町</t>
  </si>
  <si>
    <t>0809-1</t>
  </si>
  <si>
    <t>福井県南越前町</t>
  </si>
  <si>
    <t>0809</t>
  </si>
  <si>
    <t>184044</t>
  </si>
  <si>
    <t>184047</t>
  </si>
  <si>
    <t>809866軽井沢町</t>
  </si>
  <si>
    <t>0810-1</t>
  </si>
  <si>
    <t>福井県越前町</t>
  </si>
  <si>
    <t>0810</t>
  </si>
  <si>
    <t>184234</t>
  </si>
  <si>
    <t>184233</t>
  </si>
  <si>
    <t>810867御代田町</t>
  </si>
  <si>
    <t>0811-1</t>
  </si>
  <si>
    <t>福井県美浜町</t>
  </si>
  <si>
    <t>0811</t>
  </si>
  <si>
    <t>184424</t>
  </si>
  <si>
    <t>184420</t>
  </si>
  <si>
    <t>811868立科町</t>
  </si>
  <si>
    <t>0812-1</t>
  </si>
  <si>
    <t>福井県高浜町</t>
  </si>
  <si>
    <t>0812</t>
  </si>
  <si>
    <t>184812</t>
  </si>
  <si>
    <t>184811</t>
  </si>
  <si>
    <t>812869青木村</t>
  </si>
  <si>
    <t>0813-1</t>
  </si>
  <si>
    <t>福井県おおい町</t>
  </si>
  <si>
    <t>0813</t>
  </si>
  <si>
    <t>184838</t>
  </si>
  <si>
    <t>184837</t>
  </si>
  <si>
    <t>813870長和町</t>
  </si>
  <si>
    <t>0814-1</t>
  </si>
  <si>
    <t>福井県若狭町</t>
  </si>
  <si>
    <t>0814</t>
  </si>
  <si>
    <t>185017</t>
  </si>
  <si>
    <t>185019</t>
  </si>
  <si>
    <t>814871辰野町</t>
  </si>
  <si>
    <t>0815-1</t>
  </si>
  <si>
    <t>福井県坂井地区広域連合</t>
  </si>
  <si>
    <t>0815</t>
  </si>
  <si>
    <t>188532</t>
  </si>
  <si>
    <t>853</t>
  </si>
  <si>
    <t>188531</t>
  </si>
  <si>
    <t>815872箕輪町</t>
  </si>
  <si>
    <t>0815-2</t>
  </si>
  <si>
    <t>福井県あわら市</t>
  </si>
  <si>
    <t>0816</t>
  </si>
  <si>
    <t>182089</t>
  </si>
  <si>
    <t>182087</t>
  </si>
  <si>
    <t>816873飯島町</t>
  </si>
  <si>
    <t>0815-3</t>
  </si>
  <si>
    <t>福井県坂井市</t>
  </si>
  <si>
    <t>0817</t>
  </si>
  <si>
    <t>182105</t>
  </si>
  <si>
    <t>182109</t>
  </si>
  <si>
    <t>817874南箕輪村</t>
  </si>
  <si>
    <t>0818-1</t>
  </si>
  <si>
    <t>山梨県甲府市</t>
  </si>
  <si>
    <t>0818</t>
  </si>
  <si>
    <t>192013</t>
  </si>
  <si>
    <t>192015</t>
  </si>
  <si>
    <t>818875中川村</t>
  </si>
  <si>
    <t>0819-1</t>
  </si>
  <si>
    <t>山梨県富士吉田市</t>
  </si>
  <si>
    <t>0819</t>
  </si>
  <si>
    <t>192021</t>
  </si>
  <si>
    <t>192023</t>
  </si>
  <si>
    <t>819876宮田村</t>
  </si>
  <si>
    <t>0820-1</t>
  </si>
  <si>
    <t>山梨県都留市</t>
  </si>
  <si>
    <t>0820</t>
  </si>
  <si>
    <t>192047</t>
  </si>
  <si>
    <t>192040</t>
  </si>
  <si>
    <t>820877松川町</t>
  </si>
  <si>
    <t>0821-1</t>
  </si>
  <si>
    <t>山梨県山梨市</t>
  </si>
  <si>
    <t>0821</t>
  </si>
  <si>
    <t>192054</t>
  </si>
  <si>
    <t>192058</t>
  </si>
  <si>
    <t>821878高森町</t>
  </si>
  <si>
    <t>0822-1</t>
  </si>
  <si>
    <t>山梨県大月市</t>
  </si>
  <si>
    <t>0822</t>
  </si>
  <si>
    <t>192062</t>
  </si>
  <si>
    <t>192066</t>
  </si>
  <si>
    <t>822879阿南町</t>
  </si>
  <si>
    <t>0823-1</t>
  </si>
  <si>
    <t>山梨県韮崎市</t>
  </si>
  <si>
    <t>0823</t>
  </si>
  <si>
    <t>192070</t>
  </si>
  <si>
    <t>192074</t>
  </si>
  <si>
    <t>823880阿智村</t>
  </si>
  <si>
    <t>0824-1</t>
  </si>
  <si>
    <t>山梨県南アルプス市</t>
  </si>
  <si>
    <t>0824</t>
  </si>
  <si>
    <t>192088</t>
  </si>
  <si>
    <t>192082</t>
  </si>
  <si>
    <t>824881平谷村</t>
  </si>
  <si>
    <t>0825-1</t>
  </si>
  <si>
    <t>山梨県北杜市</t>
  </si>
  <si>
    <t>0825</t>
  </si>
  <si>
    <t>192096</t>
  </si>
  <si>
    <t>192091</t>
  </si>
  <si>
    <t>825882根羽村</t>
  </si>
  <si>
    <t>0826-1</t>
  </si>
  <si>
    <t>山梨県甲斐市</t>
  </si>
  <si>
    <t>0826</t>
  </si>
  <si>
    <t>192104</t>
  </si>
  <si>
    <t>826883下條村</t>
  </si>
  <si>
    <t>0827-1</t>
  </si>
  <si>
    <t>山梨県笛吹市</t>
  </si>
  <si>
    <t>0827</t>
  </si>
  <si>
    <t>192112</t>
  </si>
  <si>
    <t>827884売木村</t>
  </si>
  <si>
    <t>0828-1</t>
  </si>
  <si>
    <t>山梨県上野原市</t>
  </si>
  <si>
    <t>0828</t>
  </si>
  <si>
    <t>192120</t>
  </si>
  <si>
    <t>192121</t>
  </si>
  <si>
    <t>828885天龍村</t>
  </si>
  <si>
    <t>0829-1</t>
  </si>
  <si>
    <t>山梨県甲州市</t>
  </si>
  <si>
    <t>0829</t>
  </si>
  <si>
    <t>192138</t>
  </si>
  <si>
    <t>192139</t>
  </si>
  <si>
    <t>829886泰阜村</t>
  </si>
  <si>
    <t>0830-1</t>
  </si>
  <si>
    <t>山梨県中央市</t>
  </si>
  <si>
    <t>0830</t>
  </si>
  <si>
    <t>192146</t>
  </si>
  <si>
    <t>192147</t>
  </si>
  <si>
    <t>830887喬木村</t>
  </si>
  <si>
    <t>0831-1</t>
  </si>
  <si>
    <t>山梨県市川三郷町</t>
  </si>
  <si>
    <t>0831</t>
  </si>
  <si>
    <t>193466</t>
  </si>
  <si>
    <t>193461</t>
  </si>
  <si>
    <t>831888豊丘村</t>
  </si>
  <si>
    <t>0832-1</t>
  </si>
  <si>
    <t>山梨県早川町</t>
  </si>
  <si>
    <t>0832</t>
  </si>
  <si>
    <t>193649</t>
  </si>
  <si>
    <t>193640</t>
  </si>
  <si>
    <t>832889大鹿村</t>
  </si>
  <si>
    <t>0833-1</t>
  </si>
  <si>
    <t>山梨県身延町</t>
  </si>
  <si>
    <t>0833</t>
  </si>
  <si>
    <t>193656</t>
  </si>
  <si>
    <t>193658</t>
  </si>
  <si>
    <t>833890麻績村</t>
  </si>
  <si>
    <t>0834-1</t>
  </si>
  <si>
    <t>山梨県南部町</t>
  </si>
  <si>
    <t>0834</t>
  </si>
  <si>
    <t>193664</t>
  </si>
  <si>
    <t>193666</t>
  </si>
  <si>
    <t>834891生坂村</t>
  </si>
  <si>
    <t>0835-1</t>
  </si>
  <si>
    <t>山梨県富士川町</t>
  </si>
  <si>
    <t>0835</t>
  </si>
  <si>
    <t>193680</t>
  </si>
  <si>
    <t>193682</t>
  </si>
  <si>
    <t>835892山形村</t>
  </si>
  <si>
    <t>0836-1</t>
  </si>
  <si>
    <t>山梨県昭和町</t>
  </si>
  <si>
    <t>0836</t>
  </si>
  <si>
    <t>193847</t>
  </si>
  <si>
    <t>193844</t>
  </si>
  <si>
    <t>836893朝日村</t>
  </si>
  <si>
    <t>0837-1</t>
  </si>
  <si>
    <t>山梨県道志村</t>
  </si>
  <si>
    <t>0837</t>
  </si>
  <si>
    <t>194225</t>
  </si>
  <si>
    <t>194221</t>
  </si>
  <si>
    <t>837894筑北村</t>
  </si>
  <si>
    <t>0838-1</t>
  </si>
  <si>
    <t>山梨県西桂町</t>
  </si>
  <si>
    <t>0838</t>
  </si>
  <si>
    <t>194233</t>
  </si>
  <si>
    <t>194239</t>
  </si>
  <si>
    <t>838895坂城町</t>
  </si>
  <si>
    <t>0839-1</t>
  </si>
  <si>
    <t>山梨県忍野村</t>
  </si>
  <si>
    <t>0839</t>
  </si>
  <si>
    <t>194241</t>
  </si>
  <si>
    <t>194247</t>
  </si>
  <si>
    <t>839896小布施町</t>
  </si>
  <si>
    <t>0840-1</t>
  </si>
  <si>
    <t>山梨県山中湖村</t>
  </si>
  <si>
    <t>0840</t>
  </si>
  <si>
    <t>194258</t>
  </si>
  <si>
    <t>194255</t>
  </si>
  <si>
    <t>840897高山村</t>
  </si>
  <si>
    <t>0841-1</t>
  </si>
  <si>
    <t>山梨県鳴沢村</t>
  </si>
  <si>
    <t>0841</t>
  </si>
  <si>
    <t>194290</t>
  </si>
  <si>
    <t>194298</t>
  </si>
  <si>
    <t>841898山ノ内町</t>
  </si>
  <si>
    <t>0842-1</t>
  </si>
  <si>
    <t>山梨県富士河口湖町</t>
  </si>
  <si>
    <t>0842</t>
  </si>
  <si>
    <t>194308</t>
  </si>
  <si>
    <t>194301</t>
  </si>
  <si>
    <t>842899木島平村</t>
  </si>
  <si>
    <t>0843-1</t>
  </si>
  <si>
    <t>山梨県小菅村</t>
  </si>
  <si>
    <t>0843</t>
  </si>
  <si>
    <t>194423</t>
  </si>
  <si>
    <t>194425</t>
  </si>
  <si>
    <t>843900野沢温泉村</t>
  </si>
  <si>
    <t>0844-1</t>
  </si>
  <si>
    <t>山梨県丹波山村</t>
  </si>
  <si>
    <t>0844</t>
  </si>
  <si>
    <t>194431</t>
  </si>
  <si>
    <t>194433</t>
  </si>
  <si>
    <t>844901信濃町</t>
  </si>
  <si>
    <t>0845-1</t>
  </si>
  <si>
    <t>長野県長野市</t>
  </si>
  <si>
    <t>0845</t>
  </si>
  <si>
    <t>202010</t>
  </si>
  <si>
    <t>202011</t>
  </si>
  <si>
    <t>845902小川村</t>
  </si>
  <si>
    <t>0846-1</t>
  </si>
  <si>
    <t>長野県松本市</t>
  </si>
  <si>
    <t>0846</t>
  </si>
  <si>
    <t>202028</t>
  </si>
  <si>
    <t>202029</t>
  </si>
  <si>
    <t>846903飯綱町</t>
  </si>
  <si>
    <t>0847-1</t>
  </si>
  <si>
    <t>長野県上田市</t>
  </si>
  <si>
    <t>0847</t>
  </si>
  <si>
    <t>202036</t>
  </si>
  <si>
    <t>202037</t>
  </si>
  <si>
    <t>847904栄村</t>
  </si>
  <si>
    <t>0848-1</t>
  </si>
  <si>
    <t>長野県飯田市</t>
  </si>
  <si>
    <t>0848</t>
  </si>
  <si>
    <t>202051</t>
  </si>
  <si>
    <t>202053</t>
  </si>
  <si>
    <t>848905北アルプス広域連合</t>
  </si>
  <si>
    <t>0849-1</t>
  </si>
  <si>
    <t>長野県須坂市</t>
  </si>
  <si>
    <t>0849</t>
  </si>
  <si>
    <t>202077</t>
  </si>
  <si>
    <t>202070</t>
  </si>
  <si>
    <t>849911木曽広域連合</t>
  </si>
  <si>
    <t>0850-1</t>
  </si>
  <si>
    <t>長野県小諸市</t>
  </si>
  <si>
    <t>0850</t>
  </si>
  <si>
    <t>202085</t>
  </si>
  <si>
    <t>202088</t>
  </si>
  <si>
    <t>850918諏訪広域連合</t>
  </si>
  <si>
    <t>0851-1</t>
  </si>
  <si>
    <t>長野県伊那市</t>
  </si>
  <si>
    <t>0851</t>
  </si>
  <si>
    <t>202093</t>
  </si>
  <si>
    <t>202096</t>
  </si>
  <si>
    <t>851925岐阜市</t>
  </si>
  <si>
    <t>0852-1</t>
  </si>
  <si>
    <t>長野県駒ヶ根市</t>
  </si>
  <si>
    <t>0852</t>
  </si>
  <si>
    <t>202101</t>
  </si>
  <si>
    <t>202100</t>
  </si>
  <si>
    <t>852926大垣市</t>
  </si>
  <si>
    <t>0853-1</t>
  </si>
  <si>
    <t>長野県中野市</t>
  </si>
  <si>
    <t>0853</t>
  </si>
  <si>
    <t>202119</t>
  </si>
  <si>
    <t>202118</t>
  </si>
  <si>
    <t>853927高山市</t>
  </si>
  <si>
    <t>0854-1</t>
  </si>
  <si>
    <t>長野県飯山市</t>
  </si>
  <si>
    <t>0854</t>
  </si>
  <si>
    <t>202135</t>
  </si>
  <si>
    <t>202134</t>
  </si>
  <si>
    <t>854928多治見市</t>
  </si>
  <si>
    <t>0855-1</t>
  </si>
  <si>
    <t>長野県塩尻市</t>
  </si>
  <si>
    <t>0855</t>
  </si>
  <si>
    <t>202150</t>
  </si>
  <si>
    <t>202151</t>
  </si>
  <si>
    <t>855929関市</t>
  </si>
  <si>
    <t>0856-1</t>
  </si>
  <si>
    <t>長野県佐久市</t>
  </si>
  <si>
    <t>0856</t>
  </si>
  <si>
    <t>202176</t>
  </si>
  <si>
    <t>202177</t>
  </si>
  <si>
    <t>856930中津川市</t>
  </si>
  <si>
    <t>0857-1</t>
  </si>
  <si>
    <t>長野県千曲市</t>
  </si>
  <si>
    <t>0857</t>
  </si>
  <si>
    <t>202184</t>
  </si>
  <si>
    <t>202185</t>
  </si>
  <si>
    <t>857931美濃市</t>
  </si>
  <si>
    <t>0858-1</t>
  </si>
  <si>
    <t>長野県東御市</t>
  </si>
  <si>
    <t>0858</t>
  </si>
  <si>
    <t>202192</t>
  </si>
  <si>
    <t>202193</t>
  </si>
  <si>
    <t>858932瑞浪市</t>
  </si>
  <si>
    <t>0859-1</t>
  </si>
  <si>
    <t>長野県安曇野市</t>
  </si>
  <si>
    <t>0859</t>
  </si>
  <si>
    <t>202200</t>
  </si>
  <si>
    <t>202207</t>
  </si>
  <si>
    <t>859933羽島市</t>
  </si>
  <si>
    <t>0860-1</t>
  </si>
  <si>
    <t>長野県小海町</t>
  </si>
  <si>
    <t>0860</t>
  </si>
  <si>
    <t>203034</t>
  </si>
  <si>
    <t>203033</t>
  </si>
  <si>
    <t>860934恵那市</t>
  </si>
  <si>
    <t>0861-1</t>
  </si>
  <si>
    <t>長野県川上村</t>
  </si>
  <si>
    <t>0861</t>
  </si>
  <si>
    <t>203042</t>
  </si>
  <si>
    <t>203041</t>
  </si>
  <si>
    <t>861935美濃加茂市</t>
  </si>
  <si>
    <t>0862-1</t>
  </si>
  <si>
    <t>長野県南牧村</t>
  </si>
  <si>
    <t>0862</t>
  </si>
  <si>
    <t>203059</t>
  </si>
  <si>
    <t>203050</t>
  </si>
  <si>
    <t>862936土岐市</t>
  </si>
  <si>
    <t>0863-1</t>
  </si>
  <si>
    <t>長野県南相木村</t>
  </si>
  <si>
    <t>0863</t>
  </si>
  <si>
    <t>203067</t>
  </si>
  <si>
    <t>306</t>
  </si>
  <si>
    <t>203068</t>
  </si>
  <si>
    <t>863937各務原市</t>
  </si>
  <si>
    <t>0864-1</t>
  </si>
  <si>
    <t>長野県北相木村</t>
  </si>
  <si>
    <t>0864</t>
  </si>
  <si>
    <t>203075</t>
  </si>
  <si>
    <t>203076</t>
  </si>
  <si>
    <t>864938可児市</t>
  </si>
  <si>
    <t>0865-1</t>
  </si>
  <si>
    <t>長野県佐久穂町</t>
  </si>
  <si>
    <t>0865</t>
  </si>
  <si>
    <t>203091</t>
  </si>
  <si>
    <t>203092</t>
  </si>
  <si>
    <t>865939山県市</t>
  </si>
  <si>
    <t>0866-1</t>
  </si>
  <si>
    <t>長野県軽井沢町</t>
  </si>
  <si>
    <t>0866</t>
  </si>
  <si>
    <t>203216</t>
  </si>
  <si>
    <t>203211</t>
  </si>
  <si>
    <t>866940飛騨市</t>
  </si>
  <si>
    <t>0867-1</t>
  </si>
  <si>
    <t>長野県御代田町</t>
  </si>
  <si>
    <t>0867</t>
  </si>
  <si>
    <t>203232</t>
  </si>
  <si>
    <t>203238</t>
  </si>
  <si>
    <t>867941郡上市</t>
  </si>
  <si>
    <t>0868-1</t>
  </si>
  <si>
    <t>長野県立科町</t>
  </si>
  <si>
    <t>0868</t>
  </si>
  <si>
    <t>203240</t>
  </si>
  <si>
    <t>203246</t>
  </si>
  <si>
    <t>868942下呂市</t>
  </si>
  <si>
    <t>0869-1</t>
  </si>
  <si>
    <t>長野県青木村</t>
  </si>
  <si>
    <t>0869</t>
  </si>
  <si>
    <t>203497</t>
  </si>
  <si>
    <t>203491</t>
  </si>
  <si>
    <t>869943海津市</t>
  </si>
  <si>
    <t>0870-1</t>
  </si>
  <si>
    <t>長野県長和町</t>
  </si>
  <si>
    <t>0870</t>
  </si>
  <si>
    <t>203505</t>
  </si>
  <si>
    <t>350</t>
  </si>
  <si>
    <t>870944岐南町</t>
  </si>
  <si>
    <t>0871-1</t>
  </si>
  <si>
    <t>長野県辰野町</t>
  </si>
  <si>
    <t>0871</t>
  </si>
  <si>
    <t>203828</t>
  </si>
  <si>
    <t>203823</t>
  </si>
  <si>
    <t>871945笠松町</t>
  </si>
  <si>
    <t>0872-1</t>
  </si>
  <si>
    <t>長野県箕輪町</t>
  </si>
  <si>
    <t>0872</t>
  </si>
  <si>
    <t>203836</t>
  </si>
  <si>
    <t>203831</t>
  </si>
  <si>
    <t>872946養老町</t>
  </si>
  <si>
    <t>0873-1</t>
  </si>
  <si>
    <t>長野県飯島町</t>
  </si>
  <si>
    <t>0873</t>
  </si>
  <si>
    <t>203844</t>
  </si>
  <si>
    <t>203840</t>
  </si>
  <si>
    <t>873947垂井町</t>
  </si>
  <si>
    <t>0874-1</t>
  </si>
  <si>
    <t>長野県南箕輪村</t>
  </si>
  <si>
    <t>0874</t>
  </si>
  <si>
    <t>203851</t>
  </si>
  <si>
    <t>203858</t>
  </si>
  <si>
    <t>874948関ヶ原町</t>
  </si>
  <si>
    <t>0875-1</t>
  </si>
  <si>
    <t>長野県中川村</t>
  </si>
  <si>
    <t>0875</t>
  </si>
  <si>
    <t>203869</t>
  </si>
  <si>
    <t>203866</t>
  </si>
  <si>
    <t>875949坂祝町</t>
  </si>
  <si>
    <t>0876-1</t>
  </si>
  <si>
    <t>長野県宮田村</t>
  </si>
  <si>
    <t>0876</t>
  </si>
  <si>
    <t>203885</t>
  </si>
  <si>
    <t>388</t>
  </si>
  <si>
    <t>203882</t>
  </si>
  <si>
    <t>876950富加町</t>
  </si>
  <si>
    <t>0877-1</t>
  </si>
  <si>
    <t>長野県松川町</t>
  </si>
  <si>
    <t>0877</t>
  </si>
  <si>
    <t>204024</t>
  </si>
  <si>
    <t>204021</t>
  </si>
  <si>
    <t>877951川辺町</t>
  </si>
  <si>
    <t>0878-1</t>
  </si>
  <si>
    <t>長野県高森町</t>
  </si>
  <si>
    <t>0878</t>
  </si>
  <si>
    <t>204032</t>
  </si>
  <si>
    <t>204030</t>
  </si>
  <si>
    <t>878952七宗町</t>
  </si>
  <si>
    <t>0879-1</t>
  </si>
  <si>
    <t>長野県阿南町</t>
  </si>
  <si>
    <t>0879</t>
  </si>
  <si>
    <t>204040</t>
  </si>
  <si>
    <t>204048</t>
  </si>
  <si>
    <t>879953八百津町</t>
  </si>
  <si>
    <t>0880-1</t>
  </si>
  <si>
    <t>長野県阿智村</t>
  </si>
  <si>
    <t>0880</t>
  </si>
  <si>
    <t>204073</t>
  </si>
  <si>
    <t>204072</t>
  </si>
  <si>
    <t>880954白川町</t>
  </si>
  <si>
    <t>0881-1</t>
  </si>
  <si>
    <t>長野県平谷村</t>
  </si>
  <si>
    <t>0881</t>
  </si>
  <si>
    <t>204099</t>
  </si>
  <si>
    <t>881955東白川村</t>
  </si>
  <si>
    <t>0882-1</t>
  </si>
  <si>
    <t>長野県根羽村</t>
  </si>
  <si>
    <t>0882</t>
  </si>
  <si>
    <t>204107</t>
  </si>
  <si>
    <t>204102</t>
  </si>
  <si>
    <t>882956御嵩町</t>
  </si>
  <si>
    <t>0883-1</t>
  </si>
  <si>
    <t>長野県下條村</t>
  </si>
  <si>
    <t>0883</t>
  </si>
  <si>
    <t>204115</t>
  </si>
  <si>
    <t>204111</t>
  </si>
  <si>
    <t>883957白川村</t>
  </si>
  <si>
    <t>0884-1</t>
  </si>
  <si>
    <t>長野県売木村</t>
  </si>
  <si>
    <t>0884</t>
  </si>
  <si>
    <t>204123</t>
  </si>
  <si>
    <t>204129</t>
  </si>
  <si>
    <t>884958安八郡広域連合</t>
  </si>
  <si>
    <t>0885-1</t>
  </si>
  <si>
    <t>長野県天龍村</t>
  </si>
  <si>
    <t>0885</t>
  </si>
  <si>
    <t>204131</t>
  </si>
  <si>
    <t>413</t>
  </si>
  <si>
    <t>204137</t>
  </si>
  <si>
    <t>885962揖斐広域連合</t>
  </si>
  <si>
    <t>0886-1</t>
  </si>
  <si>
    <t>長野県泰阜村</t>
  </si>
  <si>
    <t>0886</t>
  </si>
  <si>
    <t>204149</t>
  </si>
  <si>
    <t>414</t>
  </si>
  <si>
    <t>204145</t>
  </si>
  <si>
    <t>886966もとす広域連合</t>
  </si>
  <si>
    <t>0887-1</t>
  </si>
  <si>
    <t>長野県喬木村</t>
  </si>
  <si>
    <t>0887</t>
  </si>
  <si>
    <t>204156</t>
  </si>
  <si>
    <t>415</t>
  </si>
  <si>
    <t>204153</t>
  </si>
  <si>
    <t>887970静岡市</t>
  </si>
  <si>
    <t>0888-1</t>
  </si>
  <si>
    <t>長野県豊丘村</t>
  </si>
  <si>
    <t>0888</t>
  </si>
  <si>
    <t>204164</t>
  </si>
  <si>
    <t>416</t>
  </si>
  <si>
    <t>204161</t>
  </si>
  <si>
    <t>888971浜松市</t>
  </si>
  <si>
    <t>0889-1</t>
  </si>
  <si>
    <t>長野県大鹿村</t>
  </si>
  <si>
    <t>0889</t>
  </si>
  <si>
    <t>204172</t>
  </si>
  <si>
    <t>417</t>
  </si>
  <si>
    <t>204170</t>
  </si>
  <si>
    <t>889972沼津市</t>
  </si>
  <si>
    <t>0890-1</t>
  </si>
  <si>
    <t>長野県麻績村</t>
  </si>
  <si>
    <t>0890</t>
  </si>
  <si>
    <t>204461</t>
  </si>
  <si>
    <t>204463</t>
  </si>
  <si>
    <t>890973熱海市</t>
  </si>
  <si>
    <t>0891-1</t>
  </si>
  <si>
    <t>長野県生坂村</t>
  </si>
  <si>
    <t>0891</t>
  </si>
  <si>
    <t>204487</t>
  </si>
  <si>
    <t>204480</t>
  </si>
  <si>
    <t>891974三島市</t>
  </si>
  <si>
    <t>0892-1</t>
  </si>
  <si>
    <t>長野県山形村</t>
  </si>
  <si>
    <t>0892</t>
  </si>
  <si>
    <t>204503</t>
  </si>
  <si>
    <t>204501</t>
  </si>
  <si>
    <t>892975富士宮市</t>
  </si>
  <si>
    <t>0893-1</t>
  </si>
  <si>
    <t>長野県朝日村</t>
  </si>
  <si>
    <t>0893</t>
  </si>
  <si>
    <t>204511</t>
  </si>
  <si>
    <t>451</t>
  </si>
  <si>
    <t>204510</t>
  </si>
  <si>
    <t>893976伊東市</t>
  </si>
  <si>
    <t>0894-1</t>
  </si>
  <si>
    <t>長野県筑北村</t>
  </si>
  <si>
    <t>0894</t>
  </si>
  <si>
    <t>204529</t>
  </si>
  <si>
    <t>204528</t>
  </si>
  <si>
    <t>894977島田市</t>
  </si>
  <si>
    <t>0895-1</t>
  </si>
  <si>
    <t>長野県坂城町</t>
  </si>
  <si>
    <t>0895</t>
  </si>
  <si>
    <t>205211</t>
  </si>
  <si>
    <t>205214</t>
  </si>
  <si>
    <t>895978富士市</t>
  </si>
  <si>
    <t>0896-1</t>
  </si>
  <si>
    <t>長野県小布施町</t>
  </si>
  <si>
    <t>0896</t>
  </si>
  <si>
    <t>205419</t>
  </si>
  <si>
    <t>896979磐田市</t>
  </si>
  <si>
    <t>0897-1</t>
  </si>
  <si>
    <t>長野県高山村</t>
  </si>
  <si>
    <t>0897</t>
  </si>
  <si>
    <t>205435</t>
  </si>
  <si>
    <t>897980焼津市</t>
  </si>
  <si>
    <t>0898-1</t>
  </si>
  <si>
    <t>長野県山ノ内町</t>
  </si>
  <si>
    <t>0898</t>
  </si>
  <si>
    <t>205617</t>
  </si>
  <si>
    <t>205613</t>
  </si>
  <si>
    <t>898981掛川市</t>
  </si>
  <si>
    <t>0899-1</t>
  </si>
  <si>
    <t>長野県木島平村</t>
  </si>
  <si>
    <t>0899</t>
  </si>
  <si>
    <t>205625</t>
  </si>
  <si>
    <t>205621</t>
  </si>
  <si>
    <t>899982藤枝市</t>
  </si>
  <si>
    <t>0900-1</t>
  </si>
  <si>
    <t>長野県野沢温泉村</t>
  </si>
  <si>
    <t>0900</t>
  </si>
  <si>
    <t>205633</t>
  </si>
  <si>
    <t>205630</t>
  </si>
  <si>
    <t>900983御殿場市</t>
  </si>
  <si>
    <t>0901-1</t>
  </si>
  <si>
    <t>長野県信濃町</t>
  </si>
  <si>
    <t>0901</t>
  </si>
  <si>
    <t>205831</t>
  </si>
  <si>
    <t>583</t>
  </si>
  <si>
    <t>205834</t>
  </si>
  <si>
    <t>901984袋井市</t>
  </si>
  <si>
    <t>0902-1</t>
  </si>
  <si>
    <t>長野県小川村</t>
  </si>
  <si>
    <t>0902</t>
  </si>
  <si>
    <t>205880</t>
  </si>
  <si>
    <t>588</t>
  </si>
  <si>
    <t>205885</t>
  </si>
  <si>
    <t>902985下田市</t>
  </si>
  <si>
    <t>0903-1</t>
  </si>
  <si>
    <t>長野県飯綱町</t>
  </si>
  <si>
    <t>0903</t>
  </si>
  <si>
    <t>205906</t>
  </si>
  <si>
    <t>590</t>
  </si>
  <si>
    <t>205907</t>
  </si>
  <si>
    <t>903986裾野市</t>
  </si>
  <si>
    <t>0904-1</t>
  </si>
  <si>
    <t>長野県栄村</t>
  </si>
  <si>
    <t>0904</t>
  </si>
  <si>
    <t>206029</t>
  </si>
  <si>
    <t>206024</t>
  </si>
  <si>
    <t>904987湖西市</t>
  </si>
  <si>
    <t>0905-1</t>
  </si>
  <si>
    <t>長野県北アルプス広域連合</t>
  </si>
  <si>
    <t>0905</t>
  </si>
  <si>
    <t>208934</t>
  </si>
  <si>
    <t>893</t>
  </si>
  <si>
    <t>208931</t>
  </si>
  <si>
    <t>905988伊豆市</t>
  </si>
  <si>
    <t>0905-2</t>
  </si>
  <si>
    <t>長野県大町市</t>
  </si>
  <si>
    <t>0906</t>
  </si>
  <si>
    <t>202127</t>
  </si>
  <si>
    <t>202126</t>
  </si>
  <si>
    <t>906989御前崎市</t>
  </si>
  <si>
    <t>0905-3</t>
  </si>
  <si>
    <t>長野県池田町</t>
  </si>
  <si>
    <t>0907</t>
  </si>
  <si>
    <t>204818</t>
  </si>
  <si>
    <t>204811</t>
  </si>
  <si>
    <t>907990菊川市</t>
  </si>
  <si>
    <t>0905-4</t>
  </si>
  <si>
    <t>長野県松川村</t>
  </si>
  <si>
    <t>0908</t>
  </si>
  <si>
    <t>204826</t>
  </si>
  <si>
    <t>204820</t>
  </si>
  <si>
    <t>908991伊豆の国市</t>
  </si>
  <si>
    <t>0905-5</t>
  </si>
  <si>
    <t>長野県白馬村</t>
  </si>
  <si>
    <t>0909</t>
  </si>
  <si>
    <t>204859</t>
  </si>
  <si>
    <t>204854</t>
  </si>
  <si>
    <t>909992牧之原市</t>
  </si>
  <si>
    <t>0905-6</t>
  </si>
  <si>
    <t>長野県小谷村</t>
  </si>
  <si>
    <t>0910</t>
  </si>
  <si>
    <t>204867</t>
  </si>
  <si>
    <t>204862</t>
  </si>
  <si>
    <t>910993東伊豆町</t>
  </si>
  <si>
    <t>0911-1</t>
  </si>
  <si>
    <t>長野県木曽広域連合</t>
  </si>
  <si>
    <t>0911</t>
  </si>
  <si>
    <t>209270</t>
  </si>
  <si>
    <t>927</t>
  </si>
  <si>
    <t>209279</t>
  </si>
  <si>
    <t>911994河津町</t>
  </si>
  <si>
    <t>0911-2</t>
  </si>
  <si>
    <t>長野県木曽町</t>
  </si>
  <si>
    <t>0912</t>
  </si>
  <si>
    <t>204321</t>
  </si>
  <si>
    <t>204323</t>
  </si>
  <si>
    <t>912995南伊豆町</t>
  </si>
  <si>
    <t>0911-3</t>
  </si>
  <si>
    <t>長野県上松町</t>
  </si>
  <si>
    <t>0913</t>
  </si>
  <si>
    <t>204222</t>
  </si>
  <si>
    <t>204226</t>
  </si>
  <si>
    <t>913996松崎町</t>
  </si>
  <si>
    <t>0911-4</t>
  </si>
  <si>
    <t>長野県南木曽町</t>
  </si>
  <si>
    <t>0914</t>
  </si>
  <si>
    <t>204230</t>
  </si>
  <si>
    <t>204234</t>
  </si>
  <si>
    <t>914997西伊豆町</t>
  </si>
  <si>
    <t>0911-5</t>
  </si>
  <si>
    <t>長野県木祖村</t>
  </si>
  <si>
    <t>0915</t>
  </si>
  <si>
    <t>204255</t>
  </si>
  <si>
    <t>204251</t>
  </si>
  <si>
    <t>915998函南町</t>
  </si>
  <si>
    <t>0911-6</t>
  </si>
  <si>
    <t>長野県王滝村</t>
  </si>
  <si>
    <t>0916</t>
  </si>
  <si>
    <t>204297</t>
  </si>
  <si>
    <t>204293</t>
  </si>
  <si>
    <t>916999清水町</t>
  </si>
  <si>
    <t>0911-7</t>
  </si>
  <si>
    <t>長野県大桑村</t>
  </si>
  <si>
    <t>0917</t>
  </si>
  <si>
    <t>204305</t>
  </si>
  <si>
    <t>204307</t>
  </si>
  <si>
    <t>9171000長泉町</t>
  </si>
  <si>
    <t>0918-1</t>
  </si>
  <si>
    <t>長野県諏訪広域連合</t>
  </si>
  <si>
    <t>0918</t>
  </si>
  <si>
    <t>209817</t>
  </si>
  <si>
    <t>981</t>
  </si>
  <si>
    <t>209813</t>
  </si>
  <si>
    <t>9181001小山町</t>
  </si>
  <si>
    <t>0918-2</t>
  </si>
  <si>
    <t>長野県岡谷市</t>
  </si>
  <si>
    <t>0919</t>
  </si>
  <si>
    <t>202044</t>
  </si>
  <si>
    <t>202045</t>
  </si>
  <si>
    <t>9191002吉田町</t>
  </si>
  <si>
    <t>0918-3</t>
  </si>
  <si>
    <t>長野県諏訪市</t>
  </si>
  <si>
    <t>0920</t>
  </si>
  <si>
    <t>202069</t>
  </si>
  <si>
    <t>202061</t>
  </si>
  <si>
    <t>9201003川根本町</t>
  </si>
  <si>
    <t>0918-4</t>
  </si>
  <si>
    <t>長野県茅野市</t>
  </si>
  <si>
    <t>0921</t>
  </si>
  <si>
    <t>202143</t>
  </si>
  <si>
    <t>202142</t>
  </si>
  <si>
    <t>9211004森町</t>
  </si>
  <si>
    <t>0918-5</t>
  </si>
  <si>
    <t>長野県下諏訪町</t>
  </si>
  <si>
    <t>0922</t>
  </si>
  <si>
    <t>203612</t>
  </si>
  <si>
    <t>203611</t>
  </si>
  <si>
    <t>9221005名古屋市</t>
  </si>
  <si>
    <t>0918-6</t>
  </si>
  <si>
    <t>長野県富士見町</t>
  </si>
  <si>
    <t>0923</t>
  </si>
  <si>
    <t>203620</t>
  </si>
  <si>
    <t>203629</t>
  </si>
  <si>
    <t>9231006岡崎市</t>
  </si>
  <si>
    <t>0918-7</t>
  </si>
  <si>
    <t>長野県原村</t>
  </si>
  <si>
    <t>0924</t>
  </si>
  <si>
    <t>203638</t>
  </si>
  <si>
    <t>203637</t>
  </si>
  <si>
    <t>9241007一宮市</t>
  </si>
  <si>
    <t>0925-1</t>
  </si>
  <si>
    <t>岐阜県岐阜市</t>
  </si>
  <si>
    <t>0925</t>
  </si>
  <si>
    <t>212019</t>
  </si>
  <si>
    <t>212016</t>
  </si>
  <si>
    <t>9251008瀬戸市</t>
  </si>
  <si>
    <t>0926-1</t>
  </si>
  <si>
    <t>岐阜県大垣市</t>
  </si>
  <si>
    <t>0926</t>
  </si>
  <si>
    <t>212027</t>
  </si>
  <si>
    <t>212024</t>
  </si>
  <si>
    <t>9261009半田市</t>
  </si>
  <si>
    <t>0927-1</t>
  </si>
  <si>
    <t>岐阜県高山市</t>
  </si>
  <si>
    <t>0927</t>
  </si>
  <si>
    <t>212035</t>
  </si>
  <si>
    <t>212032</t>
  </si>
  <si>
    <t>9271010春日井市</t>
  </si>
  <si>
    <t>0928-1</t>
  </si>
  <si>
    <t>岐阜県多治見市</t>
  </si>
  <si>
    <t>0928</t>
  </si>
  <si>
    <t>212043</t>
  </si>
  <si>
    <t>212041</t>
  </si>
  <si>
    <t>9281011津島市</t>
  </si>
  <si>
    <t>0929-1</t>
  </si>
  <si>
    <t>岐阜県関市</t>
  </si>
  <si>
    <t>0929</t>
  </si>
  <si>
    <t>212050</t>
  </si>
  <si>
    <t>212059</t>
  </si>
  <si>
    <t>9291012碧南市</t>
  </si>
  <si>
    <t>0930-1</t>
  </si>
  <si>
    <t>岐阜県中津川市</t>
  </si>
  <si>
    <t>0930</t>
  </si>
  <si>
    <t>212068</t>
  </si>
  <si>
    <t>212067</t>
  </si>
  <si>
    <t>9301013刈谷市</t>
  </si>
  <si>
    <t>0931-1</t>
  </si>
  <si>
    <t>岐阜県美濃市</t>
  </si>
  <si>
    <t>0931</t>
  </si>
  <si>
    <t>212076</t>
  </si>
  <si>
    <t>212075</t>
  </si>
  <si>
    <t>9311014豊田市</t>
  </si>
  <si>
    <t>0932-1</t>
  </si>
  <si>
    <t>岐阜県瑞浪市</t>
  </si>
  <si>
    <t>0932</t>
  </si>
  <si>
    <t>212084</t>
  </si>
  <si>
    <t>212083</t>
  </si>
  <si>
    <t>9321015安城市</t>
  </si>
  <si>
    <t>0933-1</t>
  </si>
  <si>
    <t>岐阜県羽島市</t>
  </si>
  <si>
    <t>0933</t>
  </si>
  <si>
    <t>212092</t>
  </si>
  <si>
    <t>212091</t>
  </si>
  <si>
    <t>9331016西尾市</t>
  </si>
  <si>
    <t>0934-1</t>
  </si>
  <si>
    <t>岐阜県恵那市</t>
  </si>
  <si>
    <t>0934</t>
  </si>
  <si>
    <t>212100</t>
  </si>
  <si>
    <t>212105</t>
  </si>
  <si>
    <t>9341017犬山市</t>
  </si>
  <si>
    <t>0935-1</t>
  </si>
  <si>
    <t>岐阜県美濃加茂市</t>
  </si>
  <si>
    <t>0935</t>
  </si>
  <si>
    <t>212118</t>
  </si>
  <si>
    <t>212113</t>
  </si>
  <si>
    <t>9351018常滑市</t>
  </si>
  <si>
    <t>0936-1</t>
  </si>
  <si>
    <t>岐阜県土岐市</t>
  </si>
  <si>
    <t>0936</t>
  </si>
  <si>
    <t>212126</t>
  </si>
  <si>
    <t>212121</t>
  </si>
  <si>
    <t>9361019江南市</t>
  </si>
  <si>
    <t>0937-1</t>
  </si>
  <si>
    <t>岐阜県各務原市</t>
  </si>
  <si>
    <t>0937</t>
  </si>
  <si>
    <t>212134</t>
  </si>
  <si>
    <t>212130</t>
  </si>
  <si>
    <t>9371020小牧市</t>
  </si>
  <si>
    <t>0938-1</t>
  </si>
  <si>
    <t>岐阜県可児市</t>
  </si>
  <si>
    <t>0938</t>
  </si>
  <si>
    <t>212142</t>
  </si>
  <si>
    <t>212148</t>
  </si>
  <si>
    <t>9381021稲沢市</t>
  </si>
  <si>
    <t>0939-1</t>
  </si>
  <si>
    <t>岐阜県山県市</t>
  </si>
  <si>
    <t>0939</t>
  </si>
  <si>
    <t>212159</t>
  </si>
  <si>
    <t>212156</t>
  </si>
  <si>
    <t>9391022知立市</t>
  </si>
  <si>
    <t>0940-1</t>
  </si>
  <si>
    <t>岐阜県飛騨市</t>
  </si>
  <si>
    <t>0940</t>
  </si>
  <si>
    <t>212175</t>
  </si>
  <si>
    <t>212172</t>
  </si>
  <si>
    <t>9401023尾張旭市</t>
  </si>
  <si>
    <t>0941-1</t>
  </si>
  <si>
    <t>岐阜県郡上市</t>
  </si>
  <si>
    <t>0941</t>
  </si>
  <si>
    <t>212191</t>
  </si>
  <si>
    <t>212199</t>
  </si>
  <si>
    <t>9411024高浜市</t>
  </si>
  <si>
    <t>0942-1</t>
  </si>
  <si>
    <t>岐阜県下呂市</t>
  </si>
  <si>
    <t>0942</t>
  </si>
  <si>
    <t>212209</t>
  </si>
  <si>
    <t>212202</t>
  </si>
  <si>
    <t>9421025岩倉市</t>
  </si>
  <si>
    <t>0943-1</t>
  </si>
  <si>
    <t>岐阜県海津市</t>
  </si>
  <si>
    <t>0943</t>
  </si>
  <si>
    <t>212217</t>
  </si>
  <si>
    <t>212211</t>
  </si>
  <si>
    <t>9431026豊明市</t>
  </si>
  <si>
    <t>0944-1</t>
  </si>
  <si>
    <t>岐阜県岐南町</t>
  </si>
  <si>
    <t>0944</t>
  </si>
  <si>
    <t>213025</t>
  </si>
  <si>
    <t>213021</t>
  </si>
  <si>
    <t>9441027日進市</t>
  </si>
  <si>
    <t>0945-1</t>
  </si>
  <si>
    <t>岐阜県笠松町</t>
  </si>
  <si>
    <t>0945</t>
  </si>
  <si>
    <t>213033</t>
  </si>
  <si>
    <t>213039</t>
  </si>
  <si>
    <t>9451028愛西市</t>
  </si>
  <si>
    <t>0946-1</t>
  </si>
  <si>
    <t>岐阜県養老町</t>
  </si>
  <si>
    <t>0946</t>
  </si>
  <si>
    <t>213413</t>
  </si>
  <si>
    <t>213411</t>
  </si>
  <si>
    <t>9461029清須市</t>
  </si>
  <si>
    <t>0947-1</t>
  </si>
  <si>
    <t>岐阜県垂井町</t>
  </si>
  <si>
    <t>0947</t>
  </si>
  <si>
    <t>213611</t>
  </si>
  <si>
    <t>213616</t>
  </si>
  <si>
    <t>9471030北名古屋市</t>
  </si>
  <si>
    <t>0948-1</t>
  </si>
  <si>
    <t>岐阜県関ヶ原町</t>
  </si>
  <si>
    <t>0948</t>
  </si>
  <si>
    <t>213629</t>
  </si>
  <si>
    <t>213624</t>
  </si>
  <si>
    <t>9481031弥富市</t>
  </si>
  <si>
    <t>0949-1</t>
  </si>
  <si>
    <t>岐阜県坂祝町</t>
  </si>
  <si>
    <t>0949</t>
  </si>
  <si>
    <t>215012</t>
  </si>
  <si>
    <t>215015</t>
  </si>
  <si>
    <t>9491032みよし市</t>
  </si>
  <si>
    <t>0950-1</t>
  </si>
  <si>
    <t>岐阜県富加町</t>
  </si>
  <si>
    <t>0950</t>
  </si>
  <si>
    <t>215020</t>
  </si>
  <si>
    <t>215023</t>
  </si>
  <si>
    <t>9501033あま市</t>
  </si>
  <si>
    <t>0951-1</t>
  </si>
  <si>
    <t>岐阜県川辺町</t>
  </si>
  <si>
    <t>0951</t>
  </si>
  <si>
    <t>215038</t>
  </si>
  <si>
    <t>215031</t>
  </si>
  <si>
    <t>9511034長久手市</t>
  </si>
  <si>
    <t>0952-1</t>
  </si>
  <si>
    <t>岐阜県七宗町</t>
  </si>
  <si>
    <t>0952</t>
  </si>
  <si>
    <t>215046</t>
  </si>
  <si>
    <t>215040</t>
  </si>
  <si>
    <t>9521035東郷町</t>
  </si>
  <si>
    <t>0953-1</t>
  </si>
  <si>
    <t>岐阜県八百津町</t>
  </si>
  <si>
    <t>0953</t>
  </si>
  <si>
    <t>215053</t>
  </si>
  <si>
    <t>215058</t>
  </si>
  <si>
    <t>9531036豊山町</t>
  </si>
  <si>
    <t>0954-1</t>
  </si>
  <si>
    <t>岐阜県白川町</t>
  </si>
  <si>
    <t>0954</t>
  </si>
  <si>
    <t>215061</t>
  </si>
  <si>
    <t>215066</t>
  </si>
  <si>
    <t>9541037大口町</t>
  </si>
  <si>
    <t>0955-1</t>
  </si>
  <si>
    <t>岐阜県東白川村</t>
  </si>
  <si>
    <t>0955</t>
  </si>
  <si>
    <t>215079</t>
  </si>
  <si>
    <t>215074</t>
  </si>
  <si>
    <t>9551038扶桑町</t>
  </si>
  <si>
    <t>0956-1</t>
  </si>
  <si>
    <t>岐阜県御嵩町</t>
  </si>
  <si>
    <t>0956</t>
  </si>
  <si>
    <t>215210</t>
  </si>
  <si>
    <t>9561039大治町</t>
  </si>
  <si>
    <t>0957-1</t>
  </si>
  <si>
    <t>岐阜県白川村</t>
  </si>
  <si>
    <t>0957</t>
  </si>
  <si>
    <t>216044</t>
  </si>
  <si>
    <t>216046</t>
  </si>
  <si>
    <t>9571040蟹江町</t>
  </si>
  <si>
    <t>0958-1</t>
  </si>
  <si>
    <t>岐阜県安八郡広域連合</t>
  </si>
  <si>
    <t>0958</t>
  </si>
  <si>
    <t>219758</t>
  </si>
  <si>
    <t>975</t>
  </si>
  <si>
    <t>219754</t>
  </si>
  <si>
    <t>9581041飛島村</t>
  </si>
  <si>
    <t>0958-2</t>
  </si>
  <si>
    <t>岐阜県神戸町</t>
  </si>
  <si>
    <t>0959</t>
  </si>
  <si>
    <t>213819</t>
  </si>
  <si>
    <t>213811</t>
  </si>
  <si>
    <t>9591042阿久比町</t>
  </si>
  <si>
    <t>0958-3</t>
  </si>
  <si>
    <t>岐阜県輪之内町</t>
  </si>
  <si>
    <t>0960</t>
  </si>
  <si>
    <t>213827</t>
  </si>
  <si>
    <t>213829</t>
  </si>
  <si>
    <t>9601043南知多町</t>
  </si>
  <si>
    <t>0958-4</t>
  </si>
  <si>
    <t>岐阜県安八町</t>
  </si>
  <si>
    <t>0961</t>
  </si>
  <si>
    <t>213835</t>
  </si>
  <si>
    <t>213837</t>
  </si>
  <si>
    <t>9611044美浜町</t>
  </si>
  <si>
    <t>0962-1</t>
  </si>
  <si>
    <t>岐阜県揖斐広域連合</t>
  </si>
  <si>
    <t>0962</t>
  </si>
  <si>
    <t>219766</t>
  </si>
  <si>
    <t>976</t>
  </si>
  <si>
    <t>219762</t>
  </si>
  <si>
    <t>9621045武豊町</t>
  </si>
  <si>
    <t>0962-2</t>
  </si>
  <si>
    <t>岐阜県揖斐川町</t>
  </si>
  <si>
    <t>0963</t>
  </si>
  <si>
    <t>214015</t>
  </si>
  <si>
    <t>214019</t>
  </si>
  <si>
    <t>9631046幸田町</t>
  </si>
  <si>
    <t>0962-3</t>
  </si>
  <si>
    <t>岐阜県大野町</t>
  </si>
  <si>
    <t>0964</t>
  </si>
  <si>
    <t>214031</t>
  </si>
  <si>
    <t>214035</t>
  </si>
  <si>
    <t>9641047知多北部広域連合</t>
  </si>
  <si>
    <t>0962-4</t>
  </si>
  <si>
    <t>岐阜県池田町</t>
  </si>
  <si>
    <t>0965</t>
  </si>
  <si>
    <t>214049</t>
  </si>
  <si>
    <t>214043</t>
  </si>
  <si>
    <t>9651052東三河広域連合</t>
  </si>
  <si>
    <t>0966-1</t>
  </si>
  <si>
    <t>岐阜県もとす広域連合</t>
  </si>
  <si>
    <t>0966</t>
  </si>
  <si>
    <t>219774</t>
  </si>
  <si>
    <t>977</t>
  </si>
  <si>
    <t>219886</t>
  </si>
  <si>
    <t>9661061津市</t>
  </si>
  <si>
    <t>0966-2</t>
  </si>
  <si>
    <t>岐阜県瑞穂市</t>
  </si>
  <si>
    <t>0967</t>
  </si>
  <si>
    <t>212167</t>
  </si>
  <si>
    <t>212164</t>
  </si>
  <si>
    <t>9671062四日市市</t>
  </si>
  <si>
    <t>0966-3</t>
  </si>
  <si>
    <t>岐阜県本巣市</t>
  </si>
  <si>
    <t>0968</t>
  </si>
  <si>
    <t>212183</t>
  </si>
  <si>
    <t>212181</t>
  </si>
  <si>
    <t>9681063伊勢市</t>
  </si>
  <si>
    <t>0966-4</t>
  </si>
  <si>
    <t>岐阜県北方町</t>
  </si>
  <si>
    <t>0969</t>
  </si>
  <si>
    <t>214213</t>
  </si>
  <si>
    <t>9691064松阪市</t>
  </si>
  <si>
    <t>0970-1</t>
  </si>
  <si>
    <t>静岡県静岡市</t>
  </si>
  <si>
    <t>0970</t>
  </si>
  <si>
    <t>221002</t>
  </si>
  <si>
    <t>221007</t>
  </si>
  <si>
    <t>9701065桑名市</t>
  </si>
  <si>
    <t>0971-1</t>
  </si>
  <si>
    <t>静岡県浜松市</t>
  </si>
  <si>
    <t>0971</t>
  </si>
  <si>
    <t>221309</t>
  </si>
  <si>
    <t>9711066名張市</t>
  </si>
  <si>
    <t>0972-1</t>
  </si>
  <si>
    <t>静岡県沼津市</t>
  </si>
  <si>
    <t>0972</t>
  </si>
  <si>
    <t>222034</t>
  </si>
  <si>
    <t>222038</t>
  </si>
  <si>
    <t>9721067鳥羽市</t>
  </si>
  <si>
    <t>0973-1</t>
  </si>
  <si>
    <t>静岡県熱海市</t>
  </si>
  <si>
    <t>0973</t>
  </si>
  <si>
    <t>222059</t>
  </si>
  <si>
    <t>222054</t>
  </si>
  <si>
    <t>9731068いなべ市</t>
  </si>
  <si>
    <t>0974-1</t>
  </si>
  <si>
    <t>静岡県三島市</t>
  </si>
  <si>
    <t>0974</t>
  </si>
  <si>
    <t>222067</t>
  </si>
  <si>
    <t>222062</t>
  </si>
  <si>
    <t>9741069志摩市</t>
  </si>
  <si>
    <t>0975-1</t>
  </si>
  <si>
    <t>静岡県富士宮市</t>
  </si>
  <si>
    <t>0975</t>
  </si>
  <si>
    <t>222075</t>
  </si>
  <si>
    <t>222071</t>
  </si>
  <si>
    <t>9751070伊賀市</t>
  </si>
  <si>
    <t>0976-1</t>
  </si>
  <si>
    <t>静岡県伊東市</t>
  </si>
  <si>
    <t>0976</t>
  </si>
  <si>
    <t>222083</t>
  </si>
  <si>
    <t>222089</t>
  </si>
  <si>
    <t>9761071木曽岬町</t>
  </si>
  <si>
    <t>0977-1</t>
  </si>
  <si>
    <t>静岡県島田市</t>
  </si>
  <si>
    <t>0977</t>
  </si>
  <si>
    <t>222091</t>
  </si>
  <si>
    <t>222097</t>
  </si>
  <si>
    <t>9771072東員町</t>
  </si>
  <si>
    <t>0978-1</t>
  </si>
  <si>
    <t>静岡県富士市</t>
  </si>
  <si>
    <t>0978</t>
  </si>
  <si>
    <t>222109</t>
  </si>
  <si>
    <t>222101</t>
  </si>
  <si>
    <t>9781073菰野町</t>
  </si>
  <si>
    <t>0979-1</t>
  </si>
  <si>
    <t>静岡県磐田市</t>
  </si>
  <si>
    <t>0979</t>
  </si>
  <si>
    <t>222117</t>
  </si>
  <si>
    <t>222119</t>
  </si>
  <si>
    <t>9791074朝日町</t>
  </si>
  <si>
    <t>0980-1</t>
  </si>
  <si>
    <t>静岡県焼津市</t>
  </si>
  <si>
    <t>0980</t>
  </si>
  <si>
    <t>222125</t>
  </si>
  <si>
    <t>222127</t>
  </si>
  <si>
    <t>9801075川越町</t>
  </si>
  <si>
    <t>0981-1</t>
  </si>
  <si>
    <t>静岡県掛川市</t>
  </si>
  <si>
    <t>0981</t>
  </si>
  <si>
    <t>222133</t>
  </si>
  <si>
    <t>222135</t>
  </si>
  <si>
    <t>9811076多気町</t>
  </si>
  <si>
    <t>0982-1</t>
  </si>
  <si>
    <t>静岡県藤枝市</t>
  </si>
  <si>
    <t>0982</t>
  </si>
  <si>
    <t>222141</t>
  </si>
  <si>
    <t>222143</t>
  </si>
  <si>
    <t>9821077明和町</t>
  </si>
  <si>
    <t>0983-1</t>
  </si>
  <si>
    <t>静岡県御殿場市</t>
  </si>
  <si>
    <t>0983</t>
  </si>
  <si>
    <t>222158</t>
  </si>
  <si>
    <t>222151</t>
  </si>
  <si>
    <t>9831078大台町</t>
  </si>
  <si>
    <t>0984-1</t>
  </si>
  <si>
    <t>静岡県袋井市</t>
  </si>
  <si>
    <t>0984</t>
  </si>
  <si>
    <t>222166</t>
  </si>
  <si>
    <t>222160</t>
  </si>
  <si>
    <t>9841079玉城町</t>
  </si>
  <si>
    <t>0985-1</t>
  </si>
  <si>
    <t>静岡県下田市</t>
  </si>
  <si>
    <t>0985</t>
  </si>
  <si>
    <t>222190</t>
  </si>
  <si>
    <t>222194</t>
  </si>
  <si>
    <t>9851080度会町</t>
  </si>
  <si>
    <t>0986-1</t>
  </si>
  <si>
    <t>静岡県裾野市</t>
  </si>
  <si>
    <t>0986</t>
  </si>
  <si>
    <t>222208</t>
  </si>
  <si>
    <t>9861081大紀町</t>
  </si>
  <si>
    <t>0987-1</t>
  </si>
  <si>
    <t>静岡県湖西市</t>
  </si>
  <si>
    <t>0987</t>
  </si>
  <si>
    <t>222216</t>
  </si>
  <si>
    <t>9871082南伊勢町</t>
  </si>
  <si>
    <t>0988-1</t>
  </si>
  <si>
    <t>静岡県伊豆市</t>
  </si>
  <si>
    <t>0988</t>
  </si>
  <si>
    <t>222224</t>
  </si>
  <si>
    <t>9881083紀北広域連合</t>
  </si>
  <si>
    <t>0989-1</t>
  </si>
  <si>
    <t>静岡県御前崎市</t>
  </si>
  <si>
    <t>0989</t>
  </si>
  <si>
    <t>222232</t>
  </si>
  <si>
    <t>9891086紀南介護保険広域連合</t>
  </si>
  <si>
    <t>0990-1</t>
  </si>
  <si>
    <t>静岡県菊川市</t>
  </si>
  <si>
    <t>0990</t>
  </si>
  <si>
    <t>222240</t>
  </si>
  <si>
    <t>222241</t>
  </si>
  <si>
    <t>9901090鈴鹿亀山地区広域連合</t>
  </si>
  <si>
    <t>0991-1</t>
  </si>
  <si>
    <t>静岡県伊豆の国市</t>
  </si>
  <si>
    <t>0991</t>
  </si>
  <si>
    <t>222257</t>
  </si>
  <si>
    <t>222259</t>
  </si>
  <si>
    <t>9911093大津市</t>
  </si>
  <si>
    <t>0992-1</t>
  </si>
  <si>
    <t>静岡県牧之原市</t>
  </si>
  <si>
    <t>0992</t>
  </si>
  <si>
    <t>222265</t>
  </si>
  <si>
    <t>222267</t>
  </si>
  <si>
    <t>9921094彦根市</t>
  </si>
  <si>
    <t>0993-1</t>
  </si>
  <si>
    <t>静岡県東伊豆町</t>
  </si>
  <si>
    <t>0993</t>
  </si>
  <si>
    <t>223016</t>
  </si>
  <si>
    <t>223018</t>
  </si>
  <si>
    <t>9931095長浜市</t>
  </si>
  <si>
    <t>0994-1</t>
  </si>
  <si>
    <t>静岡県河津町</t>
  </si>
  <si>
    <t>0994</t>
  </si>
  <si>
    <t>223024</t>
  </si>
  <si>
    <t>223026</t>
  </si>
  <si>
    <t>9941096近江八幡市</t>
  </si>
  <si>
    <t>0995-1</t>
  </si>
  <si>
    <t>静岡県南伊豆町</t>
  </si>
  <si>
    <t>0995</t>
  </si>
  <si>
    <t>223040</t>
  </si>
  <si>
    <t>223042</t>
  </si>
  <si>
    <t>9951097草津市</t>
  </si>
  <si>
    <t>0996-1</t>
  </si>
  <si>
    <t>静岡県松崎町</t>
  </si>
  <si>
    <t>0996</t>
  </si>
  <si>
    <t>223057</t>
  </si>
  <si>
    <t>223051</t>
  </si>
  <si>
    <t>9961098守山市</t>
  </si>
  <si>
    <t>0997-1</t>
  </si>
  <si>
    <t>静岡県西伊豆町</t>
  </si>
  <si>
    <t>0997</t>
  </si>
  <si>
    <t>223065</t>
  </si>
  <si>
    <t>223069</t>
  </si>
  <si>
    <t>9971099甲賀市</t>
  </si>
  <si>
    <t>0998-1</t>
  </si>
  <si>
    <t>静岡県函南町</t>
  </si>
  <si>
    <t>0998</t>
  </si>
  <si>
    <t>223255</t>
  </si>
  <si>
    <t>325</t>
  </si>
  <si>
    <t>9981100野洲市</t>
  </si>
  <si>
    <t>0999-1</t>
  </si>
  <si>
    <t>静岡県清水町</t>
  </si>
  <si>
    <t>0999</t>
  </si>
  <si>
    <t>223412</t>
  </si>
  <si>
    <t>223417</t>
  </si>
  <si>
    <t>9991101湖南市</t>
  </si>
  <si>
    <t>1000-1</t>
  </si>
  <si>
    <t>静岡県長泉町</t>
  </si>
  <si>
    <t>1000</t>
  </si>
  <si>
    <t>223420</t>
  </si>
  <si>
    <t>223425</t>
  </si>
  <si>
    <t>10001102高島市</t>
  </si>
  <si>
    <t>1001-1</t>
  </si>
  <si>
    <t>静岡県小山町</t>
  </si>
  <si>
    <t>1001</t>
  </si>
  <si>
    <t>223446</t>
  </si>
  <si>
    <t>223441</t>
  </si>
  <si>
    <t>10011103東近江市</t>
  </si>
  <si>
    <t>1002-1</t>
  </si>
  <si>
    <t>静岡県吉田町</t>
  </si>
  <si>
    <t>1002</t>
  </si>
  <si>
    <t>224246</t>
  </si>
  <si>
    <t>224243</t>
  </si>
  <si>
    <t>10021104米原市</t>
  </si>
  <si>
    <t>1003-1</t>
  </si>
  <si>
    <t>静岡県川根本町</t>
  </si>
  <si>
    <t>1003</t>
  </si>
  <si>
    <t>224295</t>
  </si>
  <si>
    <t>224294</t>
  </si>
  <si>
    <t>10031105栗東市</t>
  </si>
  <si>
    <t>1004-1</t>
  </si>
  <si>
    <t>静岡県森町</t>
  </si>
  <si>
    <t>1004</t>
  </si>
  <si>
    <t>224618</t>
  </si>
  <si>
    <t>10041106日野町</t>
  </si>
  <si>
    <t>1005-1</t>
  </si>
  <si>
    <t>愛知県名古屋市</t>
  </si>
  <si>
    <t>1005</t>
  </si>
  <si>
    <t>231001</t>
  </si>
  <si>
    <t>231002</t>
  </si>
  <si>
    <t>10051107竜王町</t>
  </si>
  <si>
    <t>1006-1</t>
  </si>
  <si>
    <t>愛知県岡崎市</t>
  </si>
  <si>
    <t>1006</t>
  </si>
  <si>
    <t>232025</t>
  </si>
  <si>
    <t>10061108愛荘町</t>
  </si>
  <si>
    <t>1007-1</t>
  </si>
  <si>
    <t>愛知県一宮市</t>
  </si>
  <si>
    <t>1007</t>
  </si>
  <si>
    <t>232033</t>
  </si>
  <si>
    <t>10071109豊郷町</t>
  </si>
  <si>
    <t>1008-1</t>
  </si>
  <si>
    <t>愛知県瀬戸市</t>
  </si>
  <si>
    <t>1008</t>
  </si>
  <si>
    <t>232041</t>
  </si>
  <si>
    <t>10081110甲良町</t>
  </si>
  <si>
    <t>1009-1</t>
  </si>
  <si>
    <t>愛知県半田市</t>
  </si>
  <si>
    <t>1009</t>
  </si>
  <si>
    <t>232058</t>
  </si>
  <si>
    <t>232050</t>
  </si>
  <si>
    <t>10091111多賀町</t>
  </si>
  <si>
    <t>1010-1</t>
  </si>
  <si>
    <t>愛知県春日井市</t>
  </si>
  <si>
    <t>1010</t>
  </si>
  <si>
    <t>232066</t>
  </si>
  <si>
    <t>232068</t>
  </si>
  <si>
    <t>10101112京都市</t>
  </si>
  <si>
    <t>1011-1</t>
  </si>
  <si>
    <t>愛知県津島市</t>
  </si>
  <si>
    <t>1011</t>
  </si>
  <si>
    <t>232082</t>
  </si>
  <si>
    <t>232084</t>
  </si>
  <si>
    <t>10111113福知山市</t>
  </si>
  <si>
    <t>1012-1</t>
  </si>
  <si>
    <t>愛知県碧南市</t>
  </si>
  <si>
    <t>1012</t>
  </si>
  <si>
    <t>232090</t>
  </si>
  <si>
    <t>232092</t>
  </si>
  <si>
    <t>10121114舞鶴市</t>
  </si>
  <si>
    <t>1013-1</t>
  </si>
  <si>
    <t>愛知県刈谷市</t>
  </si>
  <si>
    <t>1013</t>
  </si>
  <si>
    <t>232108</t>
  </si>
  <si>
    <t>232106</t>
  </si>
  <si>
    <t>10131115綾部市</t>
  </si>
  <si>
    <t>1014-1</t>
  </si>
  <si>
    <t>愛知県豊田市</t>
  </si>
  <si>
    <t>1014</t>
  </si>
  <si>
    <t>232116</t>
  </si>
  <si>
    <t>232114</t>
  </si>
  <si>
    <t>10141116宇治市</t>
  </si>
  <si>
    <t>1015-1</t>
  </si>
  <si>
    <t>愛知県安城市</t>
  </si>
  <si>
    <t>1015</t>
  </si>
  <si>
    <t>232124</t>
  </si>
  <si>
    <t>232122</t>
  </si>
  <si>
    <t>10151117宮津市</t>
  </si>
  <si>
    <t>1016-1</t>
  </si>
  <si>
    <t>愛知県西尾市</t>
  </si>
  <si>
    <t>1016</t>
  </si>
  <si>
    <t>232132</t>
  </si>
  <si>
    <t>232131</t>
  </si>
  <si>
    <t>10161118亀岡市</t>
  </si>
  <si>
    <t>1017-1</t>
  </si>
  <si>
    <t>愛知県犬山市</t>
  </si>
  <si>
    <t>1017</t>
  </si>
  <si>
    <t>232157</t>
  </si>
  <si>
    <t>10171119城陽市</t>
  </si>
  <si>
    <t>1018-1</t>
  </si>
  <si>
    <t>愛知県常滑市</t>
  </si>
  <si>
    <t>1018</t>
  </si>
  <si>
    <t>232165</t>
  </si>
  <si>
    <t>10181120向日市</t>
  </si>
  <si>
    <t>1019-1</t>
  </si>
  <si>
    <t>愛知県江南市</t>
  </si>
  <si>
    <t>1019</t>
  </si>
  <si>
    <t>232173</t>
  </si>
  <si>
    <t>10191121長岡京市</t>
  </si>
  <si>
    <t>1020-1</t>
  </si>
  <si>
    <t>愛知県小牧市</t>
  </si>
  <si>
    <t>1020</t>
  </si>
  <si>
    <t>232199</t>
  </si>
  <si>
    <t>232190</t>
  </si>
  <si>
    <t>10201122八幡市</t>
  </si>
  <si>
    <t>1021-1</t>
  </si>
  <si>
    <t>愛知県稲沢市</t>
  </si>
  <si>
    <t>1021</t>
  </si>
  <si>
    <t>232207</t>
  </si>
  <si>
    <t>232203</t>
  </si>
  <si>
    <t>10211123京田辺市</t>
  </si>
  <si>
    <t>1022-1</t>
  </si>
  <si>
    <t>愛知県知立市</t>
  </si>
  <si>
    <t>1022</t>
  </si>
  <si>
    <t>232256</t>
  </si>
  <si>
    <t>232254</t>
  </si>
  <si>
    <t>10221124京丹後市</t>
  </si>
  <si>
    <t>1023-1</t>
  </si>
  <si>
    <t>愛知県尾張旭市</t>
  </si>
  <si>
    <t>1023</t>
  </si>
  <si>
    <t>232264</t>
  </si>
  <si>
    <t>232262</t>
  </si>
  <si>
    <t>10231125南丹市</t>
  </si>
  <si>
    <t>1024-1</t>
  </si>
  <si>
    <t>愛知県高浜市</t>
  </si>
  <si>
    <t>1024</t>
  </si>
  <si>
    <t>232272</t>
  </si>
  <si>
    <t>232271</t>
  </si>
  <si>
    <t>10241126木津川市</t>
  </si>
  <si>
    <t>1025-1</t>
  </si>
  <si>
    <t>愛知県岩倉市</t>
  </si>
  <si>
    <t>1025</t>
  </si>
  <si>
    <t>232280</t>
  </si>
  <si>
    <t>232289</t>
  </si>
  <si>
    <t>10251127大山崎町</t>
  </si>
  <si>
    <t>1026-1</t>
  </si>
  <si>
    <t>愛知県豊明市</t>
  </si>
  <si>
    <t>1026</t>
  </si>
  <si>
    <t>232298</t>
  </si>
  <si>
    <t>232297</t>
  </si>
  <si>
    <t>10261128久御山町</t>
  </si>
  <si>
    <t>1027-1</t>
  </si>
  <si>
    <t>愛知県日進市</t>
  </si>
  <si>
    <t>1027</t>
  </si>
  <si>
    <t>232306</t>
  </si>
  <si>
    <t>232301</t>
  </si>
  <si>
    <t>10271129井手町</t>
  </si>
  <si>
    <t>1028-1</t>
  </si>
  <si>
    <t>愛知県愛西市</t>
  </si>
  <si>
    <t>1028</t>
  </si>
  <si>
    <t>232322</t>
  </si>
  <si>
    <t>232327</t>
  </si>
  <si>
    <t>10281130宇治田原町</t>
  </si>
  <si>
    <t>1029-1</t>
  </si>
  <si>
    <t>愛知県清須市</t>
  </si>
  <si>
    <t>1029</t>
  </si>
  <si>
    <t>232330</t>
  </si>
  <si>
    <t>232335</t>
  </si>
  <si>
    <t>10291131笠置町</t>
  </si>
  <si>
    <t>1030-1</t>
  </si>
  <si>
    <t>愛知県北名古屋市</t>
  </si>
  <si>
    <t>1030</t>
  </si>
  <si>
    <t>232348</t>
  </si>
  <si>
    <t>232343</t>
  </si>
  <si>
    <t>10301132和束町</t>
  </si>
  <si>
    <t>1031-1</t>
  </si>
  <si>
    <t>愛知県弥富市</t>
  </si>
  <si>
    <t>1031</t>
  </si>
  <si>
    <t>232355</t>
  </si>
  <si>
    <t>232351</t>
  </si>
  <si>
    <t>10311133精華町</t>
  </si>
  <si>
    <t>1032-1</t>
  </si>
  <si>
    <t>愛知県みよし市</t>
  </si>
  <si>
    <t>1032</t>
  </si>
  <si>
    <t>232363</t>
  </si>
  <si>
    <t>232360</t>
  </si>
  <si>
    <t>10321134南山城村</t>
  </si>
  <si>
    <t>1033-1</t>
  </si>
  <si>
    <t>愛知県あま市</t>
  </si>
  <si>
    <t>1033</t>
  </si>
  <si>
    <t>232371</t>
  </si>
  <si>
    <t>232378</t>
  </si>
  <si>
    <t>10331135京丹波町</t>
  </si>
  <si>
    <t>1034-1</t>
  </si>
  <si>
    <t>愛知県長久手市</t>
  </si>
  <si>
    <t>1034</t>
  </si>
  <si>
    <t>232389</t>
  </si>
  <si>
    <t>232386</t>
  </si>
  <si>
    <t>10341136伊根町</t>
  </si>
  <si>
    <t>1035-1</t>
  </si>
  <si>
    <t>愛知県東郷町</t>
  </si>
  <si>
    <t>1035</t>
  </si>
  <si>
    <t>233023</t>
  </si>
  <si>
    <t>233021</t>
  </si>
  <si>
    <t>10351137与謝野町</t>
  </si>
  <si>
    <t>1036-1</t>
  </si>
  <si>
    <t>愛知県豊山町</t>
  </si>
  <si>
    <t>1036</t>
  </si>
  <si>
    <t>233429</t>
  </si>
  <si>
    <t>233421</t>
  </si>
  <si>
    <t>10361138大阪市</t>
  </si>
  <si>
    <t>1037-1</t>
  </si>
  <si>
    <t>愛知県大口町</t>
  </si>
  <si>
    <t>1037</t>
  </si>
  <si>
    <t>233619</t>
  </si>
  <si>
    <t>233617</t>
  </si>
  <si>
    <t>10371139堺市</t>
  </si>
  <si>
    <t>1038-1</t>
  </si>
  <si>
    <t>愛知県扶桑町</t>
  </si>
  <si>
    <t>1038</t>
  </si>
  <si>
    <t>233627</t>
  </si>
  <si>
    <t>233625</t>
  </si>
  <si>
    <t>10381140岸和田市</t>
  </si>
  <si>
    <t>1039-1</t>
  </si>
  <si>
    <t>愛知県大治町</t>
  </si>
  <si>
    <t>1039</t>
  </si>
  <si>
    <t>234245</t>
  </si>
  <si>
    <t>234249</t>
  </si>
  <si>
    <t>10391141豊中市</t>
  </si>
  <si>
    <t>1040-1</t>
  </si>
  <si>
    <t>愛知県蟹江町</t>
  </si>
  <si>
    <t>1040</t>
  </si>
  <si>
    <t>234252</t>
  </si>
  <si>
    <t>234257</t>
  </si>
  <si>
    <t>10401142池田市</t>
  </si>
  <si>
    <t>1041-1</t>
  </si>
  <si>
    <t>愛知県飛島村</t>
  </si>
  <si>
    <t>1041</t>
  </si>
  <si>
    <t>234278</t>
  </si>
  <si>
    <t>234273</t>
  </si>
  <si>
    <t>10411143吹田市</t>
  </si>
  <si>
    <t>1042-1</t>
  </si>
  <si>
    <t>愛知県阿久比町</t>
  </si>
  <si>
    <t>1042</t>
  </si>
  <si>
    <t>234419</t>
  </si>
  <si>
    <t>10421144泉大津市</t>
  </si>
  <si>
    <t>1043-1</t>
  </si>
  <si>
    <t>愛知県南知多町</t>
  </si>
  <si>
    <t>1043</t>
  </si>
  <si>
    <t>234450</t>
  </si>
  <si>
    <t>234451</t>
  </si>
  <si>
    <t>10431145高槻市</t>
  </si>
  <si>
    <t>1044-1</t>
  </si>
  <si>
    <t>愛知県美浜町</t>
  </si>
  <si>
    <t>1044</t>
  </si>
  <si>
    <t>234468</t>
  </si>
  <si>
    <t>234460</t>
  </si>
  <si>
    <t>10441146貝塚市</t>
  </si>
  <si>
    <t>1045-1</t>
  </si>
  <si>
    <t>愛知県武豊町</t>
  </si>
  <si>
    <t>1045</t>
  </si>
  <si>
    <t>234476</t>
  </si>
  <si>
    <t>234478</t>
  </si>
  <si>
    <t>10451147枚方市</t>
  </si>
  <si>
    <t>1046-1</t>
  </si>
  <si>
    <t>愛知県幸田町</t>
  </si>
  <si>
    <t>1046</t>
  </si>
  <si>
    <t>235010</t>
  </si>
  <si>
    <t>235016</t>
  </si>
  <si>
    <t>10461148茨木市</t>
  </si>
  <si>
    <t>1047-1</t>
  </si>
  <si>
    <t>愛知県知多北部広域連合</t>
  </si>
  <si>
    <t>1047</t>
  </si>
  <si>
    <t>239178</t>
  </si>
  <si>
    <t>917</t>
  </si>
  <si>
    <t>10471149八尾市</t>
  </si>
  <si>
    <t>1047-2</t>
  </si>
  <si>
    <t>愛知県東海市</t>
  </si>
  <si>
    <t>1048</t>
  </si>
  <si>
    <t>232223</t>
  </si>
  <si>
    <t>232220</t>
  </si>
  <si>
    <t>10481150泉佐野市</t>
  </si>
  <si>
    <t>1047-3</t>
  </si>
  <si>
    <t>愛知県大府市</t>
  </si>
  <si>
    <t>1049</t>
  </si>
  <si>
    <t>232231</t>
  </si>
  <si>
    <t>232238</t>
  </si>
  <si>
    <t>10491151富田林市</t>
  </si>
  <si>
    <t>1047-4</t>
  </si>
  <si>
    <t>愛知県知多市</t>
  </si>
  <si>
    <t>1050</t>
  </si>
  <si>
    <t>232249</t>
  </si>
  <si>
    <t>232246</t>
  </si>
  <si>
    <t>10501152寝屋川市</t>
  </si>
  <si>
    <t>1047-5</t>
  </si>
  <si>
    <t>愛知県東浦町</t>
  </si>
  <si>
    <t>1051</t>
  </si>
  <si>
    <t>234427</t>
  </si>
  <si>
    <t>10511153河内長野市</t>
  </si>
  <si>
    <t>1052-1</t>
  </si>
  <si>
    <t>愛知県東三河広域連合</t>
  </si>
  <si>
    <t>1052</t>
  </si>
  <si>
    <t>239335</t>
  </si>
  <si>
    <t>933</t>
  </si>
  <si>
    <t>239330</t>
  </si>
  <si>
    <t>10521154松原市</t>
  </si>
  <si>
    <t>1052-2</t>
  </si>
  <si>
    <t>愛知県豊橋市</t>
  </si>
  <si>
    <t>1053</t>
  </si>
  <si>
    <t>232017</t>
  </si>
  <si>
    <t>10531155大東市</t>
  </si>
  <si>
    <t>1052-3</t>
  </si>
  <si>
    <t>愛知県豊川市</t>
  </si>
  <si>
    <t>1054</t>
  </si>
  <si>
    <t>232074</t>
  </si>
  <si>
    <t>232076</t>
  </si>
  <si>
    <t>10541156和泉市</t>
  </si>
  <si>
    <t>1052-4</t>
  </si>
  <si>
    <t>愛知県蒲郡市</t>
  </si>
  <si>
    <t>1055</t>
  </si>
  <si>
    <t>232140</t>
  </si>
  <si>
    <t>232149</t>
  </si>
  <si>
    <t>10551157箕面市</t>
  </si>
  <si>
    <t>1052-5</t>
  </si>
  <si>
    <t>愛知県新城市</t>
  </si>
  <si>
    <t>1056</t>
  </si>
  <si>
    <t>232215</t>
  </si>
  <si>
    <t>232211</t>
  </si>
  <si>
    <t>10561158柏原市</t>
  </si>
  <si>
    <t>1052-6</t>
  </si>
  <si>
    <t>愛知県田原市</t>
  </si>
  <si>
    <t>1057</t>
  </si>
  <si>
    <t>232314</t>
  </si>
  <si>
    <t>232319</t>
  </si>
  <si>
    <t>10571159羽曳野市</t>
  </si>
  <si>
    <t>1052-7</t>
  </si>
  <si>
    <t>愛知県設楽町</t>
  </si>
  <si>
    <t>1058</t>
  </si>
  <si>
    <t>235614</t>
  </si>
  <si>
    <t>235610</t>
  </si>
  <si>
    <t>10581160摂津市</t>
  </si>
  <si>
    <t>1052-8</t>
  </si>
  <si>
    <t>愛知県東栄町</t>
  </si>
  <si>
    <t>1059</t>
  </si>
  <si>
    <t>235622</t>
  </si>
  <si>
    <t>235628</t>
  </si>
  <si>
    <t>10591161高石市</t>
  </si>
  <si>
    <t>1052-9</t>
  </si>
  <si>
    <t>愛知県豊根村</t>
  </si>
  <si>
    <t>1060</t>
  </si>
  <si>
    <t>235630</t>
  </si>
  <si>
    <t>235636</t>
  </si>
  <si>
    <t>10601162藤井寺市</t>
  </si>
  <si>
    <t>1061-1</t>
  </si>
  <si>
    <t>三重県津市</t>
  </si>
  <si>
    <t>1061</t>
  </si>
  <si>
    <t>242016</t>
  </si>
  <si>
    <t>242012</t>
  </si>
  <si>
    <t>10611163東大阪市</t>
  </si>
  <si>
    <t>1062-1</t>
  </si>
  <si>
    <t>三重県四日市市</t>
  </si>
  <si>
    <t>1062</t>
  </si>
  <si>
    <t>242024</t>
  </si>
  <si>
    <t>242021</t>
  </si>
  <si>
    <t>10621164泉南市</t>
  </si>
  <si>
    <t>1063-1</t>
  </si>
  <si>
    <t>三重県伊勢市</t>
  </si>
  <si>
    <t>1063</t>
  </si>
  <si>
    <t>242032</t>
  </si>
  <si>
    <t>242039</t>
  </si>
  <si>
    <t>10631165交野市</t>
  </si>
  <si>
    <t>1064-1</t>
  </si>
  <si>
    <t>三重県松阪市</t>
  </si>
  <si>
    <t>1064</t>
  </si>
  <si>
    <t>242040</t>
  </si>
  <si>
    <t>242047</t>
  </si>
  <si>
    <t>10641166大阪狭山市</t>
  </si>
  <si>
    <t>1065-1</t>
  </si>
  <si>
    <t>三重県桑名市</t>
  </si>
  <si>
    <t>1065</t>
  </si>
  <si>
    <t>242057</t>
  </si>
  <si>
    <t>242055</t>
  </si>
  <si>
    <t>10651167阪南市</t>
  </si>
  <si>
    <t>1066-1</t>
  </si>
  <si>
    <t>三重県名張市</t>
  </si>
  <si>
    <t>1066</t>
  </si>
  <si>
    <t>242081</t>
  </si>
  <si>
    <t>242080</t>
  </si>
  <si>
    <t>10661168島本町</t>
  </si>
  <si>
    <t>1067-1</t>
  </si>
  <si>
    <t>三重県鳥羽市</t>
  </si>
  <si>
    <t>1067</t>
  </si>
  <si>
    <t>242115</t>
  </si>
  <si>
    <t>242110</t>
  </si>
  <si>
    <t>10671169豊能町</t>
  </si>
  <si>
    <t>1068-1</t>
  </si>
  <si>
    <t>三重県いなべ市</t>
  </si>
  <si>
    <t>1068</t>
  </si>
  <si>
    <t>242149</t>
  </si>
  <si>
    <t>242144</t>
  </si>
  <si>
    <t>10681170能勢町</t>
  </si>
  <si>
    <t>1069-1</t>
  </si>
  <si>
    <t>三重県志摩市</t>
  </si>
  <si>
    <t>1069</t>
  </si>
  <si>
    <t>242156</t>
  </si>
  <si>
    <t>242152</t>
  </si>
  <si>
    <t>10691171忠岡町</t>
  </si>
  <si>
    <t>1070-1</t>
  </si>
  <si>
    <t>三重県伊賀市</t>
  </si>
  <si>
    <t>1070</t>
  </si>
  <si>
    <t>242164</t>
  </si>
  <si>
    <t>242161</t>
  </si>
  <si>
    <t>10701172熊取町</t>
  </si>
  <si>
    <t>1071-1</t>
  </si>
  <si>
    <t>三重県木曽岬町</t>
  </si>
  <si>
    <t>1071</t>
  </si>
  <si>
    <t>243030</t>
  </si>
  <si>
    <t>243035</t>
  </si>
  <si>
    <t>10711173田尻町</t>
  </si>
  <si>
    <t>1072-1</t>
  </si>
  <si>
    <t>三重県東員町</t>
  </si>
  <si>
    <t>1072</t>
  </si>
  <si>
    <t>243246</t>
  </si>
  <si>
    <t>243248</t>
  </si>
  <si>
    <t>10721174岬町</t>
  </si>
  <si>
    <t>1073-1</t>
  </si>
  <si>
    <t>三重県菰野町</t>
  </si>
  <si>
    <t>1073</t>
  </si>
  <si>
    <t>243410</t>
  </si>
  <si>
    <t>243418</t>
  </si>
  <si>
    <t>10731175太子町</t>
  </si>
  <si>
    <t>1074-1</t>
  </si>
  <si>
    <t>三重県朝日町</t>
  </si>
  <si>
    <t>1074</t>
  </si>
  <si>
    <t>243436</t>
  </si>
  <si>
    <t>243434</t>
  </si>
  <si>
    <t>10741176河南町</t>
  </si>
  <si>
    <t>1075-1</t>
  </si>
  <si>
    <t>三重県川越町</t>
  </si>
  <si>
    <t>1075</t>
  </si>
  <si>
    <t>243444</t>
  </si>
  <si>
    <t>243442</t>
  </si>
  <si>
    <t>10751177千早赤阪村</t>
  </si>
  <si>
    <t>1076-1</t>
  </si>
  <si>
    <t>三重県多気町</t>
  </si>
  <si>
    <t>1076</t>
  </si>
  <si>
    <t>244418</t>
  </si>
  <si>
    <t>244414</t>
  </si>
  <si>
    <t>10761178守口市</t>
  </si>
  <si>
    <t>1077-1</t>
  </si>
  <si>
    <t>三重県明和町</t>
  </si>
  <si>
    <t>1077</t>
  </si>
  <si>
    <t>244426</t>
  </si>
  <si>
    <t>244422</t>
  </si>
  <si>
    <t>10771179門真市</t>
  </si>
  <si>
    <t>1078-1</t>
  </si>
  <si>
    <t>三重県大台町</t>
  </si>
  <si>
    <t>1078</t>
  </si>
  <si>
    <t>244434</t>
  </si>
  <si>
    <t>244431</t>
  </si>
  <si>
    <t>10781180四條畷市</t>
  </si>
  <si>
    <t>1079-1</t>
  </si>
  <si>
    <t>三重県玉城町</t>
  </si>
  <si>
    <t>1079</t>
  </si>
  <si>
    <t>244616</t>
  </si>
  <si>
    <t>244619</t>
  </si>
  <si>
    <t>10791181神戸市</t>
  </si>
  <si>
    <t>1080-1</t>
  </si>
  <si>
    <t>三重県度会町</t>
  </si>
  <si>
    <t>1080</t>
  </si>
  <si>
    <t>244707</t>
  </si>
  <si>
    <t>244708</t>
  </si>
  <si>
    <t>10801182姫路市</t>
  </si>
  <si>
    <t>1081-1</t>
  </si>
  <si>
    <t>三重県大紀町</t>
  </si>
  <si>
    <t>1081</t>
  </si>
  <si>
    <t>244715</t>
  </si>
  <si>
    <t>244716</t>
  </si>
  <si>
    <t>10811183尼崎市</t>
  </si>
  <si>
    <t>1082-1</t>
  </si>
  <si>
    <t>三重県南伊勢町</t>
  </si>
  <si>
    <t>1082</t>
  </si>
  <si>
    <t>244723</t>
  </si>
  <si>
    <t>472</t>
  </si>
  <si>
    <t>244724</t>
  </si>
  <si>
    <t>10821184明石市</t>
  </si>
  <si>
    <t>1083-1</t>
  </si>
  <si>
    <t>三重県紀北広域連合</t>
  </si>
  <si>
    <t>1083</t>
  </si>
  <si>
    <t>249219</t>
  </si>
  <si>
    <t>921</t>
  </si>
  <si>
    <t>249211</t>
  </si>
  <si>
    <t>10831185西宮市</t>
  </si>
  <si>
    <t>1083-2</t>
  </si>
  <si>
    <t>三重県尾鷲市</t>
  </si>
  <si>
    <t>1084</t>
  </si>
  <si>
    <t>242099</t>
  </si>
  <si>
    <t>242098</t>
  </si>
  <si>
    <t>10841186洲本市</t>
  </si>
  <si>
    <t>1083-3</t>
  </si>
  <si>
    <t>三重県紀北町</t>
  </si>
  <si>
    <t>1085</t>
  </si>
  <si>
    <t>245431</t>
  </si>
  <si>
    <t>245437</t>
  </si>
  <si>
    <t>10851187芦屋市</t>
  </si>
  <si>
    <t>1086-1</t>
  </si>
  <si>
    <t>三重県紀南介護保険広域連合</t>
  </si>
  <si>
    <t>1086</t>
  </si>
  <si>
    <t>249227</t>
  </si>
  <si>
    <t>922</t>
  </si>
  <si>
    <t>249220</t>
  </si>
  <si>
    <t>10861188伊丹市</t>
  </si>
  <si>
    <t>1086-2</t>
  </si>
  <si>
    <t>三重県熊野市</t>
  </si>
  <si>
    <t>1087</t>
  </si>
  <si>
    <t>242123</t>
  </si>
  <si>
    <t>242128</t>
  </si>
  <si>
    <t>10871189相生市</t>
  </si>
  <si>
    <t>1086-3</t>
  </si>
  <si>
    <t>三重県御浜町</t>
  </si>
  <si>
    <t>1088</t>
  </si>
  <si>
    <t>245613</t>
  </si>
  <si>
    <t>245615</t>
  </si>
  <si>
    <t>10881190豊岡市</t>
  </si>
  <si>
    <t>1086-4</t>
  </si>
  <si>
    <t>三重県紀宝町</t>
  </si>
  <si>
    <t>1089</t>
  </si>
  <si>
    <t>245621</t>
  </si>
  <si>
    <t>245623</t>
  </si>
  <si>
    <t>10891191加古川市</t>
  </si>
  <si>
    <t>1090-1</t>
  </si>
  <si>
    <t>三重県鈴鹿亀山地区広域連合</t>
  </si>
  <si>
    <t>1090</t>
  </si>
  <si>
    <t>249276</t>
  </si>
  <si>
    <t>249271</t>
  </si>
  <si>
    <t>10901192赤穂市</t>
  </si>
  <si>
    <t>1090-2</t>
  </si>
  <si>
    <t>三重県鈴鹿市</t>
  </si>
  <si>
    <t>1091</t>
  </si>
  <si>
    <t>242073</t>
  </si>
  <si>
    <t>242071</t>
  </si>
  <si>
    <t>10911193西脇市</t>
  </si>
  <si>
    <t>1090-3</t>
  </si>
  <si>
    <t>三重県亀山市</t>
  </si>
  <si>
    <t>1092</t>
  </si>
  <si>
    <t>242107</t>
  </si>
  <si>
    <t>242101</t>
  </si>
  <si>
    <t>10921194宝塚市</t>
  </si>
  <si>
    <t>1093-1</t>
  </si>
  <si>
    <t>滋賀県大津市</t>
  </si>
  <si>
    <t>1093</t>
  </si>
  <si>
    <t>252015</t>
  </si>
  <si>
    <t>252018</t>
  </si>
  <si>
    <t>10931195三木市</t>
  </si>
  <si>
    <t>1094-1</t>
  </si>
  <si>
    <t>滋賀県彦根市</t>
  </si>
  <si>
    <t>1094</t>
  </si>
  <si>
    <t>252023</t>
  </si>
  <si>
    <t>252026</t>
  </si>
  <si>
    <t>10941196高砂市</t>
  </si>
  <si>
    <t>1095-1</t>
  </si>
  <si>
    <t>滋賀県長浜市</t>
  </si>
  <si>
    <t>1095</t>
  </si>
  <si>
    <t>252031</t>
  </si>
  <si>
    <t>252034</t>
  </si>
  <si>
    <t>10951197川西市</t>
  </si>
  <si>
    <t>1096-1</t>
  </si>
  <si>
    <t>滋賀県近江八幡市</t>
  </si>
  <si>
    <t>1096</t>
  </si>
  <si>
    <t>252049</t>
  </si>
  <si>
    <t>252042</t>
  </si>
  <si>
    <t>10961198小野市</t>
  </si>
  <si>
    <t>1097-1</t>
  </si>
  <si>
    <t>滋賀県草津市</t>
  </si>
  <si>
    <t>1097</t>
  </si>
  <si>
    <t>252064</t>
  </si>
  <si>
    <t>252069</t>
  </si>
  <si>
    <t>10971199三田市</t>
  </si>
  <si>
    <t>1098-1</t>
  </si>
  <si>
    <t>滋賀県守山市</t>
  </si>
  <si>
    <t>1098</t>
  </si>
  <si>
    <t>252072</t>
  </si>
  <si>
    <t>252077</t>
  </si>
  <si>
    <t>10981200加西市</t>
  </si>
  <si>
    <t>1099-1</t>
  </si>
  <si>
    <t>滋賀県甲賀市</t>
  </si>
  <si>
    <t>1099</t>
  </si>
  <si>
    <t>252098</t>
  </si>
  <si>
    <t>252093</t>
  </si>
  <si>
    <t>10991201丹波篠山市</t>
  </si>
  <si>
    <t>1100-1</t>
  </si>
  <si>
    <t>滋賀県野洲市</t>
  </si>
  <si>
    <t>1100</t>
  </si>
  <si>
    <t>252106</t>
  </si>
  <si>
    <t>252107</t>
  </si>
  <si>
    <t>11001202養父市</t>
  </si>
  <si>
    <t>1101-1</t>
  </si>
  <si>
    <t>滋賀県湖南市</t>
  </si>
  <si>
    <t>1101</t>
  </si>
  <si>
    <t>252114</t>
  </si>
  <si>
    <t>252115</t>
  </si>
  <si>
    <t>11011203丹波市</t>
  </si>
  <si>
    <t>1102-1</t>
  </si>
  <si>
    <t>滋賀県高島市</t>
  </si>
  <si>
    <t>1102</t>
  </si>
  <si>
    <t>252122</t>
  </si>
  <si>
    <t>252123</t>
  </si>
  <si>
    <t>11021204南あわじ市</t>
  </si>
  <si>
    <t>1103-1</t>
  </si>
  <si>
    <t>滋賀県東近江市</t>
  </si>
  <si>
    <t>1103</t>
  </si>
  <si>
    <t>252130</t>
  </si>
  <si>
    <t>252131</t>
  </si>
  <si>
    <t>11031205朝来市</t>
  </si>
  <si>
    <t>1104-1</t>
  </si>
  <si>
    <t>滋賀県米原市</t>
  </si>
  <si>
    <t>1104</t>
  </si>
  <si>
    <t>252148</t>
  </si>
  <si>
    <t>252140</t>
  </si>
  <si>
    <t>11041206淡路市</t>
  </si>
  <si>
    <t>1105-1</t>
  </si>
  <si>
    <t>滋賀県栗東市</t>
  </si>
  <si>
    <t>1105</t>
  </si>
  <si>
    <t>253211</t>
  </si>
  <si>
    <t>252085</t>
  </si>
  <si>
    <t>11051207宍粟市</t>
  </si>
  <si>
    <t>1106-1</t>
  </si>
  <si>
    <t>滋賀県日野町</t>
  </si>
  <si>
    <t>1106</t>
  </si>
  <si>
    <t>253831</t>
  </si>
  <si>
    <t>253839</t>
  </si>
  <si>
    <t>11061208加東市</t>
  </si>
  <si>
    <t>1107-1</t>
  </si>
  <si>
    <t>滋賀県竜王町</t>
  </si>
  <si>
    <t>1107</t>
  </si>
  <si>
    <t>253849</t>
  </si>
  <si>
    <t>253847</t>
  </si>
  <si>
    <t>11071209たつの市</t>
  </si>
  <si>
    <t>1108-1</t>
  </si>
  <si>
    <t>滋賀県愛荘町</t>
  </si>
  <si>
    <t>1108</t>
  </si>
  <si>
    <t>254250</t>
  </si>
  <si>
    <t>254258</t>
  </si>
  <si>
    <t>11081210猪名川町</t>
  </si>
  <si>
    <t>1109-1</t>
  </si>
  <si>
    <t>滋賀県豊郷町</t>
  </si>
  <si>
    <t>1109</t>
  </si>
  <si>
    <t>254417</t>
  </si>
  <si>
    <t>254410</t>
  </si>
  <si>
    <t>11091211多可町</t>
  </si>
  <si>
    <t>1110-1</t>
  </si>
  <si>
    <t>滋賀県甲良町</t>
  </si>
  <si>
    <t>1110</t>
  </si>
  <si>
    <t>254425</t>
  </si>
  <si>
    <t>254428</t>
  </si>
  <si>
    <t>11101212稲美町</t>
  </si>
  <si>
    <t>1111-1</t>
  </si>
  <si>
    <t>滋賀県多賀町</t>
  </si>
  <si>
    <t>1111</t>
  </si>
  <si>
    <t>254433</t>
  </si>
  <si>
    <t>254436</t>
  </si>
  <si>
    <t>11111213播磨町</t>
  </si>
  <si>
    <t>1112-1</t>
  </si>
  <si>
    <t>京都府京都市</t>
  </si>
  <si>
    <t>1112</t>
  </si>
  <si>
    <t>261008</t>
  </si>
  <si>
    <t>261009</t>
  </si>
  <si>
    <t>11121214市川町</t>
  </si>
  <si>
    <t>1113-1</t>
  </si>
  <si>
    <t>京都府福知山市</t>
  </si>
  <si>
    <t>1113</t>
  </si>
  <si>
    <t>262014</t>
  </si>
  <si>
    <t>262013</t>
  </si>
  <si>
    <t>11131215福崎町</t>
  </si>
  <si>
    <t>1114-1</t>
  </si>
  <si>
    <t>京都府舞鶴市</t>
  </si>
  <si>
    <t>1114</t>
  </si>
  <si>
    <t>262022</t>
  </si>
  <si>
    <t>262021</t>
  </si>
  <si>
    <t>11141216神河町</t>
  </si>
  <si>
    <t>1115-1</t>
  </si>
  <si>
    <t>京都府綾部市</t>
  </si>
  <si>
    <t>1115</t>
  </si>
  <si>
    <t>262030</t>
  </si>
  <si>
    <t>11151217太子町</t>
  </si>
  <si>
    <t>1116-1</t>
  </si>
  <si>
    <t>京都府宇治市</t>
  </si>
  <si>
    <t>1116</t>
  </si>
  <si>
    <t>262048</t>
  </si>
  <si>
    <t>11161218上郡町</t>
  </si>
  <si>
    <t>1117-1</t>
  </si>
  <si>
    <t>京都府宮津市</t>
  </si>
  <si>
    <t>1117</t>
  </si>
  <si>
    <t>262055</t>
  </si>
  <si>
    <t>262056</t>
  </si>
  <si>
    <t>11171219佐用町</t>
  </si>
  <si>
    <t>1118-1</t>
  </si>
  <si>
    <t>京都府亀岡市</t>
  </si>
  <si>
    <t>1118</t>
  </si>
  <si>
    <t>262063</t>
  </si>
  <si>
    <t>262064</t>
  </si>
  <si>
    <t>11181220香美町</t>
  </si>
  <si>
    <t>1119-1</t>
  </si>
  <si>
    <t>京都府城陽市</t>
  </si>
  <si>
    <t>1119</t>
  </si>
  <si>
    <t>262071</t>
  </si>
  <si>
    <t>262072</t>
  </si>
  <si>
    <t>11191221新温泉町</t>
  </si>
  <si>
    <t>1120-1</t>
  </si>
  <si>
    <t>京都府向日市</t>
  </si>
  <si>
    <t>1120</t>
  </si>
  <si>
    <t>262089</t>
  </si>
  <si>
    <t>262081</t>
  </si>
  <si>
    <t>11201222奈良市</t>
  </si>
  <si>
    <t>1121-1</t>
  </si>
  <si>
    <t>京都府長岡京市</t>
  </si>
  <si>
    <t>1121</t>
  </si>
  <si>
    <t>262097</t>
  </si>
  <si>
    <t>262099</t>
  </si>
  <si>
    <t>11211223大和高田市</t>
  </si>
  <si>
    <t>1122-1</t>
  </si>
  <si>
    <t>京都府八幡市</t>
  </si>
  <si>
    <t>1122</t>
  </si>
  <si>
    <t>262105</t>
  </si>
  <si>
    <t>262102</t>
  </si>
  <si>
    <t>11221224大和郡山市</t>
  </si>
  <si>
    <t>1123-1</t>
  </si>
  <si>
    <t>京都府京田辺市</t>
  </si>
  <si>
    <t>1123</t>
  </si>
  <si>
    <t>262113</t>
  </si>
  <si>
    <t>262111</t>
  </si>
  <si>
    <t>11231225天理市</t>
  </si>
  <si>
    <t>1124-1</t>
  </si>
  <si>
    <t>京都府京丹後市</t>
  </si>
  <si>
    <t>1124</t>
  </si>
  <si>
    <t>262121</t>
  </si>
  <si>
    <t>262129</t>
  </si>
  <si>
    <t>11241226橿原市</t>
  </si>
  <si>
    <t>1125-1</t>
  </si>
  <si>
    <t>京都府南丹市</t>
  </si>
  <si>
    <t>1125</t>
  </si>
  <si>
    <t>262139</t>
  </si>
  <si>
    <t>262137</t>
  </si>
  <si>
    <t>11251227桜井市</t>
  </si>
  <si>
    <t>1126-1</t>
  </si>
  <si>
    <t>京都府木津川市</t>
  </si>
  <si>
    <t>1126</t>
  </si>
  <si>
    <t>262147</t>
  </si>
  <si>
    <t>262145</t>
  </si>
  <si>
    <t>11261228五條市</t>
  </si>
  <si>
    <t>1127-1</t>
  </si>
  <si>
    <t>京都府大山崎町</t>
  </si>
  <si>
    <t>1127</t>
  </si>
  <si>
    <t>263038</t>
  </si>
  <si>
    <t>263036</t>
  </si>
  <si>
    <t>11271229御所市</t>
  </si>
  <si>
    <t>1128-1</t>
  </si>
  <si>
    <t>京都府久御山町</t>
  </si>
  <si>
    <t>1128</t>
  </si>
  <si>
    <t>263228</t>
  </si>
  <si>
    <t>263222</t>
  </si>
  <si>
    <t>11281230生駒市</t>
  </si>
  <si>
    <t>1129-1</t>
  </si>
  <si>
    <t>京都府井手町</t>
  </si>
  <si>
    <t>1129</t>
  </si>
  <si>
    <t>263434</t>
  </si>
  <si>
    <t>263435</t>
  </si>
  <si>
    <t>11291231香芝市</t>
  </si>
  <si>
    <t>1130-1</t>
  </si>
  <si>
    <t>京都府宇治田原町</t>
  </si>
  <si>
    <t>1130</t>
  </si>
  <si>
    <t>263442</t>
  </si>
  <si>
    <t>263443</t>
  </si>
  <si>
    <t>11301232葛城市</t>
  </si>
  <si>
    <t>1131-1</t>
  </si>
  <si>
    <t>京都府笠置町</t>
  </si>
  <si>
    <t>1131</t>
  </si>
  <si>
    <t>263640</t>
  </si>
  <si>
    <t>263648</t>
  </si>
  <si>
    <t>11311233宇陀市</t>
  </si>
  <si>
    <t>1132-1</t>
  </si>
  <si>
    <t>京都府和束町</t>
  </si>
  <si>
    <t>1132</t>
  </si>
  <si>
    <t>263657</t>
  </si>
  <si>
    <t>263656</t>
  </si>
  <si>
    <t>11321234山添村</t>
  </si>
  <si>
    <t>1133-1</t>
  </si>
  <si>
    <t>京都府精華町</t>
  </si>
  <si>
    <t>1133</t>
  </si>
  <si>
    <t>263665</t>
  </si>
  <si>
    <t>263664</t>
  </si>
  <si>
    <t>11331235平群町</t>
  </si>
  <si>
    <t>1134-1</t>
  </si>
  <si>
    <t>京都府南山城村</t>
  </si>
  <si>
    <t>1134</t>
  </si>
  <si>
    <t>263673</t>
  </si>
  <si>
    <t>263672</t>
  </si>
  <si>
    <t>11341236三郷町</t>
  </si>
  <si>
    <t>1135-1</t>
  </si>
  <si>
    <t>京都府京丹波町</t>
  </si>
  <si>
    <t>1135</t>
  </si>
  <si>
    <t>264077</t>
  </si>
  <si>
    <t>264075</t>
  </si>
  <si>
    <t>11351237斑鳩町</t>
  </si>
  <si>
    <t>1136-1</t>
  </si>
  <si>
    <t>京都府伊根町</t>
  </si>
  <si>
    <t>1136</t>
  </si>
  <si>
    <t>264630</t>
  </si>
  <si>
    <t>264636</t>
  </si>
  <si>
    <t>11361238安堵町</t>
  </si>
  <si>
    <t>1137-1</t>
  </si>
  <si>
    <t>京都府与謝野町</t>
  </si>
  <si>
    <t>1137</t>
  </si>
  <si>
    <t>264655</t>
  </si>
  <si>
    <t>264652</t>
  </si>
  <si>
    <t>11371239川西町</t>
  </si>
  <si>
    <t>1138-1</t>
  </si>
  <si>
    <t>大阪府大阪市</t>
  </si>
  <si>
    <t>1138</t>
  </si>
  <si>
    <t>271007</t>
  </si>
  <si>
    <t>271004</t>
  </si>
  <si>
    <t>11381240三宅町</t>
  </si>
  <si>
    <t>1139-1</t>
  </si>
  <si>
    <t>大阪府堺市</t>
  </si>
  <si>
    <t>1139</t>
  </si>
  <si>
    <t>271403</t>
  </si>
  <si>
    <t>140</t>
  </si>
  <si>
    <t>11391241田原本町</t>
  </si>
  <si>
    <t>1140-1</t>
  </si>
  <si>
    <t>大阪府岸和田市</t>
  </si>
  <si>
    <t>1140</t>
  </si>
  <si>
    <t>272021</t>
  </si>
  <si>
    <t>272027</t>
  </si>
  <si>
    <t>11401242曽爾村</t>
  </si>
  <si>
    <t>1141-1</t>
  </si>
  <si>
    <t>大阪府豊中市</t>
  </si>
  <si>
    <t>1141</t>
  </si>
  <si>
    <t>272039</t>
  </si>
  <si>
    <t>272035</t>
  </si>
  <si>
    <t>11411243御杖村</t>
  </si>
  <si>
    <t>1142-1</t>
  </si>
  <si>
    <t>大阪府池田市</t>
  </si>
  <si>
    <t>1142</t>
  </si>
  <si>
    <t>272047</t>
  </si>
  <si>
    <t>272043</t>
  </si>
  <si>
    <t>11421244高取町</t>
  </si>
  <si>
    <t>1143-1</t>
  </si>
  <si>
    <t>大阪府吹田市</t>
  </si>
  <si>
    <t>1143</t>
  </si>
  <si>
    <t>272054</t>
  </si>
  <si>
    <t>272051</t>
  </si>
  <si>
    <t>11431245明日香村</t>
  </si>
  <si>
    <t>1144-1</t>
  </si>
  <si>
    <t>大阪府泉大津市</t>
  </si>
  <si>
    <t>1144</t>
  </si>
  <si>
    <t>272062</t>
  </si>
  <si>
    <t>272060</t>
  </si>
  <si>
    <t>11441246上牧町</t>
  </si>
  <si>
    <t>1145-1</t>
  </si>
  <si>
    <t>大阪府高槻市</t>
  </si>
  <si>
    <t>1145</t>
  </si>
  <si>
    <t>272070</t>
  </si>
  <si>
    <t>272078</t>
  </si>
  <si>
    <t>11451247王寺町</t>
  </si>
  <si>
    <t>1146-1</t>
  </si>
  <si>
    <t>大阪府貝塚市</t>
  </si>
  <si>
    <t>1146</t>
  </si>
  <si>
    <t>272088</t>
  </si>
  <si>
    <t>272086</t>
  </si>
  <si>
    <t>11461248広陵町</t>
  </si>
  <si>
    <t>1147-1</t>
  </si>
  <si>
    <t>大阪府枚方市</t>
  </si>
  <si>
    <t>1147</t>
  </si>
  <si>
    <t>272104</t>
  </si>
  <si>
    <t>272108</t>
  </si>
  <si>
    <t>11471249河合町</t>
  </si>
  <si>
    <t>1148-1</t>
  </si>
  <si>
    <t>大阪府茨木市</t>
  </si>
  <si>
    <t>1148</t>
  </si>
  <si>
    <t>272112</t>
  </si>
  <si>
    <t>272116</t>
  </si>
  <si>
    <t>11481250吉野町</t>
  </si>
  <si>
    <t>1149-1</t>
  </si>
  <si>
    <t>大阪府八尾市</t>
  </si>
  <si>
    <t>1149</t>
  </si>
  <si>
    <t>272120</t>
  </si>
  <si>
    <t>272124</t>
  </si>
  <si>
    <t>11491251大淀町</t>
  </si>
  <si>
    <t>1150-1</t>
  </si>
  <si>
    <t>大阪府泉佐野市</t>
  </si>
  <si>
    <t>1150</t>
  </si>
  <si>
    <t>272138</t>
  </si>
  <si>
    <t>272132</t>
  </si>
  <si>
    <t>11501252下市町</t>
  </si>
  <si>
    <t>1151-1</t>
  </si>
  <si>
    <t>大阪府富田林市</t>
  </si>
  <si>
    <t>1151</t>
  </si>
  <si>
    <t>272146</t>
  </si>
  <si>
    <t>272141</t>
  </si>
  <si>
    <t>11511253黒滝村</t>
  </si>
  <si>
    <t>1152-1</t>
  </si>
  <si>
    <t>大阪府寝屋川市</t>
  </si>
  <si>
    <t>1152</t>
  </si>
  <si>
    <t>272153</t>
  </si>
  <si>
    <t>272159</t>
  </si>
  <si>
    <t>11521254天川村</t>
  </si>
  <si>
    <t>1153-1</t>
  </si>
  <si>
    <t>大阪府河内長野市</t>
  </si>
  <si>
    <t>1153</t>
  </si>
  <si>
    <t>272161</t>
  </si>
  <si>
    <t>272167</t>
  </si>
  <si>
    <t>11531255野迫川村</t>
  </si>
  <si>
    <t>1154-1</t>
  </si>
  <si>
    <t>大阪府松原市</t>
  </si>
  <si>
    <t>1154</t>
  </si>
  <si>
    <t>272179</t>
  </si>
  <si>
    <t>272175</t>
  </si>
  <si>
    <t>11541256十津川村</t>
  </si>
  <si>
    <t>1155-1</t>
  </si>
  <si>
    <t>大阪府大東市</t>
  </si>
  <si>
    <t>1155</t>
  </si>
  <si>
    <t>272187</t>
  </si>
  <si>
    <t>272183</t>
  </si>
  <si>
    <t>11551257下北山村</t>
  </si>
  <si>
    <t>1156-1</t>
  </si>
  <si>
    <t>大阪府和泉市</t>
  </si>
  <si>
    <t>1156</t>
  </si>
  <si>
    <t>272195</t>
  </si>
  <si>
    <t>272191</t>
  </si>
  <si>
    <t>11561258上北山村</t>
  </si>
  <si>
    <t>1157-1</t>
  </si>
  <si>
    <t>大阪府箕面市</t>
  </si>
  <si>
    <t>1157</t>
  </si>
  <si>
    <t>272203</t>
  </si>
  <si>
    <t>272205</t>
  </si>
  <si>
    <t>11571259川上村</t>
  </si>
  <si>
    <t>1158-1</t>
  </si>
  <si>
    <t>大阪府柏原市</t>
  </si>
  <si>
    <t>1158</t>
  </si>
  <si>
    <t>272211</t>
  </si>
  <si>
    <t>272213</t>
  </si>
  <si>
    <t>11581260東吉野村</t>
  </si>
  <si>
    <t>1159-1</t>
  </si>
  <si>
    <t>大阪府羽曳野市</t>
  </si>
  <si>
    <t>1159</t>
  </si>
  <si>
    <t>272229</t>
  </si>
  <si>
    <t>272221</t>
  </si>
  <si>
    <t>11591261和歌山市</t>
  </si>
  <si>
    <t>1160-1</t>
  </si>
  <si>
    <t>大阪府摂津市</t>
  </si>
  <si>
    <t>1160</t>
  </si>
  <si>
    <t>272245</t>
  </si>
  <si>
    <t>272248</t>
  </si>
  <si>
    <t>11601262海南市</t>
  </si>
  <si>
    <t>1161-1</t>
  </si>
  <si>
    <t>大阪府高石市</t>
  </si>
  <si>
    <t>1161</t>
  </si>
  <si>
    <t>272252</t>
  </si>
  <si>
    <t>272256</t>
  </si>
  <si>
    <t>11611263橋本市</t>
  </si>
  <si>
    <t>1162-1</t>
  </si>
  <si>
    <t>大阪府藤井寺市</t>
  </si>
  <si>
    <t>1162</t>
  </si>
  <si>
    <t>272260</t>
  </si>
  <si>
    <t>272264</t>
  </si>
  <si>
    <t>11621264有田市</t>
  </si>
  <si>
    <t>1163-1</t>
  </si>
  <si>
    <t>大阪府東大阪市</t>
  </si>
  <si>
    <t>1163</t>
  </si>
  <si>
    <t>272278</t>
  </si>
  <si>
    <t>272272</t>
  </si>
  <si>
    <t>11631265御坊市</t>
  </si>
  <si>
    <t>1164-1</t>
  </si>
  <si>
    <t>大阪府泉南市</t>
  </si>
  <si>
    <t>1164</t>
  </si>
  <si>
    <t>272286</t>
  </si>
  <si>
    <t>272281</t>
  </si>
  <si>
    <t>11641266田辺市</t>
  </si>
  <si>
    <t>1165-1</t>
  </si>
  <si>
    <t>大阪府交野市</t>
  </si>
  <si>
    <t>1165</t>
  </si>
  <si>
    <t>272302</t>
  </si>
  <si>
    <t>11651267新宮市</t>
  </si>
  <si>
    <t>1166-1</t>
  </si>
  <si>
    <t>大阪府大阪狭山市</t>
  </si>
  <si>
    <t>1166</t>
  </si>
  <si>
    <t>272310</t>
  </si>
  <si>
    <t>272311</t>
  </si>
  <si>
    <t>11661268紀の川市</t>
  </si>
  <si>
    <t>1167-1</t>
  </si>
  <si>
    <t>大阪府阪南市</t>
  </si>
  <si>
    <t>1167</t>
  </si>
  <si>
    <t>272328</t>
  </si>
  <si>
    <t>272329</t>
  </si>
  <si>
    <t>11671269岩出市</t>
  </si>
  <si>
    <t>1168-1</t>
  </si>
  <si>
    <t>大阪府島本町</t>
  </si>
  <si>
    <t>1168</t>
  </si>
  <si>
    <t>273011</t>
  </si>
  <si>
    <t>273015</t>
  </si>
  <si>
    <t>11681270紀美野町</t>
  </si>
  <si>
    <t>1169-1</t>
  </si>
  <si>
    <t>大阪府豊能町</t>
  </si>
  <si>
    <t>1169</t>
  </si>
  <si>
    <t>273219</t>
  </si>
  <si>
    <t>273210</t>
  </si>
  <si>
    <t>11691271かつらぎ町</t>
  </si>
  <si>
    <t>1170-1</t>
  </si>
  <si>
    <t>大阪府能勢町</t>
  </si>
  <si>
    <t>1170</t>
  </si>
  <si>
    <t>273227</t>
  </si>
  <si>
    <t>273228</t>
  </si>
  <si>
    <t>11701272九度山町</t>
  </si>
  <si>
    <t>1171-1</t>
  </si>
  <si>
    <t>大阪府忠岡町</t>
  </si>
  <si>
    <t>1171</t>
  </si>
  <si>
    <t>273417</t>
  </si>
  <si>
    <t>273414</t>
  </si>
  <si>
    <t>11711273高野町</t>
  </si>
  <si>
    <t>1172-1</t>
  </si>
  <si>
    <t>大阪府熊取町</t>
  </si>
  <si>
    <t>1172</t>
  </si>
  <si>
    <t>273615</t>
  </si>
  <si>
    <t>273619</t>
  </si>
  <si>
    <t>11721274湯浅町</t>
  </si>
  <si>
    <t>1173-1</t>
  </si>
  <si>
    <t>大阪府田尻町</t>
  </si>
  <si>
    <t>1173</t>
  </si>
  <si>
    <t>273623</t>
  </si>
  <si>
    <t>273627</t>
  </si>
  <si>
    <t>11731275広川町</t>
  </si>
  <si>
    <t>1174-1</t>
  </si>
  <si>
    <t>大阪府岬町</t>
  </si>
  <si>
    <t>1174</t>
  </si>
  <si>
    <t>273664</t>
  </si>
  <si>
    <t>273660</t>
  </si>
  <si>
    <t>11741276有田川町</t>
  </si>
  <si>
    <t>1175-1</t>
  </si>
  <si>
    <t>大阪府太子町</t>
  </si>
  <si>
    <t>1175</t>
  </si>
  <si>
    <t>273813</t>
  </si>
  <si>
    <t>11751277美浜町</t>
  </si>
  <si>
    <t>1176-1</t>
  </si>
  <si>
    <t>大阪府河南町</t>
  </si>
  <si>
    <t>1176</t>
  </si>
  <si>
    <t>273821</t>
  </si>
  <si>
    <t>11761278日高町</t>
  </si>
  <si>
    <t>1177-1</t>
  </si>
  <si>
    <t>大阪府千早赤阪村</t>
  </si>
  <si>
    <t>1177</t>
  </si>
  <si>
    <t>273839</t>
  </si>
  <si>
    <t>273830</t>
  </si>
  <si>
    <t>11771279由良町</t>
  </si>
  <si>
    <t>1178-1</t>
  </si>
  <si>
    <t>大阪府守口市</t>
  </si>
  <si>
    <t>1178</t>
  </si>
  <si>
    <t>272096</t>
  </si>
  <si>
    <t>272094</t>
  </si>
  <si>
    <t>11781280印南町</t>
  </si>
  <si>
    <t>1179-1</t>
  </si>
  <si>
    <t>大阪府門真市</t>
  </si>
  <si>
    <t>1179</t>
  </si>
  <si>
    <t>272237</t>
  </si>
  <si>
    <t>272230</t>
  </si>
  <si>
    <t>11791281みなべ町</t>
  </si>
  <si>
    <t>1180-1</t>
  </si>
  <si>
    <t>大阪府四條畷市</t>
  </si>
  <si>
    <t>1180</t>
  </si>
  <si>
    <t>272294</t>
  </si>
  <si>
    <t>272299</t>
  </si>
  <si>
    <t>11801282日高川町</t>
  </si>
  <si>
    <t>1181-1</t>
  </si>
  <si>
    <t>兵庫県神戸市</t>
  </si>
  <si>
    <t>1181</t>
  </si>
  <si>
    <t>281006</t>
  </si>
  <si>
    <t>281000</t>
  </si>
  <si>
    <t>11811283白浜町</t>
  </si>
  <si>
    <t>1182-1</t>
  </si>
  <si>
    <t>兵庫県姫路市</t>
  </si>
  <si>
    <t>1182</t>
  </si>
  <si>
    <t>282012</t>
  </si>
  <si>
    <t>282014</t>
  </si>
  <si>
    <t>11821284上富田町</t>
  </si>
  <si>
    <t>1183-1</t>
  </si>
  <si>
    <t>兵庫県尼崎市</t>
  </si>
  <si>
    <t>1183</t>
  </si>
  <si>
    <t>282020</t>
  </si>
  <si>
    <t>282022</t>
  </si>
  <si>
    <t>11831285すさみ町</t>
  </si>
  <si>
    <t>1184-1</t>
  </si>
  <si>
    <t>兵庫県明石市</t>
  </si>
  <si>
    <t>1184</t>
  </si>
  <si>
    <t>282038</t>
  </si>
  <si>
    <t>282031</t>
  </si>
  <si>
    <t>11841286那智勝浦町</t>
  </si>
  <si>
    <t>1185-1</t>
  </si>
  <si>
    <t>兵庫県西宮市</t>
  </si>
  <si>
    <t>1185</t>
  </si>
  <si>
    <t>282046</t>
  </si>
  <si>
    <t>282049</t>
  </si>
  <si>
    <t>11851287太地町</t>
  </si>
  <si>
    <t>1186-1</t>
  </si>
  <si>
    <t>兵庫県洲本市</t>
  </si>
  <si>
    <t>1186</t>
  </si>
  <si>
    <t>282053</t>
  </si>
  <si>
    <t>282057</t>
  </si>
  <si>
    <t>11861288古座川町</t>
  </si>
  <si>
    <t>1187-1</t>
  </si>
  <si>
    <t>兵庫県芦屋市</t>
  </si>
  <si>
    <t>1187</t>
  </si>
  <si>
    <t>282061</t>
  </si>
  <si>
    <t>282065</t>
  </si>
  <si>
    <t>11871289北山村</t>
  </si>
  <si>
    <t>1188-1</t>
  </si>
  <si>
    <t>兵庫県伊丹市</t>
  </si>
  <si>
    <t>1188</t>
  </si>
  <si>
    <t>282079</t>
  </si>
  <si>
    <t>282073</t>
  </si>
  <si>
    <t>11881290串本町</t>
  </si>
  <si>
    <t>1189-1</t>
  </si>
  <si>
    <t>兵庫県相生市</t>
  </si>
  <si>
    <t>1189</t>
  </si>
  <si>
    <t>282087</t>
  </si>
  <si>
    <t>282081</t>
  </si>
  <si>
    <t>11891291鳥取市</t>
  </si>
  <si>
    <t>1190-1</t>
  </si>
  <si>
    <t>兵庫県豊岡市</t>
  </si>
  <si>
    <t>1190</t>
  </si>
  <si>
    <t>282095</t>
  </si>
  <si>
    <t>282090</t>
  </si>
  <si>
    <t>11901292米子市</t>
  </si>
  <si>
    <t>1191-1</t>
  </si>
  <si>
    <t>兵庫県加古川市</t>
  </si>
  <si>
    <t>1191</t>
  </si>
  <si>
    <t>282103</t>
  </si>
  <si>
    <t>11911293倉吉市</t>
  </si>
  <si>
    <t>1192-1</t>
  </si>
  <si>
    <t>兵庫県赤穂市</t>
  </si>
  <si>
    <t>1192</t>
  </si>
  <si>
    <t>282129</t>
  </si>
  <si>
    <t>282120</t>
  </si>
  <si>
    <t>11921294境港市</t>
  </si>
  <si>
    <t>1193-1</t>
  </si>
  <si>
    <t>兵庫県西脇市</t>
  </si>
  <si>
    <t>1193</t>
  </si>
  <si>
    <t>282137</t>
  </si>
  <si>
    <t>282138</t>
  </si>
  <si>
    <t>11931295岩美町</t>
  </si>
  <si>
    <t>1194-1</t>
  </si>
  <si>
    <t>兵庫県宝塚市</t>
  </si>
  <si>
    <t>1194</t>
  </si>
  <si>
    <t>282145</t>
  </si>
  <si>
    <t>282146</t>
  </si>
  <si>
    <t>11941296若桜町</t>
  </si>
  <si>
    <t>1195-1</t>
  </si>
  <si>
    <t>兵庫県三木市</t>
  </si>
  <si>
    <t>1195</t>
  </si>
  <si>
    <t>282152</t>
  </si>
  <si>
    <t>282154</t>
  </si>
  <si>
    <t>11951297智頭町</t>
  </si>
  <si>
    <t>1196-1</t>
  </si>
  <si>
    <t>兵庫県高砂市</t>
  </si>
  <si>
    <t>1196</t>
  </si>
  <si>
    <t>282160</t>
  </si>
  <si>
    <t>282162</t>
  </si>
  <si>
    <t>11961298八頭町</t>
  </si>
  <si>
    <t>1197-1</t>
  </si>
  <si>
    <t>兵庫県川西市</t>
  </si>
  <si>
    <t>1197</t>
  </si>
  <si>
    <t>282178</t>
  </si>
  <si>
    <t>282171</t>
  </si>
  <si>
    <t>11971299三朝町</t>
  </si>
  <si>
    <t>1198-1</t>
  </si>
  <si>
    <t>兵庫県小野市</t>
  </si>
  <si>
    <t>1198</t>
  </si>
  <si>
    <t>282186</t>
  </si>
  <si>
    <t>282189</t>
  </si>
  <si>
    <t>11981300湯梨浜町</t>
  </si>
  <si>
    <t>1199-1</t>
  </si>
  <si>
    <t>兵庫県三田市</t>
  </si>
  <si>
    <t>1199</t>
  </si>
  <si>
    <t>282194</t>
  </si>
  <si>
    <t>282197</t>
  </si>
  <si>
    <t>11991301琴浦町</t>
  </si>
  <si>
    <t>1200-1</t>
  </si>
  <si>
    <t>兵庫県加西市</t>
  </si>
  <si>
    <t>1200</t>
  </si>
  <si>
    <t>282202</t>
  </si>
  <si>
    <t>282201</t>
  </si>
  <si>
    <t>12001302北栄町</t>
  </si>
  <si>
    <t>1201-1</t>
  </si>
  <si>
    <t>兵庫県丹波篠山市</t>
  </si>
  <si>
    <t>1201</t>
  </si>
  <si>
    <t>282210</t>
  </si>
  <si>
    <t>丹波篠山市</t>
    <rPh sb="0" eb="2">
      <t>タンバ</t>
    </rPh>
    <phoneticPr fontId="16"/>
  </si>
  <si>
    <t>282219</t>
  </si>
  <si>
    <t>12011303大山町</t>
  </si>
  <si>
    <t>1202-1</t>
  </si>
  <si>
    <t>兵庫県養父市</t>
  </si>
  <si>
    <t>1202</t>
  </si>
  <si>
    <t>282228</t>
  </si>
  <si>
    <t>282227</t>
  </si>
  <si>
    <t>12021304日南町</t>
  </si>
  <si>
    <t>1203-1</t>
  </si>
  <si>
    <t>兵庫県丹波市</t>
  </si>
  <si>
    <t>1203</t>
  </si>
  <si>
    <t>282236</t>
  </si>
  <si>
    <t>282235</t>
  </si>
  <si>
    <t>12031305日野町</t>
  </si>
  <si>
    <t>1204-1</t>
  </si>
  <si>
    <t>兵庫県南あわじ市</t>
  </si>
  <si>
    <t>1204</t>
  </si>
  <si>
    <t>282244</t>
  </si>
  <si>
    <t>282243</t>
  </si>
  <si>
    <t>12041306江府町</t>
  </si>
  <si>
    <t>1205-1</t>
  </si>
  <si>
    <t>兵庫県朝来市</t>
  </si>
  <si>
    <t>1205</t>
  </si>
  <si>
    <t>282251</t>
  </si>
  <si>
    <t>12051307南部箕蚊屋広域連合</t>
  </si>
  <si>
    <t>1206-1</t>
  </si>
  <si>
    <t>兵庫県淡路市</t>
  </si>
  <si>
    <t>1206</t>
  </si>
  <si>
    <t>282269</t>
  </si>
  <si>
    <t>282260</t>
  </si>
  <si>
    <t>12061311松江市</t>
  </si>
  <si>
    <t>1207-1</t>
  </si>
  <si>
    <t>兵庫県宍粟市</t>
  </si>
  <si>
    <t>1207</t>
  </si>
  <si>
    <t>282277</t>
  </si>
  <si>
    <t>282278</t>
  </si>
  <si>
    <t>12071312出雲市</t>
  </si>
  <si>
    <t>1208-1</t>
  </si>
  <si>
    <t>兵庫県加東市</t>
  </si>
  <si>
    <t>1208</t>
  </si>
  <si>
    <t>282285</t>
  </si>
  <si>
    <t>282286</t>
  </si>
  <si>
    <t>12081313益田市</t>
  </si>
  <si>
    <t>1209-1</t>
  </si>
  <si>
    <t>兵庫県たつの市</t>
  </si>
  <si>
    <t>1209</t>
  </si>
  <si>
    <t>282293</t>
  </si>
  <si>
    <t>282294</t>
  </si>
  <si>
    <t>12091314大田市</t>
  </si>
  <si>
    <t>1210-1</t>
  </si>
  <si>
    <t>兵庫県猪名川町</t>
  </si>
  <si>
    <t>1210</t>
  </si>
  <si>
    <t>283010</t>
  </si>
  <si>
    <t>283011</t>
  </si>
  <si>
    <t>12101315安来市</t>
  </si>
  <si>
    <t>1211-1</t>
  </si>
  <si>
    <t>兵庫県多可町</t>
  </si>
  <si>
    <t>1211</t>
  </si>
  <si>
    <t>283655</t>
  </si>
  <si>
    <t>283657</t>
  </si>
  <si>
    <t>12111316津和野町</t>
  </si>
  <si>
    <t>1212-1</t>
  </si>
  <si>
    <t>兵庫県稲美町</t>
  </si>
  <si>
    <t>1212</t>
  </si>
  <si>
    <t>283812</t>
  </si>
  <si>
    <t>283819</t>
  </si>
  <si>
    <t>12121317吉賀町</t>
  </si>
  <si>
    <t>1213-1</t>
  </si>
  <si>
    <t>兵庫県播磨町</t>
  </si>
  <si>
    <t>1213</t>
  </si>
  <si>
    <t>283820</t>
  </si>
  <si>
    <t>283827</t>
  </si>
  <si>
    <t>12131318邑智郡総合事務組合</t>
  </si>
  <si>
    <t>1214-1</t>
  </si>
  <si>
    <t>兵庫県市川町</t>
  </si>
  <si>
    <t>1214</t>
  </si>
  <si>
    <t>284422</t>
  </si>
  <si>
    <t>284424</t>
  </si>
  <si>
    <t>12141322浜田地区広域行政組合</t>
  </si>
  <si>
    <t>1215-1</t>
  </si>
  <si>
    <t>兵庫県福崎町</t>
  </si>
  <si>
    <t>1215</t>
  </si>
  <si>
    <t>284430</t>
  </si>
  <si>
    <t>284432</t>
  </si>
  <si>
    <t>12151325雲南広域連合</t>
  </si>
  <si>
    <t>1216-1</t>
  </si>
  <si>
    <t>兵庫県神河町</t>
  </si>
  <si>
    <t>1216</t>
  </si>
  <si>
    <t>284463</t>
  </si>
  <si>
    <t>284467</t>
  </si>
  <si>
    <t>12161329隠岐広域連合</t>
  </si>
  <si>
    <t>1217-1</t>
  </si>
  <si>
    <t>兵庫県太子町</t>
  </si>
  <si>
    <t>1217</t>
  </si>
  <si>
    <t>284646</t>
  </si>
  <si>
    <t>284645</t>
  </si>
  <si>
    <t>12171334岡山市</t>
  </si>
  <si>
    <t>1218-1</t>
  </si>
  <si>
    <t>兵庫県上郡町</t>
  </si>
  <si>
    <t>1218</t>
  </si>
  <si>
    <t>284810</t>
  </si>
  <si>
    <t>284815</t>
  </si>
  <si>
    <t>12181335倉敷市</t>
  </si>
  <si>
    <t>1219-1</t>
  </si>
  <si>
    <t>兵庫県佐用町</t>
  </si>
  <si>
    <t>1219</t>
  </si>
  <si>
    <t>285015</t>
  </si>
  <si>
    <t>285013</t>
  </si>
  <si>
    <t>12191336津山市</t>
  </si>
  <si>
    <t>1220-1</t>
  </si>
  <si>
    <t>兵庫県香美町</t>
  </si>
  <si>
    <t>1220</t>
  </si>
  <si>
    <t>285858</t>
  </si>
  <si>
    <t>285854</t>
  </si>
  <si>
    <t>12201337玉野市</t>
  </si>
  <si>
    <t>1221-1</t>
  </si>
  <si>
    <t>兵庫県新温泉町</t>
  </si>
  <si>
    <t>1221</t>
  </si>
  <si>
    <t>285866</t>
  </si>
  <si>
    <t>285862</t>
  </si>
  <si>
    <t>12211338笠岡市</t>
  </si>
  <si>
    <t>1222-1</t>
  </si>
  <si>
    <t>奈良県奈良市</t>
  </si>
  <si>
    <t>1222</t>
  </si>
  <si>
    <t>292011</t>
  </si>
  <si>
    <t>292010</t>
  </si>
  <si>
    <t>12221339井原市</t>
  </si>
  <si>
    <t>1223-1</t>
  </si>
  <si>
    <t>奈良県大和高田市</t>
  </si>
  <si>
    <t>1223</t>
  </si>
  <si>
    <t>292029</t>
  </si>
  <si>
    <t>292028</t>
  </si>
  <si>
    <t>12231340総社市</t>
  </si>
  <si>
    <t>1224-1</t>
  </si>
  <si>
    <t>奈良県大和郡山市</t>
  </si>
  <si>
    <t>1224</t>
  </si>
  <si>
    <t>292037</t>
  </si>
  <si>
    <t>292036</t>
  </si>
  <si>
    <t>12241341高梁市</t>
  </si>
  <si>
    <t>1225-1</t>
  </si>
  <si>
    <t>奈良県天理市</t>
  </si>
  <si>
    <t>1225</t>
  </si>
  <si>
    <t>292045</t>
  </si>
  <si>
    <t>292044</t>
  </si>
  <si>
    <t>12251342新見市</t>
  </si>
  <si>
    <t>1226-1</t>
  </si>
  <si>
    <t>奈良県橿原市</t>
  </si>
  <si>
    <t>1226</t>
  </si>
  <si>
    <t>292052</t>
  </si>
  <si>
    <t>12261343備前市</t>
  </si>
  <si>
    <t>1227-1</t>
  </si>
  <si>
    <t>奈良県桜井市</t>
  </si>
  <si>
    <t>1227</t>
  </si>
  <si>
    <t>292060</t>
  </si>
  <si>
    <t>292061</t>
  </si>
  <si>
    <t>12271344瀬戸内市</t>
  </si>
  <si>
    <t>1228-1</t>
  </si>
  <si>
    <t>奈良県五條市</t>
  </si>
  <si>
    <t>1228</t>
  </si>
  <si>
    <t>292078</t>
  </si>
  <si>
    <t>292079</t>
  </si>
  <si>
    <t>12281345赤磐市</t>
  </si>
  <si>
    <t>1229-1</t>
  </si>
  <si>
    <t>奈良県御所市</t>
  </si>
  <si>
    <t>1229</t>
  </si>
  <si>
    <t>292086</t>
  </si>
  <si>
    <t>292087</t>
  </si>
  <si>
    <t>12291346真庭市</t>
  </si>
  <si>
    <t>1230-1</t>
  </si>
  <si>
    <t>奈良県生駒市</t>
  </si>
  <si>
    <t>1230</t>
  </si>
  <si>
    <t>292094</t>
  </si>
  <si>
    <t>292095</t>
  </si>
  <si>
    <t>12301347美作市</t>
  </si>
  <si>
    <t>1231-1</t>
  </si>
  <si>
    <t>奈良県香芝市</t>
  </si>
  <si>
    <t>1231</t>
  </si>
  <si>
    <t>292102</t>
  </si>
  <si>
    <t>292109</t>
  </si>
  <si>
    <t>12311348浅口市</t>
  </si>
  <si>
    <t>1232-1</t>
  </si>
  <si>
    <t>奈良県葛城市</t>
  </si>
  <si>
    <t>1232</t>
  </si>
  <si>
    <t>292110</t>
  </si>
  <si>
    <t>292117</t>
  </si>
  <si>
    <t>12321349和気町</t>
  </si>
  <si>
    <t>1233-1</t>
  </si>
  <si>
    <t>奈良県宇陀市</t>
  </si>
  <si>
    <t>1233</t>
  </si>
  <si>
    <t>292128</t>
  </si>
  <si>
    <t>292125</t>
  </si>
  <si>
    <t>12331350早島町</t>
  </si>
  <si>
    <t>1234-1</t>
  </si>
  <si>
    <t>奈良県山添村</t>
  </si>
  <si>
    <t>1234</t>
  </si>
  <si>
    <t>293225</t>
  </si>
  <si>
    <t>293229</t>
  </si>
  <si>
    <t>12341351里庄町</t>
  </si>
  <si>
    <t>1235-1</t>
  </si>
  <si>
    <t>奈良県平群町</t>
  </si>
  <si>
    <t>1235</t>
  </si>
  <si>
    <t>293423</t>
  </si>
  <si>
    <t>12351352矢掛町</t>
  </si>
  <si>
    <t>1236-1</t>
  </si>
  <si>
    <t>奈良県三郷町</t>
  </si>
  <si>
    <t>1236</t>
  </si>
  <si>
    <t>293431</t>
  </si>
  <si>
    <t>12361353新庄村</t>
  </si>
  <si>
    <t>1237-1</t>
  </si>
  <si>
    <t>奈良県斑鳩町</t>
  </si>
  <si>
    <t>1237</t>
  </si>
  <si>
    <t>293449</t>
  </si>
  <si>
    <t>293440</t>
  </si>
  <si>
    <t>12371354鏡野町</t>
  </si>
  <si>
    <t>1238-1</t>
  </si>
  <si>
    <t>奈良県安堵町</t>
  </si>
  <si>
    <t>1238</t>
  </si>
  <si>
    <t>293456</t>
  </si>
  <si>
    <t>293458</t>
  </si>
  <si>
    <t>12381355勝央町</t>
  </si>
  <si>
    <t>1239-1</t>
  </si>
  <si>
    <t>奈良県川西町</t>
  </si>
  <si>
    <t>1239</t>
  </si>
  <si>
    <t>293613</t>
  </si>
  <si>
    <t>293610</t>
  </si>
  <si>
    <t>12391356奈義町</t>
  </si>
  <si>
    <t>1240-1</t>
  </si>
  <si>
    <t>奈良県三宅町</t>
  </si>
  <si>
    <t>1240</t>
  </si>
  <si>
    <t>293621</t>
  </si>
  <si>
    <t>293628</t>
  </si>
  <si>
    <t>12401357西粟倉村</t>
  </si>
  <si>
    <t>1241-1</t>
  </si>
  <si>
    <t>奈良県田原本町</t>
  </si>
  <si>
    <t>1241</t>
  </si>
  <si>
    <t>293639</t>
  </si>
  <si>
    <t>293636</t>
  </si>
  <si>
    <t>12411358久米南町</t>
  </si>
  <si>
    <t>1242-1</t>
  </si>
  <si>
    <t>奈良県曽爾村</t>
  </si>
  <si>
    <t>1242</t>
  </si>
  <si>
    <t>293852</t>
  </si>
  <si>
    <t>293857</t>
  </si>
  <si>
    <t>12421359美咲町</t>
  </si>
  <si>
    <t>1243-1</t>
  </si>
  <si>
    <t>奈良県御杖村</t>
  </si>
  <si>
    <t>1243</t>
  </si>
  <si>
    <t>293860</t>
  </si>
  <si>
    <t>293865</t>
  </si>
  <si>
    <t>12431360吉備中央町</t>
  </si>
  <si>
    <t>1244-1</t>
  </si>
  <si>
    <t>奈良県高取町</t>
  </si>
  <si>
    <t>1244</t>
  </si>
  <si>
    <t>294017</t>
  </si>
  <si>
    <t>294012</t>
  </si>
  <si>
    <t>12441361広島市</t>
  </si>
  <si>
    <t>1245-1</t>
  </si>
  <si>
    <t>奈良県明日香村</t>
  </si>
  <si>
    <t>1245</t>
  </si>
  <si>
    <t>294025</t>
  </si>
  <si>
    <t>294021</t>
  </si>
  <si>
    <t>12451362呉市</t>
  </si>
  <si>
    <t>1246-1</t>
  </si>
  <si>
    <t>奈良県上牧町</t>
  </si>
  <si>
    <t>1246</t>
  </si>
  <si>
    <t>294249</t>
  </si>
  <si>
    <t>294241</t>
  </si>
  <si>
    <t>12461363竹原市</t>
  </si>
  <si>
    <t>1247-1</t>
  </si>
  <si>
    <t>奈良県王寺町</t>
  </si>
  <si>
    <t>1247</t>
  </si>
  <si>
    <t>294256</t>
  </si>
  <si>
    <t>294250</t>
  </si>
  <si>
    <t>12471364三原市</t>
  </si>
  <si>
    <t>1248-1</t>
  </si>
  <si>
    <t>奈良県広陵町</t>
  </si>
  <si>
    <t>1248</t>
  </si>
  <si>
    <t>294264</t>
  </si>
  <si>
    <t>294268</t>
  </si>
  <si>
    <t>12481365尾道市</t>
  </si>
  <si>
    <t>1249-1</t>
  </si>
  <si>
    <t>奈良県河合町</t>
  </si>
  <si>
    <t>1249</t>
  </si>
  <si>
    <t>294272</t>
  </si>
  <si>
    <t>294276</t>
  </si>
  <si>
    <t>12491366福山市</t>
  </si>
  <si>
    <t>1250-1</t>
  </si>
  <si>
    <t>奈良県吉野町</t>
  </si>
  <si>
    <t>1250</t>
  </si>
  <si>
    <t>294413</t>
  </si>
  <si>
    <t>294411</t>
  </si>
  <si>
    <t>12501367府中市</t>
  </si>
  <si>
    <t>1251-1</t>
  </si>
  <si>
    <t>奈良県大淀町</t>
  </si>
  <si>
    <t>1251</t>
  </si>
  <si>
    <t>294421</t>
  </si>
  <si>
    <t>294420</t>
  </si>
  <si>
    <t>12511368三次市</t>
  </si>
  <si>
    <t>1252-1</t>
  </si>
  <si>
    <t>奈良県下市町</t>
  </si>
  <si>
    <t>1252</t>
  </si>
  <si>
    <t>294439</t>
  </si>
  <si>
    <t>294438</t>
  </si>
  <si>
    <t>12521369庄原市</t>
  </si>
  <si>
    <t>1253-1</t>
  </si>
  <si>
    <t>奈良県黒滝村</t>
  </si>
  <si>
    <t>1253</t>
  </si>
  <si>
    <t>294447</t>
  </si>
  <si>
    <t>294446</t>
  </si>
  <si>
    <t>12531370大竹市</t>
  </si>
  <si>
    <t>1254-1</t>
  </si>
  <si>
    <t>奈良県天川村</t>
  </si>
  <si>
    <t>1254</t>
  </si>
  <si>
    <t>294462</t>
  </si>
  <si>
    <t>12541371東広島市</t>
  </si>
  <si>
    <t>1255-1</t>
  </si>
  <si>
    <t>奈良県野迫川村</t>
  </si>
  <si>
    <t>1255</t>
  </si>
  <si>
    <t>294470</t>
  </si>
  <si>
    <t>294471</t>
  </si>
  <si>
    <t>12551372廿日市市</t>
  </si>
  <si>
    <t>1256-1</t>
  </si>
  <si>
    <t>奈良県十津川村</t>
  </si>
  <si>
    <t>1256</t>
  </si>
  <si>
    <t>294496</t>
  </si>
  <si>
    <t>294497</t>
  </si>
  <si>
    <t>12561373安芸高田市</t>
  </si>
  <si>
    <t>1257-1</t>
  </si>
  <si>
    <t>奈良県下北山村</t>
  </si>
  <si>
    <t>1257</t>
  </si>
  <si>
    <t>294504</t>
  </si>
  <si>
    <t>294501</t>
  </si>
  <si>
    <t>12571374江田島市</t>
  </si>
  <si>
    <t>1258-1</t>
  </si>
  <si>
    <t>奈良県上北山村</t>
  </si>
  <si>
    <t>1258</t>
  </si>
  <si>
    <t>294512</t>
  </si>
  <si>
    <t>294519</t>
  </si>
  <si>
    <t>12581375府中町</t>
  </si>
  <si>
    <t>1259-1</t>
  </si>
  <si>
    <t>奈良県川上村</t>
  </si>
  <si>
    <t>1259</t>
  </si>
  <si>
    <t>294520</t>
  </si>
  <si>
    <t>294527</t>
  </si>
  <si>
    <t>12591376海田町</t>
  </si>
  <si>
    <t>1260-1</t>
  </si>
  <si>
    <t>奈良県東吉野村</t>
  </si>
  <si>
    <t>1260</t>
  </si>
  <si>
    <t>294538</t>
  </si>
  <si>
    <t>294535</t>
  </si>
  <si>
    <t>12601377熊野町</t>
  </si>
  <si>
    <t>1261-1</t>
  </si>
  <si>
    <t>和歌山県和歌山市</t>
  </si>
  <si>
    <t>1261</t>
  </si>
  <si>
    <t>302018</t>
  </si>
  <si>
    <t>302015</t>
  </si>
  <si>
    <t>12611378坂町</t>
  </si>
  <si>
    <t>1262-1</t>
  </si>
  <si>
    <t>和歌山県海南市</t>
  </si>
  <si>
    <t>1262</t>
  </si>
  <si>
    <t>302026</t>
  </si>
  <si>
    <t>302023</t>
  </si>
  <si>
    <t>12621379安芸太田町</t>
  </si>
  <si>
    <t>1263-1</t>
  </si>
  <si>
    <t>和歌山県橋本市</t>
  </si>
  <si>
    <t>1263</t>
  </si>
  <si>
    <t>302034</t>
  </si>
  <si>
    <t>302031</t>
  </si>
  <si>
    <t>12631380北広島町</t>
  </si>
  <si>
    <t>1264-1</t>
  </si>
  <si>
    <t>和歌山県有田市</t>
  </si>
  <si>
    <t>1264</t>
  </si>
  <si>
    <t>302042</t>
  </si>
  <si>
    <t>302040</t>
  </si>
  <si>
    <t>12641381大崎上島町</t>
  </si>
  <si>
    <t>1265-1</t>
  </si>
  <si>
    <t>和歌山県御坊市</t>
  </si>
  <si>
    <t>1265</t>
  </si>
  <si>
    <t>302059</t>
  </si>
  <si>
    <t>302058</t>
  </si>
  <si>
    <t>12651382世羅町</t>
  </si>
  <si>
    <t>1266-1</t>
  </si>
  <si>
    <t>和歌山県田辺市</t>
  </si>
  <si>
    <t>1266</t>
  </si>
  <si>
    <t>302067</t>
  </si>
  <si>
    <t>302066</t>
  </si>
  <si>
    <t>12661383神石高原町</t>
  </si>
  <si>
    <t>1267-1</t>
  </si>
  <si>
    <t>和歌山県新宮市</t>
  </si>
  <si>
    <t>1267</t>
  </si>
  <si>
    <t>302075</t>
  </si>
  <si>
    <t>302074</t>
  </si>
  <si>
    <t>12671384下関市</t>
  </si>
  <si>
    <t>1268-1</t>
  </si>
  <si>
    <t>和歌山県紀の川市</t>
  </si>
  <si>
    <t>1268</t>
  </si>
  <si>
    <t>302083</t>
  </si>
  <si>
    <t>302082</t>
  </si>
  <si>
    <t>12681385宇部市</t>
  </si>
  <si>
    <t>1269-1</t>
  </si>
  <si>
    <t>和歌山県岩出市</t>
  </si>
  <si>
    <t>1269</t>
  </si>
  <si>
    <t>302091</t>
  </si>
  <si>
    <t>12691386山口市</t>
  </si>
  <si>
    <t>1270-1</t>
  </si>
  <si>
    <t>和歌山県紀美野町</t>
  </si>
  <si>
    <t>1270</t>
  </si>
  <si>
    <t>303040</t>
  </si>
  <si>
    <t>303046</t>
  </si>
  <si>
    <t>12701387萩市</t>
  </si>
  <si>
    <t>1271-1</t>
  </si>
  <si>
    <t>和歌山県かつらぎ町</t>
  </si>
  <si>
    <t>1271</t>
  </si>
  <si>
    <t>303412</t>
  </si>
  <si>
    <t>303411</t>
  </si>
  <si>
    <t>12711388防府市</t>
  </si>
  <si>
    <t>1272-1</t>
  </si>
  <si>
    <t>和歌山県九度山町</t>
  </si>
  <si>
    <t>1272</t>
  </si>
  <si>
    <t>303438</t>
  </si>
  <si>
    <t>303437</t>
  </si>
  <si>
    <t>12721389下松市</t>
  </si>
  <si>
    <t>1273-1</t>
  </si>
  <si>
    <t>和歌山県高野町</t>
  </si>
  <si>
    <t>1273</t>
  </si>
  <si>
    <t>303446</t>
  </si>
  <si>
    <t>303445</t>
  </si>
  <si>
    <t>12731390岩国市</t>
  </si>
  <si>
    <t>1274-1</t>
  </si>
  <si>
    <t>和歌山県湯浅町</t>
  </si>
  <si>
    <t>1274</t>
  </si>
  <si>
    <t>303610</t>
  </si>
  <si>
    <t>303615</t>
  </si>
  <si>
    <t>12741391光市</t>
  </si>
  <si>
    <t>1275-1</t>
  </si>
  <si>
    <t>和歌山県広川町</t>
  </si>
  <si>
    <t>1275</t>
  </si>
  <si>
    <t>303628</t>
  </si>
  <si>
    <t>303623</t>
  </si>
  <si>
    <t>12751392長門市</t>
  </si>
  <si>
    <t>1276-1</t>
  </si>
  <si>
    <t>和歌山県有田川町</t>
  </si>
  <si>
    <t>1276</t>
  </si>
  <si>
    <t>303669</t>
  </si>
  <si>
    <t>303666</t>
  </si>
  <si>
    <t>12761393柳井市</t>
  </si>
  <si>
    <t>1277-1</t>
  </si>
  <si>
    <t>和歌山県美浜町</t>
  </si>
  <si>
    <t>1277</t>
  </si>
  <si>
    <t>303818</t>
  </si>
  <si>
    <t>303810</t>
  </si>
  <si>
    <t>12771394美祢市</t>
  </si>
  <si>
    <t>1278-1</t>
  </si>
  <si>
    <t>和歌山県日高町</t>
  </si>
  <si>
    <t>1278</t>
  </si>
  <si>
    <t>303826</t>
  </si>
  <si>
    <t>303828</t>
  </si>
  <si>
    <t>12781395周南市</t>
  </si>
  <si>
    <t>1279-1</t>
  </si>
  <si>
    <t>和歌山県由良町</t>
  </si>
  <si>
    <t>1279</t>
  </si>
  <si>
    <t>303834</t>
  </si>
  <si>
    <t>303836</t>
  </si>
  <si>
    <t>12791396山陽小野田市</t>
  </si>
  <si>
    <t>1280-1</t>
  </si>
  <si>
    <t>和歌山県印南町</t>
  </si>
  <si>
    <t>1280</t>
  </si>
  <si>
    <t>303909</t>
  </si>
  <si>
    <t>390</t>
  </si>
  <si>
    <t>12801397周防大島町</t>
  </si>
  <si>
    <t>1281-1</t>
  </si>
  <si>
    <t>和歌山県みなべ町</t>
  </si>
  <si>
    <t>1281</t>
  </si>
  <si>
    <t>303917</t>
  </si>
  <si>
    <t>12811398和木町</t>
  </si>
  <si>
    <t>1282-1</t>
  </si>
  <si>
    <t>和歌山県日高川町</t>
  </si>
  <si>
    <t>1282</t>
  </si>
  <si>
    <t>303925</t>
  </si>
  <si>
    <t>12821399上関町</t>
  </si>
  <si>
    <t>1283-1</t>
  </si>
  <si>
    <t>和歌山県白浜町</t>
  </si>
  <si>
    <t>1283</t>
  </si>
  <si>
    <t>304014</t>
  </si>
  <si>
    <t>304018</t>
  </si>
  <si>
    <t>12831400田布施町</t>
  </si>
  <si>
    <t>1284-1</t>
  </si>
  <si>
    <t>和歌山県上富田町</t>
  </si>
  <si>
    <t>1284</t>
  </si>
  <si>
    <t>304048</t>
  </si>
  <si>
    <t>304042</t>
  </si>
  <si>
    <t>12841401平生町</t>
  </si>
  <si>
    <t>1285-1</t>
  </si>
  <si>
    <t>和歌山県すさみ町</t>
  </si>
  <si>
    <t>1285</t>
  </si>
  <si>
    <t>304063</t>
  </si>
  <si>
    <t>304069</t>
  </si>
  <si>
    <t>12851402阿武町</t>
  </si>
  <si>
    <t>1286-1</t>
  </si>
  <si>
    <t>和歌山県那智勝浦町</t>
  </si>
  <si>
    <t>1286</t>
  </si>
  <si>
    <t>304212</t>
  </si>
  <si>
    <t>12861403徳島市</t>
  </si>
  <si>
    <t>1287-1</t>
  </si>
  <si>
    <t>和歌山県太地町</t>
  </si>
  <si>
    <t>1287</t>
  </si>
  <si>
    <t>304220</t>
  </si>
  <si>
    <t>304221</t>
  </si>
  <si>
    <t>12871404鳴門市</t>
  </si>
  <si>
    <t>1288-1</t>
  </si>
  <si>
    <t>和歌山県古座川町</t>
  </si>
  <si>
    <t>1288</t>
  </si>
  <si>
    <t>304246</t>
  </si>
  <si>
    <t>304247</t>
  </si>
  <si>
    <t>12881405小松島市</t>
  </si>
  <si>
    <t>1289-1</t>
  </si>
  <si>
    <t>和歌山県北山村</t>
  </si>
  <si>
    <t>1289</t>
  </si>
  <si>
    <t>304279</t>
  </si>
  <si>
    <t>304271</t>
  </si>
  <si>
    <t>12891406阿南市</t>
  </si>
  <si>
    <t>1290-1</t>
  </si>
  <si>
    <t>和歌山県串本町</t>
  </si>
  <si>
    <t>1290</t>
  </si>
  <si>
    <t>304287</t>
  </si>
  <si>
    <t>304280</t>
  </si>
  <si>
    <t>12901407吉野川市</t>
  </si>
  <si>
    <t>1291-1</t>
  </si>
  <si>
    <t>鳥取県鳥取市</t>
  </si>
  <si>
    <t>1291</t>
  </si>
  <si>
    <t>312017</t>
  </si>
  <si>
    <t>312011</t>
  </si>
  <si>
    <t>12911408阿波市</t>
  </si>
  <si>
    <t>1292-1</t>
  </si>
  <si>
    <t>鳥取県米子市</t>
  </si>
  <si>
    <t>1292</t>
  </si>
  <si>
    <t>312025</t>
  </si>
  <si>
    <t>312029</t>
  </si>
  <si>
    <t>12921409美馬市</t>
  </si>
  <si>
    <t>1293-1</t>
  </si>
  <si>
    <t>鳥取県倉吉市</t>
  </si>
  <si>
    <t>1293</t>
  </si>
  <si>
    <t>312033</t>
  </si>
  <si>
    <t>312037</t>
  </si>
  <si>
    <t>12931410勝浦町</t>
  </si>
  <si>
    <t>1294-1</t>
  </si>
  <si>
    <t>鳥取県境港市</t>
  </si>
  <si>
    <t>1294</t>
  </si>
  <si>
    <t>312041</t>
  </si>
  <si>
    <t>312045</t>
  </si>
  <si>
    <t>12941411上勝町</t>
  </si>
  <si>
    <t>1295-1</t>
  </si>
  <si>
    <t>鳥取県岩美町</t>
  </si>
  <si>
    <t>1295</t>
  </si>
  <si>
    <t>313023</t>
  </si>
  <si>
    <t>313025</t>
  </si>
  <si>
    <t>12951412佐那河内村</t>
  </si>
  <si>
    <t>1296-1</t>
  </si>
  <si>
    <t>鳥取県若桜町</t>
  </si>
  <si>
    <t>1296</t>
  </si>
  <si>
    <t>313254</t>
  </si>
  <si>
    <t>12961413石井町</t>
  </si>
  <si>
    <t>1297-1</t>
  </si>
  <si>
    <t>鳥取県智頭町</t>
  </si>
  <si>
    <t>1297</t>
  </si>
  <si>
    <t>313288</t>
  </si>
  <si>
    <t>328</t>
  </si>
  <si>
    <t>313289</t>
  </si>
  <si>
    <t>12971414神山町</t>
  </si>
  <si>
    <t>1298-1</t>
  </si>
  <si>
    <t>鳥取県八頭町</t>
  </si>
  <si>
    <t>1298</t>
  </si>
  <si>
    <t>313296</t>
  </si>
  <si>
    <t>313297</t>
  </si>
  <si>
    <t>12981415那賀町</t>
  </si>
  <si>
    <t>1299-1</t>
  </si>
  <si>
    <t>鳥取県三朝町</t>
  </si>
  <si>
    <t>1299</t>
  </si>
  <si>
    <t>313643</t>
  </si>
  <si>
    <t>313645</t>
  </si>
  <si>
    <t>12991416牟岐町</t>
  </si>
  <si>
    <t>1300-1</t>
  </si>
  <si>
    <t>鳥取県湯梨浜町</t>
  </si>
  <si>
    <t>1300</t>
  </si>
  <si>
    <t>313700</t>
  </si>
  <si>
    <t>13001417美波町</t>
  </si>
  <si>
    <t>1301-1</t>
  </si>
  <si>
    <t>鳥取県琴浦町</t>
  </si>
  <si>
    <t>1301</t>
  </si>
  <si>
    <t>313718</t>
  </si>
  <si>
    <t>13011418海陽町</t>
  </si>
  <si>
    <t>1302-1</t>
  </si>
  <si>
    <t>鳥取県北栄町</t>
  </si>
  <si>
    <t>1302</t>
  </si>
  <si>
    <t>313726</t>
  </si>
  <si>
    <t>372</t>
  </si>
  <si>
    <t>13021419松茂町</t>
  </si>
  <si>
    <t>1303-1</t>
  </si>
  <si>
    <t>鳥取県大山町</t>
  </si>
  <si>
    <t>1303</t>
  </si>
  <si>
    <t>313866</t>
  </si>
  <si>
    <t>13031420北島町</t>
  </si>
  <si>
    <t>1304-1</t>
  </si>
  <si>
    <t>鳥取県日南町</t>
  </si>
  <si>
    <t>1304</t>
  </si>
  <si>
    <t>314013</t>
  </si>
  <si>
    <t>13041421藍住町</t>
  </si>
  <si>
    <t>1305-1</t>
  </si>
  <si>
    <t>鳥取県日野町</t>
  </si>
  <si>
    <t>1305</t>
  </si>
  <si>
    <t>314021</t>
  </si>
  <si>
    <t>13051422板野町</t>
  </si>
  <si>
    <t>1306-1</t>
  </si>
  <si>
    <t>鳥取県江府町</t>
  </si>
  <si>
    <t>1306</t>
  </si>
  <si>
    <t>314039</t>
  </si>
  <si>
    <t>314030</t>
  </si>
  <si>
    <t>13061423上板町</t>
  </si>
  <si>
    <t>1307-1</t>
  </si>
  <si>
    <t>鳥取県南部箕蚊屋広域連合</t>
  </si>
  <si>
    <t>1307</t>
  </si>
  <si>
    <t>318378</t>
  </si>
  <si>
    <t>837</t>
  </si>
  <si>
    <t>318370</t>
  </si>
  <si>
    <t>13071424つるぎ町</t>
  </si>
  <si>
    <t>1307-2</t>
  </si>
  <si>
    <t>鳥取県南部町</t>
  </si>
  <si>
    <t>1308</t>
  </si>
  <si>
    <t>313890</t>
  </si>
  <si>
    <t>389</t>
  </si>
  <si>
    <t>313891</t>
  </si>
  <si>
    <t>13081425みよし広域連合</t>
  </si>
  <si>
    <t>1307-3</t>
  </si>
  <si>
    <t>鳥取県伯耆町</t>
  </si>
  <si>
    <t>1309</t>
  </si>
  <si>
    <t>313908</t>
  </si>
  <si>
    <t>313904</t>
  </si>
  <si>
    <t>13091428高松市</t>
  </si>
  <si>
    <t>1307-4</t>
  </si>
  <si>
    <t>鳥取県日吉津村</t>
  </si>
  <si>
    <t>1310</t>
  </si>
  <si>
    <t>313841</t>
  </si>
  <si>
    <t>313840</t>
  </si>
  <si>
    <t>13101429丸亀市</t>
  </si>
  <si>
    <t>1311-1</t>
  </si>
  <si>
    <t>島根県松江市</t>
  </si>
  <si>
    <t>1311</t>
  </si>
  <si>
    <t>322016</t>
  </si>
  <si>
    <t>13111430坂出市</t>
  </si>
  <si>
    <t>1312-1</t>
  </si>
  <si>
    <t>島根県出雲市</t>
  </si>
  <si>
    <t>1312</t>
  </si>
  <si>
    <t>322032</t>
  </si>
  <si>
    <t>13121431善通寺市</t>
  </si>
  <si>
    <t>1313-1</t>
  </si>
  <si>
    <t>島根県益田市</t>
  </si>
  <si>
    <t>1313</t>
  </si>
  <si>
    <t>322040</t>
  </si>
  <si>
    <t>322041</t>
  </si>
  <si>
    <t>13131432観音寺市</t>
  </si>
  <si>
    <t>1314-1</t>
  </si>
  <si>
    <t>島根県大田市</t>
  </si>
  <si>
    <t>1314</t>
  </si>
  <si>
    <t>322057</t>
  </si>
  <si>
    <t>322059</t>
  </si>
  <si>
    <t>13141433さぬき市</t>
  </si>
  <si>
    <t>1315-1</t>
  </si>
  <si>
    <t>島根県安来市</t>
  </si>
  <si>
    <t>1315</t>
  </si>
  <si>
    <t>322065</t>
  </si>
  <si>
    <t>322067</t>
  </si>
  <si>
    <t>13151434東かがわ市</t>
  </si>
  <si>
    <t>1316-1</t>
  </si>
  <si>
    <t>島根県津和野町</t>
  </si>
  <si>
    <t>1316</t>
  </si>
  <si>
    <t>325019</t>
  </si>
  <si>
    <t>325015</t>
  </si>
  <si>
    <t>13161435三豊市</t>
  </si>
  <si>
    <t>1317-1</t>
  </si>
  <si>
    <t>島根県吉賀町</t>
  </si>
  <si>
    <t>1317</t>
  </si>
  <si>
    <t>325050</t>
  </si>
  <si>
    <t>325058</t>
  </si>
  <si>
    <t>13171436土庄町</t>
  </si>
  <si>
    <t>1318-1</t>
  </si>
  <si>
    <t>島根県邑智郡総合事務組合</t>
  </si>
  <si>
    <t>1318</t>
  </si>
  <si>
    <t>328880</t>
  </si>
  <si>
    <t>888</t>
  </si>
  <si>
    <t>13181437小豆島町</t>
  </si>
  <si>
    <t>1318-2</t>
  </si>
  <si>
    <t>島根県川本町</t>
  </si>
  <si>
    <t>1319</t>
  </si>
  <si>
    <t>324418</t>
  </si>
  <si>
    <t>13191438三木町</t>
  </si>
  <si>
    <t>1318-3</t>
  </si>
  <si>
    <t>島根県美郷町</t>
  </si>
  <si>
    <t>1320</t>
  </si>
  <si>
    <t>324485</t>
  </si>
  <si>
    <t>13201439直島町</t>
  </si>
  <si>
    <t>1318-4</t>
  </si>
  <si>
    <t>島根県邑南町</t>
  </si>
  <si>
    <t>1321</t>
  </si>
  <si>
    <t>324493</t>
  </si>
  <si>
    <t>13211440宇多津町</t>
  </si>
  <si>
    <t>1322-1</t>
  </si>
  <si>
    <t>島根県浜田地区広域行政組合</t>
  </si>
  <si>
    <t>1322</t>
  </si>
  <si>
    <t>328914</t>
  </si>
  <si>
    <t>891</t>
  </si>
  <si>
    <t>328910</t>
  </si>
  <si>
    <t>13221441綾川町</t>
  </si>
  <si>
    <t>1322-2</t>
  </si>
  <si>
    <t>島根県浜田市</t>
  </si>
  <si>
    <t>1323</t>
  </si>
  <si>
    <t>322024</t>
  </si>
  <si>
    <t>13231442琴平町</t>
  </si>
  <si>
    <t>1322-3</t>
  </si>
  <si>
    <t>島根県江津市</t>
  </si>
  <si>
    <t>1324</t>
  </si>
  <si>
    <t>322073</t>
  </si>
  <si>
    <t>322075</t>
  </si>
  <si>
    <t>13241443多度津町</t>
  </si>
  <si>
    <t>1325-1</t>
  </si>
  <si>
    <t>島根県雲南広域連合</t>
  </si>
  <si>
    <t>1325</t>
  </si>
  <si>
    <t>328930</t>
  </si>
  <si>
    <t>328979</t>
  </si>
  <si>
    <t>13251444まんのう町</t>
  </si>
  <si>
    <t>1325-2</t>
  </si>
  <si>
    <t>島根県雲南市</t>
  </si>
  <si>
    <t>1326</t>
  </si>
  <si>
    <t>322099</t>
  </si>
  <si>
    <t>322091</t>
  </si>
  <si>
    <t>13261445松山市</t>
  </si>
  <si>
    <t>1325-3</t>
  </si>
  <si>
    <t>島根県奥出雲町</t>
  </si>
  <si>
    <t>1327</t>
  </si>
  <si>
    <t>323436</t>
  </si>
  <si>
    <t>323438</t>
  </si>
  <si>
    <t>13271446今治市</t>
  </si>
  <si>
    <t>1325-4</t>
  </si>
  <si>
    <t>島根県飯南町</t>
  </si>
  <si>
    <t>1328</t>
  </si>
  <si>
    <t>323865</t>
  </si>
  <si>
    <t>323861</t>
  </si>
  <si>
    <t>13281447宇和島市</t>
  </si>
  <si>
    <t>1329-1</t>
  </si>
  <si>
    <t>島根県隠岐広域連合</t>
  </si>
  <si>
    <t>1329</t>
  </si>
  <si>
    <t>328948</t>
  </si>
  <si>
    <t>894</t>
  </si>
  <si>
    <t>328952</t>
  </si>
  <si>
    <t>13291448八幡浜市</t>
  </si>
  <si>
    <t>1329-2</t>
  </si>
  <si>
    <t>島根県隠岐の島町</t>
  </si>
  <si>
    <t>1330</t>
  </si>
  <si>
    <t>325282</t>
  </si>
  <si>
    <t>528</t>
  </si>
  <si>
    <t>325287</t>
  </si>
  <si>
    <t>13301449新居浜市</t>
  </si>
  <si>
    <t>1329-3</t>
  </si>
  <si>
    <t>島根県西ノ島町</t>
  </si>
  <si>
    <t>1331</t>
  </si>
  <si>
    <t>325266</t>
  </si>
  <si>
    <t>526</t>
  </si>
  <si>
    <t>325261</t>
  </si>
  <si>
    <t>13311450西条市</t>
  </si>
  <si>
    <t>1329-4</t>
  </si>
  <si>
    <t>島根県海士町</t>
  </si>
  <si>
    <t>1332</t>
  </si>
  <si>
    <t>325258</t>
  </si>
  <si>
    <t>325252</t>
  </si>
  <si>
    <t>13321451大洲市</t>
  </si>
  <si>
    <t>1329-5</t>
  </si>
  <si>
    <t>島根県知夫村</t>
  </si>
  <si>
    <t>1333</t>
  </si>
  <si>
    <t>325274</t>
  </si>
  <si>
    <t>527</t>
  </si>
  <si>
    <t>325279</t>
  </si>
  <si>
    <t>13331452伊予市</t>
  </si>
  <si>
    <t>1334-1</t>
  </si>
  <si>
    <t>岡山県岡山市</t>
  </si>
  <si>
    <t>1334</t>
  </si>
  <si>
    <t>331009</t>
  </si>
  <si>
    <t>331007</t>
  </si>
  <si>
    <t>13341453四国中央市</t>
  </si>
  <si>
    <t>1335-1</t>
  </si>
  <si>
    <t>岡山県倉敷市</t>
  </si>
  <si>
    <t>1335</t>
  </si>
  <si>
    <t>332023</t>
  </si>
  <si>
    <t>332020</t>
  </si>
  <si>
    <t>13351454西予市</t>
  </si>
  <si>
    <t>1336-1</t>
  </si>
  <si>
    <t>岡山県津山市</t>
  </si>
  <si>
    <t>1336</t>
  </si>
  <si>
    <t>332031</t>
  </si>
  <si>
    <t>332038</t>
  </si>
  <si>
    <t>13361455東温市</t>
  </si>
  <si>
    <t>1337-1</t>
  </si>
  <si>
    <t>岡山県玉野市</t>
  </si>
  <si>
    <t>1337</t>
  </si>
  <si>
    <t>332049</t>
  </si>
  <si>
    <t>332046</t>
  </si>
  <si>
    <t>13371456上島町</t>
  </si>
  <si>
    <t>1338-1</t>
  </si>
  <si>
    <t>岡山県笠岡市</t>
  </si>
  <si>
    <t>1338</t>
  </si>
  <si>
    <t>332056</t>
  </si>
  <si>
    <t>332054</t>
  </si>
  <si>
    <t>13381457久万高原町</t>
  </si>
  <si>
    <t>1339-1</t>
  </si>
  <si>
    <t>岡山県井原市</t>
  </si>
  <si>
    <t>1339</t>
  </si>
  <si>
    <t>332072</t>
  </si>
  <si>
    <t>332071</t>
  </si>
  <si>
    <t>13391458松前町</t>
  </si>
  <si>
    <t>1340-1</t>
  </si>
  <si>
    <t>岡山県総社市</t>
  </si>
  <si>
    <t>1340</t>
  </si>
  <si>
    <t>332080</t>
  </si>
  <si>
    <t>332089</t>
  </si>
  <si>
    <t>13401459砥部町</t>
  </si>
  <si>
    <t>1341-1</t>
  </si>
  <si>
    <t>岡山県高梁市</t>
  </si>
  <si>
    <t>1341</t>
  </si>
  <si>
    <t>332098</t>
  </si>
  <si>
    <t>332097</t>
  </si>
  <si>
    <t>13411460内子町</t>
  </si>
  <si>
    <t>1342-1</t>
  </si>
  <si>
    <t>岡山県新見市</t>
  </si>
  <si>
    <t>1342</t>
  </si>
  <si>
    <t>332106</t>
  </si>
  <si>
    <t>332101</t>
  </si>
  <si>
    <t>13421461伊方町</t>
  </si>
  <si>
    <t>1343-1</t>
  </si>
  <si>
    <t>岡山県備前市</t>
  </si>
  <si>
    <t>1343</t>
  </si>
  <si>
    <t>332114</t>
  </si>
  <si>
    <t>332119</t>
  </si>
  <si>
    <t>13431462松野町</t>
  </si>
  <si>
    <t>1344-1</t>
  </si>
  <si>
    <t>岡山県瀬戸内市</t>
  </si>
  <si>
    <t>1344</t>
  </si>
  <si>
    <t>332122</t>
  </si>
  <si>
    <t>332127</t>
  </si>
  <si>
    <t>13441463鬼北町</t>
  </si>
  <si>
    <t>1345-1</t>
  </si>
  <si>
    <t>岡山県赤磐市</t>
  </si>
  <si>
    <t>1345</t>
  </si>
  <si>
    <t>332130</t>
  </si>
  <si>
    <t>332135</t>
  </si>
  <si>
    <t>13451464愛南町</t>
  </si>
  <si>
    <t>1346-1</t>
  </si>
  <si>
    <t>岡山県真庭市</t>
  </si>
  <si>
    <t>1346</t>
  </si>
  <si>
    <t>332148</t>
  </si>
  <si>
    <t>332143</t>
  </si>
  <si>
    <t>13461465高知市</t>
  </si>
  <si>
    <t>1347-1</t>
  </si>
  <si>
    <t>岡山県美作市</t>
  </si>
  <si>
    <t>1347</t>
  </si>
  <si>
    <t>332155</t>
  </si>
  <si>
    <t>332151</t>
  </si>
  <si>
    <t>13471466室戸市</t>
  </si>
  <si>
    <t>1348-1</t>
  </si>
  <si>
    <t>岡山県浅口市</t>
  </si>
  <si>
    <t>1348</t>
  </si>
  <si>
    <t>332163</t>
  </si>
  <si>
    <t>332160</t>
  </si>
  <si>
    <t>13481467安芸市</t>
  </si>
  <si>
    <t>1349-1</t>
  </si>
  <si>
    <t>岡山県和気町</t>
  </si>
  <si>
    <t>1349</t>
  </si>
  <si>
    <t>333468</t>
  </si>
  <si>
    <t>13491468南国市</t>
  </si>
  <si>
    <t>1350-1</t>
  </si>
  <si>
    <t>岡山県早島町</t>
  </si>
  <si>
    <t>1350</t>
  </si>
  <si>
    <t>334235</t>
  </si>
  <si>
    <t>13501469土佐市</t>
  </si>
  <si>
    <t>1351-1</t>
  </si>
  <si>
    <t>岡山県里庄町</t>
  </si>
  <si>
    <t>1351</t>
  </si>
  <si>
    <t>334458</t>
  </si>
  <si>
    <t>334456</t>
  </si>
  <si>
    <t>13511470須崎市</t>
  </si>
  <si>
    <t>1352-1</t>
  </si>
  <si>
    <t>岡山県矢掛町</t>
  </si>
  <si>
    <t>1352</t>
  </si>
  <si>
    <t>334615</t>
  </si>
  <si>
    <t>334618</t>
  </si>
  <si>
    <t>13521471宿毛市</t>
  </si>
  <si>
    <t>1353-1</t>
  </si>
  <si>
    <t>岡山県新庄村</t>
  </si>
  <si>
    <t>1353</t>
  </si>
  <si>
    <t>335869</t>
  </si>
  <si>
    <t>335860</t>
  </si>
  <si>
    <t>13531472土佐清水市</t>
  </si>
  <si>
    <t>1354-1</t>
  </si>
  <si>
    <t>岡山県鏡野町</t>
  </si>
  <si>
    <t>1354</t>
  </si>
  <si>
    <t>336065</t>
  </si>
  <si>
    <t>336068</t>
  </si>
  <si>
    <t>13541473四万十市</t>
  </si>
  <si>
    <t>1355-1</t>
  </si>
  <si>
    <t>岡山県勝央町</t>
  </si>
  <si>
    <t>1355</t>
  </si>
  <si>
    <t>336222</t>
  </si>
  <si>
    <t>622</t>
  </si>
  <si>
    <t>336220</t>
  </si>
  <si>
    <t>13551474香南市</t>
  </si>
  <si>
    <t>1356-1</t>
  </si>
  <si>
    <t>岡山県奈義町</t>
  </si>
  <si>
    <t>1356</t>
  </si>
  <si>
    <t>336230</t>
  </si>
  <si>
    <t>623</t>
  </si>
  <si>
    <t>336238</t>
  </si>
  <si>
    <t>13561475香美市</t>
  </si>
  <si>
    <t>1357-1</t>
  </si>
  <si>
    <t>岡山県西粟倉村</t>
  </si>
  <si>
    <t>1357</t>
  </si>
  <si>
    <t>336438</t>
  </si>
  <si>
    <t>336432</t>
  </si>
  <si>
    <t>13571476東洋町</t>
  </si>
  <si>
    <t>1358-1</t>
  </si>
  <si>
    <t>岡山県久米南町</t>
  </si>
  <si>
    <t>1358</t>
  </si>
  <si>
    <t>336636</t>
  </si>
  <si>
    <t>336637</t>
  </si>
  <si>
    <t>13581477芸西村</t>
  </si>
  <si>
    <t>1359-1</t>
  </si>
  <si>
    <t>岡山県美咲町</t>
  </si>
  <si>
    <t>1359</t>
  </si>
  <si>
    <t>336669</t>
  </si>
  <si>
    <t>666</t>
  </si>
  <si>
    <t>336661</t>
  </si>
  <si>
    <t>13591478本山町</t>
  </si>
  <si>
    <t>1360-1</t>
  </si>
  <si>
    <t>岡山県吉備中央町</t>
  </si>
  <si>
    <t>1360</t>
  </si>
  <si>
    <t>336818</t>
  </si>
  <si>
    <t>681</t>
  </si>
  <si>
    <t>336815</t>
  </si>
  <si>
    <t>13601479大豊町</t>
  </si>
  <si>
    <t>1361-1</t>
  </si>
  <si>
    <t>広島県広島市</t>
  </si>
  <si>
    <t>1361</t>
  </si>
  <si>
    <t>341008</t>
  </si>
  <si>
    <t>341002</t>
  </si>
  <si>
    <t>13611480土佐町</t>
  </si>
  <si>
    <t>1362-1</t>
  </si>
  <si>
    <t>広島県呉市</t>
  </si>
  <si>
    <t>1362</t>
  </si>
  <si>
    <t>342022</t>
  </si>
  <si>
    <t>342025</t>
  </si>
  <si>
    <t>13621481大川村</t>
  </si>
  <si>
    <t>1363-1</t>
  </si>
  <si>
    <t>広島県竹原市</t>
  </si>
  <si>
    <t>1363</t>
  </si>
  <si>
    <t>342030</t>
  </si>
  <si>
    <t>342033</t>
  </si>
  <si>
    <t>13631482いの町</t>
  </si>
  <si>
    <t>1364-1</t>
  </si>
  <si>
    <t>広島県三原市</t>
  </si>
  <si>
    <t>1364</t>
  </si>
  <si>
    <t>342048</t>
  </si>
  <si>
    <t>342041</t>
  </si>
  <si>
    <t>13641483仁淀川町</t>
  </si>
  <si>
    <t>1365-1</t>
  </si>
  <si>
    <t>広島県尾道市</t>
  </si>
  <si>
    <t>1365</t>
  </si>
  <si>
    <t>342055</t>
  </si>
  <si>
    <t>342050</t>
  </si>
  <si>
    <t>13651484中土佐町</t>
  </si>
  <si>
    <t>1366-1</t>
  </si>
  <si>
    <t>広島県福山市</t>
  </si>
  <si>
    <t>1366</t>
  </si>
  <si>
    <t>342071</t>
  </si>
  <si>
    <t>342076</t>
  </si>
  <si>
    <t>13661485佐川町</t>
  </si>
  <si>
    <t>1367-1</t>
  </si>
  <si>
    <t>広島県府中市</t>
  </si>
  <si>
    <t>1367</t>
  </si>
  <si>
    <t>342089</t>
  </si>
  <si>
    <t>342084</t>
  </si>
  <si>
    <t>13671486越知町</t>
  </si>
  <si>
    <t>1368-1</t>
  </si>
  <si>
    <t>広島県三次市</t>
  </si>
  <si>
    <t>1368</t>
  </si>
  <si>
    <t>342097</t>
  </si>
  <si>
    <t>342092</t>
  </si>
  <si>
    <t>13681487梼原町</t>
  </si>
  <si>
    <t>1369-1</t>
  </si>
  <si>
    <t>広島県庄原市</t>
  </si>
  <si>
    <t>1369</t>
  </si>
  <si>
    <t>342105</t>
  </si>
  <si>
    <t>342106</t>
  </si>
  <si>
    <t>13691488日高村</t>
  </si>
  <si>
    <t>1370-1</t>
  </si>
  <si>
    <t>広島県大竹市</t>
  </si>
  <si>
    <t>1370</t>
  </si>
  <si>
    <t>342113</t>
  </si>
  <si>
    <t>342114</t>
  </si>
  <si>
    <t>13701489津野町</t>
  </si>
  <si>
    <t>1371-1</t>
  </si>
  <si>
    <t>広島県東広島市</t>
  </si>
  <si>
    <t>1371</t>
  </si>
  <si>
    <t>342121</t>
  </si>
  <si>
    <t>342122</t>
  </si>
  <si>
    <t>13711490四万十町</t>
  </si>
  <si>
    <t>1372-1</t>
  </si>
  <si>
    <t>広島県廿日市市</t>
  </si>
  <si>
    <t>1372</t>
  </si>
  <si>
    <t>342139</t>
  </si>
  <si>
    <t>342131</t>
  </si>
  <si>
    <t>13721491大月町</t>
  </si>
  <si>
    <t>1373-1</t>
  </si>
  <si>
    <t>広島県安芸高田市</t>
  </si>
  <si>
    <t>1373</t>
  </si>
  <si>
    <t>342147</t>
  </si>
  <si>
    <t>342149</t>
  </si>
  <si>
    <t>13731492三原村</t>
  </si>
  <si>
    <t>1374-1</t>
  </si>
  <si>
    <t>広島県江田島市</t>
  </si>
  <si>
    <t>1374</t>
  </si>
  <si>
    <t>342154</t>
  </si>
  <si>
    <t>342157</t>
  </si>
  <si>
    <t>13741493黒潮町</t>
  </si>
  <si>
    <t>1375-1</t>
  </si>
  <si>
    <t>広島県府中町</t>
  </si>
  <si>
    <t>1375</t>
  </si>
  <si>
    <t>343020</t>
  </si>
  <si>
    <t>343021</t>
  </si>
  <si>
    <t>13751494中芸広域連合</t>
  </si>
  <si>
    <t>1376-1</t>
  </si>
  <si>
    <t>広島県海田町</t>
  </si>
  <si>
    <t>1376</t>
  </si>
  <si>
    <t>343046</t>
  </si>
  <si>
    <t>343048</t>
  </si>
  <si>
    <t>13761500北九州市</t>
  </si>
  <si>
    <t>1377-1</t>
  </si>
  <si>
    <t>広島県熊野町</t>
  </si>
  <si>
    <t>1377</t>
  </si>
  <si>
    <t>343079</t>
  </si>
  <si>
    <t>343072</t>
  </si>
  <si>
    <t>13771501福岡市</t>
  </si>
  <si>
    <t>1378-1</t>
  </si>
  <si>
    <t>広島県坂町</t>
  </si>
  <si>
    <t>1378</t>
  </si>
  <si>
    <t>343095</t>
  </si>
  <si>
    <t>343099</t>
  </si>
  <si>
    <t>13781502大牟田市</t>
  </si>
  <si>
    <t>1379-1</t>
  </si>
  <si>
    <t>広島県安芸太田町</t>
  </si>
  <si>
    <t>1379</t>
  </si>
  <si>
    <t>343681</t>
  </si>
  <si>
    <t>343684</t>
  </si>
  <si>
    <t>13791503久留米市</t>
  </si>
  <si>
    <t>1380-1</t>
  </si>
  <si>
    <t>広島県北広島町</t>
  </si>
  <si>
    <t>1380</t>
  </si>
  <si>
    <t>343699</t>
  </si>
  <si>
    <t>343692</t>
  </si>
  <si>
    <t>13801504直方市</t>
  </si>
  <si>
    <t>1381-1</t>
  </si>
  <si>
    <t>広島県大崎上島町</t>
  </si>
  <si>
    <t>1381</t>
  </si>
  <si>
    <t>344317</t>
  </si>
  <si>
    <t>344311</t>
  </si>
  <si>
    <t>13811505飯塚市</t>
  </si>
  <si>
    <t>1382-1</t>
  </si>
  <si>
    <t>広島県世羅町</t>
  </si>
  <si>
    <t>1382</t>
  </si>
  <si>
    <t>344622</t>
  </si>
  <si>
    <t>344621</t>
  </si>
  <si>
    <t>13821506八女市</t>
  </si>
  <si>
    <t>1383-1</t>
  </si>
  <si>
    <t>広島県神石高原町</t>
  </si>
  <si>
    <t>1383</t>
  </si>
  <si>
    <t>345454</t>
  </si>
  <si>
    <t>345458</t>
  </si>
  <si>
    <t>13831507筑後市</t>
  </si>
  <si>
    <t>1384-1</t>
  </si>
  <si>
    <t>山口県下関市</t>
  </si>
  <si>
    <t>1384</t>
  </si>
  <si>
    <t>352013</t>
  </si>
  <si>
    <t>352012</t>
  </si>
  <si>
    <t>13841508大川市</t>
  </si>
  <si>
    <t>1385-1</t>
  </si>
  <si>
    <t>山口県宇部市</t>
  </si>
  <si>
    <t>1385</t>
  </si>
  <si>
    <t>352021</t>
  </si>
  <si>
    <t>13851509行橋市</t>
  </si>
  <si>
    <t>1386-1</t>
  </si>
  <si>
    <t>山口県山口市</t>
  </si>
  <si>
    <t>1386</t>
  </si>
  <si>
    <t>352039</t>
  </si>
  <si>
    <t>13861510中間市</t>
  </si>
  <si>
    <t>1387-1</t>
  </si>
  <si>
    <t>山口県萩市</t>
  </si>
  <si>
    <t>1387</t>
  </si>
  <si>
    <t>352047</t>
  </si>
  <si>
    <t>13871511小郡市</t>
  </si>
  <si>
    <t>1388-1</t>
  </si>
  <si>
    <t>山口県防府市</t>
  </si>
  <si>
    <t>1388</t>
  </si>
  <si>
    <t>352062</t>
  </si>
  <si>
    <t>352063</t>
  </si>
  <si>
    <t>13881512筑紫野市</t>
  </si>
  <si>
    <t>1389-1</t>
  </si>
  <si>
    <t>山口県下松市</t>
  </si>
  <si>
    <t>1389</t>
  </si>
  <si>
    <t>352070</t>
  </si>
  <si>
    <t>352071</t>
  </si>
  <si>
    <t>13891513春日市</t>
  </si>
  <si>
    <t>1390-1</t>
  </si>
  <si>
    <t>山口県岩国市</t>
  </si>
  <si>
    <t>1390</t>
  </si>
  <si>
    <t>352088</t>
  </si>
  <si>
    <t>352080</t>
  </si>
  <si>
    <t>13901514大野城市</t>
  </si>
  <si>
    <t>1391-1</t>
  </si>
  <si>
    <t>山口県光市</t>
  </si>
  <si>
    <t>1391</t>
  </si>
  <si>
    <t>352104</t>
  </si>
  <si>
    <t>352101</t>
  </si>
  <si>
    <t>13911515宗像市</t>
  </si>
  <si>
    <t>1392-1</t>
  </si>
  <si>
    <t>山口県長門市</t>
  </si>
  <si>
    <t>1392</t>
  </si>
  <si>
    <t>352112</t>
  </si>
  <si>
    <t>352110</t>
  </si>
  <si>
    <t>13921516太宰府市</t>
  </si>
  <si>
    <t>1393-1</t>
  </si>
  <si>
    <t>山口県柳井市</t>
  </si>
  <si>
    <t>1393</t>
  </si>
  <si>
    <t>352120</t>
  </si>
  <si>
    <t>352128</t>
  </si>
  <si>
    <t>13931517古賀市</t>
  </si>
  <si>
    <t>1394-1</t>
  </si>
  <si>
    <t>山口県美祢市</t>
  </si>
  <si>
    <t>1394</t>
  </si>
  <si>
    <t>352138</t>
  </si>
  <si>
    <t>352136</t>
  </si>
  <si>
    <t>13941518福津市</t>
  </si>
  <si>
    <t>1395-1</t>
  </si>
  <si>
    <t>山口県周南市</t>
  </si>
  <si>
    <t>1395</t>
  </si>
  <si>
    <t>352153</t>
  </si>
  <si>
    <t>352152</t>
  </si>
  <si>
    <t>13951519嘉麻市</t>
  </si>
  <si>
    <t>1396-1</t>
  </si>
  <si>
    <t>山口県山陽小野田市</t>
  </si>
  <si>
    <t>1396</t>
  </si>
  <si>
    <t>352161</t>
  </si>
  <si>
    <t>13961520朝倉市</t>
  </si>
  <si>
    <t>1397-1</t>
  </si>
  <si>
    <t>山口県周防大島町</t>
  </si>
  <si>
    <t>1397</t>
  </si>
  <si>
    <t>353052</t>
  </si>
  <si>
    <t>353051</t>
  </si>
  <si>
    <t>13971521みやま市</t>
  </si>
  <si>
    <t>1398-1</t>
  </si>
  <si>
    <t>山口県和木町</t>
  </si>
  <si>
    <t>1398</t>
  </si>
  <si>
    <t>353219</t>
  </si>
  <si>
    <t>353213</t>
  </si>
  <si>
    <t>13981522糸島市</t>
  </si>
  <si>
    <t>1399-1</t>
  </si>
  <si>
    <t>山口県上関町</t>
  </si>
  <si>
    <t>1399</t>
  </si>
  <si>
    <t>353417</t>
  </si>
  <si>
    <t>353418</t>
  </si>
  <si>
    <t>13991523那珂川市</t>
  </si>
  <si>
    <t>1400-1</t>
  </si>
  <si>
    <t>山口県田布施町</t>
  </si>
  <si>
    <t>1400</t>
  </si>
  <si>
    <t>353433</t>
  </si>
  <si>
    <t>353434</t>
  </si>
  <si>
    <t>14001524粕屋町</t>
  </si>
  <si>
    <t>1401-1</t>
  </si>
  <si>
    <t>山口県平生町</t>
  </si>
  <si>
    <t>1401</t>
  </si>
  <si>
    <t>353441</t>
  </si>
  <si>
    <t>353442</t>
  </si>
  <si>
    <t>14011525苅田町</t>
  </si>
  <si>
    <t>1402-1</t>
  </si>
  <si>
    <t>山口県阿武町</t>
  </si>
  <si>
    <t>1402</t>
  </si>
  <si>
    <t>355024</t>
  </si>
  <si>
    <t>355020</t>
  </si>
  <si>
    <t>14021526みやこ町</t>
  </si>
  <si>
    <t>1403-1</t>
  </si>
  <si>
    <t>徳島県徳島市</t>
  </si>
  <si>
    <t>1403</t>
  </si>
  <si>
    <t>362012</t>
  </si>
  <si>
    <t>362018</t>
  </si>
  <si>
    <t>14031527福岡県介護保険広域連合</t>
  </si>
  <si>
    <t>1404-1</t>
  </si>
  <si>
    <t>徳島県鳴門市</t>
  </si>
  <si>
    <t>1404</t>
  </si>
  <si>
    <t>362020</t>
  </si>
  <si>
    <t>362026</t>
  </si>
  <si>
    <t>14041561唐津市</t>
  </si>
  <si>
    <t>1405-1</t>
  </si>
  <si>
    <t>徳島県小松島市</t>
  </si>
  <si>
    <t>1405</t>
  </si>
  <si>
    <t>362038</t>
  </si>
  <si>
    <t>362034</t>
  </si>
  <si>
    <t>14051562伊万里市</t>
  </si>
  <si>
    <t>1406-1</t>
  </si>
  <si>
    <t>徳島県阿南市</t>
  </si>
  <si>
    <t>1406</t>
  </si>
  <si>
    <t>362046</t>
  </si>
  <si>
    <t>362042</t>
  </si>
  <si>
    <t>14061563玄海町</t>
  </si>
  <si>
    <t>1407-1</t>
  </si>
  <si>
    <t>徳島県吉野川市</t>
  </si>
  <si>
    <t>1407</t>
  </si>
  <si>
    <t>362053</t>
  </si>
  <si>
    <t>362051</t>
  </si>
  <si>
    <t>14071564有田町</t>
  </si>
  <si>
    <t>1408-1</t>
  </si>
  <si>
    <t>徳島県阿波市</t>
  </si>
  <si>
    <t>1408</t>
  </si>
  <si>
    <t>362061</t>
  </si>
  <si>
    <t>362069</t>
  </si>
  <si>
    <t>14081565杵藤地区広域市町村圏組合</t>
  </si>
  <si>
    <t>1409-1</t>
  </si>
  <si>
    <t>徳島県美馬市</t>
  </si>
  <si>
    <t>1409</t>
  </si>
  <si>
    <t>362079</t>
  </si>
  <si>
    <t>362077</t>
  </si>
  <si>
    <t>14091573鳥栖地区広域市町村圏組合</t>
  </si>
  <si>
    <t>1410-1</t>
  </si>
  <si>
    <t>徳島県勝浦町</t>
  </si>
  <si>
    <t>1410</t>
  </si>
  <si>
    <t>363010</t>
  </si>
  <si>
    <t>363014</t>
  </si>
  <si>
    <t>14101578佐賀中部広域連合</t>
  </si>
  <si>
    <t>1411-1</t>
  </si>
  <si>
    <t>徳島県上勝町</t>
  </si>
  <si>
    <t>1411</t>
  </si>
  <si>
    <t>363028</t>
  </si>
  <si>
    <t>363022</t>
  </si>
  <si>
    <t>14111584長崎市</t>
  </si>
  <si>
    <t>1412-1</t>
  </si>
  <si>
    <t>徳島県佐那河内村</t>
  </si>
  <si>
    <t>1412</t>
  </si>
  <si>
    <t>363218</t>
  </si>
  <si>
    <t>363219</t>
  </si>
  <si>
    <t>14121585佐世保市</t>
  </si>
  <si>
    <t>1413-1</t>
  </si>
  <si>
    <t>徳島県石井町</t>
  </si>
  <si>
    <t>1413</t>
  </si>
  <si>
    <t>363416</t>
  </si>
  <si>
    <t>363413</t>
  </si>
  <si>
    <t>14131586諫早市</t>
  </si>
  <si>
    <t>1414-1</t>
  </si>
  <si>
    <t>徳島県神山町</t>
  </si>
  <si>
    <t>1414</t>
  </si>
  <si>
    <t>363424</t>
  </si>
  <si>
    <t>363421</t>
  </si>
  <si>
    <t>14141587大村市</t>
  </si>
  <si>
    <t>1415-1</t>
  </si>
  <si>
    <t>徳島県那賀町</t>
  </si>
  <si>
    <t>1415</t>
  </si>
  <si>
    <t>363689</t>
  </si>
  <si>
    <t>363685</t>
  </si>
  <si>
    <t>14151588平戸市</t>
  </si>
  <si>
    <t>1416-1</t>
  </si>
  <si>
    <t>徳島県牟岐町</t>
  </si>
  <si>
    <t>1416</t>
  </si>
  <si>
    <t>363838</t>
  </si>
  <si>
    <t>363839</t>
  </si>
  <si>
    <t>14161589松浦市</t>
  </si>
  <si>
    <t>1417-1</t>
  </si>
  <si>
    <t>徳島県美波町</t>
  </si>
  <si>
    <t>1417</t>
  </si>
  <si>
    <t>363879</t>
  </si>
  <si>
    <t>363871</t>
  </si>
  <si>
    <t>14171590対馬市</t>
  </si>
  <si>
    <t>1418-1</t>
  </si>
  <si>
    <t>徳島県海陽町</t>
  </si>
  <si>
    <t>1418</t>
  </si>
  <si>
    <t>363887</t>
  </si>
  <si>
    <t>363880</t>
  </si>
  <si>
    <t>14181591壱岐市</t>
  </si>
  <si>
    <t>1419-1</t>
  </si>
  <si>
    <t>徳島県松茂町</t>
  </si>
  <si>
    <t>1419</t>
  </si>
  <si>
    <t>364018</t>
  </si>
  <si>
    <t>364011</t>
  </si>
  <si>
    <t>14191592五島市</t>
  </si>
  <si>
    <t>1420-1</t>
  </si>
  <si>
    <t>徳島県北島町</t>
  </si>
  <si>
    <t>1420</t>
  </si>
  <si>
    <t>364026</t>
  </si>
  <si>
    <t>364029</t>
  </si>
  <si>
    <t>14201593西海市</t>
  </si>
  <si>
    <t>1421-1</t>
  </si>
  <si>
    <t>徳島県藍住町</t>
  </si>
  <si>
    <t>1421</t>
  </si>
  <si>
    <t>364034</t>
  </si>
  <si>
    <t>364037</t>
  </si>
  <si>
    <t>14211594長与町</t>
  </si>
  <si>
    <t>1422-1</t>
  </si>
  <si>
    <t>徳島県板野町</t>
  </si>
  <si>
    <t>1422</t>
  </si>
  <si>
    <t>364042</t>
  </si>
  <si>
    <t>364045</t>
  </si>
  <si>
    <t>14221595時津町</t>
  </si>
  <si>
    <t>1423-1</t>
  </si>
  <si>
    <t>徳島県上板町</t>
  </si>
  <si>
    <t>1423</t>
  </si>
  <si>
    <t>364059</t>
  </si>
  <si>
    <t>364053</t>
  </si>
  <si>
    <t>14231596東彼杵町</t>
  </si>
  <si>
    <t>1424-1</t>
  </si>
  <si>
    <t>徳島県つるぎ町</t>
  </si>
  <si>
    <t>1424</t>
  </si>
  <si>
    <t>364687</t>
  </si>
  <si>
    <t>364681</t>
  </si>
  <si>
    <t>14241597川棚町</t>
  </si>
  <si>
    <t>1425-1</t>
  </si>
  <si>
    <t>徳島県みよし広域連合</t>
  </si>
  <si>
    <t>1425</t>
  </si>
  <si>
    <t>369108</t>
  </si>
  <si>
    <t>910</t>
  </si>
  <si>
    <t>369101</t>
  </si>
  <si>
    <t>14251598波佐見町</t>
  </si>
  <si>
    <t>1425-2</t>
  </si>
  <si>
    <t>徳島県三好市</t>
  </si>
  <si>
    <t>1426</t>
  </si>
  <si>
    <t>362087</t>
  </si>
  <si>
    <t>362085</t>
  </si>
  <si>
    <t>14261599小値賀町</t>
  </si>
  <si>
    <t>1425-3</t>
  </si>
  <si>
    <t>徳島県東みよし町</t>
  </si>
  <si>
    <t>1427</t>
  </si>
  <si>
    <t>364893</t>
  </si>
  <si>
    <t>489</t>
  </si>
  <si>
    <t>364894</t>
  </si>
  <si>
    <t>14271600佐々町</t>
  </si>
  <si>
    <t>1428-1</t>
  </si>
  <si>
    <t>香川県高松市</t>
  </si>
  <si>
    <t>1428</t>
  </si>
  <si>
    <t>372011</t>
  </si>
  <si>
    <t>372013</t>
  </si>
  <si>
    <t>14281601新上五島町</t>
  </si>
  <si>
    <t>1429-1</t>
  </si>
  <si>
    <t>香川県丸亀市</t>
  </si>
  <si>
    <t>1429</t>
  </si>
  <si>
    <t>372029</t>
  </si>
  <si>
    <t>372021</t>
  </si>
  <si>
    <t>14291602島原地域広域市町村圏組合</t>
  </si>
  <si>
    <t>1430-1</t>
  </si>
  <si>
    <t>香川県坂出市</t>
  </si>
  <si>
    <t>1430</t>
  </si>
  <si>
    <t>372037</t>
  </si>
  <si>
    <t>372030</t>
  </si>
  <si>
    <t>14301606熊本市</t>
  </si>
  <si>
    <t>1431-1</t>
  </si>
  <si>
    <t>香川県善通寺市</t>
  </si>
  <si>
    <t>1431</t>
  </si>
  <si>
    <t>372045</t>
  </si>
  <si>
    <t>372048</t>
  </si>
  <si>
    <t>14311607八代市</t>
  </si>
  <si>
    <t>1432-1</t>
  </si>
  <si>
    <t>香川県観音寺市</t>
  </si>
  <si>
    <t>1432</t>
  </si>
  <si>
    <t>372052</t>
  </si>
  <si>
    <t>372056</t>
  </si>
  <si>
    <t>14321608人吉市</t>
  </si>
  <si>
    <t>1433-1</t>
  </si>
  <si>
    <t>香川県さぬき市</t>
  </si>
  <si>
    <t>1433</t>
  </si>
  <si>
    <t>372060</t>
  </si>
  <si>
    <t>372064</t>
  </si>
  <si>
    <t>14331609荒尾市</t>
  </si>
  <si>
    <t>1434-1</t>
  </si>
  <si>
    <t>香川県東かがわ市</t>
  </si>
  <si>
    <t>1434</t>
  </si>
  <si>
    <t>372078</t>
  </si>
  <si>
    <t>372072</t>
  </si>
  <si>
    <t>14341610水俣市</t>
  </si>
  <si>
    <t>1435-1</t>
  </si>
  <si>
    <t>香川県三豊市</t>
  </si>
  <si>
    <t>1435</t>
  </si>
  <si>
    <t>372086</t>
  </si>
  <si>
    <t>372081</t>
  </si>
  <si>
    <t>14351611玉名市</t>
  </si>
  <si>
    <t>1436-1</t>
  </si>
  <si>
    <t>香川県土庄町</t>
  </si>
  <si>
    <t>1436</t>
  </si>
  <si>
    <t>373225</t>
  </si>
  <si>
    <t>373222</t>
  </si>
  <si>
    <t>14361612山鹿市</t>
  </si>
  <si>
    <t>1437-1</t>
  </si>
  <si>
    <t>香川県小豆島町</t>
  </si>
  <si>
    <t>1437</t>
  </si>
  <si>
    <t>373241</t>
  </si>
  <si>
    <t>373249</t>
  </si>
  <si>
    <t>14371613菊池市</t>
  </si>
  <si>
    <t>1438-1</t>
  </si>
  <si>
    <t>香川県三木町</t>
  </si>
  <si>
    <t>1438</t>
  </si>
  <si>
    <t>373415</t>
  </si>
  <si>
    <t>373419</t>
  </si>
  <si>
    <t>14381614宇土市</t>
  </si>
  <si>
    <t>1439-1</t>
  </si>
  <si>
    <t>香川県直島町</t>
  </si>
  <si>
    <t>1439</t>
  </si>
  <si>
    <t>373647</t>
  </si>
  <si>
    <t>373648</t>
  </si>
  <si>
    <t>14391615上天草市</t>
  </si>
  <si>
    <t>1440-1</t>
  </si>
  <si>
    <t>香川県宇多津町</t>
  </si>
  <si>
    <t>1440</t>
  </si>
  <si>
    <t>373860</t>
  </si>
  <si>
    <t>373869</t>
  </si>
  <si>
    <t>14401616宇城市</t>
  </si>
  <si>
    <t>1441-1</t>
  </si>
  <si>
    <t>香川県綾川町</t>
  </si>
  <si>
    <t>1441</t>
  </si>
  <si>
    <t>373878</t>
  </si>
  <si>
    <t>373877</t>
  </si>
  <si>
    <t>14411617阿蘇市</t>
  </si>
  <si>
    <t>1442-1</t>
  </si>
  <si>
    <t>香川県琴平町</t>
  </si>
  <si>
    <t>1442</t>
  </si>
  <si>
    <t>374033</t>
  </si>
  <si>
    <t>374032</t>
  </si>
  <si>
    <t>14421618天草市</t>
  </si>
  <si>
    <t>1443-1</t>
  </si>
  <si>
    <t>香川県多度津町</t>
  </si>
  <si>
    <t>1443</t>
  </si>
  <si>
    <t>374041</t>
  </si>
  <si>
    <t>14431619合志市</t>
  </si>
  <si>
    <t>1444-1</t>
  </si>
  <si>
    <t>香川県まんのう町</t>
  </si>
  <si>
    <t>1444</t>
  </si>
  <si>
    <t>374066</t>
  </si>
  <si>
    <t>374067</t>
  </si>
  <si>
    <t>14441620美里町</t>
  </si>
  <si>
    <t>1445-1</t>
  </si>
  <si>
    <t>愛媛県松山市</t>
  </si>
  <si>
    <t>1445</t>
  </si>
  <si>
    <t>382010</t>
  </si>
  <si>
    <t>382019</t>
  </si>
  <si>
    <t>14451621玉東町</t>
  </si>
  <si>
    <t>1446-1</t>
  </si>
  <si>
    <t>愛媛県今治市</t>
  </si>
  <si>
    <t>1446</t>
  </si>
  <si>
    <t>382028</t>
  </si>
  <si>
    <t>382027</t>
  </si>
  <si>
    <t>14461622南関町</t>
  </si>
  <si>
    <t>1447-1</t>
  </si>
  <si>
    <t>愛媛県宇和島市</t>
  </si>
  <si>
    <t>1447</t>
  </si>
  <si>
    <t>382036</t>
  </si>
  <si>
    <t>382035</t>
  </si>
  <si>
    <t>14471623長洲町</t>
  </si>
  <si>
    <t>1448-1</t>
  </si>
  <si>
    <t>愛媛県八幡浜市</t>
  </si>
  <si>
    <t>1448</t>
  </si>
  <si>
    <t>382044</t>
  </si>
  <si>
    <t>382043</t>
  </si>
  <si>
    <t>14481624和水町</t>
  </si>
  <si>
    <t>1449-1</t>
  </si>
  <si>
    <t>愛媛県新居浜市</t>
  </si>
  <si>
    <t>1449</t>
  </si>
  <si>
    <t>382051</t>
  </si>
  <si>
    <t>14491625大津町</t>
  </si>
  <si>
    <t>1450-1</t>
  </si>
  <si>
    <t>愛媛県西条市</t>
  </si>
  <si>
    <t>1450</t>
  </si>
  <si>
    <t>382069</t>
  </si>
  <si>
    <t>382060</t>
  </si>
  <si>
    <t>14501626菊陽町</t>
  </si>
  <si>
    <t>1451-1</t>
  </si>
  <si>
    <t>愛媛県大洲市</t>
  </si>
  <si>
    <t>1451</t>
  </si>
  <si>
    <t>382077</t>
  </si>
  <si>
    <t>382078</t>
  </si>
  <si>
    <t>14511627南小国町</t>
  </si>
  <si>
    <t>1452-1</t>
  </si>
  <si>
    <t>愛媛県伊予市</t>
  </si>
  <si>
    <t>1452</t>
  </si>
  <si>
    <t>382101</t>
  </si>
  <si>
    <t>382108</t>
  </si>
  <si>
    <t>14521628小国町</t>
  </si>
  <si>
    <t>1453-1</t>
  </si>
  <si>
    <t>愛媛県四国中央市</t>
  </si>
  <si>
    <t>1453</t>
  </si>
  <si>
    <t>382135</t>
  </si>
  <si>
    <t>382132</t>
  </si>
  <si>
    <t>14531629産山村</t>
  </si>
  <si>
    <t>1454-1</t>
  </si>
  <si>
    <t>愛媛県西予市</t>
  </si>
  <si>
    <t>1454</t>
  </si>
  <si>
    <t>382143</t>
  </si>
  <si>
    <t>382141</t>
  </si>
  <si>
    <t>14541630高森町</t>
  </si>
  <si>
    <t>1455-1</t>
  </si>
  <si>
    <t>愛媛県東温市</t>
  </si>
  <si>
    <t>1455</t>
  </si>
  <si>
    <t>382150</t>
  </si>
  <si>
    <t>382159</t>
  </si>
  <si>
    <t>14551631西原村</t>
  </si>
  <si>
    <t>1456-1</t>
  </si>
  <si>
    <t>愛媛県上島町</t>
  </si>
  <si>
    <t>1456</t>
  </si>
  <si>
    <t>383562</t>
  </si>
  <si>
    <t>356</t>
  </si>
  <si>
    <t>14561632南阿蘇村</t>
  </si>
  <si>
    <t>1457-1</t>
  </si>
  <si>
    <t>愛媛県久万高原町</t>
  </si>
  <si>
    <t>1457</t>
  </si>
  <si>
    <t>383869</t>
  </si>
  <si>
    <t>383864</t>
  </si>
  <si>
    <t>14571633御船町</t>
  </si>
  <si>
    <t>1458-1</t>
  </si>
  <si>
    <t>愛媛県松前町</t>
  </si>
  <si>
    <t>1458</t>
  </si>
  <si>
    <t>384016</t>
  </si>
  <si>
    <t>384011</t>
  </si>
  <si>
    <t>14581634嘉島町</t>
  </si>
  <si>
    <t>1459-1</t>
  </si>
  <si>
    <t>愛媛県砥部町</t>
  </si>
  <si>
    <t>1459</t>
  </si>
  <si>
    <t>384024</t>
  </si>
  <si>
    <t>384020</t>
  </si>
  <si>
    <t>14591635益城町</t>
  </si>
  <si>
    <t>1460-1</t>
  </si>
  <si>
    <t>愛媛県内子町</t>
  </si>
  <si>
    <t>1460</t>
  </si>
  <si>
    <t>384222</t>
  </si>
  <si>
    <t>384224</t>
  </si>
  <si>
    <t>14601636甲佐町</t>
  </si>
  <si>
    <t>1461-1</t>
  </si>
  <si>
    <t>愛媛県伊方町</t>
  </si>
  <si>
    <t>1461</t>
  </si>
  <si>
    <t>384420</t>
  </si>
  <si>
    <t>384429</t>
  </si>
  <si>
    <t>14611637山都町</t>
  </si>
  <si>
    <t>1462-1</t>
  </si>
  <si>
    <t>愛媛県松野町</t>
  </si>
  <si>
    <t>1462</t>
  </si>
  <si>
    <t>384842</t>
  </si>
  <si>
    <t>384844</t>
  </si>
  <si>
    <t>14621638氷川町</t>
  </si>
  <si>
    <t>1463-1</t>
  </si>
  <si>
    <t>愛媛県鬼北町</t>
  </si>
  <si>
    <t>1463</t>
  </si>
  <si>
    <t>384883</t>
  </si>
  <si>
    <t>488</t>
  </si>
  <si>
    <t>384887</t>
  </si>
  <si>
    <t>14631639芦北町</t>
  </si>
  <si>
    <t>1464-1</t>
  </si>
  <si>
    <t>愛媛県愛南町</t>
  </si>
  <si>
    <t>1464</t>
  </si>
  <si>
    <t>385062</t>
  </si>
  <si>
    <t>385069</t>
  </si>
  <si>
    <t>14641640津奈木町</t>
  </si>
  <si>
    <t>1465-1</t>
  </si>
  <si>
    <t>高知県高知市</t>
  </si>
  <si>
    <t>1465</t>
  </si>
  <si>
    <t>392019</t>
  </si>
  <si>
    <t>392014</t>
  </si>
  <si>
    <t>14651641錦町</t>
  </si>
  <si>
    <t>1466-1</t>
  </si>
  <si>
    <t>高知県室戸市</t>
  </si>
  <si>
    <t>1466</t>
  </si>
  <si>
    <t>392027</t>
  </si>
  <si>
    <t>392022</t>
  </si>
  <si>
    <t>14661642多良木町</t>
  </si>
  <si>
    <t>1467-1</t>
  </si>
  <si>
    <t>高知県安芸市</t>
  </si>
  <si>
    <t>1467</t>
  </si>
  <si>
    <t>392035</t>
  </si>
  <si>
    <t>392031</t>
  </si>
  <si>
    <t>14671643湯前町</t>
  </si>
  <si>
    <t>1468-1</t>
  </si>
  <si>
    <t>高知県南国市</t>
  </si>
  <si>
    <t>1468</t>
  </si>
  <si>
    <t>392043</t>
  </si>
  <si>
    <t>392049</t>
  </si>
  <si>
    <t>14681644水上村</t>
  </si>
  <si>
    <t>1469-1</t>
  </si>
  <si>
    <t>高知県土佐市</t>
  </si>
  <si>
    <t>1469</t>
  </si>
  <si>
    <t>392050</t>
  </si>
  <si>
    <t>392057</t>
  </si>
  <si>
    <t>14691645相良村</t>
  </si>
  <si>
    <t>1470-1</t>
  </si>
  <si>
    <t>高知県須崎市</t>
  </si>
  <si>
    <t>1470</t>
  </si>
  <si>
    <t>392068</t>
  </si>
  <si>
    <t>392065</t>
  </si>
  <si>
    <t>14701646五木村</t>
  </si>
  <si>
    <t>1471-1</t>
  </si>
  <si>
    <t>高知県宿毛市</t>
  </si>
  <si>
    <t>1471</t>
  </si>
  <si>
    <t>392084</t>
  </si>
  <si>
    <t>392081</t>
  </si>
  <si>
    <t>14711647山江村</t>
  </si>
  <si>
    <t>1472-1</t>
  </si>
  <si>
    <t>高知県土佐清水市</t>
  </si>
  <si>
    <t>1472</t>
  </si>
  <si>
    <t>392092</t>
  </si>
  <si>
    <t>392090</t>
  </si>
  <si>
    <t>14721648球磨村</t>
  </si>
  <si>
    <t>1473-1</t>
  </si>
  <si>
    <t>高知県四万十市</t>
  </si>
  <si>
    <t>1473</t>
  </si>
  <si>
    <t>392100</t>
  </si>
  <si>
    <t>392103</t>
  </si>
  <si>
    <t>14731649あさぎり町</t>
  </si>
  <si>
    <t>1474-1</t>
  </si>
  <si>
    <t>高知県香南市</t>
  </si>
  <si>
    <t>1474</t>
  </si>
  <si>
    <t>392118</t>
  </si>
  <si>
    <t>392111</t>
  </si>
  <si>
    <t>14741650苓北町</t>
  </si>
  <si>
    <t>1475-1</t>
  </si>
  <si>
    <t>高知県香美市</t>
  </si>
  <si>
    <t>1475</t>
  </si>
  <si>
    <t>392126</t>
  </si>
  <si>
    <t>392120</t>
  </si>
  <si>
    <t>14751651大分市</t>
  </si>
  <si>
    <t>1476-1</t>
  </si>
  <si>
    <t>高知県東洋町</t>
  </si>
  <si>
    <t>1476</t>
  </si>
  <si>
    <t>393017</t>
  </si>
  <si>
    <t>393011</t>
  </si>
  <si>
    <t>14761652別府市</t>
  </si>
  <si>
    <t>1477-1</t>
  </si>
  <si>
    <t>高知県芸西村</t>
  </si>
  <si>
    <t>1477</t>
  </si>
  <si>
    <t>393074</t>
  </si>
  <si>
    <t>393070</t>
  </si>
  <si>
    <t>14771653中津市</t>
  </si>
  <si>
    <t>1478-1</t>
  </si>
  <si>
    <t>高知県本山町</t>
  </si>
  <si>
    <t>1478</t>
  </si>
  <si>
    <t>393413</t>
  </si>
  <si>
    <t>393410</t>
  </si>
  <si>
    <t>14781654日田市</t>
  </si>
  <si>
    <t>1479-1</t>
  </si>
  <si>
    <t>高知県大豊町</t>
  </si>
  <si>
    <t>1479</t>
  </si>
  <si>
    <t>393447</t>
  </si>
  <si>
    <t>393444</t>
  </si>
  <si>
    <t>14791655佐伯市</t>
  </si>
  <si>
    <t>1480-1</t>
  </si>
  <si>
    <t>高知県土佐町</t>
  </si>
  <si>
    <t>1480</t>
  </si>
  <si>
    <t>393637</t>
  </si>
  <si>
    <t>393631</t>
  </si>
  <si>
    <t>14801656臼杵市</t>
  </si>
  <si>
    <t>1481-1</t>
  </si>
  <si>
    <t>高知県大川村</t>
  </si>
  <si>
    <t>1481</t>
  </si>
  <si>
    <t>393645</t>
  </si>
  <si>
    <t>393649</t>
  </si>
  <si>
    <t>14811657津久見市</t>
  </si>
  <si>
    <t>1482-1</t>
  </si>
  <si>
    <t>高知県いの町</t>
  </si>
  <si>
    <t>1482</t>
  </si>
  <si>
    <t>393868</t>
  </si>
  <si>
    <t>393860</t>
  </si>
  <si>
    <t>14821658竹田市</t>
  </si>
  <si>
    <t>1483-1</t>
  </si>
  <si>
    <t>高知県仁淀川町</t>
  </si>
  <si>
    <t>1483</t>
  </si>
  <si>
    <t>393876</t>
  </si>
  <si>
    <t>393878</t>
  </si>
  <si>
    <t>14831659豊後高田市</t>
  </si>
  <si>
    <t>1484-1</t>
  </si>
  <si>
    <t>高知県中土佐町</t>
  </si>
  <si>
    <t>1484</t>
  </si>
  <si>
    <t>394015</t>
  </si>
  <si>
    <t>394017</t>
  </si>
  <si>
    <t>14841660杵築市</t>
  </si>
  <si>
    <t>1485-1</t>
  </si>
  <si>
    <t>高知県佐川町</t>
  </si>
  <si>
    <t>1485</t>
  </si>
  <si>
    <t>394023</t>
  </si>
  <si>
    <t>394025</t>
  </si>
  <si>
    <t>14851661宇佐市</t>
  </si>
  <si>
    <t>1486-1</t>
  </si>
  <si>
    <t>高知県越知町</t>
  </si>
  <si>
    <t>1486</t>
  </si>
  <si>
    <t>394031</t>
  </si>
  <si>
    <t>394033</t>
  </si>
  <si>
    <t>14861662豊後大野市</t>
  </si>
  <si>
    <t>1487-1</t>
  </si>
  <si>
    <t>高知県梼原町</t>
  </si>
  <si>
    <t>1487</t>
  </si>
  <si>
    <t>394056</t>
  </si>
  <si>
    <t>394050</t>
  </si>
  <si>
    <t>14871663由布市</t>
  </si>
  <si>
    <t>1488-1</t>
  </si>
  <si>
    <t>高知県日高村</t>
  </si>
  <si>
    <t>1488</t>
  </si>
  <si>
    <t>394106</t>
  </si>
  <si>
    <t>14881664国東市</t>
  </si>
  <si>
    <t>1489-1</t>
  </si>
  <si>
    <t>高知県津野町</t>
  </si>
  <si>
    <t>1489</t>
  </si>
  <si>
    <t>394114</t>
  </si>
  <si>
    <t>14891665姫島村</t>
  </si>
  <si>
    <t>1490-1</t>
  </si>
  <si>
    <t>高知県四万十町</t>
  </si>
  <si>
    <t>1490</t>
  </si>
  <si>
    <t>394122</t>
  </si>
  <si>
    <t>14901666日出町</t>
  </si>
  <si>
    <t>1491-1</t>
  </si>
  <si>
    <t>高知県大月町</t>
  </si>
  <si>
    <t>1491</t>
  </si>
  <si>
    <t>394247</t>
  </si>
  <si>
    <t>394246</t>
  </si>
  <si>
    <t>14911667九重町</t>
  </si>
  <si>
    <t>1492-1</t>
  </si>
  <si>
    <t>高知県三原村</t>
  </si>
  <si>
    <t>1492</t>
  </si>
  <si>
    <t>394270</t>
  </si>
  <si>
    <t>394271</t>
  </si>
  <si>
    <t>14921668玖珠町</t>
  </si>
  <si>
    <t>1493-1</t>
  </si>
  <si>
    <t>高知県黒潮町</t>
  </si>
  <si>
    <t>1493</t>
  </si>
  <si>
    <t>394288</t>
  </si>
  <si>
    <t>394289</t>
  </si>
  <si>
    <t>14931669宮崎市</t>
  </si>
  <si>
    <t>1494-1</t>
  </si>
  <si>
    <t>高知県中芸広域連合</t>
  </si>
  <si>
    <t>1494</t>
  </si>
  <si>
    <t>398784</t>
  </si>
  <si>
    <t>878</t>
  </si>
  <si>
    <t>398781</t>
  </si>
  <si>
    <t>14941670都城市</t>
  </si>
  <si>
    <t>1494-2</t>
  </si>
  <si>
    <t>高知県奈半利町</t>
  </si>
  <si>
    <t>1495</t>
  </si>
  <si>
    <t>393025</t>
  </si>
  <si>
    <t>393029</t>
  </si>
  <si>
    <t>14951671延岡市</t>
  </si>
  <si>
    <t>1494-3</t>
  </si>
  <si>
    <t>高知県田野町</t>
  </si>
  <si>
    <t>1496</t>
  </si>
  <si>
    <t>393033</t>
  </si>
  <si>
    <t>393037</t>
  </si>
  <si>
    <t>14961672日南市</t>
  </si>
  <si>
    <t>1494-4</t>
  </si>
  <si>
    <t>高知県安田町</t>
  </si>
  <si>
    <t>1497</t>
  </si>
  <si>
    <t>393041</t>
  </si>
  <si>
    <t>393045</t>
  </si>
  <si>
    <t>14971673小林市</t>
  </si>
  <si>
    <t>1494-5</t>
  </si>
  <si>
    <t>高知県北川村</t>
  </si>
  <si>
    <t>1498</t>
  </si>
  <si>
    <t>393058</t>
  </si>
  <si>
    <t>393053</t>
  </si>
  <si>
    <t>14981674日向市</t>
  </si>
  <si>
    <t>1494-6</t>
  </si>
  <si>
    <t>高知県馬路村</t>
  </si>
  <si>
    <t>1499</t>
  </si>
  <si>
    <t>393066</t>
  </si>
  <si>
    <t>393061</t>
  </si>
  <si>
    <t>14991675串間市</t>
  </si>
  <si>
    <t>1500-1</t>
  </si>
  <si>
    <t>福岡県北九州市</t>
  </si>
  <si>
    <t>1500</t>
  </si>
  <si>
    <t>401000</t>
  </si>
  <si>
    <t>401005</t>
  </si>
  <si>
    <t>15001676西都市</t>
  </si>
  <si>
    <t>1501-1</t>
  </si>
  <si>
    <t>福岡県福岡市</t>
  </si>
  <si>
    <t>1501</t>
  </si>
  <si>
    <t>401307</t>
  </si>
  <si>
    <t>15011677えびの市</t>
  </si>
  <si>
    <t>1502-1</t>
  </si>
  <si>
    <t>福岡県大牟田市</t>
  </si>
  <si>
    <t>1502</t>
  </si>
  <si>
    <t>402024</t>
  </si>
  <si>
    <t>402028</t>
  </si>
  <si>
    <t>15021678三股町</t>
  </si>
  <si>
    <t>1503-1</t>
  </si>
  <si>
    <t>福岡県久留米市</t>
  </si>
  <si>
    <t>1503</t>
  </si>
  <si>
    <t>402032</t>
  </si>
  <si>
    <t>402036</t>
  </si>
  <si>
    <t>15031679高原町</t>
  </si>
  <si>
    <t>1504-1</t>
  </si>
  <si>
    <t>福岡県直方市</t>
  </si>
  <si>
    <t>1504</t>
  </si>
  <si>
    <t>402040</t>
  </si>
  <si>
    <t>402044</t>
  </si>
  <si>
    <t>15041680国富町</t>
  </si>
  <si>
    <t>1505-1</t>
  </si>
  <si>
    <t>福岡県飯塚市</t>
  </si>
  <si>
    <t>1505</t>
  </si>
  <si>
    <t>402057</t>
  </si>
  <si>
    <t>402052</t>
  </si>
  <si>
    <t>15051681綾町</t>
  </si>
  <si>
    <t>1506-1</t>
  </si>
  <si>
    <t>福岡県八女市</t>
  </si>
  <si>
    <t>1506</t>
  </si>
  <si>
    <t>402107</t>
  </si>
  <si>
    <t>402109</t>
  </si>
  <si>
    <t>15061682高鍋町</t>
  </si>
  <si>
    <t>1507-1</t>
  </si>
  <si>
    <t>福岡県筑後市</t>
  </si>
  <si>
    <t>1507</t>
  </si>
  <si>
    <t>402115</t>
  </si>
  <si>
    <t>402117</t>
  </si>
  <si>
    <t>15071683新富町</t>
  </si>
  <si>
    <t>1508-1</t>
  </si>
  <si>
    <t>福岡県大川市</t>
  </si>
  <si>
    <t>1508</t>
  </si>
  <si>
    <t>402123</t>
  </si>
  <si>
    <t>402125</t>
  </si>
  <si>
    <t>15081684西米良村</t>
  </si>
  <si>
    <t>1509-1</t>
  </si>
  <si>
    <t>福岡県行橋市</t>
  </si>
  <si>
    <t>1509</t>
  </si>
  <si>
    <t>402131</t>
  </si>
  <si>
    <t>402133</t>
  </si>
  <si>
    <t>15091685木城町</t>
  </si>
  <si>
    <t>1510-1</t>
  </si>
  <si>
    <t>福岡県中間市</t>
  </si>
  <si>
    <t>1510</t>
  </si>
  <si>
    <t>402156</t>
  </si>
  <si>
    <t>402150</t>
  </si>
  <si>
    <t>15101686川南町</t>
  </si>
  <si>
    <t>1511-1</t>
  </si>
  <si>
    <t>福岡県小郡市</t>
  </si>
  <si>
    <t>1511</t>
  </si>
  <si>
    <t>402164</t>
  </si>
  <si>
    <t>402168</t>
  </si>
  <si>
    <t>15111687都農町</t>
  </si>
  <si>
    <t>1512-1</t>
  </si>
  <si>
    <t>福岡県筑紫野市</t>
  </si>
  <si>
    <t>1512</t>
  </si>
  <si>
    <t>402172</t>
  </si>
  <si>
    <t>402176</t>
  </si>
  <si>
    <t>15121688門川町</t>
  </si>
  <si>
    <t>1513-1</t>
  </si>
  <si>
    <t>福岡県春日市</t>
  </si>
  <si>
    <t>1513</t>
  </si>
  <si>
    <t>402180</t>
  </si>
  <si>
    <t>402184</t>
  </si>
  <si>
    <t>15131689諸塚村</t>
  </si>
  <si>
    <t>1514-1</t>
  </si>
  <si>
    <t>福岡県大野城市</t>
  </si>
  <si>
    <t>1514</t>
  </si>
  <si>
    <t>402198</t>
  </si>
  <si>
    <t>402192</t>
  </si>
  <si>
    <t>15141690椎葉村</t>
  </si>
  <si>
    <t>1515-1</t>
  </si>
  <si>
    <t>福岡県宗像市</t>
  </si>
  <si>
    <t>1515</t>
  </si>
  <si>
    <t>402206</t>
  </si>
  <si>
    <t>15151691美郷町</t>
  </si>
  <si>
    <t>1516-1</t>
  </si>
  <si>
    <t>福岡県太宰府市</t>
  </si>
  <si>
    <t>1516</t>
  </si>
  <si>
    <t>402214</t>
  </si>
  <si>
    <t>15161692高千穂町</t>
  </si>
  <si>
    <t>1517-1</t>
  </si>
  <si>
    <t>福岡県古賀市</t>
  </si>
  <si>
    <t>1517</t>
  </si>
  <si>
    <t>402231</t>
  </si>
  <si>
    <t>15171693日之影町</t>
  </si>
  <si>
    <t>1518-1</t>
  </si>
  <si>
    <t>福岡県福津市</t>
  </si>
  <si>
    <t>1518</t>
  </si>
  <si>
    <t>402248</t>
  </si>
  <si>
    <t>402249</t>
  </si>
  <si>
    <t>15181694五ヶ瀬町</t>
  </si>
  <si>
    <t>1519-1</t>
  </si>
  <si>
    <t>福岡県嘉麻市</t>
  </si>
  <si>
    <t>1519</t>
  </si>
  <si>
    <t>402271</t>
  </si>
  <si>
    <t>402273</t>
  </si>
  <si>
    <t>15191695鹿児島市</t>
  </si>
  <si>
    <t>1520-1</t>
  </si>
  <si>
    <t>福岡県朝倉市</t>
  </si>
  <si>
    <t>1520</t>
  </si>
  <si>
    <t>402289</t>
  </si>
  <si>
    <t>402281</t>
  </si>
  <si>
    <t>15201696鹿屋市</t>
  </si>
  <si>
    <t>1521-1</t>
  </si>
  <si>
    <t>福岡県みやま市</t>
  </si>
  <si>
    <t>1521</t>
  </si>
  <si>
    <t>402297</t>
  </si>
  <si>
    <t>402290</t>
  </si>
  <si>
    <t>15211697枕崎市</t>
  </si>
  <si>
    <t>1522-1</t>
  </si>
  <si>
    <t>福岡県糸島市</t>
  </si>
  <si>
    <t>1522</t>
  </si>
  <si>
    <t>402305</t>
  </si>
  <si>
    <t>402303</t>
  </si>
  <si>
    <t>15221698阿久根市</t>
  </si>
  <si>
    <t>1523-1</t>
  </si>
  <si>
    <t>福岡県那珂川市</t>
  </si>
  <si>
    <t>1523</t>
  </si>
  <si>
    <t>那珂川市</t>
    <rPh sb="3" eb="4">
      <t>シ</t>
    </rPh>
    <phoneticPr fontId="16"/>
  </si>
  <si>
    <t>402311</t>
  </si>
  <si>
    <t>15231699出水市</t>
  </si>
  <si>
    <t>1524-1</t>
  </si>
  <si>
    <t>福岡県粕屋町</t>
  </si>
  <si>
    <t>1524</t>
  </si>
  <si>
    <t>403493</t>
  </si>
  <si>
    <t>403491</t>
  </si>
  <si>
    <t>15241700指宿市</t>
  </si>
  <si>
    <t>1525-1</t>
  </si>
  <si>
    <t>福岡県苅田町</t>
  </si>
  <si>
    <t>1525</t>
  </si>
  <si>
    <t>406215</t>
  </si>
  <si>
    <t>621</t>
  </si>
  <si>
    <t>406210</t>
  </si>
  <si>
    <t>15251701西之表市</t>
  </si>
  <si>
    <t>1526-1</t>
  </si>
  <si>
    <t>福岡県みやこ町</t>
  </si>
  <si>
    <t>1526</t>
  </si>
  <si>
    <t>406256</t>
  </si>
  <si>
    <t>625</t>
  </si>
  <si>
    <t>406252</t>
  </si>
  <si>
    <t>15261702垂水市</t>
  </si>
  <si>
    <t>1527-1</t>
  </si>
  <si>
    <t>福岡県福岡県介護保険広域連合</t>
  </si>
  <si>
    <t>1527</t>
  </si>
  <si>
    <t>409540</t>
  </si>
  <si>
    <t>954</t>
  </si>
  <si>
    <t>409545</t>
  </si>
  <si>
    <t>15271703薩摩川内市</t>
  </si>
  <si>
    <t>1527-2</t>
  </si>
  <si>
    <t>福岡県田川市</t>
  </si>
  <si>
    <t>1528</t>
  </si>
  <si>
    <t>402065</t>
  </si>
  <si>
    <t>402061</t>
  </si>
  <si>
    <t>15281704日置市</t>
  </si>
  <si>
    <t>1527-3</t>
  </si>
  <si>
    <t>福岡県柳川市</t>
  </si>
  <si>
    <t>1529</t>
  </si>
  <si>
    <t>402073</t>
  </si>
  <si>
    <t>402079</t>
  </si>
  <si>
    <t>15291705曽於市</t>
  </si>
  <si>
    <t>1527-4</t>
  </si>
  <si>
    <t>福岡県豊前市</t>
  </si>
  <si>
    <t>1530</t>
  </si>
  <si>
    <t>402149</t>
  </si>
  <si>
    <t>402141</t>
  </si>
  <si>
    <t>15301706霧島市</t>
  </si>
  <si>
    <t>1527-5</t>
  </si>
  <si>
    <t>福岡県うきは市</t>
  </si>
  <si>
    <t>1531</t>
  </si>
  <si>
    <t>402255</t>
  </si>
  <si>
    <t>402257</t>
  </si>
  <si>
    <t>15311707いちき串木野市</t>
  </si>
  <si>
    <t>1527-6</t>
  </si>
  <si>
    <t>福岡県宮若市</t>
  </si>
  <si>
    <t>1532</t>
  </si>
  <si>
    <t>402263</t>
  </si>
  <si>
    <t>402265</t>
  </si>
  <si>
    <t>15321708南さつま市</t>
  </si>
  <si>
    <t>1527-7</t>
  </si>
  <si>
    <t>福岡県宇美町</t>
  </si>
  <si>
    <t>1533</t>
  </si>
  <si>
    <t>403410</t>
  </si>
  <si>
    <t>403415</t>
  </si>
  <si>
    <t>15331709志布志市</t>
  </si>
  <si>
    <t>1527-8</t>
  </si>
  <si>
    <t>福岡県篠栗町</t>
  </si>
  <si>
    <t>1534</t>
  </si>
  <si>
    <t>403428</t>
  </si>
  <si>
    <t>403423</t>
  </si>
  <si>
    <t>15341710奄美市</t>
  </si>
  <si>
    <t>1527-9</t>
  </si>
  <si>
    <t>福岡県志免町</t>
  </si>
  <si>
    <t>1535</t>
  </si>
  <si>
    <t>403436</t>
  </si>
  <si>
    <t>403431</t>
  </si>
  <si>
    <t>15351711南九州市</t>
  </si>
  <si>
    <t>1527-10</t>
  </si>
  <si>
    <t>福岡県須惠町</t>
  </si>
  <si>
    <t>1536</t>
  </si>
  <si>
    <t>403444</t>
  </si>
  <si>
    <t>403440</t>
  </si>
  <si>
    <t>15361712伊佐市</t>
  </si>
  <si>
    <t>1527-11</t>
  </si>
  <si>
    <t>福岡県新宮町</t>
  </si>
  <si>
    <t>1537</t>
  </si>
  <si>
    <t>403451</t>
  </si>
  <si>
    <t>403458</t>
  </si>
  <si>
    <t>15371713姶良市</t>
  </si>
  <si>
    <t>1527-12</t>
  </si>
  <si>
    <t>福岡県久山町</t>
  </si>
  <si>
    <t>1538</t>
  </si>
  <si>
    <t>403485</t>
  </si>
  <si>
    <t>403482</t>
  </si>
  <si>
    <t>15381714三島村</t>
  </si>
  <si>
    <t>1527-13</t>
  </si>
  <si>
    <t>福岡県芦屋町</t>
  </si>
  <si>
    <t>1539</t>
  </si>
  <si>
    <t>403816</t>
  </si>
  <si>
    <t>403814</t>
  </si>
  <si>
    <t>15391715十島村</t>
  </si>
  <si>
    <t>1527-14</t>
  </si>
  <si>
    <t>福岡県水巻町</t>
  </si>
  <si>
    <t>1540</t>
  </si>
  <si>
    <t>403824</t>
  </si>
  <si>
    <t>403822</t>
  </si>
  <si>
    <t>15401716さつま町</t>
  </si>
  <si>
    <t>1527-15</t>
  </si>
  <si>
    <t>福岡県岡垣町</t>
  </si>
  <si>
    <t>1541</t>
  </si>
  <si>
    <t>403832</t>
  </si>
  <si>
    <t>403831</t>
  </si>
  <si>
    <t>15411717長島町</t>
  </si>
  <si>
    <t>1527-16</t>
  </si>
  <si>
    <t>福岡県遠賀町</t>
  </si>
  <si>
    <t>1542</t>
  </si>
  <si>
    <t>403840</t>
  </si>
  <si>
    <t>403849</t>
  </si>
  <si>
    <t>15421718湧水町</t>
  </si>
  <si>
    <t>1527-17</t>
  </si>
  <si>
    <t>福岡県小竹町</t>
  </si>
  <si>
    <t>1543</t>
  </si>
  <si>
    <t>404012</t>
  </si>
  <si>
    <t>15431719大崎町</t>
  </si>
  <si>
    <t>1527-18</t>
  </si>
  <si>
    <t>福岡県鞍手町</t>
  </si>
  <si>
    <t>1544</t>
  </si>
  <si>
    <t>404020</t>
  </si>
  <si>
    <t>404021</t>
  </si>
  <si>
    <t>15441720東串良町</t>
  </si>
  <si>
    <t>1527-19</t>
  </si>
  <si>
    <t>福岡県筑前町</t>
  </si>
  <si>
    <t>1545</t>
  </si>
  <si>
    <t>404475</t>
  </si>
  <si>
    <t>404471</t>
  </si>
  <si>
    <t>15451721錦江町</t>
  </si>
  <si>
    <t>1527-20</t>
  </si>
  <si>
    <t>福岡県東峰村</t>
  </si>
  <si>
    <t>1546</t>
  </si>
  <si>
    <t>404483</t>
  </si>
  <si>
    <t>404489</t>
  </si>
  <si>
    <t>15461722南大隅町</t>
  </si>
  <si>
    <t>1527-21</t>
  </si>
  <si>
    <t>福岡県大刀洗町</t>
  </si>
  <si>
    <t>1547</t>
  </si>
  <si>
    <t>405035</t>
  </si>
  <si>
    <t>15471723肝付町</t>
  </si>
  <si>
    <t>1527-22</t>
  </si>
  <si>
    <t>福岡県大木町</t>
  </si>
  <si>
    <t>1548</t>
  </si>
  <si>
    <t>405225</t>
  </si>
  <si>
    <t>405221</t>
  </si>
  <si>
    <t>15481724中種子町</t>
  </si>
  <si>
    <t>1527-23</t>
  </si>
  <si>
    <t>福岡県広川町</t>
  </si>
  <si>
    <t>1549</t>
  </si>
  <si>
    <t>405449</t>
  </si>
  <si>
    <t>405442</t>
  </si>
  <si>
    <t>15491725南種子町</t>
  </si>
  <si>
    <t>1527-24</t>
  </si>
  <si>
    <t>福岡県桂川町</t>
  </si>
  <si>
    <t>1550</t>
  </si>
  <si>
    <t>404210</t>
  </si>
  <si>
    <t>404217</t>
  </si>
  <si>
    <t>15501726屋久島町</t>
  </si>
  <si>
    <t>1527-25</t>
  </si>
  <si>
    <t>福岡県香春町</t>
  </si>
  <si>
    <t>1551</t>
  </si>
  <si>
    <t>406017</t>
  </si>
  <si>
    <t>406015</t>
  </si>
  <si>
    <t>15511727大和村</t>
  </si>
  <si>
    <t>1527-26</t>
  </si>
  <si>
    <t>福岡県添田町</t>
  </si>
  <si>
    <t>1552</t>
  </si>
  <si>
    <t>406025</t>
  </si>
  <si>
    <t>406023</t>
  </si>
  <si>
    <t>15521728宇検村</t>
  </si>
  <si>
    <t>1527-27</t>
  </si>
  <si>
    <t>福岡県糸田町</t>
  </si>
  <si>
    <t>1553</t>
  </si>
  <si>
    <t>406041</t>
  </si>
  <si>
    <t>406040</t>
  </si>
  <si>
    <t>15531729瀬戸内町</t>
  </si>
  <si>
    <t>1527-28</t>
  </si>
  <si>
    <t>福岡県川崎町</t>
  </si>
  <si>
    <t>1554</t>
  </si>
  <si>
    <t>406058</t>
  </si>
  <si>
    <t>605</t>
  </si>
  <si>
    <t>15541730龍郷町</t>
  </si>
  <si>
    <t>1527-29</t>
  </si>
  <si>
    <t>福岡県大任町</t>
  </si>
  <si>
    <t>1555</t>
  </si>
  <si>
    <t>406082</t>
  </si>
  <si>
    <t>15551731喜界町</t>
  </si>
  <si>
    <t>1527-30</t>
  </si>
  <si>
    <t>福岡県福智町</t>
  </si>
  <si>
    <t>1556</t>
  </si>
  <si>
    <t>406108</t>
  </si>
  <si>
    <t>406104</t>
  </si>
  <si>
    <t>15561732徳之島町</t>
  </si>
  <si>
    <t>1527-31</t>
  </si>
  <si>
    <t>福岡県赤村</t>
  </si>
  <si>
    <t>1557</t>
  </si>
  <si>
    <t>406090</t>
  </si>
  <si>
    <t>406091</t>
  </si>
  <si>
    <t>15571733天城町</t>
  </si>
  <si>
    <t>1527-32</t>
  </si>
  <si>
    <t>福岡県吉富町</t>
  </si>
  <si>
    <t>1558</t>
  </si>
  <si>
    <t>406421</t>
  </si>
  <si>
    <t>406422</t>
  </si>
  <si>
    <t>15581734伊仙町</t>
  </si>
  <si>
    <t>1527-33</t>
  </si>
  <si>
    <t>福岡県上毛町</t>
  </si>
  <si>
    <t>1559</t>
  </si>
  <si>
    <t>406462</t>
  </si>
  <si>
    <t>406465</t>
  </si>
  <si>
    <t>15591735和泊町</t>
  </si>
  <si>
    <t>1527-34</t>
  </si>
  <si>
    <t>福岡県築上町</t>
  </si>
  <si>
    <t>1560</t>
  </si>
  <si>
    <t>406470</t>
  </si>
  <si>
    <t>406473</t>
  </si>
  <si>
    <t>15601736知名町</t>
  </si>
  <si>
    <t>1561-1</t>
  </si>
  <si>
    <t>佐賀県唐津市</t>
  </si>
  <si>
    <t>1561</t>
  </si>
  <si>
    <t>412023</t>
  </si>
  <si>
    <t>15611737与論町</t>
  </si>
  <si>
    <t>1562-1</t>
  </si>
  <si>
    <t>佐賀県伊万里市</t>
  </si>
  <si>
    <t>1562</t>
  </si>
  <si>
    <t>412056</t>
  </si>
  <si>
    <t>412058</t>
  </si>
  <si>
    <t>15621738那覇市</t>
  </si>
  <si>
    <t>1563-1</t>
  </si>
  <si>
    <t>佐賀県玄海町</t>
  </si>
  <si>
    <t>1563</t>
  </si>
  <si>
    <t>413872</t>
  </si>
  <si>
    <t>413879</t>
  </si>
  <si>
    <t>15631739宜野湾市</t>
  </si>
  <si>
    <t>1564-1</t>
  </si>
  <si>
    <t>佐賀県有田町</t>
  </si>
  <si>
    <t>1564</t>
  </si>
  <si>
    <t>414011</t>
  </si>
  <si>
    <t>414018</t>
  </si>
  <si>
    <t>15641740石垣市</t>
  </si>
  <si>
    <t>1565-1</t>
  </si>
  <si>
    <t>佐賀県杵藤地区広域市町村圏組合</t>
  </si>
  <si>
    <t>1565</t>
  </si>
  <si>
    <t>418301</t>
  </si>
  <si>
    <t>830</t>
  </si>
  <si>
    <t>418307</t>
  </si>
  <si>
    <t>15651741浦添市</t>
  </si>
  <si>
    <t>1565-2</t>
  </si>
  <si>
    <t>佐賀県武雄市</t>
  </si>
  <si>
    <t>1566</t>
  </si>
  <si>
    <t>412064</t>
  </si>
  <si>
    <t>412066</t>
  </si>
  <si>
    <t>15661742名護市</t>
  </si>
  <si>
    <t>1565-3</t>
  </si>
  <si>
    <t>佐賀県鹿島市</t>
  </si>
  <si>
    <t>1567</t>
  </si>
  <si>
    <t>412072</t>
  </si>
  <si>
    <t>412074</t>
  </si>
  <si>
    <t>15671743糸満市</t>
  </si>
  <si>
    <t>1565-4</t>
  </si>
  <si>
    <t>佐賀県嬉野市</t>
  </si>
  <si>
    <t>1568</t>
  </si>
  <si>
    <t>412098</t>
  </si>
  <si>
    <t>412091</t>
  </si>
  <si>
    <t>15681744沖縄市</t>
  </si>
  <si>
    <t>1565-5</t>
  </si>
  <si>
    <t>佐賀県大町町</t>
  </si>
  <si>
    <t>1569</t>
  </si>
  <si>
    <t>414235</t>
  </si>
  <si>
    <t>414239</t>
  </si>
  <si>
    <t>15691745うるま市</t>
  </si>
  <si>
    <t>1565-6</t>
  </si>
  <si>
    <t>佐賀県江北町</t>
  </si>
  <si>
    <t>1570</t>
  </si>
  <si>
    <t>414243</t>
  </si>
  <si>
    <t>414247</t>
  </si>
  <si>
    <t>15701746宮古島市</t>
  </si>
  <si>
    <t>1565-7</t>
  </si>
  <si>
    <t>佐賀県白石町</t>
  </si>
  <si>
    <t>1571</t>
  </si>
  <si>
    <t>414250</t>
  </si>
  <si>
    <t>414255</t>
  </si>
  <si>
    <t>15711747多良間村</t>
  </si>
  <si>
    <t>1565-8</t>
  </si>
  <si>
    <t>佐賀県太良町</t>
  </si>
  <si>
    <t>1572</t>
  </si>
  <si>
    <t>414417</t>
  </si>
  <si>
    <t>15721748竹富町</t>
  </si>
  <si>
    <t>1573-1</t>
  </si>
  <si>
    <t>佐賀県鳥栖地区広域市町村圏組合</t>
  </si>
  <si>
    <t>1573</t>
  </si>
  <si>
    <t>418418</t>
  </si>
  <si>
    <t>841</t>
  </si>
  <si>
    <t>418412</t>
  </si>
  <si>
    <t>15731749与那国町</t>
  </si>
  <si>
    <t>1573-2</t>
  </si>
  <si>
    <t>佐賀県鳥栖市</t>
  </si>
  <si>
    <t>1574</t>
  </si>
  <si>
    <t>412031</t>
  </si>
  <si>
    <t>15741750沖縄県介護保険広域連合</t>
  </si>
  <si>
    <t>1573-3</t>
  </si>
  <si>
    <t>佐賀県基山町</t>
  </si>
  <si>
    <t>1575</t>
  </si>
  <si>
    <t>413419</t>
  </si>
  <si>
    <t>413411</t>
  </si>
  <si>
    <t>1573-4</t>
  </si>
  <si>
    <t>佐賀県みやき町</t>
  </si>
  <si>
    <t>1576</t>
  </si>
  <si>
    <t>413468</t>
  </si>
  <si>
    <t>413461</t>
  </si>
  <si>
    <t>1573-5</t>
  </si>
  <si>
    <t>佐賀県上峰町</t>
  </si>
  <si>
    <t>1577</t>
  </si>
  <si>
    <t>413450</t>
  </si>
  <si>
    <t>413453</t>
  </si>
  <si>
    <t>1578-1</t>
  </si>
  <si>
    <t>佐賀県佐賀中部広域連合</t>
  </si>
  <si>
    <t>1578</t>
  </si>
  <si>
    <t>418566</t>
  </si>
  <si>
    <t>856</t>
  </si>
  <si>
    <t>418561</t>
  </si>
  <si>
    <t>1578-2</t>
  </si>
  <si>
    <t>佐賀県佐賀市</t>
  </si>
  <si>
    <t>1579</t>
  </si>
  <si>
    <t>412015</t>
  </si>
  <si>
    <t>1578-3</t>
  </si>
  <si>
    <t>佐賀県多久市</t>
  </si>
  <si>
    <t>1580</t>
  </si>
  <si>
    <t>412049</t>
  </si>
  <si>
    <t>412040</t>
  </si>
  <si>
    <t>1578-4</t>
  </si>
  <si>
    <t>佐賀県小城市</t>
  </si>
  <si>
    <t>1581</t>
  </si>
  <si>
    <t>412080</t>
  </si>
  <si>
    <t>412082</t>
  </si>
  <si>
    <t>1578-5</t>
  </si>
  <si>
    <t>佐賀県神埼市</t>
  </si>
  <si>
    <t>1582</t>
  </si>
  <si>
    <t>412106</t>
  </si>
  <si>
    <t>412104</t>
  </si>
  <si>
    <t>1578-6</t>
  </si>
  <si>
    <t>佐賀県吉野ヶ里町</t>
  </si>
  <si>
    <t>1583</t>
  </si>
  <si>
    <t>413278</t>
  </si>
  <si>
    <t>413275</t>
  </si>
  <si>
    <t>1584-1</t>
  </si>
  <si>
    <t>長崎県長崎市</t>
  </si>
  <si>
    <t>1584</t>
  </si>
  <si>
    <t>422014</t>
  </si>
  <si>
    <t>422011</t>
  </si>
  <si>
    <t>1585-1</t>
  </si>
  <si>
    <t>長崎県佐世保市</t>
  </si>
  <si>
    <t>1585</t>
  </si>
  <si>
    <t>422022</t>
  </si>
  <si>
    <t>422029</t>
  </si>
  <si>
    <t>1586-1</t>
  </si>
  <si>
    <t>長崎県諫早市</t>
  </si>
  <si>
    <t>1586</t>
  </si>
  <si>
    <t>422048</t>
  </si>
  <si>
    <t>422045</t>
  </si>
  <si>
    <t>1587-1</t>
  </si>
  <si>
    <t>長崎県大村市</t>
  </si>
  <si>
    <t>1587</t>
  </si>
  <si>
    <t>422055</t>
  </si>
  <si>
    <t>422053</t>
  </si>
  <si>
    <t>1588-1</t>
  </si>
  <si>
    <t>長崎県平戸市</t>
  </si>
  <si>
    <t>1588</t>
  </si>
  <si>
    <t>422071</t>
  </si>
  <si>
    <t>422070</t>
  </si>
  <si>
    <t>1589-1</t>
  </si>
  <si>
    <t>長崎県松浦市</t>
  </si>
  <si>
    <t>1589</t>
  </si>
  <si>
    <t>422089</t>
  </si>
  <si>
    <t>422088</t>
  </si>
  <si>
    <t>1590-1</t>
  </si>
  <si>
    <t>長崎県対馬市</t>
  </si>
  <si>
    <t>1590</t>
  </si>
  <si>
    <t>422097</t>
  </si>
  <si>
    <t>422096</t>
  </si>
  <si>
    <t>1591-1</t>
  </si>
  <si>
    <t>長崎県壱岐市</t>
  </si>
  <si>
    <t>1591</t>
  </si>
  <si>
    <t>422105</t>
  </si>
  <si>
    <t>422100</t>
  </si>
  <si>
    <t>1592-1</t>
  </si>
  <si>
    <t>長崎県五島市</t>
  </si>
  <si>
    <t>1592</t>
  </si>
  <si>
    <t>422113</t>
  </si>
  <si>
    <t>422118</t>
  </si>
  <si>
    <t>1593-1</t>
  </si>
  <si>
    <t>長崎県西海市</t>
  </si>
  <si>
    <t>1593</t>
  </si>
  <si>
    <t>422121</t>
  </si>
  <si>
    <t>422126</t>
  </si>
  <si>
    <t>1594-1</t>
  </si>
  <si>
    <t>長崎県長与町</t>
  </si>
  <si>
    <t>1594</t>
  </si>
  <si>
    <t>423079</t>
  </si>
  <si>
    <t>423076</t>
  </si>
  <si>
    <t>1595-1</t>
  </si>
  <si>
    <t>長崎県時津町</t>
  </si>
  <si>
    <t>1595</t>
  </si>
  <si>
    <t>423087</t>
  </si>
  <si>
    <t>423084</t>
  </si>
  <si>
    <t>1596-1</t>
  </si>
  <si>
    <t>長崎県東彼杵町</t>
  </si>
  <si>
    <t>1596</t>
  </si>
  <si>
    <t>423210</t>
  </si>
  <si>
    <t>423211</t>
  </si>
  <si>
    <t>1597-1</t>
  </si>
  <si>
    <t>長崎県川棚町</t>
  </si>
  <si>
    <t>1597</t>
  </si>
  <si>
    <t>423228</t>
  </si>
  <si>
    <t>423220</t>
  </si>
  <si>
    <t>1598-1</t>
  </si>
  <si>
    <t>長崎県波佐見町</t>
  </si>
  <si>
    <t>1598</t>
  </si>
  <si>
    <t>423236</t>
  </si>
  <si>
    <t>423238</t>
  </si>
  <si>
    <t>1599-1</t>
  </si>
  <si>
    <t>長崎県小値賀町</t>
  </si>
  <si>
    <t>1599</t>
  </si>
  <si>
    <t>423830</t>
  </si>
  <si>
    <t>423831</t>
  </si>
  <si>
    <t>1600-1</t>
  </si>
  <si>
    <t>長崎県佐々町</t>
  </si>
  <si>
    <t>1600</t>
  </si>
  <si>
    <t>423913</t>
  </si>
  <si>
    <t>423912</t>
  </si>
  <si>
    <t>1601-1</t>
  </si>
  <si>
    <t>長崎県新上五島町</t>
  </si>
  <si>
    <t>1601</t>
  </si>
  <si>
    <t>424119</t>
  </si>
  <si>
    <t>424111</t>
  </si>
  <si>
    <t>1602-1</t>
  </si>
  <si>
    <t>長崎県島原地域広域市町村圏組合</t>
  </si>
  <si>
    <t>1602</t>
  </si>
  <si>
    <t>428433</t>
  </si>
  <si>
    <t>843</t>
  </si>
  <si>
    <t>428434</t>
  </si>
  <si>
    <t>1602-2</t>
  </si>
  <si>
    <t>長崎県島原市</t>
  </si>
  <si>
    <t>1603</t>
  </si>
  <si>
    <t>422030</t>
  </si>
  <si>
    <t>422037</t>
  </si>
  <si>
    <t>1602-3</t>
  </si>
  <si>
    <t>長崎県雲仙市</t>
  </si>
  <si>
    <t>1604</t>
  </si>
  <si>
    <t>422139</t>
  </si>
  <si>
    <t>422134</t>
  </si>
  <si>
    <t>1602-4</t>
  </si>
  <si>
    <t>長崎県南島原市</t>
  </si>
  <si>
    <t>1605</t>
  </si>
  <si>
    <t>422147</t>
  </si>
  <si>
    <t>422142</t>
  </si>
  <si>
    <t>1606-1</t>
  </si>
  <si>
    <t>熊本県熊本市</t>
  </si>
  <si>
    <t>1606</t>
  </si>
  <si>
    <t>431007</t>
  </si>
  <si>
    <t>431001</t>
  </si>
  <si>
    <t>1607-1</t>
  </si>
  <si>
    <t>熊本県八代市</t>
  </si>
  <si>
    <t>1607</t>
  </si>
  <si>
    <t>432021</t>
  </si>
  <si>
    <t>432024</t>
  </si>
  <si>
    <t>1608-1</t>
  </si>
  <si>
    <t>熊本県人吉市</t>
  </si>
  <si>
    <t>1608</t>
  </si>
  <si>
    <t>432039</t>
  </si>
  <si>
    <t>432032</t>
  </si>
  <si>
    <t>1609-1</t>
  </si>
  <si>
    <t>熊本県荒尾市</t>
  </si>
  <si>
    <t>1609</t>
  </si>
  <si>
    <t>432047</t>
  </si>
  <si>
    <t>432041</t>
  </si>
  <si>
    <t>1610-1</t>
  </si>
  <si>
    <t>熊本県水俣市</t>
  </si>
  <si>
    <t>1610</t>
  </si>
  <si>
    <t>432054</t>
  </si>
  <si>
    <t>432059</t>
  </si>
  <si>
    <t>1611-1</t>
  </si>
  <si>
    <t>熊本県玉名市</t>
  </si>
  <si>
    <t>1611</t>
  </si>
  <si>
    <t>432062</t>
  </si>
  <si>
    <t>432067</t>
  </si>
  <si>
    <t>1612-1</t>
  </si>
  <si>
    <t>熊本県山鹿市</t>
  </si>
  <si>
    <t>1612</t>
  </si>
  <si>
    <t>432088</t>
  </si>
  <si>
    <t>432083</t>
  </si>
  <si>
    <t>1613-1</t>
  </si>
  <si>
    <t>熊本県菊池市</t>
  </si>
  <si>
    <t>1613</t>
  </si>
  <si>
    <t>432104</t>
  </si>
  <si>
    <t>432105</t>
  </si>
  <si>
    <t>1614-1</t>
  </si>
  <si>
    <t>熊本県宇土市</t>
  </si>
  <si>
    <t>1614</t>
  </si>
  <si>
    <t>432112</t>
  </si>
  <si>
    <t>432113</t>
  </si>
  <si>
    <t>1615-1</t>
  </si>
  <si>
    <t>熊本県上天草市</t>
  </si>
  <si>
    <t>1615</t>
  </si>
  <si>
    <t>432120</t>
  </si>
  <si>
    <t>432121</t>
  </si>
  <si>
    <t>1616-1</t>
  </si>
  <si>
    <t>熊本県宇城市</t>
  </si>
  <si>
    <t>1616</t>
  </si>
  <si>
    <t>432138</t>
  </si>
  <si>
    <t>432130</t>
  </si>
  <si>
    <t>1617-1</t>
  </si>
  <si>
    <t>熊本県阿蘇市</t>
  </si>
  <si>
    <t>1617</t>
  </si>
  <si>
    <t>432146</t>
  </si>
  <si>
    <t>432148</t>
  </si>
  <si>
    <t>1618-1</t>
  </si>
  <si>
    <t>熊本県天草市</t>
  </si>
  <si>
    <t>1618</t>
  </si>
  <si>
    <t>432153</t>
  </si>
  <si>
    <t>432156</t>
  </si>
  <si>
    <t>1619-1</t>
  </si>
  <si>
    <t>熊本県合志市</t>
  </si>
  <si>
    <t>1619</t>
  </si>
  <si>
    <t>432161</t>
  </si>
  <si>
    <t>432164</t>
  </si>
  <si>
    <t>1620-1</t>
  </si>
  <si>
    <t>熊本県美里町</t>
  </si>
  <si>
    <t>1620</t>
  </si>
  <si>
    <t>433482</t>
  </si>
  <si>
    <t>433489</t>
  </si>
  <si>
    <t>1621-1</t>
  </si>
  <si>
    <t>熊本県玉東町</t>
  </si>
  <si>
    <t>1621</t>
  </si>
  <si>
    <t>433649</t>
  </si>
  <si>
    <t>433641</t>
  </si>
  <si>
    <t>1622-1</t>
  </si>
  <si>
    <t>熊本県南関町</t>
  </si>
  <si>
    <t>1622</t>
  </si>
  <si>
    <t>433672</t>
  </si>
  <si>
    <t>433675</t>
  </si>
  <si>
    <t>1623-1</t>
  </si>
  <si>
    <t>熊本県長洲町</t>
  </si>
  <si>
    <t>1623</t>
  </si>
  <si>
    <t>433680</t>
  </si>
  <si>
    <t>433683</t>
  </si>
  <si>
    <t>1624-1</t>
  </si>
  <si>
    <t>熊本県和水町</t>
  </si>
  <si>
    <t>1624</t>
  </si>
  <si>
    <t>433698</t>
  </si>
  <si>
    <t>433691</t>
  </si>
  <si>
    <t>1625-1</t>
  </si>
  <si>
    <t>熊本県大津町</t>
  </si>
  <si>
    <t>1625</t>
  </si>
  <si>
    <t>434035</t>
  </si>
  <si>
    <t>1626-1</t>
  </si>
  <si>
    <t>熊本県菊陽町</t>
  </si>
  <si>
    <t>1626</t>
  </si>
  <si>
    <t>434043</t>
  </si>
  <si>
    <t>1627-1</t>
  </si>
  <si>
    <t>熊本県南小国町</t>
  </si>
  <si>
    <t>1627</t>
  </si>
  <si>
    <t>434233</t>
  </si>
  <si>
    <t>434230</t>
  </si>
  <si>
    <t>1628-1</t>
  </si>
  <si>
    <t>熊本県小国町</t>
  </si>
  <si>
    <t>1628</t>
  </si>
  <si>
    <t>434241</t>
  </si>
  <si>
    <t>434248</t>
  </si>
  <si>
    <t>1629-1</t>
  </si>
  <si>
    <t>熊本県産山村</t>
  </si>
  <si>
    <t>1629</t>
  </si>
  <si>
    <t>434258</t>
  </si>
  <si>
    <t>434256</t>
  </si>
  <si>
    <t>1630-1</t>
  </si>
  <si>
    <t>熊本県高森町</t>
  </si>
  <si>
    <t>1630</t>
  </si>
  <si>
    <t>434282</t>
  </si>
  <si>
    <t>434281</t>
  </si>
  <si>
    <t>1631-1</t>
  </si>
  <si>
    <t>熊本県西原村</t>
  </si>
  <si>
    <t>1631</t>
  </si>
  <si>
    <t>434324</t>
  </si>
  <si>
    <t>434329</t>
  </si>
  <si>
    <t>1632-1</t>
  </si>
  <si>
    <t>熊本県南阿蘇村</t>
  </si>
  <si>
    <t>1632</t>
  </si>
  <si>
    <t>434332</t>
  </si>
  <si>
    <t>434337</t>
  </si>
  <si>
    <t>1633-1</t>
  </si>
  <si>
    <t>熊本県御船町</t>
  </si>
  <si>
    <t>1633</t>
  </si>
  <si>
    <t>434415</t>
  </si>
  <si>
    <t>434418</t>
  </si>
  <si>
    <t>1634-1</t>
  </si>
  <si>
    <t>熊本県嘉島町</t>
  </si>
  <si>
    <t>1634</t>
  </si>
  <si>
    <t>434423</t>
  </si>
  <si>
    <t>434426</t>
  </si>
  <si>
    <t>1635-1</t>
  </si>
  <si>
    <t>熊本県益城町</t>
  </si>
  <si>
    <t>1635</t>
  </si>
  <si>
    <t>434431</t>
  </si>
  <si>
    <t>434434</t>
  </si>
  <si>
    <t>1636-1</t>
  </si>
  <si>
    <t>熊本県甲佐町</t>
  </si>
  <si>
    <t>1636</t>
  </si>
  <si>
    <t>434449</t>
  </si>
  <si>
    <t>434442</t>
  </si>
  <si>
    <t>1637-1</t>
  </si>
  <si>
    <t>熊本県山都町</t>
  </si>
  <si>
    <t>1637</t>
  </si>
  <si>
    <t>434472</t>
  </si>
  <si>
    <t>434477</t>
  </si>
  <si>
    <t>1638-1</t>
  </si>
  <si>
    <t>熊本県氷川町</t>
  </si>
  <si>
    <t>1638</t>
  </si>
  <si>
    <t>434688</t>
  </si>
  <si>
    <t>434680</t>
  </si>
  <si>
    <t>1639-1</t>
  </si>
  <si>
    <t>熊本県芦北町</t>
  </si>
  <si>
    <t>1639</t>
  </si>
  <si>
    <t>434829</t>
  </si>
  <si>
    <t>434825</t>
  </si>
  <si>
    <t>1640-1</t>
  </si>
  <si>
    <t>熊本県津奈木町</t>
  </si>
  <si>
    <t>1640</t>
  </si>
  <si>
    <t>434845</t>
  </si>
  <si>
    <t>434841</t>
  </si>
  <si>
    <t>1641-1</t>
  </si>
  <si>
    <t>熊本県錦町</t>
  </si>
  <si>
    <t>1641</t>
  </si>
  <si>
    <t>435016</t>
  </si>
  <si>
    <t>435015</t>
  </si>
  <si>
    <t>1642-1</t>
  </si>
  <si>
    <t>熊本県多良木町</t>
  </si>
  <si>
    <t>1642</t>
  </si>
  <si>
    <t>435057</t>
  </si>
  <si>
    <t>435058</t>
  </si>
  <si>
    <t>1643-1</t>
  </si>
  <si>
    <t>熊本県湯前町</t>
  </si>
  <si>
    <t>1643</t>
  </si>
  <si>
    <t>435065</t>
  </si>
  <si>
    <t>435066</t>
  </si>
  <si>
    <t>1644-1</t>
  </si>
  <si>
    <t>熊本県水上村</t>
  </si>
  <si>
    <t>1644</t>
  </si>
  <si>
    <t>435073</t>
  </si>
  <si>
    <t>435074</t>
  </si>
  <si>
    <t>1645-1</t>
  </si>
  <si>
    <t>熊本県相良村</t>
  </si>
  <si>
    <t>1645</t>
  </si>
  <si>
    <t>435107</t>
  </si>
  <si>
    <t>510</t>
  </si>
  <si>
    <t>435104</t>
  </si>
  <si>
    <t>1646-1</t>
  </si>
  <si>
    <t>熊本県五木村</t>
  </si>
  <si>
    <t>1646</t>
  </si>
  <si>
    <t>435115</t>
  </si>
  <si>
    <t>435112</t>
  </si>
  <si>
    <t>1647-1</t>
  </si>
  <si>
    <t>熊本県山江村</t>
  </si>
  <si>
    <t>1647</t>
  </si>
  <si>
    <t>435123</t>
  </si>
  <si>
    <t>435121</t>
  </si>
  <si>
    <t>1648-1</t>
  </si>
  <si>
    <t>熊本県球磨村</t>
  </si>
  <si>
    <t>1648</t>
  </si>
  <si>
    <t>435131</t>
  </si>
  <si>
    <t>435139</t>
  </si>
  <si>
    <t>1649-1</t>
  </si>
  <si>
    <t>熊本県あさぎり町</t>
  </si>
  <si>
    <t>1649</t>
  </si>
  <si>
    <t>435149</t>
  </si>
  <si>
    <t>435147</t>
  </si>
  <si>
    <t>1650-1</t>
  </si>
  <si>
    <t>熊本県苓北町</t>
  </si>
  <si>
    <t>1650</t>
  </si>
  <si>
    <t>435313</t>
  </si>
  <si>
    <t>531</t>
  </si>
  <si>
    <t>435317</t>
  </si>
  <si>
    <t>1651-1</t>
  </si>
  <si>
    <t>大分県大分市</t>
  </si>
  <si>
    <t>1651</t>
  </si>
  <si>
    <t>442012</t>
  </si>
  <si>
    <t>442011</t>
  </si>
  <si>
    <t>1652-1</t>
  </si>
  <si>
    <t>大分県別府市</t>
  </si>
  <si>
    <t>1652</t>
  </si>
  <si>
    <t>442020</t>
  </si>
  <si>
    <t>1653-1</t>
  </si>
  <si>
    <t>大分県中津市</t>
  </si>
  <si>
    <t>1653</t>
  </si>
  <si>
    <t>442038</t>
  </si>
  <si>
    <t>1654-1</t>
  </si>
  <si>
    <t>大分県日田市</t>
  </si>
  <si>
    <t>1654</t>
  </si>
  <si>
    <t>442046</t>
  </si>
  <si>
    <t>1655-1</t>
  </si>
  <si>
    <t>大分県佐伯市</t>
  </si>
  <si>
    <t>1655</t>
  </si>
  <si>
    <t>442053</t>
  </si>
  <si>
    <t>442054</t>
  </si>
  <si>
    <t>1656-1</t>
  </si>
  <si>
    <t>大分県臼杵市</t>
  </si>
  <si>
    <t>1656</t>
  </si>
  <si>
    <t>442061</t>
  </si>
  <si>
    <t>442062</t>
  </si>
  <si>
    <t>1657-1</t>
  </si>
  <si>
    <t>大分県津久見市</t>
  </si>
  <si>
    <t>1657</t>
  </si>
  <si>
    <t>442079</t>
  </si>
  <si>
    <t>442071</t>
  </si>
  <si>
    <t>1658-1</t>
  </si>
  <si>
    <t>大分県竹田市</t>
  </si>
  <si>
    <t>1658</t>
  </si>
  <si>
    <t>442087</t>
  </si>
  <si>
    <t>442089</t>
  </si>
  <si>
    <t>1659-1</t>
  </si>
  <si>
    <t>大分県豊後高田市</t>
  </si>
  <si>
    <t>1659</t>
  </si>
  <si>
    <t>442095</t>
  </si>
  <si>
    <t>442097</t>
  </si>
  <si>
    <t>1660-1</t>
  </si>
  <si>
    <t>大分県杵築市</t>
  </si>
  <si>
    <t>1660</t>
  </si>
  <si>
    <t>442103</t>
  </si>
  <si>
    <t>442101</t>
  </si>
  <si>
    <t>1661-1</t>
  </si>
  <si>
    <t>大分県宇佐市</t>
  </si>
  <si>
    <t>1661</t>
  </si>
  <si>
    <t>442111</t>
  </si>
  <si>
    <t>442119</t>
  </si>
  <si>
    <t>1662-1</t>
  </si>
  <si>
    <t>大分県豊後大野市</t>
  </si>
  <si>
    <t>1662</t>
  </si>
  <si>
    <t>442129</t>
  </si>
  <si>
    <t>442127</t>
  </si>
  <si>
    <t>1663-1</t>
  </si>
  <si>
    <t>大分県由布市</t>
  </si>
  <si>
    <t>1663</t>
  </si>
  <si>
    <t>442137</t>
  </si>
  <si>
    <t>442135</t>
  </si>
  <si>
    <t>1664-1</t>
  </si>
  <si>
    <t>大分県国東市</t>
  </si>
  <si>
    <t>1664</t>
  </si>
  <si>
    <t>442145</t>
  </si>
  <si>
    <t>442143</t>
  </si>
  <si>
    <t>1665-1</t>
  </si>
  <si>
    <t>大分県姫島村</t>
  </si>
  <si>
    <t>1665</t>
  </si>
  <si>
    <t>443226</t>
  </si>
  <si>
    <t>443221</t>
  </si>
  <si>
    <t>1666-1</t>
  </si>
  <si>
    <t>大分県日出町</t>
  </si>
  <si>
    <t>1666</t>
  </si>
  <si>
    <t>443416</t>
  </si>
  <si>
    <t>443417</t>
  </si>
  <si>
    <t>1667-1</t>
  </si>
  <si>
    <t>大分県九重町</t>
  </si>
  <si>
    <t>1667</t>
  </si>
  <si>
    <t>444612</t>
  </si>
  <si>
    <t>444618</t>
  </si>
  <si>
    <t>1668-1</t>
  </si>
  <si>
    <t>大分県玖珠町</t>
  </si>
  <si>
    <t>1668</t>
  </si>
  <si>
    <t>444620</t>
  </si>
  <si>
    <t>444626</t>
  </si>
  <si>
    <t>1669-1</t>
  </si>
  <si>
    <t>宮崎県宮崎市</t>
  </si>
  <si>
    <t>1669</t>
  </si>
  <si>
    <t>452011</t>
  </si>
  <si>
    <t>452017</t>
  </si>
  <si>
    <t>1670-1</t>
  </si>
  <si>
    <t>宮崎県都城市</t>
  </si>
  <si>
    <t>1670</t>
  </si>
  <si>
    <t>452029</t>
  </si>
  <si>
    <t>452025</t>
  </si>
  <si>
    <t>1671-1</t>
  </si>
  <si>
    <t>宮崎県延岡市</t>
  </si>
  <si>
    <t>1671</t>
  </si>
  <si>
    <t>452037</t>
  </si>
  <si>
    <t>452033</t>
  </si>
  <si>
    <t>1672-1</t>
  </si>
  <si>
    <t>宮崎県日南市</t>
  </si>
  <si>
    <t>1672</t>
  </si>
  <si>
    <t>452045</t>
  </si>
  <si>
    <t>452041</t>
  </si>
  <si>
    <t>1673-1</t>
  </si>
  <si>
    <t>宮崎県小林市</t>
  </si>
  <si>
    <t>1673</t>
  </si>
  <si>
    <t>452052</t>
  </si>
  <si>
    <t>452050</t>
  </si>
  <si>
    <t>1674-1</t>
  </si>
  <si>
    <t>宮崎県日向市</t>
  </si>
  <si>
    <t>1674</t>
  </si>
  <si>
    <t>452060</t>
  </si>
  <si>
    <t>452068</t>
  </si>
  <si>
    <t>1675-1</t>
  </si>
  <si>
    <t>宮崎県串間市</t>
  </si>
  <si>
    <t>1675</t>
  </si>
  <si>
    <t>452078</t>
  </si>
  <si>
    <t>452076</t>
  </si>
  <si>
    <t>1676-1</t>
  </si>
  <si>
    <t>宮崎県西都市</t>
  </si>
  <si>
    <t>1676</t>
  </si>
  <si>
    <t>452086</t>
  </si>
  <si>
    <t>452084</t>
  </si>
  <si>
    <t>1677-1</t>
  </si>
  <si>
    <t>宮崎県えびの市</t>
  </si>
  <si>
    <t>1677</t>
  </si>
  <si>
    <t>452094</t>
  </si>
  <si>
    <t>452092</t>
  </si>
  <si>
    <t>1678-1</t>
  </si>
  <si>
    <t>宮崎県三股町</t>
  </si>
  <si>
    <t>1678</t>
  </si>
  <si>
    <t>453415</t>
  </si>
  <si>
    <t>453412</t>
  </si>
  <si>
    <t>1679-1</t>
  </si>
  <si>
    <t>宮崎県高原町</t>
  </si>
  <si>
    <t>1679</t>
  </si>
  <si>
    <t>453613</t>
  </si>
  <si>
    <t>453617</t>
  </si>
  <si>
    <t>1680-1</t>
  </si>
  <si>
    <t>宮崎県国富町</t>
  </si>
  <si>
    <t>1680</t>
  </si>
  <si>
    <t>453829</t>
  </si>
  <si>
    <t>453820</t>
  </si>
  <si>
    <t>1681-1</t>
  </si>
  <si>
    <t>宮崎県綾町</t>
  </si>
  <si>
    <t>1681</t>
  </si>
  <si>
    <t>453837</t>
  </si>
  <si>
    <t>453838</t>
  </si>
  <si>
    <t>1682-1</t>
  </si>
  <si>
    <t>宮崎県高鍋町</t>
  </si>
  <si>
    <t>1682</t>
  </si>
  <si>
    <t>454017</t>
  </si>
  <si>
    <t>454010</t>
  </si>
  <si>
    <t>1683-1</t>
  </si>
  <si>
    <t>宮崎県新富町</t>
  </si>
  <si>
    <t>1683</t>
  </si>
  <si>
    <t>454025</t>
  </si>
  <si>
    <t>454028</t>
  </si>
  <si>
    <t>1684-1</t>
  </si>
  <si>
    <t>宮崎県西米良村</t>
  </si>
  <si>
    <t>1684</t>
  </si>
  <si>
    <t>454033</t>
  </si>
  <si>
    <t>454036</t>
  </si>
  <si>
    <t>1685-1</t>
  </si>
  <si>
    <t>宮崎県木城町</t>
  </si>
  <si>
    <t>1685</t>
  </si>
  <si>
    <t>454041</t>
  </si>
  <si>
    <t>454044</t>
  </si>
  <si>
    <t>1686-1</t>
  </si>
  <si>
    <t>宮崎県川南町</t>
  </si>
  <si>
    <t>1686</t>
  </si>
  <si>
    <t>454058</t>
  </si>
  <si>
    <t>454052</t>
  </si>
  <si>
    <t>1687-1</t>
  </si>
  <si>
    <t>宮崎県都農町</t>
  </si>
  <si>
    <t>1687</t>
  </si>
  <si>
    <t>454066</t>
  </si>
  <si>
    <t>454061</t>
  </si>
  <si>
    <t>1688-1</t>
  </si>
  <si>
    <t>宮崎県門川町</t>
  </si>
  <si>
    <t>1688</t>
  </si>
  <si>
    <t>454215</t>
  </si>
  <si>
    <t>454214</t>
  </si>
  <si>
    <t>1689-1</t>
  </si>
  <si>
    <t>宮崎県諸塚村</t>
  </si>
  <si>
    <t>1689</t>
  </si>
  <si>
    <t>454298</t>
  </si>
  <si>
    <t>454290</t>
  </si>
  <si>
    <t>1690-1</t>
  </si>
  <si>
    <t>宮崎県椎葉村</t>
  </si>
  <si>
    <t>1690</t>
  </si>
  <si>
    <t>454306</t>
  </si>
  <si>
    <t>454303</t>
  </si>
  <si>
    <t>1691-1</t>
  </si>
  <si>
    <t>宮崎県美郷町</t>
  </si>
  <si>
    <t>1691</t>
  </si>
  <si>
    <t>454314</t>
  </si>
  <si>
    <t>454311</t>
  </si>
  <si>
    <t>1692-1</t>
  </si>
  <si>
    <t>宮崎県高千穂町</t>
  </si>
  <si>
    <t>1692</t>
  </si>
  <si>
    <t>454413</t>
  </si>
  <si>
    <t>454419</t>
  </si>
  <si>
    <t>1693-1</t>
  </si>
  <si>
    <t>宮崎県日之影町</t>
  </si>
  <si>
    <t>1693</t>
  </si>
  <si>
    <t>454421</t>
  </si>
  <si>
    <t>454427</t>
  </si>
  <si>
    <t>1694-1</t>
  </si>
  <si>
    <t>宮崎県五ヶ瀬町</t>
  </si>
  <si>
    <t>1694</t>
  </si>
  <si>
    <t>454439</t>
  </si>
  <si>
    <t>454435</t>
  </si>
  <si>
    <t>1695-1</t>
  </si>
  <si>
    <t>鹿児島県鹿児島市</t>
  </si>
  <si>
    <t>1695</t>
  </si>
  <si>
    <t>462010</t>
  </si>
  <si>
    <t>462012</t>
  </si>
  <si>
    <t>1696-1</t>
  </si>
  <si>
    <t>鹿児島県鹿屋市</t>
  </si>
  <si>
    <t>1696</t>
  </si>
  <si>
    <t>462036</t>
  </si>
  <si>
    <t>462039</t>
  </si>
  <si>
    <t>1697-1</t>
  </si>
  <si>
    <t>鹿児島県枕崎市</t>
  </si>
  <si>
    <t>1697</t>
  </si>
  <si>
    <t>462044</t>
  </si>
  <si>
    <t>462047</t>
  </si>
  <si>
    <t>1698-1</t>
  </si>
  <si>
    <t>鹿児島県阿久根市</t>
  </si>
  <si>
    <t>1698</t>
  </si>
  <si>
    <t>462069</t>
  </si>
  <si>
    <t>462063</t>
  </si>
  <si>
    <t>1699-1</t>
  </si>
  <si>
    <t>鹿児島県出水市</t>
  </si>
  <si>
    <t>1699</t>
  </si>
  <si>
    <t>462085</t>
  </si>
  <si>
    <t>462080</t>
  </si>
  <si>
    <t>1700-1</t>
  </si>
  <si>
    <t>鹿児島県指宿市</t>
  </si>
  <si>
    <t>1700</t>
  </si>
  <si>
    <t>462101</t>
  </si>
  <si>
    <t>1701-1</t>
  </si>
  <si>
    <t>鹿児島県西之表市</t>
  </si>
  <si>
    <t>1701</t>
  </si>
  <si>
    <t>462135</t>
  </si>
  <si>
    <t>462136</t>
  </si>
  <si>
    <t>1702-1</t>
  </si>
  <si>
    <t>鹿児島県垂水市</t>
  </si>
  <si>
    <t>1702</t>
  </si>
  <si>
    <t>462143</t>
  </si>
  <si>
    <t>462144</t>
  </si>
  <si>
    <t>1703-1</t>
  </si>
  <si>
    <t>鹿児島県薩摩川内市</t>
  </si>
  <si>
    <t>1703</t>
  </si>
  <si>
    <t>462150</t>
  </si>
  <si>
    <t>462152</t>
  </si>
  <si>
    <t>1704-1</t>
  </si>
  <si>
    <t>鹿児島県日置市</t>
  </si>
  <si>
    <t>1704</t>
  </si>
  <si>
    <t>462168</t>
  </si>
  <si>
    <t>462161</t>
  </si>
  <si>
    <t>1705-1</t>
  </si>
  <si>
    <t>鹿児島県曽於市</t>
  </si>
  <si>
    <t>1705</t>
  </si>
  <si>
    <t>462176</t>
  </si>
  <si>
    <t>462179</t>
  </si>
  <si>
    <t>1706-1</t>
  </si>
  <si>
    <t>鹿児島県霧島市</t>
  </si>
  <si>
    <t>1706</t>
  </si>
  <si>
    <t>462184</t>
  </si>
  <si>
    <t>462187</t>
  </si>
  <si>
    <t>1707-1</t>
  </si>
  <si>
    <t>鹿児島県いちき串木野市</t>
  </si>
  <si>
    <t>1707</t>
  </si>
  <si>
    <t>462192</t>
  </si>
  <si>
    <t>462195</t>
  </si>
  <si>
    <t>1708-1</t>
  </si>
  <si>
    <t>鹿児島県南さつま市</t>
  </si>
  <si>
    <t>1708</t>
  </si>
  <si>
    <t>462200</t>
  </si>
  <si>
    <t>462209</t>
  </si>
  <si>
    <t>1709-1</t>
  </si>
  <si>
    <t>鹿児島県志布志市</t>
  </si>
  <si>
    <t>1709</t>
  </si>
  <si>
    <t>462218</t>
  </si>
  <si>
    <t>462217</t>
  </si>
  <si>
    <t>1710-1</t>
  </si>
  <si>
    <t>鹿児島県奄美市</t>
  </si>
  <si>
    <t>1710</t>
  </si>
  <si>
    <t>462226</t>
  </si>
  <si>
    <t>462225</t>
  </si>
  <si>
    <t>1711-1</t>
  </si>
  <si>
    <t>鹿児島県南九州市</t>
  </si>
  <si>
    <t>1711</t>
  </si>
  <si>
    <t>462234</t>
  </si>
  <si>
    <t>462233</t>
  </si>
  <si>
    <t>1712-1</t>
  </si>
  <si>
    <t>鹿児島県伊佐市</t>
  </si>
  <si>
    <t>1712</t>
  </si>
  <si>
    <t>462242</t>
  </si>
  <si>
    <t>462241</t>
  </si>
  <si>
    <t>1713-1</t>
  </si>
  <si>
    <t>鹿児島県姶良市</t>
  </si>
  <si>
    <t>1713</t>
  </si>
  <si>
    <t>462259</t>
  </si>
  <si>
    <t>462250</t>
  </si>
  <si>
    <t>1714-1</t>
  </si>
  <si>
    <t>鹿児島県三島村</t>
  </si>
  <si>
    <t>1714</t>
  </si>
  <si>
    <t>463034</t>
  </si>
  <si>
    <t>463035</t>
  </si>
  <si>
    <t>1715-1</t>
  </si>
  <si>
    <t>鹿児島県十島村</t>
  </si>
  <si>
    <t>1715</t>
  </si>
  <si>
    <t>463042</t>
  </si>
  <si>
    <t>463043</t>
  </si>
  <si>
    <t>1716-1</t>
  </si>
  <si>
    <t>鹿児島県さつま町</t>
  </si>
  <si>
    <t>1716</t>
  </si>
  <si>
    <t>463927</t>
  </si>
  <si>
    <t>463922</t>
  </si>
  <si>
    <t>1717-1</t>
  </si>
  <si>
    <t>鹿児島県長島町</t>
  </si>
  <si>
    <t>1717</t>
  </si>
  <si>
    <t>464040</t>
  </si>
  <si>
    <t>1718-1</t>
  </si>
  <si>
    <t>鹿児島県湧水町</t>
  </si>
  <si>
    <t>1718</t>
  </si>
  <si>
    <t>464529</t>
  </si>
  <si>
    <t>464520</t>
  </si>
  <si>
    <t>1719-1</t>
  </si>
  <si>
    <t>鹿児島県大崎町</t>
  </si>
  <si>
    <t>1719</t>
  </si>
  <si>
    <t>464685</t>
  </si>
  <si>
    <t>464686</t>
  </si>
  <si>
    <t>1720-1</t>
  </si>
  <si>
    <t>鹿児島県東串良町</t>
  </si>
  <si>
    <t>1720</t>
  </si>
  <si>
    <t>464826</t>
  </si>
  <si>
    <t>464821</t>
  </si>
  <si>
    <t>1721-1</t>
  </si>
  <si>
    <t>鹿児島県錦江町</t>
  </si>
  <si>
    <t>1721</t>
  </si>
  <si>
    <t>464909</t>
  </si>
  <si>
    <t>490</t>
  </si>
  <si>
    <t>464902</t>
  </si>
  <si>
    <t>1722-1</t>
  </si>
  <si>
    <t>鹿児島県南大隅町</t>
  </si>
  <si>
    <t>1722</t>
  </si>
  <si>
    <t>464917</t>
  </si>
  <si>
    <t>491</t>
  </si>
  <si>
    <t>464911</t>
  </si>
  <si>
    <t>1723-1</t>
  </si>
  <si>
    <t>鹿児島県肝付町</t>
  </si>
  <si>
    <t>1723</t>
  </si>
  <si>
    <t>464925</t>
  </si>
  <si>
    <t>492</t>
  </si>
  <si>
    <t>464929</t>
  </si>
  <si>
    <t>1724-1</t>
  </si>
  <si>
    <t>鹿児島県中種子町</t>
  </si>
  <si>
    <t>1724</t>
  </si>
  <si>
    <t>465013</t>
  </si>
  <si>
    <t>465011</t>
  </si>
  <si>
    <t>1725-1</t>
  </si>
  <si>
    <t>鹿児島県南種子町</t>
  </si>
  <si>
    <t>1725</t>
  </si>
  <si>
    <t>465021</t>
  </si>
  <si>
    <t>465020</t>
  </si>
  <si>
    <t>1726-1</t>
  </si>
  <si>
    <t>鹿児島県屋久島町</t>
  </si>
  <si>
    <t>1726</t>
  </si>
  <si>
    <t>465054</t>
  </si>
  <si>
    <t>1727-1</t>
  </si>
  <si>
    <t>鹿児島県大和村</t>
  </si>
  <si>
    <t>1727</t>
  </si>
  <si>
    <t>465237</t>
  </si>
  <si>
    <t>465232</t>
  </si>
  <si>
    <t>1728-1</t>
  </si>
  <si>
    <t>鹿児島県宇検村</t>
  </si>
  <si>
    <t>1728</t>
  </si>
  <si>
    <t>465245</t>
  </si>
  <si>
    <t>465241</t>
  </si>
  <si>
    <t>1729-1</t>
  </si>
  <si>
    <t>鹿児島県瀬戸内町</t>
  </si>
  <si>
    <t>1729</t>
  </si>
  <si>
    <t>465252</t>
  </si>
  <si>
    <t>465259</t>
  </si>
  <si>
    <t>1730-1</t>
  </si>
  <si>
    <t>鹿児島県龍郷町</t>
  </si>
  <si>
    <t>1730</t>
  </si>
  <si>
    <t>465278</t>
  </si>
  <si>
    <t>465275</t>
  </si>
  <si>
    <t>1731-1</t>
  </si>
  <si>
    <t>鹿児島県喜界町</t>
  </si>
  <si>
    <t>1731</t>
  </si>
  <si>
    <t>465294</t>
  </si>
  <si>
    <t>529</t>
  </si>
  <si>
    <t>465291</t>
  </si>
  <si>
    <t>1732-1</t>
  </si>
  <si>
    <t>鹿児島県徳之島町</t>
  </si>
  <si>
    <t>1732</t>
  </si>
  <si>
    <t>465302</t>
  </si>
  <si>
    <t>530</t>
  </si>
  <si>
    <t>465305</t>
  </si>
  <si>
    <t>1733-1</t>
  </si>
  <si>
    <t>鹿児島県天城町</t>
  </si>
  <si>
    <t>1733</t>
  </si>
  <si>
    <t>465310</t>
  </si>
  <si>
    <t>465313</t>
  </si>
  <si>
    <t>1734-1</t>
  </si>
  <si>
    <t>鹿児島県伊仙町</t>
  </si>
  <si>
    <t>1734</t>
  </si>
  <si>
    <t>465328</t>
  </si>
  <si>
    <t>532</t>
  </si>
  <si>
    <t>465321</t>
  </si>
  <si>
    <t>1735-1</t>
  </si>
  <si>
    <t>鹿児島県和泊町</t>
  </si>
  <si>
    <t>1735</t>
  </si>
  <si>
    <t>465336</t>
  </si>
  <si>
    <t>533</t>
  </si>
  <si>
    <t>465330</t>
  </si>
  <si>
    <t>1736-1</t>
  </si>
  <si>
    <t>鹿児島県知名町</t>
  </si>
  <si>
    <t>1736</t>
  </si>
  <si>
    <t>465344</t>
  </si>
  <si>
    <t>534</t>
  </si>
  <si>
    <t>465348</t>
  </si>
  <si>
    <t>1737-1</t>
  </si>
  <si>
    <t>鹿児島県与論町</t>
  </si>
  <si>
    <t>1737</t>
  </si>
  <si>
    <t>465351</t>
  </si>
  <si>
    <t>535</t>
  </si>
  <si>
    <t>465356</t>
  </si>
  <si>
    <t>1738-1</t>
  </si>
  <si>
    <t>沖縄県那覇市</t>
  </si>
  <si>
    <t>1738</t>
  </si>
  <si>
    <t>472019</t>
  </si>
  <si>
    <t>472018</t>
  </si>
  <si>
    <t>1739-1</t>
  </si>
  <si>
    <t>沖縄県宜野湾市</t>
  </si>
  <si>
    <t>1739</t>
  </si>
  <si>
    <t>472050</t>
  </si>
  <si>
    <t>472051</t>
  </si>
  <si>
    <t>1740-1</t>
  </si>
  <si>
    <t>沖縄県石垣市</t>
  </si>
  <si>
    <t>1740</t>
  </si>
  <si>
    <t>472076</t>
  </si>
  <si>
    <t>472077</t>
  </si>
  <si>
    <t>1741-1</t>
  </si>
  <si>
    <t>沖縄県浦添市</t>
  </si>
  <si>
    <t>1741</t>
  </si>
  <si>
    <t>472084</t>
  </si>
  <si>
    <t>472085</t>
  </si>
  <si>
    <t>1742-1</t>
  </si>
  <si>
    <t>沖縄県名護市</t>
  </si>
  <si>
    <t>1742</t>
  </si>
  <si>
    <t>472092</t>
  </si>
  <si>
    <t>472093</t>
  </si>
  <si>
    <t>1743-1</t>
  </si>
  <si>
    <t>沖縄県糸満市</t>
  </si>
  <si>
    <t>1743</t>
  </si>
  <si>
    <t>472100</t>
  </si>
  <si>
    <t>472107</t>
  </si>
  <si>
    <t>1744-1</t>
  </si>
  <si>
    <t>沖縄県沖縄市</t>
  </si>
  <si>
    <t>1744</t>
  </si>
  <si>
    <t>472118</t>
  </si>
  <si>
    <t>472115</t>
  </si>
  <si>
    <t>1745-1</t>
  </si>
  <si>
    <t>沖縄県うるま市</t>
  </si>
  <si>
    <t>1745</t>
  </si>
  <si>
    <t>472134</t>
  </si>
  <si>
    <t>472131</t>
  </si>
  <si>
    <t>1746-1</t>
  </si>
  <si>
    <t>沖縄県宮古島市</t>
  </si>
  <si>
    <t>1746</t>
  </si>
  <si>
    <t>472142</t>
  </si>
  <si>
    <t>472140</t>
  </si>
  <si>
    <t>1747-1</t>
  </si>
  <si>
    <t>沖縄県多良間村</t>
  </si>
  <si>
    <t>1747</t>
  </si>
  <si>
    <t>473751</t>
  </si>
  <si>
    <t>375</t>
  </si>
  <si>
    <t>473758</t>
  </si>
  <si>
    <t>1748-1</t>
  </si>
  <si>
    <t>沖縄県竹富町</t>
  </si>
  <si>
    <t>1748</t>
  </si>
  <si>
    <t>473819</t>
  </si>
  <si>
    <t>473812</t>
  </si>
  <si>
    <t>1749-1</t>
  </si>
  <si>
    <t>沖縄県与那国町</t>
  </si>
  <si>
    <t>1749</t>
  </si>
  <si>
    <t>473827</t>
  </si>
  <si>
    <t>473821</t>
  </si>
  <si>
    <t>1750-1</t>
  </si>
  <si>
    <t>沖縄県沖縄県介護保険広域連合</t>
  </si>
  <si>
    <t>1750</t>
  </si>
  <si>
    <t>478446</t>
  </si>
  <si>
    <t>844</t>
  </si>
  <si>
    <t>478512</t>
  </si>
  <si>
    <t>1750-2</t>
  </si>
  <si>
    <t>沖縄県豊見城市</t>
  </si>
  <si>
    <t>1751</t>
  </si>
  <si>
    <t>473413</t>
  </si>
  <si>
    <t>472123</t>
  </si>
  <si>
    <t>1750-3</t>
  </si>
  <si>
    <t>沖縄県南城市</t>
  </si>
  <si>
    <t>1752</t>
  </si>
  <si>
    <t>472159</t>
  </si>
  <si>
    <t>472158</t>
  </si>
  <si>
    <t>1750-4</t>
  </si>
  <si>
    <t>沖縄県国頭村</t>
  </si>
  <si>
    <t>1753</t>
  </si>
  <si>
    <t>473017</t>
  </si>
  <si>
    <t>473014</t>
  </si>
  <si>
    <t>1750-5</t>
  </si>
  <si>
    <t>沖縄県大宜味村</t>
  </si>
  <si>
    <t>1754</t>
  </si>
  <si>
    <t>473025</t>
  </si>
  <si>
    <t>473022</t>
  </si>
  <si>
    <t>1750-6</t>
  </si>
  <si>
    <t>沖縄県東村</t>
  </si>
  <si>
    <t>1755</t>
  </si>
  <si>
    <t>473033</t>
  </si>
  <si>
    <t>473031</t>
  </si>
  <si>
    <t>1750-7</t>
  </si>
  <si>
    <t>沖縄県今帰仁村</t>
  </si>
  <si>
    <t>1756</t>
  </si>
  <si>
    <t>473066</t>
  </si>
  <si>
    <t>473065</t>
  </si>
  <si>
    <t>1750-8</t>
  </si>
  <si>
    <t>沖縄県本部町</t>
  </si>
  <si>
    <t>1757</t>
  </si>
  <si>
    <t>473082</t>
  </si>
  <si>
    <t>473081</t>
  </si>
  <si>
    <t>1750-9</t>
  </si>
  <si>
    <t>沖縄県恩納村</t>
  </si>
  <si>
    <t>1758</t>
  </si>
  <si>
    <t>473116</t>
  </si>
  <si>
    <t>311</t>
  </si>
  <si>
    <t>473111</t>
  </si>
  <si>
    <t>1750-10</t>
  </si>
  <si>
    <t>沖縄県宜野座村</t>
  </si>
  <si>
    <t>1759</t>
  </si>
  <si>
    <t>473132</t>
  </si>
  <si>
    <t>313</t>
  </si>
  <si>
    <t>473138</t>
  </si>
  <si>
    <t>1750-11</t>
  </si>
  <si>
    <t>沖縄県金武町</t>
  </si>
  <si>
    <t>1760</t>
  </si>
  <si>
    <t>473140</t>
  </si>
  <si>
    <t>314</t>
  </si>
  <si>
    <t>473146</t>
  </si>
  <si>
    <t>1750-12</t>
  </si>
  <si>
    <t>沖縄県伊江村</t>
  </si>
  <si>
    <t>1761</t>
  </si>
  <si>
    <t>473157</t>
  </si>
  <si>
    <t>315</t>
  </si>
  <si>
    <t>473154</t>
  </si>
  <si>
    <t>1750-13</t>
  </si>
  <si>
    <t>沖縄県読谷村</t>
  </si>
  <si>
    <t>1762</t>
  </si>
  <si>
    <t>473249</t>
  </si>
  <si>
    <t>473243</t>
  </si>
  <si>
    <t>1750-14</t>
  </si>
  <si>
    <t>沖縄県嘉手納町</t>
  </si>
  <si>
    <t>1763</t>
  </si>
  <si>
    <t>473256</t>
  </si>
  <si>
    <t>473251</t>
  </si>
  <si>
    <t>1750-15</t>
  </si>
  <si>
    <t>沖縄県北谷町</t>
  </si>
  <si>
    <t>1764</t>
  </si>
  <si>
    <t>473264</t>
  </si>
  <si>
    <t>473260</t>
  </si>
  <si>
    <t>1750-16</t>
  </si>
  <si>
    <t>沖縄県北中城村</t>
  </si>
  <si>
    <t>1765</t>
  </si>
  <si>
    <t>473272</t>
  </si>
  <si>
    <t>473278</t>
  </si>
  <si>
    <t>1750-17</t>
  </si>
  <si>
    <t>沖縄県中城村</t>
  </si>
  <si>
    <t>1766</t>
  </si>
  <si>
    <t>473280</t>
  </si>
  <si>
    <t>473286</t>
  </si>
  <si>
    <t>1750-18</t>
  </si>
  <si>
    <t>沖縄県西原町</t>
  </si>
  <si>
    <t>1767</t>
  </si>
  <si>
    <t>473298</t>
  </si>
  <si>
    <t>473294</t>
  </si>
  <si>
    <t>1750-19</t>
  </si>
  <si>
    <t>沖縄県与那原町</t>
  </si>
  <si>
    <t>1768</t>
  </si>
  <si>
    <t>473488</t>
  </si>
  <si>
    <t>473481</t>
  </si>
  <si>
    <t>1750-20</t>
  </si>
  <si>
    <t>沖縄県南風原町</t>
  </si>
  <si>
    <t>1769</t>
  </si>
  <si>
    <t>473504</t>
  </si>
  <si>
    <t>473502</t>
  </si>
  <si>
    <t>1750-21</t>
  </si>
  <si>
    <t>沖縄県渡嘉敷村</t>
  </si>
  <si>
    <t>1770</t>
  </si>
  <si>
    <t>473538</t>
  </si>
  <si>
    <t>353</t>
  </si>
  <si>
    <t>473537</t>
  </si>
  <si>
    <t>1750-22</t>
  </si>
  <si>
    <t>沖縄県座間味村</t>
  </si>
  <si>
    <t>1771</t>
  </si>
  <si>
    <t>473546</t>
  </si>
  <si>
    <t>354</t>
  </si>
  <si>
    <t>473545</t>
  </si>
  <si>
    <t>1750-23</t>
  </si>
  <si>
    <t>沖縄県粟国村</t>
  </si>
  <si>
    <t>1772</t>
  </si>
  <si>
    <t>473553</t>
  </si>
  <si>
    <t>355</t>
  </si>
  <si>
    <t>1750-24</t>
  </si>
  <si>
    <t>沖縄県渡名喜村</t>
  </si>
  <si>
    <t>1773</t>
  </si>
  <si>
    <t>473561</t>
  </si>
  <si>
    <t>1750-25</t>
  </si>
  <si>
    <t>沖縄県南大東村</t>
  </si>
  <si>
    <t>1774</t>
  </si>
  <si>
    <t>473579</t>
  </si>
  <si>
    <t>357</t>
  </si>
  <si>
    <t>473570</t>
  </si>
  <si>
    <t>1750-26</t>
  </si>
  <si>
    <t>沖縄県北大東村</t>
  </si>
  <si>
    <t>1775</t>
  </si>
  <si>
    <t>473587</t>
  </si>
  <si>
    <t>358</t>
  </si>
  <si>
    <t>473588</t>
  </si>
  <si>
    <t>1750-27</t>
  </si>
  <si>
    <t>沖縄県伊平屋村</t>
  </si>
  <si>
    <t>1776</t>
  </si>
  <si>
    <t>473595</t>
  </si>
  <si>
    <t>359</t>
  </si>
  <si>
    <t>473596</t>
  </si>
  <si>
    <t>1750-28</t>
  </si>
  <si>
    <t>沖縄県伊是名村</t>
  </si>
  <si>
    <t>1777</t>
  </si>
  <si>
    <t>473603</t>
  </si>
  <si>
    <t>360</t>
  </si>
  <si>
    <t>473600</t>
  </si>
  <si>
    <t>1750-29</t>
  </si>
  <si>
    <t>沖縄県久米島町</t>
  </si>
  <si>
    <t>1778</t>
  </si>
  <si>
    <t>473611</t>
  </si>
  <si>
    <t>473618</t>
  </si>
  <si>
    <t>1750-30</t>
  </si>
  <si>
    <t>沖縄県八重瀬町</t>
  </si>
  <si>
    <t>1779</t>
  </si>
  <si>
    <t>473629</t>
  </si>
  <si>
    <t>473626</t>
  </si>
  <si>
    <t>上限額設定状況</t>
    <rPh sb="0" eb="3">
      <t>ジョウゲンガク</t>
    </rPh>
    <rPh sb="3" eb="5">
      <t>セッテイ</t>
    </rPh>
    <rPh sb="5" eb="7">
      <t>ジョウキョウ</t>
    </rPh>
    <phoneticPr fontId="5"/>
  </si>
  <si>
    <t>○　保険者にて、入力情報を確認する際に使用してください。入力内容に誤りがあるときは、Ｊ列に示すシートに戻って修正してください。</t>
    <rPh sb="2" eb="5">
      <t>ホケンシャ</t>
    </rPh>
    <rPh sb="8" eb="10">
      <t>ニュウリョク</t>
    </rPh>
    <rPh sb="10" eb="12">
      <t>ジョウホウ</t>
    </rPh>
    <rPh sb="13" eb="15">
      <t>カクニン</t>
    </rPh>
    <rPh sb="17" eb="18">
      <t>サイ</t>
    </rPh>
    <rPh sb="19" eb="21">
      <t>シヨウ</t>
    </rPh>
    <rPh sb="28" eb="30">
      <t>ニュウリョク</t>
    </rPh>
    <rPh sb="30" eb="32">
      <t>ナイヨウ</t>
    </rPh>
    <rPh sb="33" eb="34">
      <t>アヤマ</t>
    </rPh>
    <rPh sb="43" eb="44">
      <t>レツ</t>
    </rPh>
    <rPh sb="45" eb="46">
      <t>シメ</t>
    </rPh>
    <rPh sb="51" eb="52">
      <t>モド</t>
    </rPh>
    <rPh sb="54" eb="56">
      <t>シュウセイ</t>
    </rPh>
    <phoneticPr fontId="3"/>
  </si>
  <si>
    <t>○　シート名は変更しないでください。</t>
    <phoneticPr fontId="3"/>
  </si>
  <si>
    <t>項目</t>
    <rPh sb="0" eb="2">
      <t>コウモク</t>
    </rPh>
    <phoneticPr fontId="5"/>
  </si>
  <si>
    <t>事項</t>
    <rPh sb="0" eb="2">
      <t>ジコウ</t>
    </rPh>
    <phoneticPr fontId="5"/>
  </si>
  <si>
    <t>転記元シート</t>
    <rPh sb="0" eb="2">
      <t>テンキ</t>
    </rPh>
    <rPh sb="2" eb="3">
      <t>モト</t>
    </rPh>
    <phoneticPr fontId="3"/>
  </si>
  <si>
    <t>総合事業</t>
    <rPh sb="0" eb="2">
      <t>ソウゴウ</t>
    </rPh>
    <rPh sb="2" eb="4">
      <t>ジギョウ</t>
    </rPh>
    <phoneticPr fontId="5"/>
  </si>
  <si>
    <t>開始年月</t>
    <rPh sb="0" eb="2">
      <t>カイシ</t>
    </rPh>
    <rPh sb="2" eb="4">
      <t>ネンゲツ</t>
    </rPh>
    <phoneticPr fontId="5"/>
  </si>
  <si>
    <t>平成</t>
    <rPh sb="0" eb="2">
      <t>ヘイセイ</t>
    </rPh>
    <phoneticPr fontId="5"/>
  </si>
  <si>
    <t>年</t>
    <rPh sb="0" eb="1">
      <t>ネン</t>
    </rPh>
    <phoneticPr fontId="5"/>
  </si>
  <si>
    <t>月</t>
    <rPh sb="0" eb="1">
      <t>ガツ</t>
    </rPh>
    <phoneticPr fontId="5"/>
  </si>
  <si>
    <t>シート「初期設定」</t>
    <rPh sb="4" eb="6">
      <t>ショキ</t>
    </rPh>
    <rPh sb="6" eb="8">
      <t>セッテイ</t>
    </rPh>
    <phoneticPr fontId="3"/>
  </si>
  <si>
    <t>令和７年度　交付申請時の上限額設定状況</t>
    <rPh sb="0" eb="1">
      <t>レイ</t>
    </rPh>
    <rPh sb="1" eb="2">
      <t>カズ</t>
    </rPh>
    <rPh sb="3" eb="5">
      <t>ネンド</t>
    </rPh>
    <rPh sb="6" eb="8">
      <t>コウフ</t>
    </rPh>
    <rPh sb="8" eb="10">
      <t>シンセイ</t>
    </rPh>
    <rPh sb="10" eb="11">
      <t>ジ</t>
    </rPh>
    <rPh sb="12" eb="15">
      <t>ジョウゲンガク</t>
    </rPh>
    <rPh sb="15" eb="17">
      <t>セッテイ</t>
    </rPh>
    <rPh sb="17" eb="19">
      <t>ジョウキョウ</t>
    </rPh>
    <phoneticPr fontId="5"/>
  </si>
  <si>
    <t>シート「総合事業上限額算定の手引き」</t>
    <rPh sb="4" eb="6">
      <t>ソウゴウ</t>
    </rPh>
    <rPh sb="6" eb="8">
      <t>ジギョウ</t>
    </rPh>
    <rPh sb="8" eb="11">
      <t>ジョウゲンガク</t>
    </rPh>
    <rPh sb="11" eb="13">
      <t>サンテイ</t>
    </rPh>
    <rPh sb="14" eb="16">
      <t>テビ</t>
    </rPh>
    <phoneticPr fontId="3"/>
  </si>
  <si>
    <t>包括的支援事業
（地域包括支援センターの運営）
及び任意事業</t>
    <rPh sb="0" eb="3">
      <t>ホウカツテキ</t>
    </rPh>
    <rPh sb="3" eb="5">
      <t>シエン</t>
    </rPh>
    <rPh sb="5" eb="7">
      <t>ジギョウ</t>
    </rPh>
    <rPh sb="9" eb="11">
      <t>チイキ</t>
    </rPh>
    <rPh sb="11" eb="13">
      <t>ホウカツ</t>
    </rPh>
    <rPh sb="13" eb="15">
      <t>シエン</t>
    </rPh>
    <rPh sb="20" eb="22">
      <t>ウンエイ</t>
    </rPh>
    <rPh sb="24" eb="25">
      <t>オヨ</t>
    </rPh>
    <rPh sb="26" eb="28">
      <t>ニンイ</t>
    </rPh>
    <rPh sb="28" eb="30">
      <t>ジギョウ</t>
    </rPh>
    <phoneticPr fontId="5"/>
  </si>
  <si>
    <t>シート「包括・任意事業の上限額算定の手引き」</t>
    <rPh sb="4" eb="6">
      <t>ホウカツ</t>
    </rPh>
    <rPh sb="7" eb="9">
      <t>ニンイ</t>
    </rPh>
    <rPh sb="9" eb="11">
      <t>ジギョウ</t>
    </rPh>
    <rPh sb="12" eb="15">
      <t>ジョウゲンガク</t>
    </rPh>
    <rPh sb="15" eb="17">
      <t>サンテイ</t>
    </rPh>
    <rPh sb="18" eb="20">
      <t>テビ</t>
    </rPh>
    <phoneticPr fontId="3"/>
  </si>
  <si>
    <t>包括的支援事業
（社会保障充実分）</t>
    <rPh sb="0" eb="3">
      <t>ホウカツテキ</t>
    </rPh>
    <rPh sb="3" eb="5">
      <t>シエン</t>
    </rPh>
    <rPh sb="5" eb="7">
      <t>ジギョウ</t>
    </rPh>
    <rPh sb="9" eb="11">
      <t>シャカイ</t>
    </rPh>
    <rPh sb="11" eb="13">
      <t>ホショウ</t>
    </rPh>
    <rPh sb="13" eb="15">
      <t>ジュウジツ</t>
    </rPh>
    <rPh sb="15" eb="16">
      <t>ブン</t>
    </rPh>
    <phoneticPr fontId="5"/>
  </si>
  <si>
    <t>シート「包括的支援事業（社会保障充実分）標準額の手引き」</t>
    <rPh sb="4" eb="7">
      <t>ホウカツテキ</t>
    </rPh>
    <rPh sb="7" eb="11">
      <t>シエンジギョウ</t>
    </rPh>
    <rPh sb="12" eb="14">
      <t>シャカイ</t>
    </rPh>
    <rPh sb="14" eb="16">
      <t>ホショウ</t>
    </rPh>
    <rPh sb="16" eb="18">
      <t>ジュウジツ</t>
    </rPh>
    <rPh sb="18" eb="19">
      <t>ブン</t>
    </rPh>
    <rPh sb="20" eb="23">
      <t>ヒョウジュンガク</t>
    </rPh>
    <rPh sb="24" eb="26">
      <t>テビ</t>
    </rPh>
    <phoneticPr fontId="3"/>
  </si>
  <si>
    <t>01通し番号</t>
  </si>
  <si>
    <t>01厚生（支）局名</t>
  </si>
  <si>
    <t>01都道府県名</t>
  </si>
  <si>
    <t>01保険者名</t>
  </si>
  <si>
    <t>01保険者番号</t>
  </si>
  <si>
    <t>01市区町村ｺｰﾄﾞ</t>
  </si>
  <si>
    <t>01都道府県ｺｰﾄﾞ</t>
  </si>
  <si>
    <t>01H27総合事業上限設定</t>
  </si>
  <si>
    <t>01H28総合事業上限設定</t>
  </si>
  <si>
    <t>01H29総合事業上限設定</t>
  </si>
  <si>
    <t>01H30総合事業上限設定</t>
  </si>
  <si>
    <t>01R1総合事業上限設定</t>
  </si>
  <si>
    <t>01R2総合事業上限設定</t>
  </si>
  <si>
    <t>01R3総合事業上限設定</t>
  </si>
  <si>
    <t>01R4総合事業上限設定</t>
  </si>
  <si>
    <t>01R5総合事業上限設定</t>
  </si>
  <si>
    <t>01R6総合事業上限設定</t>
  </si>
  <si>
    <t>01総合事業移行年</t>
  </si>
  <si>
    <t>01総合事業移行月</t>
  </si>
  <si>
    <t>01総合事業移行日</t>
  </si>
  <si>
    <t>01総合事業移行年月日</t>
  </si>
  <si>
    <t>01総合事業移行年度</t>
  </si>
  <si>
    <t>01総合事業移行前年度</t>
  </si>
  <si>
    <t>01指定都市</t>
  </si>
  <si>
    <t>01広域連合等</t>
  </si>
  <si>
    <t>01上記以外の市町村</t>
  </si>
  <si>
    <t>01重層実施</t>
  </si>
  <si>
    <t>01①地域介護予防活動支援事業に要する費用相当額を交付率で除して得た額</t>
  </si>
  <si>
    <t>01②地域包括支援センターの運営に要する費用相当額を交付率で除して得た額</t>
  </si>
  <si>
    <t>01③生活支援体制整備事業に要する費用相当額を交付率で除して得た額</t>
  </si>
  <si>
    <t>A1000</t>
  </si>
  <si>
    <t>A1100</t>
  </si>
  <si>
    <t>A1110</t>
  </si>
  <si>
    <t>A1120</t>
  </si>
  <si>
    <t>A1130</t>
  </si>
  <si>
    <t>A1140</t>
  </si>
  <si>
    <t>A1150</t>
  </si>
  <si>
    <t>A1160</t>
  </si>
  <si>
    <t>A1200</t>
  </si>
  <si>
    <t>A1210</t>
  </si>
  <si>
    <t>A1220</t>
  </si>
  <si>
    <t>A1230</t>
  </si>
  <si>
    <t>A1240</t>
  </si>
  <si>
    <t>A1250</t>
  </si>
  <si>
    <t>A1300</t>
  </si>
  <si>
    <t>A1310</t>
  </si>
  <si>
    <t>A1320</t>
  </si>
  <si>
    <t>A1330</t>
  </si>
  <si>
    <t>A1340</t>
  </si>
  <si>
    <t>A1400</t>
  </si>
  <si>
    <t>A1500</t>
  </si>
  <si>
    <t>A1600</t>
  </si>
  <si>
    <t>A1700</t>
  </si>
  <si>
    <t>A1710</t>
  </si>
  <si>
    <t>A1720</t>
  </si>
  <si>
    <t>A1730</t>
  </si>
  <si>
    <t>A1740</t>
  </si>
  <si>
    <t>A1750</t>
  </si>
  <si>
    <t>A2000</t>
  </si>
  <si>
    <t>A2100</t>
  </si>
  <si>
    <t>A2200</t>
  </si>
  <si>
    <t>A2210</t>
  </si>
  <si>
    <t>A2220</t>
  </si>
  <si>
    <t>A2230</t>
  </si>
  <si>
    <t>A3000</t>
  </si>
  <si>
    <t>A4000</t>
  </si>
  <si>
    <t>A4100</t>
  </si>
  <si>
    <t>A4200</t>
  </si>
  <si>
    <t>A4210</t>
  </si>
  <si>
    <t>A4220</t>
  </si>
  <si>
    <t>A4230</t>
  </si>
  <si>
    <t>A4240</t>
  </si>
  <si>
    <t>A4300</t>
  </si>
  <si>
    <t>A4310</t>
  </si>
  <si>
    <t>A4320</t>
  </si>
  <si>
    <t>A4330</t>
  </si>
  <si>
    <t>A4400</t>
  </si>
  <si>
    <t>A5000</t>
  </si>
  <si>
    <t>B1000</t>
  </si>
  <si>
    <t>B1100</t>
  </si>
  <si>
    <t>B1110</t>
  </si>
  <si>
    <t>B1120</t>
  </si>
  <si>
    <t>B1130</t>
  </si>
  <si>
    <t>B1140</t>
  </si>
  <si>
    <t>B1150</t>
  </si>
  <si>
    <t>B1160</t>
  </si>
  <si>
    <t>B1200</t>
  </si>
  <si>
    <t>B1210</t>
  </si>
  <si>
    <t>B1220</t>
  </si>
  <si>
    <t>B1230</t>
  </si>
  <si>
    <t>B1240</t>
  </si>
  <si>
    <t>B1250</t>
  </si>
  <si>
    <t>B1300</t>
  </si>
  <si>
    <t>B1310</t>
  </si>
  <si>
    <t>B1320</t>
  </si>
  <si>
    <t>B1330</t>
  </si>
  <si>
    <t>B1340</t>
  </si>
  <si>
    <t>B1400</t>
  </si>
  <si>
    <t>B1500</t>
  </si>
  <si>
    <t>B1600</t>
  </si>
  <si>
    <t>B1700</t>
  </si>
  <si>
    <t>B1710</t>
  </si>
  <si>
    <t>B1720</t>
  </si>
  <si>
    <t>B1730</t>
  </si>
  <si>
    <t>B1740</t>
  </si>
  <si>
    <t>B1750</t>
  </si>
  <si>
    <t>B2000</t>
  </si>
  <si>
    <t>B2100</t>
  </si>
  <si>
    <t>B2200</t>
  </si>
  <si>
    <t>B2210</t>
  </si>
  <si>
    <t>B2220</t>
  </si>
  <si>
    <t>B2230</t>
  </si>
  <si>
    <t>B3000</t>
  </si>
  <si>
    <t>B4000</t>
  </si>
  <si>
    <t>B4100</t>
  </si>
  <si>
    <t>B4200</t>
  </si>
  <si>
    <t>B4210</t>
  </si>
  <si>
    <t>B4220</t>
  </si>
  <si>
    <t>B4230</t>
  </si>
  <si>
    <t>B4240</t>
  </si>
  <si>
    <t>B4300</t>
  </si>
  <si>
    <t>B4310</t>
  </si>
  <si>
    <t>B4320</t>
  </si>
  <si>
    <t>B4330</t>
  </si>
  <si>
    <t>B4400</t>
  </si>
  <si>
    <t>B5000</t>
  </si>
  <si>
    <t>C1000</t>
  </si>
  <si>
    <t>C1100</t>
  </si>
  <si>
    <t>C1110</t>
  </si>
  <si>
    <t>C1120</t>
  </si>
  <si>
    <t>C1130</t>
  </si>
  <si>
    <t>C1140</t>
  </si>
  <si>
    <t>C1150</t>
  </si>
  <si>
    <t>C1160</t>
  </si>
  <si>
    <t>C1200</t>
  </si>
  <si>
    <t>C1210</t>
  </si>
  <si>
    <t>C1220</t>
  </si>
  <si>
    <t>C1230</t>
  </si>
  <si>
    <t>C1240</t>
  </si>
  <si>
    <t>C1250</t>
  </si>
  <si>
    <t>C1300</t>
  </si>
  <si>
    <t>C1310</t>
  </si>
  <si>
    <t>C1320</t>
  </si>
  <si>
    <t>C1330</t>
  </si>
  <si>
    <t>C1340</t>
  </si>
  <si>
    <t>C1400</t>
  </si>
  <si>
    <t>C1500</t>
  </si>
  <si>
    <t>C1600</t>
  </si>
  <si>
    <t>C1700</t>
  </si>
  <si>
    <t>C1710</t>
  </si>
  <si>
    <t>C1720</t>
  </si>
  <si>
    <t>C1730</t>
  </si>
  <si>
    <t>C1740</t>
  </si>
  <si>
    <t>C1750</t>
  </si>
  <si>
    <t>C2000</t>
  </si>
  <si>
    <t>C2100</t>
  </si>
  <si>
    <t>C2200</t>
  </si>
  <si>
    <t>C2210</t>
  </si>
  <si>
    <t>C2220</t>
  </si>
  <si>
    <t>C2230</t>
  </si>
  <si>
    <t>C3000</t>
  </si>
  <si>
    <t>C4000</t>
  </si>
  <si>
    <t>C4100</t>
  </si>
  <si>
    <t>C4200</t>
  </si>
  <si>
    <t>C4210</t>
  </si>
  <si>
    <t>C4220</t>
  </si>
  <si>
    <t>C4230</t>
  </si>
  <si>
    <t>C4240</t>
  </si>
  <si>
    <t>C4300</t>
  </si>
  <si>
    <t>C4310</t>
  </si>
  <si>
    <t>C4320</t>
  </si>
  <si>
    <t>C4330</t>
  </si>
  <si>
    <t>C4400</t>
  </si>
  <si>
    <t>C5000</t>
  </si>
  <si>
    <t>D1000</t>
  </si>
  <si>
    <t>D1100</t>
  </si>
  <si>
    <t>D1110</t>
  </si>
  <si>
    <t>D1120</t>
  </si>
  <si>
    <t>D1130</t>
  </si>
  <si>
    <t>D1140</t>
  </si>
  <si>
    <t>D1150</t>
  </si>
  <si>
    <t>D1160</t>
  </si>
  <si>
    <t>D1200</t>
  </si>
  <si>
    <t>D1210</t>
  </si>
  <si>
    <t>D1220</t>
  </si>
  <si>
    <t>D1230</t>
  </si>
  <si>
    <t>D1240</t>
  </si>
  <si>
    <t>D1250</t>
  </si>
  <si>
    <t>D1300</t>
  </si>
  <si>
    <t>D1310</t>
  </si>
  <si>
    <t>D1320</t>
  </si>
  <si>
    <t>D1330</t>
  </si>
  <si>
    <t>D1340</t>
  </si>
  <si>
    <t>D1400</t>
  </si>
  <si>
    <t>D1500</t>
  </si>
  <si>
    <t>D1600</t>
  </si>
  <si>
    <t>D1700</t>
  </si>
  <si>
    <t>D1710</t>
  </si>
  <si>
    <t>D1720</t>
  </si>
  <si>
    <t>D1730</t>
  </si>
  <si>
    <t>D1740</t>
  </si>
  <si>
    <t>D1750</t>
  </si>
  <si>
    <t>D2000</t>
  </si>
  <si>
    <t>D2100</t>
  </si>
  <si>
    <t>D2200</t>
  </si>
  <si>
    <t>D2210</t>
  </si>
  <si>
    <t>D2220</t>
  </si>
  <si>
    <t>D2230</t>
  </si>
  <si>
    <t>D3000</t>
  </si>
  <si>
    <t>D4000</t>
  </si>
  <si>
    <t>D4100</t>
  </si>
  <si>
    <t>D4200</t>
  </si>
  <si>
    <t>D4210</t>
  </si>
  <si>
    <t>D4220</t>
  </si>
  <si>
    <t>D4230</t>
  </si>
  <si>
    <t>D4240</t>
  </si>
  <si>
    <t>D4300</t>
  </si>
  <si>
    <t>D4310</t>
  </si>
  <si>
    <t>D4320</t>
  </si>
  <si>
    <t>D4330</t>
  </si>
  <si>
    <t>D4400</t>
  </si>
  <si>
    <t>D5000</t>
  </si>
  <si>
    <t>E1000</t>
  </si>
  <si>
    <t>E2000</t>
  </si>
  <si>
    <t>E4000</t>
  </si>
  <si>
    <t>E4100</t>
  </si>
  <si>
    <t>E4200</t>
  </si>
  <si>
    <t>E4210</t>
  </si>
  <si>
    <t>E4220</t>
  </si>
  <si>
    <t>E4230</t>
  </si>
  <si>
    <t>E4240</t>
  </si>
  <si>
    <t>E4300</t>
  </si>
  <si>
    <t>E4310</t>
  </si>
  <si>
    <t>E4320</t>
  </si>
  <si>
    <t>E4330</t>
  </si>
  <si>
    <t>E4400</t>
  </si>
  <si>
    <t>F1000</t>
  </si>
  <si>
    <t>F2000</t>
  </si>
  <si>
    <t>F3000</t>
  </si>
  <si>
    <t>F4000</t>
  </si>
  <si>
    <t>F5000</t>
  </si>
  <si>
    <t>G1000</t>
  </si>
  <si>
    <t>G2000</t>
  </si>
  <si>
    <t>G3000</t>
  </si>
  <si>
    <t>G4000</t>
  </si>
  <si>
    <t>G5000</t>
  </si>
  <si>
    <t>H1000</t>
  </si>
  <si>
    <t>H2000</t>
  </si>
  <si>
    <t>H3000</t>
  </si>
  <si>
    <t>H4000</t>
  </si>
  <si>
    <t>H5000</t>
  </si>
  <si>
    <t>I1000</t>
  </si>
  <si>
    <t>I2000</t>
  </si>
  <si>
    <t>I3000</t>
  </si>
  <si>
    <t>I4000</t>
  </si>
  <si>
    <t>I5000</t>
  </si>
  <si>
    <t>J1000</t>
  </si>
  <si>
    <t>J2000</t>
  </si>
  <si>
    <t>J3000</t>
  </si>
  <si>
    <t>J4000</t>
  </si>
  <si>
    <t>J5000</t>
  </si>
  <si>
    <t>K1000</t>
  </si>
  <si>
    <t>K2000</t>
  </si>
  <si>
    <t>K3000</t>
  </si>
  <si>
    <t>K4000</t>
  </si>
  <si>
    <t>K5000</t>
  </si>
  <si>
    <t>備考欄1000</t>
  </si>
  <si>
    <t>備考欄1100</t>
  </si>
  <si>
    <t>備考欄1110</t>
  </si>
  <si>
    <t>備考欄1120</t>
  </si>
  <si>
    <t>備考欄1130</t>
  </si>
  <si>
    <t>備考欄1140</t>
  </si>
  <si>
    <t>備考欄1150</t>
  </si>
  <si>
    <t>備考欄1160</t>
  </si>
  <si>
    <t>備考欄1200</t>
  </si>
  <si>
    <t>備考欄1210</t>
  </si>
  <si>
    <t>備考欄1220</t>
  </si>
  <si>
    <t>備考欄1230</t>
  </si>
  <si>
    <t>備考欄1240</t>
  </si>
  <si>
    <t>備考欄1250</t>
  </si>
  <si>
    <t>備考欄1300</t>
  </si>
  <si>
    <t>備考欄1310</t>
  </si>
  <si>
    <t>備考欄1320</t>
  </si>
  <si>
    <t>備考欄1330</t>
  </si>
  <si>
    <t>備考欄1340</t>
  </si>
  <si>
    <t>備考欄1400</t>
  </si>
  <si>
    <t>備考欄1500</t>
  </si>
  <si>
    <t>備考欄1600</t>
  </si>
  <si>
    <t>備考欄1700</t>
  </si>
  <si>
    <t>備考欄1710</t>
  </si>
  <si>
    <t>備考欄1720</t>
  </si>
  <si>
    <t>備考欄1730</t>
  </si>
  <si>
    <t>備考欄1740</t>
  </si>
  <si>
    <t>備考欄1750</t>
  </si>
  <si>
    <t>備考欄2000</t>
  </si>
  <si>
    <t>備考欄2100</t>
  </si>
  <si>
    <t>備考欄2200</t>
  </si>
  <si>
    <t>備考欄2210</t>
  </si>
  <si>
    <t>備考欄2220</t>
  </si>
  <si>
    <t>備考欄2230</t>
  </si>
  <si>
    <t>備考欄3000</t>
  </si>
  <si>
    <t>備考欄4000</t>
  </si>
  <si>
    <t>備考欄4100</t>
  </si>
  <si>
    <t>備考欄4200</t>
  </si>
  <si>
    <t>備考欄4210</t>
  </si>
  <si>
    <t>備考欄4220</t>
  </si>
  <si>
    <t>備考欄4230</t>
  </si>
  <si>
    <t>備考欄4240</t>
  </si>
  <si>
    <t>備考欄4300</t>
  </si>
  <si>
    <t>備考欄4310</t>
  </si>
  <si>
    <t>備考欄4320</t>
  </si>
  <si>
    <t>備考欄4330</t>
  </si>
  <si>
    <t>備考欄4400</t>
  </si>
  <si>
    <t>備考欄5000</t>
  </si>
  <si>
    <t>総合事業の上限額設定状況</t>
  </si>
  <si>
    <t>包括的支援事業（地域包括支援センターの運営）及び任意事業上限額設定状況</t>
  </si>
  <si>
    <t>包括的支援事業（社会保障充実分）上限額設定状況</t>
  </si>
  <si>
    <t>総合事業調整交付金調整基準標準事業費額</t>
  </si>
  <si>
    <t>総合事業調整交付金所要額</t>
  </si>
  <si>
    <t>重層的支援体制整備事業の実施有無</t>
  </si>
  <si>
    <t>重層的支援体制整備事業に要する費用相当額総額</t>
  </si>
  <si>
    <t>重層的支援体制整備事業に要する地域介護予防活動支援事業費相当額</t>
  </si>
  <si>
    <t>重層的支援体制整備事業に要する地域包括支援センターの運営費相当額</t>
  </si>
  <si>
    <t>重層的支援体制整備事業に要する生活支援体制整備事業費相当額</t>
  </si>
  <si>
    <t>重層Kセンター運営対象経費基本額（影響額調整後）</t>
  </si>
  <si>
    <t>重層aセンター運営地域支援事業で実施される任意事業に要する費用</t>
  </si>
  <si>
    <t>重層K'センター運営小計（ K + a ）</t>
  </si>
  <si>
    <t>重層Lセンター運営基準額</t>
  </si>
  <si>
    <t>重層bセンター運営K’とLで、いずれか少ない額</t>
  </si>
  <si>
    <t>重層Mセンター運営交付基本額（ b - a ）</t>
  </si>
  <si>
    <t>重層K'エラーセンター運営</t>
  </si>
  <si>
    <t>重層Mエラーセンター運営</t>
  </si>
  <si>
    <t>重層K地域介護予防対象経費基本額（影響額調整後）</t>
  </si>
  <si>
    <t>重層a地域介護予防地域支援事業で実施される介護予防・日常生活支援総合事業に要する費用</t>
  </si>
  <si>
    <t>重層K'地域介護予防小計（ K + a ）</t>
  </si>
  <si>
    <t>重層L地域介護予防基準額</t>
  </si>
  <si>
    <t>重層b地域介護予防K’とLで、いずれか少ない額</t>
  </si>
  <si>
    <t>重層M地域介護予防交付基本額（ b - a ）</t>
  </si>
  <si>
    <t>重層K'エラー地域介護予防</t>
  </si>
  <si>
    <t>重層Mエラー地域介護予防</t>
  </si>
  <si>
    <t>重層K生活支援体制整備対象経費基本額（影響額調整後）</t>
  </si>
  <si>
    <t>重層a生活支援体制整備地域支援事業で実施される包括的支援事業（社会保障充実分）に要する費用</t>
  </si>
  <si>
    <t>重層K'生活支援体制整備小計（ K + a ）</t>
  </si>
  <si>
    <t>重層L生活支援体制整備基準額</t>
  </si>
  <si>
    <t>重層b生活支援体制整備K’とLで、いずれか少ない額</t>
  </si>
  <si>
    <t>重層M生活支援体制整備交付基本額（ b - a ）</t>
  </si>
  <si>
    <t>重層K'エラー生活支援体制整備</t>
  </si>
  <si>
    <t>重層Mエラー生活支援体制整備</t>
  </si>
  <si>
    <t>02基本の上限額</t>
  </si>
  <si>
    <t>02介護予防給付全体の伸びを考慮する上限額</t>
  </si>
  <si>
    <t>02特例イ</t>
  </si>
  <si>
    <t>02特例ロ</t>
  </si>
  <si>
    <t>02原則の上限額</t>
  </si>
  <si>
    <t>02予防給付＋介護予防等事業の額</t>
  </si>
  <si>
    <t>02予防給付の額</t>
  </si>
  <si>
    <t>02予防給付全体の額（移行前年度）</t>
  </si>
  <si>
    <t>02予防給付全体の額（今年度）</t>
  </si>
  <si>
    <t>0275歳人口(平成２３年１０月１日)</t>
  </si>
  <si>
    <t>0275歳人口(平成２４年１０月１日)</t>
  </si>
  <si>
    <t>0275歳人口(平成２５年１０月１日)</t>
  </si>
  <si>
    <t>0275歳人口(平成２６年１０月１日)</t>
  </si>
  <si>
    <t>0275歳人口(平成２７年１０月１日)</t>
  </si>
  <si>
    <t>0275歳人口(平成２８年１０月１日)</t>
  </si>
  <si>
    <t>0275歳人口(平成２９年１０月１日)</t>
  </si>
  <si>
    <t>0275歳人口(平成３０年１０月１日)</t>
  </si>
  <si>
    <t>0275歳人口(令和元年１０月１日)</t>
  </si>
  <si>
    <t>0275歳人口(令和２年１０月１日)</t>
  </si>
  <si>
    <t>0275歳人口(令和３年１０月１日)</t>
  </si>
  <si>
    <t>0275歳人口(令和４年１０月１日)</t>
  </si>
  <si>
    <t>025歳人口(令和５年１０月１日)</t>
  </si>
  <si>
    <t>025歳人口(令和６年１０月１日)</t>
  </si>
  <si>
    <t>0275歳以上高齢者伸び率使用値（基本の上限額を算定するにあたって参照する値）</t>
  </si>
  <si>
    <t>0275歳以上高齢者伸び率使用値（特例イ・ロの額を算定するにあたって参照する値）</t>
  </si>
  <si>
    <t>02平成２９年度の介護予防・日常生活支援総合事業費額</t>
  </si>
  <si>
    <t>02平成29年度の予防給付費額（介護予防訪問介護・介護予防通所介護・介護予防支援の合計額）</t>
  </si>
  <si>
    <t>02平成２９年度の予防給付費額全体</t>
  </si>
  <si>
    <t>02対象経費支出予定額（清算書D欄）</t>
  </si>
  <si>
    <t>02実績に基づく上限超過額</t>
  </si>
  <si>
    <t>02個別協議の要否</t>
  </si>
  <si>
    <t>02個別協議希望の有無</t>
  </si>
  <si>
    <t>02事前の個別協議を行わない場合の政令で定める上限額</t>
  </si>
  <si>
    <t>02前年10月１日人口</t>
  </si>
  <si>
    <t>02前年10月１日65歳以上人口</t>
  </si>
  <si>
    <t>02交付申請時における事前の個別協議の承認有無</t>
  </si>
  <si>
    <t>02事由④の該当性</t>
  </si>
  <si>
    <t>02上限超過承認希望額（事由④）</t>
  </si>
  <si>
    <t>02高齢者１人あたり事業費</t>
  </si>
  <si>
    <t>02「離島等の市町村」への該当性</t>
  </si>
  <si>
    <t>02事由⑤の該当性</t>
  </si>
  <si>
    <t>02上限超過承認希望額（事由⑤）</t>
  </si>
  <si>
    <t>0275歳以上被保険者数変動率</t>
  </si>
  <si>
    <t>02将来における介護予防・日常生活支援総合事業に要する費用の低減に資すると見込まれる事業の実施の有無</t>
  </si>
  <si>
    <t>02前年度における当該③による個別協議の有無</t>
  </si>
  <si>
    <t>02前年度における上限超過承認額・・・ア</t>
  </si>
  <si>
    <t>02前年10月１日における75歳以上の人口</t>
  </si>
  <si>
    <t>02前年10月１日における75歳以上80歳未満人口</t>
  </si>
  <si>
    <t>02前年10月１日における80歳以上85歳未満人口</t>
  </si>
  <si>
    <t>02前年10月１日における85歳以上の人口</t>
  </si>
  <si>
    <t>02前年度の10月１日における75歳以上80歳未満人口を同日における75歳以上人口で除して得た率・・・X1</t>
  </si>
  <si>
    <t>02前年度の10月１日における80歳以上85歳未満人口を同日における75歳以上人口で除して得た率・・・Y1</t>
  </si>
  <si>
    <t>02前年度の10月１日における85歳以上人口を同日における75歳以上人口で除して得た率・・・Z1</t>
  </si>
  <si>
    <t>02当該年度の初日の属する年の４年前の４月１日の属する年度の10月１日における75歳以上80歳未満人口</t>
  </si>
  <si>
    <t>02当該年度の初日の属する年の４年前の４月１日の属する年度の10月１日における80歳以上85歳未満人口</t>
  </si>
  <si>
    <t>02当該年度の初日の属する年の４年前の４月１日の属する年度の10月１日における85歳以上の人口</t>
  </si>
  <si>
    <t>02当該年度の初日の属する年の４年前の４月１日の属する年度の10月１日における75歳以上80歳未満人口を同日における75歳以上人口で除して得た率・・・X2</t>
  </si>
  <si>
    <t>02当該年度の初日の属する年の４年前の４月１日の属する年度の10月１日における80歳以上85歳未満人口を同日における75歳以上人口で除して得た率・・・Y2</t>
  </si>
  <si>
    <t>02当該年度の初日の属する年の４年前の４月１日の属する年度の10月１日における85歳以上人口を同日における75歳以上人口で除して得た率・・・Z2</t>
  </si>
  <si>
    <t>02　A×0.9×(X1＋Y1×2＋Z1×3)/(X2＋Y2×2＋Z2×3)＋A×0.1－A・・・イ</t>
  </si>
  <si>
    <t>02事由③の該当性</t>
  </si>
  <si>
    <t>02上限超過承認希望額（事由③）</t>
  </si>
  <si>
    <t>02介護予防の効果が高く、かつ、将来における介護予防・日常生活支援総合事業に要する費用の低減に資すると見込まれる新たな事業の開始年度</t>
  </si>
  <si>
    <t>02事由②の該当性（1年度目）</t>
  </si>
  <si>
    <t>02新たなプログラム等の実施に要する額（１年度目の上限超過承認希望額）</t>
  </si>
  <si>
    <t>02前年度における本事由に係る上限超過承認額（２年度目）</t>
  </si>
  <si>
    <t>02当該年度における新たなプログラム等の実施に要する額</t>
  </si>
  <si>
    <t>02前年度における個別協議の際に申請した当該見込み額</t>
  </si>
  <si>
    <t>02事由②の該当性（2年度目）</t>
  </si>
  <si>
    <t>02　２年度目の上限超過承認希望額</t>
  </si>
  <si>
    <t>02前年度における本事由に係る上限超過承認額（３年度目）</t>
  </si>
  <si>
    <t>02当該年度年度における新たなプログラム等の実施に要する額</t>
  </si>
  <si>
    <t>02事由②の該当性（３年度目）</t>
  </si>
  <si>
    <t>02　３年度目の上限超過承認希望額</t>
  </si>
  <si>
    <t>02　事由②による上限超過承認希望額</t>
  </si>
  <si>
    <t>02従前相当サービス以外の第一号訪問事業の対象経費支出予定額</t>
  </si>
  <si>
    <t>02従前相当サービス以外の第一号通所事業の対象経費支出予定額</t>
  </si>
  <si>
    <t>02要介護認定又は要支援認定の状況把握</t>
  </si>
  <si>
    <t>02数の把握</t>
  </si>
  <si>
    <t>02認定率（前々年度末日）</t>
  </si>
  <si>
    <t>02サービス利用率（前々年度末日）</t>
  </si>
  <si>
    <t>02認定率（前前々年度末日）</t>
  </si>
  <si>
    <t>02サービス利用率（前前々年度末日）</t>
  </si>
  <si>
    <t>02前々年度の末日における認定率－前々々年度年度の末日における認定率≦０</t>
  </si>
  <si>
    <t>02前々年度の末日におけるサービス利用率－前々々年度の末日におけるサービス利用率≦０</t>
  </si>
  <si>
    <t>02調整済み認定率（前々年度末日）</t>
  </si>
  <si>
    <t>02全国の調整済み認定率の平均（前々年度末日）</t>
  </si>
  <si>
    <t>02全国の調整済みサービス利用率の平均（前々年度末日）</t>
  </si>
  <si>
    <t>02前々年度の末日における調整済み認定率－前々々年度の末日における全国の調整済み認定率の平均≦０</t>
  </si>
  <si>
    <t>02前々年度の末日における調整済みサービス利用率－前々々年度の末日における全国の調整済みサービス利用率の平均≦０</t>
  </si>
  <si>
    <t>02事由⑨の該当性</t>
  </si>
  <si>
    <t>02前々年度の末日に要介護認定を受けていた第１号被保険者であって、前年度の末日に要支援認定を受けている又は要介護認定及び要支援認定のいずれも受けていない者の数</t>
  </si>
  <si>
    <t>02前年度の介護予防・日常生活支援総合事業のうち従前相当サービスに要する費用の額として、前年度の交付申請に計上した額</t>
  </si>
  <si>
    <t>02前年度において、従前相当サービスを利用した者の数</t>
  </si>
  <si>
    <t>02上限超過承認額（事由⑨）</t>
  </si>
  <si>
    <t>02(4)１、(4)２又は(4)３による個別協議を行う場合の上限超過の承認を希望する額</t>
  </si>
  <si>
    <t>02(4)１、(4)２又は(4)３による個別協議を行う場合の政令で定める上限額</t>
  </si>
  <si>
    <t>02(4)４のみによる個別協議を行う場合の上限超過の承認を希望する額</t>
  </si>
  <si>
    <t>02(4)４のみによる個別協議を行う場合の政令で定める上限額</t>
  </si>
  <si>
    <t>02(4)５のみによる個別協議を行う場合の上限超過の承認を希望する額</t>
  </si>
  <si>
    <t>02(4)５のみによる個別協議を行う場合の政令で定める上限額</t>
  </si>
  <si>
    <t>02事由４による上限超過の承認を希望する額と事由５による上限超過の承認を希望する額の合計</t>
  </si>
  <si>
    <t>02事由４による上限超過の承認を希望する額と事由５による上限超過の承認を希望する額の合計ー上限超過額</t>
  </si>
  <si>
    <t>02149行目が０以下である場合の事由４による上限超過の承認を希望する額</t>
  </si>
  <si>
    <t>02149行目が０以下である場合の事由５による上限超過の承認を希望する額</t>
  </si>
  <si>
    <t>02149行目が０以下である場合の政令で定める上限額</t>
  </si>
  <si>
    <t>02149行目が０を上回る場合、上限超過額ー事由４による上限超過の承認を希望する額</t>
  </si>
  <si>
    <t>02153行目と147行目のいずれか少ない方の額</t>
  </si>
  <si>
    <t>02149行目が０を上回る場合の事由４による上限超過の承認を希望する額</t>
  </si>
  <si>
    <t>02149行目が０を上回る場合の事由５による上限超過の承認を希望する額</t>
  </si>
  <si>
    <t>02149行目が０を上回る場合の政令で定める上限額</t>
  </si>
  <si>
    <t>02事前協議後の上限額（原則の上限額及び①～④のうち最も高い金額）</t>
  </si>
  <si>
    <t>02実際の上限超過額（事前協議後の上限超過額：163行目－159行目）</t>
  </si>
  <si>
    <t>02事後の個別協議の要否</t>
  </si>
  <si>
    <t>02事後の個別協議希望の有無</t>
  </si>
  <si>
    <t>02事後の個別協議を行わない場合の政令で定める上限額</t>
  </si>
  <si>
    <t>02災害による居宅要支援被保険者等の数の増加有無</t>
  </si>
  <si>
    <t>02ア～ウのうち該当する項目</t>
  </si>
  <si>
    <t>02ア・イに該当する場合には災害・感染症の名称、ウに該当する場合には具体的な内容</t>
  </si>
  <si>
    <t>02事由①の該当性</t>
  </si>
  <si>
    <t>02ア　災害により増加した居宅要支援被保険者等に対して実施した介護予防・日常生活支援総合事業に要した費用の額</t>
  </si>
  <si>
    <t>02令和６年４月１日から令和６年９月30日における災害等にかかる令和６年度の介護予防・日常生活支援総合事業特別調整交付金の額</t>
  </si>
  <si>
    <t>02令和６年10月１日から令和７年３月31日における災害等にかかる令和７年度に交付される予定の介護予防・日常生活支援総合事業特別調整交付金の額</t>
  </si>
  <si>
    <t>02イ　介護保険法第122条の２第２項に規定する交付金の額の算定に関する省令（平成27年厚生労働省令第58号）第７条各号に定める介護予防・日常 生活支援総合事業特別調整交付金の額</t>
  </si>
  <si>
    <t>02上限超過承認希望額（事由①）</t>
  </si>
  <si>
    <t>第一号訪問事業介護職員等ベースアップ等支援加算a</t>
  </si>
  <si>
    <t>第一号通所事業介護職員等ベースアップ等支援加算a</t>
  </si>
  <si>
    <t>第一号訪問事業介護職員等処遇改善加算(Ⅰ)a</t>
  </si>
  <si>
    <t>第一号訪問事業介護職員等処遇改善加算(Ⅱ)a</t>
  </si>
  <si>
    <t>第一号訪問事業介護職員等処遇改善加算(Ⅲ)a</t>
  </si>
  <si>
    <t>第一号訪問事業介護職員等処遇改善加算(Ⅳ)a</t>
  </si>
  <si>
    <t>第一号訪問事業介護職員等処遇改善加算(Ⅴ)(1)a</t>
  </si>
  <si>
    <t>第一号訪問事業介護職員等処遇改善加算(Ⅴ)(2)a</t>
  </si>
  <si>
    <t>第一号訪問事業介護職員等処遇改善加算(Ⅴ)(3)a</t>
  </si>
  <si>
    <t>第一号訪問事業介護職員等処遇改善加算(Ⅴ)(4)a</t>
  </si>
  <si>
    <t>第一号訪問事業介護職員等処遇改善加算(Ⅴ)(5)a</t>
  </si>
  <si>
    <t>第一号訪問事業介護職員等処遇改善加算(Ⅴ)(6)a</t>
  </si>
  <si>
    <t>第一号訪問事業介護職員等処遇改善加算(Ⅴ)(7)a</t>
  </si>
  <si>
    <t>第一号訪問事業介護職員等処遇改善加算(Ⅴ)(8)a</t>
  </si>
  <si>
    <t>第一号訪問事業介護職員等処遇改善加算(Ⅴ)(9)a</t>
  </si>
  <si>
    <t>第一号訪問事業介護職員等処遇改善加算(Ⅴ)(10)a</t>
  </si>
  <si>
    <t>第一号訪問事業介護職員等処遇改善加算(Ⅴ)(11)a</t>
  </si>
  <si>
    <t>第一号訪問事業介護職員等処遇改善加算(Ⅴ)(12)a</t>
  </si>
  <si>
    <t>第一号訪問事業介護職員等処遇改善加算(Ⅴ)(13)a</t>
  </si>
  <si>
    <t>第一号訪問事業介護職員等処遇改善加算(Ⅴ)(14)a</t>
  </si>
  <si>
    <t>第一号通所事業介護職員等処遇改善加算(Ⅰ)a</t>
  </si>
  <si>
    <t>第一号通所事業介護職員等処遇改善加算(Ⅱ)a</t>
  </si>
  <si>
    <t>第一号通所事業介護職員等処遇改善加算(Ⅲ)a</t>
  </si>
  <si>
    <t>第一号通所事業介護職員等処遇改善加算(Ⅳ)a</t>
  </si>
  <si>
    <t>第一号通所事業介護職員等処遇改善加算(Ⅴ)(1)a</t>
  </si>
  <si>
    <t>第一号通所事業介護職員等処遇改善加算(Ⅴ)(2)a</t>
  </si>
  <si>
    <t>第一号通所事業介護職員等処遇改善加算(Ⅴ)(3)a</t>
  </si>
  <si>
    <t>第一号通所事業介護職員等処遇改善加算(Ⅴ)(4)a</t>
  </si>
  <si>
    <t>第一号通所事業介護職員等処遇改善加算(Ⅴ)(5)a</t>
  </si>
  <si>
    <t>第一号通所事業介護職員等処遇改善加算(Ⅴ)(6)a</t>
  </si>
  <si>
    <t>第一号通所事業介護職員等処遇改善加算(Ⅴ)(7)a</t>
  </si>
  <si>
    <t>第一号通所事業介護職員等処遇改善加算(Ⅴ)(8)a</t>
  </si>
  <si>
    <t>第一号通所事業介護職員等処遇改善加算(Ⅴ)(9)a</t>
  </si>
  <si>
    <t>第一号通所事業介護職員等処遇改善加算(Ⅴ)(10)a</t>
  </si>
  <si>
    <t>第一号通所事業介護職員等処遇改善加算(Ⅴ)(11)a</t>
  </si>
  <si>
    <t>第一号通所事業介護職員等処遇改善加算(Ⅴ)(12)a</t>
  </si>
  <si>
    <t>第一号通所事業介護職員等処遇改善加算(Ⅴ)(13)a</t>
  </si>
  <si>
    <t>第一号通所事業介護職員等処遇改善加算(Ⅴ)(14)a</t>
  </si>
  <si>
    <t>第一号訪問事業介護職員等ベースアップ等支援加算c</t>
  </si>
  <si>
    <t>第一号通所事業介護職員等ベースアップ等支援加算c</t>
  </si>
  <si>
    <t>第一号訪問事業介護職員等処遇改善加算(Ⅰ)c</t>
  </si>
  <si>
    <t>第一号訪問事業介護職員等処遇改善加算(Ⅱ)c</t>
  </si>
  <si>
    <t>第一号訪問事業介護職員等処遇改善加算(Ⅲ)c</t>
  </si>
  <si>
    <t>第一号訪問事業介護職員等処遇改善加算(Ⅳ)c</t>
  </si>
  <si>
    <t>第一号訪問事業介護職員等処遇改善加算(Ⅴ)(1)c</t>
  </si>
  <si>
    <t>第一号訪問事業介護職員等処遇改善加算(Ⅴ)(2)c</t>
  </si>
  <si>
    <t>第一号訪問事業介護職員等処遇改善加算(Ⅴ)(3)c</t>
  </si>
  <si>
    <t>第一号訪問事業介護職員等処遇改善加算(Ⅴ)(4)c</t>
  </si>
  <si>
    <t>第一号訪問事業介護職員等処遇改善加算(Ⅴ)(5)c</t>
  </si>
  <si>
    <t>第一号訪問事業介護職員等処遇改善加算(Ⅴ)(6)c</t>
  </si>
  <si>
    <t>第一号訪問事業介護職員等処遇改善加算(Ⅴ)(7)c</t>
  </si>
  <si>
    <t>第一号訪問事業介護職員等処遇改善加算(Ⅴ)(8)c</t>
  </si>
  <si>
    <t>第一号訪問事業介護職員等処遇改善加算(Ⅴ)(9)c</t>
  </si>
  <si>
    <t>第一号訪問事業介護職員等処遇改善加算(Ⅴ)(10)c</t>
  </si>
  <si>
    <t>第一号訪問事業介護職員等処遇改善加算(Ⅴ)(11)c</t>
  </si>
  <si>
    <t>第一号訪問事業介護職員等処遇改善加算(Ⅴ)(12)c</t>
  </si>
  <si>
    <t>第一号訪問事業介護職員等処遇改善加算(Ⅴ)(13)c</t>
  </si>
  <si>
    <t>第一号訪問事業介護職員等処遇改善加算(Ⅴ)(14)c</t>
  </si>
  <si>
    <t>第一号通所事業介護職員等処遇改善加算(Ⅰ)c</t>
  </si>
  <si>
    <t>第一号通所事業介護職員等処遇改善加算(Ⅱ)c</t>
  </si>
  <si>
    <t>第一号通所事業介護職員等処遇改善加算(Ⅲ)c</t>
  </si>
  <si>
    <t>第一号通所事業介護職員等処遇改善加算(Ⅳ)c</t>
  </si>
  <si>
    <t>第一号通所事業介護職員等処遇改善加算(Ⅴ)(1)c</t>
  </si>
  <si>
    <t>第一号通所事業介護職員等処遇改善加算(Ⅴ)(2)c</t>
  </si>
  <si>
    <t>第一号通所事業介護職員等処遇改善加算(Ⅴ)(3)c</t>
  </si>
  <si>
    <t>第一号通所事業介護職員等処遇改善加算(Ⅴ)(4)c</t>
  </si>
  <si>
    <t>第一号通所事業介護職員等処遇改善加算(Ⅴ)(5)c</t>
  </si>
  <si>
    <t>第一号通所事業介護職員等処遇改善加算(Ⅴ)(6)c</t>
  </si>
  <si>
    <t>第一号通所事業介護職員等処遇改善加算(Ⅴ)(7)c</t>
  </si>
  <si>
    <t>第一号通所事業介護職員等処遇改善加算(Ⅴ)(8)c</t>
  </si>
  <si>
    <t>第一号通所事業介護職員等処遇改善加算(Ⅴ)(9)c</t>
  </si>
  <si>
    <t>第一号通所事業介護職員等処遇改善加算(Ⅴ)(10)c</t>
  </si>
  <si>
    <t>第一号通所事業介護職員等処遇改善加算(Ⅴ)(11)c</t>
  </si>
  <si>
    <t>第一号通所事業介護職員等処遇改善加算(Ⅴ)(12)c</t>
  </si>
  <si>
    <t>第一号通所事業介護職員等処遇改善加算(Ⅴ)(13)c</t>
  </si>
  <si>
    <t>第一号通所事業介護職員等処遇改善加算(Ⅴ)(14)c</t>
  </si>
  <si>
    <t>02介護職員等処遇改善加算等の支給に要した費用</t>
  </si>
  <si>
    <t>02事由⑦の該当性</t>
  </si>
  <si>
    <t>02上限超過承認希望額（事由⑦）</t>
  </si>
  <si>
    <t>02継続利用要介護者に係る第一号訪問事業の実施に要した額</t>
  </si>
  <si>
    <t>02継続利用要介護者に係る第一号通所事業の実施に要した額</t>
  </si>
  <si>
    <t>02継続利用要介護者に係る第一号生活支援事業の実施に要した額</t>
  </si>
  <si>
    <t>02継続利用要介護者に係る第一号介護予防支援事業の実施に要した額</t>
  </si>
  <si>
    <t>02事由⑧の該当性</t>
  </si>
  <si>
    <t>02上限超過承認希望額（事由⑧）</t>
  </si>
  <si>
    <t>02令和２年度における介護予防支援に係る保険給付に要する費用の額</t>
  </si>
  <si>
    <t>02令和５年度における介護予防支援に係る保険給付に要する費用の額</t>
  </si>
  <si>
    <t>02令和６年度の介護予防支援費変動率（（250行目/249行目）+1）</t>
  </si>
  <si>
    <t>02令和６年度の介護予防支援費変動率－75歳以上被保険者数変動率（251行目－248行目）</t>
  </si>
  <si>
    <t>02令和６年度における介護予防支援に係る保険給付に要した費用の額</t>
  </si>
  <si>
    <t>02イ　令和６年度の当該市町村の被保険者に対する介護予防支援に係る保険給付に要する費用の額に令和６年度の介護予防支援費変動率から令和６年度の75歳以上被保険者数変動率を減じて得た数（当該数が０以下である場合は０とする。）を乗じて得た額（252行目×254行目）</t>
  </si>
  <si>
    <t>02ウ　令和６年度の原則の上限額に、本項に定める事由以外の上限額告示及び本通知に定める事由により増加する当該年度の介護予防・日常生活支援総合事業に要する費用の額を加えた額（159行目+184行目+232行目+242行目）</t>
  </si>
  <si>
    <t>02事由⑥の該当性</t>
  </si>
  <si>
    <t>02上限超過承認希望額（事由⑥）</t>
  </si>
  <si>
    <t>02事前の個別協議における上限超過承認額</t>
  </si>
  <si>
    <t>02事後の個別協議における上限超過承認希望額の合計額</t>
  </si>
  <si>
    <t>02事後の個別協議における上限超過承認希望額</t>
  </si>
  <si>
    <t>02事後（または事前・事後両方）の個別協議を行う場合の政令で定める上限額</t>
  </si>
  <si>
    <t>02（うち事前・事後の個別協議における上限超過承認希望額）</t>
  </si>
  <si>
    <t>02令和６年度実績に基づく政令で定める上限額</t>
  </si>
  <si>
    <t>低減計画H30事業費</t>
  </si>
  <si>
    <t>低減計画H30上限超過額</t>
  </si>
  <si>
    <t>低減計画R1事業費</t>
  </si>
  <si>
    <t>低減計画R1上限超過額</t>
  </si>
  <si>
    <t>低減計画R2事業費</t>
  </si>
  <si>
    <t>低減計画R2上限超過額</t>
  </si>
  <si>
    <t>低減計画R3事業費</t>
  </si>
  <si>
    <t>低減計画R3上限超過額</t>
  </si>
  <si>
    <t>低減計画R4事業費</t>
  </si>
  <si>
    <t>低減計画R4上限超過額</t>
  </si>
  <si>
    <t>低減計画R5事業費</t>
  </si>
  <si>
    <t>低減計画R5上限超過額</t>
  </si>
  <si>
    <t>低減計画R6事業費</t>
  </si>
  <si>
    <t>低減計画R6上限超過額</t>
  </si>
  <si>
    <t>03①新たなプログラム</t>
  </si>
  <si>
    <t>03②75歳以上被保険者数変動率1以下</t>
  </si>
  <si>
    <t>03③1万人未満</t>
  </si>
  <si>
    <t>03④離島</t>
  </si>
  <si>
    <t>03⑤効果的な総合事業</t>
  </si>
  <si>
    <t>03⑥災害</t>
  </si>
  <si>
    <t>03⑦介護予防支援の増加率＞75歳以上被保険者数変動率</t>
  </si>
  <si>
    <t>03⑧処遇改善</t>
  </si>
  <si>
    <t>03⑨継続利用要介護者</t>
  </si>
  <si>
    <t>031(1)新たなプログラムの類型</t>
  </si>
  <si>
    <t>031(2)新たなプログラムの開始年度</t>
  </si>
  <si>
    <t>031(3)新たなプログラムの開始３年度目の事業費（見込額）</t>
  </si>
  <si>
    <t>031(4)新たなプログラムの開始３年度目の翌年度の事業費（見込額）</t>
  </si>
  <si>
    <t>031(5)開始２年度目の新たなプログラム等の実施に要する額が開始１年度目の当該額を上回る見込みの有無</t>
  </si>
  <si>
    <t>03費用低減が見込まれる年度</t>
  </si>
  <si>
    <t>03費用を低減させる方法</t>
  </si>
  <si>
    <t>03前々年度認定率</t>
  </si>
  <si>
    <t>03前々年度調整済み認定率</t>
  </si>
  <si>
    <t>03前々々年度認定率</t>
  </si>
  <si>
    <t>03前々年度サービス利用率</t>
  </si>
  <si>
    <t>03前々々年度サービス利用率</t>
  </si>
  <si>
    <t>03災害による居宅要支援被保険者等の数の増加有無（有の場合に○）</t>
  </si>
  <si>
    <t>03介護予防支援費変動率</t>
  </si>
  <si>
    <t>03介護職員等処遇改善加算等の支給に要した費用</t>
  </si>
  <si>
    <t>03継続利用要介護者に係る第一号事業の実施に要した額</t>
  </si>
  <si>
    <t>034(1)30事業費</t>
  </si>
  <si>
    <t>034(1)30個別</t>
  </si>
  <si>
    <t>034(1)30超過</t>
  </si>
  <si>
    <t>034(1)１事業費</t>
  </si>
  <si>
    <t>034(1)１個別</t>
  </si>
  <si>
    <t>034(1)１超過</t>
  </si>
  <si>
    <t>034(1)2事業費</t>
  </si>
  <si>
    <t>034(1)2個別</t>
  </si>
  <si>
    <t>034(1)2超過</t>
  </si>
  <si>
    <t>034(1)3事業費</t>
  </si>
  <si>
    <t>034(1)3個別</t>
  </si>
  <si>
    <t>034(1)3超過</t>
  </si>
  <si>
    <t>034(1)4事業費</t>
  </si>
  <si>
    <t>034(1)4個別</t>
  </si>
  <si>
    <t>034(1)4超過</t>
  </si>
  <si>
    <t>034(1)5事業費</t>
  </si>
  <si>
    <t>034(1)5個別</t>
  </si>
  <si>
    <t>034(1)5超過</t>
  </si>
  <si>
    <t>034(1)6事業費</t>
  </si>
  <si>
    <t>034(1)6個別</t>
  </si>
  <si>
    <t>034(1)6超過</t>
  </si>
  <si>
    <t>034(1)7事業費</t>
  </si>
  <si>
    <t>034(1)7個別</t>
  </si>
  <si>
    <t>034(1)7超過</t>
  </si>
  <si>
    <t>03(2)３年度目の翌年度には、介護予防・日常生活支援総合事業に要する費用が令和６年度の原則の上限額以下となるための方策（理由①のみ）</t>
  </si>
  <si>
    <t>03（1(5)が○の場合のみ）新たなプログラムを開始した日が１年度目の途中であること又は２年度目以降に新たなプログラムの実施対象地域の拡大を予定していること等の事情により、予め２年度目の新たなプログラム等の実施に要する額が１年度目の当該額を上回ることが見込まれる場合、上回る理由と上回る額</t>
  </si>
  <si>
    <t>05①総事業費</t>
  </si>
  <si>
    <t>05②対象経費額（様式１B欄）</t>
  </si>
  <si>
    <t>05③寄付金その他の収入額</t>
  </si>
  <si>
    <t>05④指定介護予防支援等にかかる収入額</t>
  </si>
  <si>
    <t>05⑤総合相談支援事業の一部委託にかかる委託費</t>
  </si>
  <si>
    <t>05⑥委託費を除いた総事業費</t>
  </si>
  <si>
    <t>05⑦様式１A欄</t>
  </si>
  <si>
    <t>05⑧様式１C欄</t>
  </si>
  <si>
    <t>05⑩様式１D欄</t>
  </si>
  <si>
    <t>05設置する地域包括支援センター数</t>
  </si>
  <si>
    <t>06地域包括支援センター数</t>
  </si>
  <si>
    <t>06日常生活圏域数</t>
  </si>
  <si>
    <t>06専任の認知症地域支援推進員</t>
  </si>
  <si>
    <t>06第１層(市町村圏域）の数</t>
  </si>
  <si>
    <t>06行政区数</t>
  </si>
  <si>
    <t>06構成市町村数</t>
  </si>
  <si>
    <t>06（広域）専任の認知症地域支援推進員</t>
  </si>
  <si>
    <t>06在宅医療・介護連携推進事業の実施</t>
  </si>
  <si>
    <t>06生活支援コーディネーター・協議体の実施</t>
  </si>
  <si>
    <t>06相談支援連携体制構築事業の実施</t>
  </si>
  <si>
    <t>06住民参画・官民連携推進事業の実施</t>
  </si>
  <si>
    <t>06就労的活動支援コーディネーターの実施</t>
  </si>
  <si>
    <t>06認知症初期集中支援事業の実施</t>
  </si>
  <si>
    <t>06認知症地域支援・ケア向上事業の実施</t>
  </si>
  <si>
    <t>06認知症サポーター活動促進・地域づくり推進事業の実施</t>
  </si>
  <si>
    <t>06地域ケア会議推進事業の実施</t>
  </si>
  <si>
    <t>06居住支援連携の実施</t>
  </si>
  <si>
    <t>06標準額</t>
  </si>
  <si>
    <t>06個別協議額</t>
  </si>
  <si>
    <t>06在宅医療・介護連携推進事業標準額</t>
  </si>
  <si>
    <t>06生活支援コーディネーター・協議体標準額</t>
  </si>
  <si>
    <t>06相談支援連携体制構築事業標準額</t>
  </si>
  <si>
    <t>06住民参画・官民連携推進事業標準額</t>
  </si>
  <si>
    <t>06就労的活動支援コーディネーター標準額</t>
  </si>
  <si>
    <t>06認知症初期集中支援事業標準額</t>
  </si>
  <si>
    <t>06認知症地域支援・ケア向上事業標準額</t>
  </si>
  <si>
    <t>06認知症サポーター活動促進・地域づくり推進事業標準額</t>
  </si>
  <si>
    <t>06地域ケア会議推進事業標準額</t>
  </si>
  <si>
    <t>06（再掲）居住支援加算標準額</t>
  </si>
  <si>
    <t>06【令和６年度包括的支援事業（社会保障充実分）上限額設定】</t>
  </si>
  <si>
    <t>06エラー</t>
  </si>
  <si>
    <t>06-1（一般市町村）SCをセンターに配置</t>
  </si>
  <si>
    <t>06-1（指定都市）実施行政区数</t>
  </si>
  <si>
    <t>06-1（指定都市）うちSCをセンターに配置している数</t>
  </si>
  <si>
    <t>06-1（広域）実施構成市町村数</t>
  </si>
  <si>
    <t>06-1（広域）うちSCをセンターに配置している数</t>
  </si>
  <si>
    <t>06-1（広域）うち重層実施数</t>
  </si>
  <si>
    <t>06-2（指定都市）連携体制構築されている行政区数</t>
  </si>
  <si>
    <t>06-2（広域）連携体制構築されている構成市町村数</t>
  </si>
  <si>
    <t>07社会保障充実分対象経費額</t>
  </si>
  <si>
    <t>07標準額</t>
  </si>
  <si>
    <t>07①在宅医療・介護連携推進対象経費額</t>
  </si>
  <si>
    <t>07①ア（イ）等の会議</t>
  </si>
  <si>
    <t>07①イ（ア）の相談窓口</t>
  </si>
  <si>
    <t>07①イ（ア）のコーディネーター</t>
  </si>
  <si>
    <t>07①イ（ウ）②多職種研修</t>
  </si>
  <si>
    <t>07①イ（ウ）②その他の研修</t>
  </si>
  <si>
    <t>07②生活支援体制整備対象経費額</t>
  </si>
  <si>
    <t>07②第１層生活支援コーディネーター</t>
  </si>
  <si>
    <t>07②第２層生活支援コーディネーター</t>
  </si>
  <si>
    <t>07②住民参画・官民連携推進事業</t>
  </si>
  <si>
    <t>07②就労的活動支援コーディネーター</t>
  </si>
  <si>
    <t>07③認知症総合支援対象経費額</t>
  </si>
  <si>
    <t>07③認知症初期集中支援チーム設置</t>
  </si>
  <si>
    <t>07③認知症地域支援推進員設置</t>
  </si>
  <si>
    <t>07③うち専任の認知症地域支援推進員</t>
  </si>
  <si>
    <t>07③チームオレンジコーディネーター</t>
  </si>
  <si>
    <t>07④地域ケア会議推進事業対象経費額</t>
  </si>
  <si>
    <t>07④地域ケア個別会議</t>
  </si>
  <si>
    <t>07④居住支援連携</t>
  </si>
  <si>
    <t>07主な理由</t>
  </si>
  <si>
    <t>08①対象経費額</t>
  </si>
  <si>
    <t>08①事業内容</t>
  </si>
  <si>
    <t>08①効果</t>
  </si>
  <si>
    <t>08②対象経費額</t>
  </si>
  <si>
    <t>08②事業内容</t>
  </si>
  <si>
    <t>08②効果</t>
  </si>
  <si>
    <t>08③対象経費額</t>
  </si>
  <si>
    <t>08③事業内容</t>
  </si>
  <si>
    <t>08③効果</t>
  </si>
  <si>
    <t>08④対象経費額</t>
  </si>
  <si>
    <t>08④事業内容</t>
  </si>
  <si>
    <t>08④効果</t>
  </si>
  <si>
    <t>08⑤対象経費額</t>
  </si>
  <si>
    <t>08⑤事業内容</t>
  </si>
  <si>
    <t>08⑤効果</t>
  </si>
  <si>
    <t>08⑥対象経費額</t>
  </si>
  <si>
    <t>08⑥事業内容</t>
  </si>
  <si>
    <t>08⑥効果</t>
  </si>
  <si>
    <t>08⑦対象経費額</t>
  </si>
  <si>
    <t>08⑦事業内容</t>
  </si>
  <si>
    <t>08⑦効果</t>
  </si>
  <si>
    <t>08⑧対象経費額</t>
  </si>
  <si>
    <t>08⑧事業内容</t>
  </si>
  <si>
    <t>08⑧効果</t>
  </si>
  <si>
    <t>08⑨対象経費額</t>
  </si>
  <si>
    <t>08⑨事業内容</t>
  </si>
  <si>
    <t>08⑨効果</t>
  </si>
  <si>
    <t>08⑩対象経費額</t>
  </si>
  <si>
    <t>08⑩事業内容</t>
  </si>
  <si>
    <t>08⑩効果</t>
  </si>
  <si>
    <t>08⑪対象経費額</t>
  </si>
  <si>
    <t>08⑪事業内容</t>
  </si>
  <si>
    <t>08⑪効果</t>
  </si>
  <si>
    <t>08⑫対象経費額</t>
  </si>
  <si>
    <t>08⑫事業内容</t>
  </si>
  <si>
    <t>08⑫効果</t>
  </si>
  <si>
    <t>08⑬対象経費額</t>
  </si>
  <si>
    <t>08⑬事業内容</t>
  </si>
  <si>
    <t>08⑬効果</t>
  </si>
  <si>
    <t>08⑭対象経費額</t>
  </si>
  <si>
    <t>08⑭事業内容</t>
  </si>
  <si>
    <t>08⑭効果</t>
  </si>
  <si>
    <t>08⑮対象経費額</t>
  </si>
  <si>
    <t>08⑮事業内容</t>
  </si>
  <si>
    <t>08⑮効果</t>
  </si>
  <si>
    <t>08⑯対象経費額</t>
  </si>
  <si>
    <t>08⑯事業内容</t>
  </si>
  <si>
    <t>08⑯効果</t>
  </si>
  <si>
    <t>08⑰対象経費額</t>
  </si>
  <si>
    <t>08⑰事業内容</t>
  </si>
  <si>
    <t>08⑰効果</t>
  </si>
  <si>
    <t>08⑱対象経費額</t>
  </si>
  <si>
    <t>08⑱事業内容</t>
  </si>
  <si>
    <t>08⑱効果</t>
  </si>
  <si>
    <t>08⑲対象経費額</t>
  </si>
  <si>
    <t>08⑲事業内容</t>
  </si>
  <si>
    <t>08⑲効果</t>
  </si>
  <si>
    <t>08⑳対象経費額</t>
  </si>
  <si>
    <t>08⑳事業内容</t>
  </si>
  <si>
    <t>08⑳効果</t>
  </si>
  <si>
    <t>08㉑対象経費額</t>
  </si>
  <si>
    <t>08㉑事業内容</t>
  </si>
  <si>
    <t>08㉑効果</t>
  </si>
  <si>
    <t>08事業名（特区等）</t>
  </si>
  <si>
    <t>08対象経費額（特区等）</t>
  </si>
  <si>
    <t>08事業内容（特区等）</t>
  </si>
  <si>
    <t>08効果（特区等）</t>
  </si>
  <si>
    <t>08合計</t>
  </si>
  <si>
    <t>保険者No</t>
  </si>
  <si>
    <t>市町村</t>
  </si>
  <si>
    <t>有</t>
  </si>
  <si>
    <t>(1)R6対象経費支出予定額</t>
  </si>
  <si>
    <t>(2)交付上限額</t>
  </si>
  <si>
    <t>(3)やむを得ない事情の場合の交付上限額</t>
  </si>
  <si>
    <t>(4)①下方変動</t>
  </si>
  <si>
    <t>(4)①上方変動</t>
  </si>
  <si>
    <t>(4)①その他</t>
  </si>
  <si>
    <t>(4)②その他の内容</t>
  </si>
  <si>
    <t>(5)合計人数</t>
  </si>
  <si>
    <t>(5)人数（地域支援事業）</t>
  </si>
  <si>
    <t>(5)人数（市町村特別給付）</t>
  </si>
  <si>
    <t>(5)人数（保健福祉事業）</t>
  </si>
  <si>
    <t>(5)人数（一般財源）</t>
  </si>
  <si>
    <t>(5)合計額</t>
  </si>
  <si>
    <t>(5)支出予定額（地域支援事業）</t>
  </si>
  <si>
    <t>(5)支出予定額（市町村特別給付）</t>
  </si>
  <si>
    <t>(5)支出予定額（保健福祉事業）</t>
  </si>
  <si>
    <t>(5)支出予定額（一般財源）</t>
  </si>
  <si>
    <t>(6)①第１～３段階（要介護５）</t>
  </si>
  <si>
    <t>(6)①第１～３段階（要介護４）</t>
  </si>
  <si>
    <t>(6)①第１～３段階（要介護３）</t>
  </si>
  <si>
    <t>(6)①第１～３段階（要介護１～２）</t>
  </si>
  <si>
    <t>(6)①第１～３段階（要支援１～２）</t>
  </si>
  <si>
    <t>(6)①第１～３段階（事業対象者）</t>
  </si>
  <si>
    <t>(6)②一人当たり支給上限額</t>
  </si>
  <si>
    <t>(6)②詳細</t>
  </si>
  <si>
    <t>(6)③交付希望額</t>
  </si>
  <si>
    <t>R6廃止・縮小</t>
  </si>
  <si>
    <t>R6具体的な取組（縮小）</t>
  </si>
  <si>
    <t>R6廃止後の移行先等</t>
  </si>
  <si>
    <t>R7廃止・縮小</t>
  </si>
  <si>
    <t>R7具体的な取組（縮小）</t>
  </si>
  <si>
    <t>R7廃止後の移行先等</t>
  </si>
  <si>
    <t>R8廃止・縮小</t>
  </si>
  <si>
    <t>R8具体的な取組（縮小）</t>
  </si>
  <si>
    <t>R8廃止後の移行先等</t>
  </si>
  <si>
    <t>10文書番号</t>
  </si>
  <si>
    <t>10提出年月日</t>
  </si>
  <si>
    <t>比較A介護予防・日常生活支援総合事業</t>
  </si>
  <si>
    <t>比較A包括的支援事業（地域包括支援センターの運営）及び任意事業</t>
  </si>
  <si>
    <t>比較A在宅医療・介護連携推進事業</t>
  </si>
  <si>
    <t>比較A生活支援コーディネーター・協議体</t>
  </si>
  <si>
    <t>比較A住民参画・官民連携推進事業</t>
  </si>
  <si>
    <t>比較A就労的活動支援コーディネーター</t>
  </si>
  <si>
    <t>比較A認知症初期集中支援推進事業</t>
  </si>
  <si>
    <t>比較A認知症地域支援・ケア向上事業</t>
  </si>
  <si>
    <t>比較A認知症サポーター活動促進・地域づくり推進事業</t>
  </si>
  <si>
    <t>比較A地域ケア会議推進事業</t>
  </si>
  <si>
    <t>比較A合計</t>
  </si>
  <si>
    <t>比較B介護予防・日常生活支援総合事業</t>
  </si>
  <si>
    <t>比較B包括的支援事業（地域包括支援センターの運営）及び任意事業</t>
  </si>
  <si>
    <t>比較B在宅医療・介護連携推進事業</t>
  </si>
  <si>
    <t>比較B生活支援コーディネーター・協議体</t>
  </si>
  <si>
    <t>比較B住民参画・官民連携推進事業</t>
  </si>
  <si>
    <t>比較B就労的活動支援コーディネーター</t>
  </si>
  <si>
    <t>比較B認知症初期集中支援推進事業</t>
  </si>
  <si>
    <t>比較B認知症地域支援・ケア向上事業</t>
  </si>
  <si>
    <t>比較B認知症サポーター活動促進・地域づくり推進事業</t>
  </si>
  <si>
    <t>比較B地域ケア会議推進事業</t>
  </si>
  <si>
    <t>比較B合計</t>
  </si>
  <si>
    <t>比較C介護予防・日常生活支援総合事業</t>
  </si>
  <si>
    <t>比較C包括的支援事業（地域包括支援センターの運営）及び任意事業</t>
  </si>
  <si>
    <t>比較C在宅医療・介護連携推進事業</t>
  </si>
  <si>
    <t>比較C生活支援コーディネーター・協議体</t>
  </si>
  <si>
    <t>比較C住民参画・官民連携推進事業</t>
  </si>
  <si>
    <t>比較C就労的活動支援コーディネーター</t>
  </si>
  <si>
    <t>比較C認知症初期集中支援推進事業</t>
  </si>
  <si>
    <t>比較C認知症地域支援・ケア向上事業</t>
  </si>
  <si>
    <t>比較C認知症サポーター活動促進・地域づくり推進事業</t>
  </si>
  <si>
    <t>比較C地域ケア会議推進事業</t>
  </si>
  <si>
    <t>比較C合計</t>
  </si>
  <si>
    <t>比較D介護予防・日常生活支援総合事業</t>
  </si>
  <si>
    <t>比較D包括的支援事業（地域包括支援センターの運営）及び任意事業</t>
  </si>
  <si>
    <t>比較D在宅医療・介護連携推進事業</t>
  </si>
  <si>
    <t>比較D生活支援コーディネーター・協議体</t>
  </si>
  <si>
    <t>比較D住民参画・官民連携推進事業</t>
  </si>
  <si>
    <t>比較D就労的活動支援コーディネーター</t>
  </si>
  <si>
    <t>比較D認知症初期集中支援推進事業</t>
  </si>
  <si>
    <t>比較D認知症地域支援・ケア向上事業</t>
  </si>
  <si>
    <t>比較D認知症サポーター活動促進・地域づくり推進事業</t>
  </si>
  <si>
    <t>比較D地域ケア会議推進事業</t>
  </si>
  <si>
    <t>比較D合計</t>
  </si>
  <si>
    <t>比較E総合事業</t>
  </si>
  <si>
    <t>比較E包括・任意</t>
  </si>
  <si>
    <t>比較E社補充</t>
  </si>
  <si>
    <t>比較F総合事業</t>
  </si>
  <si>
    <t>比較F包括・任意</t>
  </si>
  <si>
    <t>比較F社補充</t>
  </si>
  <si>
    <t>比較F合計</t>
  </si>
  <si>
    <t>比較G総合事業</t>
  </si>
  <si>
    <t>比較G包括・任意</t>
  </si>
  <si>
    <t>比較G社補充</t>
  </si>
  <si>
    <t>比較G合計</t>
  </si>
  <si>
    <t>比較H調整基準標準事業費額</t>
  </si>
  <si>
    <t>比較I総合事業調整交付金所要額</t>
  </si>
  <si>
    <t>比較J上限設定の選択（総合事業）</t>
  </si>
  <si>
    <t>比較J上限設定の選択（包括・任意）</t>
  </si>
  <si>
    <t>比較J上限設定の選択（社補充）</t>
  </si>
  <si>
    <t>比較K個別協議の有無（総合事業）</t>
  </si>
  <si>
    <t>比較K個別協議の有無（社補充）</t>
  </si>
  <si>
    <t>比較重層実施の有無</t>
  </si>
  <si>
    <t>比較重層全体</t>
  </si>
  <si>
    <t>比較重層①地域介護予防活動支援事業費相当額</t>
  </si>
  <si>
    <t>比較重層②　地域包括支援センターの運営費相当額</t>
  </si>
  <si>
    <t>比較重層③　生活支援体制整備事業費相当額</t>
  </si>
  <si>
    <t>事前協議書番号</t>
  </si>
  <si>
    <t>事前協議書日付</t>
  </si>
  <si>
    <t>事前協議書職氏名</t>
  </si>
  <si>
    <t>事前協議書協議額</t>
  </si>
  <si>
    <t>事前協議書総合事業</t>
  </si>
  <si>
    <t>事前協議書包括任意</t>
  </si>
  <si>
    <t>事前協議書社保充</t>
  </si>
  <si>
    <t>別紙様式２番号</t>
  </si>
  <si>
    <t>別紙様式２日付</t>
  </si>
  <si>
    <t>別紙様式２職氏名</t>
  </si>
  <si>
    <t>別紙様式２職申請額</t>
  </si>
  <si>
    <t>別紙様式２総合事業</t>
  </si>
  <si>
    <t>別紙様式２包括任意</t>
  </si>
  <si>
    <t>別紙様式２社保充</t>
  </si>
  <si>
    <t>社保充計画書②生活支援コーディネーターを中心とした相談支援連携体制構築事業</t>
  </si>
  <si>
    <t>介護用品計画書（６）①支給予定人数計</t>
  </si>
  <si>
    <t>変更の有無</t>
  </si>
  <si>
    <t>交付決定通知</t>
    <rPh sb="0" eb="2">
      <t>コウフ</t>
    </rPh>
    <rPh sb="2" eb="4">
      <t>ケッテイ</t>
    </rPh>
    <rPh sb="4" eb="6">
      <t>ツウチ</t>
    </rPh>
    <phoneticPr fontId="3"/>
  </si>
  <si>
    <t>交付決定総合事業</t>
    <rPh sb="0" eb="2">
      <t>コウフ</t>
    </rPh>
    <rPh sb="2" eb="4">
      <t>ケッテイ</t>
    </rPh>
    <rPh sb="4" eb="6">
      <t>ソウゴウ</t>
    </rPh>
    <rPh sb="6" eb="8">
      <t>ジギョウ</t>
    </rPh>
    <phoneticPr fontId="3"/>
  </si>
  <si>
    <t>交付決定包括任意</t>
    <rPh sb="0" eb="2">
      <t>コウフ</t>
    </rPh>
    <rPh sb="2" eb="4">
      <t>ケッテイ</t>
    </rPh>
    <rPh sb="4" eb="6">
      <t>ホウカツ</t>
    </rPh>
    <rPh sb="6" eb="8">
      <t>ニンイ</t>
    </rPh>
    <phoneticPr fontId="3"/>
  </si>
  <si>
    <t>交付決定社保充</t>
    <rPh sb="0" eb="2">
      <t>コウフ</t>
    </rPh>
    <rPh sb="2" eb="4">
      <t>ケッテイ</t>
    </rPh>
    <rPh sb="4" eb="7">
      <t>シャホジュウ</t>
    </rPh>
    <phoneticPr fontId="3"/>
  </si>
  <si>
    <t>項目タイトル</t>
    <rPh sb="0" eb="2">
      <t>コウモク</t>
    </rPh>
    <phoneticPr fontId="3"/>
  </si>
  <si>
    <t>都道府県名</t>
    <rPh sb="4" eb="5">
      <t>メイ</t>
    </rPh>
    <phoneticPr fontId="6"/>
  </si>
  <si>
    <t>市区町村ｺｰﾄﾞ</t>
    <phoneticPr fontId="6"/>
  </si>
  <si>
    <t>都道府県ｺｰﾄﾞ</t>
    <phoneticPr fontId="6"/>
  </si>
  <si>
    <t>Ｃ・Ｄ</t>
    <phoneticPr fontId="6"/>
  </si>
  <si>
    <t>○</t>
    <phoneticPr fontId="3"/>
  </si>
  <si>
    <t>総事業費</t>
    <rPh sb="0" eb="1">
      <t>ソウ</t>
    </rPh>
    <rPh sb="1" eb="4">
      <t>ジギョウヒ</t>
    </rPh>
    <phoneticPr fontId="6"/>
  </si>
  <si>
    <t>差引額</t>
    <rPh sb="0" eb="3">
      <t>サシヒキガク</t>
    </rPh>
    <phoneticPr fontId="6"/>
  </si>
  <si>
    <t>基準額</t>
    <rPh sb="0" eb="3">
      <t>キジュンガク</t>
    </rPh>
    <phoneticPr fontId="6"/>
  </si>
  <si>
    <t>交付基本額</t>
    <rPh sb="0" eb="2">
      <t>コウフ</t>
    </rPh>
    <rPh sb="2" eb="5">
      <t>キホンガク</t>
    </rPh>
    <phoneticPr fontId="6"/>
  </si>
  <si>
    <t>上限設定の選択</t>
    <rPh sb="0" eb="2">
      <t>ジョウゲン</t>
    </rPh>
    <rPh sb="2" eb="4">
      <t>セッテイ</t>
    </rPh>
    <rPh sb="5" eb="7">
      <t>センタク</t>
    </rPh>
    <phoneticPr fontId="5"/>
  </si>
  <si>
    <t>個別協議の有無</t>
    <rPh sb="0" eb="2">
      <t>コベツ</t>
    </rPh>
    <rPh sb="2" eb="4">
      <t>キョウギ</t>
    </rPh>
    <rPh sb="5" eb="7">
      <t>ウム</t>
    </rPh>
    <phoneticPr fontId="5"/>
  </si>
  <si>
    <t>Ｅ</t>
    <phoneticPr fontId="6"/>
  </si>
  <si>
    <t>Ｆ</t>
    <phoneticPr fontId="6"/>
  </si>
  <si>
    <t>K</t>
    <phoneticPr fontId="5"/>
  </si>
  <si>
    <t>円</t>
    <rPh sb="0" eb="1">
      <t>エン</t>
    </rPh>
    <phoneticPr fontId="5"/>
  </si>
  <si>
    <t>対象経費
実支出額</t>
    <rPh sb="0" eb="2">
      <t>タイショウ</t>
    </rPh>
    <rPh sb="2" eb="4">
      <t>ケイヒ</t>
    </rPh>
    <rPh sb="5" eb="6">
      <t>ジツ</t>
    </rPh>
    <rPh sb="6" eb="9">
      <t>シシュツガク</t>
    </rPh>
    <phoneticPr fontId="6"/>
  </si>
  <si>
    <t>Ｇ</t>
    <phoneticPr fontId="6"/>
  </si>
  <si>
    <t>別紙様式第４様式１</t>
    <rPh sb="6" eb="8">
      <t>ヨウシキ</t>
    </rPh>
    <phoneticPr fontId="6"/>
  </si>
  <si>
    <t>令和７年度地域支援事業交付金所精算書</t>
    <rPh sb="0" eb="2">
      <t>レイワ</t>
    </rPh>
    <rPh sb="3" eb="5">
      <t>ネンド</t>
    </rPh>
    <rPh sb="5" eb="7">
      <t>チイキ</t>
    </rPh>
    <rPh sb="7" eb="9">
      <t>シエン</t>
    </rPh>
    <rPh sb="9" eb="11">
      <t>ジギョウ</t>
    </rPh>
    <rPh sb="11" eb="14">
      <t>コウフキン</t>
    </rPh>
    <rPh sb="14" eb="15">
      <t>ジョ</t>
    </rPh>
    <rPh sb="15" eb="18">
      <t>セイサンショ</t>
    </rPh>
    <phoneticPr fontId="6"/>
  </si>
  <si>
    <t>区　　　　　　　　分</t>
    <rPh sb="0" eb="1">
      <t>ク</t>
    </rPh>
    <rPh sb="9" eb="10">
      <t>ブン</t>
    </rPh>
    <phoneticPr fontId="6"/>
  </si>
  <si>
    <t>寄付金その他
の収入額</t>
    <rPh sb="0" eb="3">
      <t>キフキン</t>
    </rPh>
    <rPh sb="5" eb="6">
      <t>タ</t>
    </rPh>
    <rPh sb="8" eb="11">
      <t>シュウニュウガク</t>
    </rPh>
    <phoneticPr fontId="6"/>
  </si>
  <si>
    <t>交付金所要額</t>
    <rPh sb="0" eb="2">
      <t>コウフ</t>
    </rPh>
    <rPh sb="2" eb="3">
      <t>キン</t>
    </rPh>
    <rPh sb="3" eb="6">
      <t>ショヨウガク</t>
    </rPh>
    <phoneticPr fontId="6"/>
  </si>
  <si>
    <t>交付金
交付決定額</t>
    <rPh sb="0" eb="3">
      <t>コウフキン</t>
    </rPh>
    <rPh sb="4" eb="6">
      <t>コウフ</t>
    </rPh>
    <rPh sb="6" eb="8">
      <t>ケッテイ</t>
    </rPh>
    <rPh sb="8" eb="9">
      <t>ガク</t>
    </rPh>
    <phoneticPr fontId="6"/>
  </si>
  <si>
    <t>交付金
受入済額</t>
    <rPh sb="0" eb="3">
      <t>コウフキン</t>
    </rPh>
    <rPh sb="4" eb="6">
      <t>ウケイレ</t>
    </rPh>
    <rPh sb="6" eb="7">
      <t>スミ</t>
    </rPh>
    <rPh sb="7" eb="8">
      <t>ガク</t>
    </rPh>
    <phoneticPr fontId="6"/>
  </si>
  <si>
    <t>差引過不足額
Ｉ－Ｇ</t>
    <rPh sb="0" eb="2">
      <t>サシヒキ</t>
    </rPh>
    <rPh sb="2" eb="5">
      <t>カフソク</t>
    </rPh>
    <rPh sb="5" eb="6">
      <t>ガク</t>
    </rPh>
    <phoneticPr fontId="6"/>
  </si>
  <si>
    <t>備　　　考</t>
    <rPh sb="0" eb="1">
      <t>ソナエ</t>
    </rPh>
    <rPh sb="4" eb="5">
      <t>コウ</t>
    </rPh>
    <phoneticPr fontId="6"/>
  </si>
  <si>
    <t>Ａ</t>
    <phoneticPr fontId="6"/>
  </si>
  <si>
    <t>B</t>
    <phoneticPr fontId="6"/>
  </si>
  <si>
    <t>Ｃ（Ａ－Ｂ）</t>
    <phoneticPr fontId="6"/>
  </si>
  <si>
    <t>D</t>
    <phoneticPr fontId="6"/>
  </si>
  <si>
    <t>Ｈ</t>
    <phoneticPr fontId="6"/>
  </si>
  <si>
    <t>Ｉ</t>
    <phoneticPr fontId="6"/>
  </si>
  <si>
    <t>超過額　　　　Ｊ</t>
    <rPh sb="0" eb="3">
      <t>チョウカガク</t>
    </rPh>
    <phoneticPr fontId="6"/>
  </si>
  <si>
    <t>不足額　　　　Ｋ</t>
    <rPh sb="0" eb="2">
      <t>フソク</t>
    </rPh>
    <rPh sb="2" eb="3">
      <t>ガク</t>
    </rPh>
    <phoneticPr fontId="6"/>
  </si>
  <si>
    <t>円</t>
    <rPh sb="0" eb="1">
      <t>エン</t>
    </rPh>
    <phoneticPr fontId="6"/>
  </si>
  <si>
    <t>１　介護予防・日常生活支援総合事業</t>
  </si>
  <si>
    <t>（１）</t>
  </si>
  <si>
    <t>訪問型サービス（第１号訪問事業）</t>
    <rPh sb="0" eb="2">
      <t>ホウモン</t>
    </rPh>
    <rPh sb="2" eb="3">
      <t>ガタ</t>
    </rPh>
    <rPh sb="8" eb="9">
      <t>ダイ</t>
    </rPh>
    <rPh sb="10" eb="11">
      <t>ゴウ</t>
    </rPh>
    <rPh sb="11" eb="13">
      <t>ホウモン</t>
    </rPh>
    <rPh sb="13" eb="15">
      <t>ジギョウ</t>
    </rPh>
    <phoneticPr fontId="18"/>
  </si>
  <si>
    <t>ア</t>
  </si>
  <si>
    <t>従前相当サービス</t>
    <rPh sb="0" eb="2">
      <t>ジュウゼン</t>
    </rPh>
    <rPh sb="2" eb="4">
      <t>ソウトウ</t>
    </rPh>
    <phoneticPr fontId="18"/>
  </si>
  <si>
    <t>①　総合事業</t>
    <rPh sb="2" eb="4">
      <t>ソウゴウ</t>
    </rPh>
    <rPh sb="4" eb="6">
      <t>ジギョウ</t>
    </rPh>
    <phoneticPr fontId="5"/>
  </si>
  <si>
    <t>イ</t>
  </si>
  <si>
    <t>サービス・活動A</t>
    <rPh sb="5" eb="7">
      <t>カツドウ</t>
    </rPh>
    <phoneticPr fontId="18"/>
  </si>
  <si>
    <t>ウ</t>
  </si>
  <si>
    <t>サービス・活動B</t>
    <rPh sb="5" eb="7">
      <t>カツドウ</t>
    </rPh>
    <phoneticPr fontId="18"/>
  </si>
  <si>
    <r>
      <t>②　</t>
    </r>
    <r>
      <rPr>
        <sz val="8"/>
        <color theme="1"/>
        <rFont val="ＭＳ Ｐゴシック"/>
        <family val="3"/>
        <charset val="128"/>
      </rPr>
      <t>包括的支援事業（地域包括支援センターの運営）・任意事業</t>
    </r>
    <rPh sb="2" eb="4">
      <t>ホウカツ</t>
    </rPh>
    <rPh sb="4" eb="5">
      <t>テキ</t>
    </rPh>
    <rPh sb="5" eb="7">
      <t>シエン</t>
    </rPh>
    <rPh sb="7" eb="9">
      <t>ジギョウ</t>
    </rPh>
    <rPh sb="10" eb="12">
      <t>チイキ</t>
    </rPh>
    <rPh sb="12" eb="14">
      <t>ホウカツ</t>
    </rPh>
    <rPh sb="14" eb="16">
      <t>シエン</t>
    </rPh>
    <rPh sb="21" eb="23">
      <t>ウンエイ</t>
    </rPh>
    <rPh sb="25" eb="27">
      <t>ニンイ</t>
    </rPh>
    <rPh sb="27" eb="29">
      <t>ジギョウ</t>
    </rPh>
    <phoneticPr fontId="5"/>
  </si>
  <si>
    <t>エ</t>
  </si>
  <si>
    <t>サービス・活動C</t>
    <rPh sb="5" eb="7">
      <t>カツドウ</t>
    </rPh>
    <phoneticPr fontId="18"/>
  </si>
  <si>
    <t>オ</t>
  </si>
  <si>
    <t>サービス・活動D</t>
    <rPh sb="5" eb="7">
      <t>カツドウ</t>
    </rPh>
    <phoneticPr fontId="18"/>
  </si>
  <si>
    <t>③　包括的支援事業（社会保障充実分）</t>
    <rPh sb="2" eb="4">
      <t>ホウカツ</t>
    </rPh>
    <rPh sb="4" eb="5">
      <t>テキ</t>
    </rPh>
    <rPh sb="5" eb="7">
      <t>シエン</t>
    </rPh>
    <rPh sb="7" eb="9">
      <t>ジギョウ</t>
    </rPh>
    <rPh sb="10" eb="12">
      <t>シャカイ</t>
    </rPh>
    <rPh sb="12" eb="14">
      <t>ホショウ</t>
    </rPh>
    <rPh sb="14" eb="16">
      <t>ジュウジツ</t>
    </rPh>
    <rPh sb="16" eb="17">
      <t>ブン</t>
    </rPh>
    <phoneticPr fontId="5"/>
  </si>
  <si>
    <t>カ　</t>
  </si>
  <si>
    <t>その他</t>
    <rPh sb="2" eb="3">
      <t>タ</t>
    </rPh>
    <phoneticPr fontId="18"/>
  </si>
  <si>
    <t>（２）</t>
  </si>
  <si>
    <t>通所型サービス（第１号通所事業）</t>
    <rPh sb="0" eb="2">
      <t>ツウショ</t>
    </rPh>
    <rPh sb="2" eb="3">
      <t>ガタ</t>
    </rPh>
    <rPh sb="8" eb="9">
      <t>ダイ</t>
    </rPh>
    <rPh sb="10" eb="11">
      <t>ゴウ</t>
    </rPh>
    <rPh sb="11" eb="13">
      <t>ツウショ</t>
    </rPh>
    <rPh sb="13" eb="15">
      <t>ジギョウ</t>
    </rPh>
    <phoneticPr fontId="18"/>
  </si>
  <si>
    <t>②　包括的支援事業（社会保障充実分）</t>
    <phoneticPr fontId="5"/>
  </si>
  <si>
    <t>（３）</t>
  </si>
  <si>
    <t>その他生活支援サービス（第１号生活支援事業）</t>
    <rPh sb="2" eb="3">
      <t>タ</t>
    </rPh>
    <rPh sb="3" eb="5">
      <t>セイカツ</t>
    </rPh>
    <rPh sb="5" eb="7">
      <t>シエン</t>
    </rPh>
    <rPh sb="12" eb="13">
      <t>ダイ</t>
    </rPh>
    <rPh sb="14" eb="15">
      <t>ゴウ</t>
    </rPh>
    <rPh sb="15" eb="17">
      <t>セイカツ</t>
    </rPh>
    <rPh sb="17" eb="19">
      <t>シエン</t>
    </rPh>
    <rPh sb="19" eb="21">
      <t>ジギョウ</t>
    </rPh>
    <phoneticPr fontId="18"/>
  </si>
  <si>
    <t>栄養改善を目的とした配食</t>
    <rPh sb="0" eb="2">
      <t>エイヨウ</t>
    </rPh>
    <rPh sb="2" eb="4">
      <t>カイゼン</t>
    </rPh>
    <rPh sb="5" eb="7">
      <t>モクテキ</t>
    </rPh>
    <rPh sb="10" eb="12">
      <t>ハイショク</t>
    </rPh>
    <phoneticPr fontId="18"/>
  </si>
  <si>
    <t>定期的な安否確認及び緊急時の対応</t>
    <rPh sb="0" eb="3">
      <t>テイキテキ</t>
    </rPh>
    <rPh sb="4" eb="6">
      <t>アンピ</t>
    </rPh>
    <rPh sb="6" eb="8">
      <t>カクニン</t>
    </rPh>
    <rPh sb="8" eb="9">
      <t>オヨ</t>
    </rPh>
    <rPh sb="10" eb="13">
      <t>キンキュウジ</t>
    </rPh>
    <rPh sb="14" eb="16">
      <t>タイオウ</t>
    </rPh>
    <phoneticPr fontId="18"/>
  </si>
  <si>
    <t>訪問型サービスと通所型サービスを複合的に行う事業</t>
    <rPh sb="0" eb="3">
      <t>ホウモンガタ</t>
    </rPh>
    <rPh sb="8" eb="10">
      <t>ツウショ</t>
    </rPh>
    <rPh sb="10" eb="11">
      <t>ガタ</t>
    </rPh>
    <rPh sb="16" eb="19">
      <t>フクゴウテキ</t>
    </rPh>
    <rPh sb="20" eb="21">
      <t>オコナ</t>
    </rPh>
    <rPh sb="22" eb="24">
      <t>ジギョウ</t>
    </rPh>
    <phoneticPr fontId="18"/>
  </si>
  <si>
    <t>総合事業調整交付金</t>
    <rPh sb="0" eb="2">
      <t>ソウゴウ</t>
    </rPh>
    <rPh sb="2" eb="4">
      <t>ジギョウ</t>
    </rPh>
    <rPh sb="4" eb="6">
      <t>チョウセイ</t>
    </rPh>
    <rPh sb="6" eb="9">
      <t>コウフキン</t>
    </rPh>
    <phoneticPr fontId="5"/>
  </si>
  <si>
    <t>その他</t>
    <rPh sb="2" eb="3">
      <t>ホカ</t>
    </rPh>
    <phoneticPr fontId="18"/>
  </si>
  <si>
    <t>④　調整基準標準事業費額</t>
    <rPh sb="2" eb="4">
      <t>チョウセイ</t>
    </rPh>
    <rPh sb="4" eb="6">
      <t>キジュン</t>
    </rPh>
    <rPh sb="6" eb="8">
      <t>ヒョウジュン</t>
    </rPh>
    <rPh sb="8" eb="11">
      <t>ジギョウヒ</t>
    </rPh>
    <rPh sb="11" eb="12">
      <t>ガク</t>
    </rPh>
    <phoneticPr fontId="5"/>
  </si>
  <si>
    <t>（４）</t>
  </si>
  <si>
    <t>介護予防ケアマネジメント（第１号介護予防支援事業）</t>
    <rPh sb="0" eb="2">
      <t>カイゴ</t>
    </rPh>
    <rPh sb="2" eb="4">
      <t>ヨボウ</t>
    </rPh>
    <rPh sb="13" eb="14">
      <t>ダイ</t>
    </rPh>
    <rPh sb="15" eb="16">
      <t>ゴウ</t>
    </rPh>
    <rPh sb="16" eb="18">
      <t>カイゴ</t>
    </rPh>
    <rPh sb="18" eb="20">
      <t>ヨボウ</t>
    </rPh>
    <rPh sb="20" eb="22">
      <t>シエン</t>
    </rPh>
    <rPh sb="22" eb="24">
      <t>ジギョウ</t>
    </rPh>
    <phoneticPr fontId="18"/>
  </si>
  <si>
    <t>（５）</t>
  </si>
  <si>
    <t>審査支払手数料</t>
  </si>
  <si>
    <t>⑤　総合事業調整交付金所要額</t>
    <rPh sb="2" eb="4">
      <t>ソウゴウ</t>
    </rPh>
    <rPh sb="4" eb="6">
      <t>ジギョウ</t>
    </rPh>
    <rPh sb="6" eb="8">
      <t>チョウセイ</t>
    </rPh>
    <rPh sb="8" eb="11">
      <t>コウフキン</t>
    </rPh>
    <rPh sb="11" eb="13">
      <t>ショヨウ</t>
    </rPh>
    <rPh sb="13" eb="14">
      <t>ガク</t>
    </rPh>
    <phoneticPr fontId="5"/>
  </si>
  <si>
    <t>（６）</t>
  </si>
  <si>
    <t>高額介護予防サービス費相当事業等</t>
  </si>
  <si>
    <t>（７）</t>
  </si>
  <si>
    <t>一般介護予防事業</t>
    <rPh sb="0" eb="2">
      <t>イッパン</t>
    </rPh>
    <rPh sb="2" eb="4">
      <t>カイゴ</t>
    </rPh>
    <rPh sb="4" eb="6">
      <t>ヨボウ</t>
    </rPh>
    <rPh sb="6" eb="8">
      <t>ジギョウ</t>
    </rPh>
    <phoneticPr fontId="18"/>
  </si>
  <si>
    <t>介護予防把握事業</t>
    <rPh sb="0" eb="2">
      <t>カイゴ</t>
    </rPh>
    <rPh sb="2" eb="4">
      <t>ヨボウ</t>
    </rPh>
    <rPh sb="4" eb="6">
      <t>ハアク</t>
    </rPh>
    <rPh sb="6" eb="8">
      <t>ジギョウ</t>
    </rPh>
    <phoneticPr fontId="18"/>
  </si>
  <si>
    <t>介護予防普及啓発事業</t>
    <rPh sb="0" eb="2">
      <t>カイゴ</t>
    </rPh>
    <rPh sb="2" eb="4">
      <t>ヨボウ</t>
    </rPh>
    <rPh sb="4" eb="6">
      <t>フキュウ</t>
    </rPh>
    <rPh sb="6" eb="8">
      <t>ケイハツ</t>
    </rPh>
    <rPh sb="8" eb="10">
      <t>ジギョウ</t>
    </rPh>
    <phoneticPr fontId="18"/>
  </si>
  <si>
    <t>地域介護予防活動支援事業</t>
    <rPh sb="0" eb="2">
      <t>チイキ</t>
    </rPh>
    <rPh sb="2" eb="4">
      <t>カイゴ</t>
    </rPh>
    <rPh sb="4" eb="6">
      <t>ヨボウ</t>
    </rPh>
    <rPh sb="6" eb="8">
      <t>カツドウ</t>
    </rPh>
    <rPh sb="8" eb="10">
      <t>シエン</t>
    </rPh>
    <rPh sb="10" eb="12">
      <t>ジギョウ</t>
    </rPh>
    <phoneticPr fontId="18"/>
  </si>
  <si>
    <t>重層的支援体制整備事業の実施有無</t>
    <rPh sb="0" eb="3">
      <t>ジュウソウテキ</t>
    </rPh>
    <rPh sb="3" eb="5">
      <t>シエン</t>
    </rPh>
    <rPh sb="5" eb="7">
      <t>タイセイ</t>
    </rPh>
    <rPh sb="7" eb="9">
      <t>セイビ</t>
    </rPh>
    <rPh sb="9" eb="11">
      <t>ジギョウ</t>
    </rPh>
    <rPh sb="12" eb="14">
      <t>ジッシ</t>
    </rPh>
    <rPh sb="14" eb="16">
      <t>ウム</t>
    </rPh>
    <phoneticPr fontId="5"/>
  </si>
  <si>
    <t>一般介護予防事業評価事業</t>
  </si>
  <si>
    <t>地域リハビリテーション活動支援事業</t>
  </si>
  <si>
    <t>２　包括的支援事業（地域包括支援センターの運営）及び任意事業</t>
    <rPh sb="2" eb="5">
      <t>ホウカツテキ</t>
    </rPh>
    <rPh sb="5" eb="7">
      <t>シエン</t>
    </rPh>
    <rPh sb="7" eb="9">
      <t>ジギョウ</t>
    </rPh>
    <rPh sb="10" eb="12">
      <t>チイキ</t>
    </rPh>
    <rPh sb="12" eb="14">
      <t>ホウカツ</t>
    </rPh>
    <rPh sb="14" eb="16">
      <t>シエン</t>
    </rPh>
    <rPh sb="21" eb="23">
      <t>ウンエイ</t>
    </rPh>
    <rPh sb="24" eb="25">
      <t>オヨ</t>
    </rPh>
    <rPh sb="26" eb="28">
      <t>ニンイ</t>
    </rPh>
    <rPh sb="28" eb="30">
      <t>ジギョウ</t>
    </rPh>
    <phoneticPr fontId="7"/>
  </si>
  <si>
    <t>重層的支援体制整備事業に要する費用相当額</t>
    <rPh sb="0" eb="3">
      <t>ジュウソウテキ</t>
    </rPh>
    <rPh sb="3" eb="5">
      <t>シエン</t>
    </rPh>
    <rPh sb="5" eb="7">
      <t>タイセイ</t>
    </rPh>
    <rPh sb="7" eb="9">
      <t>セイビ</t>
    </rPh>
    <rPh sb="9" eb="11">
      <t>ジギョウ</t>
    </rPh>
    <rPh sb="12" eb="13">
      <t>ヨウ</t>
    </rPh>
    <rPh sb="15" eb="17">
      <t>ヒヨウ</t>
    </rPh>
    <rPh sb="17" eb="20">
      <t>ソウトウガク</t>
    </rPh>
    <phoneticPr fontId="5"/>
  </si>
  <si>
    <t>包括的支援事業（地域包括支援センターの運営）</t>
  </si>
  <si>
    <t>総額（①＋②＋③）</t>
    <rPh sb="0" eb="2">
      <t>ソウガク</t>
    </rPh>
    <phoneticPr fontId="5"/>
  </si>
  <si>
    <t>任意事業</t>
  </si>
  <si>
    <t>介護給付等費用適正化事業</t>
  </si>
  <si>
    <t>①　地域介護予防活動支援事業費相当額</t>
    <rPh sb="2" eb="4">
      <t>チイキ</t>
    </rPh>
    <rPh sb="4" eb="6">
      <t>カイゴ</t>
    </rPh>
    <rPh sb="6" eb="8">
      <t>ヨボウ</t>
    </rPh>
    <rPh sb="8" eb="10">
      <t>カツドウ</t>
    </rPh>
    <rPh sb="10" eb="12">
      <t>シエン</t>
    </rPh>
    <rPh sb="12" eb="14">
      <t>ジギョウ</t>
    </rPh>
    <rPh sb="14" eb="15">
      <t>ヒ</t>
    </rPh>
    <rPh sb="15" eb="18">
      <t>ソウトウガク</t>
    </rPh>
    <phoneticPr fontId="5"/>
  </si>
  <si>
    <t>家族介護支援事業</t>
  </si>
  <si>
    <t>法第115条の45第３項第３号に基づくその他の事業</t>
    <rPh sb="0" eb="1">
      <t>ホウ</t>
    </rPh>
    <rPh sb="1" eb="2">
      <t>ダイ</t>
    </rPh>
    <rPh sb="5" eb="6">
      <t>ジョウ</t>
    </rPh>
    <rPh sb="9" eb="10">
      <t>ダイ</t>
    </rPh>
    <rPh sb="11" eb="12">
      <t>コウ</t>
    </rPh>
    <rPh sb="12" eb="13">
      <t>ダイ</t>
    </rPh>
    <rPh sb="14" eb="15">
      <t>ゴウ</t>
    </rPh>
    <rPh sb="16" eb="17">
      <t>モト</t>
    </rPh>
    <rPh sb="21" eb="22">
      <t>タ</t>
    </rPh>
    <rPh sb="23" eb="25">
      <t>ジギョウ</t>
    </rPh>
    <phoneticPr fontId="8"/>
  </si>
  <si>
    <t>②　地域包括支援センターの運営費相当額</t>
    <rPh sb="15" eb="16">
      <t>ヒ</t>
    </rPh>
    <rPh sb="16" eb="19">
      <t>ソウトウガク</t>
    </rPh>
    <phoneticPr fontId="5"/>
  </si>
  <si>
    <t>小　　計（１＋２）</t>
    <phoneticPr fontId="3"/>
  </si>
  <si>
    <t>４　包括的支援事業（社会保障充実分）</t>
    <rPh sb="10" eb="12">
      <t>シャカイ</t>
    </rPh>
    <rPh sb="12" eb="14">
      <t>ホショウ</t>
    </rPh>
    <phoneticPr fontId="6"/>
  </si>
  <si>
    <t>③　生活支援体制整備事業費相当額</t>
    <rPh sb="2" eb="4">
      <t>セイカツ</t>
    </rPh>
    <rPh sb="4" eb="6">
      <t>シエン</t>
    </rPh>
    <rPh sb="6" eb="8">
      <t>タイセイ</t>
    </rPh>
    <rPh sb="8" eb="10">
      <t>セイビ</t>
    </rPh>
    <rPh sb="10" eb="12">
      <t>ジギョウ</t>
    </rPh>
    <rPh sb="12" eb="13">
      <t>ヒ</t>
    </rPh>
    <rPh sb="13" eb="16">
      <t>ソウトウガク</t>
    </rPh>
    <phoneticPr fontId="5"/>
  </si>
  <si>
    <t>（１）</t>
    <phoneticPr fontId="6"/>
  </si>
  <si>
    <t>在宅医療・介護連携推進事業</t>
    <phoneticPr fontId="6"/>
  </si>
  <si>
    <t>生活支援体制整備事業</t>
    <phoneticPr fontId="6"/>
  </si>
  <si>
    <t>ア</t>
    <phoneticPr fontId="6"/>
  </si>
  <si>
    <t>生活支援コーディネーター・協議体</t>
    <phoneticPr fontId="5"/>
  </si>
  <si>
    <t>イ</t>
    <phoneticPr fontId="5"/>
  </si>
  <si>
    <t>住民参画・官民連携推進事業</t>
    <phoneticPr fontId="5"/>
  </si>
  <si>
    <t>ウ</t>
    <phoneticPr fontId="3"/>
  </si>
  <si>
    <t>生活支援コーディネーターを中心とした相談支援連携体制構築事業</t>
    <phoneticPr fontId="3"/>
  </si>
  <si>
    <t>エ</t>
    <phoneticPr fontId="6"/>
  </si>
  <si>
    <t>就労的活動支援コーディネーター</t>
    <phoneticPr fontId="5"/>
  </si>
  <si>
    <t>（３）</t>
    <phoneticPr fontId="6"/>
  </si>
  <si>
    <t>　認知症総合支援事業</t>
    <rPh sb="1" eb="4">
      <t>ニンチショウ</t>
    </rPh>
    <rPh sb="4" eb="6">
      <t>ソウゴウ</t>
    </rPh>
    <rPh sb="6" eb="8">
      <t>シエン</t>
    </rPh>
    <rPh sb="8" eb="10">
      <t>ジギョウ</t>
    </rPh>
    <phoneticPr fontId="5"/>
  </si>
  <si>
    <t>認知症初期集中支援推進事業</t>
    <phoneticPr fontId="6"/>
  </si>
  <si>
    <t>保 険 者 名</t>
    <phoneticPr fontId="6"/>
  </si>
  <si>
    <t>認知症地域支援・ケア向上事業</t>
    <phoneticPr fontId="6"/>
  </si>
  <si>
    <t>ウ</t>
    <phoneticPr fontId="6"/>
  </si>
  <si>
    <t>認知症サポーター活動促進・地域づくり推進事業</t>
    <phoneticPr fontId="6"/>
  </si>
  <si>
    <t>地域ケア会議推進事業</t>
    <phoneticPr fontId="6"/>
  </si>
  <si>
    <t xml:space="preserve"> 合　　計（３＋４）   </t>
    <phoneticPr fontId="3"/>
  </si>
  <si>
    <t>（注）</t>
    <phoneticPr fontId="6"/>
  </si>
  <si>
    <t>　Ａ欄には、交付要綱４にいう総事業費（２（１）包括的支援事業（地域包括支援センターの運営）については、交付要綱４イ（ウ）の「総事業費（指定介護予防支援等の業務にかかる経費を含み、</t>
    <phoneticPr fontId="5"/>
  </si>
  <si>
    <t>総合相談支援事業の一部委託にかかる経費を除く。）から指定介護予防支援等にかかる収入額を控除した額（当該額が０円を下回る場合は０円とする。）に総合相談支援事業の一部委託に</t>
    <phoneticPr fontId="3"/>
  </si>
  <si>
    <t>総合事業の個別協議の有無</t>
    <rPh sb="0" eb="2">
      <t>ソウゴウ</t>
    </rPh>
    <rPh sb="2" eb="4">
      <t>ジギョウ</t>
    </rPh>
    <rPh sb="5" eb="7">
      <t>コベツ</t>
    </rPh>
    <rPh sb="7" eb="9">
      <t>キョウギ</t>
    </rPh>
    <rPh sb="10" eb="12">
      <t>ウム</t>
    </rPh>
    <phoneticPr fontId="3"/>
  </si>
  <si>
    <t>かかる経費を加えた額」）を記入すること。</t>
    <phoneticPr fontId="3"/>
  </si>
  <si>
    <t>　Ｂ欄には、交付要綱４にいう寄付金その他の収入額（２（１）包括的支援事業（地域包括支援センターの運営）については、指定介護予防支援等にかかる収入額を除く。）を記入すること。</t>
    <phoneticPr fontId="5"/>
  </si>
  <si>
    <t>②　包括的支援事業（地域包括支援センターの運営）・任意事業</t>
    <rPh sb="2" eb="4">
      <t>ホウカツ</t>
    </rPh>
    <rPh sb="4" eb="5">
      <t>テキ</t>
    </rPh>
    <rPh sb="5" eb="7">
      <t>シエン</t>
    </rPh>
    <rPh sb="7" eb="9">
      <t>ジギョウ</t>
    </rPh>
    <rPh sb="10" eb="12">
      <t>チイキ</t>
    </rPh>
    <rPh sb="12" eb="14">
      <t>ホウカツ</t>
    </rPh>
    <rPh sb="14" eb="16">
      <t>シエン</t>
    </rPh>
    <rPh sb="21" eb="23">
      <t>ウンエイ</t>
    </rPh>
    <rPh sb="25" eb="27">
      <t>ニンイ</t>
    </rPh>
    <rPh sb="27" eb="29">
      <t>ジギョウ</t>
    </rPh>
    <phoneticPr fontId="5"/>
  </si>
  <si>
    <t>　D欄には、交付要綱４にいう対象経費の実支出額（２（１）包括的支援事業（地域包括支援センターの運営）については、交付要綱４イ（イ）の額）を記入すること。</t>
    <phoneticPr fontId="5"/>
  </si>
  <si>
    <t>包括的支援事業（社会保障充実分）の個別協議の有無</t>
    <rPh sb="17" eb="19">
      <t>コベツ</t>
    </rPh>
    <rPh sb="19" eb="21">
      <t>キョウギ</t>
    </rPh>
    <rPh sb="22" eb="24">
      <t>ウム</t>
    </rPh>
    <phoneticPr fontId="3"/>
  </si>
  <si>
    <t>　Ｅ欄には、交付要綱４に定める基準額を記入すること。</t>
    <phoneticPr fontId="3"/>
  </si>
  <si>
    <t>　Ｆ欄には、Ｃ欄、Ｄ欄及びＥ欄を比較して最も少ない額から、重層的支援体制整備事業に要する費用相当額を控除した額を記入すること。</t>
    <phoneticPr fontId="5"/>
  </si>
  <si>
    <t>　Ｇ欄には、Ｆ欄の額に交付要綱４の第４欄に定める交付率を乗じて得た額（１円未満の端数が生じた場合には、これを切り捨てること。）を記入すること。</t>
    <phoneticPr fontId="3"/>
  </si>
  <si>
    <t>　H欄及びI欄には、重層的支援体制整備事業に要する費用相当額を含めない。</t>
    <phoneticPr fontId="3"/>
  </si>
  <si>
    <t>8</t>
    <phoneticPr fontId="3"/>
  </si>
  <si>
    <t>　重層的支援体制整備事業に要する費用相当額のうち、①地域介護予防活動支援事業費相当額は社会福祉法施行令第26条第１項の規定により算定した額、②地域包括支援センターの運営費</t>
    <phoneticPr fontId="6"/>
  </si>
  <si>
    <t>相当額は社会福祉法施行令第26条第３項第１号の規定により算定した額、③生活支援体制整備事業費相当額は社会福祉法施行令第26条第３項第２号の規定により算定した額を記入すること。</t>
    <phoneticPr fontId="3"/>
  </si>
  <si>
    <t>備考欄記入</t>
    <rPh sb="0" eb="2">
      <t>ビコウ</t>
    </rPh>
    <rPh sb="2" eb="3">
      <t>ラン</t>
    </rPh>
    <rPh sb="3" eb="5">
      <t>キニュウ</t>
    </rPh>
    <phoneticPr fontId="3"/>
  </si>
  <si>
    <t>円</t>
    <rPh sb="0" eb="1">
      <t>エン</t>
    </rPh>
    <phoneticPr fontId="3"/>
  </si>
  <si>
    <t>★参考（重層的支援体制整備事業実施自治体用）</t>
    <rPh sb="1" eb="3">
      <t>サンコウ</t>
    </rPh>
    <rPh sb="4" eb="7">
      <t>ジュウソウテキ</t>
    </rPh>
    <rPh sb="7" eb="9">
      <t>シエン</t>
    </rPh>
    <rPh sb="9" eb="11">
      <t>タイセイ</t>
    </rPh>
    <rPh sb="11" eb="13">
      <t>セイビ</t>
    </rPh>
    <rPh sb="13" eb="15">
      <t>ジギョウ</t>
    </rPh>
    <rPh sb="15" eb="17">
      <t>ジッシ</t>
    </rPh>
    <rPh sb="17" eb="21">
      <t>ジチタイヨウ</t>
    </rPh>
    <phoneticPr fontId="3"/>
  </si>
  <si>
    <t>令和７年度重層的支援体制整備事業交付金の実績報告における様式３・５の表に記載する金額は以下のとおりとなりますので、重層的支援体制整備事業交付金の実績報告書と齟齬のないようにお願いいたします。</t>
    <rPh sb="20" eb="22">
      <t>ジッセキ</t>
    </rPh>
    <rPh sb="22" eb="24">
      <t>ホウコク</t>
    </rPh>
    <rPh sb="28" eb="30">
      <t>ヨウシキ</t>
    </rPh>
    <rPh sb="34" eb="35">
      <t>ヒョウ</t>
    </rPh>
    <rPh sb="36" eb="38">
      <t>キサイ</t>
    </rPh>
    <rPh sb="40" eb="42">
      <t>キンガク</t>
    </rPh>
    <rPh sb="43" eb="45">
      <t>イカ</t>
    </rPh>
    <rPh sb="57" eb="71">
      <t>ジュウソウテキシエンタイセイセイビジギョウコウフキン</t>
    </rPh>
    <rPh sb="72" eb="74">
      <t>ジッセキ</t>
    </rPh>
    <rPh sb="74" eb="76">
      <t>ホウコク</t>
    </rPh>
    <rPh sb="78" eb="80">
      <t>ソゴ</t>
    </rPh>
    <rPh sb="87" eb="88">
      <t>ネガ</t>
    </rPh>
    <phoneticPr fontId="3"/>
  </si>
  <si>
    <t>様式３　ア　地域包括支援センターの運営に要する費用相当額　内訳表（注８）</t>
    <rPh sb="0" eb="2">
      <t>ヨウシキ</t>
    </rPh>
    <rPh sb="29" eb="32">
      <t>ウチワケヒョウ</t>
    </rPh>
    <rPh sb="33" eb="34">
      <t>チュウ</t>
    </rPh>
    <phoneticPr fontId="5"/>
  </si>
  <si>
    <t>M</t>
    <phoneticPr fontId="5"/>
  </si>
  <si>
    <t>交付基本額</t>
    <phoneticPr fontId="5"/>
  </si>
  <si>
    <t>対象経費基本額（影響額調整後）</t>
    <phoneticPr fontId="5"/>
  </si>
  <si>
    <t>a</t>
    <phoneticPr fontId="5"/>
  </si>
  <si>
    <t>地域支援事業で実施される任意事業に要する費用</t>
    <phoneticPr fontId="5"/>
  </si>
  <si>
    <t>K’</t>
    <phoneticPr fontId="5"/>
  </si>
  <si>
    <t>小計（ K + a ）</t>
    <rPh sb="0" eb="2">
      <t>ショウケイ</t>
    </rPh>
    <phoneticPr fontId="5"/>
  </si>
  <si>
    <t>L</t>
    <phoneticPr fontId="5"/>
  </si>
  <si>
    <t>基準額</t>
    <phoneticPr fontId="5"/>
  </si>
  <si>
    <t>b</t>
    <phoneticPr fontId="5"/>
  </si>
  <si>
    <t>K’とLで、いずれか少ない額</t>
    <phoneticPr fontId="5"/>
  </si>
  <si>
    <t>重層bエラーセンター運営</t>
    <phoneticPr fontId="3"/>
  </si>
  <si>
    <t>交付基本額（ b - a ）</t>
    <rPh sb="0" eb="2">
      <t>コウフ</t>
    </rPh>
    <rPh sb="2" eb="5">
      <t>キホンガク</t>
    </rPh>
    <phoneticPr fontId="5"/>
  </si>
  <si>
    <t>様式５　カ　地域介護予防活動支援事業に要する費用相当額　内訳表（注８）</t>
    <rPh sb="0" eb="2">
      <t>ヨウシキ</t>
    </rPh>
    <rPh sb="28" eb="31">
      <t>ウチワケヒョウ</t>
    </rPh>
    <rPh sb="32" eb="33">
      <t>チュウ</t>
    </rPh>
    <phoneticPr fontId="5"/>
  </si>
  <si>
    <t>M</t>
  </si>
  <si>
    <t>交付基本額</t>
  </si>
  <si>
    <t>K</t>
  </si>
  <si>
    <t>対象経費基本額（影響額調整後）</t>
  </si>
  <si>
    <t>a</t>
  </si>
  <si>
    <t>地域支援事業で実施される介護予防・日常生活支援総合事業に要する費用</t>
  </si>
  <si>
    <t>K’</t>
  </si>
  <si>
    <t>小計（ K + a ）</t>
    <rPh sb="0" eb="2">
      <t>ショウケイ</t>
    </rPh>
    <phoneticPr fontId="4"/>
  </si>
  <si>
    <t>重層K'地域介護予防小計（ K + a ）</t>
    <rPh sb="10" eb="12">
      <t>ショウケイ</t>
    </rPh>
    <phoneticPr fontId="4"/>
  </si>
  <si>
    <t>L</t>
  </si>
  <si>
    <t>基準額</t>
  </si>
  <si>
    <t>b</t>
  </si>
  <si>
    <t>K’とLで、いずれか少ない額</t>
  </si>
  <si>
    <t>重層bエラー地域介護予防</t>
    <phoneticPr fontId="3"/>
  </si>
  <si>
    <t>重層M地域介護予防交付基本額（ b - a ）</t>
    <rPh sb="9" eb="11">
      <t>コウフ</t>
    </rPh>
    <rPh sb="11" eb="14">
      <t>キホンガク</t>
    </rPh>
    <phoneticPr fontId="5"/>
  </si>
  <si>
    <t>様式５　キ　生活支援体制整備事業に要する費用相当額　内訳表（注９）</t>
    <rPh sb="0" eb="2">
      <t>ヨウシキ</t>
    </rPh>
    <rPh sb="26" eb="29">
      <t>ウチワケヒョウ</t>
    </rPh>
    <rPh sb="30" eb="31">
      <t>チュウ</t>
    </rPh>
    <phoneticPr fontId="4"/>
  </si>
  <si>
    <t>地域支援事業で実施される包括的支援事業（社会保障充実分）に要する費用</t>
  </si>
  <si>
    <t>重層K'生活支援体制整備小計（ K + a ）</t>
    <rPh sb="12" eb="14">
      <t>ショウケイ</t>
    </rPh>
    <phoneticPr fontId="4"/>
  </si>
  <si>
    <t>重層bエラー生活支援体制整備</t>
    <phoneticPr fontId="3"/>
  </si>
  <si>
    <t>重層M生活支援体制整備交付基本額（ b - a ）</t>
    <rPh sb="11" eb="13">
      <t>コウフ</t>
    </rPh>
    <rPh sb="13" eb="16">
      <t>キホンガク</t>
    </rPh>
    <phoneticPr fontId="5"/>
  </si>
  <si>
    <t>（注）広域連合等のうち複数の構成市町村が重層的支援体制整備事業を実施する場合、上記の表は保険者単位のため一致しないことがあります。</t>
  </si>
  <si>
    <t>包括的支援事業（地域包括支援センターの運営）・任意事業上限額算定の手引き</t>
    <rPh sb="0" eb="3">
      <t>ホウカツテキ</t>
    </rPh>
    <rPh sb="3" eb="5">
      <t>シエン</t>
    </rPh>
    <rPh sb="5" eb="7">
      <t>ジギョウ</t>
    </rPh>
    <rPh sb="8" eb="10">
      <t>チイキ</t>
    </rPh>
    <rPh sb="10" eb="12">
      <t>ホウカツ</t>
    </rPh>
    <rPh sb="12" eb="14">
      <t>シエン</t>
    </rPh>
    <rPh sb="19" eb="21">
      <t>ウンエイ</t>
    </rPh>
    <rPh sb="23" eb="25">
      <t>ニンイ</t>
    </rPh>
    <rPh sb="25" eb="27">
      <t>ジギョウ</t>
    </rPh>
    <rPh sb="27" eb="29">
      <t>ジョウゲン</t>
    </rPh>
    <rPh sb="29" eb="30">
      <t>ガク</t>
    </rPh>
    <rPh sb="30" eb="32">
      <t>サンテイ</t>
    </rPh>
    <rPh sb="33" eb="35">
      <t>テビ</t>
    </rPh>
    <phoneticPr fontId="6"/>
  </si>
  <si>
    <t>市町村名</t>
    <rPh sb="0" eb="3">
      <t>シチョウソン</t>
    </rPh>
    <rPh sb="3" eb="4">
      <t>メイ</t>
    </rPh>
    <phoneticPr fontId="3"/>
  </si>
  <si>
    <t>04市町村名1</t>
    <rPh sb="2" eb="5">
      <t>シチョウソン</t>
    </rPh>
    <rPh sb="5" eb="6">
      <t>メイ</t>
    </rPh>
    <phoneticPr fontId="17"/>
  </si>
  <si>
    <t>04市町村名2</t>
    <rPh sb="2" eb="5">
      <t>シチョウソン</t>
    </rPh>
    <rPh sb="5" eb="6">
      <t>メイ</t>
    </rPh>
    <phoneticPr fontId="17"/>
  </si>
  <si>
    <t>04市町村名3</t>
    <rPh sb="2" eb="5">
      <t>シチョウソン</t>
    </rPh>
    <rPh sb="5" eb="6">
      <t>メイ</t>
    </rPh>
    <phoneticPr fontId="17"/>
  </si>
  <si>
    <t>04市町村名4</t>
    <rPh sb="2" eb="5">
      <t>シチョウソン</t>
    </rPh>
    <rPh sb="5" eb="6">
      <t>メイ</t>
    </rPh>
    <phoneticPr fontId="17"/>
  </si>
  <si>
    <t>04市町村名5</t>
    <rPh sb="2" eb="5">
      <t>シチョウソン</t>
    </rPh>
    <rPh sb="5" eb="6">
      <t>メイ</t>
    </rPh>
    <phoneticPr fontId="17"/>
  </si>
  <si>
    <t>04市町村名6</t>
    <rPh sb="2" eb="5">
      <t>シチョウソン</t>
    </rPh>
    <rPh sb="5" eb="6">
      <t>メイ</t>
    </rPh>
    <phoneticPr fontId="17"/>
  </si>
  <si>
    <t>04市町村名7</t>
    <rPh sb="2" eb="5">
      <t>シチョウソン</t>
    </rPh>
    <rPh sb="5" eb="6">
      <t>メイ</t>
    </rPh>
    <phoneticPr fontId="17"/>
  </si>
  <si>
    <t>04市町村名8</t>
    <rPh sb="2" eb="5">
      <t>シチョウソン</t>
    </rPh>
    <rPh sb="5" eb="6">
      <t>メイ</t>
    </rPh>
    <phoneticPr fontId="17"/>
  </si>
  <si>
    <t>04市町村名9</t>
    <rPh sb="2" eb="5">
      <t>シチョウソン</t>
    </rPh>
    <rPh sb="5" eb="6">
      <t>メイ</t>
    </rPh>
    <phoneticPr fontId="17"/>
  </si>
  <si>
    <t>04市町村名10</t>
    <rPh sb="2" eb="5">
      <t>シチョウソン</t>
    </rPh>
    <rPh sb="5" eb="6">
      <t>メイ</t>
    </rPh>
    <phoneticPr fontId="17"/>
  </si>
  <si>
    <t>04市町村名11</t>
    <rPh sb="2" eb="5">
      <t>シチョウソン</t>
    </rPh>
    <rPh sb="5" eb="6">
      <t>メイ</t>
    </rPh>
    <phoneticPr fontId="17"/>
  </si>
  <si>
    <t>04市町村名12</t>
    <rPh sb="2" eb="5">
      <t>シチョウソン</t>
    </rPh>
    <rPh sb="5" eb="6">
      <t>メイ</t>
    </rPh>
    <phoneticPr fontId="17"/>
  </si>
  <si>
    <t>04市町村名13</t>
    <rPh sb="2" eb="5">
      <t>シチョウソン</t>
    </rPh>
    <rPh sb="5" eb="6">
      <t>メイ</t>
    </rPh>
    <phoneticPr fontId="17"/>
  </si>
  <si>
    <t>04市町村名14</t>
    <rPh sb="2" eb="5">
      <t>シチョウソン</t>
    </rPh>
    <rPh sb="5" eb="6">
      <t>メイ</t>
    </rPh>
    <phoneticPr fontId="17"/>
  </si>
  <si>
    <t>04市町村名15</t>
    <rPh sb="2" eb="5">
      <t>シチョウソン</t>
    </rPh>
    <rPh sb="5" eb="6">
      <t>メイ</t>
    </rPh>
    <phoneticPr fontId="17"/>
  </si>
  <si>
    <t>04市町村名16</t>
    <rPh sb="2" eb="5">
      <t>シチョウソン</t>
    </rPh>
    <rPh sb="5" eb="6">
      <t>メイ</t>
    </rPh>
    <phoneticPr fontId="17"/>
  </si>
  <si>
    <t>04市町村名17</t>
    <rPh sb="2" eb="5">
      <t>シチョウソン</t>
    </rPh>
    <rPh sb="5" eb="6">
      <t>メイ</t>
    </rPh>
    <phoneticPr fontId="17"/>
  </si>
  <si>
    <t>04市町村名18</t>
    <rPh sb="2" eb="5">
      <t>シチョウソン</t>
    </rPh>
    <rPh sb="5" eb="6">
      <t>メイ</t>
    </rPh>
    <phoneticPr fontId="17"/>
  </si>
  <si>
    <t>04市町村名19</t>
    <rPh sb="2" eb="5">
      <t>シチョウソン</t>
    </rPh>
    <rPh sb="5" eb="6">
      <t>メイ</t>
    </rPh>
    <phoneticPr fontId="17"/>
  </si>
  <si>
    <t>04市町村名20</t>
    <rPh sb="2" eb="5">
      <t>シチョウソン</t>
    </rPh>
    <rPh sb="5" eb="6">
      <t>メイ</t>
    </rPh>
    <phoneticPr fontId="17"/>
  </si>
  <si>
    <t>04市町村名21</t>
    <rPh sb="2" eb="5">
      <t>シチョウソン</t>
    </rPh>
    <rPh sb="5" eb="6">
      <t>メイ</t>
    </rPh>
    <phoneticPr fontId="17"/>
  </si>
  <si>
    <t>04市町村名22</t>
    <rPh sb="2" eb="5">
      <t>シチョウソン</t>
    </rPh>
    <rPh sb="5" eb="6">
      <t>メイ</t>
    </rPh>
    <phoneticPr fontId="17"/>
  </si>
  <si>
    <t>04市町村名23</t>
    <rPh sb="2" eb="5">
      <t>シチョウソン</t>
    </rPh>
    <rPh sb="5" eb="6">
      <t>メイ</t>
    </rPh>
    <phoneticPr fontId="17"/>
  </si>
  <si>
    <t>04市町村名24</t>
    <rPh sb="2" eb="5">
      <t>シチョウソン</t>
    </rPh>
    <rPh sb="5" eb="6">
      <t>メイ</t>
    </rPh>
    <phoneticPr fontId="17"/>
  </si>
  <si>
    <t>04市町村名25</t>
    <rPh sb="2" eb="5">
      <t>シチョウソン</t>
    </rPh>
    <rPh sb="5" eb="6">
      <t>メイ</t>
    </rPh>
    <phoneticPr fontId="17"/>
  </si>
  <si>
    <t>04市町村名26</t>
    <rPh sb="2" eb="5">
      <t>シチョウソン</t>
    </rPh>
    <rPh sb="5" eb="6">
      <t>メイ</t>
    </rPh>
    <phoneticPr fontId="17"/>
  </si>
  <si>
    <t>04市町村名27</t>
    <rPh sb="2" eb="5">
      <t>シチョウソン</t>
    </rPh>
    <rPh sb="5" eb="6">
      <t>メイ</t>
    </rPh>
    <phoneticPr fontId="17"/>
  </si>
  <si>
    <t>04市町村名28</t>
    <rPh sb="2" eb="5">
      <t>シチョウソン</t>
    </rPh>
    <rPh sb="5" eb="6">
      <t>メイ</t>
    </rPh>
    <phoneticPr fontId="17"/>
  </si>
  <si>
    <t>04市町村名29</t>
    <rPh sb="2" eb="5">
      <t>シチョウソン</t>
    </rPh>
    <rPh sb="5" eb="6">
      <t>メイ</t>
    </rPh>
    <phoneticPr fontId="17"/>
  </si>
  <si>
    <t>04市町村名30</t>
    <rPh sb="2" eb="5">
      <t>シチョウソン</t>
    </rPh>
    <rPh sb="5" eb="6">
      <t>メイ</t>
    </rPh>
    <phoneticPr fontId="17"/>
  </si>
  <si>
    <t>04市町村名31</t>
    <rPh sb="2" eb="5">
      <t>シチョウソン</t>
    </rPh>
    <rPh sb="5" eb="6">
      <t>メイ</t>
    </rPh>
    <phoneticPr fontId="17"/>
  </si>
  <si>
    <t>04市町村名32</t>
    <rPh sb="2" eb="5">
      <t>シチョウソン</t>
    </rPh>
    <rPh sb="5" eb="6">
      <t>メイ</t>
    </rPh>
    <phoneticPr fontId="17"/>
  </si>
  <si>
    <t>04市町村名33</t>
    <rPh sb="2" eb="5">
      <t>シチョウソン</t>
    </rPh>
    <rPh sb="5" eb="6">
      <t>メイ</t>
    </rPh>
    <phoneticPr fontId="17"/>
  </si>
  <si>
    <t>04市町村名34</t>
    <rPh sb="2" eb="5">
      <t>シチョウソン</t>
    </rPh>
    <rPh sb="5" eb="6">
      <t>メイ</t>
    </rPh>
    <phoneticPr fontId="17"/>
  </si>
  <si>
    <t>適用する上限額</t>
    <rPh sb="0" eb="2">
      <t>テキヨウ</t>
    </rPh>
    <rPh sb="4" eb="6">
      <t>ジョウゲン</t>
    </rPh>
    <rPh sb="6" eb="7">
      <t>ガク</t>
    </rPh>
    <phoneticPr fontId="3"/>
  </si>
  <si>
    <t>①原則の上限額</t>
    <rPh sb="1" eb="3">
      <t>ゲンソク</t>
    </rPh>
    <rPh sb="4" eb="7">
      <t>ジョウゲンガク</t>
    </rPh>
    <phoneticPr fontId="3"/>
  </si>
  <si>
    <t>基準額</t>
    <rPh sb="0" eb="3">
      <t>キジュンガク</t>
    </rPh>
    <phoneticPr fontId="3"/>
  </si>
  <si>
    <t>②特例の上限額</t>
    <rPh sb="1" eb="3">
      <t>トクレイ</t>
    </rPh>
    <rPh sb="4" eb="7">
      <t>ジョウゲンガク</t>
    </rPh>
    <phoneticPr fontId="3"/>
  </si>
  <si>
    <t>A 前年度における原則の上限額</t>
    <phoneticPr fontId="3"/>
  </si>
  <si>
    <t>B 令和３年１０月１日における６５歳以上人口</t>
    <rPh sb="2" eb="4">
      <t>レイワ</t>
    </rPh>
    <rPh sb="5" eb="6">
      <t>ネン</t>
    </rPh>
    <rPh sb="6" eb="7">
      <t>ガンネン</t>
    </rPh>
    <rPh sb="8" eb="9">
      <t>ガツ</t>
    </rPh>
    <rPh sb="10" eb="11">
      <t>ニチ</t>
    </rPh>
    <phoneticPr fontId="3"/>
  </si>
  <si>
    <t>C 令和６年１０月１日における６５歳以上人口</t>
    <phoneticPr fontId="3"/>
  </si>
  <si>
    <t>D 直近３ヵ年の６５歳以上高齢者伸び</t>
    <rPh sb="2" eb="4">
      <t>チョッキン</t>
    </rPh>
    <rPh sb="6" eb="7">
      <t>ネン</t>
    </rPh>
    <rPh sb="10" eb="13">
      <t>サイイジョウ</t>
    </rPh>
    <rPh sb="13" eb="16">
      <t>コウレイシャ</t>
    </rPh>
    <rPh sb="16" eb="17">
      <t>ノ</t>
    </rPh>
    <phoneticPr fontId="6"/>
  </si>
  <si>
    <t>1＋｛（C－B)/B｝/３</t>
    <phoneticPr fontId="3"/>
  </si>
  <si>
    <t>E 令和７年度における原則上限額</t>
    <rPh sb="2" eb="3">
      <t>レイ</t>
    </rPh>
    <rPh sb="3" eb="4">
      <t>カズ</t>
    </rPh>
    <rPh sb="5" eb="7">
      <t>ネンド</t>
    </rPh>
    <rPh sb="7" eb="9">
      <t>ヘイネンド</t>
    </rPh>
    <rPh sb="11" eb="13">
      <t>ゲンソク</t>
    </rPh>
    <rPh sb="13" eb="15">
      <t>ジョウゲン</t>
    </rPh>
    <rPh sb="15" eb="16">
      <t>ガク</t>
    </rPh>
    <phoneticPr fontId="6"/>
  </si>
  <si>
    <t>A×D</t>
    <phoneticPr fontId="3"/>
  </si>
  <si>
    <t>04E1</t>
  </si>
  <si>
    <t>04E2</t>
  </si>
  <si>
    <t>04E3</t>
  </si>
  <si>
    <t>04E4</t>
  </si>
  <si>
    <t>04E5</t>
  </si>
  <si>
    <t>04E6</t>
  </si>
  <si>
    <t>04E7</t>
  </si>
  <si>
    <t>04E8</t>
  </si>
  <si>
    <t>04E9</t>
  </si>
  <si>
    <t>04E10</t>
  </si>
  <si>
    <t>04E11</t>
  </si>
  <si>
    <t>04E12</t>
  </si>
  <si>
    <t>04E13</t>
  </si>
  <si>
    <t>04E14</t>
  </si>
  <si>
    <t>04E15</t>
  </si>
  <si>
    <t>04E16</t>
  </si>
  <si>
    <t>04E17</t>
  </si>
  <si>
    <t>04E18</t>
  </si>
  <si>
    <t>04E19</t>
  </si>
  <si>
    <t>04E20</t>
  </si>
  <si>
    <t>04E21</t>
  </si>
  <si>
    <t>04E22</t>
  </si>
  <si>
    <t>04E23</t>
  </si>
  <si>
    <t>04E24</t>
  </si>
  <si>
    <t>04E25</t>
  </si>
  <si>
    <t>04E26</t>
  </si>
  <si>
    <t>04E27</t>
  </si>
  <si>
    <t>04E28</t>
  </si>
  <si>
    <t>04E29</t>
  </si>
  <si>
    <t>04E30</t>
  </si>
  <si>
    <t>04E31</t>
  </si>
  <si>
    <t>04E32</t>
  </si>
  <si>
    <t>04E33</t>
  </si>
  <si>
    <t>04E34</t>
  </si>
  <si>
    <t xml:space="preserve"> 【適用条件を満たすかつ29年度に特例上限額を使用した場合のみ】</t>
    <phoneticPr fontId="3"/>
  </si>
  <si>
    <t>F 令和６年１０月１日における６５歳以上人口</t>
    <phoneticPr fontId="3"/>
  </si>
  <si>
    <t>Cと同じ人数</t>
    <rPh sb="2" eb="3">
      <t>オナ</t>
    </rPh>
    <rPh sb="4" eb="6">
      <t>ニンズウ</t>
    </rPh>
    <phoneticPr fontId="3"/>
  </si>
  <si>
    <t>G 地域包括支援センターの運営</t>
    <rPh sb="2" eb="4">
      <t>チイキ</t>
    </rPh>
    <rPh sb="4" eb="6">
      <t>ホウカツ</t>
    </rPh>
    <rPh sb="6" eb="8">
      <t>シエン</t>
    </rPh>
    <rPh sb="13" eb="15">
      <t>ウンエイ</t>
    </rPh>
    <phoneticPr fontId="6"/>
  </si>
  <si>
    <t>25,000千円（基準単価）×F/4,500</t>
    <phoneticPr fontId="3"/>
  </si>
  <si>
    <t>04G5</t>
    <phoneticPr fontId="3"/>
  </si>
  <si>
    <t>04G6</t>
    <phoneticPr fontId="3"/>
  </si>
  <si>
    <t>04G7</t>
    <phoneticPr fontId="3"/>
  </si>
  <si>
    <t>04G8</t>
    <phoneticPr fontId="3"/>
  </si>
  <si>
    <t>04G9</t>
    <phoneticPr fontId="3"/>
  </si>
  <si>
    <t>04G10</t>
    <phoneticPr fontId="3"/>
  </si>
  <si>
    <t>04G11</t>
    <phoneticPr fontId="3"/>
  </si>
  <si>
    <t>04G12</t>
    <phoneticPr fontId="3"/>
  </si>
  <si>
    <t>04G13</t>
    <phoneticPr fontId="3"/>
  </si>
  <si>
    <t>04G14</t>
    <phoneticPr fontId="3"/>
  </si>
  <si>
    <t>04G15</t>
    <phoneticPr fontId="3"/>
  </si>
  <si>
    <t>04G16</t>
    <phoneticPr fontId="3"/>
  </si>
  <si>
    <t>04G17</t>
    <phoneticPr fontId="3"/>
  </si>
  <si>
    <t>04G18</t>
    <phoneticPr fontId="3"/>
  </si>
  <si>
    <t>04G19</t>
    <phoneticPr fontId="3"/>
  </si>
  <si>
    <t>04G20</t>
    <phoneticPr fontId="3"/>
  </si>
  <si>
    <t>04G21</t>
    <phoneticPr fontId="3"/>
  </si>
  <si>
    <t>04G22</t>
    <phoneticPr fontId="3"/>
  </si>
  <si>
    <t>04G23</t>
    <phoneticPr fontId="3"/>
  </si>
  <si>
    <t>04G24</t>
    <phoneticPr fontId="3"/>
  </si>
  <si>
    <t>04G25</t>
    <phoneticPr fontId="3"/>
  </si>
  <si>
    <t>04G26</t>
    <phoneticPr fontId="3"/>
  </si>
  <si>
    <t>04G27</t>
    <phoneticPr fontId="3"/>
  </si>
  <si>
    <t>04G28</t>
    <phoneticPr fontId="3"/>
  </si>
  <si>
    <t>04G29</t>
    <phoneticPr fontId="3"/>
  </si>
  <si>
    <t>04G30</t>
    <phoneticPr fontId="3"/>
  </si>
  <si>
    <t>04G31</t>
    <phoneticPr fontId="3"/>
  </si>
  <si>
    <t>04G32</t>
    <phoneticPr fontId="3"/>
  </si>
  <si>
    <t>04G33</t>
    <phoneticPr fontId="3"/>
  </si>
  <si>
    <t>04G34</t>
    <phoneticPr fontId="3"/>
  </si>
  <si>
    <t>H 任意事業の実施</t>
    <rPh sb="2" eb="4">
      <t>ニンイ</t>
    </rPh>
    <rPh sb="4" eb="6">
      <t>ジギョウ</t>
    </rPh>
    <rPh sb="7" eb="9">
      <t>ジッシ</t>
    </rPh>
    <phoneticPr fontId="6"/>
  </si>
  <si>
    <t>930円（基準単価）×F</t>
  </si>
  <si>
    <t>I 特例上限額</t>
    <rPh sb="2" eb="4">
      <t>トクレイ</t>
    </rPh>
    <rPh sb="4" eb="6">
      <t>ジョウゲン</t>
    </rPh>
    <rPh sb="6" eb="7">
      <t>ガク</t>
    </rPh>
    <phoneticPr fontId="6"/>
  </si>
  <si>
    <t>G＋H</t>
    <phoneticPr fontId="3"/>
  </si>
  <si>
    <t>【適用条件】　任意事業に係る費用が(a)、(b)のいずれか高い方の金額を超えていない</t>
    <rPh sb="1" eb="3">
      <t>テキヨウ</t>
    </rPh>
    <rPh sb="3" eb="5">
      <t>ジョウケン</t>
    </rPh>
    <rPh sb="7" eb="9">
      <t>ニンイ</t>
    </rPh>
    <rPh sb="9" eb="11">
      <t>ジギョウ</t>
    </rPh>
    <rPh sb="12" eb="13">
      <t>カカ</t>
    </rPh>
    <rPh sb="14" eb="16">
      <t>ヒヨウ</t>
    </rPh>
    <rPh sb="29" eb="30">
      <t>タカ</t>
    </rPh>
    <rPh sb="31" eb="32">
      <t>ホウ</t>
    </rPh>
    <rPh sb="33" eb="35">
      <t>キンガク</t>
    </rPh>
    <rPh sb="36" eb="37">
      <t>コ</t>
    </rPh>
    <phoneticPr fontId="3"/>
  </si>
  <si>
    <t>　※特例上限額の範囲内であれば、地域包括支援センターの運営に係る費用は、Gの金額を超えても差し支えない。</t>
    <phoneticPr fontId="3"/>
  </si>
  <si>
    <t>J 令和７年度任意事業の実施にかかる費用</t>
    <rPh sb="2" eb="3">
      <t>レイ</t>
    </rPh>
    <rPh sb="3" eb="4">
      <t>カズ</t>
    </rPh>
    <rPh sb="5" eb="7">
      <t>ネンド</t>
    </rPh>
    <rPh sb="7" eb="9">
      <t>ニンイ</t>
    </rPh>
    <rPh sb="9" eb="11">
      <t>ジギョウ</t>
    </rPh>
    <rPh sb="12" eb="14">
      <t>ジッシ</t>
    </rPh>
    <rPh sb="18" eb="20">
      <t>ヒヨウ</t>
    </rPh>
    <phoneticPr fontId="3"/>
  </si>
  <si>
    <t>　(a) Hにより算出する額</t>
    <rPh sb="9" eb="11">
      <t>サンシュツ</t>
    </rPh>
    <rPh sb="13" eb="14">
      <t>ガク</t>
    </rPh>
    <phoneticPr fontId="6"/>
  </si>
  <si>
    <t>Hと同じ額</t>
    <rPh sb="2" eb="3">
      <t>オナ</t>
    </rPh>
    <rPh sb="4" eb="5">
      <t>ガク</t>
    </rPh>
    <phoneticPr fontId="3"/>
  </si>
  <si>
    <t>K 特例上限を選択した年度の前年度における任意事業の実績額</t>
    <rPh sb="2" eb="4">
      <t>トクレイ</t>
    </rPh>
    <rPh sb="4" eb="6">
      <t>ジョウゲン</t>
    </rPh>
    <rPh sb="7" eb="9">
      <t>センタク</t>
    </rPh>
    <rPh sb="11" eb="13">
      <t>ネンド</t>
    </rPh>
    <rPh sb="14" eb="17">
      <t>ゼンネンド</t>
    </rPh>
    <rPh sb="21" eb="23">
      <t>ニンイ</t>
    </rPh>
    <rPh sb="23" eb="25">
      <t>ジギョウ</t>
    </rPh>
    <rPh sb="26" eb="29">
      <t>ジッセキガク</t>
    </rPh>
    <phoneticPr fontId="3"/>
  </si>
  <si>
    <t>　(b) 特例上限を選択した年度の前年度における任意事業の実績額×直近３カ年の65歳以上高齢者数の伸び率</t>
    <rPh sb="33" eb="35">
      <t>チョッキン</t>
    </rPh>
    <rPh sb="37" eb="38">
      <t>ネン</t>
    </rPh>
    <phoneticPr fontId="3"/>
  </si>
  <si>
    <t>K×D</t>
    <phoneticPr fontId="3"/>
  </si>
  <si>
    <t>(a)、(b)のいずれか高い方の金額</t>
    <phoneticPr fontId="3"/>
  </si>
  <si>
    <t>特例の上限式適否</t>
    <rPh sb="0" eb="2">
      <t>トクレイ</t>
    </rPh>
    <rPh sb="3" eb="5">
      <t>ジョウゲン</t>
    </rPh>
    <rPh sb="5" eb="6">
      <t>シキ</t>
    </rPh>
    <rPh sb="6" eb="8">
      <t>テキヒ</t>
    </rPh>
    <phoneticPr fontId="3"/>
  </si>
  <si>
    <t>04上限式適否1</t>
    <phoneticPr fontId="3"/>
  </si>
  <si>
    <t>04上限式適否2</t>
    <phoneticPr fontId="3"/>
  </si>
  <si>
    <t>04上限式適否3</t>
    <phoneticPr fontId="3"/>
  </si>
  <si>
    <t>04上限式適否4</t>
    <phoneticPr fontId="3"/>
  </si>
  <si>
    <t>04上限式適否5</t>
    <phoneticPr fontId="3"/>
  </si>
  <si>
    <t>04上限式適否6</t>
    <phoneticPr fontId="3"/>
  </si>
  <si>
    <t>04上限式適否7</t>
    <phoneticPr fontId="3"/>
  </si>
  <si>
    <t>04上限式適否8</t>
    <phoneticPr fontId="3"/>
  </si>
  <si>
    <t>04上限式適否9</t>
    <phoneticPr fontId="3"/>
  </si>
  <si>
    <t>04上限式適否10</t>
    <phoneticPr fontId="3"/>
  </si>
  <si>
    <t>04上限式適否11</t>
    <phoneticPr fontId="3"/>
  </si>
  <si>
    <t>04上限式適否12</t>
    <phoneticPr fontId="3"/>
  </si>
  <si>
    <t>04上限式適否13</t>
    <phoneticPr fontId="3"/>
  </si>
  <si>
    <t>04上限式適否14</t>
    <phoneticPr fontId="3"/>
  </si>
  <si>
    <t>04上限式適否15</t>
    <phoneticPr fontId="3"/>
  </si>
  <si>
    <t>04上限式適否16</t>
    <phoneticPr fontId="3"/>
  </si>
  <si>
    <t>04上限式適否17</t>
    <phoneticPr fontId="3"/>
  </si>
  <si>
    <t>04上限式適否18</t>
    <phoneticPr fontId="3"/>
  </si>
  <si>
    <t>04上限式適否19</t>
    <phoneticPr fontId="3"/>
  </si>
  <si>
    <t>04上限式適否20</t>
    <phoneticPr fontId="3"/>
  </si>
  <si>
    <t>04上限式適否21</t>
    <phoneticPr fontId="3"/>
  </si>
  <si>
    <t>04上限式適否22</t>
    <phoneticPr fontId="3"/>
  </si>
  <si>
    <t>04上限式適否23</t>
    <phoneticPr fontId="3"/>
  </si>
  <si>
    <t>04上限式適否24</t>
    <phoneticPr fontId="3"/>
  </si>
  <si>
    <t>04上限式適否25</t>
    <phoneticPr fontId="3"/>
  </si>
  <si>
    <t>04上限式適否26</t>
    <phoneticPr fontId="3"/>
  </si>
  <si>
    <t>04上限式適否27</t>
    <phoneticPr fontId="3"/>
  </si>
  <si>
    <t>04上限式適否28</t>
    <phoneticPr fontId="3"/>
  </si>
  <si>
    <t>04上限式適否29</t>
    <phoneticPr fontId="3"/>
  </si>
  <si>
    <t>04上限式適否30</t>
    <phoneticPr fontId="3"/>
  </si>
  <si>
    <t>04上限式適否31</t>
    <phoneticPr fontId="3"/>
  </si>
  <si>
    <t>04上限式適否32</t>
    <phoneticPr fontId="3"/>
  </si>
  <si>
    <t>04上限式適否33</t>
    <phoneticPr fontId="3"/>
  </si>
  <si>
    <t>04上限式適否34</t>
    <phoneticPr fontId="3"/>
  </si>
  <si>
    <t>１　介護予防・日常生活支援総合事業</t>
    <rPh sb="2" eb="4">
      <t>カイゴ</t>
    </rPh>
    <rPh sb="4" eb="6">
      <t>ヨボウ</t>
    </rPh>
    <rPh sb="7" eb="9">
      <t>ニチジョウ</t>
    </rPh>
    <rPh sb="9" eb="11">
      <t>セイカツ</t>
    </rPh>
    <rPh sb="11" eb="13">
      <t>シエン</t>
    </rPh>
    <rPh sb="13" eb="15">
      <t>ソウゴウ</t>
    </rPh>
    <rPh sb="15" eb="17">
      <t>ジギョウ</t>
    </rPh>
    <phoneticPr fontId="43"/>
  </si>
  <si>
    <t>２　包括的支援事業（地域包括支援センターの運営）及び任意事業</t>
    <rPh sb="2" eb="5">
      <t>ホウカツテキ</t>
    </rPh>
    <rPh sb="5" eb="7">
      <t>シエン</t>
    </rPh>
    <rPh sb="7" eb="9">
      <t>ジギョウ</t>
    </rPh>
    <rPh sb="10" eb="12">
      <t>チイキ</t>
    </rPh>
    <rPh sb="12" eb="14">
      <t>ホウカツ</t>
    </rPh>
    <rPh sb="14" eb="16">
      <t>シエン</t>
    </rPh>
    <rPh sb="21" eb="23">
      <t>ウンエイ</t>
    </rPh>
    <rPh sb="24" eb="25">
      <t>オヨ</t>
    </rPh>
    <rPh sb="26" eb="28">
      <t>ニンイ</t>
    </rPh>
    <rPh sb="28" eb="30">
      <t>ジギョウ</t>
    </rPh>
    <phoneticPr fontId="43"/>
  </si>
  <si>
    <t>①基本の上限額</t>
  </si>
  <si>
    <t>○</t>
  </si>
  <si>
    <t>②未実施</t>
  </si>
  <si>
    <t>①原則の上限額</t>
  </si>
  <si>
    <t>金額が一致しません</t>
  </si>
  <si>
    <t>初期設定シートと一致しません</t>
  </si>
  <si>
    <t>OK</t>
  </si>
  <si>
    <t>要</t>
  </si>
  <si>
    <t>×</t>
  </si>
  <si>
    <t>不要</t>
  </si>
  <si>
    <t xml:space="preserve">  </t>
  </si>
  <si>
    <t>●</t>
  </si>
  <si>
    <t xml:space="preserve"> </t>
  </si>
  <si>
    <t>実施予定あり</t>
  </si>
  <si>
    <t>実施予定なし</t>
  </si>
  <si>
    <t>加算予定なし</t>
  </si>
  <si>
    <t>個別協議不要</t>
  </si>
  <si>
    <t>非該当</t>
  </si>
  <si>
    <t>日常生活圏域が１つ</t>
  </si>
  <si>
    <t>無</t>
  </si>
  <si>
    <t>令和7年度よりｹｱﾌﾟﾗﾝ点検業務を国保連合会に委託する。厚生労働省が開発した点検ﾂｰﾙを使用し介護支援専門員が点検を行うことで、従来の町職員の点検と比較して専門性が向上する。</t>
  </si>
  <si>
    <t>町内全居宅事業所からｹｱﾌﾟﾗﾝの提出を求め点検を行い、うち２事業所で実地指導を行う。
委託事業は初年度であるが、点検したケアプランの5%程度で指摘事項があることを目標とする。</t>
  </si>
  <si>
    <t>要介護3以上の認定を受け、民生委員若しくは担当ケアマネージャーが常時おむつの使用が必要と認めた高齢者（認定調査で排尿、排便でに介助、見守りがある）を介護する場合、その家族の負担軽減のため、紙おむつや清拭剤等の介護用品と引き換えることができる給付券を介護者に交付する。
【課税対象者及び新規申込者を交付金の対象者に含めない】</t>
  </si>
  <si>
    <t>給付券（月額3,500円）により介護者の経済的な負担軽減による在宅介護の継続を図る。施設介護ではなく在宅介護を継続するため、交付金対象外者を含めた利用者数は前年実績程度を維持したい。</t>
  </si>
  <si>
    <t>成年後見制度の普及啓発を行うため、令和5年度に権利擁護センターを設置し、業務を社会福祉協議会に委託している。委託料を障害者分（一般会計）と高齢者（介護分）を対象者数で按分する。</t>
  </si>
  <si>
    <t>令和6年度実績が１件で、令和7年度も昨年度からの継続事案が１件あるなど、事業委託の効果が表れており、更なる理解促進と権利擁護思想の普及を図る。広報啓発活動の充実により、要介護者分の申立て件数2件の実績を目標としたい</t>
  </si>
  <si>
    <t>縮小</t>
  </si>
  <si>
    <t>令和6年10月1日以降の新規申込者は、別事業（一般会計負担）に移行した。</t>
  </si>
  <si>
    <t>新規申込者は別事業（一般会計負担）から支出する。</t>
  </si>
  <si>
    <t>新規申込者は別事業（一般会計負担）から支出し、令和9年度の全面移行に備える。</t>
  </si>
  <si>
    <t>7小健第３７２２号</t>
  </si>
  <si>
    <t>小野町長　　村上　昭正</t>
  </si>
  <si>
    <t>令和８年３月５日東北厚発0305第21号</t>
  </si>
  <si>
    <t>令和６年度地域支援事業交付金所精算書</t>
    <rPh sb="0" eb="2">
      <t>レイワ</t>
    </rPh>
    <rPh sb="3" eb="5">
      <t>ネンド</t>
    </rPh>
    <rPh sb="5" eb="7">
      <t>チイキ</t>
    </rPh>
    <rPh sb="7" eb="9">
      <t>シエン</t>
    </rPh>
    <rPh sb="9" eb="11">
      <t>ジギョウ</t>
    </rPh>
    <rPh sb="11" eb="14">
      <t>コウフキン</t>
    </rPh>
    <rPh sb="14" eb="15">
      <t>ジョ</t>
    </rPh>
    <rPh sb="15" eb="18">
      <t>セイサンショ</t>
    </rPh>
    <phoneticPr fontId="6"/>
  </si>
  <si>
    <t>令和５年度地域支援事業交付金精算書</t>
    <rPh sb="5" eb="7">
      <t>チイキ</t>
    </rPh>
    <rPh sb="7" eb="9">
      <t>シエン</t>
    </rPh>
    <rPh sb="9" eb="11">
      <t>ジギョウ</t>
    </rPh>
    <rPh sb="11" eb="14">
      <t>コウフキン</t>
    </rPh>
    <rPh sb="14" eb="17">
      <t>セイサンショ</t>
    </rPh>
    <phoneticPr fontId="6"/>
  </si>
  <si>
    <t>対象経費
実支出額</t>
    <rPh sb="0" eb="2">
      <t>タイショウ</t>
    </rPh>
    <rPh sb="2" eb="4">
      <t>ケイヒ</t>
    </rPh>
    <rPh sb="5" eb="8">
      <t>ジツシシュツ</t>
    </rPh>
    <rPh sb="8" eb="9">
      <t>ガク</t>
    </rPh>
    <phoneticPr fontId="6"/>
  </si>
  <si>
    <t>訪問型サービス（第１号訪問事業）</t>
    <rPh sb="0" eb="2">
      <t>ホウモン</t>
    </rPh>
    <rPh sb="2" eb="3">
      <t>ガタ</t>
    </rPh>
    <rPh sb="8" eb="9">
      <t>ダイ</t>
    </rPh>
    <rPh sb="10" eb="11">
      <t>ゴウ</t>
    </rPh>
    <rPh sb="11" eb="13">
      <t>ホウモン</t>
    </rPh>
    <rPh sb="13" eb="15">
      <t>ジギョウ</t>
    </rPh>
    <phoneticPr fontId="6"/>
  </si>
  <si>
    <t>ア</t>
    <phoneticPr fontId="43"/>
  </si>
  <si>
    <t>訪問介護相当サービス</t>
    <rPh sb="4" eb="6">
      <t>ソウトウ</t>
    </rPh>
    <phoneticPr fontId="6"/>
  </si>
  <si>
    <t>イ</t>
    <phoneticPr fontId="43"/>
  </si>
  <si>
    <t>訪問型サービスＡ（緩和した基準によるサービス）</t>
    <phoneticPr fontId="6"/>
  </si>
  <si>
    <t>ウ</t>
    <phoneticPr fontId="43"/>
  </si>
  <si>
    <t>訪問型サービスＢ（住民主体による支援）</t>
    <rPh sb="9" eb="11">
      <t>ジュウミン</t>
    </rPh>
    <rPh sb="11" eb="13">
      <t>シュタイ</t>
    </rPh>
    <rPh sb="16" eb="18">
      <t>シエン</t>
    </rPh>
    <phoneticPr fontId="6"/>
  </si>
  <si>
    <t>エ</t>
    <phoneticPr fontId="43"/>
  </si>
  <si>
    <t>訪問型サービスＣ（短期集中予防サービス）</t>
    <rPh sb="9" eb="11">
      <t>タンキ</t>
    </rPh>
    <rPh sb="11" eb="13">
      <t>シュウチュウ</t>
    </rPh>
    <rPh sb="13" eb="15">
      <t>ヨボウ</t>
    </rPh>
    <phoneticPr fontId="6"/>
  </si>
  <si>
    <t>オ</t>
    <phoneticPr fontId="43"/>
  </si>
  <si>
    <t>訪問型サービスＤ（移動支援）</t>
    <rPh sb="9" eb="11">
      <t>イドウ</t>
    </rPh>
    <rPh sb="11" eb="13">
      <t>シエン</t>
    </rPh>
    <phoneticPr fontId="6"/>
  </si>
  <si>
    <t>カ</t>
    <phoneticPr fontId="43"/>
  </si>
  <si>
    <t>その他</t>
    <rPh sb="2" eb="3">
      <t>ホカ</t>
    </rPh>
    <phoneticPr fontId="6"/>
  </si>
  <si>
    <t>（２）</t>
    <phoneticPr fontId="6"/>
  </si>
  <si>
    <t>通所型サービス（第１号通所事業）</t>
    <rPh sb="0" eb="2">
      <t>ツウショ</t>
    </rPh>
    <rPh sb="2" eb="3">
      <t>ガタ</t>
    </rPh>
    <rPh sb="8" eb="9">
      <t>ダイ</t>
    </rPh>
    <rPh sb="10" eb="11">
      <t>ゴウ</t>
    </rPh>
    <rPh sb="11" eb="13">
      <t>ツウショ</t>
    </rPh>
    <rPh sb="13" eb="15">
      <t>ジギョウ</t>
    </rPh>
    <phoneticPr fontId="6"/>
  </si>
  <si>
    <t>通所介護相当サービス</t>
    <rPh sb="0" eb="2">
      <t>ツウショ</t>
    </rPh>
    <rPh sb="2" eb="4">
      <t>カイゴ</t>
    </rPh>
    <phoneticPr fontId="6"/>
  </si>
  <si>
    <t>通所型サービスＡ（緩和した基準によるサービス）</t>
    <rPh sb="0" eb="2">
      <t>ツウショ</t>
    </rPh>
    <phoneticPr fontId="6"/>
  </si>
  <si>
    <t>通所型サービスＢ（住民主体による支援）</t>
    <rPh sb="0" eb="2">
      <t>ツウショ</t>
    </rPh>
    <rPh sb="9" eb="11">
      <t>ジュウミン</t>
    </rPh>
    <rPh sb="11" eb="13">
      <t>シュタイ</t>
    </rPh>
    <rPh sb="16" eb="18">
      <t>シエン</t>
    </rPh>
    <phoneticPr fontId="6"/>
  </si>
  <si>
    <t>通所型サービスＣ（短期集中予防サービス）</t>
    <rPh sb="0" eb="2">
      <t>ツウショ</t>
    </rPh>
    <rPh sb="9" eb="11">
      <t>タンキ</t>
    </rPh>
    <rPh sb="11" eb="13">
      <t>シュウチュウ</t>
    </rPh>
    <rPh sb="13" eb="15">
      <t>ヨボウ</t>
    </rPh>
    <phoneticPr fontId="6"/>
  </si>
  <si>
    <t>その他生活支援サービス（第１号生活支援事業）</t>
    <rPh sb="2" eb="3">
      <t>タ</t>
    </rPh>
    <rPh sb="3" eb="5">
      <t>セイカツ</t>
    </rPh>
    <rPh sb="5" eb="7">
      <t>シエン</t>
    </rPh>
    <rPh sb="12" eb="13">
      <t>ダイ</t>
    </rPh>
    <rPh sb="14" eb="15">
      <t>ゴウ</t>
    </rPh>
    <rPh sb="15" eb="17">
      <t>セイカツ</t>
    </rPh>
    <rPh sb="17" eb="19">
      <t>シエン</t>
    </rPh>
    <rPh sb="19" eb="21">
      <t>ジギョウ</t>
    </rPh>
    <phoneticPr fontId="6"/>
  </si>
  <si>
    <t>栄養改善を目的とした配食</t>
    <rPh sb="0" eb="2">
      <t>エイヨウ</t>
    </rPh>
    <rPh sb="2" eb="4">
      <t>カイゼン</t>
    </rPh>
    <rPh sb="5" eb="7">
      <t>モクテキ</t>
    </rPh>
    <rPh sb="10" eb="12">
      <t>ハイショク</t>
    </rPh>
    <phoneticPr fontId="6"/>
  </si>
  <si>
    <t>定期的な安否確認及び緊急時の対応</t>
    <rPh sb="0" eb="3">
      <t>テイキテキ</t>
    </rPh>
    <rPh sb="4" eb="6">
      <t>アンピ</t>
    </rPh>
    <rPh sb="6" eb="8">
      <t>カクニン</t>
    </rPh>
    <rPh sb="8" eb="9">
      <t>オヨ</t>
    </rPh>
    <rPh sb="10" eb="13">
      <t>キンキュウジ</t>
    </rPh>
    <rPh sb="14" eb="16">
      <t>タイオウ</t>
    </rPh>
    <phoneticPr fontId="6"/>
  </si>
  <si>
    <t>訪問型サービス・通所型サービスの一体的提供等</t>
    <rPh sb="0" eb="2">
      <t>ホウモン</t>
    </rPh>
    <rPh sb="2" eb="3">
      <t>ガタ</t>
    </rPh>
    <rPh sb="8" eb="10">
      <t>ツウショ</t>
    </rPh>
    <rPh sb="10" eb="11">
      <t>ガタ</t>
    </rPh>
    <rPh sb="16" eb="19">
      <t>イッタイテキ</t>
    </rPh>
    <rPh sb="19" eb="21">
      <t>テイキョウ</t>
    </rPh>
    <rPh sb="21" eb="22">
      <t>ナド</t>
    </rPh>
    <phoneticPr fontId="6"/>
  </si>
  <si>
    <t>（４）</t>
    <phoneticPr fontId="6"/>
  </si>
  <si>
    <t>介護予防ケアマネジメント（第１号介護予防支援事業）</t>
    <rPh sb="0" eb="2">
      <t>カイゴ</t>
    </rPh>
    <rPh sb="2" eb="4">
      <t>ヨボウ</t>
    </rPh>
    <rPh sb="13" eb="14">
      <t>ダイ</t>
    </rPh>
    <rPh sb="15" eb="16">
      <t>ゴウ</t>
    </rPh>
    <rPh sb="16" eb="18">
      <t>カイゴ</t>
    </rPh>
    <rPh sb="18" eb="20">
      <t>ヨボウ</t>
    </rPh>
    <rPh sb="20" eb="22">
      <t>シエン</t>
    </rPh>
    <rPh sb="22" eb="24">
      <t>ジギョウ</t>
    </rPh>
    <phoneticPr fontId="6"/>
  </si>
  <si>
    <t>（５）審査支払手数料</t>
    <rPh sb="3" eb="5">
      <t>シンサ</t>
    </rPh>
    <rPh sb="5" eb="7">
      <t>シハラ</t>
    </rPh>
    <rPh sb="7" eb="10">
      <t>テスウリョウ</t>
    </rPh>
    <phoneticPr fontId="43"/>
  </si>
  <si>
    <t>（６）高額介護予防サービス費相当事業等</t>
    <rPh sb="3" eb="5">
      <t>コウガク</t>
    </rPh>
    <rPh sb="5" eb="7">
      <t>カイゴ</t>
    </rPh>
    <rPh sb="7" eb="9">
      <t>ヨボウ</t>
    </rPh>
    <rPh sb="13" eb="14">
      <t>ヒ</t>
    </rPh>
    <rPh sb="14" eb="16">
      <t>ソウトウ</t>
    </rPh>
    <rPh sb="16" eb="18">
      <t>ジギョウ</t>
    </rPh>
    <rPh sb="18" eb="19">
      <t>トウ</t>
    </rPh>
    <phoneticPr fontId="43"/>
  </si>
  <si>
    <t>（７）</t>
    <phoneticPr fontId="6"/>
  </si>
  <si>
    <t>一般介護予防事業</t>
    <rPh sb="0" eb="2">
      <t>イッパン</t>
    </rPh>
    <rPh sb="2" eb="4">
      <t>カイゴ</t>
    </rPh>
    <rPh sb="4" eb="6">
      <t>ヨボウ</t>
    </rPh>
    <rPh sb="6" eb="8">
      <t>ジギョウ</t>
    </rPh>
    <phoneticPr fontId="6"/>
  </si>
  <si>
    <t>介護予防把握事業</t>
    <rPh sb="0" eb="2">
      <t>カイゴ</t>
    </rPh>
    <rPh sb="2" eb="4">
      <t>ヨボウ</t>
    </rPh>
    <rPh sb="4" eb="6">
      <t>ハアク</t>
    </rPh>
    <rPh sb="6" eb="8">
      <t>ジギョウ</t>
    </rPh>
    <phoneticPr fontId="6"/>
  </si>
  <si>
    <t>介護予防普及啓発事業</t>
    <rPh sb="0" eb="2">
      <t>カイゴ</t>
    </rPh>
    <rPh sb="2" eb="4">
      <t>ヨボウ</t>
    </rPh>
    <rPh sb="4" eb="6">
      <t>フキュウ</t>
    </rPh>
    <rPh sb="6" eb="8">
      <t>ケイハツ</t>
    </rPh>
    <rPh sb="8" eb="10">
      <t>ジギョウ</t>
    </rPh>
    <phoneticPr fontId="6"/>
  </si>
  <si>
    <t>地域介護予防活動支援事業</t>
    <rPh sb="0" eb="2">
      <t>チイキ</t>
    </rPh>
    <rPh sb="2" eb="4">
      <t>カイゴ</t>
    </rPh>
    <rPh sb="4" eb="6">
      <t>ヨボウ</t>
    </rPh>
    <rPh sb="6" eb="8">
      <t>カツドウ</t>
    </rPh>
    <rPh sb="8" eb="10">
      <t>シエン</t>
    </rPh>
    <rPh sb="10" eb="12">
      <t>ジギョウ</t>
    </rPh>
    <phoneticPr fontId="6"/>
  </si>
  <si>
    <t>地域リハビリテーション活動支援事業</t>
    <phoneticPr fontId="6"/>
  </si>
  <si>
    <t>（１）包括的支援事業（地域包括支援センターの運営）</t>
    <rPh sb="11" eb="13">
      <t>チイキ</t>
    </rPh>
    <rPh sb="13" eb="15">
      <t>ホウカツ</t>
    </rPh>
    <rPh sb="15" eb="17">
      <t>シエン</t>
    </rPh>
    <rPh sb="22" eb="24">
      <t>ウンエイ</t>
    </rPh>
    <phoneticPr fontId="6"/>
  </si>
  <si>
    <t>（２）任意事業</t>
    <phoneticPr fontId="6"/>
  </si>
  <si>
    <t>ア　介護給付等費用適正化事業</t>
    <phoneticPr fontId="6"/>
  </si>
  <si>
    <t>イ　家族介護支援事業</t>
    <rPh sb="2" eb="4">
      <t>カゾク</t>
    </rPh>
    <rPh sb="4" eb="6">
      <t>カイゴ</t>
    </rPh>
    <rPh sb="6" eb="8">
      <t>シエン</t>
    </rPh>
    <rPh sb="8" eb="10">
      <t>ジギョウ</t>
    </rPh>
    <phoneticPr fontId="43"/>
  </si>
  <si>
    <t>ウ　その他の事業</t>
    <rPh sb="4" eb="5">
      <t>タ</t>
    </rPh>
    <rPh sb="6" eb="8">
      <t>ジギョウ</t>
    </rPh>
    <phoneticPr fontId="43"/>
  </si>
  <si>
    <t>（ア）成年後見制度利用支援事業</t>
    <rPh sb="3" eb="5">
      <t>セイネン</t>
    </rPh>
    <rPh sb="5" eb="7">
      <t>コウケン</t>
    </rPh>
    <rPh sb="7" eb="9">
      <t>セイド</t>
    </rPh>
    <rPh sb="9" eb="11">
      <t>リヨウ</t>
    </rPh>
    <rPh sb="11" eb="13">
      <t>シエン</t>
    </rPh>
    <rPh sb="13" eb="15">
      <t>ジギョウ</t>
    </rPh>
    <phoneticPr fontId="43"/>
  </si>
  <si>
    <t>（イ）福祉用具・住宅改修支援事業</t>
    <rPh sb="3" eb="5">
      <t>フクシ</t>
    </rPh>
    <rPh sb="5" eb="7">
      <t>ヨウグ</t>
    </rPh>
    <rPh sb="8" eb="10">
      <t>ジュウタク</t>
    </rPh>
    <rPh sb="10" eb="12">
      <t>カイシュウ</t>
    </rPh>
    <rPh sb="12" eb="14">
      <t>シエン</t>
    </rPh>
    <rPh sb="14" eb="16">
      <t>ジギョウ</t>
    </rPh>
    <phoneticPr fontId="43"/>
  </si>
  <si>
    <t>（ウ）認知症対応型共同生活介護事業所の家賃等助成事業</t>
    <rPh sb="3" eb="5">
      <t>ニンチ</t>
    </rPh>
    <rPh sb="5" eb="6">
      <t>ショウ</t>
    </rPh>
    <rPh sb="6" eb="8">
      <t>タイオウ</t>
    </rPh>
    <rPh sb="8" eb="9">
      <t>ガタ</t>
    </rPh>
    <rPh sb="9" eb="11">
      <t>キョウドウ</t>
    </rPh>
    <rPh sb="11" eb="13">
      <t>セイカツ</t>
    </rPh>
    <rPh sb="13" eb="15">
      <t>カイゴ</t>
    </rPh>
    <rPh sb="15" eb="18">
      <t>ジギョウショ</t>
    </rPh>
    <rPh sb="19" eb="21">
      <t>ヤチン</t>
    </rPh>
    <rPh sb="21" eb="22">
      <t>ナド</t>
    </rPh>
    <rPh sb="22" eb="24">
      <t>ジョセイ</t>
    </rPh>
    <rPh sb="24" eb="26">
      <t>ジギョウ</t>
    </rPh>
    <phoneticPr fontId="43"/>
  </si>
  <si>
    <t>（エ）認知症サポーター等養成事業</t>
    <rPh sb="3" eb="6">
      <t>ニンチショウ</t>
    </rPh>
    <rPh sb="11" eb="12">
      <t>ナド</t>
    </rPh>
    <rPh sb="12" eb="14">
      <t>ヨウセイ</t>
    </rPh>
    <rPh sb="14" eb="16">
      <t>ジギョウ</t>
    </rPh>
    <phoneticPr fontId="43"/>
  </si>
  <si>
    <t>（オ）重度のＡＬＳ患者の入院におけるコミュニケーション支援事業</t>
    <rPh sb="3" eb="5">
      <t>ジュウド</t>
    </rPh>
    <rPh sb="9" eb="11">
      <t>カンジャ</t>
    </rPh>
    <rPh sb="12" eb="14">
      <t>ニュウイン</t>
    </rPh>
    <rPh sb="27" eb="29">
      <t>シエン</t>
    </rPh>
    <rPh sb="29" eb="31">
      <t>ジギョウ</t>
    </rPh>
    <phoneticPr fontId="43"/>
  </si>
  <si>
    <t>（カ）地域自立生活支援事業</t>
    <rPh sb="3" eb="5">
      <t>チイキ</t>
    </rPh>
    <rPh sb="5" eb="7">
      <t>ジリツ</t>
    </rPh>
    <rPh sb="7" eb="9">
      <t>セイカツ</t>
    </rPh>
    <rPh sb="9" eb="11">
      <t>シエン</t>
    </rPh>
    <rPh sb="11" eb="13">
      <t>ジギョウ</t>
    </rPh>
    <phoneticPr fontId="43"/>
  </si>
  <si>
    <t>３　小　　　計（１＋２）</t>
    <rPh sb="2" eb="3">
      <t>ショウ</t>
    </rPh>
    <rPh sb="6" eb="7">
      <t>ケイ</t>
    </rPh>
    <phoneticPr fontId="6"/>
  </si>
  <si>
    <t>（１）在宅医療・介護連携推進事業</t>
    <phoneticPr fontId="6"/>
  </si>
  <si>
    <t>（２）生活支援体制整備事業</t>
    <phoneticPr fontId="6"/>
  </si>
  <si>
    <t>ア　生活支援コーディネーター・協議体</t>
    <rPh sb="2" eb="4">
      <t>セイカツ</t>
    </rPh>
    <rPh sb="4" eb="6">
      <t>シエン</t>
    </rPh>
    <rPh sb="15" eb="18">
      <t>キョウギタイ</t>
    </rPh>
    <phoneticPr fontId="6"/>
  </si>
  <si>
    <t>イ　就労的活動支援コーディネーター</t>
    <rPh sb="2" eb="4">
      <t>シュウロウ</t>
    </rPh>
    <rPh sb="4" eb="5">
      <t>テキ</t>
    </rPh>
    <rPh sb="5" eb="7">
      <t>カツドウ</t>
    </rPh>
    <rPh sb="7" eb="9">
      <t>シエン</t>
    </rPh>
    <phoneticPr fontId="6"/>
  </si>
  <si>
    <t>（３）認知症初期集中支援推進事業</t>
    <phoneticPr fontId="6"/>
  </si>
  <si>
    <t>（４）認知症地域支援・ケア向上事業</t>
    <phoneticPr fontId="6"/>
  </si>
  <si>
    <t>（５）認知症サポーター活動促進・地域づくり推進事業</t>
    <rPh sb="11" eb="13">
      <t>カツドウ</t>
    </rPh>
    <rPh sb="13" eb="15">
      <t>ソクシン</t>
    </rPh>
    <rPh sb="16" eb="18">
      <t>チイキ</t>
    </rPh>
    <rPh sb="21" eb="23">
      <t>スイシン</t>
    </rPh>
    <phoneticPr fontId="6"/>
  </si>
  <si>
    <t>（６）地域ケア会議推進事業</t>
    <rPh sb="3" eb="5">
      <t>チイキ</t>
    </rPh>
    <rPh sb="7" eb="9">
      <t>カイギ</t>
    </rPh>
    <rPh sb="9" eb="11">
      <t>スイシン</t>
    </rPh>
    <rPh sb="11" eb="13">
      <t>ジギョウ</t>
    </rPh>
    <phoneticPr fontId="6"/>
  </si>
  <si>
    <t xml:space="preserve">５  合         計（３＋４）   </t>
    <rPh sb="3" eb="4">
      <t>ゴウ</t>
    </rPh>
    <rPh sb="13" eb="14">
      <t>ケイ</t>
    </rPh>
    <phoneticPr fontId="6"/>
  </si>
  <si>
    <t>１　Ａ欄のうち、地域包括支援センターの運営については、交付要綱４にいう総事業費（指定介護予防支援等の業務にかかる経費を含む。</t>
    <phoneticPr fontId="5"/>
  </si>
  <si>
    <t xml:space="preserve">  また、指定介護予防支援等の業務を指定居宅介護支援事業所へ委託を行っている場合における委託費を含む。）を記入すること。</t>
    <phoneticPr fontId="5"/>
  </si>
  <si>
    <t>２　Ｂ欄には、交付要綱４にいう寄付金その他の収入額（地域包括支援センターの運営については、指定介護予防支援等にかかる収入額）を記入すること。</t>
    <phoneticPr fontId="5"/>
  </si>
  <si>
    <t>３　Ｄ欄のうち、地域包括支援センターの運営については、指定介護予防支援等の業務にかかる経費（指定介護予防支援等の業務を指定居宅介護支援</t>
    <phoneticPr fontId="5"/>
  </si>
  <si>
    <t>　事業所へ委託を行っている場合における委託費を含む。）を含む地域包括支援センターの総経費から、指定介護予防支援等にかかる収入額を</t>
    <phoneticPr fontId="5"/>
  </si>
  <si>
    <t>　控除した後の経費における対象経費の実支出（予定）額を記入すること。</t>
    <phoneticPr fontId="5"/>
  </si>
  <si>
    <t>４　Ｅ欄には、交付要綱４に定める基準額を記入すること。</t>
    <phoneticPr fontId="5"/>
  </si>
  <si>
    <t>５　Ｆ欄には、Ｃ欄、Ｄ欄及びＥ欄を比較して最も少ない額から、重層的支援体制整備事業に要する費用相当額を控除した額を記入すること。</t>
    <rPh sb="30" eb="41">
      <t>ジュウソウテキシエンタイセイセイビジギョウ</t>
    </rPh>
    <rPh sb="42" eb="43">
      <t>ヨウ</t>
    </rPh>
    <rPh sb="45" eb="47">
      <t>ヒヨウ</t>
    </rPh>
    <rPh sb="47" eb="50">
      <t>ソウトウガク</t>
    </rPh>
    <rPh sb="51" eb="53">
      <t>コウジョ</t>
    </rPh>
    <rPh sb="55" eb="56">
      <t>ガク</t>
    </rPh>
    <phoneticPr fontId="5"/>
  </si>
  <si>
    <t>６　Ｇ欄には、Ｆ欄の額に交付要綱４の第４欄に定める交付率を乗じて得た額（１円未満の端数が生じた場合には、これを切り捨てること。）を記入すること。</t>
    <phoneticPr fontId="5"/>
  </si>
  <si>
    <t>７　H欄及びI欄には、重層的支援体制整備事業に要する費用相当額を含めない。</t>
    <phoneticPr fontId="5"/>
  </si>
  <si>
    <t>③　生活支援体制整備事業費相当額</t>
    <rPh sb="2" eb="4">
      <t>セイカツ</t>
    </rPh>
    <rPh sb="4" eb="6">
      <t>シエン</t>
    </rPh>
    <rPh sb="6" eb="8">
      <t>タイセイ</t>
    </rPh>
    <rPh sb="8" eb="10">
      <t>セイビ</t>
    </rPh>
    <rPh sb="9" eb="10">
      <t>ビ</t>
    </rPh>
    <rPh sb="10" eb="12">
      <t>ジギョウ</t>
    </rPh>
    <rPh sb="12" eb="13">
      <t>ヒ</t>
    </rPh>
    <rPh sb="13" eb="16">
      <t>ソウトウガク</t>
    </rPh>
    <phoneticPr fontId="5"/>
  </si>
  <si>
    <t>　　ア　生活支援コーディネーター・協議体</t>
    <rPh sb="4" eb="6">
      <t>セイカツ</t>
    </rPh>
    <rPh sb="6" eb="8">
      <t>シエン</t>
    </rPh>
    <rPh sb="17" eb="20">
      <t>キョウギタイ</t>
    </rPh>
    <phoneticPr fontId="5"/>
  </si>
  <si>
    <t>　　イ　就労的活動支援コーディネーター</t>
    <rPh sb="4" eb="6">
      <t>シュウロウ</t>
    </rPh>
    <rPh sb="6" eb="7">
      <t>テキ</t>
    </rPh>
    <rPh sb="7" eb="9">
      <t>カツドウ</t>
    </rPh>
    <rPh sb="9" eb="11">
      <t>シエン</t>
    </rPh>
    <phoneticPr fontId="5"/>
  </si>
  <si>
    <t>令和４年度地域支援事業交付金精算書</t>
    <rPh sb="0" eb="2">
      <t>レイワ</t>
    </rPh>
    <rPh sb="3" eb="5">
      <t>ネンド</t>
    </rPh>
    <rPh sb="5" eb="7">
      <t>チイキ</t>
    </rPh>
    <rPh sb="7" eb="9">
      <t>シエン</t>
    </rPh>
    <rPh sb="9" eb="11">
      <t>ジギョウ</t>
    </rPh>
    <rPh sb="11" eb="14">
      <t>コウフキン</t>
    </rPh>
    <rPh sb="14" eb="17">
      <t>セイサンショ</t>
    </rPh>
    <phoneticPr fontId="6"/>
  </si>
  <si>
    <t>令和３年度地域支援事業交付金精算書</t>
    <rPh sb="0" eb="2">
      <t>レイワ</t>
    </rPh>
    <rPh sb="3" eb="5">
      <t>ネンド</t>
    </rPh>
    <rPh sb="5" eb="7">
      <t>チイキ</t>
    </rPh>
    <rPh sb="7" eb="9">
      <t>シエン</t>
    </rPh>
    <rPh sb="9" eb="11">
      <t>ジギョウ</t>
    </rPh>
    <rPh sb="11" eb="14">
      <t>コウフキン</t>
    </rPh>
    <rPh sb="14" eb="17">
      <t>セイサンショ</t>
    </rPh>
    <phoneticPr fontId="6"/>
  </si>
  <si>
    <t>別紙様式第４様式１</t>
    <phoneticPr fontId="5"/>
  </si>
  <si>
    <t>令和２年度地域支援事業交付金精算書</t>
    <rPh sb="0" eb="2">
      <t>レイワ</t>
    </rPh>
    <rPh sb="3" eb="5">
      <t>ネンド</t>
    </rPh>
    <rPh sb="4" eb="5">
      <t>ガンネン</t>
    </rPh>
    <phoneticPr fontId="5"/>
  </si>
  <si>
    <t>区　　　　　　　　分</t>
  </si>
  <si>
    <t>総事業費</t>
  </si>
  <si>
    <t>寄付金その他
の収入額</t>
  </si>
  <si>
    <t>差引額</t>
  </si>
  <si>
    <t>対象経費
実支出額</t>
  </si>
  <si>
    <t>交付金所要額</t>
  </si>
  <si>
    <t>交付金
交付決定額</t>
  </si>
  <si>
    <t>交付金
受入済額</t>
  </si>
  <si>
    <t>差引過不足額
Ｉ－Ｇ</t>
  </si>
  <si>
    <t>備　　　考</t>
    <phoneticPr fontId="5"/>
  </si>
  <si>
    <t>事業を実施しているか</t>
    <rPh sb="0" eb="2">
      <t>ジギョウ</t>
    </rPh>
    <rPh sb="3" eb="5">
      <t>ジッシ</t>
    </rPh>
    <phoneticPr fontId="6"/>
  </si>
  <si>
    <t>Ａ</t>
  </si>
  <si>
    <t>B</t>
  </si>
  <si>
    <t>Ｃ（Ａ－Ｂ）</t>
  </si>
  <si>
    <t>D</t>
  </si>
  <si>
    <t>Ｅ</t>
  </si>
  <si>
    <t>Ｆ</t>
  </si>
  <si>
    <t>Ｇ</t>
  </si>
  <si>
    <t>Ｈ</t>
  </si>
  <si>
    <t>Ｉ</t>
  </si>
  <si>
    <t>超過額　　　　Ｊ</t>
  </si>
  <si>
    <t>不足額　　　　Ｋ</t>
  </si>
  <si>
    <t>円</t>
  </si>
  <si>
    <t>訪問型サービス（第１号訪問事業）</t>
  </si>
  <si>
    <t>訪問介護相当サービス</t>
  </si>
  <si>
    <t>訪問型サービスＡ（緩和した基準によるサービス）</t>
  </si>
  <si>
    <t>訪問型サービスＢ（住民主体による支援）</t>
  </si>
  <si>
    <t>訪問型サービスＣ（短期集中予防サービス）</t>
  </si>
  <si>
    <t>訪問型サービスＤ（移動支援）</t>
  </si>
  <si>
    <t>カ</t>
  </si>
  <si>
    <t>その他</t>
  </si>
  <si>
    <t>通所型サービス（第１号通所事業）</t>
  </si>
  <si>
    <t>通所介護相当サービス</t>
  </si>
  <si>
    <t>通所型サービスＡ（緩和した基準によるサービス）</t>
  </si>
  <si>
    <t>通所型サービスＢ（住民主体による支援）</t>
  </si>
  <si>
    <t>通所型サービスＣ（短期集中予防サービス）</t>
  </si>
  <si>
    <t>その他生活支援サービス（第１号生活支援事業）</t>
  </si>
  <si>
    <t>栄養改善を目的とした配食</t>
  </si>
  <si>
    <t>定期的な安否確認及び緊急時の対応</t>
  </si>
  <si>
    <t>訪問型サービス・通所型サービスの一体的提供等</t>
  </si>
  <si>
    <t>介護予防ケアマネジメント（第１号介護予防支援事業）</t>
  </si>
  <si>
    <t>（５）審査支払手数料</t>
  </si>
  <si>
    <t>（６）高額介護予防サービス費相当事業等</t>
  </si>
  <si>
    <t>介護予防把握事業</t>
  </si>
  <si>
    <t>介護予防普及啓発事業</t>
  </si>
  <si>
    <t>地域介護予防活動支援事業</t>
  </si>
  <si>
    <t>２　包括的支援事業（地域包括支援センターの運営）及び任意事業</t>
  </si>
  <si>
    <t>（１）包括的支援事業（地域包括支援センターの運営）</t>
  </si>
  <si>
    <t>（２）任意事業</t>
  </si>
  <si>
    <t>ア　介護給付等費用適正化事業</t>
  </si>
  <si>
    <t>イ　家族介護支援事業</t>
  </si>
  <si>
    <t>ウ　その他の事業</t>
  </si>
  <si>
    <t>（ア）成年後見制度利用支援事業</t>
  </si>
  <si>
    <t>（イ）福祉用具・住宅改修支援事業</t>
  </si>
  <si>
    <t>（ウ）認知症対応型共同生活介護事業所の家賃等助成事業</t>
  </si>
  <si>
    <t>（エ）認知症サポーター等養成事業</t>
  </si>
  <si>
    <t>（オ）重度のＡＬＳ患者の入院におけるコミュニケーション支援事業</t>
  </si>
  <si>
    <t>（カ）地域自立生活支援事業</t>
  </si>
  <si>
    <t>３　小　　　計（１＋２）</t>
  </si>
  <si>
    <t>４　包括的支援事業（社会保障充実分）</t>
  </si>
  <si>
    <t>（１）在宅医療・介護連携推進事業</t>
  </si>
  <si>
    <t>（２）生活支援体制整備事業</t>
  </si>
  <si>
    <t>（３）認知症初期集中支援推進事業</t>
  </si>
  <si>
    <t>（４）認知症地域支援・ケア向上事業</t>
  </si>
  <si>
    <t>（５）認知症サポーター活動促進・地域づくり推進事業</t>
    <phoneticPr fontId="5"/>
  </si>
  <si>
    <t>（６）地域ケア会議推進事業</t>
    <phoneticPr fontId="5"/>
  </si>
  <si>
    <t xml:space="preserve">５  合         計（３＋４）   </t>
  </si>
  <si>
    <t>３　Ｄ欄のうち、地域包括支援センターの運営については、指定介護予防支援等の業務にかかる経費（指定介護予防支援等の業務を指定居宅介護支援事業所</t>
    <phoneticPr fontId="5"/>
  </si>
  <si>
    <t>②　包括的支援事業（地域包括支援センターの運営）</t>
    <rPh sb="2" eb="4">
      <t>ホウカツ</t>
    </rPh>
    <rPh sb="4" eb="5">
      <t>テキ</t>
    </rPh>
    <rPh sb="5" eb="7">
      <t>シエン</t>
    </rPh>
    <rPh sb="7" eb="9">
      <t>ジギョウ</t>
    </rPh>
    <rPh sb="10" eb="12">
      <t>チイキ</t>
    </rPh>
    <rPh sb="12" eb="14">
      <t>ホウカツ</t>
    </rPh>
    <rPh sb="14" eb="16">
      <t>シエン</t>
    </rPh>
    <rPh sb="21" eb="23">
      <t>ウンエイ</t>
    </rPh>
    <phoneticPr fontId="5"/>
  </si>
  <si>
    <t>　へ委託を行っている場合における委託費を含む。）を含む地域包括支援センターの総経費から、指定介護予防支援等にかかる収入額を控除した後の経費における</t>
    <phoneticPr fontId="5"/>
  </si>
  <si>
    <t>①原則の上限式</t>
  </si>
  <si>
    <t>　対象経費の実支出（予定）額を記入すること。</t>
    <phoneticPr fontId="5"/>
  </si>
  <si>
    <t>小野町</t>
    <rPh sb="0" eb="3">
      <t>オノマチ</t>
    </rPh>
    <phoneticPr fontId="5"/>
  </si>
  <si>
    <t>５　Ｆ欄には、Ｃ欄、Ｄ欄及びＥ欄を比較して最も少ない額を記入すること。</t>
    <phoneticPr fontId="5"/>
  </si>
  <si>
    <t>令和元年度地域支援事業交付金精算書</t>
    <rPh sb="0" eb="2">
      <t>レイワ</t>
    </rPh>
    <rPh sb="2" eb="3">
      <t>ゲン</t>
    </rPh>
    <rPh sb="3" eb="5">
      <t>ネンド</t>
    </rPh>
    <rPh sb="4" eb="5">
      <t>ガンネン</t>
    </rPh>
    <phoneticPr fontId="5"/>
  </si>
  <si>
    <t>（５）地域ケア会議推進事業</t>
  </si>
  <si>
    <t>１　Ａ欄のうち、地域包括支援センターの運営については、交付要綱４にいう総事業費（指定介護予防支援等の業務にかかる経費を含む。また、指定介護予防支援等の業務を</t>
    <rPh sb="65" eb="67">
      <t>シテイ</t>
    </rPh>
    <phoneticPr fontId="5"/>
  </si>
  <si>
    <t xml:space="preserve">  指定居宅介護支援事業所へ委託を行っている場合における委託費を含む。）を記入すること。</t>
    <phoneticPr fontId="5"/>
  </si>
  <si>
    <t>①総合事業の個別協議の有無</t>
    <rPh sb="1" eb="3">
      <t>ソウゴウ</t>
    </rPh>
    <rPh sb="3" eb="5">
      <t>ジギョウ</t>
    </rPh>
    <rPh sb="6" eb="8">
      <t>コベツ</t>
    </rPh>
    <rPh sb="8" eb="10">
      <t>キョウギ</t>
    </rPh>
    <rPh sb="11" eb="13">
      <t>ウム</t>
    </rPh>
    <phoneticPr fontId="5"/>
  </si>
  <si>
    <t>３　Ｄ欄のうち、地域包括支援センターの運営については、指定介護予防支援等の業務にかかる経費（指定介護予防支援等の業務を指定居宅介護支援事業所へ委託を行って</t>
    <phoneticPr fontId="5"/>
  </si>
  <si>
    <t>②包括的支援事業（地域包括支援センターの運営）の個別協議の有無</t>
    <rPh sb="1" eb="4">
      <t>ホウカツテキ</t>
    </rPh>
    <rPh sb="4" eb="6">
      <t>シエン</t>
    </rPh>
    <rPh sb="6" eb="8">
      <t>ジギョウ</t>
    </rPh>
    <rPh sb="9" eb="11">
      <t>チイキ</t>
    </rPh>
    <rPh sb="11" eb="13">
      <t>ホウカツ</t>
    </rPh>
    <rPh sb="13" eb="15">
      <t>シエン</t>
    </rPh>
    <rPh sb="20" eb="22">
      <t>ウンエイ</t>
    </rPh>
    <rPh sb="24" eb="26">
      <t>コベツ</t>
    </rPh>
    <rPh sb="26" eb="28">
      <t>キョウギ</t>
    </rPh>
    <rPh sb="29" eb="31">
      <t>ウム</t>
    </rPh>
    <phoneticPr fontId="5"/>
  </si>
  <si>
    <t>　いる場合における委託費を含む。）を含む地域包括支援センターの総経費から、指定介護予防支援等にかかる収入額を控除した後の経費における対象経費の実支出（予定）</t>
    <phoneticPr fontId="5"/>
  </si>
  <si>
    <t>　額を記入すること。</t>
    <phoneticPr fontId="5"/>
  </si>
  <si>
    <t>③包括的支援事業（社会保障充実分）の個別協議の有無</t>
    <rPh sb="1" eb="3">
      <t>ホウカツ</t>
    </rPh>
    <rPh sb="3" eb="4">
      <t>テキ</t>
    </rPh>
    <rPh sb="4" eb="6">
      <t>シエン</t>
    </rPh>
    <rPh sb="6" eb="8">
      <t>ジギョウ</t>
    </rPh>
    <rPh sb="9" eb="11">
      <t>シャカイ</t>
    </rPh>
    <rPh sb="11" eb="13">
      <t>ホショウ</t>
    </rPh>
    <rPh sb="13" eb="15">
      <t>ジュウジツ</t>
    </rPh>
    <rPh sb="15" eb="16">
      <t>ブン</t>
    </rPh>
    <rPh sb="18" eb="20">
      <t>コベツ</t>
    </rPh>
    <rPh sb="20" eb="22">
      <t>キョウギ</t>
    </rPh>
    <rPh sb="23" eb="25">
      <t>ウム</t>
    </rPh>
    <phoneticPr fontId="5"/>
  </si>
  <si>
    <t>小野町</t>
    <rPh sb="0" eb="2">
      <t>オノ</t>
    </rPh>
    <rPh sb="2" eb="3">
      <t>マチ</t>
    </rPh>
    <phoneticPr fontId="5"/>
  </si>
  <si>
    <t>④調整基準標準事業費額</t>
    <rPh sb="1" eb="3">
      <t>チョウセイ</t>
    </rPh>
    <rPh sb="3" eb="5">
      <t>キジュン</t>
    </rPh>
    <rPh sb="5" eb="7">
      <t>ヒョウジュン</t>
    </rPh>
    <rPh sb="7" eb="10">
      <t>ジギョウヒ</t>
    </rPh>
    <rPh sb="10" eb="11">
      <t>ガク</t>
    </rPh>
    <phoneticPr fontId="5"/>
  </si>
  <si>
    <t>⑤総合事業調整交付金所要額</t>
    <rPh sb="1" eb="3">
      <t>ソウゴウ</t>
    </rPh>
    <rPh sb="3" eb="5">
      <t>ジギョウ</t>
    </rPh>
    <rPh sb="5" eb="7">
      <t>チョウセイ</t>
    </rPh>
    <rPh sb="7" eb="10">
      <t>コウフキン</t>
    </rPh>
    <rPh sb="10" eb="13">
      <t>ショヨウガク</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</si>
</sst>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411]ggge&quot;年&quot;m&quot;月&quot;d&quot;日&quot;;@"/>
    <numFmt numFmtId="177" formatCode="[$-411]ggge&quot;年度&quot;;@"/>
    <numFmt numFmtId="178" formatCode="_ * #,##0_ &quot;円&quot;;_ * \-#,##0_ &quot;円&quot;;_ * &quot;-&quot;_ ;_ @_ "/>
    <numFmt numFmtId="179" formatCode="#,##0_ "/>
    <numFmt numFmtId="180" formatCode="#,##0;&quot;▲ &quot;#,##0"/>
    <numFmt numFmtId="181" formatCode="#,##0&quot;人&quot;"/>
    <numFmt numFmtId="182" formatCode="#,##0.0000_);[Red]\(#,##0.0000\)"/>
  </numFmts>
  <fonts count="47">
    <font>
      <sz val="11"/>
      <color theme="1"/>
      <name val="Meiryo UI"/>
      <family val="2"/>
      <charset val="128"/>
      <scheme val="minor"/>
    </font>
    <font>
      <sz val="11"/>
      <color theme="1"/>
      <name val="Meiryo UI"/>
      <family val="2"/>
      <charset val="128"/>
      <scheme val="minor"/>
    </font>
    <font>
      <sz val="10"/>
      <color theme="1"/>
      <name val="Meiryo UI"/>
      <family val="3"/>
      <charset val="128"/>
      <scheme val="minor"/>
    </font>
    <font>
      <sz val="6"/>
      <name val="Meiryo UI"/>
      <family val="2"/>
      <charset val="128"/>
      <scheme val="minor"/>
    </font>
    <font>
      <sz val="11"/>
      <color theme="1"/>
      <name val="Meiryo UI"/>
      <family val="2"/>
      <scheme val="minor"/>
    </font>
    <font>
      <sz val="6"/>
      <name val="Meiryo UI"/>
      <family val="3"/>
      <charset val="128"/>
      <scheme val="minor"/>
    </font>
    <font>
      <sz val="6"/>
      <name val="ＭＳ Ｐゴシック"/>
      <family val="3"/>
      <charset val="128"/>
    </font>
    <font>
      <sz val="11"/>
      <name val="ＭＳ Ｐゴシック"/>
      <family val="3"/>
      <charset val="128"/>
    </font>
    <font>
      <sz val="14"/>
      <color theme="1"/>
      <name val="ＭＳ Ｐゴシック"/>
      <family val="3"/>
      <charset val="128"/>
    </font>
    <font>
      <sz val="9"/>
      <name val="Meiryo UI"/>
      <family val="3"/>
      <charset val="128"/>
      <scheme val="minor"/>
    </font>
    <font>
      <sz val="10"/>
      <name val="Meiryo UI"/>
      <family val="3"/>
      <charset val="128"/>
    </font>
    <font>
      <b/>
      <sz val="11"/>
      <color theme="0"/>
      <name val="Meiryo UI"/>
      <family val="3"/>
      <charset val="128"/>
      <scheme val="minor"/>
    </font>
    <font>
      <sz val="11"/>
      <color theme="0"/>
      <name val="Meiryo UI"/>
      <family val="3"/>
      <charset val="128"/>
      <scheme val="minor"/>
    </font>
    <font>
      <sz val="11"/>
      <color theme="1"/>
      <name val="Meiryo UI"/>
      <family val="3"/>
      <charset val="128"/>
      <scheme val="minor"/>
    </font>
    <font>
      <sz val="11"/>
      <name val="Meiryo UI"/>
      <family val="3"/>
      <charset val="128"/>
      <scheme val="minor"/>
    </font>
    <font>
      <b/>
      <sz val="10"/>
      <name val="Meiryo UI"/>
      <family val="3"/>
      <charset val="128"/>
      <scheme val="minor"/>
    </font>
    <font>
      <sz val="11"/>
      <color theme="1"/>
      <name val="ＭＳ Ｐゴシック"/>
      <family val="3"/>
      <charset val="128"/>
    </font>
    <font>
      <sz val="11"/>
      <color rgb="FFFF0000"/>
      <name val="Meiryo UI"/>
      <family val="3"/>
      <charset val="128"/>
      <scheme val="minor"/>
    </font>
    <font>
      <b/>
      <sz val="9"/>
      <color indexed="81"/>
      <name val="MS P ゴシック"/>
      <family val="3"/>
      <charset val="128"/>
    </font>
    <font>
      <b/>
      <sz val="14"/>
      <color theme="1"/>
      <name val="Meiryo UI"/>
      <family val="3"/>
      <charset val="128"/>
      <scheme val="minor"/>
    </font>
    <font>
      <sz val="18"/>
      <color theme="1"/>
      <name val="Meiryo UI"/>
      <family val="3"/>
      <charset val="128"/>
      <scheme val="minor"/>
    </font>
    <font>
      <sz val="14"/>
      <color theme="1"/>
      <name val="Meiryo UI"/>
      <family val="3"/>
      <charset val="128"/>
      <scheme val="minor"/>
    </font>
    <font>
      <sz val="22"/>
      <color theme="1"/>
      <name val="Meiryo UI"/>
      <family val="3"/>
      <charset val="128"/>
      <scheme val="minor"/>
    </font>
    <font>
      <sz val="24"/>
      <color theme="1"/>
      <name val="Meiryo UI"/>
      <family val="3"/>
      <charset val="128"/>
      <scheme val="minor"/>
    </font>
    <font>
      <sz val="10"/>
      <name val="ＭＳ Ｐゴシック"/>
      <family val="3"/>
      <charset val="128"/>
    </font>
    <font>
      <b/>
      <sz val="11"/>
      <color theme="1"/>
      <name val="Meiryo UI"/>
      <family val="3"/>
      <charset val="128"/>
      <scheme val="minor"/>
    </font>
    <font>
      <b/>
      <sz val="14"/>
      <name val="Meiryo UI"/>
      <family val="3"/>
      <charset val="128"/>
      <scheme val="minor"/>
    </font>
    <font>
      <sz val="10"/>
      <name val="Meiryo UI"/>
      <family val="3"/>
      <charset val="128"/>
      <scheme val="minor"/>
    </font>
    <font>
      <sz val="10"/>
      <color theme="1"/>
      <name val="ＭＳ Ｐゴシック"/>
      <family val="3"/>
      <charset val="128"/>
    </font>
    <font>
      <sz val="16"/>
      <name val="ＭＳ Ｐゴシック"/>
      <family val="3"/>
      <charset val="128"/>
    </font>
    <font>
      <sz val="16"/>
      <color theme="1"/>
      <name val="ＭＳ Ｐゴシック"/>
      <family val="3"/>
      <charset val="128"/>
    </font>
    <font>
      <b/>
      <sz val="11"/>
      <color rgb="FFFF0000"/>
      <name val="ＭＳ Ｐゴシック"/>
      <family val="3"/>
      <charset val="128"/>
    </font>
    <font>
      <sz val="8"/>
      <color theme="1"/>
      <name val="ＭＳ Ｐゴシック"/>
      <family val="3"/>
      <charset val="128"/>
    </font>
    <font>
      <sz val="11"/>
      <name val="ＭＳ Ｐゴシック"/>
      <family val="3"/>
    </font>
    <font>
      <sz val="12"/>
      <color theme="1"/>
      <name val="Meiryo UI"/>
      <family val="3"/>
      <charset val="128"/>
      <scheme val="minor"/>
    </font>
    <font>
      <sz val="11"/>
      <color theme="1"/>
      <name val="ＭＳ Ｐゴシック"/>
      <family val="3"/>
    </font>
    <font>
      <sz val="11"/>
      <color rgb="FFFF0000"/>
      <name val="ＭＳ Ｐゴシック"/>
      <family val="3"/>
      <charset val="128"/>
    </font>
    <font>
      <b/>
      <sz val="9"/>
      <color indexed="81"/>
      <name val="Meiryo UI"/>
      <family val="3"/>
      <charset val="128"/>
      <scheme val="minor"/>
    </font>
    <font>
      <sz val="9"/>
      <color indexed="81"/>
      <name val="MS P ゴシック"/>
      <family val="3"/>
      <charset val="128"/>
    </font>
    <font>
      <b/>
      <sz val="12"/>
      <color indexed="10"/>
      <name val="MS P ゴシック"/>
      <family val="3"/>
      <charset val="128"/>
    </font>
    <font>
      <sz val="16"/>
      <name val="Meiryo UI"/>
      <family val="3"/>
      <charset val="128"/>
      <scheme val="minor"/>
    </font>
    <font>
      <b/>
      <sz val="12"/>
      <name val="Meiryo UI"/>
      <family val="3"/>
      <charset val="128"/>
      <scheme val="minor"/>
    </font>
    <font>
      <b/>
      <sz val="11"/>
      <color indexed="81"/>
      <name val="MS P ゴシック"/>
      <family val="3"/>
      <charset val="128"/>
    </font>
    <font>
      <sz val="6"/>
      <name val="明朝"/>
      <family val="3"/>
      <charset val="128"/>
    </font>
    <font>
      <sz val="10"/>
      <color rgb="FFFF0000"/>
      <name val="ＭＳ Ｐゴシック"/>
      <family val="3"/>
      <charset val="128"/>
    </font>
    <font>
      <u/>
      <sz val="11"/>
      <color theme="1"/>
      <name val="ＭＳ Ｐゴシック"/>
      <family val="3"/>
      <charset val="128"/>
    </font>
    <font>
      <b/>
      <sz val="10"/>
      <color rgb="FFFF0000"/>
      <name val="ＭＳ Ｐゴシック"/>
      <family val="3"/>
      <charset val="128"/>
    </font>
  </fonts>
  <fills count="14">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002060"/>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indexed="9"/>
        <bgColor indexed="64"/>
      </patternFill>
    </fill>
    <fill>
      <patternFill patternType="solid">
        <fgColor theme="1" tint="0.499984740745262"/>
        <bgColor indexed="64"/>
      </patternFill>
    </fill>
  </fills>
  <borders count="39">
    <border>
      <left/>
      <right/>
      <top/>
      <bottom/>
      <diagonal/>
    </border>
    <border>
      <left style="thin">
        <color theme="4"/>
      </left>
      <right/>
      <top style="thin">
        <color theme="4"/>
      </top>
      <bottom/>
      <diagonal/>
    </border>
    <border>
      <left/>
      <right style="thin">
        <color theme="4"/>
      </right>
      <top style="thin">
        <color theme="4"/>
      </top>
      <bottom/>
      <diagonal/>
    </border>
    <border>
      <left/>
      <right/>
      <top style="thin">
        <color theme="4"/>
      </top>
      <bottom/>
      <diagonal/>
    </border>
    <border>
      <left style="thin">
        <color theme="4"/>
      </left>
      <right style="thin">
        <color theme="4"/>
      </right>
      <top style="thin">
        <color theme="4"/>
      </top>
      <bottom/>
      <diagonal/>
    </border>
    <border>
      <left style="thin">
        <color indexed="64"/>
      </left>
      <right style="thin">
        <color indexed="64"/>
      </right>
      <top style="thin">
        <color indexed="64"/>
      </top>
      <bottom style="thin">
        <color indexed="64"/>
      </bottom>
      <diagonal/>
    </border>
    <border>
      <left style="thin">
        <color theme="0"/>
      </left>
      <right/>
      <top style="thin">
        <color theme="4"/>
      </top>
      <bottom/>
      <diagonal/>
    </border>
    <border>
      <left style="thin">
        <color theme="0"/>
      </left>
      <right style="thin">
        <color theme="4"/>
      </right>
      <top style="thin">
        <color theme="4"/>
      </top>
      <bottom/>
      <diagonal/>
    </border>
    <border>
      <left style="thin">
        <color theme="4"/>
      </left>
      <right style="thin">
        <color theme="4"/>
      </right>
      <top style="thin">
        <color theme="4"/>
      </top>
      <bottom style="thin">
        <color theme="4"/>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top style="thin">
        <color theme="4"/>
      </top>
      <bottom style="thin">
        <color theme="4"/>
      </bottom>
      <diagonal/>
    </border>
    <border>
      <left/>
      <right/>
      <top style="thin">
        <color theme="0"/>
      </top>
      <bottom/>
      <diagonal/>
    </border>
    <border>
      <left style="thin">
        <color theme="0"/>
      </left>
      <right/>
      <top style="thin">
        <color theme="0"/>
      </top>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diagonal/>
    </border>
    <border>
      <left/>
      <right style="thin">
        <color indexed="64"/>
      </right>
      <top style="thin">
        <color indexed="64"/>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right/>
      <top/>
      <bottom style="thin">
        <color indexed="64"/>
      </bottom>
      <diagonal/>
    </border>
    <border>
      <left/>
      <right style="thin">
        <color indexed="64"/>
      </right>
      <top/>
      <bottom style="thin">
        <color indexed="64"/>
      </bottom>
      <diagonal/>
    </border>
    <border>
      <left style="thin">
        <color theme="1"/>
      </left>
      <right style="thin">
        <color indexed="64"/>
      </right>
      <top style="thin">
        <color indexed="64"/>
      </top>
      <bottom style="thin">
        <color indexed="64"/>
      </bottom>
      <diagonal/>
    </border>
    <border>
      <left style="thin">
        <color theme="1"/>
      </left>
      <right/>
      <top/>
      <bottom/>
      <diagonal/>
    </border>
    <border>
      <left/>
      <right style="thin">
        <color indexed="64"/>
      </right>
      <top style="thin">
        <color indexed="64"/>
      </top>
      <bottom style="thin">
        <color theme="1"/>
      </bottom>
      <diagonal/>
    </border>
    <border>
      <left style="thin">
        <color theme="1"/>
      </left>
      <right/>
      <top style="thin">
        <color theme="1"/>
      </top>
      <bottom/>
      <diagonal/>
    </border>
    <border>
      <left/>
      <right style="thin">
        <color theme="1"/>
      </right>
      <top style="thin">
        <color theme="1"/>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rgb="FFFF0000"/>
      </left>
      <right style="medium">
        <color rgb="FFFF0000"/>
      </right>
      <top style="medium">
        <color rgb="FFFF0000"/>
      </top>
      <bottom style="medium">
        <color rgb="FFFF0000"/>
      </bottom>
      <diagonal/>
    </border>
    <border>
      <left style="thin">
        <color auto="1"/>
      </left>
      <right style="thin">
        <color rgb="FFFF0000"/>
      </right>
      <top style="thin">
        <color auto="1"/>
      </top>
      <bottom style="thin">
        <color auto="1"/>
      </bottom>
      <diagonal/>
    </border>
    <border>
      <left style="thin">
        <color rgb="FFFF0000"/>
      </left>
      <right style="thin">
        <color auto="1"/>
      </right>
      <top style="thin">
        <color auto="1"/>
      </top>
      <bottom style="thin">
        <color auto="1"/>
      </bottom>
      <diagonal/>
    </border>
  </borders>
  <cellStyleXfs count="16">
    <xf numFmtId="0" fontId="0" fillId="0" borderId="0">
      <alignment vertical="center"/>
    </xf>
    <xf numFmtId="38" fontId="1" fillId="0" borderId="0" applyFont="0" applyFill="0" applyBorder="0" applyAlignment="0" applyProtection="0">
      <alignment vertical="center"/>
    </xf>
    <xf numFmtId="0" fontId="7" fillId="0" borderId="0">
      <alignment vertical="center"/>
    </xf>
    <xf numFmtId="0" fontId="4" fillId="0" borderId="0"/>
    <xf numFmtId="0" fontId="24" fillId="0" borderId="0"/>
    <xf numFmtId="0" fontId="4" fillId="0" borderId="0"/>
    <xf numFmtId="38" fontId="24" fillId="0" borderId="0" applyFont="0" applyFill="0" applyBorder="0" applyAlignment="0" applyProtection="0"/>
    <xf numFmtId="0" fontId="1" fillId="0" borderId="0">
      <alignment vertical="center"/>
    </xf>
    <xf numFmtId="38" fontId="4" fillId="0" borderId="0" applyFont="0" applyFill="0" applyBorder="0" applyAlignment="0" applyProtection="0">
      <alignment vertical="center"/>
    </xf>
    <xf numFmtId="38" fontId="7" fillId="0" borderId="0" applyFont="0" applyFill="0" applyBorder="0" applyAlignment="0" applyProtection="0">
      <alignment vertical="center"/>
    </xf>
    <xf numFmtId="38" fontId="1" fillId="0" borderId="0" applyFont="0" applyFill="0" applyBorder="0" applyAlignment="0" applyProtection="0">
      <alignment vertical="center"/>
    </xf>
    <xf numFmtId="9" fontId="4" fillId="0" borderId="0" applyFont="0" applyFill="0" applyBorder="0" applyAlignment="0" applyProtection="0">
      <alignment vertical="center"/>
    </xf>
    <xf numFmtId="0" fontId="1" fillId="0" borderId="0">
      <alignment vertical="center"/>
    </xf>
    <xf numFmtId="38" fontId="4" fillId="0" borderId="0" applyFont="0" applyFill="0" applyBorder="0" applyAlignment="0" applyProtection="0">
      <alignment vertical="center"/>
    </xf>
    <xf numFmtId="38" fontId="7" fillId="0" borderId="0" applyFont="0" applyFill="0" applyBorder="0" applyAlignment="0" applyProtection="0">
      <alignment vertical="center"/>
    </xf>
    <xf numFmtId="0" fontId="1" fillId="0" borderId="0">
      <alignment vertical="center"/>
    </xf>
  </cellStyleXfs>
  <cellXfs count="563">
    <xf numFmtId="0" fontId="0" fillId="0" borderId="0" xfId="0">
      <alignment vertical="center"/>
    </xf>
    <xf numFmtId="0" fontId="2" fillId="0" borderId="0" xfId="0" applyFont="1">
      <alignment vertical="center"/>
    </xf>
    <xf numFmtId="0" fontId="2" fillId="2" borderId="0" xfId="0" applyFont="1" applyFill="1">
      <alignment vertical="center"/>
    </xf>
    <xf numFmtId="56" fontId="2" fillId="0" borderId="0" xfId="0" applyNumberFormat="1" applyFont="1">
      <alignment vertical="center"/>
    </xf>
    <xf numFmtId="0" fontId="2" fillId="3" borderId="0" xfId="0" applyFont="1" applyFill="1">
      <alignment vertical="center"/>
    </xf>
    <xf numFmtId="176" fontId="2" fillId="0" borderId="0" xfId="0" applyNumberFormat="1" applyFont="1">
      <alignment vertical="center"/>
    </xf>
    <xf numFmtId="177" fontId="2" fillId="0" borderId="0" xfId="0" applyNumberFormat="1" applyFont="1">
      <alignment vertical="center"/>
    </xf>
    <xf numFmtId="38" fontId="2" fillId="0" borderId="0" xfId="0" applyNumberFormat="1" applyFont="1">
      <alignment vertical="center"/>
    </xf>
    <xf numFmtId="38" fontId="2" fillId="2" borderId="0" xfId="0" applyNumberFormat="1" applyFont="1" applyFill="1">
      <alignment vertical="center"/>
    </xf>
    <xf numFmtId="2" fontId="2" fillId="0" borderId="0" xfId="0" applyNumberFormat="1" applyFont="1">
      <alignment vertical="center"/>
    </xf>
    <xf numFmtId="0" fontId="0" fillId="0" borderId="0" xfId="0" applyAlignment="1">
      <alignment vertical="center" wrapText="1"/>
    </xf>
    <xf numFmtId="38" fontId="2" fillId="3" borderId="0" xfId="0" applyNumberFormat="1" applyFont="1" applyFill="1">
      <alignment vertical="center"/>
    </xf>
    <xf numFmtId="49" fontId="2" fillId="2" borderId="0" xfId="0" applyNumberFormat="1" applyFont="1" applyFill="1">
      <alignment vertical="center"/>
    </xf>
    <xf numFmtId="0" fontId="10" fillId="2" borderId="0" xfId="2" applyFont="1" applyFill="1" applyAlignment="1">
      <alignment vertical="center" wrapText="1"/>
    </xf>
    <xf numFmtId="0" fontId="10" fillId="2" borderId="0" xfId="2" applyFont="1" applyFill="1" applyAlignment="1">
      <alignment horizontal="left" vertical="center" wrapText="1"/>
    </xf>
    <xf numFmtId="0" fontId="11" fillId="4" borderId="0" xfId="0" applyFont="1" applyFill="1" applyProtection="1">
      <alignment vertical="center"/>
      <protection locked="0"/>
    </xf>
    <xf numFmtId="0" fontId="12" fillId="4" borderId="0" xfId="0" applyFont="1" applyFill="1" applyProtection="1">
      <alignment vertical="center"/>
      <protection locked="0"/>
    </xf>
    <xf numFmtId="0" fontId="13" fillId="0" borderId="0" xfId="0" applyFont="1" applyProtection="1">
      <alignment vertical="center"/>
      <protection locked="0"/>
    </xf>
    <xf numFmtId="0" fontId="14" fillId="0" borderId="0" xfId="0" applyFont="1" applyProtection="1">
      <alignment vertical="center"/>
      <protection locked="0"/>
    </xf>
    <xf numFmtId="0" fontId="11" fillId="5" borderId="1" xfId="0" applyFont="1" applyFill="1" applyBorder="1" applyAlignment="1">
      <alignment vertical="center" wrapText="1"/>
    </xf>
    <xf numFmtId="0" fontId="13" fillId="0" borderId="0" xfId="0" applyFont="1" applyAlignment="1" applyProtection="1">
      <alignment vertical="center" wrapText="1"/>
      <protection locked="0"/>
    </xf>
    <xf numFmtId="0" fontId="11" fillId="5" borderId="2" xfId="0" applyFont="1" applyFill="1" applyBorder="1" applyAlignment="1">
      <alignment vertical="center" wrapText="1"/>
    </xf>
    <xf numFmtId="0" fontId="11" fillId="5" borderId="3" xfId="0" applyFont="1" applyFill="1" applyBorder="1" applyAlignment="1">
      <alignment vertical="center" wrapText="1"/>
    </xf>
    <xf numFmtId="49" fontId="13" fillId="0" borderId="0" xfId="0" applyNumberFormat="1" applyFont="1" applyProtection="1">
      <alignment vertical="center"/>
      <protection locked="0"/>
    </xf>
    <xf numFmtId="0" fontId="11" fillId="5" borderId="4" xfId="0" applyFont="1" applyFill="1" applyBorder="1" applyAlignment="1">
      <alignment vertical="center" wrapText="1"/>
    </xf>
    <xf numFmtId="0" fontId="14" fillId="0" borderId="5" xfId="2" applyFont="1" applyBorder="1" applyAlignment="1">
      <alignment vertical="center" shrinkToFit="1"/>
    </xf>
    <xf numFmtId="0" fontId="14" fillId="0" borderId="0" xfId="0" applyFont="1">
      <alignment vertical="center"/>
    </xf>
    <xf numFmtId="0" fontId="13" fillId="0" borderId="1" xfId="0" applyFont="1" applyBorder="1">
      <alignment vertical="center"/>
    </xf>
    <xf numFmtId="0" fontId="13" fillId="0" borderId="2" xfId="0" applyFont="1" applyBorder="1">
      <alignment vertical="center"/>
    </xf>
    <xf numFmtId="0" fontId="13" fillId="0" borderId="3" xfId="0" applyFont="1" applyBorder="1">
      <alignment vertical="center"/>
    </xf>
    <xf numFmtId="0" fontId="13" fillId="6" borderId="1" xfId="0" applyFont="1" applyFill="1" applyBorder="1">
      <alignment vertical="center"/>
    </xf>
    <xf numFmtId="0" fontId="13" fillId="6" borderId="6" xfId="0" applyFont="1" applyFill="1" applyBorder="1">
      <alignment vertical="center"/>
    </xf>
    <xf numFmtId="0" fontId="13" fillId="6" borderId="7" xfId="0" applyFont="1" applyFill="1" applyBorder="1">
      <alignment vertical="center"/>
    </xf>
    <xf numFmtId="0" fontId="13" fillId="0" borderId="4" xfId="0" applyFont="1" applyBorder="1">
      <alignment vertical="center"/>
    </xf>
    <xf numFmtId="176" fontId="13" fillId="0" borderId="4" xfId="0" applyNumberFormat="1" applyFont="1" applyBorder="1">
      <alignment vertical="center"/>
    </xf>
    <xf numFmtId="0" fontId="13" fillId="7" borderId="1" xfId="0" applyFont="1" applyFill="1" applyBorder="1">
      <alignment vertical="center"/>
    </xf>
    <xf numFmtId="0" fontId="13" fillId="7" borderId="6" xfId="0" applyFont="1" applyFill="1" applyBorder="1">
      <alignment vertical="center"/>
    </xf>
    <xf numFmtId="0" fontId="13" fillId="7" borderId="7" xfId="0" applyFont="1" applyFill="1" applyBorder="1">
      <alignment vertical="center"/>
    </xf>
    <xf numFmtId="0" fontId="13" fillId="0" borderId="8" xfId="0" applyFont="1" applyBorder="1">
      <alignment vertical="center"/>
    </xf>
    <xf numFmtId="14" fontId="14" fillId="0" borderId="0" xfId="0" applyNumberFormat="1" applyFont="1">
      <alignment vertical="center"/>
    </xf>
    <xf numFmtId="0" fontId="13" fillId="0" borderId="9" xfId="0" applyFont="1" applyBorder="1">
      <alignment vertical="center"/>
    </xf>
    <xf numFmtId="0" fontId="13" fillId="0" borderId="10" xfId="0" applyFont="1" applyBorder="1">
      <alignment vertical="center"/>
    </xf>
    <xf numFmtId="0" fontId="13" fillId="0" borderId="11" xfId="0" applyFont="1" applyBorder="1">
      <alignment vertical="center"/>
    </xf>
    <xf numFmtId="0" fontId="14" fillId="0" borderId="0" xfId="0" applyFont="1" applyAlignment="1">
      <alignment horizontal="right" vertical="center"/>
    </xf>
    <xf numFmtId="0" fontId="13" fillId="6" borderId="3" xfId="0" applyFont="1" applyFill="1" applyBorder="1">
      <alignment vertical="center"/>
    </xf>
    <xf numFmtId="0" fontId="13" fillId="7" borderId="12" xfId="0" applyFont="1" applyFill="1" applyBorder="1">
      <alignment vertical="center"/>
    </xf>
    <xf numFmtId="0" fontId="13" fillId="7" borderId="13" xfId="0" applyFont="1" applyFill="1" applyBorder="1">
      <alignment vertical="center"/>
    </xf>
    <xf numFmtId="0" fontId="13" fillId="6" borderId="12" xfId="0" applyFont="1" applyFill="1" applyBorder="1">
      <alignment vertical="center"/>
    </xf>
    <xf numFmtId="0" fontId="13" fillId="6" borderId="13" xfId="0" applyFont="1" applyFill="1" applyBorder="1">
      <alignment vertical="center"/>
    </xf>
    <xf numFmtId="0" fontId="17" fillId="0" borderId="0" xfId="0" applyFont="1">
      <alignment vertical="center"/>
    </xf>
    <xf numFmtId="0" fontId="17" fillId="0" borderId="0" xfId="0" applyFont="1" applyProtection="1">
      <alignment vertical="center"/>
      <protection locked="0"/>
    </xf>
    <xf numFmtId="0" fontId="17" fillId="0" borderId="1" xfId="0" applyFont="1" applyBorder="1">
      <alignment vertical="center"/>
    </xf>
    <xf numFmtId="0" fontId="17" fillId="0" borderId="3" xfId="0" applyFont="1" applyBorder="1">
      <alignment vertical="center"/>
    </xf>
    <xf numFmtId="0" fontId="19" fillId="0" borderId="0" xfId="3" applyFont="1" applyAlignment="1">
      <alignment horizontal="left" vertical="center"/>
    </xf>
    <xf numFmtId="0" fontId="13" fillId="0" borderId="0" xfId="3" applyFont="1"/>
    <xf numFmtId="0" fontId="13" fillId="0" borderId="0" xfId="3" applyFont="1" applyAlignment="1">
      <alignment horizontal="right" vertical="center"/>
    </xf>
    <xf numFmtId="0" fontId="13" fillId="0" borderId="0" xfId="3" applyFont="1" applyAlignment="1">
      <alignment vertical="center"/>
    </xf>
    <xf numFmtId="0" fontId="17" fillId="0" borderId="0" xfId="3" applyFont="1" applyAlignment="1">
      <alignment vertical="center"/>
    </xf>
    <xf numFmtId="0" fontId="20" fillId="8" borderId="5" xfId="3" applyFont="1" applyFill="1" applyBorder="1" applyAlignment="1">
      <alignment horizontal="center" vertical="center"/>
    </xf>
    <xf numFmtId="0" fontId="20" fillId="8" borderId="14" xfId="3" applyFont="1" applyFill="1" applyBorder="1" applyAlignment="1">
      <alignment horizontal="center" vertical="center"/>
    </xf>
    <xf numFmtId="0" fontId="17" fillId="0" borderId="0" xfId="3" applyFont="1"/>
    <xf numFmtId="0" fontId="21" fillId="9" borderId="5" xfId="3" applyFont="1" applyFill="1" applyBorder="1" applyAlignment="1">
      <alignment horizontal="center" vertical="center"/>
    </xf>
    <xf numFmtId="0" fontId="13" fillId="0" borderId="16" xfId="3" applyFont="1" applyBorder="1" applyAlignment="1">
      <alignment horizontal="center" vertical="center"/>
    </xf>
    <xf numFmtId="0" fontId="22" fillId="0" borderId="17" xfId="3" applyFont="1" applyBorder="1" applyAlignment="1" applyProtection="1">
      <alignment horizontal="center" vertical="center"/>
      <protection locked="0"/>
    </xf>
    <xf numFmtId="0" fontId="23" fillId="0" borderId="17" xfId="3" applyFont="1" applyBorder="1" applyAlignment="1" applyProtection="1">
      <alignment horizontal="center" vertical="center"/>
      <protection locked="0"/>
    </xf>
    <xf numFmtId="0" fontId="13" fillId="0" borderId="18" xfId="3" applyFont="1" applyBorder="1" applyAlignment="1">
      <alignment horizontal="center" vertical="center"/>
    </xf>
    <xf numFmtId="0" fontId="13" fillId="9" borderId="5" xfId="3" applyFont="1" applyFill="1" applyBorder="1" applyAlignment="1">
      <alignment horizontal="center" vertical="center"/>
    </xf>
    <xf numFmtId="0" fontId="25" fillId="9" borderId="5" xfId="3" applyFont="1" applyFill="1" applyBorder="1" applyAlignment="1">
      <alignment horizontal="center" vertical="center" wrapText="1"/>
    </xf>
    <xf numFmtId="14" fontId="0" fillId="0" borderId="0" xfId="0" applyNumberFormat="1">
      <alignment vertical="center"/>
    </xf>
    <xf numFmtId="0" fontId="13" fillId="0" borderId="0" xfId="0" applyFont="1">
      <alignment vertical="center"/>
    </xf>
    <xf numFmtId="0" fontId="14" fillId="0" borderId="0" xfId="2" applyFont="1">
      <alignment vertical="center"/>
    </xf>
    <xf numFmtId="0" fontId="28" fillId="0" borderId="0" xfId="4" applyFont="1"/>
    <xf numFmtId="0" fontId="16" fillId="0" borderId="0" xfId="4" applyFont="1" applyAlignment="1">
      <alignment vertical="center"/>
    </xf>
    <xf numFmtId="0" fontId="7" fillId="0" borderId="0" xfId="4" applyFont="1" applyAlignment="1">
      <alignment vertical="center"/>
    </xf>
    <xf numFmtId="0" fontId="30" fillId="0" borderId="0" xfId="4" applyFont="1" applyAlignment="1">
      <alignment horizontal="center" vertical="center"/>
    </xf>
    <xf numFmtId="0" fontId="30" fillId="10" borderId="0" xfId="4" applyFont="1" applyFill="1" applyAlignment="1">
      <alignment horizontal="center" vertical="center"/>
    </xf>
    <xf numFmtId="0" fontId="16" fillId="10" borderId="0" xfId="4" applyFont="1" applyFill="1" applyAlignment="1">
      <alignment horizontal="right" vertical="center"/>
    </xf>
    <xf numFmtId="0" fontId="16" fillId="0" borderId="0" xfId="4" applyFont="1" applyAlignment="1">
      <alignment horizontal="right" vertical="center"/>
    </xf>
    <xf numFmtId="0" fontId="28" fillId="10" borderId="0" xfId="4" applyFont="1" applyFill="1" applyAlignment="1">
      <alignment horizontal="center" vertical="center"/>
    </xf>
    <xf numFmtId="0" fontId="28" fillId="0" borderId="0" xfId="4" applyFont="1" applyAlignment="1">
      <alignment horizontal="center" vertical="center"/>
    </xf>
    <xf numFmtId="0" fontId="16" fillId="10" borderId="0" xfId="4" applyFont="1" applyFill="1" applyAlignment="1">
      <alignment vertical="center"/>
    </xf>
    <xf numFmtId="0" fontId="28" fillId="10" borderId="0" xfId="4" applyFont="1" applyFill="1" applyAlignment="1">
      <alignment vertical="center"/>
    </xf>
    <xf numFmtId="0" fontId="7" fillId="0" borderId="21" xfId="4" applyFont="1" applyBorder="1" applyAlignment="1">
      <alignment horizontal="center" vertical="center" wrapText="1"/>
    </xf>
    <xf numFmtId="0" fontId="16" fillId="10" borderId="15" xfId="4" applyFont="1" applyFill="1" applyBorder="1" applyAlignment="1">
      <alignment horizontal="center" vertical="center" wrapText="1"/>
    </xf>
    <xf numFmtId="0" fontId="16" fillId="0" borderId="15" xfId="4" applyFont="1" applyBorder="1" applyAlignment="1">
      <alignment horizontal="center" vertical="center"/>
    </xf>
    <xf numFmtId="0" fontId="16" fillId="0" borderId="0" xfId="4" applyFont="1" applyAlignment="1">
      <alignment horizontal="center" vertical="center"/>
    </xf>
    <xf numFmtId="0" fontId="16" fillId="0" borderId="27" xfId="4" applyFont="1" applyBorder="1" applyAlignment="1">
      <alignment horizontal="center" vertical="center" wrapText="1"/>
    </xf>
    <xf numFmtId="0" fontId="16" fillId="10" borderId="24" xfId="4" applyFont="1" applyFill="1" applyBorder="1" applyAlignment="1">
      <alignment horizontal="right" vertical="center"/>
    </xf>
    <xf numFmtId="0" fontId="16" fillId="0" borderId="24" xfId="4" applyFont="1" applyBorder="1" applyAlignment="1">
      <alignment horizontal="right" vertical="center"/>
    </xf>
    <xf numFmtId="0" fontId="16" fillId="10" borderId="25" xfId="4" applyFont="1" applyFill="1" applyBorder="1" applyAlignment="1">
      <alignment horizontal="right" vertical="center"/>
    </xf>
    <xf numFmtId="0" fontId="16" fillId="0" borderId="28" xfId="4" applyFont="1" applyBorder="1" applyAlignment="1">
      <alignment horizontal="right" vertical="center"/>
    </xf>
    <xf numFmtId="0" fontId="16" fillId="10" borderId="28" xfId="4" applyFont="1" applyFill="1" applyBorder="1" applyAlignment="1">
      <alignment horizontal="right" vertical="center"/>
    </xf>
    <xf numFmtId="0" fontId="16" fillId="0" borderId="5" xfId="4" applyFont="1" applyBorder="1" applyAlignment="1">
      <alignment horizontal="right" vertical="center"/>
    </xf>
    <xf numFmtId="0" fontId="16" fillId="0" borderId="20" xfId="4" applyFont="1" applyBorder="1" applyAlignment="1">
      <alignment horizontal="right" vertical="center"/>
    </xf>
    <xf numFmtId="0" fontId="31" fillId="10" borderId="25" xfId="4" applyFont="1" applyFill="1" applyBorder="1" applyAlignment="1">
      <alignment horizontal="center" vertical="center"/>
    </xf>
    <xf numFmtId="0" fontId="31" fillId="0" borderId="0" xfId="4" applyFont="1" applyAlignment="1">
      <alignment horizontal="center" vertical="center"/>
    </xf>
    <xf numFmtId="0" fontId="16" fillId="10" borderId="22" xfId="4" applyFont="1" applyFill="1" applyBorder="1" applyAlignment="1">
      <alignment vertical="center"/>
    </xf>
    <xf numFmtId="0" fontId="16" fillId="10" borderId="22" xfId="4" applyFont="1" applyFill="1" applyBorder="1" applyAlignment="1">
      <alignment horizontal="right" vertical="center"/>
    </xf>
    <xf numFmtId="0" fontId="16" fillId="0" borderId="22" xfId="4" applyFont="1" applyBorder="1" applyAlignment="1">
      <alignment horizontal="right" vertical="center"/>
    </xf>
    <xf numFmtId="0" fontId="16" fillId="10" borderId="23" xfId="4" applyFont="1" applyFill="1" applyBorder="1" applyAlignment="1">
      <alignment horizontal="right" vertical="center"/>
    </xf>
    <xf numFmtId="0" fontId="16" fillId="10" borderId="15" xfId="4" applyFont="1" applyFill="1" applyBorder="1" applyAlignment="1">
      <alignment horizontal="right" vertical="center"/>
    </xf>
    <xf numFmtId="0" fontId="16" fillId="0" borderId="15" xfId="4" applyFont="1" applyBorder="1" applyAlignment="1">
      <alignment horizontal="right" vertical="center"/>
    </xf>
    <xf numFmtId="0" fontId="16" fillId="10" borderId="27" xfId="4" applyFont="1" applyFill="1" applyBorder="1" applyAlignment="1">
      <alignment vertical="center"/>
    </xf>
    <xf numFmtId="0" fontId="16" fillId="0" borderId="27" xfId="4" applyFont="1" applyBorder="1" applyAlignment="1">
      <alignment vertical="center"/>
    </xf>
    <xf numFmtId="179" fontId="16" fillId="10" borderId="24" xfId="4" applyNumberFormat="1" applyFont="1" applyFill="1" applyBorder="1" applyAlignment="1">
      <alignment vertical="center"/>
    </xf>
    <xf numFmtId="0" fontId="16" fillId="0" borderId="24" xfId="4" applyFont="1" applyBorder="1" applyAlignment="1">
      <alignment vertical="center"/>
    </xf>
    <xf numFmtId="179" fontId="16" fillId="0" borderId="24" xfId="4" applyNumberFormat="1" applyFont="1" applyBorder="1" applyAlignment="1">
      <alignment vertical="center"/>
    </xf>
    <xf numFmtId="179" fontId="16" fillId="10" borderId="24" xfId="4" applyNumberFormat="1" applyFont="1" applyFill="1" applyBorder="1" applyAlignment="1">
      <alignment horizontal="right" vertical="center"/>
    </xf>
    <xf numFmtId="179" fontId="16" fillId="0" borderId="25" xfId="4" applyNumberFormat="1" applyFont="1" applyBorder="1" applyAlignment="1">
      <alignment vertical="center"/>
    </xf>
    <xf numFmtId="179" fontId="16" fillId="9" borderId="25" xfId="4" applyNumberFormat="1" applyFont="1" applyFill="1" applyBorder="1" applyAlignment="1" applyProtection="1">
      <alignment vertical="center"/>
      <protection locked="0"/>
    </xf>
    <xf numFmtId="179" fontId="16" fillId="0" borderId="24" xfId="4" applyNumberFormat="1" applyFont="1" applyBorder="1" applyAlignment="1">
      <alignment horizontal="right" vertical="center"/>
    </xf>
    <xf numFmtId="0" fontId="16" fillId="0" borderId="25" xfId="4" applyFont="1" applyBorder="1" applyAlignment="1">
      <alignment vertical="center"/>
    </xf>
    <xf numFmtId="49" fontId="28" fillId="10" borderId="21" xfId="4" applyNumberFormat="1" applyFont="1" applyFill="1" applyBorder="1" applyAlignment="1">
      <alignment vertical="center"/>
    </xf>
    <xf numFmtId="0" fontId="16" fillId="10" borderId="19" xfId="4" applyFont="1" applyFill="1" applyBorder="1" applyAlignment="1">
      <alignment horizontal="left" vertical="center" indent="1"/>
    </xf>
    <xf numFmtId="0" fontId="16" fillId="10" borderId="19" xfId="4" applyFont="1" applyFill="1" applyBorder="1" applyAlignment="1">
      <alignment vertical="center"/>
    </xf>
    <xf numFmtId="0" fontId="16" fillId="0" borderId="19" xfId="4" applyFont="1" applyBorder="1" applyAlignment="1">
      <alignment vertical="center"/>
    </xf>
    <xf numFmtId="179" fontId="16" fillId="10" borderId="5" xfId="4" applyNumberFormat="1" applyFont="1" applyFill="1" applyBorder="1" applyAlignment="1">
      <alignment vertical="center"/>
    </xf>
    <xf numFmtId="0" fontId="16" fillId="0" borderId="5" xfId="4" applyFont="1" applyBorder="1" applyAlignment="1">
      <alignment vertical="center"/>
    </xf>
    <xf numFmtId="179" fontId="16" fillId="0" borderId="5" xfId="4" applyNumberFormat="1" applyFont="1" applyBorder="1" applyAlignment="1">
      <alignment vertical="center"/>
    </xf>
    <xf numFmtId="179" fontId="16" fillId="10" borderId="5" xfId="4" applyNumberFormat="1" applyFont="1" applyFill="1" applyBorder="1" applyAlignment="1">
      <alignment horizontal="right" vertical="center"/>
    </xf>
    <xf numFmtId="179" fontId="16" fillId="0" borderId="26" xfId="4" applyNumberFormat="1" applyFont="1" applyBorder="1" applyAlignment="1">
      <alignment vertical="center"/>
    </xf>
    <xf numFmtId="179" fontId="16" fillId="10" borderId="26" xfId="4" applyNumberFormat="1" applyFont="1" applyFill="1" applyBorder="1" applyAlignment="1">
      <alignment vertical="center"/>
    </xf>
    <xf numFmtId="179" fontId="16" fillId="0" borderId="5" xfId="4" applyNumberFormat="1" applyFont="1" applyBorder="1" applyAlignment="1">
      <alignment horizontal="right" vertical="center"/>
    </xf>
    <xf numFmtId="179" fontId="16" fillId="10" borderId="5" xfId="4" applyNumberFormat="1" applyFont="1" applyFill="1" applyBorder="1" applyAlignment="1" applyProtection="1">
      <alignment vertical="center"/>
      <protection locked="0"/>
    </xf>
    <xf numFmtId="179" fontId="16" fillId="10" borderId="0" xfId="4" applyNumberFormat="1" applyFont="1" applyFill="1" applyAlignment="1" applyProtection="1">
      <alignment vertical="center"/>
      <protection locked="0"/>
    </xf>
    <xf numFmtId="0" fontId="16" fillId="10" borderId="22" xfId="4" applyFont="1" applyFill="1" applyBorder="1" applyAlignment="1">
      <alignment horizontal="center" vertical="center"/>
    </xf>
    <xf numFmtId="0" fontId="28" fillId="10" borderId="23" xfId="4" applyFont="1" applyFill="1" applyBorder="1" applyAlignment="1">
      <alignment horizontal="center" vertical="center"/>
    </xf>
    <xf numFmtId="0" fontId="16" fillId="10" borderId="14" xfId="4" applyFont="1" applyFill="1" applyBorder="1" applyAlignment="1">
      <alignment vertical="center" shrinkToFit="1"/>
    </xf>
    <xf numFmtId="0" fontId="16" fillId="10" borderId="20" xfId="4" applyFont="1" applyFill="1" applyBorder="1" applyAlignment="1">
      <alignment vertical="center" shrinkToFit="1"/>
    </xf>
    <xf numFmtId="179" fontId="16" fillId="9" borderId="5" xfId="4" applyNumberFormat="1" applyFont="1" applyFill="1" applyBorder="1" applyAlignment="1" applyProtection="1">
      <alignment vertical="center"/>
      <protection locked="0"/>
    </xf>
    <xf numFmtId="0" fontId="16" fillId="0" borderId="30" xfId="4" applyFont="1" applyBorder="1" applyAlignment="1">
      <alignment vertical="center"/>
    </xf>
    <xf numFmtId="0" fontId="16" fillId="0" borderId="31" xfId="4" applyFont="1" applyBorder="1" applyAlignment="1">
      <alignment vertical="center"/>
    </xf>
    <xf numFmtId="0" fontId="16" fillId="10" borderId="24" xfId="4" applyFont="1" applyFill="1" applyBorder="1" applyAlignment="1">
      <alignment vertical="center"/>
    </xf>
    <xf numFmtId="0" fontId="28" fillId="10" borderId="22" xfId="4" applyFont="1" applyFill="1" applyBorder="1" applyAlignment="1">
      <alignment horizontal="center" vertical="center"/>
    </xf>
    <xf numFmtId="0" fontId="16" fillId="10" borderId="14" xfId="4" applyFont="1" applyFill="1" applyBorder="1" applyAlignment="1">
      <alignment vertical="center"/>
    </xf>
    <xf numFmtId="0" fontId="16" fillId="0" borderId="14" xfId="4" applyFont="1" applyBorder="1" applyAlignment="1">
      <alignment vertical="center"/>
    </xf>
    <xf numFmtId="0" fontId="16" fillId="0" borderId="20" xfId="4" applyFont="1" applyBorder="1" applyAlignment="1">
      <alignment vertical="center"/>
    </xf>
    <xf numFmtId="0" fontId="28" fillId="10" borderId="0" xfId="4" applyFont="1" applyFill="1"/>
    <xf numFmtId="0" fontId="28" fillId="10" borderId="25" xfId="4" applyFont="1" applyFill="1" applyBorder="1" applyAlignment="1">
      <alignment horizontal="center" vertical="center"/>
    </xf>
    <xf numFmtId="179" fontId="16" fillId="0" borderId="16" xfId="7" applyNumberFormat="1" applyFont="1" applyBorder="1" applyAlignment="1">
      <alignment vertical="center" shrinkToFit="1"/>
    </xf>
    <xf numFmtId="0" fontId="16" fillId="10" borderId="27" xfId="4" applyFont="1" applyFill="1" applyBorder="1" applyAlignment="1">
      <alignment horizontal="left" vertical="center" wrapText="1"/>
    </xf>
    <xf numFmtId="0" fontId="16" fillId="0" borderId="27" xfId="4" applyFont="1" applyBorder="1" applyAlignment="1">
      <alignment horizontal="left" vertical="center" wrapText="1"/>
    </xf>
    <xf numFmtId="0" fontId="28" fillId="10" borderId="24" xfId="4" applyFont="1" applyFill="1" applyBorder="1" applyAlignment="1">
      <alignment horizontal="center" vertical="center"/>
    </xf>
    <xf numFmtId="0" fontId="16" fillId="10" borderId="23" xfId="4" applyFont="1" applyFill="1" applyBorder="1" applyAlignment="1">
      <alignment horizontal="center" vertical="center"/>
    </xf>
    <xf numFmtId="179" fontId="16" fillId="0" borderId="0" xfId="4" applyNumberFormat="1" applyFont="1" applyAlignment="1" applyProtection="1">
      <alignment vertical="center"/>
      <protection locked="0"/>
    </xf>
    <xf numFmtId="0" fontId="16" fillId="10" borderId="21" xfId="4" applyFont="1" applyFill="1" applyBorder="1" applyAlignment="1">
      <alignment vertical="center"/>
    </xf>
    <xf numFmtId="179" fontId="16" fillId="10" borderId="25" xfId="4" applyNumberFormat="1" applyFont="1" applyFill="1" applyBorder="1" applyAlignment="1">
      <alignment vertical="center"/>
    </xf>
    <xf numFmtId="179" fontId="16" fillId="10" borderId="25" xfId="4" applyNumberFormat="1" applyFont="1" applyFill="1" applyBorder="1" applyAlignment="1">
      <alignment horizontal="right" vertical="center"/>
    </xf>
    <xf numFmtId="179" fontId="16" fillId="0" borderId="25" xfId="4" applyNumberFormat="1" applyFont="1" applyBorder="1" applyAlignment="1">
      <alignment horizontal="right" vertical="center"/>
    </xf>
    <xf numFmtId="49" fontId="28" fillId="10" borderId="14" xfId="4" applyNumberFormat="1" applyFont="1" applyFill="1" applyBorder="1" applyAlignment="1">
      <alignment vertical="center"/>
    </xf>
    <xf numFmtId="49" fontId="16" fillId="10" borderId="20" xfId="4" applyNumberFormat="1" applyFont="1" applyFill="1" applyBorder="1" applyAlignment="1">
      <alignment vertical="center" shrinkToFit="1"/>
    </xf>
    <xf numFmtId="49" fontId="16" fillId="0" borderId="20" xfId="4" applyNumberFormat="1" applyFont="1" applyBorder="1" applyAlignment="1">
      <alignment vertical="center" shrinkToFit="1"/>
    </xf>
    <xf numFmtId="0" fontId="16" fillId="10" borderId="19" xfId="4" applyFont="1" applyFill="1" applyBorder="1" applyAlignment="1">
      <alignment horizontal="center" vertical="center"/>
    </xf>
    <xf numFmtId="38" fontId="16" fillId="0" borderId="14" xfId="8" applyFont="1" applyFill="1" applyBorder="1" applyAlignment="1">
      <alignment vertical="center"/>
    </xf>
    <xf numFmtId="0" fontId="28" fillId="10" borderId="22" xfId="4" applyFont="1" applyFill="1" applyBorder="1" applyAlignment="1">
      <alignment vertical="center"/>
    </xf>
    <xf numFmtId="0" fontId="16" fillId="10" borderId="20" xfId="4" applyFont="1" applyFill="1" applyBorder="1" applyAlignment="1">
      <alignment vertical="center"/>
    </xf>
    <xf numFmtId="0" fontId="16" fillId="10" borderId="28" xfId="4" applyFont="1" applyFill="1" applyBorder="1" applyAlignment="1">
      <alignment vertical="center"/>
    </xf>
    <xf numFmtId="0" fontId="16" fillId="10" borderId="5" xfId="4" applyFont="1" applyFill="1" applyBorder="1" applyAlignment="1">
      <alignment vertical="center"/>
    </xf>
    <xf numFmtId="0" fontId="16" fillId="0" borderId="23" xfId="4" applyFont="1" applyBorder="1" applyAlignment="1">
      <alignment horizontal="left" vertical="center"/>
    </xf>
    <xf numFmtId="0" fontId="16" fillId="0" borderId="22" xfId="4" applyFont="1" applyBorder="1" applyAlignment="1">
      <alignment vertical="center"/>
    </xf>
    <xf numFmtId="0" fontId="16" fillId="0" borderId="23" xfId="4" applyFont="1" applyBorder="1" applyAlignment="1">
      <alignment horizontal="center" vertical="center"/>
    </xf>
    <xf numFmtId="49" fontId="28" fillId="0" borderId="21" xfId="4" applyNumberFormat="1" applyFont="1" applyBorder="1" applyAlignment="1">
      <alignment vertical="center"/>
    </xf>
    <xf numFmtId="0" fontId="16" fillId="0" borderId="19" xfId="4" applyFont="1" applyBorder="1" applyAlignment="1">
      <alignment horizontal="left" vertical="center" indent="1"/>
    </xf>
    <xf numFmtId="0" fontId="13" fillId="0" borderId="0" xfId="0" applyFont="1" applyAlignment="1"/>
    <xf numFmtId="0" fontId="16" fillId="0" borderId="28" xfId="4" applyFont="1" applyBorder="1" applyAlignment="1">
      <alignment vertical="center"/>
    </xf>
    <xf numFmtId="0" fontId="7" fillId="0" borderId="24" xfId="4" applyFont="1" applyBorder="1" applyAlignment="1">
      <alignment vertical="center"/>
    </xf>
    <xf numFmtId="0" fontId="7" fillId="0" borderId="28" xfId="4" applyFont="1" applyBorder="1" applyAlignment="1">
      <alignment vertical="center"/>
    </xf>
    <xf numFmtId="0" fontId="16" fillId="0" borderId="25" xfId="4" applyFont="1" applyBorder="1" applyAlignment="1">
      <alignment horizontal="center" vertical="center"/>
    </xf>
    <xf numFmtId="49" fontId="28" fillId="0" borderId="27" xfId="4" applyNumberFormat="1" applyFont="1" applyBorder="1" applyAlignment="1">
      <alignment vertical="center"/>
    </xf>
    <xf numFmtId="0" fontId="16" fillId="10" borderId="14" xfId="4" applyFont="1" applyFill="1" applyBorder="1" applyAlignment="1">
      <alignment horizontal="left" vertical="center"/>
    </xf>
    <xf numFmtId="180" fontId="16" fillId="10" borderId="5" xfId="4" applyNumberFormat="1" applyFont="1" applyFill="1" applyBorder="1" applyAlignment="1">
      <alignment horizontal="right" vertical="center"/>
    </xf>
    <xf numFmtId="180" fontId="16" fillId="0" borderId="0" xfId="4" applyNumberFormat="1" applyFont="1" applyAlignment="1">
      <alignment horizontal="right" vertical="center"/>
    </xf>
    <xf numFmtId="0" fontId="16" fillId="10" borderId="0" xfId="4" applyFont="1" applyFill="1" applyAlignment="1">
      <alignment horizontal="center" vertical="center"/>
    </xf>
    <xf numFmtId="179" fontId="16" fillId="10" borderId="0" xfId="4" applyNumberFormat="1" applyFont="1" applyFill="1" applyAlignment="1">
      <alignment vertical="center"/>
    </xf>
    <xf numFmtId="179" fontId="16" fillId="0" borderId="0" xfId="4" applyNumberFormat="1" applyFont="1" applyAlignment="1">
      <alignment vertical="center"/>
    </xf>
    <xf numFmtId="0" fontId="7" fillId="10" borderId="0" xfId="4" applyFont="1" applyFill="1" applyAlignment="1">
      <alignment horizontal="right" vertical="top"/>
    </xf>
    <xf numFmtId="0" fontId="33" fillId="10" borderId="0" xfId="4" applyFont="1" applyFill="1" applyAlignment="1">
      <alignment vertical="top"/>
    </xf>
    <xf numFmtId="0" fontId="7" fillId="10" borderId="0" xfId="4" applyFont="1" applyFill="1" applyAlignment="1">
      <alignment vertical="top" wrapText="1"/>
    </xf>
    <xf numFmtId="0" fontId="16" fillId="10" borderId="0" xfId="4" applyFont="1" applyFill="1" applyAlignment="1">
      <alignment horizontal="center" vertical="center" shrinkToFit="1"/>
    </xf>
    <xf numFmtId="0" fontId="16" fillId="0" borderId="0" xfId="4" applyFont="1" applyAlignment="1">
      <alignment horizontal="center" vertical="center" shrinkToFit="1"/>
    </xf>
    <xf numFmtId="0" fontId="28" fillId="10" borderId="0" xfId="4" applyFont="1" applyFill="1" applyAlignment="1">
      <alignment horizontal="left" vertical="center"/>
    </xf>
    <xf numFmtId="0" fontId="33" fillId="10" borderId="0" xfId="4" applyFont="1" applyFill="1" applyAlignment="1">
      <alignment horizontal="left" vertical="top"/>
    </xf>
    <xf numFmtId="0" fontId="33" fillId="10" borderId="0" xfId="4" applyFont="1" applyFill="1" applyAlignment="1">
      <alignment horizontal="left" vertical="top" wrapText="1"/>
    </xf>
    <xf numFmtId="0" fontId="7" fillId="10" borderId="0" xfId="4" applyFont="1" applyFill="1" applyAlignment="1">
      <alignment vertical="top"/>
    </xf>
    <xf numFmtId="0" fontId="33" fillId="10" borderId="0" xfId="4" applyFont="1" applyFill="1" applyAlignment="1">
      <alignment vertical="top" wrapText="1"/>
    </xf>
    <xf numFmtId="179" fontId="16" fillId="10" borderId="0" xfId="5" applyNumberFormat="1" applyFont="1" applyFill="1" applyAlignment="1">
      <alignment horizontal="center" vertical="center" shrinkToFit="1"/>
    </xf>
    <xf numFmtId="0" fontId="7" fillId="10" borderId="0" xfId="4" applyFont="1" applyFill="1" applyAlignment="1">
      <alignment horizontal="center" vertical="top" wrapText="1"/>
    </xf>
    <xf numFmtId="0" fontId="16" fillId="10" borderId="0" xfId="4" applyFont="1" applyFill="1"/>
    <xf numFmtId="0" fontId="7" fillId="0" borderId="0" xfId="4" applyFont="1" applyAlignment="1">
      <alignment vertical="top"/>
    </xf>
    <xf numFmtId="0" fontId="16" fillId="10" borderId="0" xfId="0" applyFont="1" applyFill="1" applyAlignment="1">
      <alignment vertical="center" shrinkToFit="1"/>
    </xf>
    <xf numFmtId="179" fontId="16" fillId="10" borderId="0" xfId="5" applyNumberFormat="1" applyFont="1" applyFill="1" applyAlignment="1">
      <alignment vertical="center" shrinkToFit="1"/>
    </xf>
    <xf numFmtId="38" fontId="16" fillId="10" borderId="14" xfId="4" applyNumberFormat="1" applyFont="1" applyFill="1" applyBorder="1" applyAlignment="1" applyProtection="1">
      <alignment vertical="center"/>
      <protection locked="0"/>
    </xf>
    <xf numFmtId="38" fontId="16" fillId="10" borderId="19" xfId="4" applyNumberFormat="1" applyFont="1" applyFill="1" applyBorder="1" applyAlignment="1" applyProtection="1">
      <alignment vertical="center"/>
      <protection locked="0"/>
    </xf>
    <xf numFmtId="179" fontId="16" fillId="0" borderId="19" xfId="7" applyNumberFormat="1" applyFont="1" applyBorder="1">
      <alignment vertical="center"/>
    </xf>
    <xf numFmtId="49" fontId="7" fillId="10" borderId="0" xfId="4" applyNumberFormat="1" applyFont="1" applyFill="1" applyAlignment="1">
      <alignment horizontal="right" vertical="top"/>
    </xf>
    <xf numFmtId="38" fontId="16" fillId="0" borderId="14" xfId="9" applyFont="1" applyFill="1" applyBorder="1" applyAlignment="1">
      <alignment vertical="center"/>
    </xf>
    <xf numFmtId="38" fontId="16" fillId="0" borderId="19" xfId="9" applyFont="1" applyFill="1" applyBorder="1" applyAlignment="1">
      <alignment vertical="center"/>
    </xf>
    <xf numFmtId="0" fontId="16" fillId="10" borderId="0" xfId="4" applyFont="1" applyFill="1" applyAlignment="1">
      <alignment horizontal="left" vertical="center"/>
    </xf>
    <xf numFmtId="0" fontId="7" fillId="0" borderId="0" xfId="4" applyFont="1" applyAlignment="1">
      <alignment vertical="top" wrapText="1"/>
    </xf>
    <xf numFmtId="179" fontId="16" fillId="9" borderId="14" xfId="4" applyNumberFormat="1" applyFont="1" applyFill="1" applyBorder="1" applyAlignment="1" applyProtection="1">
      <alignment vertical="center"/>
      <protection locked="0"/>
    </xf>
    <xf numFmtId="0" fontId="0" fillId="11" borderId="19" xfId="0" applyFill="1" applyBorder="1">
      <alignment vertical="center"/>
    </xf>
    <xf numFmtId="0" fontId="16" fillId="0" borderId="0" xfId="4" applyFont="1" applyAlignment="1">
      <alignment horizontal="left" vertical="center"/>
    </xf>
    <xf numFmtId="179" fontId="16" fillId="0" borderId="0" xfId="7" applyNumberFormat="1" applyFont="1">
      <alignment vertical="center"/>
    </xf>
    <xf numFmtId="0" fontId="0" fillId="11" borderId="0" xfId="0" applyFill="1">
      <alignment vertical="center"/>
    </xf>
    <xf numFmtId="38" fontId="16" fillId="0" borderId="0" xfId="9" applyFont="1" applyFill="1" applyBorder="1" applyAlignment="1">
      <alignment vertical="center"/>
    </xf>
    <xf numFmtId="0" fontId="34" fillId="0" borderId="0" xfId="0" applyFont="1">
      <alignment vertical="center"/>
    </xf>
    <xf numFmtId="0" fontId="14" fillId="10" borderId="0" xfId="4" applyFont="1" applyFill="1" applyAlignment="1">
      <alignment horizontal="left" vertical="center"/>
    </xf>
    <xf numFmtId="0" fontId="14" fillId="10" borderId="0" xfId="4" applyFont="1" applyFill="1" applyAlignment="1">
      <alignment horizontal="center" vertical="center"/>
    </xf>
    <xf numFmtId="0" fontId="14" fillId="10" borderId="0" xfId="4" applyFont="1" applyFill="1"/>
    <xf numFmtId="0" fontId="14" fillId="0" borderId="0" xfId="4" applyFont="1"/>
    <xf numFmtId="0" fontId="14" fillId="0" borderId="0" xfId="4" applyFont="1" applyAlignment="1">
      <alignment horizontal="center" vertical="center"/>
    </xf>
    <xf numFmtId="0" fontId="14" fillId="0" borderId="34" xfId="4" applyFont="1" applyBorder="1" applyAlignment="1">
      <alignment vertical="center"/>
    </xf>
    <xf numFmtId="0" fontId="14" fillId="0" borderId="21" xfId="4" applyFont="1" applyBorder="1" applyAlignment="1">
      <alignment vertical="center"/>
    </xf>
    <xf numFmtId="0" fontId="14" fillId="10" borderId="19" xfId="4" applyFont="1" applyFill="1" applyBorder="1" applyAlignment="1">
      <alignment vertical="center"/>
    </xf>
    <xf numFmtId="0" fontId="14" fillId="0" borderId="16" xfId="4" applyFont="1" applyBorder="1" applyAlignment="1">
      <alignment vertical="center"/>
    </xf>
    <xf numFmtId="38" fontId="14" fillId="0" borderId="18" xfId="8" applyFont="1" applyFill="1" applyBorder="1" applyAlignment="1" applyProtection="1">
      <alignment horizontal="right" vertical="center"/>
    </xf>
    <xf numFmtId="38" fontId="14" fillId="0" borderId="0" xfId="8" applyFont="1" applyFill="1" applyBorder="1" applyAlignment="1" applyProtection="1">
      <alignment horizontal="right" vertical="center"/>
    </xf>
    <xf numFmtId="0" fontId="14" fillId="0" borderId="22" xfId="4" applyFont="1" applyBorder="1" applyAlignment="1">
      <alignment vertical="center"/>
    </xf>
    <xf numFmtId="0" fontId="14" fillId="10" borderId="14" xfId="4" applyFont="1" applyFill="1" applyBorder="1" applyAlignment="1">
      <alignment vertical="center"/>
    </xf>
    <xf numFmtId="0" fontId="14" fillId="10" borderId="19" xfId="4" applyFont="1" applyFill="1" applyBorder="1" applyAlignment="1">
      <alignment vertical="center" shrinkToFit="1"/>
    </xf>
    <xf numFmtId="38" fontId="14" fillId="0" borderId="35" xfId="8" applyFont="1" applyFill="1" applyBorder="1" applyAlignment="1" applyProtection="1">
      <alignment horizontal="right" vertical="center" wrapText="1"/>
    </xf>
    <xf numFmtId="38" fontId="14" fillId="0" borderId="0" xfId="8" applyFont="1" applyFill="1" applyBorder="1" applyAlignment="1" applyProtection="1">
      <alignment horizontal="right" vertical="center" wrapText="1"/>
    </xf>
    <xf numFmtId="0" fontId="14" fillId="10" borderId="34" xfId="4" applyFont="1" applyFill="1" applyBorder="1" applyAlignment="1">
      <alignment vertical="center" wrapText="1"/>
    </xf>
    <xf numFmtId="0" fontId="14" fillId="10" borderId="23" xfId="4" applyFont="1" applyFill="1" applyBorder="1" applyAlignment="1">
      <alignment vertical="center" wrapText="1"/>
    </xf>
    <xf numFmtId="0" fontId="14" fillId="10" borderId="14" xfId="4" applyFont="1" applyFill="1" applyBorder="1" applyAlignment="1">
      <alignment vertical="center" shrinkToFit="1"/>
    </xf>
    <xf numFmtId="38" fontId="13" fillId="0" borderId="25" xfId="8" applyFont="1" applyFill="1" applyBorder="1" applyAlignment="1" applyProtection="1">
      <alignment horizontal="right" vertical="center"/>
    </xf>
    <xf numFmtId="38" fontId="13" fillId="0" borderId="0" xfId="8" applyFont="1" applyFill="1" applyBorder="1" applyAlignment="1" applyProtection="1">
      <alignment horizontal="right" vertical="center"/>
    </xf>
    <xf numFmtId="0" fontId="14" fillId="10" borderId="34" xfId="4" applyFont="1" applyFill="1" applyBorder="1" applyAlignment="1">
      <alignment horizontal="center" vertical="center" wrapText="1"/>
    </xf>
    <xf numFmtId="0" fontId="14" fillId="10" borderId="22" xfId="4" applyFont="1" applyFill="1" applyBorder="1" applyAlignment="1">
      <alignment horizontal="center" vertical="center" wrapText="1"/>
    </xf>
    <xf numFmtId="0" fontId="14" fillId="10" borderId="24" xfId="4" applyFont="1" applyFill="1" applyBorder="1" applyAlignment="1">
      <alignment vertical="center"/>
    </xf>
    <xf numFmtId="38" fontId="13" fillId="10" borderId="5" xfId="8" applyFont="1" applyFill="1" applyBorder="1" applyAlignment="1" applyProtection="1">
      <alignment horizontal="right" vertical="center"/>
    </xf>
    <xf numFmtId="38" fontId="13" fillId="0" borderId="0" xfId="8" applyFont="1" applyFill="1" applyBorder="1" applyAlignment="1" applyProtection="1">
      <alignment vertical="center"/>
    </xf>
    <xf numFmtId="0" fontId="14" fillId="10" borderId="34" xfId="4" applyFont="1" applyFill="1" applyBorder="1" applyAlignment="1">
      <alignment horizontal="center" vertical="center"/>
    </xf>
    <xf numFmtId="0" fontId="14" fillId="10" borderId="22" xfId="4" applyFont="1" applyFill="1" applyBorder="1" applyAlignment="1">
      <alignment horizontal="center" vertical="center"/>
    </xf>
    <xf numFmtId="38" fontId="13" fillId="0" borderId="5" xfId="8" applyFont="1" applyFill="1" applyBorder="1" applyAlignment="1" applyProtection="1">
      <alignment horizontal="right" vertical="center"/>
    </xf>
    <xf numFmtId="0" fontId="27" fillId="10" borderId="34" xfId="4" applyFont="1" applyFill="1" applyBorder="1" applyAlignment="1">
      <alignment horizontal="center" vertical="center"/>
    </xf>
    <xf numFmtId="0" fontId="27" fillId="10" borderId="22" xfId="4" applyFont="1" applyFill="1" applyBorder="1" applyAlignment="1">
      <alignment horizontal="center" vertical="center"/>
    </xf>
    <xf numFmtId="38" fontId="13" fillId="0" borderId="15" xfId="8" applyFont="1" applyFill="1" applyBorder="1" applyAlignment="1" applyProtection="1">
      <alignment horizontal="right" vertical="center"/>
    </xf>
    <xf numFmtId="0" fontId="35" fillId="0" borderId="0" xfId="4" applyFont="1" applyAlignment="1">
      <alignment horizontal="left" vertical="center"/>
    </xf>
    <xf numFmtId="38" fontId="0" fillId="0" borderId="0" xfId="0" applyNumberFormat="1">
      <alignment vertical="center"/>
    </xf>
    <xf numFmtId="0" fontId="14" fillId="10" borderId="25" xfId="4" applyFont="1" applyFill="1" applyBorder="1" applyAlignment="1">
      <alignment horizontal="center" vertical="center"/>
    </xf>
    <xf numFmtId="38" fontId="14" fillId="0" borderId="36" xfId="8" applyFont="1" applyFill="1" applyBorder="1" applyAlignment="1" applyProtection="1">
      <alignment horizontal="right" vertical="center"/>
    </xf>
    <xf numFmtId="0" fontId="16" fillId="0" borderId="0" xfId="4" applyFont="1" applyAlignment="1">
      <alignment vertical="center" shrinkToFit="1"/>
    </xf>
    <xf numFmtId="0" fontId="36" fillId="0" borderId="0" xfId="4" applyFont="1" applyAlignment="1">
      <alignment horizontal="center" vertical="center"/>
    </xf>
    <xf numFmtId="0" fontId="36" fillId="0" borderId="0" xfId="4" applyFont="1" applyAlignment="1">
      <alignment vertical="center"/>
    </xf>
    <xf numFmtId="0" fontId="14" fillId="0" borderId="0" xfId="4" applyFont="1" applyAlignment="1">
      <alignment horizontal="left" vertical="center"/>
    </xf>
    <xf numFmtId="0" fontId="13" fillId="0" borderId="0" xfId="0" applyFont="1" applyAlignment="1">
      <alignment vertical="center" shrinkToFit="1"/>
    </xf>
    <xf numFmtId="0" fontId="14" fillId="0" borderId="21" xfId="0" applyFont="1" applyBorder="1">
      <alignment vertical="center"/>
    </xf>
    <xf numFmtId="0" fontId="14" fillId="0" borderId="16" xfId="0" applyFont="1" applyBorder="1">
      <alignment vertical="center"/>
    </xf>
    <xf numFmtId="0" fontId="13" fillId="0" borderId="16" xfId="0" applyFont="1" applyBorder="1" applyAlignment="1">
      <alignment vertical="center" shrinkToFit="1"/>
    </xf>
    <xf numFmtId="0" fontId="13" fillId="0" borderId="18" xfId="0" applyFont="1" applyBorder="1" applyAlignment="1">
      <alignment horizontal="right" vertical="center"/>
    </xf>
    <xf numFmtId="0" fontId="14" fillId="0" borderId="23" xfId="0" applyFont="1" applyBorder="1">
      <alignment vertical="center"/>
    </xf>
    <xf numFmtId="0" fontId="14" fillId="0" borderId="14" xfId="0" applyFont="1" applyBorder="1">
      <alignment vertical="center"/>
    </xf>
    <xf numFmtId="0" fontId="13" fillId="0" borderId="19" xfId="0" applyFont="1" applyBorder="1" applyAlignment="1">
      <alignment vertical="center" shrinkToFit="1"/>
    </xf>
    <xf numFmtId="38" fontId="14" fillId="0" borderId="0" xfId="8" applyFont="1" applyFill="1" applyBorder="1" applyAlignment="1" applyProtection="1">
      <alignment vertical="center" wrapText="1"/>
    </xf>
    <xf numFmtId="0" fontId="13" fillId="0" borderId="20" xfId="0" applyFont="1" applyBorder="1" applyAlignment="1">
      <alignment vertical="center" shrinkToFit="1"/>
    </xf>
    <xf numFmtId="0" fontId="13" fillId="0" borderId="28" xfId="0" applyFont="1" applyBorder="1" applyAlignment="1">
      <alignment vertical="center" shrinkToFit="1"/>
    </xf>
    <xf numFmtId="38" fontId="13" fillId="10" borderId="25" xfId="8" applyFont="1" applyFill="1" applyBorder="1" applyAlignment="1" applyProtection="1">
      <alignment horizontal="right" vertical="center"/>
    </xf>
    <xf numFmtId="0" fontId="13" fillId="0" borderId="18" xfId="0" applyFont="1" applyBorder="1" applyAlignment="1">
      <alignment vertical="center" shrinkToFit="1"/>
    </xf>
    <xf numFmtId="0" fontId="14" fillId="0" borderId="25" xfId="0" applyFont="1" applyBorder="1">
      <alignment vertical="center"/>
    </xf>
    <xf numFmtId="0" fontId="14" fillId="0" borderId="0" xfId="4" applyFont="1" applyAlignment="1">
      <alignment vertical="center" shrinkToFit="1"/>
    </xf>
    <xf numFmtId="38" fontId="14" fillId="0" borderId="0" xfId="8" applyFont="1" applyFill="1" applyBorder="1" applyAlignment="1" applyProtection="1">
      <alignment vertical="center"/>
    </xf>
    <xf numFmtId="38" fontId="13" fillId="0" borderId="0" xfId="0" applyNumberFormat="1" applyFont="1">
      <alignment vertical="center"/>
    </xf>
    <xf numFmtId="0" fontId="14" fillId="0" borderId="19" xfId="0" applyFont="1" applyBorder="1">
      <alignment vertical="center"/>
    </xf>
    <xf numFmtId="38" fontId="13" fillId="0" borderId="18" xfId="0" applyNumberFormat="1" applyFont="1" applyBorder="1" applyAlignment="1">
      <alignment horizontal="right" vertical="center"/>
    </xf>
    <xf numFmtId="0" fontId="14" fillId="0" borderId="24" xfId="0" applyFont="1" applyBorder="1">
      <alignment vertical="center"/>
    </xf>
    <xf numFmtId="0" fontId="13" fillId="0" borderId="27" xfId="0" applyFont="1" applyBorder="1" applyAlignment="1">
      <alignment vertical="center" shrinkToFit="1"/>
    </xf>
    <xf numFmtId="0" fontId="13" fillId="0" borderId="23" xfId="0" applyFont="1" applyBorder="1">
      <alignment vertical="center"/>
    </xf>
    <xf numFmtId="0" fontId="13" fillId="0" borderId="14" xfId="0" applyFont="1" applyBorder="1">
      <alignment vertical="center"/>
    </xf>
    <xf numFmtId="0" fontId="13" fillId="0" borderId="25" xfId="0" applyFont="1" applyBorder="1">
      <alignment vertical="center"/>
    </xf>
    <xf numFmtId="0" fontId="14" fillId="0" borderId="5" xfId="2" applyFont="1" applyBorder="1" applyAlignment="1">
      <alignment horizontal="center" vertical="center"/>
    </xf>
    <xf numFmtId="0" fontId="26" fillId="0" borderId="0" xfId="2" applyFont="1" applyAlignment="1">
      <alignment horizontal="center" vertical="center" wrapText="1"/>
    </xf>
    <xf numFmtId="0" fontId="26" fillId="0" borderId="0" xfId="2" applyFont="1" applyAlignment="1">
      <alignment vertical="center" wrapText="1"/>
    </xf>
    <xf numFmtId="0" fontId="40" fillId="0" borderId="0" xfId="2" applyFont="1" applyAlignment="1">
      <alignment horizontal="center" vertical="center"/>
    </xf>
    <xf numFmtId="0" fontId="40" fillId="0" borderId="0" xfId="2" applyFont="1" applyAlignment="1">
      <alignment horizontal="left" vertical="center"/>
    </xf>
    <xf numFmtId="0" fontId="14" fillId="0" borderId="5" xfId="2" applyFont="1" applyBorder="1">
      <alignment vertical="center"/>
    </xf>
    <xf numFmtId="0" fontId="13" fillId="0" borderId="5" xfId="2" applyFont="1" applyBorder="1" applyAlignment="1">
      <alignment vertical="center" shrinkToFit="1"/>
    </xf>
    <xf numFmtId="0" fontId="26" fillId="0" borderId="0" xfId="2" applyFont="1">
      <alignment vertical="center"/>
    </xf>
    <xf numFmtId="0" fontId="41" fillId="0" borderId="0" xfId="2" applyFont="1">
      <alignment vertical="center"/>
    </xf>
    <xf numFmtId="38" fontId="26" fillId="0" borderId="0" xfId="1" applyFont="1" applyFill="1" applyAlignment="1" applyProtection="1">
      <alignment horizontal="left" vertical="center"/>
    </xf>
    <xf numFmtId="0" fontId="14" fillId="0" borderId="5" xfId="2" applyFont="1" applyBorder="1" applyProtection="1">
      <alignment vertical="center"/>
      <protection locked="0"/>
    </xf>
    <xf numFmtId="178" fontId="14" fillId="0" borderId="5" xfId="1" applyNumberFormat="1" applyFont="1" applyFill="1" applyBorder="1" applyProtection="1">
      <alignment vertical="center"/>
    </xf>
    <xf numFmtId="0" fontId="26" fillId="0" borderId="0" xfId="2" applyFont="1" applyAlignment="1">
      <alignment horizontal="right" vertical="center"/>
    </xf>
    <xf numFmtId="0" fontId="17" fillId="0" borderId="5" xfId="1" applyNumberFormat="1" applyFont="1" applyFill="1" applyBorder="1" applyAlignment="1" applyProtection="1">
      <alignment vertical="center" shrinkToFit="1"/>
    </xf>
    <xf numFmtId="0" fontId="13" fillId="0" borderId="5" xfId="2" applyFont="1" applyBorder="1">
      <alignment vertical="center"/>
    </xf>
    <xf numFmtId="58" fontId="13" fillId="0" borderId="14" xfId="2" applyNumberFormat="1" applyFont="1" applyBorder="1" applyAlignment="1">
      <alignment horizontal="left" vertical="center" shrinkToFit="1"/>
    </xf>
    <xf numFmtId="181" fontId="14" fillId="0" borderId="5" xfId="1" applyNumberFormat="1" applyFont="1" applyFill="1" applyBorder="1" applyProtection="1">
      <alignment vertical="center"/>
    </xf>
    <xf numFmtId="0" fontId="13" fillId="0" borderId="14" xfId="2" applyFont="1" applyBorder="1" applyAlignment="1">
      <alignment vertical="center" shrinkToFit="1"/>
    </xf>
    <xf numFmtId="0" fontId="14" fillId="0" borderId="14" xfId="2" applyFont="1" applyBorder="1">
      <alignment vertical="center"/>
    </xf>
    <xf numFmtId="182" fontId="14" fillId="0" borderId="5" xfId="1" applyNumberFormat="1" applyFont="1" applyFill="1" applyBorder="1" applyProtection="1">
      <alignment vertical="center"/>
    </xf>
    <xf numFmtId="0" fontId="19" fillId="0" borderId="0" xfId="2" applyFont="1" applyAlignment="1">
      <alignment vertical="center" shrinkToFit="1"/>
    </xf>
    <xf numFmtId="38" fontId="14" fillId="0" borderId="16" xfId="1" applyFont="1" applyFill="1" applyBorder="1" applyProtection="1">
      <alignment vertical="center"/>
    </xf>
    <xf numFmtId="38" fontId="14" fillId="0" borderId="27" xfId="1" applyFont="1" applyFill="1" applyBorder="1" applyProtection="1">
      <alignment vertical="center"/>
    </xf>
    <xf numFmtId="58" fontId="13" fillId="0" borderId="5" xfId="2" applyNumberFormat="1" applyFont="1" applyBorder="1" applyAlignment="1">
      <alignment vertical="center" shrinkToFit="1"/>
    </xf>
    <xf numFmtId="0" fontId="13" fillId="0" borderId="15" xfId="2" applyFont="1" applyBorder="1">
      <alignment vertical="center"/>
    </xf>
    <xf numFmtId="0" fontId="13" fillId="0" borderId="15" xfId="2" applyFont="1" applyBorder="1" applyAlignment="1">
      <alignment vertical="center" shrinkToFit="1"/>
    </xf>
    <xf numFmtId="178" fontId="14" fillId="0" borderId="15" xfId="1" applyNumberFormat="1" applyFont="1" applyFill="1" applyBorder="1" applyProtection="1">
      <alignment vertical="center"/>
    </xf>
    <xf numFmtId="0" fontId="14" fillId="0" borderId="16" xfId="2" applyFont="1" applyBorder="1">
      <alignment vertical="center"/>
    </xf>
    <xf numFmtId="0" fontId="14" fillId="0" borderId="16" xfId="2" applyFont="1" applyBorder="1" applyAlignment="1">
      <alignment vertical="center" shrinkToFit="1"/>
    </xf>
    <xf numFmtId="178" fontId="14" fillId="0" borderId="16" xfId="1" applyNumberFormat="1" applyFont="1" applyFill="1" applyBorder="1" applyProtection="1">
      <alignment vertical="center"/>
    </xf>
    <xf numFmtId="0" fontId="14" fillId="0" borderId="0" xfId="2" applyFont="1" applyAlignment="1">
      <alignment vertical="center" shrinkToFit="1"/>
    </xf>
    <xf numFmtId="178" fontId="14" fillId="0" borderId="0" xfId="1" applyNumberFormat="1" applyFont="1" applyFill="1" applyBorder="1" applyProtection="1">
      <alignment vertical="center"/>
    </xf>
    <xf numFmtId="178" fontId="14" fillId="0" borderId="0" xfId="1" applyNumberFormat="1" applyFont="1">
      <alignment vertical="center"/>
    </xf>
    <xf numFmtId="0" fontId="14" fillId="0" borderId="0" xfId="2" applyFont="1" applyProtection="1">
      <alignment vertical="center"/>
      <protection locked="0"/>
    </xf>
    <xf numFmtId="0" fontId="14" fillId="0" borderId="5" xfId="2" applyFont="1" applyBorder="1" applyAlignment="1" applyProtection="1">
      <alignment vertical="center" shrinkToFit="1"/>
      <protection locked="0"/>
    </xf>
    <xf numFmtId="178" fontId="14" fillId="0" borderId="5" xfId="1" applyNumberFormat="1" applyFont="1" applyFill="1" applyBorder="1" applyProtection="1">
      <alignment vertical="center"/>
      <protection locked="0"/>
    </xf>
    <xf numFmtId="0" fontId="27" fillId="0" borderId="5" xfId="2" applyFont="1" applyBorder="1" applyAlignment="1">
      <alignment vertical="center" shrinkToFit="1"/>
    </xf>
    <xf numFmtId="0" fontId="2" fillId="0" borderId="5" xfId="2" applyFont="1" applyBorder="1" applyAlignment="1">
      <alignment vertical="center" shrinkToFit="1"/>
    </xf>
    <xf numFmtId="0" fontId="14" fillId="0" borderId="20" xfId="2" applyFont="1" applyBorder="1" applyAlignment="1">
      <alignment horizontal="right" vertical="center" shrinkToFit="1"/>
    </xf>
    <xf numFmtId="0" fontId="14" fillId="0" borderId="20" xfId="2" applyFont="1" applyBorder="1" applyAlignment="1">
      <alignment horizontal="right" vertical="center"/>
    </xf>
    <xf numFmtId="0" fontId="16" fillId="0" borderId="0" xfId="4" applyFont="1" applyAlignment="1">
      <alignment vertical="center" wrapText="1"/>
    </xf>
    <xf numFmtId="0" fontId="16" fillId="10" borderId="5" xfId="4" applyFont="1" applyFill="1" applyBorder="1" applyAlignment="1">
      <alignment horizontal="center" vertical="center" shrinkToFit="1"/>
    </xf>
    <xf numFmtId="0" fontId="16" fillId="0" borderId="14" xfId="4" applyFont="1" applyBorder="1" applyAlignment="1">
      <alignment horizontal="left" vertical="center"/>
    </xf>
    <xf numFmtId="0" fontId="16" fillId="0" borderId="19" xfId="4" applyFont="1" applyBorder="1" applyAlignment="1">
      <alignment horizontal="left" vertical="center"/>
    </xf>
    <xf numFmtId="0" fontId="16" fillId="0" borderId="20" xfId="4" applyFont="1" applyBorder="1" applyAlignment="1">
      <alignment horizontal="left" vertical="center"/>
    </xf>
    <xf numFmtId="0" fontId="16" fillId="0" borderId="5" xfId="4" applyFont="1" applyBorder="1" applyAlignment="1">
      <alignment horizontal="center" vertical="center"/>
    </xf>
    <xf numFmtId="0" fontId="16" fillId="10" borderId="5" xfId="4" applyFont="1" applyFill="1" applyBorder="1" applyAlignment="1">
      <alignment horizontal="center" vertical="center"/>
    </xf>
    <xf numFmtId="0" fontId="16" fillId="10" borderId="5" xfId="0" applyFont="1" applyFill="1" applyBorder="1" applyAlignment="1">
      <alignment horizontal="center" vertical="center" shrinkToFit="1"/>
    </xf>
    <xf numFmtId="179" fontId="16" fillId="0" borderId="14" xfId="7" applyNumberFormat="1" applyFont="1" applyBorder="1">
      <alignment vertical="center"/>
    </xf>
    <xf numFmtId="179" fontId="16" fillId="0" borderId="20" xfId="7" applyNumberFormat="1" applyFont="1" applyBorder="1">
      <alignment vertical="center"/>
    </xf>
    <xf numFmtId="49" fontId="28" fillId="0" borderId="22" xfId="4" applyNumberFormat="1" applyFont="1" applyBorder="1" applyAlignment="1">
      <alignment vertical="center"/>
    </xf>
    <xf numFmtId="49" fontId="28" fillId="0" borderId="24" xfId="4" applyNumberFormat="1" applyFont="1" applyBorder="1" applyAlignment="1">
      <alignment vertical="center"/>
    </xf>
    <xf numFmtId="0" fontId="16" fillId="10" borderId="0" xfId="4" applyFont="1" applyFill="1" applyAlignment="1">
      <alignment horizontal="right" vertical="top"/>
    </xf>
    <xf numFmtId="0" fontId="16" fillId="0" borderId="20" xfId="4" applyFont="1" applyBorder="1" applyAlignment="1">
      <alignment horizontal="center" vertical="center"/>
    </xf>
    <xf numFmtId="0" fontId="16" fillId="0" borderId="14" xfId="4" applyFont="1" applyBorder="1" applyAlignment="1">
      <alignment vertical="center" shrinkToFit="1"/>
    </xf>
    <xf numFmtId="0" fontId="16" fillId="0" borderId="20" xfId="4" applyFont="1" applyBorder="1" applyAlignment="1">
      <alignment vertical="center" shrinkToFit="1"/>
    </xf>
    <xf numFmtId="0" fontId="16" fillId="10" borderId="21" xfId="4" applyFont="1" applyFill="1" applyBorder="1" applyAlignment="1">
      <alignment horizontal="center" vertical="center" wrapText="1"/>
    </xf>
    <xf numFmtId="0" fontId="16" fillId="10" borderId="18" xfId="4" applyFont="1" applyFill="1" applyBorder="1" applyAlignment="1">
      <alignment horizontal="center" vertical="center" wrapText="1"/>
    </xf>
    <xf numFmtId="0" fontId="16" fillId="0" borderId="21" xfId="4" applyFont="1" applyBorder="1" applyAlignment="1">
      <alignment horizontal="center" vertical="center" wrapText="1"/>
    </xf>
    <xf numFmtId="0" fontId="16" fillId="0" borderId="16" xfId="4" applyFont="1" applyBorder="1" applyAlignment="1">
      <alignment horizontal="center" vertical="center" wrapText="1"/>
    </xf>
    <xf numFmtId="0" fontId="16" fillId="0" borderId="18" xfId="4" applyFont="1" applyBorder="1" applyAlignment="1">
      <alignment horizontal="center" vertical="center" wrapText="1"/>
    </xf>
    <xf numFmtId="0" fontId="16" fillId="0" borderId="15" xfId="4" applyFont="1" applyBorder="1" applyAlignment="1">
      <alignment horizontal="center" vertical="center" wrapText="1"/>
    </xf>
    <xf numFmtId="0" fontId="16" fillId="0" borderId="25" xfId="4" applyFont="1" applyBorder="1" applyAlignment="1">
      <alignment horizontal="right" vertical="center"/>
    </xf>
    <xf numFmtId="0" fontId="16" fillId="0" borderId="23" xfId="4" applyFont="1" applyBorder="1" applyAlignment="1">
      <alignment horizontal="right" vertical="center"/>
    </xf>
    <xf numFmtId="0" fontId="16" fillId="0" borderId="34" xfId="4" applyFont="1" applyBorder="1" applyAlignment="1" applyProtection="1">
      <alignment vertical="center"/>
      <protection locked="0"/>
    </xf>
    <xf numFmtId="180" fontId="16" fillId="0" borderId="25" xfId="4" applyNumberFormat="1" applyFont="1" applyBorder="1" applyAlignment="1">
      <alignment horizontal="right" vertical="center"/>
    </xf>
    <xf numFmtId="179" fontId="16" fillId="0" borderId="25" xfId="4" applyNumberFormat="1" applyFont="1" applyBorder="1" applyAlignment="1" applyProtection="1">
      <alignment vertical="center"/>
      <protection locked="0"/>
    </xf>
    <xf numFmtId="49" fontId="16" fillId="0" borderId="21" xfId="4" applyNumberFormat="1" applyFont="1" applyBorder="1" applyAlignment="1">
      <alignment vertical="center"/>
    </xf>
    <xf numFmtId="179" fontId="16" fillId="0" borderId="5" xfId="4" applyNumberFormat="1" applyFont="1" applyBorder="1" applyAlignment="1" applyProtection="1">
      <alignment vertical="center"/>
      <protection locked="0"/>
    </xf>
    <xf numFmtId="0" fontId="16" fillId="0" borderId="22" xfId="4" applyFont="1" applyBorder="1" applyAlignment="1">
      <alignment horizontal="center" vertical="center"/>
    </xf>
    <xf numFmtId="0" fontId="44" fillId="0" borderId="0" xfId="4" applyFont="1"/>
    <xf numFmtId="0" fontId="16" fillId="0" borderId="24" xfId="4" applyFont="1" applyBorder="1" applyAlignment="1">
      <alignment horizontal="center" vertical="center"/>
    </xf>
    <xf numFmtId="0" fontId="16" fillId="0" borderId="21" xfId="4" applyFont="1" applyBorder="1" applyAlignment="1">
      <alignment vertical="center"/>
    </xf>
    <xf numFmtId="0" fontId="28" fillId="0" borderId="23" xfId="4" applyFont="1" applyBorder="1" applyProtection="1">
      <protection locked="0"/>
    </xf>
    <xf numFmtId="0" fontId="16" fillId="0" borderId="16" xfId="4" applyFont="1" applyBorder="1" applyAlignment="1">
      <alignment horizontal="center" vertical="center"/>
    </xf>
    <xf numFmtId="0" fontId="16" fillId="0" borderId="19" xfId="4" applyFont="1" applyBorder="1" applyAlignment="1">
      <alignment horizontal="center" vertical="center"/>
    </xf>
    <xf numFmtId="0" fontId="16" fillId="0" borderId="25" xfId="4" applyFont="1" applyBorder="1" applyAlignment="1">
      <alignment vertical="center" shrinkToFit="1"/>
    </xf>
    <xf numFmtId="0" fontId="16" fillId="0" borderId="23" xfId="4" applyFont="1" applyBorder="1" applyAlignment="1">
      <alignment vertical="center"/>
    </xf>
    <xf numFmtId="0" fontId="16" fillId="0" borderId="23" xfId="4" applyFont="1" applyBorder="1" applyAlignment="1">
      <alignment vertical="center" shrinkToFit="1"/>
    </xf>
    <xf numFmtId="0" fontId="16" fillId="0" borderId="5" xfId="4" applyFont="1" applyBorder="1" applyAlignment="1" applyProtection="1">
      <alignment vertical="center"/>
      <protection locked="0"/>
    </xf>
    <xf numFmtId="180" fontId="16" fillId="0" borderId="5" xfId="4" applyNumberFormat="1" applyFont="1" applyBorder="1" applyAlignment="1" applyProtection="1">
      <alignment horizontal="right" vertical="center"/>
      <protection locked="0"/>
    </xf>
    <xf numFmtId="0" fontId="16" fillId="0" borderId="0" xfId="4" applyFont="1"/>
    <xf numFmtId="38" fontId="16" fillId="0" borderId="0" xfId="6" applyFont="1" applyFill="1" applyBorder="1" applyAlignment="1" applyProtection="1">
      <alignment vertical="center"/>
    </xf>
    <xf numFmtId="0" fontId="16" fillId="0" borderId="5" xfId="4" applyFont="1" applyBorder="1" applyAlignment="1">
      <alignment horizontal="left" vertical="center" shrinkToFit="1"/>
    </xf>
    <xf numFmtId="0" fontId="16" fillId="0" borderId="5" xfId="4" applyFont="1" applyBorder="1" applyAlignment="1">
      <alignment horizontal="left" vertical="center"/>
    </xf>
    <xf numFmtId="179" fontId="16" fillId="0" borderId="0" xfId="3" applyNumberFormat="1" applyFont="1" applyAlignment="1">
      <alignment vertical="center"/>
    </xf>
    <xf numFmtId="178" fontId="16" fillId="0" borderId="14" xfId="4" applyNumberFormat="1" applyFont="1" applyBorder="1" applyAlignment="1">
      <alignment vertical="center"/>
    </xf>
    <xf numFmtId="179" fontId="16" fillId="0" borderId="14" xfId="4" applyNumberFormat="1" applyFont="1" applyBorder="1" applyAlignment="1">
      <alignment vertical="center"/>
    </xf>
    <xf numFmtId="3" fontId="16" fillId="0" borderId="14" xfId="4" applyNumberFormat="1" applyFont="1" applyBorder="1" applyAlignment="1">
      <alignment vertical="center"/>
    </xf>
    <xf numFmtId="3" fontId="28" fillId="0" borderId="20" xfId="4" applyNumberFormat="1" applyFont="1" applyBorder="1"/>
    <xf numFmtId="3" fontId="16" fillId="0" borderId="14" xfId="4" applyNumberFormat="1" applyFont="1" applyBorder="1"/>
    <xf numFmtId="0" fontId="20" fillId="8" borderId="5" xfId="3" applyFont="1" applyFill="1" applyBorder="1" applyAlignment="1">
      <alignment horizontal="center" vertical="center"/>
    </xf>
    <xf numFmtId="0" fontId="20" fillId="8" borderId="15" xfId="3" applyFont="1" applyFill="1" applyBorder="1" applyAlignment="1">
      <alignment horizontal="center" vertical="center"/>
    </xf>
    <xf numFmtId="0" fontId="20" fillId="9" borderId="5" xfId="3" applyFont="1" applyFill="1" applyBorder="1" applyAlignment="1">
      <alignment horizontal="center" vertical="center"/>
    </xf>
    <xf numFmtId="0" fontId="13" fillId="0" borderId="14" xfId="4" applyFont="1" applyBorder="1" applyAlignment="1" applyProtection="1">
      <alignment horizontal="center" vertical="center"/>
      <protection locked="0"/>
    </xf>
    <xf numFmtId="0" fontId="13" fillId="0" borderId="19" xfId="4" applyFont="1" applyBorder="1" applyAlignment="1" applyProtection="1">
      <alignment horizontal="center" vertical="center"/>
      <protection locked="0"/>
    </xf>
    <xf numFmtId="0" fontId="13" fillId="0" borderId="20" xfId="4" applyFont="1" applyBorder="1" applyAlignment="1" applyProtection="1">
      <alignment horizontal="center" vertical="center"/>
      <protection locked="0"/>
    </xf>
    <xf numFmtId="0" fontId="16" fillId="0" borderId="37" xfId="4" applyFont="1" applyBorder="1" applyAlignment="1">
      <alignment horizontal="center" vertical="center"/>
    </xf>
    <xf numFmtId="0" fontId="16" fillId="0" borderId="38" xfId="4" applyFont="1" applyBorder="1" applyAlignment="1">
      <alignment horizontal="center" vertical="center"/>
    </xf>
    <xf numFmtId="0" fontId="16" fillId="0" borderId="14" xfId="4" applyFont="1" applyBorder="1" applyAlignment="1">
      <alignment horizontal="center" vertical="center" shrinkToFit="1"/>
    </xf>
    <xf numFmtId="0" fontId="16" fillId="0" borderId="20" xfId="4" applyFont="1" applyBorder="1" applyAlignment="1">
      <alignment horizontal="center" vertical="center" shrinkToFit="1"/>
    </xf>
    <xf numFmtId="0" fontId="28" fillId="0" borderId="14" xfId="4" applyFont="1" applyBorder="1" applyAlignment="1">
      <alignment horizontal="center" vertical="center" shrinkToFit="1"/>
    </xf>
    <xf numFmtId="0" fontId="28" fillId="0" borderId="20" xfId="4" applyFont="1" applyBorder="1" applyAlignment="1">
      <alignment horizontal="center" vertical="center" shrinkToFit="1"/>
    </xf>
    <xf numFmtId="0" fontId="16" fillId="0" borderId="5" xfId="4" applyFont="1" applyBorder="1" applyAlignment="1">
      <alignment horizontal="center" vertical="center"/>
    </xf>
    <xf numFmtId="179" fontId="16" fillId="0" borderId="5" xfId="3" applyNumberFormat="1" applyFont="1" applyBorder="1" applyAlignment="1">
      <alignment vertical="center" shrinkToFit="1"/>
    </xf>
    <xf numFmtId="0" fontId="16" fillId="0" borderId="14" xfId="4" applyFont="1" applyBorder="1" applyAlignment="1">
      <alignment vertical="center" shrinkToFit="1"/>
    </xf>
    <xf numFmtId="0" fontId="16" fillId="0" borderId="20" xfId="4" applyFont="1" applyBorder="1" applyAlignment="1">
      <alignment vertical="center" shrinkToFit="1"/>
    </xf>
    <xf numFmtId="179" fontId="16" fillId="0" borderId="14" xfId="3" applyNumberFormat="1" applyFont="1" applyBorder="1" applyAlignment="1">
      <alignment vertical="center" shrinkToFit="1"/>
    </xf>
    <xf numFmtId="179" fontId="16" fillId="0" borderId="20" xfId="3" applyNumberFormat="1" applyFont="1" applyBorder="1" applyAlignment="1">
      <alignment vertical="center" shrinkToFit="1"/>
    </xf>
    <xf numFmtId="0" fontId="16" fillId="0" borderId="14" xfId="4" applyFont="1" applyBorder="1" applyAlignment="1">
      <alignment horizontal="center" vertical="center"/>
    </xf>
    <xf numFmtId="0" fontId="16" fillId="0" borderId="20" xfId="4" applyFont="1" applyBorder="1" applyAlignment="1">
      <alignment horizontal="center" vertical="center"/>
    </xf>
    <xf numFmtId="179" fontId="16" fillId="0" borderId="21" xfId="3" applyNumberFormat="1" applyFont="1" applyBorder="1" applyAlignment="1">
      <alignment vertical="center" shrinkToFit="1"/>
    </xf>
    <xf numFmtId="179" fontId="16" fillId="0" borderId="16" xfId="3" applyNumberFormat="1" applyFont="1" applyBorder="1" applyAlignment="1">
      <alignment vertical="center" shrinkToFit="1"/>
    </xf>
    <xf numFmtId="0" fontId="16" fillId="0" borderId="14" xfId="4" applyFont="1" applyBorder="1" applyAlignment="1">
      <alignment horizontal="left" vertical="center"/>
    </xf>
    <xf numFmtId="0" fontId="16" fillId="0" borderId="19" xfId="4" applyFont="1" applyBorder="1" applyAlignment="1">
      <alignment horizontal="left" vertical="center"/>
    </xf>
    <xf numFmtId="0" fontId="16" fillId="0" borderId="20" xfId="4" applyFont="1" applyBorder="1" applyAlignment="1">
      <alignment horizontal="left" vertical="center"/>
    </xf>
    <xf numFmtId="0" fontId="16" fillId="0" borderId="0" xfId="4" applyFont="1" applyAlignment="1">
      <alignment horizontal="right"/>
    </xf>
    <xf numFmtId="0" fontId="30" fillId="0" borderId="0" xfId="4" applyFont="1" applyAlignment="1">
      <alignment horizontal="center" vertical="center"/>
    </xf>
    <xf numFmtId="0" fontId="16" fillId="0" borderId="21" xfId="4" applyFont="1" applyBorder="1" applyAlignment="1">
      <alignment horizontal="center" vertical="center" wrapText="1"/>
    </xf>
    <xf numFmtId="0" fontId="16" fillId="0" borderId="16" xfId="4" applyFont="1" applyBorder="1" applyAlignment="1">
      <alignment horizontal="center" vertical="center" wrapText="1"/>
    </xf>
    <xf numFmtId="0" fontId="16" fillId="0" borderId="18" xfId="4" applyFont="1" applyBorder="1" applyAlignment="1">
      <alignment horizontal="center" vertical="center" wrapText="1"/>
    </xf>
    <xf numFmtId="0" fontId="16" fillId="0" borderId="24" xfId="4" applyFont="1" applyBorder="1" applyAlignment="1">
      <alignment horizontal="center" vertical="center" wrapText="1"/>
    </xf>
    <xf numFmtId="0" fontId="16" fillId="0" borderId="27" xfId="4" applyFont="1" applyBorder="1" applyAlignment="1">
      <alignment horizontal="center" vertical="center" wrapText="1"/>
    </xf>
    <xf numFmtId="0" fontId="16" fillId="0" borderId="28" xfId="4" applyFont="1" applyBorder="1" applyAlignment="1">
      <alignment horizontal="center" vertical="center" wrapText="1"/>
    </xf>
    <xf numFmtId="0" fontId="16" fillId="0" borderId="19" xfId="4" applyFont="1" applyBorder="1" applyAlignment="1">
      <alignment vertical="center" shrinkToFit="1"/>
    </xf>
    <xf numFmtId="0" fontId="16" fillId="0" borderId="5" xfId="4" applyFont="1" applyBorder="1" applyAlignment="1">
      <alignment horizontal="left" vertical="center"/>
    </xf>
    <xf numFmtId="0" fontId="45" fillId="0" borderId="22" xfId="4" applyFont="1" applyBorder="1" applyAlignment="1">
      <alignment vertical="center"/>
    </xf>
    <xf numFmtId="0" fontId="45" fillId="0" borderId="24" xfId="4" applyFont="1" applyBorder="1" applyAlignment="1">
      <alignment vertical="center"/>
    </xf>
    <xf numFmtId="0" fontId="29" fillId="0" borderId="0" xfId="4" applyFont="1" applyAlignment="1">
      <alignment horizontal="center" vertical="center"/>
    </xf>
    <xf numFmtId="179" fontId="16" fillId="0" borderId="14" xfId="7" applyNumberFormat="1" applyFont="1" applyBorder="1">
      <alignment vertical="center"/>
    </xf>
    <xf numFmtId="179" fontId="16" fillId="0" borderId="20" xfId="7" applyNumberFormat="1" applyFont="1" applyBorder="1">
      <alignment vertical="center"/>
    </xf>
    <xf numFmtId="49" fontId="28" fillId="0" borderId="22" xfId="4" applyNumberFormat="1" applyFont="1" applyBorder="1" applyAlignment="1">
      <alignment vertical="center"/>
    </xf>
    <xf numFmtId="49" fontId="28" fillId="0" borderId="24" xfId="4" applyNumberFormat="1" applyFont="1" applyBorder="1" applyAlignment="1">
      <alignment vertical="center"/>
    </xf>
    <xf numFmtId="179" fontId="16" fillId="0" borderId="5" xfId="0" applyNumberFormat="1" applyFont="1" applyBorder="1" applyAlignment="1">
      <alignment vertical="center" shrinkToFit="1"/>
    </xf>
    <xf numFmtId="179" fontId="16" fillId="0" borderId="14" xfId="7" applyNumberFormat="1" applyFont="1" applyBorder="1" applyAlignment="1">
      <alignment vertical="center" shrinkToFit="1"/>
    </xf>
    <xf numFmtId="179" fontId="16" fillId="0" borderId="20" xfId="7" applyNumberFormat="1" applyFont="1" applyBorder="1" applyAlignment="1">
      <alignment vertical="center" shrinkToFit="1"/>
    </xf>
    <xf numFmtId="0" fontId="16" fillId="10" borderId="21" xfId="4" applyFont="1" applyFill="1" applyBorder="1" applyAlignment="1">
      <alignment horizontal="center" vertical="center" wrapText="1"/>
    </xf>
    <xf numFmtId="0" fontId="16" fillId="10" borderId="16" xfId="4" applyFont="1" applyFill="1" applyBorder="1" applyAlignment="1">
      <alignment horizontal="center" vertical="center" wrapText="1"/>
    </xf>
    <xf numFmtId="0" fontId="16" fillId="10" borderId="18" xfId="4" applyFont="1" applyFill="1" applyBorder="1" applyAlignment="1">
      <alignment horizontal="center" vertical="center" wrapText="1"/>
    </xf>
    <xf numFmtId="0" fontId="16" fillId="10" borderId="24" xfId="4" applyFont="1" applyFill="1" applyBorder="1" applyAlignment="1">
      <alignment horizontal="center" vertical="center" wrapText="1"/>
    </xf>
    <xf numFmtId="0" fontId="16" fillId="10" borderId="27" xfId="4" applyFont="1" applyFill="1" applyBorder="1" applyAlignment="1">
      <alignment horizontal="center" vertical="center" wrapText="1"/>
    </xf>
    <xf numFmtId="0" fontId="16" fillId="10" borderId="28" xfId="4" applyFont="1" applyFill="1" applyBorder="1" applyAlignment="1">
      <alignment horizontal="center" vertical="center" wrapText="1"/>
    </xf>
    <xf numFmtId="0" fontId="16" fillId="0" borderId="29" xfId="4" applyFont="1" applyBorder="1" applyAlignment="1">
      <alignment horizontal="center" vertical="center"/>
    </xf>
    <xf numFmtId="0" fontId="16" fillId="0" borderId="32" xfId="4" applyFont="1" applyBorder="1" applyAlignment="1">
      <alignment horizontal="center" vertical="center"/>
    </xf>
    <xf numFmtId="0" fontId="16" fillId="0" borderId="33" xfId="4" applyFont="1" applyBorder="1" applyAlignment="1">
      <alignment horizontal="center" vertical="center"/>
    </xf>
    <xf numFmtId="0" fontId="16" fillId="0" borderId="5" xfId="0" applyFont="1" applyBorder="1">
      <alignment vertical="center"/>
    </xf>
    <xf numFmtId="0" fontId="16" fillId="10" borderId="5" xfId="4" applyFont="1" applyFill="1" applyBorder="1" applyAlignment="1">
      <alignment horizontal="center" vertical="center" shrinkToFit="1"/>
    </xf>
    <xf numFmtId="0" fontId="16" fillId="0" borderId="5" xfId="4" applyFont="1" applyBorder="1" applyAlignment="1">
      <alignment horizontal="center" vertical="center" shrinkToFit="1"/>
    </xf>
    <xf numFmtId="0" fontId="16" fillId="10" borderId="21" xfId="4" applyFont="1" applyFill="1" applyBorder="1" applyAlignment="1">
      <alignment horizontal="center" vertical="center"/>
    </xf>
    <xf numFmtId="0" fontId="16" fillId="10" borderId="16" xfId="4" applyFont="1" applyFill="1" applyBorder="1" applyAlignment="1">
      <alignment horizontal="center" vertical="center"/>
    </xf>
    <xf numFmtId="0" fontId="16" fillId="10" borderId="18" xfId="4" applyFont="1" applyFill="1" applyBorder="1" applyAlignment="1">
      <alignment horizontal="center" vertical="center"/>
    </xf>
    <xf numFmtId="0" fontId="16" fillId="10" borderId="5" xfId="4" applyFont="1" applyFill="1" applyBorder="1" applyAlignment="1">
      <alignment horizontal="center" vertical="center"/>
    </xf>
    <xf numFmtId="179" fontId="16" fillId="10" borderId="5" xfId="5" applyNumberFormat="1" applyFont="1" applyFill="1" applyBorder="1" applyAlignment="1">
      <alignment horizontal="center" vertical="center" shrinkToFit="1"/>
    </xf>
    <xf numFmtId="0" fontId="16" fillId="10" borderId="5" xfId="0" applyFont="1" applyFill="1" applyBorder="1" applyAlignment="1">
      <alignment horizontal="center" vertical="center" shrinkToFit="1"/>
    </xf>
    <xf numFmtId="0" fontId="16" fillId="10" borderId="0" xfId="4" applyFont="1" applyFill="1" applyAlignment="1">
      <alignment horizontal="right" vertical="top"/>
    </xf>
    <xf numFmtId="0" fontId="14" fillId="0" borderId="14" xfId="2" applyFont="1" applyBorder="1" applyAlignment="1">
      <alignment horizontal="right" vertical="center"/>
    </xf>
    <xf numFmtId="0" fontId="14" fillId="0" borderId="20" xfId="2" applyFont="1" applyBorder="1" applyAlignment="1">
      <alignment horizontal="right" vertical="center"/>
    </xf>
    <xf numFmtId="0" fontId="26" fillId="0" borderId="0" xfId="2" applyFont="1" applyAlignment="1">
      <alignment horizontal="center" vertical="center" wrapText="1"/>
    </xf>
    <xf numFmtId="0" fontId="40" fillId="0" borderId="0" xfId="2" applyFont="1" applyAlignment="1">
      <alignment horizontal="center" vertical="center"/>
    </xf>
    <xf numFmtId="0" fontId="14" fillId="0" borderId="15" xfId="2" applyFont="1" applyBorder="1" applyAlignment="1">
      <alignment horizontal="center" vertical="center"/>
    </xf>
    <xf numFmtId="0" fontId="14" fillId="0" borderId="23" xfId="2" applyFont="1" applyBorder="1" applyAlignment="1">
      <alignment horizontal="center" vertical="center"/>
    </xf>
    <xf numFmtId="0" fontId="14" fillId="0" borderId="25" xfId="2" applyFont="1" applyBorder="1" applyAlignment="1">
      <alignment horizontal="center" vertical="center"/>
    </xf>
    <xf numFmtId="0" fontId="14" fillId="0" borderId="14" xfId="2" applyFont="1" applyBorder="1" applyAlignment="1">
      <alignment horizontal="right" vertical="center" shrinkToFit="1"/>
    </xf>
    <xf numFmtId="0" fontId="14" fillId="0" borderId="20" xfId="2" applyFont="1" applyBorder="1" applyAlignment="1">
      <alignment horizontal="right" vertical="center" shrinkToFit="1"/>
    </xf>
    <xf numFmtId="0" fontId="7" fillId="12" borderId="0" xfId="4" applyFont="1" applyFill="1" applyAlignment="1">
      <alignment vertical="center"/>
    </xf>
    <xf numFmtId="0" fontId="24" fillId="0" borderId="0" xfId="4"/>
    <xf numFmtId="0" fontId="29" fillId="12" borderId="0" xfId="4" applyFont="1" applyFill="1" applyAlignment="1">
      <alignment horizontal="center" vertical="center"/>
    </xf>
    <xf numFmtId="0" fontId="7" fillId="12" borderId="21" xfId="4" applyFont="1" applyFill="1" applyBorder="1" applyAlignment="1">
      <alignment horizontal="center" vertical="center" wrapText="1"/>
    </xf>
    <xf numFmtId="0" fontId="7" fillId="12" borderId="16" xfId="4" applyFont="1" applyFill="1" applyBorder="1" applyAlignment="1">
      <alignment horizontal="center" vertical="center" wrapText="1"/>
    </xf>
    <xf numFmtId="0" fontId="7" fillId="12" borderId="18" xfId="4" applyFont="1" applyFill="1" applyBorder="1" applyAlignment="1">
      <alignment horizontal="center" vertical="center" wrapText="1"/>
    </xf>
    <xf numFmtId="0" fontId="7" fillId="0" borderId="15" xfId="4" applyFont="1" applyBorder="1" applyAlignment="1">
      <alignment horizontal="center" vertical="center" wrapText="1"/>
    </xf>
    <xf numFmtId="0" fontId="7" fillId="0" borderId="18" xfId="4" applyFont="1" applyBorder="1" applyAlignment="1">
      <alignment horizontal="center" vertical="center" wrapText="1"/>
    </xf>
    <xf numFmtId="0" fontId="7" fillId="0" borderId="14" xfId="4" applyFont="1" applyBorder="1" applyAlignment="1">
      <alignment horizontal="center" vertical="center" wrapText="1"/>
    </xf>
    <xf numFmtId="0" fontId="7" fillId="0" borderId="20" xfId="4" applyFont="1" applyBorder="1" applyAlignment="1">
      <alignment horizontal="center" vertical="center" wrapText="1"/>
    </xf>
    <xf numFmtId="0" fontId="7" fillId="13" borderId="15" xfId="4" applyFont="1" applyFill="1" applyBorder="1" applyAlignment="1">
      <alignment horizontal="center" vertical="center" wrapText="1"/>
    </xf>
    <xf numFmtId="0" fontId="7" fillId="12" borderId="24" xfId="4" applyFont="1" applyFill="1" applyBorder="1" applyAlignment="1">
      <alignment horizontal="center" vertical="center" wrapText="1"/>
    </xf>
    <xf numFmtId="0" fontId="7" fillId="12" borderId="27" xfId="4" applyFont="1" applyFill="1" applyBorder="1" applyAlignment="1">
      <alignment horizontal="center" vertical="center" wrapText="1"/>
    </xf>
    <xf numFmtId="0" fontId="7" fillId="12" borderId="28" xfId="4" applyFont="1" applyFill="1" applyBorder="1" applyAlignment="1">
      <alignment horizontal="center" vertical="center" wrapText="1"/>
    </xf>
    <xf numFmtId="0" fontId="7" fillId="0" borderId="24" xfId="4" applyFont="1" applyBorder="1" applyAlignment="1">
      <alignment horizontal="right" vertical="center"/>
    </xf>
    <xf numFmtId="0" fontId="7" fillId="0" borderId="25" xfId="4" applyFont="1" applyBorder="1" applyAlignment="1">
      <alignment horizontal="right" vertical="center"/>
    </xf>
    <xf numFmtId="0" fontId="7" fillId="0" borderId="28" xfId="4" applyFont="1" applyBorder="1" applyAlignment="1">
      <alignment horizontal="right" vertical="center"/>
    </xf>
    <xf numFmtId="0" fontId="7" fillId="0" borderId="5" xfId="4" applyFont="1" applyBorder="1" applyAlignment="1">
      <alignment horizontal="right" vertical="center"/>
    </xf>
    <xf numFmtId="0" fontId="7" fillId="0" borderId="20" xfId="4" applyFont="1" applyBorder="1" applyAlignment="1">
      <alignment horizontal="right" vertical="center"/>
    </xf>
    <xf numFmtId="0" fontId="7" fillId="0" borderId="25" xfId="4" applyFont="1" applyBorder="1" applyAlignment="1">
      <alignment vertical="center"/>
    </xf>
    <xf numFmtId="0" fontId="7" fillId="13" borderId="25" xfId="4" applyFont="1" applyFill="1" applyBorder="1" applyAlignment="1">
      <alignment horizontal="right" vertical="center"/>
    </xf>
    <xf numFmtId="0" fontId="7" fillId="12" borderId="22" xfId="4" applyFont="1" applyFill="1" applyBorder="1" applyAlignment="1">
      <alignment vertical="center"/>
    </xf>
    <xf numFmtId="0" fontId="7" fillId="0" borderId="22" xfId="4" applyFont="1" applyBorder="1" applyAlignment="1">
      <alignment horizontal="right" vertical="center"/>
    </xf>
    <xf numFmtId="0" fontId="7" fillId="0" borderId="23" xfId="4" applyFont="1" applyBorder="1" applyAlignment="1">
      <alignment horizontal="right" vertical="center"/>
    </xf>
    <xf numFmtId="0" fontId="7" fillId="0" borderId="15" xfId="4" applyFont="1" applyBorder="1" applyAlignment="1">
      <alignment horizontal="right" vertical="center"/>
    </xf>
    <xf numFmtId="58" fontId="7" fillId="0" borderId="34" xfId="4" applyNumberFormat="1" applyFont="1" applyBorder="1" applyAlignment="1">
      <alignment vertical="center"/>
    </xf>
    <xf numFmtId="0" fontId="7" fillId="13" borderId="23" xfId="4" applyFont="1" applyFill="1" applyBorder="1" applyAlignment="1">
      <alignment horizontal="right" vertical="center"/>
    </xf>
    <xf numFmtId="0" fontId="46" fillId="0" borderId="0" xfId="4" applyFont="1" applyAlignment="1">
      <alignment vertical="center"/>
    </xf>
    <xf numFmtId="0" fontId="7" fillId="12" borderId="27" xfId="4" applyFont="1" applyFill="1" applyBorder="1" applyAlignment="1">
      <alignment vertical="center"/>
    </xf>
    <xf numFmtId="179" fontId="7" fillId="2" borderId="24" xfId="4" applyNumberFormat="1" applyFont="1" applyFill="1" applyBorder="1" applyAlignment="1">
      <alignment vertical="center"/>
    </xf>
    <xf numFmtId="179" fontId="7" fillId="2" borderId="24" xfId="4" applyNumberFormat="1" applyFont="1" applyFill="1" applyBorder="1" applyAlignment="1">
      <alignment horizontal="right" vertical="center"/>
    </xf>
    <xf numFmtId="179" fontId="7" fillId="0" borderId="25" xfId="4" applyNumberFormat="1" applyFont="1" applyBorder="1" applyAlignment="1">
      <alignment vertical="center"/>
    </xf>
    <xf numFmtId="179" fontId="7" fillId="2" borderId="25" xfId="4" applyNumberFormat="1" applyFont="1" applyFill="1" applyBorder="1" applyAlignment="1">
      <alignment vertical="center"/>
    </xf>
    <xf numFmtId="180" fontId="7" fillId="2" borderId="25" xfId="4" applyNumberFormat="1" applyFont="1" applyFill="1" applyBorder="1" applyAlignment="1">
      <alignment horizontal="right" vertical="center"/>
    </xf>
    <xf numFmtId="179" fontId="7" fillId="12" borderId="5" xfId="4" applyNumberFormat="1" applyFont="1" applyFill="1" applyBorder="1" applyAlignment="1">
      <alignment vertical="center"/>
    </xf>
    <xf numFmtId="49" fontId="7" fillId="12" borderId="21" xfId="4" applyNumberFormat="1" applyFont="1" applyFill="1" applyBorder="1" applyAlignment="1">
      <alignment vertical="center"/>
    </xf>
    <xf numFmtId="0" fontId="7" fillId="12" borderId="19" xfId="4" applyFont="1" applyFill="1" applyBorder="1" applyAlignment="1">
      <alignment vertical="center"/>
    </xf>
    <xf numFmtId="179" fontId="7" fillId="2" borderId="5" xfId="4" applyNumberFormat="1" applyFont="1" applyFill="1" applyBorder="1" applyAlignment="1">
      <alignment vertical="center"/>
    </xf>
    <xf numFmtId="179" fontId="7" fillId="2" borderId="5" xfId="4" applyNumberFormat="1" applyFont="1" applyFill="1" applyBorder="1" applyAlignment="1">
      <alignment horizontal="right" vertical="center"/>
    </xf>
    <xf numFmtId="179" fontId="7" fillId="0" borderId="26" xfId="4" applyNumberFormat="1" applyFont="1" applyBorder="1" applyAlignment="1">
      <alignment vertical="center"/>
    </xf>
    <xf numFmtId="179" fontId="7" fillId="0" borderId="5" xfId="4" applyNumberFormat="1" applyFont="1" applyBorder="1" applyAlignment="1">
      <alignment vertical="center"/>
    </xf>
    <xf numFmtId="0" fontId="46" fillId="0" borderId="0" xfId="4" applyFont="1"/>
    <xf numFmtId="0" fontId="7" fillId="12" borderId="22" xfId="4" applyFont="1" applyFill="1" applyBorder="1" applyAlignment="1">
      <alignment horizontal="center" vertical="center"/>
    </xf>
    <xf numFmtId="0" fontId="7" fillId="12" borderId="23" xfId="4" applyFont="1" applyFill="1" applyBorder="1" applyAlignment="1">
      <alignment horizontal="center" vertical="center"/>
    </xf>
    <xf numFmtId="0" fontId="7" fillId="12" borderId="14" xfId="4" applyFont="1" applyFill="1" applyBorder="1" applyAlignment="1">
      <alignment vertical="center" shrinkToFit="1"/>
    </xf>
    <xf numFmtId="0" fontId="7" fillId="12" borderId="20" xfId="4" applyFont="1" applyFill="1" applyBorder="1" applyAlignment="1">
      <alignment vertical="center" shrinkToFit="1"/>
    </xf>
    <xf numFmtId="0" fontId="7" fillId="12" borderId="24" xfId="4" applyFont="1" applyFill="1" applyBorder="1" applyAlignment="1">
      <alignment vertical="center"/>
    </xf>
    <xf numFmtId="0" fontId="7" fillId="12" borderId="14" xfId="4" applyFont="1" applyFill="1" applyBorder="1" applyAlignment="1">
      <alignment vertical="center"/>
    </xf>
    <xf numFmtId="179" fontId="7" fillId="12" borderId="20" xfId="4" applyNumberFormat="1" applyFont="1" applyFill="1" applyBorder="1" applyAlignment="1">
      <alignment vertical="center"/>
    </xf>
    <xf numFmtId="0" fontId="7" fillId="12" borderId="24" xfId="4" applyFont="1" applyFill="1" applyBorder="1" applyAlignment="1">
      <alignment horizontal="center" vertical="center"/>
    </xf>
    <xf numFmtId="0" fontId="7" fillId="0" borderId="27" xfId="4" applyFont="1" applyBorder="1" applyAlignment="1">
      <alignment vertical="center"/>
    </xf>
    <xf numFmtId="0" fontId="7" fillId="12" borderId="27" xfId="4" applyFont="1" applyFill="1" applyBorder="1" applyAlignment="1">
      <alignment horizontal="left" vertical="center" wrapText="1"/>
    </xf>
    <xf numFmtId="0" fontId="7" fillId="12" borderId="25" xfId="4" applyFont="1" applyFill="1" applyBorder="1" applyAlignment="1">
      <alignment horizontal="center" vertical="center"/>
    </xf>
    <xf numFmtId="0" fontId="7" fillId="12" borderId="21" xfId="4" applyFont="1" applyFill="1" applyBorder="1" applyAlignment="1">
      <alignment vertical="center"/>
    </xf>
    <xf numFmtId="179" fontId="7" fillId="13" borderId="20" xfId="4" applyNumberFormat="1" applyFont="1" applyFill="1" applyBorder="1" applyAlignment="1">
      <alignment vertical="center"/>
    </xf>
    <xf numFmtId="0" fontId="24" fillId="0" borderId="23" xfId="4" applyBorder="1"/>
    <xf numFmtId="0" fontId="7" fillId="0" borderId="27" xfId="4" applyFont="1" applyBorder="1" applyAlignment="1">
      <alignment horizontal="left" vertical="center" wrapText="1"/>
    </xf>
    <xf numFmtId="0" fontId="7" fillId="12" borderId="16" xfId="4" applyFont="1" applyFill="1" applyBorder="1" applyAlignment="1">
      <alignment horizontal="center" vertical="center"/>
    </xf>
    <xf numFmtId="0" fontId="7" fillId="0" borderId="14" xfId="4" applyFont="1" applyBorder="1" applyAlignment="1">
      <alignment vertical="center" shrinkToFit="1"/>
    </xf>
    <xf numFmtId="0" fontId="7" fillId="0" borderId="19" xfId="4" applyFont="1" applyBorder="1" applyAlignment="1">
      <alignment vertical="center" shrinkToFit="1"/>
    </xf>
    <xf numFmtId="0" fontId="7" fillId="0" borderId="20" xfId="4" applyFont="1" applyBorder="1" applyAlignment="1">
      <alignment vertical="center" shrinkToFit="1"/>
    </xf>
    <xf numFmtId="0" fontId="7" fillId="12" borderId="19" xfId="4" applyFont="1" applyFill="1" applyBorder="1" applyAlignment="1">
      <alignment horizontal="center" vertical="center"/>
    </xf>
    <xf numFmtId="0" fontId="7" fillId="12" borderId="20" xfId="4" applyFont="1" applyFill="1" applyBorder="1" applyAlignment="1">
      <alignment vertical="center"/>
    </xf>
    <xf numFmtId="0" fontId="7" fillId="12" borderId="28" xfId="4" applyFont="1" applyFill="1" applyBorder="1" applyAlignment="1">
      <alignment vertical="center"/>
    </xf>
    <xf numFmtId="0" fontId="7" fillId="12" borderId="5" xfId="4" applyFont="1" applyFill="1" applyBorder="1" applyAlignment="1">
      <alignment vertical="center"/>
    </xf>
    <xf numFmtId="0" fontId="7" fillId="12" borderId="25" xfId="4" applyFont="1" applyFill="1" applyBorder="1" applyAlignment="1">
      <alignment vertical="center"/>
    </xf>
    <xf numFmtId="0" fontId="7" fillId="12" borderId="25" xfId="4" applyFont="1" applyFill="1" applyBorder="1" applyAlignment="1">
      <alignment vertical="center" shrinkToFit="1"/>
    </xf>
    <xf numFmtId="0" fontId="7" fillId="12" borderId="23" xfId="4" applyFont="1" applyFill="1" applyBorder="1" applyAlignment="1">
      <alignment vertical="center"/>
    </xf>
    <xf numFmtId="0" fontId="7" fillId="12" borderId="23" xfId="4" applyFont="1" applyFill="1" applyBorder="1" applyAlignment="1">
      <alignment vertical="center" shrinkToFit="1"/>
    </xf>
    <xf numFmtId="0" fontId="7" fillId="12" borderId="14" xfId="4" applyFont="1" applyFill="1" applyBorder="1" applyAlignment="1">
      <alignment horizontal="left" vertical="center"/>
    </xf>
    <xf numFmtId="0" fontId="7" fillId="12" borderId="19" xfId="4" applyFont="1" applyFill="1" applyBorder="1" applyAlignment="1">
      <alignment horizontal="left" vertical="center"/>
    </xf>
    <xf numFmtId="0" fontId="7" fillId="12" borderId="20" xfId="4" applyFont="1" applyFill="1" applyBorder="1" applyAlignment="1">
      <alignment horizontal="left" vertical="center"/>
    </xf>
    <xf numFmtId="0" fontId="7" fillId="0" borderId="23" xfId="4" applyFont="1" applyBorder="1" applyAlignment="1">
      <alignment horizontal="left" vertical="center"/>
    </xf>
    <xf numFmtId="0" fontId="7" fillId="12" borderId="16" xfId="4" applyFont="1" applyFill="1" applyBorder="1" applyAlignment="1">
      <alignment vertical="center"/>
    </xf>
    <xf numFmtId="0" fontId="7" fillId="12" borderId="23" xfId="4" applyFont="1" applyFill="1" applyBorder="1" applyAlignment="1">
      <alignment horizontal="center" vertical="center"/>
    </xf>
    <xf numFmtId="0" fontId="7" fillId="12" borderId="25" xfId="4" applyFont="1" applyFill="1" applyBorder="1" applyAlignment="1">
      <alignment horizontal="center" vertical="center"/>
    </xf>
    <xf numFmtId="179" fontId="7" fillId="2" borderId="14" xfId="4" applyNumberFormat="1" applyFont="1" applyFill="1" applyBorder="1" applyAlignment="1">
      <alignment vertical="center"/>
    </xf>
    <xf numFmtId="180" fontId="7" fillId="0" borderId="5" xfId="4" applyNumberFormat="1" applyFont="1" applyBorder="1" applyAlignment="1">
      <alignment horizontal="right" vertical="center"/>
    </xf>
    <xf numFmtId="0" fontId="7" fillId="12" borderId="0" xfId="4" applyFont="1" applyFill="1" applyAlignment="1">
      <alignment horizontal="center" vertical="center"/>
    </xf>
    <xf numFmtId="179" fontId="7" fillId="0" borderId="0" xfId="4" applyNumberFormat="1" applyFont="1" applyAlignment="1">
      <alignment vertical="center"/>
    </xf>
    <xf numFmtId="0" fontId="7" fillId="12" borderId="0" xfId="4" applyFont="1" applyFill="1" applyAlignment="1">
      <alignment horizontal="right"/>
    </xf>
    <xf numFmtId="0" fontId="7" fillId="10" borderId="0" xfId="4" applyFont="1" applyFill="1"/>
    <xf numFmtId="38" fontId="7" fillId="0" borderId="0" xfId="6" applyFont="1" applyFill="1" applyBorder="1" applyAlignment="1">
      <alignment vertical="center"/>
    </xf>
    <xf numFmtId="0" fontId="7" fillId="10" borderId="5" xfId="4" applyFont="1" applyFill="1" applyBorder="1" applyAlignment="1">
      <alignment horizontal="center" vertical="center"/>
    </xf>
    <xf numFmtId="0" fontId="7" fillId="12" borderId="0" xfId="4" applyFont="1" applyFill="1"/>
    <xf numFmtId="0" fontId="7" fillId="12" borderId="0" xfId="4" applyFont="1" applyFill="1" applyAlignment="1">
      <alignment vertical="center" wrapText="1"/>
    </xf>
    <xf numFmtId="0" fontId="7" fillId="0" borderId="0" xfId="4" applyFont="1" applyAlignment="1">
      <alignment vertical="center" wrapText="1"/>
    </xf>
    <xf numFmtId="0" fontId="16" fillId="10" borderId="14" xfId="4" applyFont="1" applyFill="1" applyBorder="1" applyAlignment="1">
      <alignment horizontal="left" vertical="center"/>
    </xf>
    <xf numFmtId="0" fontId="16" fillId="10" borderId="20" xfId="4" applyFont="1" applyFill="1" applyBorder="1" applyAlignment="1">
      <alignment horizontal="left" vertical="center"/>
    </xf>
    <xf numFmtId="0" fontId="7" fillId="10" borderId="14" xfId="4" applyFont="1" applyFill="1" applyBorder="1" applyAlignment="1">
      <alignment vertical="center"/>
    </xf>
    <xf numFmtId="0" fontId="7" fillId="10" borderId="20" xfId="4" applyFont="1" applyFill="1" applyBorder="1" applyAlignment="1">
      <alignment vertical="center"/>
    </xf>
    <xf numFmtId="0" fontId="7" fillId="10" borderId="14" xfId="4" applyFont="1" applyFill="1" applyBorder="1" applyAlignment="1">
      <alignment horizontal="center" vertical="center"/>
    </xf>
    <xf numFmtId="0" fontId="7" fillId="10" borderId="20" xfId="4" applyFont="1" applyFill="1" applyBorder="1" applyAlignment="1">
      <alignment horizontal="center" vertical="center"/>
    </xf>
    <xf numFmtId="0" fontId="7" fillId="0" borderId="0" xfId="4" applyFont="1" applyAlignment="1">
      <alignment horizontal="center" vertical="center"/>
    </xf>
    <xf numFmtId="179" fontId="16" fillId="10" borderId="5" xfId="0" applyNumberFormat="1" applyFont="1" applyFill="1" applyBorder="1" applyAlignment="1">
      <alignment vertical="center" shrinkToFit="1"/>
    </xf>
    <xf numFmtId="179" fontId="7" fillId="10" borderId="14" xfId="0" applyNumberFormat="1" applyFont="1" applyFill="1" applyBorder="1" applyAlignment="1">
      <alignment vertical="center" shrinkToFit="1"/>
    </xf>
    <xf numFmtId="179" fontId="7" fillId="10" borderId="20" xfId="0" applyNumberFormat="1" applyFont="1" applyFill="1" applyBorder="1" applyAlignment="1">
      <alignment vertical="center" shrinkToFit="1"/>
    </xf>
    <xf numFmtId="179" fontId="7" fillId="10" borderId="28" xfId="0" applyNumberFormat="1" applyFont="1" applyFill="1" applyBorder="1">
      <alignment vertical="center"/>
    </xf>
    <xf numFmtId="0" fontId="7" fillId="0" borderId="5" xfId="4" applyFont="1" applyBorder="1" applyAlignment="1">
      <alignment horizontal="center" vertical="center"/>
    </xf>
    <xf numFmtId="0" fontId="7" fillId="0" borderId="5" xfId="4" applyFont="1" applyBorder="1" applyAlignment="1">
      <alignment vertical="center"/>
    </xf>
    <xf numFmtId="0" fontId="7" fillId="10" borderId="0" xfId="4" applyFont="1" applyFill="1" applyAlignment="1">
      <alignment horizontal="left" vertical="center"/>
    </xf>
    <xf numFmtId="0" fontId="7" fillId="10" borderId="14" xfId="4" applyFont="1" applyFill="1" applyBorder="1" applyAlignment="1">
      <alignment vertical="center" shrinkToFit="1"/>
    </xf>
    <xf numFmtId="0" fontId="7" fillId="10" borderId="20" xfId="4" applyFont="1" applyFill="1" applyBorder="1" applyAlignment="1">
      <alignment vertical="center" shrinkToFit="1"/>
    </xf>
    <xf numFmtId="0" fontId="7" fillId="0" borderId="0" xfId="4" applyFont="1" applyAlignment="1">
      <alignment horizontal="left" vertical="center"/>
    </xf>
    <xf numFmtId="38" fontId="7" fillId="10" borderId="14" xfId="13" applyFont="1" applyFill="1" applyBorder="1" applyAlignment="1">
      <alignment vertical="center"/>
    </xf>
    <xf numFmtId="0" fontId="7" fillId="10" borderId="0" xfId="4" applyFont="1" applyFill="1" applyAlignment="1">
      <alignment vertical="center" shrinkToFit="1"/>
    </xf>
    <xf numFmtId="0" fontId="0" fillId="0" borderId="0" xfId="0">
      <alignment vertical="center"/>
    </xf>
    <xf numFmtId="0" fontId="7" fillId="0" borderId="0" xfId="4" applyFont="1" applyAlignment="1">
      <alignment vertical="center"/>
    </xf>
    <xf numFmtId="179" fontId="36" fillId="0" borderId="25" xfId="4" applyNumberFormat="1" applyFont="1" applyBorder="1" applyAlignment="1">
      <alignment vertical="center"/>
    </xf>
    <xf numFmtId="0" fontId="7" fillId="0" borderId="5" xfId="4" applyFont="1" applyBorder="1" applyAlignment="1">
      <alignment horizontal="center" vertical="center"/>
    </xf>
    <xf numFmtId="0" fontId="7" fillId="0" borderId="14" xfId="4" applyFont="1" applyBorder="1" applyAlignment="1">
      <alignment vertical="center"/>
    </xf>
    <xf numFmtId="0" fontId="7" fillId="0" borderId="19" xfId="4" applyFont="1" applyBorder="1" applyAlignment="1">
      <alignment vertical="center"/>
    </xf>
    <xf numFmtId="0" fontId="7" fillId="0" borderId="20" xfId="4" applyFont="1" applyBorder="1" applyAlignment="1">
      <alignment vertical="center"/>
    </xf>
    <xf numFmtId="0" fontId="7" fillId="0" borderId="22" xfId="4" applyFont="1" applyBorder="1" applyAlignment="1">
      <alignment horizontal="center" vertical="center"/>
    </xf>
    <xf numFmtId="0" fontId="7" fillId="0" borderId="34" xfId="4" applyFont="1" applyBorder="1" applyAlignment="1">
      <alignment vertical="center"/>
    </xf>
    <xf numFmtId="0" fontId="24" fillId="0" borderId="14" xfId="4" applyBorder="1" applyAlignment="1">
      <alignment vertical="center"/>
    </xf>
    <xf numFmtId="179" fontId="7" fillId="12" borderId="14" xfId="0" applyNumberFormat="1" applyFont="1" applyFill="1" applyBorder="1" applyAlignment="1">
      <alignment horizontal="left" vertical="center" shrinkToFit="1"/>
    </xf>
    <xf numFmtId="179" fontId="7" fillId="12" borderId="19" xfId="0" applyNumberFormat="1" applyFont="1" applyFill="1" applyBorder="1" applyAlignment="1">
      <alignment horizontal="left" vertical="center" shrinkToFit="1"/>
    </xf>
    <xf numFmtId="179" fontId="7" fillId="12" borderId="20" xfId="0" applyNumberFormat="1" applyFont="1" applyFill="1" applyBorder="1" applyAlignment="1">
      <alignment horizontal="left" vertical="center" shrinkToFit="1"/>
    </xf>
    <xf numFmtId="0" fontId="7" fillId="0" borderId="24" xfId="4" applyFont="1" applyBorder="1" applyAlignment="1">
      <alignment horizontal="center" vertical="center"/>
    </xf>
    <xf numFmtId="179" fontId="7" fillId="12" borderId="27" xfId="0" applyNumberFormat="1" applyFont="1" applyFill="1" applyBorder="1">
      <alignment vertical="center"/>
    </xf>
    <xf numFmtId="0" fontId="7" fillId="0" borderId="5" xfId="4" applyFont="1" applyBorder="1" applyAlignment="1">
      <alignment horizontal="left" vertical="center"/>
    </xf>
    <xf numFmtId="0" fontId="7" fillId="0" borderId="5" xfId="4" applyFont="1" applyBorder="1" applyAlignment="1">
      <alignment horizontal="left" vertical="center"/>
    </xf>
    <xf numFmtId="38" fontId="7" fillId="0" borderId="14" xfId="13" applyFont="1" applyFill="1" applyBorder="1" applyAlignment="1">
      <alignment horizontal="right" vertical="center"/>
    </xf>
    <xf numFmtId="38" fontId="7" fillId="0" borderId="19" xfId="13" applyFont="1" applyFill="1" applyBorder="1" applyAlignment="1">
      <alignment horizontal="right" vertical="center"/>
    </xf>
    <xf numFmtId="38" fontId="7" fillId="0" borderId="20" xfId="13" applyFont="1" applyFill="1" applyBorder="1" applyAlignment="1">
      <alignment horizontal="right" vertical="center"/>
    </xf>
    <xf numFmtId="0" fontId="7" fillId="0" borderId="14" xfId="4" applyFont="1" applyBorder="1" applyAlignment="1">
      <alignment horizontal="left" vertical="center"/>
    </xf>
    <xf numFmtId="0" fontId="7" fillId="0" borderId="19" xfId="4" applyFont="1" applyBorder="1" applyAlignment="1">
      <alignment horizontal="left" vertical="center"/>
    </xf>
    <xf numFmtId="0" fontId="7" fillId="0" borderId="20" xfId="4" applyFont="1" applyBorder="1" applyAlignment="1">
      <alignment horizontal="left" vertical="center"/>
    </xf>
  </cellXfs>
  <cellStyles count="16">
    <cellStyle name="パーセント 2" xfId="11" xr:uid="{9B1C977E-D18A-4570-8DDF-589250FFDA14}"/>
    <cellStyle name="桁区切り" xfId="1" builtinId="6"/>
    <cellStyle name="桁区切り 2" xfId="13" xr:uid="{CA765D98-05B2-40D3-90C2-E4E1292A1FE9}"/>
    <cellStyle name="桁区切り 2 2" xfId="14" xr:uid="{CE3C4D04-34A8-4D2D-9374-EA34C83BF181}"/>
    <cellStyle name="桁区切り 2 2 2" xfId="8" xr:uid="{01AA0069-F7EE-4796-A575-BB664E99D401}"/>
    <cellStyle name="桁区切り 2 2 2 2" xfId="9" xr:uid="{2FC74557-83F4-41F5-B038-744FE1794B1C}"/>
    <cellStyle name="桁区切り 2 3" xfId="10" xr:uid="{EE0E2C25-D130-468D-859F-7D67D1D4B941}"/>
    <cellStyle name="桁区切り 3" xfId="6" xr:uid="{1CAA2C30-04F8-4438-AB23-22C2E418D2ED}"/>
    <cellStyle name="標準" xfId="0" builtinId="0"/>
    <cellStyle name="標準 2" xfId="4" xr:uid="{C5DFAB5D-E53A-4D16-AA80-9EAACBBD03BD}"/>
    <cellStyle name="標準 2 2" xfId="2" xr:uid="{AD23AE24-6E0B-4339-A9B2-28CB0658FC4F}"/>
    <cellStyle name="標準 2 3" xfId="3" xr:uid="{65DD13C5-A91D-4886-BAA9-4474D2B104F6}"/>
    <cellStyle name="標準 3" xfId="5" xr:uid="{13B5F79D-C7B6-4AA0-AB96-C3F36E68F96A}"/>
    <cellStyle name="標準 3 2" xfId="7" xr:uid="{F4C4A9A5-064A-42AB-A00B-2BFEEC2559C2}"/>
    <cellStyle name="標準 4" xfId="15" xr:uid="{37C3C8AF-1841-4A8D-A1CC-11C629BB3D63}"/>
    <cellStyle name="標準 5" xfId="12" xr:uid="{29BBE4BB-005A-421B-8728-474E46F439DC}"/>
  </cellStyles>
  <dxfs count="81">
    <dxf>
      <fill>
        <patternFill>
          <bgColor theme="8"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8"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8"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F2CC"/>
        </patternFill>
      </fill>
    </dxf>
    <dxf>
      <fill>
        <patternFill>
          <bgColor rgb="FFFFF2CC"/>
        </patternFill>
      </fill>
    </dxf>
    <dxf>
      <fill>
        <patternFill>
          <bgColor theme="9" tint="0.79998168889431442"/>
        </patternFill>
      </fill>
    </dxf>
    <dxf>
      <fill>
        <patternFill>
          <bgColor theme="9"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rgb="FFFFF2CC"/>
        </patternFill>
      </fill>
    </dxf>
    <dxf>
      <fill>
        <patternFill>
          <bgColor rgb="FFFFF2CC"/>
        </patternFill>
      </fill>
    </dxf>
    <dxf>
      <fill>
        <patternFill>
          <bgColor theme="7"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F2CC"/>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rgb="FFFFF2CC"/>
        </patternFill>
      </fill>
    </dxf>
    <dxf>
      <fill>
        <patternFill>
          <bgColor rgb="FFFFF2CC"/>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F2CC"/>
        </patternFill>
      </fill>
    </dxf>
    <dxf>
      <fill>
        <patternFill>
          <bgColor rgb="FFFFF2CC"/>
        </patternFill>
      </fill>
    </dxf>
    <dxf>
      <fill>
        <patternFill>
          <bgColor rgb="FFFFF2CC"/>
        </patternFill>
      </fill>
    </dxf>
    <dxf>
      <fill>
        <patternFill>
          <bgColor theme="9" tint="0.79998168889431442"/>
        </patternFill>
      </fill>
    </dxf>
    <dxf>
      <fill>
        <patternFill>
          <bgColor theme="9" tint="0.79998168889431442"/>
        </patternFill>
      </fill>
    </dxf>
    <dxf>
      <fill>
        <patternFill>
          <bgColor theme="7" tint="0.79998168889431442"/>
        </patternFill>
      </fill>
    </dxf>
    <dxf>
      <fill>
        <patternFill>
          <bgColor theme="7" tint="0.79998168889431442"/>
        </patternFill>
      </fill>
    </dxf>
    <dxf>
      <fill>
        <patternFill>
          <bgColor rgb="FFFFF2CC"/>
        </patternFill>
      </fill>
    </dxf>
    <dxf>
      <fill>
        <patternFill>
          <bgColor rgb="FFFFF2CC"/>
        </patternFill>
      </fill>
    </dxf>
    <dxf>
      <fill>
        <patternFill>
          <bgColor rgb="FFFFF2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32</xdr:col>
      <xdr:colOff>272143</xdr:colOff>
      <xdr:row>0</xdr:row>
      <xdr:rowOff>152400</xdr:rowOff>
    </xdr:from>
    <xdr:to>
      <xdr:col>40</xdr:col>
      <xdr:colOff>495794</xdr:colOff>
      <xdr:row>6</xdr:row>
      <xdr:rowOff>114516</xdr:rowOff>
    </xdr:to>
    <xdr:sp macro="" textlink="">
      <xdr:nvSpPr>
        <xdr:cNvPr id="2" name="テキスト ボックス 1">
          <a:extLst>
            <a:ext uri="{FF2B5EF4-FFF2-40B4-BE49-F238E27FC236}">
              <a16:creationId xmlns:a16="http://schemas.microsoft.com/office/drawing/2014/main" id="{ABFE636A-47D7-4C5F-B71A-0805832F2DA1}"/>
            </a:ext>
          </a:extLst>
        </xdr:cNvPr>
        <xdr:cNvSpPr txBox="1"/>
      </xdr:nvSpPr>
      <xdr:spPr>
        <a:xfrm>
          <a:off x="24160843" y="152400"/>
          <a:ext cx="15749401" cy="164804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solidFill>
                <a:schemeClr val="tx1"/>
              </a:solidFill>
            </a:rPr>
            <a:t>○　水色セルに金額を入力してください。（単位：いずれも円）</a:t>
          </a:r>
          <a:endParaRPr kumimoji="1" lang="en-US" altLang="ja-JP" sz="1200">
            <a:solidFill>
              <a:schemeClr val="tx1"/>
            </a:solidFill>
          </a:endParaRPr>
        </a:p>
        <a:p>
          <a:pPr rtl="0" eaLnBrk="1" latinLnBrk="0" hangingPunct="1"/>
          <a:r>
            <a:rPr kumimoji="1" lang="ja-JP" altLang="en-US" sz="1200">
              <a:solidFill>
                <a:schemeClr val="tx1"/>
              </a:solidFill>
            </a:rPr>
            <a:t>○　</a:t>
          </a:r>
          <a:r>
            <a:rPr kumimoji="1" lang="ja-JP" altLang="ja-JP" sz="1200">
              <a:solidFill>
                <a:schemeClr val="tx1"/>
              </a:solidFill>
              <a:effectLst/>
              <a:latin typeface="+mn-lt"/>
              <a:ea typeface="+mn-ea"/>
              <a:cs typeface="+mn-cs"/>
            </a:rPr>
            <a:t>地域支援事業内の一部の事業にあっては、当該事業として行われる資産の譲渡等には、消費税が課されません。</a:t>
          </a:r>
          <a:endParaRPr lang="ja-JP" altLang="ja-JP" sz="1200">
            <a:solidFill>
              <a:schemeClr val="tx1"/>
            </a:solidFill>
            <a:effectLst/>
          </a:endParaRPr>
        </a:p>
        <a:p>
          <a:pPr rtl="0" eaLnBrk="1" latinLnBrk="0" hangingPunct="1"/>
          <a:r>
            <a:rPr kumimoji="1" lang="ja-JP" altLang="ja-JP" sz="1200">
              <a:solidFill>
                <a:schemeClr val="tx1"/>
              </a:solidFill>
              <a:effectLst/>
              <a:latin typeface="+mn-lt"/>
              <a:ea typeface="+mn-ea"/>
              <a:cs typeface="+mn-cs"/>
            </a:rPr>
            <a:t>　</a:t>
          </a:r>
          <a:r>
            <a:rPr kumimoji="1" lang="ja-JP" altLang="en-US" sz="1200">
              <a:solidFill>
                <a:schemeClr val="tx1"/>
              </a:solidFill>
              <a:effectLst/>
              <a:latin typeface="+mn-lt"/>
              <a:ea typeface="+mn-ea"/>
              <a:cs typeface="+mn-cs"/>
            </a:rPr>
            <a:t>　</a:t>
          </a:r>
          <a:r>
            <a:rPr kumimoji="1" lang="ja-JP" altLang="en-US" sz="1200" baseline="0">
              <a:solidFill>
                <a:schemeClr val="tx1"/>
              </a:solidFill>
              <a:effectLst/>
              <a:latin typeface="+mn-lt"/>
              <a:ea typeface="+mn-ea"/>
              <a:cs typeface="+mn-cs"/>
            </a:rPr>
            <a:t> </a:t>
          </a:r>
          <a:r>
            <a:rPr kumimoji="1" lang="ja-JP" altLang="ja-JP" sz="1200">
              <a:solidFill>
                <a:schemeClr val="tx1"/>
              </a:solidFill>
              <a:effectLst/>
              <a:latin typeface="+mn-lt"/>
              <a:ea typeface="+mn-ea"/>
              <a:cs typeface="+mn-cs"/>
            </a:rPr>
            <a:t>このため、総事業費（</a:t>
          </a:r>
          <a:r>
            <a:rPr kumimoji="1" lang="en-US" altLang="ja-JP" sz="1200">
              <a:solidFill>
                <a:schemeClr val="tx1"/>
              </a:solidFill>
              <a:effectLst/>
              <a:latin typeface="+mn-ea"/>
              <a:ea typeface="+mn-ea"/>
              <a:cs typeface="+mn-cs"/>
            </a:rPr>
            <a:t>A</a:t>
          </a:r>
          <a:r>
            <a:rPr kumimoji="1" lang="ja-JP" altLang="ja-JP" sz="1200">
              <a:solidFill>
                <a:schemeClr val="tx1"/>
              </a:solidFill>
              <a:effectLst/>
              <a:latin typeface="+mn-lt"/>
              <a:ea typeface="+mn-ea"/>
              <a:cs typeface="+mn-cs"/>
            </a:rPr>
            <a:t>欄）や対象経費実支出額（Ｄ欄）の入力の際には、参考１</a:t>
          </a:r>
          <a:r>
            <a:rPr kumimoji="1" lang="ja-JP" altLang="en-US" sz="1200">
              <a:solidFill>
                <a:schemeClr val="tx1"/>
              </a:solidFill>
              <a:effectLst/>
              <a:latin typeface="+mn-lt"/>
              <a:ea typeface="+mn-ea"/>
              <a:cs typeface="+mn-cs"/>
            </a:rPr>
            <a:t>～３</a:t>
          </a:r>
          <a:r>
            <a:rPr kumimoji="1" lang="ja-JP" altLang="ja-JP" sz="1200">
              <a:solidFill>
                <a:schemeClr val="tx1"/>
              </a:solidFill>
              <a:effectLst/>
              <a:latin typeface="+mn-lt"/>
              <a:ea typeface="+mn-ea"/>
              <a:cs typeface="+mn-cs"/>
            </a:rPr>
            <a:t>を参照し、非課税</a:t>
          </a:r>
          <a:r>
            <a:rPr kumimoji="1" lang="ja-JP" altLang="en-US" sz="1200">
              <a:solidFill>
                <a:schemeClr val="tx1"/>
              </a:solidFill>
              <a:effectLst/>
              <a:latin typeface="+mn-lt"/>
              <a:ea typeface="+mn-ea"/>
              <a:cs typeface="+mn-cs"/>
            </a:rPr>
            <a:t>取引</a:t>
          </a:r>
          <a:r>
            <a:rPr kumimoji="1" lang="ja-JP" altLang="ja-JP" sz="1200">
              <a:solidFill>
                <a:schemeClr val="tx1"/>
              </a:solidFill>
              <a:effectLst/>
              <a:latin typeface="+mn-lt"/>
              <a:ea typeface="+mn-ea"/>
              <a:cs typeface="+mn-cs"/>
            </a:rPr>
            <a:t>を課税であると誤認して費用を計上</a:t>
          </a:r>
          <a:r>
            <a:rPr kumimoji="1" lang="ja-JP" altLang="en-US" sz="1200">
              <a:solidFill>
                <a:schemeClr val="tx1"/>
              </a:solidFill>
              <a:effectLst/>
              <a:latin typeface="+mn-lt"/>
              <a:ea typeface="+mn-ea"/>
              <a:cs typeface="+mn-cs"/>
            </a:rPr>
            <a:t>したり、課税取引を非課税と誤認して扱う</a:t>
          </a:r>
          <a:r>
            <a:rPr kumimoji="1" lang="ja-JP" altLang="ja-JP" sz="1200">
              <a:solidFill>
                <a:schemeClr val="tx1"/>
              </a:solidFill>
              <a:effectLst/>
              <a:latin typeface="+mn-lt"/>
              <a:ea typeface="+mn-ea"/>
              <a:cs typeface="+mn-cs"/>
            </a:rPr>
            <a:t>ことのないよう、注意してください。</a:t>
          </a:r>
          <a:endParaRPr kumimoji="1" lang="en-US" altLang="ja-JP" sz="1200">
            <a:solidFill>
              <a:schemeClr val="tx1"/>
            </a:solidFill>
            <a:effectLst/>
            <a:latin typeface="+mn-lt"/>
            <a:ea typeface="+mn-ea"/>
            <a:cs typeface="+mn-cs"/>
          </a:endParaRPr>
        </a:p>
        <a:p>
          <a:pPr rtl="0" eaLnBrk="1" latinLnBrk="0" hangingPunct="1"/>
          <a:r>
            <a:rPr kumimoji="1" lang="ja-JP" altLang="en-US" sz="1200">
              <a:solidFill>
                <a:schemeClr val="tx1"/>
              </a:solidFill>
              <a:effectLst/>
              <a:latin typeface="+mn-lt"/>
              <a:ea typeface="+mn-ea"/>
              <a:cs typeface="+mn-cs"/>
            </a:rPr>
            <a:t>　　</a:t>
          </a:r>
          <a:r>
            <a:rPr kumimoji="1" lang="en-US" altLang="ja-JP" sz="1200">
              <a:solidFill>
                <a:schemeClr val="tx1"/>
              </a:solidFill>
              <a:effectLst/>
              <a:latin typeface="+mn-lt"/>
              <a:ea typeface="+mn-ea"/>
              <a:cs typeface="+mn-cs"/>
            </a:rPr>
            <a:t>※</a:t>
          </a:r>
          <a:r>
            <a:rPr kumimoji="1" lang="ja-JP" altLang="en-US" sz="1200">
              <a:solidFill>
                <a:schemeClr val="tx1"/>
              </a:solidFill>
              <a:effectLst/>
              <a:latin typeface="+mn-lt"/>
              <a:ea typeface="+mn-ea"/>
              <a:cs typeface="+mn-cs"/>
            </a:rPr>
            <a:t>「</a:t>
          </a:r>
          <a:r>
            <a:rPr lang="ja-JP" altLang="en-US" sz="1200"/>
            <a:t>地域支援事業を委託して実施する場合における消費税の取扱いについて</a:t>
          </a:r>
          <a:r>
            <a:rPr kumimoji="1" lang="ja-JP" altLang="en-US" sz="1200">
              <a:solidFill>
                <a:schemeClr val="tx1"/>
              </a:solidFill>
              <a:effectLst/>
              <a:latin typeface="+mn-lt"/>
              <a:ea typeface="+mn-ea"/>
              <a:cs typeface="+mn-cs"/>
            </a:rPr>
            <a:t>」（令和６年６月</a:t>
          </a:r>
          <a:r>
            <a:rPr kumimoji="1" lang="en-US" altLang="ja-JP" sz="1200">
              <a:solidFill>
                <a:schemeClr val="tx1"/>
              </a:solidFill>
              <a:effectLst/>
              <a:latin typeface="+mn-lt"/>
              <a:ea typeface="+mn-ea"/>
              <a:cs typeface="+mn-cs"/>
            </a:rPr>
            <a:t>28</a:t>
          </a:r>
          <a:r>
            <a:rPr kumimoji="1" lang="ja-JP" altLang="en-US" sz="1200">
              <a:solidFill>
                <a:schemeClr val="tx1"/>
              </a:solidFill>
              <a:effectLst/>
              <a:latin typeface="+mn-lt"/>
              <a:ea typeface="+mn-ea"/>
              <a:cs typeface="+mn-cs"/>
            </a:rPr>
            <a:t>日</a:t>
          </a:r>
          <a:r>
            <a:rPr lang="ja-JP" altLang="en-US" sz="1200"/>
            <a:t>厚生労働省老健局認知症施策・地域介護推進課事務連絡</a:t>
          </a:r>
          <a:r>
            <a:rPr kumimoji="1" lang="ja-JP" altLang="en-US" sz="1200">
              <a:solidFill>
                <a:schemeClr val="tx1"/>
              </a:solidFill>
              <a:effectLst/>
              <a:latin typeface="+mn-lt"/>
              <a:ea typeface="+mn-ea"/>
              <a:cs typeface="+mn-cs"/>
            </a:rPr>
            <a:t>）も参照のこと。</a:t>
          </a:r>
          <a:endParaRPr kumimoji="1" lang="en-US" altLang="ja-JP" sz="1200">
            <a:solidFill>
              <a:schemeClr val="tx1"/>
            </a:solidFill>
            <a:effectLst/>
            <a:latin typeface="+mn-lt"/>
            <a:ea typeface="+mn-ea"/>
            <a:cs typeface="+mn-cs"/>
          </a:endParaRPr>
        </a:p>
        <a:p>
          <a:pPr rtl="0" eaLnBrk="1" latinLnBrk="0" hangingPunct="1"/>
          <a:r>
            <a:rPr lang="ja-JP" altLang="en-US" sz="1200">
              <a:solidFill>
                <a:schemeClr val="tx1"/>
              </a:solidFill>
              <a:effectLst/>
            </a:rPr>
            <a:t>○　寄付金その他の収入額の取扱いについては、参考３の「厚生労働省所管補助金等にかかる寄付金その他の収入の取扱いについて」に定められているので、参照してください。</a:t>
          </a:r>
          <a:endParaRPr kumimoji="1" lang="en-US" altLang="ja-JP" sz="1200">
            <a:solidFill>
              <a:schemeClr val="tx1"/>
            </a:solidFill>
          </a:endParaRPr>
        </a:p>
      </xdr:txBody>
    </xdr:sp>
    <xdr:clientData/>
  </xdr:twoCellAnchor>
  <xdr:twoCellAnchor>
    <xdr:from>
      <xdr:col>33</xdr:col>
      <xdr:colOff>5366657</xdr:colOff>
      <xdr:row>6</xdr:row>
      <xdr:rowOff>206829</xdr:rowOff>
    </xdr:from>
    <xdr:to>
      <xdr:col>41</xdr:col>
      <xdr:colOff>256376</xdr:colOff>
      <xdr:row>21</xdr:row>
      <xdr:rowOff>109579</xdr:rowOff>
    </xdr:to>
    <xdr:sp macro="" textlink="">
      <xdr:nvSpPr>
        <xdr:cNvPr id="3" name="テキスト ボックス 2">
          <a:extLst>
            <a:ext uri="{FF2B5EF4-FFF2-40B4-BE49-F238E27FC236}">
              <a16:creationId xmlns:a16="http://schemas.microsoft.com/office/drawing/2014/main" id="{8311FE97-C209-4CCB-9432-D8892107B0E8}"/>
            </a:ext>
          </a:extLst>
        </xdr:cNvPr>
        <xdr:cNvSpPr txBox="1"/>
      </xdr:nvSpPr>
      <xdr:spPr>
        <a:xfrm>
          <a:off x="29712557" y="1892754"/>
          <a:ext cx="10720269" cy="36460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参考１：地域支援事業における消費税の取扱い（１）</a:t>
          </a:r>
          <a:r>
            <a:rPr kumimoji="1" lang="en-US" altLang="ja-JP" sz="1100">
              <a:solidFill>
                <a:schemeClr val="dk1"/>
              </a:solidFill>
              <a:effectLst/>
              <a:latin typeface="+mn-lt"/>
              <a:ea typeface="+mn-ea"/>
              <a:cs typeface="+mn-cs"/>
            </a:rPr>
            <a:t>〉</a:t>
          </a:r>
        </a:p>
        <a:p>
          <a:r>
            <a:rPr kumimoji="1" lang="ja-JP" altLang="en-US" sz="1100">
              <a:solidFill>
                <a:schemeClr val="dk1"/>
              </a:solidFill>
              <a:effectLst/>
              <a:latin typeface="+mn-lt"/>
              <a:ea typeface="+mn-ea"/>
              <a:cs typeface="+mn-cs"/>
            </a:rPr>
            <a:t>・「消費税法施行令第十四条の二第三項第十二号の規定に基づき厚生労働大臣が指定する資産の譲渡等」　平成</a:t>
          </a:r>
          <a:r>
            <a:rPr kumimoji="1" lang="en-US" altLang="ja-JP" sz="1100">
              <a:solidFill>
                <a:schemeClr val="dk1"/>
              </a:solidFill>
              <a:effectLst/>
              <a:latin typeface="+mn-lt"/>
              <a:ea typeface="+mn-ea"/>
              <a:cs typeface="+mn-cs"/>
            </a:rPr>
            <a:t>24</a:t>
          </a:r>
          <a:r>
            <a:rPr kumimoji="1" lang="ja-JP" altLang="en-US" sz="1100">
              <a:solidFill>
                <a:schemeClr val="dk1"/>
              </a:solidFill>
              <a:effectLst/>
              <a:latin typeface="+mn-lt"/>
              <a:ea typeface="+mn-ea"/>
              <a:cs typeface="+mn-cs"/>
            </a:rPr>
            <a:t>年３月</a:t>
          </a:r>
          <a:r>
            <a:rPr kumimoji="1" lang="en-US" altLang="ja-JP" sz="1100">
              <a:solidFill>
                <a:schemeClr val="dk1"/>
              </a:solidFill>
              <a:effectLst/>
              <a:latin typeface="+mn-lt"/>
              <a:ea typeface="+mn-ea"/>
              <a:cs typeface="+mn-cs"/>
            </a:rPr>
            <a:t>31</a:t>
          </a:r>
          <a:r>
            <a:rPr kumimoji="1" lang="ja-JP" altLang="en-US" sz="1100">
              <a:solidFill>
                <a:schemeClr val="dk1"/>
              </a:solidFill>
              <a:effectLst/>
              <a:latin typeface="+mn-lt"/>
              <a:ea typeface="+mn-ea"/>
              <a:cs typeface="+mn-cs"/>
            </a:rPr>
            <a:t>日厚生労働省告示第</a:t>
          </a:r>
          <a:r>
            <a:rPr kumimoji="1" lang="en-US" altLang="ja-JP" sz="1100">
              <a:solidFill>
                <a:schemeClr val="dk1"/>
              </a:solidFill>
              <a:effectLst/>
              <a:latin typeface="+mn-lt"/>
              <a:ea typeface="+mn-ea"/>
              <a:cs typeface="+mn-cs"/>
            </a:rPr>
            <a:t>307</a:t>
          </a:r>
          <a:r>
            <a:rPr kumimoji="1" lang="ja-JP" altLang="en-US" sz="1100">
              <a:solidFill>
                <a:schemeClr val="dk1"/>
              </a:solidFill>
              <a:effectLst/>
              <a:latin typeface="+mn-lt"/>
              <a:ea typeface="+mn-ea"/>
              <a:cs typeface="+mn-cs"/>
            </a:rPr>
            <a:t>号</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https://www.mhlw.go.jp/web/t_doc?dataId=33ab2822</a:t>
          </a:r>
          <a:r>
            <a:rPr kumimoji="1" lang="ja-JP" altLang="en-US"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endParaRPr kumimoji="1" lang="ja-JP" altLang="en-US"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　消費税法施行令</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昭和六十三年政令第三百六十号</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第十四条の二第三項第十二号の規定に基づき、消費税法施行令第十四条の二第三項第十二号の規定に</a:t>
          </a:r>
        </a:p>
        <a:p>
          <a:r>
            <a:rPr kumimoji="1" lang="ja-JP" altLang="en-US" sz="1100">
              <a:solidFill>
                <a:schemeClr val="dk1"/>
              </a:solidFill>
              <a:effectLst/>
              <a:latin typeface="+mn-lt"/>
              <a:ea typeface="+mn-ea"/>
              <a:cs typeface="+mn-cs"/>
            </a:rPr>
            <a:t>基づき厚生労働大臣が指定する資産の譲渡等を次のように定め、平成二十四年四月一日から適用する。</a:t>
          </a:r>
        </a:p>
        <a:p>
          <a:endParaRPr kumimoji="1" lang="ja-JP" altLang="en-US"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消費税法施行令第十四条の二第三項第十二号の規定に基づき厚生労働大臣が指定する資産の譲渡等</a:t>
          </a:r>
        </a:p>
        <a:p>
          <a:r>
            <a:rPr kumimoji="1" lang="ja-JP" altLang="en-US" sz="1100">
              <a:solidFill>
                <a:schemeClr val="dk1"/>
              </a:solidFill>
              <a:effectLst/>
              <a:latin typeface="+mn-lt"/>
              <a:ea typeface="+mn-ea"/>
              <a:cs typeface="+mn-cs"/>
            </a:rPr>
            <a:t>　介護保険法</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平成九年法律第百二十三号。以下「法」という。</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第百十五条の四十五第一項に規定する介護予防・日常生活支援総合事業のうち、同項第一号に規定する居宅要支援被保険者等に対して次に掲げる事業として行われる資産の譲渡等</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当該事業の利用者の選定により、通常の事業の実施地域</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当該事業を行う事業所が通常時に当該事業に係るサービスを提供する地域をいう。以下同じ。</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以外の地域の居宅において当該事業を行う場合に要した交通費を対価とする資産の譲渡等又は通常の事業の実施地域以外の地域に居住する利用者に対して当該事業を行う場合における送迎を除く。</a:t>
          </a:r>
          <a:r>
            <a:rPr kumimoji="1" lang="en-US" altLang="ja-JP" sz="1100">
              <a:solidFill>
                <a:schemeClr val="dk1"/>
              </a:solidFill>
              <a:effectLst/>
              <a:latin typeface="+mn-lt"/>
              <a:ea typeface="+mn-ea"/>
              <a:cs typeface="+mn-cs"/>
            </a:rPr>
            <a:t>)</a:t>
          </a:r>
        </a:p>
        <a:p>
          <a:r>
            <a:rPr kumimoji="1" lang="ja-JP" altLang="en-US" sz="1100">
              <a:solidFill>
                <a:schemeClr val="dk1"/>
              </a:solidFill>
              <a:effectLst/>
              <a:latin typeface="+mn-lt"/>
              <a:ea typeface="+mn-ea"/>
              <a:cs typeface="+mn-cs"/>
            </a:rPr>
            <a:t>　一　法第百十五条の四十五第一項第一号イに規定する第一号訪問事業</a:t>
          </a:r>
        </a:p>
        <a:p>
          <a:r>
            <a:rPr kumimoji="1" lang="ja-JP" altLang="en-US" sz="1100">
              <a:solidFill>
                <a:schemeClr val="dk1"/>
              </a:solidFill>
              <a:effectLst/>
              <a:latin typeface="+mn-lt"/>
              <a:ea typeface="+mn-ea"/>
              <a:cs typeface="+mn-cs"/>
            </a:rPr>
            <a:t>　二　法第百十五条の四十五第一項第一号ロに規定する第一号通所事業</a:t>
          </a:r>
        </a:p>
        <a:p>
          <a:r>
            <a:rPr kumimoji="1" lang="ja-JP" altLang="en-US" sz="1100">
              <a:solidFill>
                <a:schemeClr val="dk1"/>
              </a:solidFill>
              <a:effectLst/>
              <a:latin typeface="+mn-lt"/>
              <a:ea typeface="+mn-ea"/>
              <a:cs typeface="+mn-cs"/>
            </a:rPr>
            <a:t>　三　法第百十五条の四十五第一項第一号ハに規定する第一号生活支援事業</a:t>
          </a:r>
        </a:p>
        <a:p>
          <a:r>
            <a:rPr kumimoji="1" lang="ja-JP" altLang="en-US" sz="1100">
              <a:solidFill>
                <a:schemeClr val="dk1"/>
              </a:solidFill>
              <a:effectLst/>
              <a:latin typeface="+mn-lt"/>
              <a:ea typeface="+mn-ea"/>
              <a:cs typeface="+mn-cs"/>
            </a:rPr>
            <a:t>　四　法第百十五条の四十五第一項第一号ニに規定する第一号介護予防支援事業</a:t>
          </a:r>
        </a:p>
      </xdr:txBody>
    </xdr:sp>
    <xdr:clientData/>
  </xdr:twoCellAnchor>
  <xdr:twoCellAnchor>
    <xdr:from>
      <xdr:col>32</xdr:col>
      <xdr:colOff>261257</xdr:colOff>
      <xdr:row>6</xdr:row>
      <xdr:rowOff>228599</xdr:rowOff>
    </xdr:from>
    <xdr:to>
      <xdr:col>33</xdr:col>
      <xdr:colOff>5185923</xdr:colOff>
      <xdr:row>57</xdr:row>
      <xdr:rowOff>0</xdr:rowOff>
    </xdr:to>
    <xdr:sp macro="" textlink="">
      <xdr:nvSpPr>
        <xdr:cNvPr id="4" name="テキスト ボックス 3">
          <a:extLst>
            <a:ext uri="{FF2B5EF4-FFF2-40B4-BE49-F238E27FC236}">
              <a16:creationId xmlns:a16="http://schemas.microsoft.com/office/drawing/2014/main" id="{7AA652FF-4FBE-45F5-A54E-51846A13B152}"/>
            </a:ext>
          </a:extLst>
        </xdr:cNvPr>
        <xdr:cNvSpPr txBox="1"/>
      </xdr:nvSpPr>
      <xdr:spPr>
        <a:xfrm>
          <a:off x="24149957" y="1914524"/>
          <a:ext cx="5381866" cy="13249276"/>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　</a:t>
          </a:r>
          <a:r>
            <a:rPr kumimoji="1" lang="ja-JP" altLang="ja-JP" sz="1100" b="0">
              <a:solidFill>
                <a:schemeClr val="dk1"/>
              </a:solidFill>
              <a:effectLst/>
              <a:latin typeface="+mn-lt"/>
              <a:ea typeface="+mn-ea"/>
              <a:cs typeface="+mn-cs"/>
            </a:rPr>
            <a:t>重層的支援体制整備事業実施保険者においては、当該事業の対象である　</a:t>
          </a:r>
          <a:endParaRPr lang="ja-JP" altLang="ja-JP" sz="1200">
            <a:effectLst/>
          </a:endParaRPr>
        </a:p>
        <a:p>
          <a:pPr rtl="0" eaLnBrk="1" latinLnBrk="0" hangingPunct="1"/>
          <a:r>
            <a:rPr kumimoji="1" lang="ja-JP" altLang="ja-JP" sz="1100" b="0">
              <a:solidFill>
                <a:schemeClr val="dk1"/>
              </a:solidFill>
              <a:effectLst/>
              <a:latin typeface="+mn-lt"/>
              <a:ea typeface="+mn-ea"/>
              <a:cs typeface="+mn-cs"/>
            </a:rPr>
            <a:t>　　「地域介護予防活動支援事業」「生活支援体制整備事業」に係る総事業費</a:t>
          </a:r>
          <a:endParaRPr lang="ja-JP" altLang="ja-JP" sz="1200">
            <a:effectLst/>
          </a:endParaRPr>
        </a:p>
        <a:p>
          <a:pPr rtl="0" eaLnBrk="1" latinLnBrk="0" hangingPunct="1"/>
          <a:r>
            <a:rPr kumimoji="1" lang="ja-JP" altLang="ja-JP" sz="1100" b="0">
              <a:solidFill>
                <a:schemeClr val="dk1"/>
              </a:solidFill>
              <a:effectLst/>
              <a:latin typeface="+mn-lt"/>
              <a:ea typeface="+mn-ea"/>
              <a:cs typeface="+mn-cs"/>
            </a:rPr>
            <a:t>　（</a:t>
          </a:r>
          <a:r>
            <a:rPr kumimoji="1" lang="en-US" altLang="ja-JP" sz="1100" b="0">
              <a:solidFill>
                <a:schemeClr val="dk1"/>
              </a:solidFill>
              <a:effectLst/>
              <a:latin typeface="+mn-lt"/>
              <a:ea typeface="+mn-ea"/>
              <a:cs typeface="+mn-cs"/>
            </a:rPr>
            <a:t>A</a:t>
          </a:r>
          <a:r>
            <a:rPr kumimoji="1" lang="ja-JP" altLang="ja-JP" sz="1100" b="0">
              <a:solidFill>
                <a:schemeClr val="dk1"/>
              </a:solidFill>
              <a:effectLst/>
              <a:latin typeface="+mn-lt"/>
              <a:ea typeface="+mn-ea"/>
              <a:cs typeface="+mn-cs"/>
            </a:rPr>
            <a:t>欄）、対象経費実支出額（</a:t>
          </a:r>
          <a:r>
            <a:rPr kumimoji="1" lang="en-US" altLang="ja-JP" sz="1100" b="0">
              <a:solidFill>
                <a:schemeClr val="dk1"/>
              </a:solidFill>
              <a:effectLst/>
              <a:latin typeface="+mn-lt"/>
              <a:ea typeface="+mn-ea"/>
              <a:cs typeface="+mn-cs"/>
            </a:rPr>
            <a:t>D</a:t>
          </a:r>
          <a:r>
            <a:rPr kumimoji="1" lang="ja-JP" altLang="ja-JP" sz="1100" b="0">
              <a:solidFill>
                <a:schemeClr val="dk1"/>
              </a:solidFill>
              <a:effectLst/>
              <a:latin typeface="+mn-lt"/>
              <a:ea typeface="+mn-ea"/>
              <a:cs typeface="+mn-cs"/>
            </a:rPr>
            <a:t>欄）</a:t>
          </a:r>
          <a:r>
            <a:rPr kumimoji="1" lang="ja-JP" altLang="ja-JP" sz="1100">
              <a:solidFill>
                <a:schemeClr val="dk1"/>
              </a:solidFill>
              <a:effectLst/>
              <a:latin typeface="+mn-lt"/>
              <a:ea typeface="+mn-ea"/>
              <a:cs typeface="+mn-cs"/>
            </a:rPr>
            <a:t>の記入にあたり、</a:t>
          </a:r>
          <a:r>
            <a:rPr kumimoji="1" lang="ja-JP" altLang="ja-JP" sz="1100" b="0">
              <a:solidFill>
                <a:schemeClr val="dk1"/>
              </a:solidFill>
              <a:effectLst/>
              <a:latin typeface="+mn-lt"/>
              <a:ea typeface="+mn-ea"/>
              <a:cs typeface="+mn-cs"/>
            </a:rPr>
            <a:t>以下を確認して入力</a:t>
          </a:r>
          <a:endParaRPr lang="ja-JP" altLang="ja-JP" sz="1200">
            <a:effectLst/>
          </a:endParaRPr>
        </a:p>
        <a:p>
          <a:pPr rtl="0" eaLnBrk="1" latinLnBrk="0" hangingPunct="1"/>
          <a:r>
            <a:rPr kumimoji="1" lang="ja-JP" altLang="ja-JP" sz="1100" b="0">
              <a:solidFill>
                <a:schemeClr val="dk1"/>
              </a:solidFill>
              <a:effectLst/>
              <a:latin typeface="+mn-lt"/>
              <a:ea typeface="+mn-ea"/>
              <a:cs typeface="+mn-cs"/>
            </a:rPr>
            <a:t>　　してください。</a:t>
          </a:r>
          <a:endParaRPr lang="ja-JP" altLang="ja-JP" sz="1200">
            <a:effectLst/>
          </a:endParaRPr>
        </a:p>
        <a:p>
          <a:r>
            <a:rPr kumimoji="1" lang="ja-JP" altLang="ja-JP" sz="1100" baseline="0">
              <a:solidFill>
                <a:schemeClr val="dk1"/>
              </a:solidFill>
              <a:effectLst/>
              <a:latin typeface="+mn-lt"/>
              <a:ea typeface="+mn-ea"/>
              <a:cs typeface="+mn-cs"/>
            </a:rPr>
            <a:t>　　なお、当該事業の寄付金その他の収入額（</a:t>
          </a:r>
          <a:r>
            <a:rPr kumimoji="1" lang="en-US" altLang="ja-JP" sz="1100" baseline="0">
              <a:solidFill>
                <a:schemeClr val="dk1"/>
              </a:solidFill>
              <a:effectLst/>
              <a:latin typeface="+mn-lt"/>
              <a:ea typeface="+mn-ea"/>
              <a:cs typeface="+mn-cs"/>
            </a:rPr>
            <a:t>B</a:t>
          </a:r>
          <a:r>
            <a:rPr kumimoji="1" lang="ja-JP" altLang="ja-JP" sz="1100" baseline="0">
              <a:solidFill>
                <a:schemeClr val="dk1"/>
              </a:solidFill>
              <a:effectLst/>
              <a:latin typeface="+mn-lt"/>
              <a:ea typeface="+mn-ea"/>
              <a:cs typeface="+mn-cs"/>
            </a:rPr>
            <a:t>欄）の金額を「０円」と</a:t>
          </a:r>
          <a:endParaRPr lang="ja-JP" altLang="ja-JP" sz="1200">
            <a:effectLst/>
          </a:endParaRPr>
        </a:p>
        <a:p>
          <a:r>
            <a:rPr kumimoji="1" lang="ja-JP" altLang="ja-JP" sz="1100" baseline="0">
              <a:solidFill>
                <a:schemeClr val="dk1"/>
              </a:solidFill>
              <a:effectLst/>
              <a:latin typeface="+mn-lt"/>
              <a:ea typeface="+mn-ea"/>
              <a:cs typeface="+mn-cs"/>
            </a:rPr>
            <a:t>　　入力してください。</a:t>
          </a:r>
          <a:endParaRPr lang="ja-JP" altLang="ja-JP" sz="1200">
            <a:effectLst/>
          </a:endParaRPr>
        </a:p>
        <a:p>
          <a:pPr rtl="0" eaLnBrk="1" latinLnBrk="0" hangingPunct="1"/>
          <a:r>
            <a:rPr kumimoji="1" lang="ja-JP" altLang="ja-JP" sz="1100">
              <a:solidFill>
                <a:schemeClr val="dk1"/>
              </a:solidFill>
              <a:effectLst/>
              <a:latin typeface="+mn-lt"/>
              <a:ea typeface="+mn-ea"/>
              <a:cs typeface="+mn-cs"/>
            </a:rPr>
            <a:t>　　 広域連合等のうち構成市町村の一部が重層的支援体制整備事業を</a:t>
          </a:r>
          <a:r>
            <a:rPr kumimoji="1" lang="ja-JP" altLang="ja-JP" sz="1100" baseline="0">
              <a:solidFill>
                <a:schemeClr val="dk1"/>
              </a:solidFill>
              <a:effectLst/>
              <a:latin typeface="+mn-lt"/>
              <a:ea typeface="+mn-ea"/>
              <a:cs typeface="+mn-cs"/>
            </a:rPr>
            <a:t>実施</a:t>
          </a:r>
          <a:endParaRPr lang="ja-JP" altLang="ja-JP" sz="1200">
            <a:effectLst/>
          </a:endParaRPr>
        </a:p>
        <a:p>
          <a:pPr rtl="0" eaLnBrk="1" latinLnBrk="0" hangingPunct="1"/>
          <a:r>
            <a:rPr kumimoji="1" lang="ja-JP" altLang="ja-JP" sz="1100">
              <a:solidFill>
                <a:schemeClr val="dk1"/>
              </a:solidFill>
              <a:effectLst/>
              <a:latin typeface="+mn-lt"/>
              <a:ea typeface="+mn-ea"/>
              <a:cs typeface="+mn-cs"/>
            </a:rPr>
            <a:t>　　する場合は、未実施市町村の当該事業の総事業費（Ａ欄）及び対象経費</a:t>
          </a:r>
          <a:endParaRPr lang="ja-JP" altLang="ja-JP" sz="1200">
            <a:effectLst/>
          </a:endParaRPr>
        </a:p>
        <a:p>
          <a:pPr rtl="0" eaLnBrk="1" latinLnBrk="0" hangingPunct="1"/>
          <a:r>
            <a:rPr kumimoji="1" lang="ja-JP" altLang="ja-JP" sz="1100">
              <a:solidFill>
                <a:schemeClr val="dk1"/>
              </a:solidFill>
              <a:effectLst/>
              <a:latin typeface="+mn-lt"/>
              <a:ea typeface="+mn-ea"/>
              <a:cs typeface="+mn-cs"/>
            </a:rPr>
            <a:t>　　実支出額（Ｄ欄）に次の金額を含めた金額を入力してください。</a:t>
          </a:r>
          <a:endParaRPr lang="ja-JP" altLang="ja-JP" sz="1200">
            <a:effectLst/>
          </a:endParaRPr>
        </a:p>
        <a:p>
          <a:pPr rtl="0" eaLnBrk="1" fontAlgn="auto" latinLnBrk="0" hangingPunct="1"/>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　総事業費（</a:t>
          </a:r>
          <a:r>
            <a:rPr kumimoji="1" lang="en-US" altLang="ja-JP" sz="1100">
              <a:solidFill>
                <a:schemeClr val="dk1"/>
              </a:solidFill>
              <a:effectLst/>
              <a:latin typeface="+mn-lt"/>
              <a:ea typeface="+mn-ea"/>
              <a:cs typeface="+mn-cs"/>
            </a:rPr>
            <a:t>A</a:t>
          </a:r>
          <a:r>
            <a:rPr kumimoji="1" lang="ja-JP" altLang="ja-JP" sz="1100">
              <a:solidFill>
                <a:schemeClr val="dk1"/>
              </a:solidFill>
              <a:effectLst/>
              <a:latin typeface="+mn-lt"/>
              <a:ea typeface="+mn-ea"/>
              <a:cs typeface="+mn-cs"/>
            </a:rPr>
            <a:t>欄）や対象経費実支出額（</a:t>
          </a:r>
          <a:r>
            <a:rPr kumimoji="1" lang="en-US" altLang="ja-JP" sz="1100">
              <a:solidFill>
                <a:schemeClr val="dk1"/>
              </a:solidFill>
              <a:effectLst/>
              <a:latin typeface="+mn-lt"/>
              <a:ea typeface="+mn-ea"/>
              <a:cs typeface="+mn-cs"/>
            </a:rPr>
            <a:t>D</a:t>
          </a:r>
          <a:r>
            <a:rPr kumimoji="1" lang="ja-JP" altLang="ja-JP" sz="1100">
              <a:solidFill>
                <a:schemeClr val="dk1"/>
              </a:solidFill>
              <a:effectLst/>
              <a:latin typeface="+mn-lt"/>
              <a:ea typeface="+mn-ea"/>
              <a:cs typeface="+mn-cs"/>
            </a:rPr>
            <a:t>欄）に入力いただく金額</a:t>
          </a:r>
          <a:endParaRPr lang="ja-JP" altLang="ja-JP" sz="1200">
            <a:effectLst/>
          </a:endParaRPr>
        </a:p>
        <a:p>
          <a:pPr rtl="0" eaLnBrk="1" fontAlgn="auto" latinLnBrk="0" hangingPunct="1"/>
          <a:r>
            <a:rPr kumimoji="1" lang="ja-JP" altLang="ja-JP" sz="1100">
              <a:solidFill>
                <a:schemeClr val="dk1"/>
              </a:solidFill>
              <a:effectLst/>
              <a:latin typeface="+mn-lt"/>
              <a:ea typeface="+mn-ea"/>
              <a:cs typeface="+mn-cs"/>
            </a:rPr>
            <a:t>　　　　と「重層的支援体制整備事業に要する費用相当額」に表示される金額は、</a:t>
          </a:r>
          <a:endParaRPr lang="ja-JP" altLang="ja-JP" sz="1200">
            <a:effectLst/>
          </a:endParaRPr>
        </a:p>
        <a:p>
          <a:pPr rtl="0" eaLnBrk="1" fontAlgn="auto" latinLnBrk="0" hangingPunct="1"/>
          <a:r>
            <a:rPr kumimoji="1" lang="ja-JP" altLang="ja-JP" sz="1100">
              <a:solidFill>
                <a:schemeClr val="dk1"/>
              </a:solidFill>
              <a:effectLst/>
              <a:latin typeface="+mn-lt"/>
              <a:ea typeface="+mn-ea"/>
              <a:cs typeface="+mn-cs"/>
            </a:rPr>
            <a:t>　　　　定義が異なるため、異なる金額が入力されることがあります。</a:t>
          </a:r>
          <a:endParaRPr lang="ja-JP" altLang="ja-JP" sz="1200">
            <a:effectLst/>
          </a:endParaRPr>
        </a:p>
        <a:p>
          <a:pPr rtl="0" eaLnBrk="1" fontAlgn="auto" latinLnBrk="0" hangingPunct="1"/>
          <a:r>
            <a:rPr kumimoji="1" lang="ja-JP" altLang="ja-JP" sz="1100">
              <a:solidFill>
                <a:schemeClr val="dk1"/>
              </a:solidFill>
              <a:effectLst/>
              <a:latin typeface="+mn-lt"/>
              <a:ea typeface="+mn-ea"/>
              <a:cs typeface="+mn-cs"/>
            </a:rPr>
            <a:t>　　　　（「重層的支援体制整備事業に要する費用相当額」は、シート「初期</a:t>
          </a:r>
          <a:endParaRPr lang="ja-JP" altLang="ja-JP" sz="1200">
            <a:effectLst/>
          </a:endParaRPr>
        </a:p>
        <a:p>
          <a:pPr rtl="0" eaLnBrk="1" fontAlgn="auto" latinLnBrk="0" hangingPunct="1"/>
          <a:r>
            <a:rPr kumimoji="1" lang="ja-JP" altLang="ja-JP" sz="1100">
              <a:solidFill>
                <a:schemeClr val="dk1"/>
              </a:solidFill>
              <a:effectLst/>
              <a:latin typeface="+mn-lt"/>
              <a:ea typeface="+mn-ea"/>
              <a:cs typeface="+mn-cs"/>
            </a:rPr>
            <a:t>　　　　設定」より自動転記されます。）</a:t>
          </a:r>
          <a:endParaRPr lang="ja-JP" altLang="ja-JP" sz="1200">
            <a:effectLst/>
          </a:endParaRPr>
        </a:p>
        <a:p>
          <a:pPr rtl="0" eaLnBrk="1" fontAlgn="auto" latinLnBrk="0" hangingPunct="1"/>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　下部（★）に、「令和</a:t>
          </a:r>
          <a:r>
            <a:rPr kumimoji="1" lang="ja-JP" altLang="en-US" sz="1100">
              <a:solidFill>
                <a:schemeClr val="dk1"/>
              </a:solidFill>
              <a:effectLst/>
              <a:latin typeface="+mn-lt"/>
              <a:ea typeface="+mn-ea"/>
              <a:cs typeface="+mn-cs"/>
            </a:rPr>
            <a:t>７</a:t>
          </a:r>
          <a:r>
            <a:rPr kumimoji="1" lang="ja-JP" altLang="ja-JP" sz="1100">
              <a:solidFill>
                <a:schemeClr val="dk1"/>
              </a:solidFill>
              <a:effectLst/>
              <a:latin typeface="+mn-lt"/>
              <a:ea typeface="+mn-ea"/>
              <a:cs typeface="+mn-cs"/>
            </a:rPr>
            <a:t>年度重層的支援体制整備事業交付金の</a:t>
          </a:r>
          <a:endParaRPr lang="ja-JP" altLang="ja-JP" sz="1200">
            <a:effectLst/>
          </a:endParaRPr>
        </a:p>
        <a:p>
          <a:pPr rtl="0" eaLnBrk="1" fontAlgn="auto" latinLnBrk="0" hangingPunct="1"/>
          <a:r>
            <a:rPr kumimoji="1" lang="ja-JP" altLang="ja-JP" sz="1100">
              <a:solidFill>
                <a:schemeClr val="dk1"/>
              </a:solidFill>
              <a:effectLst/>
              <a:latin typeface="+mn-lt"/>
              <a:ea typeface="+mn-ea"/>
              <a:cs typeface="+mn-cs"/>
            </a:rPr>
            <a:t>　　　実績報告」における様式３・様式５で使用する表を掲載していますので、</a:t>
          </a:r>
          <a:endParaRPr lang="ja-JP" altLang="ja-JP" sz="1200">
            <a:effectLst/>
          </a:endParaRPr>
        </a:p>
        <a:p>
          <a:pPr rtl="0" eaLnBrk="1" fontAlgn="auto" latinLnBrk="0" hangingPunct="1"/>
          <a:r>
            <a:rPr kumimoji="1" lang="ja-JP" altLang="ja-JP" sz="1100">
              <a:solidFill>
                <a:schemeClr val="dk1"/>
              </a:solidFill>
              <a:effectLst/>
              <a:latin typeface="+mn-lt"/>
              <a:ea typeface="+mn-ea"/>
              <a:cs typeface="+mn-cs"/>
            </a:rPr>
            <a:t>　　　当該実績報告書の内容と齟齬がないかご確認ください。</a:t>
          </a:r>
          <a:endParaRPr lang="ja-JP" altLang="ja-JP" sz="1200">
            <a:effectLst/>
          </a:endParaRPr>
        </a:p>
        <a:p>
          <a:pPr rtl="0" eaLnBrk="1" latinLnBrk="0" hangingPunct="1"/>
          <a:r>
            <a:rPr kumimoji="1" lang="ja-JP" altLang="ja-JP" sz="1100">
              <a:solidFill>
                <a:schemeClr val="dk1"/>
              </a:solidFill>
              <a:effectLst/>
              <a:latin typeface="+mn-lt"/>
              <a:ea typeface="+mn-ea"/>
              <a:cs typeface="+mn-cs"/>
            </a:rPr>
            <a:t>　</a:t>
          </a:r>
          <a:r>
            <a:rPr kumimoji="1" lang="ja-JP" altLang="ja-JP" sz="1100" u="sng">
              <a:solidFill>
                <a:schemeClr val="dk1"/>
              </a:solidFill>
              <a:effectLst/>
              <a:latin typeface="+mn-lt"/>
              <a:ea typeface="+mn-ea"/>
              <a:cs typeface="+mn-cs"/>
            </a:rPr>
            <a:t>１　介護予防・日常生活支援総合事業のうち</a:t>
          </a:r>
          <a:endParaRPr lang="ja-JP" altLang="ja-JP" sz="1200">
            <a:effectLst/>
          </a:endParaRPr>
        </a:p>
        <a:p>
          <a:r>
            <a:rPr kumimoji="1" lang="ja-JP" altLang="ja-JP" sz="1100" u="sng">
              <a:solidFill>
                <a:schemeClr val="dk1"/>
              </a:solidFill>
              <a:effectLst/>
              <a:latin typeface="+mn-lt"/>
              <a:ea typeface="+mn-ea"/>
              <a:cs typeface="+mn-cs"/>
            </a:rPr>
            <a:t>（７）一般介護予防事業の「ウ　地域介護予防活動支援事業」</a:t>
          </a:r>
          <a:endParaRPr lang="ja-JP" altLang="ja-JP" sz="1200">
            <a:effectLst/>
          </a:endParaRPr>
        </a:p>
        <a:p>
          <a:r>
            <a:rPr kumimoji="1" lang="ja-JP" altLang="ja-JP" sz="1100">
              <a:solidFill>
                <a:schemeClr val="dk1"/>
              </a:solidFill>
              <a:effectLst/>
              <a:latin typeface="+mn-lt"/>
              <a:ea typeface="+mn-ea"/>
              <a:cs typeface="+mn-cs"/>
            </a:rPr>
            <a:t> →　</a:t>
          </a:r>
          <a:r>
            <a:rPr kumimoji="1" lang="ja-JP" altLang="ja-JP" sz="1100" baseline="0">
              <a:solidFill>
                <a:schemeClr val="dk1"/>
              </a:solidFill>
              <a:effectLst/>
              <a:latin typeface="+mn-lt"/>
              <a:ea typeface="+mn-ea"/>
              <a:cs typeface="+mn-cs"/>
            </a:rPr>
            <a:t>「令和</a:t>
          </a:r>
          <a:r>
            <a:rPr kumimoji="1" lang="ja-JP" altLang="en-US" sz="1100" baseline="0">
              <a:solidFill>
                <a:schemeClr val="dk1"/>
              </a:solidFill>
              <a:effectLst/>
              <a:latin typeface="+mn-lt"/>
              <a:ea typeface="+mn-ea"/>
              <a:cs typeface="+mn-cs"/>
            </a:rPr>
            <a:t>７</a:t>
          </a:r>
          <a:r>
            <a:rPr kumimoji="1" lang="ja-JP" altLang="ja-JP" sz="1100" baseline="0">
              <a:solidFill>
                <a:schemeClr val="dk1"/>
              </a:solidFill>
              <a:effectLst/>
              <a:latin typeface="+mn-lt"/>
              <a:ea typeface="+mn-ea"/>
              <a:cs typeface="+mn-cs"/>
            </a:rPr>
            <a:t>年度重層的支援体制整備事業交付金の実績報告」</a:t>
          </a:r>
          <a:r>
            <a:rPr kumimoji="1" lang="ja-JP" altLang="ja-JP" sz="1100">
              <a:solidFill>
                <a:schemeClr val="dk1"/>
              </a:solidFill>
              <a:effectLst/>
              <a:latin typeface="+mn-lt"/>
              <a:ea typeface="+mn-ea"/>
              <a:cs typeface="+mn-cs"/>
            </a:rPr>
            <a:t>における</a:t>
          </a:r>
          <a:endParaRPr lang="ja-JP" altLang="ja-JP" sz="1200">
            <a:effectLst/>
          </a:endParaRPr>
        </a:p>
        <a:p>
          <a:r>
            <a:rPr kumimoji="1" lang="ja-JP" altLang="ja-JP" sz="1100">
              <a:solidFill>
                <a:schemeClr val="dk1"/>
              </a:solidFill>
              <a:effectLst/>
              <a:latin typeface="+mn-lt"/>
              <a:ea typeface="+mn-ea"/>
              <a:cs typeface="+mn-cs"/>
            </a:rPr>
            <a:t>　　様式５（地域づくり事業　交付金所要額算定様式）</a:t>
          </a:r>
          <a:endParaRPr lang="ja-JP" altLang="ja-JP" sz="1200">
            <a:effectLst/>
          </a:endParaRPr>
        </a:p>
        <a:p>
          <a:r>
            <a:rPr kumimoji="1" lang="ja-JP" altLang="ja-JP" sz="1100">
              <a:solidFill>
                <a:schemeClr val="dk1"/>
              </a:solidFill>
              <a:effectLst/>
              <a:latin typeface="+mn-lt"/>
              <a:ea typeface="+mn-ea"/>
              <a:cs typeface="+mn-cs"/>
            </a:rPr>
            <a:t>　　　「カ　地域介護予防活動支援事業」の</a:t>
          </a:r>
          <a:r>
            <a:rPr kumimoji="1" lang="en-US" altLang="ja-JP" sz="1100">
              <a:solidFill>
                <a:schemeClr val="dk1"/>
              </a:solidFill>
              <a:effectLst/>
              <a:latin typeface="+mn-lt"/>
              <a:ea typeface="+mn-ea"/>
              <a:cs typeface="+mn-cs"/>
            </a:rPr>
            <a:t>K</a:t>
          </a:r>
          <a:r>
            <a:rPr kumimoji="1" lang="ja-JP" altLang="ja-JP" sz="1100">
              <a:solidFill>
                <a:schemeClr val="dk1"/>
              </a:solidFill>
              <a:effectLst/>
              <a:latin typeface="+mn-lt"/>
              <a:ea typeface="+mn-ea"/>
              <a:cs typeface="+mn-cs"/>
            </a:rPr>
            <a:t>欄に記載する金額</a:t>
          </a:r>
          <a:endParaRPr lang="ja-JP" altLang="ja-JP" sz="1200">
            <a:effectLst/>
          </a:endParaRPr>
        </a:p>
        <a:p>
          <a:r>
            <a:rPr kumimoji="1" lang="ja-JP" altLang="ja-JP" sz="1100">
              <a:solidFill>
                <a:schemeClr val="dk1"/>
              </a:solidFill>
              <a:effectLst/>
              <a:latin typeface="+mn-lt"/>
              <a:ea typeface="+mn-ea"/>
              <a:cs typeface="+mn-cs"/>
            </a:rPr>
            <a:t>　　（対象経費基本額（</a:t>
          </a:r>
          <a:r>
            <a:rPr kumimoji="1" lang="ja-JP" altLang="ja-JP" sz="1100" baseline="0">
              <a:solidFill>
                <a:schemeClr val="dk1"/>
              </a:solidFill>
              <a:effectLst/>
              <a:latin typeface="+mn-lt"/>
              <a:ea typeface="+mn-ea"/>
              <a:cs typeface="+mn-cs"/>
            </a:rPr>
            <a:t>影響</a:t>
          </a:r>
          <a:r>
            <a:rPr kumimoji="1" lang="ja-JP" altLang="ja-JP" sz="1100">
              <a:solidFill>
                <a:schemeClr val="dk1"/>
              </a:solidFill>
              <a:effectLst/>
              <a:latin typeface="+mn-lt"/>
              <a:ea typeface="+mn-ea"/>
              <a:cs typeface="+mn-cs"/>
            </a:rPr>
            <a:t>額調整後））</a:t>
          </a:r>
          <a:endParaRPr lang="ja-JP" altLang="ja-JP" sz="1200">
            <a:effectLst/>
          </a:endParaRPr>
        </a:p>
        <a:p>
          <a:r>
            <a:rPr kumimoji="1" lang="ja-JP" altLang="ja-JP" sz="1100">
              <a:solidFill>
                <a:schemeClr val="dk1"/>
              </a:solidFill>
              <a:effectLst/>
              <a:latin typeface="+mn-lt"/>
              <a:ea typeface="+mn-ea"/>
              <a:cs typeface="+mn-cs"/>
            </a:rPr>
            <a:t> </a:t>
          </a:r>
          <a:endParaRPr lang="ja-JP" altLang="ja-JP" sz="1200">
            <a:effectLst/>
          </a:endParaRPr>
        </a:p>
        <a:p>
          <a:r>
            <a:rPr kumimoji="1" lang="ja-JP" altLang="ja-JP" sz="1100" u="sng">
              <a:solidFill>
                <a:schemeClr val="dk1"/>
              </a:solidFill>
              <a:effectLst/>
              <a:latin typeface="+mn-lt"/>
              <a:ea typeface="+mn-ea"/>
              <a:cs typeface="+mn-cs"/>
            </a:rPr>
            <a:t>４　包括的支援事業（社会保障充実分）のうち</a:t>
          </a:r>
          <a:endParaRPr lang="ja-JP" altLang="ja-JP" sz="1200">
            <a:effectLst/>
          </a:endParaRPr>
        </a:p>
        <a:p>
          <a:r>
            <a:rPr kumimoji="1" lang="ja-JP" altLang="ja-JP" sz="1100" u="sng">
              <a:solidFill>
                <a:schemeClr val="dk1"/>
              </a:solidFill>
              <a:effectLst/>
              <a:latin typeface="+mn-lt"/>
              <a:ea typeface="+mn-ea"/>
              <a:cs typeface="+mn-cs"/>
            </a:rPr>
            <a:t>・（２）生活支援体制整備事業の「ア　生活支援コーディネーター・協議体」</a:t>
          </a:r>
          <a:endParaRPr lang="ja-JP" altLang="ja-JP" sz="1200">
            <a:effectLst/>
          </a:endParaRPr>
        </a:p>
        <a:p>
          <a:r>
            <a:rPr kumimoji="1" lang="ja-JP" altLang="ja-JP" sz="1100">
              <a:solidFill>
                <a:schemeClr val="dk1"/>
              </a:solidFill>
              <a:effectLst/>
              <a:latin typeface="+mn-lt"/>
              <a:ea typeface="+mn-ea"/>
              <a:cs typeface="+mn-cs"/>
            </a:rPr>
            <a:t> →　「令和</a:t>
          </a:r>
          <a:r>
            <a:rPr kumimoji="1" lang="ja-JP" altLang="en-US" sz="1100">
              <a:solidFill>
                <a:schemeClr val="dk1"/>
              </a:solidFill>
              <a:effectLst/>
              <a:latin typeface="+mn-lt"/>
              <a:ea typeface="+mn-ea"/>
              <a:cs typeface="+mn-cs"/>
            </a:rPr>
            <a:t>７</a:t>
          </a:r>
          <a:r>
            <a:rPr kumimoji="1" lang="ja-JP" altLang="ja-JP" sz="1100">
              <a:solidFill>
                <a:schemeClr val="dk1"/>
              </a:solidFill>
              <a:effectLst/>
              <a:latin typeface="+mn-lt"/>
              <a:ea typeface="+mn-ea"/>
              <a:cs typeface="+mn-cs"/>
            </a:rPr>
            <a:t>年度重層的支援体制整備事業交付金の実績報告」における</a:t>
          </a:r>
          <a:endParaRPr lang="ja-JP" altLang="ja-JP" sz="1200">
            <a:effectLst/>
          </a:endParaRPr>
        </a:p>
        <a:p>
          <a:r>
            <a:rPr kumimoji="1" lang="ja-JP" altLang="ja-JP" sz="1100">
              <a:solidFill>
                <a:schemeClr val="dk1"/>
              </a:solidFill>
              <a:effectLst/>
              <a:latin typeface="+mn-lt"/>
              <a:ea typeface="+mn-ea"/>
              <a:cs typeface="+mn-cs"/>
            </a:rPr>
            <a:t>　　様式５（地域づくり事業　交付金所要額算定様式）</a:t>
          </a:r>
          <a:endParaRPr lang="ja-JP" altLang="ja-JP" sz="1200">
            <a:effectLst/>
          </a:endParaRPr>
        </a:p>
        <a:p>
          <a:r>
            <a:rPr kumimoji="1" lang="ja-JP" altLang="ja-JP" sz="1100">
              <a:solidFill>
                <a:schemeClr val="dk1"/>
              </a:solidFill>
              <a:effectLst/>
              <a:latin typeface="+mn-lt"/>
              <a:ea typeface="+mn-ea"/>
              <a:cs typeface="+mn-cs"/>
            </a:rPr>
            <a:t>　　　「キ　生活支援体制整備事業」の</a:t>
          </a:r>
          <a:r>
            <a:rPr kumimoji="1" lang="en-US" altLang="ja-JP" sz="1100">
              <a:solidFill>
                <a:schemeClr val="dk1"/>
              </a:solidFill>
              <a:effectLst/>
              <a:latin typeface="+mn-lt"/>
              <a:ea typeface="+mn-ea"/>
              <a:cs typeface="+mn-cs"/>
            </a:rPr>
            <a:t>K</a:t>
          </a:r>
          <a:r>
            <a:rPr kumimoji="1" lang="ja-JP" altLang="ja-JP" sz="1100">
              <a:solidFill>
                <a:schemeClr val="dk1"/>
              </a:solidFill>
              <a:effectLst/>
              <a:latin typeface="+mn-lt"/>
              <a:ea typeface="+mn-ea"/>
              <a:cs typeface="+mn-cs"/>
            </a:rPr>
            <a:t>欄に記載する金額</a:t>
          </a:r>
          <a:endParaRPr lang="ja-JP" altLang="ja-JP" sz="1200">
            <a:effectLst/>
          </a:endParaRPr>
        </a:p>
        <a:p>
          <a:r>
            <a:rPr kumimoji="1" lang="ja-JP" altLang="ja-JP" sz="1100">
              <a:solidFill>
                <a:schemeClr val="dk1"/>
              </a:solidFill>
              <a:effectLst/>
              <a:latin typeface="+mn-lt"/>
              <a:ea typeface="+mn-ea"/>
              <a:cs typeface="+mn-cs"/>
            </a:rPr>
            <a:t>　　（対象経費基本額（影響額調整後））のうち</a:t>
          </a:r>
          <a:endParaRPr lang="ja-JP" altLang="ja-JP" sz="1200">
            <a:effectLst/>
          </a:endParaRPr>
        </a:p>
        <a:p>
          <a:r>
            <a:rPr kumimoji="1" lang="ja-JP" altLang="ja-JP" sz="1100">
              <a:solidFill>
                <a:schemeClr val="dk1"/>
              </a:solidFill>
              <a:effectLst/>
              <a:latin typeface="+mn-lt"/>
              <a:ea typeface="+mn-ea"/>
              <a:cs typeface="+mn-cs"/>
            </a:rPr>
            <a:t>　　　「住民参画・官民連携推進事業の実施に係る費用」</a:t>
          </a:r>
          <a:r>
            <a:rPr kumimoji="1" lang="ja-JP" altLang="en-US" sz="1100">
              <a:solidFill>
                <a:schemeClr val="dk1"/>
              </a:solidFill>
              <a:effectLst/>
              <a:latin typeface="+mn-lt"/>
              <a:ea typeface="+mn-ea"/>
              <a:cs typeface="+mn-cs"/>
            </a:rPr>
            <a:t>、</a:t>
          </a:r>
          <a:r>
            <a:rPr kumimoji="1" lang="ja-JP" altLang="ja-JP" sz="1100" u="none">
              <a:solidFill>
                <a:schemeClr val="dk1"/>
              </a:solidFill>
              <a:effectLst/>
              <a:latin typeface="+mn-lt"/>
              <a:ea typeface="+mn-ea"/>
              <a:cs typeface="+mn-cs"/>
            </a:rPr>
            <a:t>「生活支援コーディネーターを</a:t>
          </a:r>
          <a:endParaRPr kumimoji="1" lang="en-US" altLang="ja-JP" sz="1100" u="none">
            <a:solidFill>
              <a:schemeClr val="dk1"/>
            </a:solidFill>
            <a:effectLst/>
            <a:latin typeface="+mn-lt"/>
            <a:ea typeface="+mn-ea"/>
            <a:cs typeface="+mn-cs"/>
          </a:endParaRPr>
        </a:p>
        <a:p>
          <a:r>
            <a:rPr kumimoji="1" lang="ja-JP" altLang="en-US" sz="1100" u="none">
              <a:solidFill>
                <a:schemeClr val="dk1"/>
              </a:solidFill>
              <a:effectLst/>
              <a:latin typeface="+mn-lt"/>
              <a:ea typeface="+mn-ea"/>
              <a:cs typeface="+mn-cs"/>
            </a:rPr>
            <a:t>　　</a:t>
          </a:r>
          <a:r>
            <a:rPr kumimoji="1" lang="ja-JP" altLang="ja-JP" sz="1100" u="none">
              <a:solidFill>
                <a:schemeClr val="dk1"/>
              </a:solidFill>
              <a:effectLst/>
              <a:latin typeface="+mn-lt"/>
              <a:ea typeface="+mn-ea"/>
              <a:cs typeface="+mn-cs"/>
            </a:rPr>
            <a:t>中心とした相談支援連携体制構築事業」</a:t>
          </a:r>
          <a:r>
            <a:rPr kumimoji="1" lang="ja-JP" altLang="ja-JP" sz="1100">
              <a:solidFill>
                <a:schemeClr val="dk1"/>
              </a:solidFill>
              <a:effectLst/>
              <a:latin typeface="+mn-lt"/>
              <a:ea typeface="+mn-ea"/>
              <a:cs typeface="+mn-cs"/>
            </a:rPr>
            <a:t>及び「就労的活動支援コーディネーターの配置</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に係る費用」を控除した金額</a:t>
          </a:r>
          <a:endParaRPr lang="ja-JP" altLang="ja-JP" sz="1200">
            <a:effectLst/>
          </a:endParaRPr>
        </a:p>
        <a:p>
          <a:r>
            <a:rPr kumimoji="1" lang="ja-JP" altLang="ja-JP" sz="1100" u="sng">
              <a:solidFill>
                <a:schemeClr val="dk1"/>
              </a:solidFill>
              <a:effectLst/>
              <a:latin typeface="+mn-lt"/>
              <a:ea typeface="+mn-ea"/>
              <a:cs typeface="+mn-cs"/>
            </a:rPr>
            <a:t>・（２）生活支援体制整備事業の「イ　住民参画・官民連携推進事業」</a:t>
          </a:r>
          <a:endParaRPr lang="ja-JP" altLang="ja-JP" sz="1200">
            <a:effectLst/>
          </a:endParaRPr>
        </a:p>
        <a:p>
          <a:r>
            <a:rPr kumimoji="1" lang="ja-JP" altLang="ja-JP" sz="1100">
              <a:solidFill>
                <a:schemeClr val="dk1"/>
              </a:solidFill>
              <a:effectLst/>
              <a:latin typeface="+mn-lt"/>
              <a:ea typeface="+mn-ea"/>
              <a:cs typeface="+mn-cs"/>
            </a:rPr>
            <a:t> →　「令和</a:t>
          </a:r>
          <a:r>
            <a:rPr kumimoji="1" lang="ja-JP" altLang="en-US" sz="1100">
              <a:solidFill>
                <a:schemeClr val="dk1"/>
              </a:solidFill>
              <a:effectLst/>
              <a:latin typeface="+mn-lt"/>
              <a:ea typeface="+mn-ea"/>
              <a:cs typeface="+mn-cs"/>
            </a:rPr>
            <a:t>７</a:t>
          </a:r>
          <a:r>
            <a:rPr kumimoji="1" lang="ja-JP" altLang="ja-JP" sz="1100">
              <a:solidFill>
                <a:schemeClr val="dk1"/>
              </a:solidFill>
              <a:effectLst/>
              <a:latin typeface="+mn-lt"/>
              <a:ea typeface="+mn-ea"/>
              <a:cs typeface="+mn-cs"/>
            </a:rPr>
            <a:t>年度重層的支援体制整備事業交付金の実績報告」における</a:t>
          </a:r>
          <a:endParaRPr lang="ja-JP" altLang="ja-JP" sz="1200">
            <a:effectLst/>
          </a:endParaRPr>
        </a:p>
        <a:p>
          <a:r>
            <a:rPr kumimoji="1" lang="ja-JP" altLang="ja-JP" sz="1100">
              <a:solidFill>
                <a:schemeClr val="dk1"/>
              </a:solidFill>
              <a:effectLst/>
              <a:latin typeface="+mn-lt"/>
              <a:ea typeface="+mn-ea"/>
              <a:cs typeface="+mn-cs"/>
            </a:rPr>
            <a:t>　　様式５（地域づくり事業　交付金所要額算定様式）</a:t>
          </a:r>
          <a:endParaRPr lang="ja-JP" altLang="ja-JP" sz="1200">
            <a:effectLst/>
          </a:endParaRPr>
        </a:p>
        <a:p>
          <a:r>
            <a:rPr kumimoji="1" lang="ja-JP" altLang="ja-JP" sz="1100">
              <a:solidFill>
                <a:schemeClr val="dk1"/>
              </a:solidFill>
              <a:effectLst/>
              <a:latin typeface="+mn-lt"/>
              <a:ea typeface="+mn-ea"/>
              <a:cs typeface="+mn-cs"/>
            </a:rPr>
            <a:t>　　　「キ　生活支援体制整備事業」の</a:t>
          </a:r>
          <a:r>
            <a:rPr kumimoji="1" lang="en-US" altLang="ja-JP" sz="1100">
              <a:solidFill>
                <a:schemeClr val="dk1"/>
              </a:solidFill>
              <a:effectLst/>
              <a:latin typeface="+mn-lt"/>
              <a:ea typeface="+mn-ea"/>
              <a:cs typeface="+mn-cs"/>
            </a:rPr>
            <a:t>K</a:t>
          </a:r>
          <a:r>
            <a:rPr kumimoji="1" lang="ja-JP" altLang="ja-JP" sz="1100">
              <a:solidFill>
                <a:schemeClr val="dk1"/>
              </a:solidFill>
              <a:effectLst/>
              <a:latin typeface="+mn-lt"/>
              <a:ea typeface="+mn-ea"/>
              <a:cs typeface="+mn-cs"/>
            </a:rPr>
            <a:t>欄に記載する金額</a:t>
          </a:r>
          <a:endParaRPr lang="ja-JP" altLang="ja-JP" sz="1200">
            <a:effectLst/>
          </a:endParaRPr>
        </a:p>
        <a:p>
          <a:r>
            <a:rPr kumimoji="1" lang="ja-JP" altLang="ja-JP" sz="1100">
              <a:solidFill>
                <a:schemeClr val="dk1"/>
              </a:solidFill>
              <a:effectLst/>
              <a:latin typeface="+mn-lt"/>
              <a:ea typeface="+mn-ea"/>
              <a:cs typeface="+mn-cs"/>
            </a:rPr>
            <a:t>　　（対象経費基本額（影響額調整後））のうち</a:t>
          </a:r>
          <a:endParaRPr lang="ja-JP" altLang="ja-JP" sz="1200">
            <a:effectLst/>
          </a:endParaRPr>
        </a:p>
        <a:p>
          <a:r>
            <a:rPr kumimoji="1" lang="ja-JP" altLang="ja-JP" sz="1100">
              <a:solidFill>
                <a:schemeClr val="dk1"/>
              </a:solidFill>
              <a:effectLst/>
              <a:latin typeface="+mn-lt"/>
              <a:ea typeface="+mn-ea"/>
              <a:cs typeface="+mn-cs"/>
            </a:rPr>
            <a:t>　　　住民参画・官民連携推進事業の実施に係る費用の金額</a:t>
          </a:r>
          <a:endParaRPr kumimoji="1" lang="en-US" altLang="ja-JP" sz="1100">
            <a:solidFill>
              <a:schemeClr val="dk1"/>
            </a:solidFill>
            <a:effectLst/>
            <a:latin typeface="+mn-lt"/>
            <a:ea typeface="+mn-ea"/>
            <a:cs typeface="+mn-cs"/>
          </a:endParaRPr>
        </a:p>
        <a:p>
          <a:r>
            <a:rPr kumimoji="1" lang="ja-JP" altLang="ja-JP" sz="1100" u="sng">
              <a:solidFill>
                <a:schemeClr val="dk1"/>
              </a:solidFill>
              <a:effectLst/>
              <a:latin typeface="+mn-lt"/>
              <a:ea typeface="+mn-ea"/>
              <a:cs typeface="+mn-cs"/>
            </a:rPr>
            <a:t>・（２）生活支援体制整備事業の「ウ　生活支援コーディネーターを中心とした相談支援連携体制構築事業」</a:t>
          </a:r>
          <a:endParaRPr lang="ja-JP" altLang="ja-JP" sz="1200">
            <a:effectLst/>
          </a:endParaRPr>
        </a:p>
        <a:p>
          <a:r>
            <a:rPr kumimoji="1" lang="ja-JP" altLang="ja-JP" sz="1100">
              <a:solidFill>
                <a:schemeClr val="dk1"/>
              </a:solidFill>
              <a:effectLst/>
              <a:latin typeface="+mn-lt"/>
              <a:ea typeface="+mn-ea"/>
              <a:cs typeface="+mn-cs"/>
            </a:rPr>
            <a:t> →　「令和７年度重層的支援体制整備事業交付金の実績報告」における</a:t>
          </a:r>
          <a:endParaRPr lang="ja-JP" altLang="ja-JP" sz="1200">
            <a:effectLst/>
          </a:endParaRPr>
        </a:p>
        <a:p>
          <a:r>
            <a:rPr kumimoji="1" lang="ja-JP" altLang="ja-JP" sz="1100">
              <a:solidFill>
                <a:schemeClr val="dk1"/>
              </a:solidFill>
              <a:effectLst/>
              <a:latin typeface="+mn-lt"/>
              <a:ea typeface="+mn-ea"/>
              <a:cs typeface="+mn-cs"/>
            </a:rPr>
            <a:t>　　　様式５（地域づくり事業　交付金所要額算定様式）</a:t>
          </a:r>
          <a:endParaRPr lang="ja-JP" altLang="ja-JP" sz="1200">
            <a:effectLst/>
          </a:endParaRPr>
        </a:p>
        <a:p>
          <a:r>
            <a:rPr kumimoji="1" lang="ja-JP" altLang="ja-JP" sz="1100">
              <a:solidFill>
                <a:schemeClr val="dk1"/>
              </a:solidFill>
              <a:effectLst/>
              <a:latin typeface="+mn-lt"/>
              <a:ea typeface="+mn-ea"/>
              <a:cs typeface="+mn-cs"/>
            </a:rPr>
            <a:t>　　　「キ　生活支援体制整備事業」の</a:t>
          </a:r>
          <a:r>
            <a:rPr kumimoji="1" lang="en-US" altLang="ja-JP" sz="1100">
              <a:solidFill>
                <a:schemeClr val="dk1"/>
              </a:solidFill>
              <a:effectLst/>
              <a:latin typeface="+mn-lt"/>
              <a:ea typeface="+mn-ea"/>
              <a:cs typeface="+mn-cs"/>
            </a:rPr>
            <a:t>K</a:t>
          </a:r>
          <a:r>
            <a:rPr kumimoji="1" lang="ja-JP" altLang="ja-JP" sz="1100">
              <a:solidFill>
                <a:schemeClr val="dk1"/>
              </a:solidFill>
              <a:effectLst/>
              <a:latin typeface="+mn-lt"/>
              <a:ea typeface="+mn-ea"/>
              <a:cs typeface="+mn-cs"/>
            </a:rPr>
            <a:t>欄に記載する金額</a:t>
          </a:r>
          <a:endParaRPr lang="ja-JP" altLang="ja-JP" sz="1200">
            <a:effectLst/>
          </a:endParaRPr>
        </a:p>
        <a:p>
          <a:r>
            <a:rPr kumimoji="1" lang="ja-JP" altLang="ja-JP" sz="1100">
              <a:solidFill>
                <a:schemeClr val="dk1"/>
              </a:solidFill>
              <a:effectLst/>
              <a:latin typeface="+mn-lt"/>
              <a:ea typeface="+mn-ea"/>
              <a:cs typeface="+mn-cs"/>
            </a:rPr>
            <a:t>　　（対象経費基本額（影響額調整後））のうち</a:t>
          </a:r>
          <a:endParaRPr lang="ja-JP" altLang="ja-JP" sz="1200">
            <a:effectLst/>
          </a:endParaRPr>
        </a:p>
        <a:p>
          <a:r>
            <a:rPr kumimoji="1" lang="ja-JP" altLang="ja-JP" sz="1100">
              <a:solidFill>
                <a:schemeClr val="dk1"/>
              </a:solidFill>
              <a:effectLst/>
              <a:latin typeface="+mn-lt"/>
              <a:ea typeface="+mn-ea"/>
              <a:cs typeface="+mn-cs"/>
            </a:rPr>
            <a:t>　　　生活支援コーディネーターを中心とした相談支援連携体制構築事業</a:t>
          </a:r>
          <a:endParaRPr lang="ja-JP" altLang="ja-JP" sz="1200">
            <a:effectLst/>
          </a:endParaRPr>
        </a:p>
        <a:p>
          <a:r>
            <a:rPr kumimoji="1" lang="ja-JP" altLang="ja-JP" sz="1100">
              <a:solidFill>
                <a:schemeClr val="dk1"/>
              </a:solidFill>
              <a:effectLst/>
              <a:latin typeface="+mn-lt"/>
              <a:ea typeface="+mn-ea"/>
              <a:cs typeface="+mn-cs"/>
            </a:rPr>
            <a:t>　　　に係る費用の金額</a:t>
          </a:r>
          <a:endParaRPr lang="ja-JP" altLang="ja-JP" sz="1200">
            <a:effectLst/>
          </a:endParaRPr>
        </a:p>
        <a:p>
          <a:r>
            <a:rPr kumimoji="1" lang="ja-JP" altLang="ja-JP" sz="1100" u="sng">
              <a:solidFill>
                <a:schemeClr val="dk1"/>
              </a:solidFill>
              <a:effectLst/>
              <a:latin typeface="+mn-lt"/>
              <a:ea typeface="+mn-ea"/>
              <a:cs typeface="+mn-cs"/>
            </a:rPr>
            <a:t>・（２）生活支援体制整備事業の「</a:t>
          </a:r>
          <a:r>
            <a:rPr kumimoji="1" lang="ja-JP" altLang="en-US" sz="1100" u="sng">
              <a:solidFill>
                <a:schemeClr val="dk1"/>
              </a:solidFill>
              <a:effectLst/>
              <a:latin typeface="+mn-lt"/>
              <a:ea typeface="+mn-ea"/>
              <a:cs typeface="+mn-cs"/>
            </a:rPr>
            <a:t>エ</a:t>
          </a:r>
          <a:r>
            <a:rPr kumimoji="1" lang="ja-JP" altLang="ja-JP" sz="1100" u="sng">
              <a:solidFill>
                <a:schemeClr val="dk1"/>
              </a:solidFill>
              <a:effectLst/>
              <a:latin typeface="+mn-lt"/>
              <a:ea typeface="+mn-ea"/>
              <a:cs typeface="+mn-cs"/>
            </a:rPr>
            <a:t>　就労的活動支援コーディネーター」</a:t>
          </a:r>
          <a:endParaRPr lang="ja-JP" altLang="ja-JP" sz="1200">
            <a:effectLst/>
          </a:endParaRPr>
        </a:p>
        <a:p>
          <a:r>
            <a:rPr kumimoji="1" lang="ja-JP" altLang="ja-JP" sz="1100">
              <a:solidFill>
                <a:schemeClr val="dk1"/>
              </a:solidFill>
              <a:effectLst/>
              <a:latin typeface="+mn-lt"/>
              <a:ea typeface="+mn-ea"/>
              <a:cs typeface="+mn-cs"/>
            </a:rPr>
            <a:t> →　「令和</a:t>
          </a:r>
          <a:r>
            <a:rPr kumimoji="1" lang="ja-JP" altLang="en-US" sz="1100">
              <a:solidFill>
                <a:schemeClr val="dk1"/>
              </a:solidFill>
              <a:effectLst/>
              <a:latin typeface="+mn-lt"/>
              <a:ea typeface="+mn-ea"/>
              <a:cs typeface="+mn-cs"/>
            </a:rPr>
            <a:t>７</a:t>
          </a:r>
          <a:r>
            <a:rPr kumimoji="1" lang="ja-JP" altLang="ja-JP" sz="1100">
              <a:solidFill>
                <a:schemeClr val="dk1"/>
              </a:solidFill>
              <a:effectLst/>
              <a:latin typeface="+mn-lt"/>
              <a:ea typeface="+mn-ea"/>
              <a:cs typeface="+mn-cs"/>
            </a:rPr>
            <a:t>年度重層的支援体制整備事業交付金の実績報告」における</a:t>
          </a:r>
          <a:endParaRPr lang="ja-JP" altLang="ja-JP" sz="1200">
            <a:effectLst/>
          </a:endParaRPr>
        </a:p>
        <a:p>
          <a:r>
            <a:rPr kumimoji="1" lang="ja-JP" altLang="ja-JP" sz="1100">
              <a:solidFill>
                <a:schemeClr val="dk1"/>
              </a:solidFill>
              <a:effectLst/>
              <a:latin typeface="+mn-lt"/>
              <a:ea typeface="+mn-ea"/>
              <a:cs typeface="+mn-cs"/>
            </a:rPr>
            <a:t>　　様式５（地域づくり事業　交付金所要額算定様式）</a:t>
          </a:r>
          <a:endParaRPr lang="ja-JP" altLang="ja-JP" sz="1200">
            <a:effectLst/>
          </a:endParaRPr>
        </a:p>
        <a:p>
          <a:r>
            <a:rPr kumimoji="1" lang="ja-JP" altLang="ja-JP" sz="1100">
              <a:solidFill>
                <a:schemeClr val="dk1"/>
              </a:solidFill>
              <a:effectLst/>
              <a:latin typeface="+mn-lt"/>
              <a:ea typeface="+mn-ea"/>
              <a:cs typeface="+mn-cs"/>
            </a:rPr>
            <a:t>　　　「キ　生活支援体制整備事業」の</a:t>
          </a:r>
          <a:r>
            <a:rPr kumimoji="1" lang="en-US" altLang="ja-JP" sz="1100">
              <a:solidFill>
                <a:schemeClr val="dk1"/>
              </a:solidFill>
              <a:effectLst/>
              <a:latin typeface="+mn-lt"/>
              <a:ea typeface="+mn-ea"/>
              <a:cs typeface="+mn-cs"/>
            </a:rPr>
            <a:t>K</a:t>
          </a:r>
          <a:r>
            <a:rPr kumimoji="1" lang="ja-JP" altLang="ja-JP" sz="1100">
              <a:solidFill>
                <a:schemeClr val="dk1"/>
              </a:solidFill>
              <a:effectLst/>
              <a:latin typeface="+mn-lt"/>
              <a:ea typeface="+mn-ea"/>
              <a:cs typeface="+mn-cs"/>
            </a:rPr>
            <a:t>欄に記載する金額</a:t>
          </a:r>
          <a:endParaRPr lang="ja-JP" altLang="ja-JP" sz="1200">
            <a:effectLst/>
          </a:endParaRPr>
        </a:p>
        <a:p>
          <a:r>
            <a:rPr kumimoji="1" lang="ja-JP" altLang="ja-JP" sz="1100">
              <a:solidFill>
                <a:schemeClr val="dk1"/>
              </a:solidFill>
              <a:effectLst/>
              <a:latin typeface="+mn-lt"/>
              <a:ea typeface="+mn-ea"/>
              <a:cs typeface="+mn-cs"/>
            </a:rPr>
            <a:t>　　（対象経費基本額（影響額調整後））のうち</a:t>
          </a:r>
          <a:endParaRPr lang="ja-JP" altLang="ja-JP" sz="1200">
            <a:effectLst/>
          </a:endParaRPr>
        </a:p>
        <a:p>
          <a:r>
            <a:rPr kumimoji="1" lang="ja-JP" altLang="ja-JP" sz="1100">
              <a:solidFill>
                <a:schemeClr val="dk1"/>
              </a:solidFill>
              <a:effectLst/>
              <a:latin typeface="+mn-lt"/>
              <a:ea typeface="+mn-ea"/>
              <a:cs typeface="+mn-cs"/>
            </a:rPr>
            <a:t>　　　就労的活動支援コーディネーターの配置に係る費用の金額</a:t>
          </a:r>
          <a:endParaRPr lang="ja-JP" altLang="ja-JP" sz="1200">
            <a:effectLst/>
          </a:endParaRPr>
        </a:p>
        <a:p>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　包括的支援事業（地域包括支援センターの運営）の総事業費（</a:t>
          </a:r>
          <a:r>
            <a:rPr kumimoji="1" lang="en-US" altLang="ja-JP" sz="1100">
              <a:solidFill>
                <a:schemeClr val="dk1"/>
              </a:solidFill>
              <a:effectLst/>
              <a:latin typeface="+mn-lt"/>
              <a:ea typeface="+mn-ea"/>
              <a:cs typeface="+mn-cs"/>
            </a:rPr>
            <a:t>A</a:t>
          </a:r>
          <a:r>
            <a:rPr kumimoji="1" lang="ja-JP" altLang="ja-JP" sz="1100">
              <a:solidFill>
                <a:schemeClr val="dk1"/>
              </a:solidFill>
              <a:effectLst/>
              <a:latin typeface="+mn-lt"/>
              <a:ea typeface="+mn-ea"/>
              <a:cs typeface="+mn-cs"/>
            </a:rPr>
            <a:t>欄）、寄</a:t>
          </a:r>
          <a:endParaRPr lang="ja-JP" altLang="ja-JP" sz="1200">
            <a:effectLst/>
          </a:endParaRPr>
        </a:p>
        <a:p>
          <a:r>
            <a:rPr kumimoji="1" lang="ja-JP" altLang="ja-JP" sz="1100">
              <a:solidFill>
                <a:schemeClr val="dk1"/>
              </a:solidFill>
              <a:effectLst/>
              <a:latin typeface="+mn-lt"/>
              <a:ea typeface="+mn-ea"/>
              <a:cs typeface="+mn-cs"/>
            </a:rPr>
            <a:t>　　付金その他の収入額（</a:t>
          </a:r>
          <a:r>
            <a:rPr kumimoji="1" lang="en-US" altLang="ja-JP" sz="1100">
              <a:solidFill>
                <a:schemeClr val="dk1"/>
              </a:solidFill>
              <a:effectLst/>
              <a:latin typeface="+mn-lt"/>
              <a:ea typeface="+mn-ea"/>
              <a:cs typeface="+mn-cs"/>
            </a:rPr>
            <a:t>B</a:t>
          </a:r>
          <a:r>
            <a:rPr kumimoji="1" lang="ja-JP" altLang="ja-JP" sz="1100">
              <a:solidFill>
                <a:schemeClr val="dk1"/>
              </a:solidFill>
              <a:effectLst/>
              <a:latin typeface="+mn-lt"/>
              <a:ea typeface="+mn-ea"/>
              <a:cs typeface="+mn-cs"/>
            </a:rPr>
            <a:t>欄）、対象経費実支出額（</a:t>
          </a:r>
          <a:r>
            <a:rPr kumimoji="1" lang="en-US" altLang="ja-JP" sz="1100">
              <a:solidFill>
                <a:schemeClr val="dk1"/>
              </a:solidFill>
              <a:effectLst/>
              <a:latin typeface="+mn-lt"/>
              <a:ea typeface="+mn-ea"/>
              <a:cs typeface="+mn-cs"/>
            </a:rPr>
            <a:t>D</a:t>
          </a:r>
          <a:r>
            <a:rPr kumimoji="1" lang="ja-JP" altLang="ja-JP" sz="1100">
              <a:solidFill>
                <a:schemeClr val="dk1"/>
              </a:solidFill>
              <a:effectLst/>
              <a:latin typeface="+mn-lt"/>
              <a:ea typeface="+mn-ea"/>
              <a:cs typeface="+mn-cs"/>
            </a:rPr>
            <a:t>欄）については、シート　</a:t>
          </a:r>
          <a:endParaRPr lang="ja-JP" altLang="ja-JP" sz="1200">
            <a:effectLst/>
          </a:endParaRPr>
        </a:p>
        <a:p>
          <a:r>
            <a:rPr kumimoji="1" lang="ja-JP" altLang="ja-JP" sz="1100">
              <a:solidFill>
                <a:schemeClr val="dk1"/>
              </a:solidFill>
              <a:effectLst/>
              <a:latin typeface="+mn-lt"/>
              <a:ea typeface="+mn-ea"/>
              <a:cs typeface="+mn-cs"/>
            </a:rPr>
            <a:t>　　「別紙様式第４様式１別添２</a:t>
          </a:r>
          <a:r>
            <a:rPr kumimoji="1" lang="en-US" altLang="ja-JP" sz="1100">
              <a:solidFill>
                <a:schemeClr val="dk1"/>
              </a:solidFill>
              <a:effectLst/>
              <a:latin typeface="+mn-lt"/>
              <a:ea typeface="+mn-ea"/>
              <a:cs typeface="+mn-cs"/>
            </a:rPr>
            <a:t>_</a:t>
          </a:r>
          <a:r>
            <a:rPr kumimoji="1" lang="ja-JP" altLang="ja-JP" sz="1100">
              <a:solidFill>
                <a:schemeClr val="dk1"/>
              </a:solidFill>
              <a:effectLst/>
              <a:latin typeface="+mn-lt"/>
              <a:ea typeface="+mn-ea"/>
              <a:cs typeface="+mn-cs"/>
            </a:rPr>
            <a:t>地域包括支援センター運営費別表」から自動</a:t>
          </a:r>
          <a:endParaRPr lang="ja-JP" altLang="ja-JP" sz="1200">
            <a:effectLst/>
          </a:endParaRPr>
        </a:p>
        <a:p>
          <a:r>
            <a:rPr kumimoji="1" lang="ja-JP" altLang="ja-JP" sz="1100">
              <a:solidFill>
                <a:schemeClr val="dk1"/>
              </a:solidFill>
              <a:effectLst/>
              <a:latin typeface="+mn-lt"/>
              <a:ea typeface="+mn-ea"/>
              <a:cs typeface="+mn-cs"/>
            </a:rPr>
            <a:t>　　転記されます。</a:t>
          </a:r>
          <a:endParaRPr lang="ja-JP" altLang="ja-JP" sz="1200">
            <a:effectLst/>
          </a:endParaRPr>
        </a:p>
      </xdr:txBody>
    </xdr:sp>
    <xdr:clientData/>
  </xdr:twoCellAnchor>
  <xdr:twoCellAnchor>
    <xdr:from>
      <xdr:col>33</xdr:col>
      <xdr:colOff>5431972</xdr:colOff>
      <xdr:row>21</xdr:row>
      <xdr:rowOff>195944</xdr:rowOff>
    </xdr:from>
    <xdr:to>
      <xdr:col>41</xdr:col>
      <xdr:colOff>324679</xdr:colOff>
      <xdr:row>48</xdr:row>
      <xdr:rowOff>197544</xdr:rowOff>
    </xdr:to>
    <xdr:sp macro="" textlink="">
      <xdr:nvSpPr>
        <xdr:cNvPr id="5" name="テキスト ボックス 4">
          <a:extLst>
            <a:ext uri="{FF2B5EF4-FFF2-40B4-BE49-F238E27FC236}">
              <a16:creationId xmlns:a16="http://schemas.microsoft.com/office/drawing/2014/main" id="{B540D06A-C4D5-4EFB-87D8-0CC726E54592}"/>
            </a:ext>
          </a:extLst>
        </xdr:cNvPr>
        <xdr:cNvSpPr txBox="1"/>
      </xdr:nvSpPr>
      <xdr:spPr>
        <a:xfrm>
          <a:off x="29777872" y="5625194"/>
          <a:ext cx="10723257" cy="66881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参考２：地域支援事業における消費税の取扱い（２）</a:t>
          </a:r>
          <a:r>
            <a:rPr kumimoji="1" lang="en-US" altLang="ja-JP" sz="1100">
              <a:solidFill>
                <a:schemeClr val="dk1"/>
              </a:solidFill>
              <a:effectLst/>
              <a:latin typeface="+mn-lt"/>
              <a:ea typeface="+mn-ea"/>
              <a:cs typeface="+mn-cs"/>
            </a:rPr>
            <a:t>〉</a:t>
          </a:r>
        </a:p>
        <a:p>
          <a:r>
            <a:rPr kumimoji="1" lang="ja-JP" altLang="en-US" sz="1100">
              <a:solidFill>
                <a:schemeClr val="dk1"/>
              </a:solidFill>
              <a:effectLst/>
              <a:latin typeface="+mn-lt"/>
              <a:ea typeface="+mn-ea"/>
              <a:cs typeface="+mn-cs"/>
            </a:rPr>
            <a:t>・「消費税法施行令第十四条の三第五号の規定に基づき厚生労働大臣が指定する資産の譲渡等」　平成</a:t>
          </a:r>
          <a:r>
            <a:rPr kumimoji="1" lang="en-US" altLang="ja-JP" sz="1100">
              <a:solidFill>
                <a:schemeClr val="dk1"/>
              </a:solidFill>
              <a:effectLst/>
              <a:latin typeface="+mn-lt"/>
              <a:ea typeface="+mn-ea"/>
              <a:cs typeface="+mn-cs"/>
            </a:rPr>
            <a:t>18</a:t>
          </a:r>
          <a:r>
            <a:rPr kumimoji="1" lang="ja-JP" altLang="en-US" sz="1100">
              <a:solidFill>
                <a:schemeClr val="dk1"/>
              </a:solidFill>
              <a:effectLst/>
              <a:latin typeface="+mn-lt"/>
              <a:ea typeface="+mn-ea"/>
              <a:cs typeface="+mn-cs"/>
            </a:rPr>
            <a:t>年３月</a:t>
          </a:r>
          <a:r>
            <a:rPr kumimoji="1" lang="en-US" altLang="ja-JP" sz="1100">
              <a:solidFill>
                <a:schemeClr val="dk1"/>
              </a:solidFill>
              <a:effectLst/>
              <a:latin typeface="+mn-lt"/>
              <a:ea typeface="+mn-ea"/>
              <a:cs typeface="+mn-cs"/>
            </a:rPr>
            <a:t>31</a:t>
          </a:r>
          <a:r>
            <a:rPr kumimoji="1" lang="ja-JP" altLang="en-US" sz="1100">
              <a:solidFill>
                <a:schemeClr val="dk1"/>
              </a:solidFill>
              <a:effectLst/>
              <a:latin typeface="+mn-lt"/>
              <a:ea typeface="+mn-ea"/>
              <a:cs typeface="+mn-cs"/>
            </a:rPr>
            <a:t>日厚生労働省告示第</a:t>
          </a:r>
          <a:r>
            <a:rPr kumimoji="1" lang="en-US" altLang="ja-JP" sz="1100">
              <a:solidFill>
                <a:schemeClr val="dk1"/>
              </a:solidFill>
              <a:effectLst/>
              <a:latin typeface="+mn-lt"/>
              <a:ea typeface="+mn-ea"/>
              <a:cs typeface="+mn-cs"/>
            </a:rPr>
            <a:t>311</a:t>
          </a:r>
          <a:r>
            <a:rPr kumimoji="1" lang="ja-JP" altLang="en-US" sz="1100">
              <a:solidFill>
                <a:schemeClr val="dk1"/>
              </a:solidFill>
              <a:effectLst/>
              <a:latin typeface="+mn-lt"/>
              <a:ea typeface="+mn-ea"/>
              <a:cs typeface="+mn-cs"/>
            </a:rPr>
            <a:t>号</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https://www.mhlw.go.jp/web/t_doc?dataId=33aa8061</a:t>
          </a:r>
          <a:r>
            <a:rPr kumimoji="1" lang="ja-JP" altLang="en-US"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endParaRPr kumimoji="1" lang="ja-JP" altLang="en-US"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消費税法施行令</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昭和六十三年政令第三百六十号</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第十四条の三第五号の規定に基づき、厚生労働大臣が指定する資産の譲渡等を次のように定め、平成十八年四月一日から適用する。</a:t>
          </a:r>
        </a:p>
        <a:p>
          <a:endParaRPr kumimoji="1" lang="ja-JP" altLang="en-US"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消費税法施行令第十四条の三第五号の規定に基づき厚生労働大臣が指定する資産の譲渡等</a:t>
          </a:r>
        </a:p>
        <a:p>
          <a:r>
            <a:rPr kumimoji="1" lang="ja-JP" altLang="en-US" sz="1100">
              <a:solidFill>
                <a:schemeClr val="dk1"/>
              </a:solidFill>
              <a:effectLst/>
              <a:latin typeface="+mn-lt"/>
              <a:ea typeface="+mn-ea"/>
              <a:cs typeface="+mn-cs"/>
            </a:rPr>
            <a:t>　次に掲げる事業として行われる資産の譲渡等</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消費税法</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昭和六十三年法律第百八号</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別表第一第七号ロに掲げるものを除く。</a:t>
          </a:r>
          <a:r>
            <a:rPr kumimoji="1" lang="en-US" altLang="ja-JP" sz="1100">
              <a:solidFill>
                <a:schemeClr val="dk1"/>
              </a:solidFill>
              <a:effectLst/>
              <a:latin typeface="+mn-lt"/>
              <a:ea typeface="+mn-ea"/>
              <a:cs typeface="+mn-cs"/>
            </a:rPr>
            <a:t>)</a:t>
          </a:r>
        </a:p>
        <a:p>
          <a:r>
            <a:rPr kumimoji="1" lang="ja-JP" altLang="en-US" sz="1100">
              <a:solidFill>
                <a:schemeClr val="dk1"/>
              </a:solidFill>
              <a:effectLst/>
              <a:latin typeface="+mn-lt"/>
              <a:ea typeface="+mn-ea"/>
              <a:cs typeface="+mn-cs"/>
            </a:rPr>
            <a:t>一　地域の老人の福祉に関する各般の問題につき、老人、その者を現に養護する者</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以下「養護者」という。</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、地域住民その他の者からの相談に応じ、介護保険法</a:t>
          </a:r>
        </a:p>
        <a:p>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平成九年法律第百二十三号</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第二十四条第二項に規定する介護給付等対象サービス</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以下「介護給付等対象サービス」という。</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その他の保健医療サービス又は</a:t>
          </a:r>
        </a:p>
        <a:p>
          <a:r>
            <a:rPr kumimoji="1" lang="ja-JP" altLang="en-US" sz="1100">
              <a:solidFill>
                <a:schemeClr val="dk1"/>
              </a:solidFill>
              <a:effectLst/>
              <a:latin typeface="+mn-lt"/>
              <a:ea typeface="+mn-ea"/>
              <a:cs typeface="+mn-cs"/>
            </a:rPr>
            <a:t>　福祉サービス、権利擁護のための必要な援助等の利用に必要な助言を行う事業</a:t>
          </a:r>
        </a:p>
        <a:p>
          <a:r>
            <a:rPr kumimoji="1" lang="ja-JP" altLang="en-US" sz="1100">
              <a:solidFill>
                <a:schemeClr val="dk1"/>
              </a:solidFill>
              <a:effectLst/>
              <a:latin typeface="+mn-lt"/>
              <a:ea typeface="+mn-ea"/>
              <a:cs typeface="+mn-cs"/>
            </a:rPr>
            <a:t>二　地域における保健医療、福祉の関係者その他の者との連携体制の構築及びその連携体制の活用、居宅への訪問等の方法による主として居宅において介護を受ける</a:t>
          </a:r>
        </a:p>
        <a:p>
          <a:r>
            <a:rPr kumimoji="1" lang="ja-JP" altLang="en-US" sz="1100">
              <a:solidFill>
                <a:schemeClr val="dk1"/>
              </a:solidFill>
              <a:effectLst/>
              <a:latin typeface="+mn-lt"/>
              <a:ea typeface="+mn-ea"/>
              <a:cs typeface="+mn-cs"/>
            </a:rPr>
            <a:t>　老人</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以下「介護を受ける老人」という。</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に係る状況の把握を行う事業</a:t>
          </a:r>
        </a:p>
        <a:p>
          <a:r>
            <a:rPr kumimoji="1" lang="ja-JP" altLang="en-US" sz="1100">
              <a:solidFill>
                <a:schemeClr val="dk1"/>
              </a:solidFill>
              <a:effectLst/>
              <a:latin typeface="+mn-lt"/>
              <a:ea typeface="+mn-ea"/>
              <a:cs typeface="+mn-cs"/>
            </a:rPr>
            <a:t>三　介護給付等対象サービスその他の保健医療サービス又は福祉サービス、権利擁護のための必要な援助等を利用できるよう、介護を受ける老人又は養護者と市町村、</a:t>
          </a:r>
        </a:p>
        <a:p>
          <a:r>
            <a:rPr kumimoji="1" lang="ja-JP" altLang="en-US" sz="1100">
              <a:solidFill>
                <a:schemeClr val="dk1"/>
              </a:solidFill>
              <a:effectLst/>
              <a:latin typeface="+mn-lt"/>
              <a:ea typeface="+mn-ea"/>
              <a:cs typeface="+mn-cs"/>
            </a:rPr>
            <a:t>    老人居宅生活支援事業を行う者、老人福祉施設、医療施設、老人クラブその他老人の福祉を増進することを目的とする事業を行う者等との連絡調整を行う事業</a:t>
          </a:r>
        </a:p>
        <a:p>
          <a:r>
            <a:rPr kumimoji="1" lang="ja-JP" altLang="en-US" sz="1100">
              <a:solidFill>
                <a:schemeClr val="dk1"/>
              </a:solidFill>
              <a:effectLst/>
              <a:latin typeface="+mn-lt"/>
              <a:ea typeface="+mn-ea"/>
              <a:cs typeface="+mn-cs"/>
            </a:rPr>
            <a:t>四　その他介護を受ける老人又は養護者に必要な援助として行う次に掲げる事業</a:t>
          </a:r>
        </a:p>
        <a:p>
          <a:r>
            <a:rPr kumimoji="1" lang="ja-JP" altLang="en-US" sz="1100">
              <a:solidFill>
                <a:schemeClr val="dk1"/>
              </a:solidFill>
              <a:effectLst/>
              <a:latin typeface="+mn-lt"/>
              <a:ea typeface="+mn-ea"/>
              <a:cs typeface="+mn-cs"/>
            </a:rPr>
            <a:t>　イ　介護を受ける老人が要介護状態又は要支援状態</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以下「要介護状態等」という。</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となることを予防するため、その心身の状況、その置かれている環境その他の</a:t>
          </a:r>
        </a:p>
        <a:p>
          <a:r>
            <a:rPr kumimoji="1" lang="ja-JP" altLang="en-US" sz="1100">
              <a:solidFill>
                <a:schemeClr val="dk1"/>
              </a:solidFill>
              <a:effectLst/>
              <a:latin typeface="+mn-lt"/>
              <a:ea typeface="+mn-ea"/>
              <a:cs typeface="+mn-cs"/>
            </a:rPr>
            <a:t>　　状況に応じて、その選択に基づき、介護予防に関する事業</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介護保険法第十八条第二号に規定する予防給付に係るものを除く。</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その他の適切な事業が包括的かつ</a:t>
          </a:r>
        </a:p>
        <a:p>
          <a:r>
            <a:rPr kumimoji="1" lang="ja-JP" altLang="en-US" sz="1100">
              <a:solidFill>
                <a:schemeClr val="dk1"/>
              </a:solidFill>
              <a:effectLst/>
              <a:latin typeface="+mn-lt"/>
              <a:ea typeface="+mn-ea"/>
              <a:cs typeface="+mn-cs"/>
            </a:rPr>
            <a:t>　　効率的に提供されるよう必要な援助を行う事業</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介護保険法第百十五条の四十五第一項第一号に規定する介護予防・日常生活支援総合事業に係る事業を除く。</a:t>
          </a:r>
          <a:r>
            <a:rPr kumimoji="1" lang="en-US" altLang="ja-JP" sz="1100">
              <a:solidFill>
                <a:schemeClr val="dk1"/>
              </a:solidFill>
              <a:effectLst/>
              <a:latin typeface="+mn-lt"/>
              <a:ea typeface="+mn-ea"/>
              <a:cs typeface="+mn-cs"/>
            </a:rPr>
            <a:t>)</a:t>
          </a:r>
        </a:p>
        <a:p>
          <a:r>
            <a:rPr kumimoji="1" lang="ja-JP" altLang="en-US" sz="1100">
              <a:solidFill>
                <a:schemeClr val="dk1"/>
              </a:solidFill>
              <a:effectLst/>
              <a:latin typeface="+mn-lt"/>
              <a:ea typeface="+mn-ea"/>
              <a:cs typeface="+mn-cs"/>
            </a:rPr>
            <a:t>　ロ　介護保険法第七条第五項に規定する介護支援専門員への支援、介護給付等対象サービスその他の保健医療サービス又は福祉サービス等の連携体制</a:t>
          </a:r>
        </a:p>
        <a:p>
          <a:r>
            <a:rPr kumimoji="1" lang="ja-JP" altLang="en-US" sz="1100">
              <a:solidFill>
                <a:schemeClr val="dk1"/>
              </a:solidFill>
              <a:effectLst/>
              <a:latin typeface="+mn-lt"/>
              <a:ea typeface="+mn-ea"/>
              <a:cs typeface="+mn-cs"/>
            </a:rPr>
            <a:t>　　の確保等により、介護を受ける老人が地域において自立した日常生活を営むことができるよう、包括的かつ継続的な支援を行う事業</a:t>
          </a:r>
        </a:p>
        <a:p>
          <a:r>
            <a:rPr kumimoji="1" lang="ja-JP" altLang="en-US" sz="1100">
              <a:solidFill>
                <a:schemeClr val="dk1"/>
              </a:solidFill>
              <a:effectLst/>
              <a:latin typeface="+mn-lt"/>
              <a:ea typeface="+mn-ea"/>
              <a:cs typeface="+mn-cs"/>
            </a:rPr>
            <a:t>　ハ　医療に関する専門的知識を有する者が、介護サービス事業者、居宅における医療を提供する医療機関その他の関係者の連携を推進するものとして、</a:t>
          </a:r>
        </a:p>
        <a:p>
          <a:r>
            <a:rPr kumimoji="1" lang="ja-JP" altLang="en-US" sz="1100">
              <a:solidFill>
                <a:schemeClr val="dk1"/>
              </a:solidFill>
              <a:effectLst/>
              <a:latin typeface="+mn-lt"/>
              <a:ea typeface="+mn-ea"/>
              <a:cs typeface="+mn-cs"/>
            </a:rPr>
            <a:t>　　介護保険法施行規則</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平成十一年厚生省令第三十六号</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第百四十条の六十二の八各号に掲げる事業を行う事業</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ロに掲げる事業を除く。</a:t>
          </a:r>
          <a:r>
            <a:rPr kumimoji="1" lang="en-US" altLang="ja-JP" sz="1100">
              <a:solidFill>
                <a:schemeClr val="dk1"/>
              </a:solidFill>
              <a:effectLst/>
              <a:latin typeface="+mn-lt"/>
              <a:ea typeface="+mn-ea"/>
              <a:cs typeface="+mn-cs"/>
            </a:rPr>
            <a:t>)</a:t>
          </a:r>
        </a:p>
        <a:p>
          <a:r>
            <a:rPr kumimoji="1" lang="ja-JP" altLang="en-US" sz="1100">
              <a:solidFill>
                <a:schemeClr val="dk1"/>
              </a:solidFill>
              <a:effectLst/>
              <a:latin typeface="+mn-lt"/>
              <a:ea typeface="+mn-ea"/>
              <a:cs typeface="+mn-cs"/>
            </a:rPr>
            <a:t>　ニ　介護を受ける老人の地域における自立した日常生活の支援及び要介護状態等となることの予防又は要介護状態等の軽減若しくは悪化の防止に係る体制の整備その他の</a:t>
          </a:r>
        </a:p>
        <a:p>
          <a:r>
            <a:rPr kumimoji="1" lang="ja-JP" altLang="en-US" sz="1100">
              <a:solidFill>
                <a:schemeClr val="dk1"/>
              </a:solidFill>
              <a:effectLst/>
              <a:latin typeface="+mn-lt"/>
              <a:ea typeface="+mn-ea"/>
              <a:cs typeface="+mn-cs"/>
            </a:rPr>
            <a:t>　　これらを促進する事業</a:t>
          </a:r>
        </a:p>
        <a:p>
          <a:r>
            <a:rPr kumimoji="1" lang="ja-JP" altLang="en-US" sz="1100">
              <a:solidFill>
                <a:schemeClr val="dk1"/>
              </a:solidFill>
              <a:effectLst/>
              <a:latin typeface="+mn-lt"/>
              <a:ea typeface="+mn-ea"/>
              <a:cs typeface="+mn-cs"/>
            </a:rPr>
            <a:t>　ホ　保健医療及び福祉に関する専門的知識を有する者による認知症の早期における症状の悪化の防止のための支援その他の認知症である又はその疑いのある介護を受ける</a:t>
          </a:r>
        </a:p>
        <a:p>
          <a:r>
            <a:rPr kumimoji="1" lang="ja-JP" altLang="en-US" sz="1100">
              <a:solidFill>
                <a:schemeClr val="dk1"/>
              </a:solidFill>
              <a:effectLst/>
              <a:latin typeface="+mn-lt"/>
              <a:ea typeface="+mn-ea"/>
              <a:cs typeface="+mn-cs"/>
            </a:rPr>
            <a:t>　　老人に対する総合的な支援を行う事業</a:t>
          </a:r>
        </a:p>
      </xdr:txBody>
    </xdr:sp>
    <xdr:clientData/>
  </xdr:twoCellAnchor>
  <xdr:twoCellAnchor>
    <xdr:from>
      <xdr:col>33</xdr:col>
      <xdr:colOff>5442857</xdr:colOff>
      <xdr:row>49</xdr:row>
      <xdr:rowOff>0</xdr:rowOff>
    </xdr:from>
    <xdr:to>
      <xdr:col>41</xdr:col>
      <xdr:colOff>336563</xdr:colOff>
      <xdr:row>56</xdr:row>
      <xdr:rowOff>6137</xdr:rowOff>
    </xdr:to>
    <xdr:sp macro="" textlink="">
      <xdr:nvSpPr>
        <xdr:cNvPr id="6" name="テキスト ボックス 5">
          <a:extLst>
            <a:ext uri="{FF2B5EF4-FFF2-40B4-BE49-F238E27FC236}">
              <a16:creationId xmlns:a16="http://schemas.microsoft.com/office/drawing/2014/main" id="{9D479204-07D1-43F4-8B8E-A2E2D557A9C0}"/>
            </a:ext>
          </a:extLst>
        </xdr:cNvPr>
        <xdr:cNvSpPr txBox="1"/>
      </xdr:nvSpPr>
      <xdr:spPr>
        <a:xfrm>
          <a:off x="29788757" y="12363450"/>
          <a:ext cx="10724256" cy="1701587"/>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参考３：地域支援事業における消費税の取扱い（３）</a:t>
          </a:r>
          <a:r>
            <a:rPr kumimoji="1" lang="en-US" altLang="ja-JP" sz="1100">
              <a:solidFill>
                <a:schemeClr val="dk1"/>
              </a:solidFill>
              <a:effectLst/>
              <a:latin typeface="+mn-lt"/>
              <a:ea typeface="+mn-ea"/>
              <a:cs typeface="+mn-cs"/>
            </a:rPr>
            <a:t>〉</a:t>
          </a:r>
        </a:p>
        <a:p>
          <a:r>
            <a:rPr kumimoji="1" lang="ja-JP" altLang="en-US" sz="1100">
              <a:solidFill>
                <a:schemeClr val="dk1"/>
              </a:solidFill>
              <a:effectLst/>
              <a:latin typeface="+mn-lt"/>
              <a:ea typeface="+mn-ea"/>
              <a:cs typeface="+mn-cs"/>
            </a:rPr>
            <a:t>・消費税法基本通達（</a:t>
          </a:r>
          <a:r>
            <a:rPr kumimoji="1" lang="en-US" altLang="ja-JP" sz="1100">
              <a:solidFill>
                <a:schemeClr val="dk1"/>
              </a:solidFill>
              <a:effectLst/>
              <a:latin typeface="+mn-lt"/>
              <a:ea typeface="+mn-ea"/>
              <a:cs typeface="+mn-cs"/>
            </a:rPr>
            <a:t>https://www.nta.go.jp/law/tsutatsu/kihon/shohi/06/07.htm</a:t>
          </a:r>
          <a:r>
            <a:rPr kumimoji="1" lang="ja-JP" altLang="en-US"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r>
            <a:rPr kumimoji="1" lang="en-US" altLang="ja-JP" sz="1100">
              <a:solidFill>
                <a:schemeClr val="dk1"/>
              </a:solidFill>
              <a:effectLst/>
              <a:latin typeface="+mn-lt"/>
              <a:ea typeface="+mn-ea"/>
              <a:cs typeface="+mn-cs"/>
            </a:rPr>
            <a:t>6</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7</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4</a:t>
          </a:r>
          <a:r>
            <a:rPr kumimoji="1" lang="ja-JP" altLang="en-US" sz="1100">
              <a:solidFill>
                <a:schemeClr val="dk1"/>
              </a:solidFill>
              <a:effectLst/>
              <a:latin typeface="+mn-lt"/>
              <a:ea typeface="+mn-ea"/>
              <a:cs typeface="+mn-cs"/>
            </a:rPr>
            <a:t>　（介護サービスの委託に係る取扱い）</a:t>
          </a:r>
        </a:p>
        <a:p>
          <a:r>
            <a:rPr kumimoji="1" lang="ja-JP" altLang="en-US" sz="1100">
              <a:solidFill>
                <a:schemeClr val="dk1"/>
              </a:solidFill>
              <a:effectLst/>
              <a:latin typeface="+mn-lt"/>
              <a:ea typeface="+mn-ea"/>
              <a:cs typeface="+mn-cs"/>
            </a:rPr>
            <a:t>　介護保険法に規定する居宅サービス事業者、居宅介護支援事業者又は介護保険施設等（以下</a:t>
          </a:r>
          <a:r>
            <a:rPr kumimoji="1" lang="en-US" altLang="ja-JP" sz="1100">
              <a:solidFill>
                <a:schemeClr val="dk1"/>
              </a:solidFill>
              <a:effectLst/>
              <a:latin typeface="+mn-lt"/>
              <a:ea typeface="+mn-ea"/>
              <a:cs typeface="+mn-cs"/>
            </a:rPr>
            <a:t>6</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7</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4</a:t>
          </a:r>
          <a:r>
            <a:rPr kumimoji="1" lang="ja-JP" altLang="en-US" sz="1100">
              <a:solidFill>
                <a:schemeClr val="dk1"/>
              </a:solidFill>
              <a:effectLst/>
              <a:latin typeface="+mn-lt"/>
              <a:ea typeface="+mn-ea"/>
              <a:cs typeface="+mn-cs"/>
            </a:rPr>
            <a:t>において「居宅サービス事業者等」という。）からの委託により、他の事業者が、法別表第二第</a:t>
          </a:r>
          <a:r>
            <a:rPr kumimoji="1" lang="en-US" altLang="ja-JP" sz="1100">
              <a:solidFill>
                <a:schemeClr val="dk1"/>
              </a:solidFill>
              <a:effectLst/>
              <a:latin typeface="+mn-lt"/>
              <a:ea typeface="+mn-ea"/>
              <a:cs typeface="+mn-cs"/>
            </a:rPr>
            <a:t>7</a:t>
          </a:r>
          <a:r>
            <a:rPr kumimoji="1" lang="ja-JP" altLang="en-US" sz="1100">
              <a:solidFill>
                <a:schemeClr val="dk1"/>
              </a:solidFill>
              <a:effectLst/>
              <a:latin typeface="+mn-lt"/>
              <a:ea typeface="+mn-ea"/>
              <a:cs typeface="+mn-cs"/>
            </a:rPr>
            <a:t>号イ</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非課税となる介護保険に係る資産の譲渡等</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に規定する資産の譲渡等に係る業務の一部（以下</a:t>
          </a:r>
          <a:r>
            <a:rPr kumimoji="1" lang="en-US" altLang="ja-JP" sz="1100">
              <a:solidFill>
                <a:schemeClr val="dk1"/>
              </a:solidFill>
              <a:effectLst/>
              <a:latin typeface="+mn-lt"/>
              <a:ea typeface="+mn-ea"/>
              <a:cs typeface="+mn-cs"/>
            </a:rPr>
            <a:t>6</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7</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4</a:t>
          </a:r>
          <a:r>
            <a:rPr kumimoji="1" lang="ja-JP" altLang="en-US" sz="1100">
              <a:solidFill>
                <a:schemeClr val="dk1"/>
              </a:solidFill>
              <a:effectLst/>
              <a:latin typeface="+mn-lt"/>
              <a:ea typeface="+mn-ea"/>
              <a:cs typeface="+mn-cs"/>
            </a:rPr>
            <a:t>において「委託業務」という。）を行う場合における当該委託業務は、居宅サービス事業者等に対して行われるものであるから、同号に規定する資産の譲渡等に</a:t>
          </a:r>
          <a:r>
            <a:rPr kumimoji="1" lang="ja-JP" altLang="en-US" sz="1100" b="1" u="sng">
              <a:solidFill>
                <a:schemeClr val="dk1"/>
              </a:solidFill>
              <a:effectLst/>
              <a:latin typeface="+mn-lt"/>
              <a:ea typeface="+mn-ea"/>
              <a:cs typeface="+mn-cs"/>
            </a:rPr>
            <a:t>該当しない</a:t>
          </a:r>
          <a:r>
            <a:rPr kumimoji="1" lang="ja-JP" altLang="en-US" sz="1100">
              <a:solidFill>
                <a:schemeClr val="dk1"/>
              </a:solidFill>
              <a:effectLst/>
              <a:latin typeface="+mn-lt"/>
              <a:ea typeface="+mn-ea"/>
              <a:cs typeface="+mn-cs"/>
            </a:rPr>
            <a:t>ことに留意する。（平</a:t>
          </a:r>
          <a:r>
            <a:rPr kumimoji="1" lang="en-US" altLang="ja-JP" sz="1100">
              <a:solidFill>
                <a:schemeClr val="dk1"/>
              </a:solidFill>
              <a:effectLst/>
              <a:latin typeface="+mn-lt"/>
              <a:ea typeface="+mn-ea"/>
              <a:cs typeface="+mn-cs"/>
            </a:rPr>
            <a:t>12</a:t>
          </a:r>
          <a:r>
            <a:rPr kumimoji="1" lang="ja-JP" altLang="en-US" sz="1100">
              <a:solidFill>
                <a:schemeClr val="dk1"/>
              </a:solidFill>
              <a:effectLst/>
              <a:latin typeface="+mn-lt"/>
              <a:ea typeface="+mn-ea"/>
              <a:cs typeface="+mn-cs"/>
            </a:rPr>
            <a:t>課消</a:t>
          </a:r>
          <a:r>
            <a:rPr kumimoji="1" lang="en-US" altLang="ja-JP" sz="1100">
              <a:solidFill>
                <a:schemeClr val="dk1"/>
              </a:solidFill>
              <a:effectLst/>
              <a:latin typeface="+mn-lt"/>
              <a:ea typeface="+mn-ea"/>
              <a:cs typeface="+mn-cs"/>
            </a:rPr>
            <a:t>2</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10</a:t>
          </a:r>
          <a:r>
            <a:rPr kumimoji="1" lang="ja-JP" altLang="en-US" sz="1100">
              <a:solidFill>
                <a:schemeClr val="dk1"/>
              </a:solidFill>
              <a:effectLst/>
              <a:latin typeface="+mn-lt"/>
              <a:ea typeface="+mn-ea"/>
              <a:cs typeface="+mn-cs"/>
            </a:rPr>
            <a:t>、令５課消２－９により追加）</a:t>
          </a:r>
        </a:p>
      </xdr:txBody>
    </xdr:sp>
    <xdr:clientData/>
  </xdr:twoCellAnchor>
  <xdr:twoCellAnchor>
    <xdr:from>
      <xdr:col>33</xdr:col>
      <xdr:colOff>5453743</xdr:colOff>
      <xdr:row>56</xdr:row>
      <xdr:rowOff>97972</xdr:rowOff>
    </xdr:from>
    <xdr:to>
      <xdr:col>41</xdr:col>
      <xdr:colOff>341994</xdr:colOff>
      <xdr:row>59</xdr:row>
      <xdr:rowOff>0</xdr:rowOff>
    </xdr:to>
    <xdr:sp macro="" textlink="">
      <xdr:nvSpPr>
        <xdr:cNvPr id="7" name="テキスト ボックス 6">
          <a:extLst>
            <a:ext uri="{FF2B5EF4-FFF2-40B4-BE49-F238E27FC236}">
              <a16:creationId xmlns:a16="http://schemas.microsoft.com/office/drawing/2014/main" id="{6900BF37-0342-4527-BA7B-8F1B041F3602}"/>
            </a:ext>
          </a:extLst>
        </xdr:cNvPr>
        <xdr:cNvSpPr txBox="1"/>
      </xdr:nvSpPr>
      <xdr:spPr>
        <a:xfrm>
          <a:off x="29799643" y="14156872"/>
          <a:ext cx="10718801" cy="6703973"/>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dk1"/>
              </a:solidFill>
              <a:effectLst/>
              <a:latin typeface="+mn-lt"/>
              <a:ea typeface="+mn-ea"/>
              <a:cs typeface="+mn-cs"/>
            </a:rPr>
            <a:t>＜参考４：その他の収入の考え方＞</a:t>
          </a:r>
        </a:p>
        <a:p>
          <a:r>
            <a:rPr kumimoji="1" lang="ja-JP" altLang="en-US" sz="1100">
              <a:solidFill>
                <a:schemeClr val="dk1"/>
              </a:solidFill>
              <a:effectLst/>
              <a:latin typeface="+mn-lt"/>
              <a:ea typeface="+mn-ea"/>
              <a:cs typeface="+mn-cs"/>
            </a:rPr>
            <a:t>「厚生労働省所管補助金等にかかる寄付金その他の収入の取扱いについて」（令和</a:t>
          </a:r>
          <a:r>
            <a:rPr kumimoji="1" lang="en-US" altLang="ja-JP" sz="1100">
              <a:solidFill>
                <a:schemeClr val="dk1"/>
              </a:solidFill>
              <a:effectLst/>
              <a:latin typeface="+mn-lt"/>
              <a:ea typeface="+mn-ea"/>
              <a:cs typeface="+mn-cs"/>
            </a:rPr>
            <a:t>5</a:t>
          </a:r>
          <a:r>
            <a:rPr kumimoji="1" lang="ja-JP" altLang="en-US" sz="1100">
              <a:solidFill>
                <a:schemeClr val="dk1"/>
              </a:solidFill>
              <a:effectLst/>
              <a:latin typeface="+mn-lt"/>
              <a:ea typeface="+mn-ea"/>
              <a:cs typeface="+mn-cs"/>
            </a:rPr>
            <a:t>年</a:t>
          </a:r>
          <a:r>
            <a:rPr kumimoji="1" lang="en-US" altLang="ja-JP" sz="1100">
              <a:solidFill>
                <a:schemeClr val="dk1"/>
              </a:solidFill>
              <a:effectLst/>
              <a:latin typeface="+mn-lt"/>
              <a:ea typeface="+mn-ea"/>
              <a:cs typeface="+mn-cs"/>
            </a:rPr>
            <a:t>8</a:t>
          </a:r>
          <a:r>
            <a:rPr kumimoji="1" lang="ja-JP" altLang="en-US" sz="1100">
              <a:solidFill>
                <a:schemeClr val="dk1"/>
              </a:solidFill>
              <a:effectLst/>
              <a:latin typeface="+mn-lt"/>
              <a:ea typeface="+mn-ea"/>
              <a:cs typeface="+mn-cs"/>
            </a:rPr>
            <a:t>月</a:t>
          </a:r>
          <a:r>
            <a:rPr kumimoji="1" lang="en-US" altLang="ja-JP" sz="1100">
              <a:solidFill>
                <a:schemeClr val="dk1"/>
              </a:solidFill>
              <a:effectLst/>
              <a:latin typeface="+mn-lt"/>
              <a:ea typeface="+mn-ea"/>
              <a:cs typeface="+mn-cs"/>
            </a:rPr>
            <a:t>14</a:t>
          </a:r>
          <a:r>
            <a:rPr kumimoji="1" lang="ja-JP" altLang="en-US" sz="1100">
              <a:solidFill>
                <a:schemeClr val="dk1"/>
              </a:solidFill>
              <a:effectLst/>
              <a:latin typeface="+mn-lt"/>
              <a:ea typeface="+mn-ea"/>
              <a:cs typeface="+mn-cs"/>
            </a:rPr>
            <a:t>日会発</a:t>
          </a:r>
          <a:r>
            <a:rPr kumimoji="1" lang="en-US" altLang="ja-JP" sz="1100">
              <a:solidFill>
                <a:schemeClr val="dk1"/>
              </a:solidFill>
              <a:effectLst/>
              <a:latin typeface="+mn-lt"/>
              <a:ea typeface="+mn-ea"/>
              <a:cs typeface="+mn-cs"/>
            </a:rPr>
            <a:t>0814</a:t>
          </a:r>
          <a:r>
            <a:rPr kumimoji="1" lang="ja-JP" altLang="en-US" sz="1100">
              <a:solidFill>
                <a:schemeClr val="dk1"/>
              </a:solidFill>
              <a:effectLst/>
              <a:latin typeface="+mn-lt"/>
              <a:ea typeface="+mn-ea"/>
              <a:cs typeface="+mn-cs"/>
            </a:rPr>
            <a:t>第</a:t>
          </a:r>
          <a:r>
            <a:rPr kumimoji="1" lang="en-US" altLang="ja-JP" sz="1100">
              <a:solidFill>
                <a:schemeClr val="dk1"/>
              </a:solidFill>
              <a:effectLst/>
              <a:latin typeface="+mn-lt"/>
              <a:ea typeface="+mn-ea"/>
              <a:cs typeface="+mn-cs"/>
            </a:rPr>
            <a:t>7</a:t>
          </a:r>
          <a:r>
            <a:rPr kumimoji="1" lang="ja-JP" altLang="en-US" sz="1100">
              <a:solidFill>
                <a:schemeClr val="dk1"/>
              </a:solidFill>
              <a:effectLst/>
              <a:latin typeface="+mn-lt"/>
              <a:ea typeface="+mn-ea"/>
              <a:cs typeface="+mn-cs"/>
            </a:rPr>
            <a:t>号）の別紙</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https://www.mhlw.go.jp/web/t_doc?dataId=00tc7875&amp;dataType=1</a:t>
          </a:r>
          <a:r>
            <a:rPr kumimoji="1" lang="ja-JP" altLang="en-US"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厚生労働省所管補助金等にかかる寄付金その他の収入の取扱いについて</a:t>
          </a:r>
        </a:p>
        <a:p>
          <a:r>
            <a:rPr kumimoji="1" lang="ja-JP" altLang="en-US" sz="1100">
              <a:solidFill>
                <a:schemeClr val="dk1"/>
              </a:solidFill>
              <a:effectLst/>
              <a:latin typeface="+mn-lt"/>
              <a:ea typeface="+mn-ea"/>
              <a:cs typeface="+mn-cs"/>
            </a:rPr>
            <a:t>　厚生労働省所管の補助金等の交付に当たり控除すべき寄付金その他の収入の取扱いについては、その範囲等につき、それぞれの法令の定めるところによるほか、次のとおり定める。</a:t>
          </a:r>
        </a:p>
        <a:p>
          <a:r>
            <a:rPr kumimoji="1" lang="ja-JP" altLang="en-US" sz="1100">
              <a:solidFill>
                <a:schemeClr val="dk1"/>
              </a:solidFill>
              <a:effectLst/>
              <a:latin typeface="+mn-lt"/>
              <a:ea typeface="+mn-ea"/>
              <a:cs typeface="+mn-cs"/>
            </a:rPr>
            <a:t>なお、この取扱いは、法律補助、予算補助の如何にかかわらず適用されるものであるから念のため申し添える。</a:t>
          </a:r>
        </a:p>
        <a:p>
          <a:r>
            <a:rPr kumimoji="1" lang="en-US" altLang="ja-JP" sz="1100">
              <a:solidFill>
                <a:schemeClr val="dk1"/>
              </a:solidFill>
              <a:effectLst/>
              <a:latin typeface="+mn-lt"/>
              <a:ea typeface="+mn-ea"/>
              <a:cs typeface="+mn-cs"/>
            </a:rPr>
            <a:t>1</a:t>
          </a:r>
          <a:r>
            <a:rPr kumimoji="1" lang="ja-JP" altLang="en-US" sz="1100">
              <a:solidFill>
                <a:schemeClr val="dk1"/>
              </a:solidFill>
              <a:effectLst/>
              <a:latin typeface="+mn-lt"/>
              <a:ea typeface="+mn-ea"/>
              <a:cs typeface="+mn-cs"/>
            </a:rPr>
            <a:t>　寄付金その他の収入の範囲について</a:t>
          </a:r>
        </a:p>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一</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　寄付金</a:t>
          </a:r>
        </a:p>
        <a:p>
          <a:r>
            <a:rPr kumimoji="1" lang="ja-JP" altLang="en-US" sz="1100">
              <a:solidFill>
                <a:schemeClr val="dk1"/>
              </a:solidFill>
              <a:effectLst/>
              <a:latin typeface="+mn-lt"/>
              <a:ea typeface="+mn-ea"/>
              <a:cs typeface="+mn-cs"/>
            </a:rPr>
            <a:t>　寄付者がその使途を、補助事業等</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間接補助事業等を含む。以下同じ。</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に指定する寄付金をいい、使途を指定しない一般寄付金及び総事業のうち、補助対象外の事業に対する寄付金は、ここにいう寄付金とはみなさないものであること。</a:t>
          </a:r>
        </a:p>
        <a:p>
          <a:r>
            <a:rPr kumimoji="1" lang="ja-JP" altLang="en-US" sz="1100">
              <a:solidFill>
                <a:schemeClr val="dk1"/>
              </a:solidFill>
              <a:effectLst/>
              <a:latin typeface="+mn-lt"/>
              <a:ea typeface="+mn-ea"/>
              <a:cs typeface="+mn-cs"/>
            </a:rPr>
            <a:t>　ただし、補助事業者又は間接補助事業者が社会福祉法人等営利を目的としない法人である場合は、その特殊性を考慮し、法令に別段の定めのない限り、これら法人に対する寄付金は、補助事業等に指定するものであってもここにいう寄付金とみなさないものであること。</a:t>
          </a:r>
        </a:p>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二</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　その他の収入</a:t>
          </a:r>
        </a:p>
        <a:p>
          <a:r>
            <a:rPr kumimoji="1" lang="ja-JP" altLang="en-US" sz="1100">
              <a:solidFill>
                <a:schemeClr val="dk1"/>
              </a:solidFill>
              <a:effectLst/>
              <a:latin typeface="+mn-lt"/>
              <a:ea typeface="+mn-ea"/>
              <a:cs typeface="+mn-cs"/>
            </a:rPr>
            <a:t>　ここにいう収入とは、原則として、現金収入のみに限定せず、評価額、徴収法定額等をも含めることとし、収入の種類及び範囲は次のとおりとする。</a:t>
          </a:r>
        </a:p>
        <a:p>
          <a:r>
            <a:rPr kumimoji="1" lang="ja-JP" altLang="en-US" sz="1100">
              <a:solidFill>
                <a:schemeClr val="dk1"/>
              </a:solidFill>
              <a:effectLst/>
              <a:latin typeface="+mn-lt"/>
              <a:ea typeface="+mn-ea"/>
              <a:cs typeface="+mn-cs"/>
            </a:rPr>
            <a:t>　①　法令</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地方公共団体の条例及び規則を含む。</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に基づく徴収金、返還金等の収入</a:t>
          </a:r>
        </a:p>
        <a:p>
          <a:r>
            <a:rPr kumimoji="1" lang="ja-JP" altLang="en-US" sz="1100">
              <a:solidFill>
                <a:schemeClr val="dk1"/>
              </a:solidFill>
              <a:effectLst/>
              <a:latin typeface="+mn-lt"/>
              <a:ea typeface="+mn-ea"/>
              <a:cs typeface="+mn-cs"/>
            </a:rPr>
            <a:t>　②　契約違反による違約徴収金の収入</a:t>
          </a:r>
        </a:p>
        <a:p>
          <a:r>
            <a:rPr kumimoji="1" lang="ja-JP" altLang="en-US" sz="1100">
              <a:solidFill>
                <a:schemeClr val="dk1"/>
              </a:solidFill>
              <a:effectLst/>
              <a:latin typeface="+mn-lt"/>
              <a:ea typeface="+mn-ea"/>
              <a:cs typeface="+mn-cs"/>
            </a:rPr>
            <a:t>　③　既存建物等の全部又は一部が被災したことに伴う火災保険、地震保険による保険金収入等から交付要綱等により算出される自己負担相当を控除した額</a:t>
          </a:r>
        </a:p>
        <a:p>
          <a:r>
            <a:rPr kumimoji="1" lang="ja-JP" altLang="en-US" sz="1100">
              <a:solidFill>
                <a:schemeClr val="dk1"/>
              </a:solidFill>
              <a:effectLst/>
              <a:latin typeface="+mn-lt"/>
              <a:ea typeface="+mn-ea"/>
              <a:cs typeface="+mn-cs"/>
            </a:rPr>
            <a:t>　④　その他各補助金等の性質に応じた当該補助事業等に関する収入</a:t>
          </a:r>
        </a:p>
        <a:p>
          <a:r>
            <a:rPr kumimoji="1" lang="en-US" altLang="ja-JP" sz="1100">
              <a:solidFill>
                <a:schemeClr val="dk1"/>
              </a:solidFill>
              <a:effectLst/>
              <a:latin typeface="+mn-lt"/>
              <a:ea typeface="+mn-ea"/>
              <a:cs typeface="+mn-cs"/>
            </a:rPr>
            <a:t>2</a:t>
          </a:r>
          <a:r>
            <a:rPr kumimoji="1" lang="ja-JP" altLang="en-US" sz="1100">
              <a:solidFill>
                <a:schemeClr val="dk1"/>
              </a:solidFill>
              <a:effectLst/>
              <a:latin typeface="+mn-lt"/>
              <a:ea typeface="+mn-ea"/>
              <a:cs typeface="+mn-cs"/>
            </a:rPr>
            <a:t>　寄付金その他の収入の控除の方法について</a:t>
          </a:r>
        </a:p>
        <a:p>
          <a:r>
            <a:rPr kumimoji="1" lang="ja-JP" altLang="en-US" sz="1100">
              <a:solidFill>
                <a:schemeClr val="dk1"/>
              </a:solidFill>
              <a:effectLst/>
              <a:latin typeface="+mn-lt"/>
              <a:ea typeface="+mn-ea"/>
              <a:cs typeface="+mn-cs"/>
            </a:rPr>
            <a:t>　寄付金その他の収入があるときは、補助金等の交付額の算定過程において控除するものとすること。</a:t>
          </a:r>
        </a:p>
        <a:p>
          <a:r>
            <a:rPr kumimoji="1" lang="ja-JP" altLang="en-US" sz="1100">
              <a:solidFill>
                <a:schemeClr val="dk1"/>
              </a:solidFill>
              <a:effectLst/>
              <a:latin typeface="+mn-lt"/>
              <a:ea typeface="+mn-ea"/>
              <a:cs typeface="+mn-cs"/>
            </a:rPr>
            <a:t>なお、具体的な取扱いについては、各補助金等の性質を勘案のうえ、別途定められる交付要綱等によるものであること。</a:t>
          </a:r>
        </a:p>
      </xdr:txBody>
    </xdr:sp>
    <xdr:clientData/>
  </xdr:twoCellAnchor>
  <xdr:twoCellAnchor>
    <xdr:from>
      <xdr:col>14</xdr:col>
      <xdr:colOff>1524001</xdr:colOff>
      <xdr:row>57</xdr:row>
      <xdr:rowOff>108858</xdr:rowOff>
    </xdr:from>
    <xdr:to>
      <xdr:col>26</xdr:col>
      <xdr:colOff>468086</xdr:colOff>
      <xdr:row>59</xdr:row>
      <xdr:rowOff>0</xdr:rowOff>
    </xdr:to>
    <xdr:sp macro="" textlink="">
      <xdr:nvSpPr>
        <xdr:cNvPr id="8" name="テキスト ボックス 1">
          <a:extLst>
            <a:ext uri="{FF2B5EF4-FFF2-40B4-BE49-F238E27FC236}">
              <a16:creationId xmlns:a16="http://schemas.microsoft.com/office/drawing/2014/main" id="{9C27343C-9EB5-4D27-8518-89C41BF06F52}"/>
            </a:ext>
          </a:extLst>
        </xdr:cNvPr>
        <xdr:cNvSpPr txBox="1"/>
      </xdr:nvSpPr>
      <xdr:spPr>
        <a:xfrm>
          <a:off x="12839701" y="17892033"/>
          <a:ext cx="8373835" cy="5112203"/>
        </a:xfrm>
        <a:prstGeom prst="rect">
          <a:avLst/>
        </a:prstGeom>
        <a:solidFill>
          <a:srgbClr val="70AD47">
            <a:lumMod val="20000"/>
            <a:lumOff val="80000"/>
          </a:srgbClr>
        </a:solidFill>
        <a:ln w="9525" cmpd="sng">
          <a:solidFill>
            <a:sysClr val="window" lastClr="FFFFFF">
              <a:shade val="50000"/>
            </a:sysClr>
          </a:solid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mn-ea"/>
              <a:ea typeface="+mn-ea"/>
              <a:cs typeface="+mn-cs"/>
            </a:rPr>
            <a:t>（介護予防・日常生活支援総合事業調整交付金について）</a:t>
          </a:r>
          <a:endParaRPr kumimoji="1" lang="en-US" altLang="ja-JP" sz="1100" b="0" i="0" u="none" strike="noStrike" kern="0" cap="none" spc="0" normalizeH="0" baseline="0" noProof="0">
            <a:ln>
              <a:noFill/>
            </a:ln>
            <a:solidFill>
              <a:schemeClr val="tx1"/>
            </a:solidFill>
            <a:effectLst/>
            <a:uLnTx/>
            <a:uFillTx/>
            <a:latin typeface="+mn-ea"/>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mn-ea"/>
              <a:ea typeface="+mn-ea"/>
              <a:cs typeface="+mn-cs"/>
            </a:rPr>
            <a:t>○　「調整基準標準事業費額」「総合事業調整交付金所要額」欄には、交付申請における 「令和７年度地域支援事業交付金所要額調」</a:t>
          </a:r>
          <a:endParaRPr kumimoji="1" lang="en-US" altLang="ja-JP" sz="1100" b="0" i="0" u="none" strike="noStrike" kern="0" cap="none" spc="0" normalizeH="0" baseline="0" noProof="0">
            <a:ln>
              <a:noFill/>
            </a:ln>
            <a:solidFill>
              <a:schemeClr val="tx1"/>
            </a:solidFill>
            <a:effectLst/>
            <a:uLnTx/>
            <a:uFillTx/>
            <a:latin typeface="+mn-ea"/>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mn-ea"/>
              <a:ea typeface="+mn-ea"/>
              <a:cs typeface="+mn-cs"/>
            </a:rPr>
            <a:t>　（別紙様式第２様式１）の右側中段④と⑤の</a:t>
          </a:r>
          <a:r>
            <a:rPr kumimoji="1" lang="ja-JP" altLang="en-US" sz="1100" b="0" i="0" u="none" strike="noStrike" kern="0" cap="none" spc="0" normalizeH="0" baseline="0" noProof="0">
              <a:ln>
                <a:noFill/>
              </a:ln>
              <a:solidFill>
                <a:sysClr val="windowText" lastClr="000000"/>
              </a:solidFill>
              <a:effectLst/>
              <a:uLnTx/>
              <a:uFillTx/>
              <a:latin typeface="+mn-ea"/>
              <a:ea typeface="+mn-ea"/>
              <a:cs typeface="+mn-cs"/>
            </a:rPr>
            <a:t>金額をあらかじめ記入</a:t>
          </a:r>
          <a:r>
            <a:rPr kumimoji="1" lang="ja-JP" altLang="en-US" sz="1100" b="0" i="0" u="none" strike="noStrike" kern="0" cap="none" spc="0" normalizeH="0" baseline="0" noProof="0">
              <a:ln>
                <a:noFill/>
              </a:ln>
              <a:solidFill>
                <a:schemeClr val="tx1"/>
              </a:solidFill>
              <a:effectLst/>
              <a:uLnTx/>
              <a:uFillTx/>
              <a:latin typeface="+mn-ea"/>
              <a:ea typeface="+mn-ea"/>
              <a:cs typeface="+mn-cs"/>
            </a:rPr>
            <a:t>していますので、確認してください。</a:t>
          </a:r>
          <a:endParaRPr kumimoji="1" lang="en-US" altLang="ja-JP" sz="1100" b="0" i="0" u="none" strike="noStrike" kern="0" cap="none" spc="0" normalizeH="0" baseline="0" noProof="0">
            <a:ln>
              <a:noFill/>
            </a:ln>
            <a:solidFill>
              <a:schemeClr val="tx1"/>
            </a:solidFill>
            <a:effectLst/>
            <a:uLnTx/>
            <a:uFillTx/>
            <a:latin typeface="+mn-ea"/>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mn-ea"/>
              <a:ea typeface="+mn-ea"/>
              <a:cs typeface="+mn-cs"/>
            </a:rPr>
            <a:t>○　「調整基準標準事業費額」は第一号事業、一般介護予防事業に要した費用等に基づき、各保険者において算定いただいています。</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mn-ea"/>
              <a:ea typeface="+mn-ea"/>
              <a:cs typeface="+mn-cs"/>
            </a:rPr>
            <a:t>　　第一号事業、一般介護予防事業に要した費用等が、交付申請時から変更となって</a:t>
          </a:r>
          <a:r>
            <a:rPr kumimoji="1" lang="ja-JP" altLang="en-US" sz="1100" b="0" i="0" u="none" strike="noStrike" kern="0" cap="none" spc="0" normalizeH="0" baseline="0" noProof="0">
              <a:ln>
                <a:noFill/>
              </a:ln>
              <a:solidFill>
                <a:sysClr val="windowText" lastClr="000000"/>
              </a:solidFill>
              <a:effectLst/>
              <a:uLnTx/>
              <a:uFillTx/>
              <a:latin typeface="+mn-ea"/>
              <a:ea typeface="+mn-ea"/>
              <a:cs typeface="+mn-cs"/>
            </a:rPr>
            <a:t>いる</a:t>
          </a:r>
          <a:r>
            <a:rPr kumimoji="1" lang="ja-JP" altLang="en-US" sz="1100" b="0" i="0" u="none" strike="noStrike" kern="0" cap="none" spc="0" normalizeH="0" baseline="0" noProof="0">
              <a:ln>
                <a:noFill/>
              </a:ln>
              <a:solidFill>
                <a:schemeClr val="tx1"/>
              </a:solidFill>
              <a:effectLst/>
              <a:uLnTx/>
              <a:uFillTx/>
              <a:latin typeface="+mn-ea"/>
              <a:ea typeface="+mn-ea"/>
              <a:cs typeface="+mn-cs"/>
            </a:rPr>
            <a:t>保険者においては、昨年度お配りした</a:t>
          </a:r>
          <a:endParaRPr kumimoji="1" lang="en-US" altLang="ja-JP" sz="1100" b="0" i="0" u="none" strike="noStrike" kern="0" cap="none" spc="0" normalizeH="0" baseline="0" noProof="0">
            <a:ln>
              <a:noFill/>
            </a:ln>
            <a:solidFill>
              <a:schemeClr val="tx1"/>
            </a:solidFill>
            <a:effectLst/>
            <a:uLnTx/>
            <a:uFillTx/>
            <a:latin typeface="+mn-ea"/>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i="0" u="none" strike="noStrike" kern="0" cap="none" spc="0" normalizeH="0" baseline="0" noProof="0">
              <a:ln>
                <a:noFill/>
              </a:ln>
              <a:solidFill>
                <a:schemeClr val="tx1"/>
              </a:solidFill>
              <a:effectLst/>
              <a:uLnTx/>
              <a:uFillTx/>
              <a:latin typeface="+mn-ea"/>
              <a:ea typeface="+mn-ea"/>
              <a:cs typeface="+mn-cs"/>
            </a:rPr>
            <a:t>     </a:t>
          </a:r>
          <a:r>
            <a:rPr kumimoji="1" lang="ja-JP" altLang="en-US" sz="1100" b="0" i="0" u="none" strike="noStrike" kern="0" cap="none" spc="0" normalizeH="0" baseline="0" noProof="0">
              <a:ln>
                <a:noFill/>
              </a:ln>
              <a:solidFill>
                <a:schemeClr val="tx1"/>
              </a:solidFill>
              <a:effectLst/>
              <a:uLnTx/>
              <a:uFillTx/>
              <a:latin typeface="+mn-ea"/>
              <a:ea typeface="+mn-ea"/>
              <a:cs typeface="+mn-cs"/>
            </a:rPr>
            <a:t>「調整交付金算定額調」を参照し、調整基準標準事業費額を再算定し、修正してください。</a:t>
          </a:r>
          <a:endParaRPr kumimoji="1" lang="en-US" altLang="ja-JP" sz="1100" b="0" i="0" u="none" strike="noStrike" kern="0" cap="none" spc="0" normalizeH="0" baseline="0" noProof="0">
            <a:ln>
              <a:noFill/>
            </a:ln>
            <a:solidFill>
              <a:schemeClr val="tx1"/>
            </a:solidFill>
            <a:effectLst/>
            <a:uLnTx/>
            <a:uFillTx/>
            <a:latin typeface="+mn-ea"/>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mn-ea"/>
              <a:ea typeface="+mn-ea"/>
              <a:cs typeface="+mn-cs"/>
            </a:rPr>
            <a:t>　　（交付申請時の調整基準標準事業費額より、実績報告時の調整基準標準事業費額が少なくなった場合は、厚生労働省において調整交</a:t>
          </a:r>
          <a:endParaRPr kumimoji="1" lang="en-US" altLang="ja-JP" sz="1100" b="0" i="0" u="none" strike="noStrike" kern="0" cap="none" spc="0" normalizeH="0" baseline="0" noProof="0">
            <a:ln>
              <a:noFill/>
            </a:ln>
            <a:solidFill>
              <a:schemeClr val="tx1"/>
            </a:solidFill>
            <a:effectLst/>
            <a:uLnTx/>
            <a:uFillTx/>
            <a:latin typeface="+mn-ea"/>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mn-ea"/>
              <a:ea typeface="+mn-ea"/>
              <a:cs typeface="+mn-cs"/>
            </a:rPr>
            <a:t>　　付金の額を再算定し、調整交付金交付決定額との差額につき、返還を求めることとします。なお、交付申請時の調整基準標準事業費額より、</a:t>
          </a:r>
          <a:endParaRPr kumimoji="1" lang="en-US" altLang="ja-JP" sz="1100" b="0" i="0" u="none" strike="noStrike" kern="0" cap="none" spc="0" normalizeH="0" baseline="0" noProof="0">
            <a:ln>
              <a:noFill/>
            </a:ln>
            <a:solidFill>
              <a:schemeClr val="tx1"/>
            </a:solidFill>
            <a:effectLst/>
            <a:uLnTx/>
            <a:uFillTx/>
            <a:latin typeface="+mn-ea"/>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mn-ea"/>
              <a:ea typeface="+mn-ea"/>
              <a:cs typeface="+mn-cs"/>
            </a:rPr>
            <a:t>　　実績報告時の調整基準標準事業費額が多くなった場合でも、調整交付金の追加交付は行いません。</a:t>
          </a:r>
          <a:r>
            <a:rPr kumimoji="1" lang="en-US" altLang="ja-JP" sz="1100" b="0" i="0" u="none" strike="noStrike" kern="0" cap="none" spc="0" normalizeH="0" baseline="0" noProof="0">
              <a:ln>
                <a:noFill/>
              </a:ln>
              <a:solidFill>
                <a:schemeClr val="tx1"/>
              </a:solidFill>
              <a:effectLst/>
              <a:uLnTx/>
              <a:uFillTx/>
              <a:latin typeface="+mn-ea"/>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chemeClr val="tx1"/>
            </a:solidFill>
            <a:effectLst/>
            <a:uLnTx/>
            <a:uFillTx/>
            <a:latin typeface="+mn-ea"/>
            <a:ea typeface="+mn-ea"/>
            <a:cs typeface="+mn-cs"/>
          </a:endParaRPr>
        </a:p>
        <a:p>
          <a:pPr rtl="0" eaLnBrk="1" latinLnBrk="0" hangingPunct="1"/>
          <a:r>
            <a:rPr kumimoji="1" lang="ja-JP" altLang="ja-JP" sz="1100">
              <a:effectLst/>
              <a:latin typeface="+mn-lt"/>
              <a:ea typeface="+mn-ea"/>
              <a:cs typeface="+mn-cs"/>
            </a:rPr>
            <a:t>○重層的支援体制整備事業</a:t>
          </a:r>
          <a:r>
            <a:rPr kumimoji="1" lang="ja-JP" altLang="en-US" sz="1100">
              <a:effectLst/>
              <a:latin typeface="+mn-lt"/>
              <a:ea typeface="+mn-ea"/>
              <a:cs typeface="+mn-cs"/>
            </a:rPr>
            <a:t>実施保険者において</a:t>
          </a:r>
          <a:r>
            <a:rPr kumimoji="1" lang="ja-JP" altLang="ja-JP" sz="1100">
              <a:effectLst/>
              <a:latin typeface="+mn-lt"/>
              <a:ea typeface="+mn-ea"/>
              <a:cs typeface="+mn-cs"/>
            </a:rPr>
            <a:t>総合事業調整交付金に係る調整基準標準事業費額が交付申請時より減額となった場合</a:t>
          </a:r>
          <a:endParaRPr kumimoji="1" lang="en-US" altLang="ja-JP" sz="1100">
            <a:effectLst/>
            <a:latin typeface="+mn-lt"/>
            <a:ea typeface="+mn-ea"/>
            <a:cs typeface="+mn-cs"/>
          </a:endParaRPr>
        </a:p>
        <a:p>
          <a:pPr rtl="0" eaLnBrk="1" latinLnBrk="0" hangingPunct="1"/>
          <a:r>
            <a:rPr kumimoji="1" lang="ja-JP" altLang="en-US" sz="1100">
              <a:effectLst/>
              <a:latin typeface="+mn-lt"/>
              <a:ea typeface="+mn-ea"/>
              <a:cs typeface="+mn-cs"/>
            </a:rPr>
            <a:t>　</a:t>
          </a:r>
          <a:r>
            <a:rPr kumimoji="1" lang="ja-JP" altLang="ja-JP" sz="1100">
              <a:effectLst/>
              <a:latin typeface="+mn-lt"/>
              <a:ea typeface="+mn-ea"/>
              <a:cs typeface="+mn-cs"/>
            </a:rPr>
            <a:t>は、以下の要領で調整交付金所要額を減額してください。</a:t>
          </a:r>
          <a:endParaRPr lang="ja-JP" altLang="ja-JP">
            <a:effectLst/>
          </a:endParaRPr>
        </a:p>
        <a:p>
          <a:pPr rtl="0" eaLnBrk="1" latinLnBrk="0" hangingPunct="1"/>
          <a:r>
            <a:rPr kumimoji="1" lang="ja-JP" altLang="ja-JP" sz="1100">
              <a:effectLst/>
              <a:latin typeface="+mn-lt"/>
              <a:ea typeface="+mn-ea"/>
              <a:cs typeface="+mn-cs"/>
            </a:rPr>
            <a:t>　①　地域介護予防活動支援事業のみの事業費の変動により調整基準標準事業費額が減額となった場合</a:t>
          </a:r>
          <a:endParaRPr lang="ja-JP" altLang="ja-JP">
            <a:effectLst/>
          </a:endParaRPr>
        </a:p>
        <a:p>
          <a:pPr rtl="0" eaLnBrk="1" latinLnBrk="0" hangingPunct="1"/>
          <a:r>
            <a:rPr kumimoji="1" lang="ja-JP" altLang="ja-JP" sz="1100">
              <a:effectLst/>
              <a:latin typeface="+mn-lt"/>
              <a:ea typeface="+mn-ea"/>
              <a:cs typeface="+mn-cs"/>
            </a:rPr>
            <a:t>　　　　→重層的支援体制整備事業交付金として交付される総合事業調整交付金（調整交付金所要額）のみを減額</a:t>
          </a:r>
          <a:endParaRPr lang="ja-JP" altLang="ja-JP">
            <a:effectLst/>
          </a:endParaRPr>
        </a:p>
        <a:p>
          <a:pPr rtl="0" eaLnBrk="1" latinLnBrk="0" hangingPunct="1"/>
          <a:r>
            <a:rPr kumimoji="1" lang="ja-JP" altLang="ja-JP" sz="1100">
              <a:effectLst/>
              <a:latin typeface="+mn-lt"/>
              <a:ea typeface="+mn-ea"/>
              <a:cs typeface="+mn-cs"/>
            </a:rPr>
            <a:t>　②　総合事業のうち</a:t>
          </a:r>
          <a:r>
            <a:rPr kumimoji="1" lang="zh-TW" altLang="ja-JP" sz="1100">
              <a:effectLst/>
              <a:latin typeface="+mn-lt"/>
              <a:ea typeface="+mn-ea"/>
              <a:cs typeface="+mn-cs"/>
            </a:rPr>
            <a:t>地域介護予防活動支援事業</a:t>
          </a:r>
          <a:r>
            <a:rPr kumimoji="1" lang="ja-JP" altLang="ja-JP" sz="1100" b="1" u="sng">
              <a:effectLst/>
              <a:latin typeface="+mn-lt"/>
              <a:ea typeface="+mn-ea"/>
              <a:cs typeface="+mn-cs"/>
            </a:rPr>
            <a:t>以外の</a:t>
          </a:r>
          <a:r>
            <a:rPr kumimoji="1" lang="ja-JP" altLang="ja-JP" sz="1100">
              <a:effectLst/>
              <a:latin typeface="+mn-lt"/>
              <a:ea typeface="+mn-ea"/>
              <a:cs typeface="+mn-cs"/>
            </a:rPr>
            <a:t>事業のみの事業費の変動により調整基準標準事業費額が減額となった場合</a:t>
          </a:r>
          <a:endParaRPr lang="ja-JP" altLang="ja-JP">
            <a:effectLst/>
          </a:endParaRPr>
        </a:p>
        <a:p>
          <a:pPr rtl="0" eaLnBrk="1" latinLnBrk="0" hangingPunct="1"/>
          <a:r>
            <a:rPr kumimoji="1" lang="ja-JP" altLang="ja-JP" sz="1100">
              <a:effectLst/>
              <a:latin typeface="+mn-lt"/>
              <a:ea typeface="+mn-ea"/>
              <a:cs typeface="+mn-cs"/>
            </a:rPr>
            <a:t>　　　　→地域支援事業交付金として交付される総合事業調整交付金（調整交付金所要額）のみを減額</a:t>
          </a:r>
          <a:endParaRPr lang="ja-JP" altLang="ja-JP">
            <a:effectLst/>
          </a:endParaRPr>
        </a:p>
        <a:p>
          <a:pPr rtl="0" eaLnBrk="1" latinLnBrk="0" hangingPunct="1"/>
          <a:r>
            <a:rPr kumimoji="1" lang="ja-JP" altLang="ja-JP" sz="1100">
              <a:effectLst/>
              <a:latin typeface="+mn-lt"/>
              <a:ea typeface="+mn-ea"/>
              <a:cs typeface="+mn-cs"/>
            </a:rPr>
            <a:t>　③　地域介護予防活動支援事業およびそれ以外の事業いずれも事業費が変動したことにより調整基準標準事業費額が減額となった場合</a:t>
          </a:r>
          <a:endParaRPr lang="ja-JP" altLang="ja-JP">
            <a:effectLst/>
          </a:endParaRPr>
        </a:p>
        <a:p>
          <a:pPr rtl="0" eaLnBrk="1" latinLnBrk="0" hangingPunct="1"/>
          <a:r>
            <a:rPr kumimoji="1" lang="ja-JP" altLang="en-US" sz="1100">
              <a:effectLst/>
              <a:latin typeface="+mn-lt"/>
              <a:ea typeface="+mn-ea"/>
              <a:cs typeface="+mn-cs"/>
            </a:rPr>
            <a:t>　　　　</a:t>
          </a:r>
          <a:r>
            <a:rPr kumimoji="1" lang="ja-JP" altLang="ja-JP" sz="1100">
              <a:effectLst/>
              <a:latin typeface="+mn-lt"/>
              <a:ea typeface="+mn-ea"/>
              <a:cs typeface="+mn-cs"/>
            </a:rPr>
            <a:t>→</a:t>
          </a:r>
          <a:r>
            <a:rPr kumimoji="1" lang="zh-TW" altLang="ja-JP" sz="1100">
              <a:effectLst/>
              <a:latin typeface="+mn-lt"/>
              <a:ea typeface="+mn-ea"/>
              <a:cs typeface="+mn-cs"/>
            </a:rPr>
            <a:t>地域介護予防活動支援事業</a:t>
          </a:r>
          <a:r>
            <a:rPr kumimoji="1" lang="ja-JP" altLang="ja-JP" sz="1100">
              <a:effectLst/>
              <a:latin typeface="+mn-lt"/>
              <a:ea typeface="+mn-ea"/>
              <a:cs typeface="+mn-cs"/>
            </a:rPr>
            <a:t>とそれ以外の事業</a:t>
          </a:r>
          <a:r>
            <a:rPr kumimoji="1" lang="ja-JP" altLang="en-US" sz="1100">
              <a:effectLst/>
              <a:latin typeface="+mn-lt"/>
              <a:ea typeface="+mn-ea"/>
              <a:cs typeface="+mn-cs"/>
            </a:rPr>
            <a:t>費</a:t>
          </a:r>
          <a:r>
            <a:rPr kumimoji="1" lang="ja-JP" altLang="ja-JP" sz="1100">
              <a:effectLst/>
              <a:latin typeface="+mn-lt"/>
              <a:ea typeface="+mn-ea"/>
              <a:cs typeface="+mn-cs"/>
            </a:rPr>
            <a:t>の割合（内訳）は再算定せず、重層的支援体制整備事業交付金および地域支</a:t>
          </a:r>
          <a:endParaRPr kumimoji="1" lang="en-US" altLang="ja-JP" sz="1100">
            <a:effectLst/>
            <a:latin typeface="+mn-lt"/>
            <a:ea typeface="+mn-ea"/>
            <a:cs typeface="+mn-cs"/>
          </a:endParaRPr>
        </a:p>
        <a:p>
          <a:pPr rtl="0" eaLnBrk="1" latinLnBrk="0" hangingPunct="1"/>
          <a:r>
            <a:rPr kumimoji="1" lang="ja-JP" altLang="en-US" sz="1100">
              <a:effectLst/>
              <a:latin typeface="+mn-lt"/>
              <a:ea typeface="+mn-ea"/>
              <a:cs typeface="+mn-cs"/>
            </a:rPr>
            <a:t>　　　　　</a:t>
          </a:r>
          <a:r>
            <a:rPr kumimoji="1" lang="ja-JP" altLang="ja-JP" sz="1100">
              <a:effectLst/>
              <a:latin typeface="+mn-lt"/>
              <a:ea typeface="+mn-ea"/>
              <a:cs typeface="+mn-cs"/>
            </a:rPr>
            <a:t>援事業交付金として交付されるそれぞれの総合事業調整交付金（調整交付金所要額）を減額</a:t>
          </a:r>
          <a:endParaRPr lang="ja-JP" altLang="ja-JP">
            <a:effectLst/>
          </a:endParaRPr>
        </a:p>
        <a:p>
          <a:pPr rtl="0" eaLnBrk="1" latinLnBrk="0" hangingPunct="1"/>
          <a:r>
            <a:rPr kumimoji="1" lang="en-US" altLang="ja-JP" sz="1100">
              <a:effectLst/>
              <a:latin typeface="+mn-lt"/>
              <a:ea typeface="+mn-ea"/>
              <a:cs typeface="+mn-cs"/>
            </a:rPr>
            <a:t>※</a:t>
          </a:r>
          <a:r>
            <a:rPr kumimoji="1" lang="ja-JP" altLang="ja-JP" sz="1100">
              <a:effectLst/>
              <a:latin typeface="+mn-lt"/>
              <a:ea typeface="+mn-ea"/>
              <a:cs typeface="+mn-cs"/>
            </a:rPr>
            <a:t>総合事業調整交付金に係る調整基準標準事業費額が交付申請時より増額となった場合は、交付申請時の額を記載してください</a:t>
          </a:r>
          <a:endParaRPr kumimoji="1" lang="en-US" altLang="ja-JP" sz="1100">
            <a:effectLst/>
            <a:latin typeface="+mn-lt"/>
            <a:ea typeface="+mn-ea"/>
            <a:cs typeface="+mn-cs"/>
          </a:endParaRPr>
        </a:p>
        <a:p>
          <a:pPr rtl="0" eaLnBrk="1" latinLnBrk="0" hangingPunct="1"/>
          <a:r>
            <a:rPr kumimoji="1" lang="ja-JP" altLang="en-US" sz="1100">
              <a:effectLst/>
              <a:latin typeface="+mn-lt"/>
              <a:ea typeface="+mn-ea"/>
              <a:cs typeface="+mn-cs"/>
            </a:rPr>
            <a:t>　</a:t>
          </a:r>
          <a:r>
            <a:rPr kumimoji="1" lang="ja-JP" altLang="ja-JP" sz="1100">
              <a:effectLst/>
              <a:latin typeface="+mn-lt"/>
              <a:ea typeface="+mn-ea"/>
              <a:cs typeface="+mn-cs"/>
            </a:rPr>
            <a:t>（増額した額について記載する必要はありません。）</a:t>
          </a:r>
          <a:endParaRPr lang="ja-JP" altLang="ja-JP">
            <a:effectLst/>
          </a:endParaRPr>
        </a:p>
      </xdr:txBody>
    </xdr:sp>
    <xdr:clientData/>
  </xdr:twoCellAnchor>
  <xdr:twoCellAnchor>
    <xdr:from>
      <xdr:col>4</xdr:col>
      <xdr:colOff>1767416</xdr:colOff>
      <xdr:row>12</xdr:row>
      <xdr:rowOff>52916</xdr:rowOff>
    </xdr:from>
    <xdr:to>
      <xdr:col>4</xdr:col>
      <xdr:colOff>3153833</xdr:colOff>
      <xdr:row>13</xdr:row>
      <xdr:rowOff>211666</xdr:rowOff>
    </xdr:to>
    <xdr:sp macro="" textlink="">
      <xdr:nvSpPr>
        <xdr:cNvPr id="9" name="正方形/長方形 8">
          <a:extLst>
            <a:ext uri="{FF2B5EF4-FFF2-40B4-BE49-F238E27FC236}">
              <a16:creationId xmlns:a16="http://schemas.microsoft.com/office/drawing/2014/main" id="{8F40C068-3BFA-4117-98C7-561A5CBAC427}"/>
            </a:ext>
          </a:extLst>
        </xdr:cNvPr>
        <xdr:cNvSpPr/>
      </xdr:nvSpPr>
      <xdr:spPr>
        <a:xfrm>
          <a:off x="2645833" y="3227916"/>
          <a:ext cx="1386417" cy="402167"/>
        </a:xfrm>
        <a:prstGeom prst="rect">
          <a:avLst/>
        </a:prstGeom>
        <a:solidFill>
          <a:srgbClr val="FFFF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B</a:t>
          </a:r>
          <a:r>
            <a:rPr kumimoji="1" lang="ja-JP" altLang="en-US" sz="1100">
              <a:solidFill>
                <a:srgbClr val="FF0000"/>
              </a:solidFill>
            </a:rPr>
            <a:t>型は</a:t>
          </a:r>
          <a:r>
            <a:rPr kumimoji="1" lang="en-US" altLang="ja-JP" sz="1100">
              <a:solidFill>
                <a:srgbClr val="FF0000"/>
              </a:solidFill>
            </a:rPr>
            <a:t>R6</a:t>
          </a:r>
          <a:r>
            <a:rPr kumimoji="1" lang="ja-JP" altLang="en-US" sz="1100">
              <a:solidFill>
                <a:srgbClr val="FF0000"/>
              </a:solidFill>
            </a:rPr>
            <a:t>で終了</a:t>
          </a:r>
        </a:p>
      </xdr:txBody>
    </xdr:sp>
    <xdr:clientData/>
  </xdr:twoCellAnchor>
  <xdr:twoCellAnchor>
    <xdr:from>
      <xdr:col>4</xdr:col>
      <xdr:colOff>1873250</xdr:colOff>
      <xdr:row>18</xdr:row>
      <xdr:rowOff>222251</xdr:rowOff>
    </xdr:from>
    <xdr:to>
      <xdr:col>4</xdr:col>
      <xdr:colOff>3270250</xdr:colOff>
      <xdr:row>20</xdr:row>
      <xdr:rowOff>137585</xdr:rowOff>
    </xdr:to>
    <xdr:sp macro="" textlink="">
      <xdr:nvSpPr>
        <xdr:cNvPr id="10" name="正方形/長方形 9">
          <a:extLst>
            <a:ext uri="{FF2B5EF4-FFF2-40B4-BE49-F238E27FC236}">
              <a16:creationId xmlns:a16="http://schemas.microsoft.com/office/drawing/2014/main" id="{AA404A34-459F-4872-8F3C-6F392455AA8E}"/>
            </a:ext>
          </a:extLst>
        </xdr:cNvPr>
        <xdr:cNvSpPr/>
      </xdr:nvSpPr>
      <xdr:spPr>
        <a:xfrm>
          <a:off x="2751667" y="4857751"/>
          <a:ext cx="1397000" cy="402167"/>
        </a:xfrm>
        <a:prstGeom prst="rect">
          <a:avLst/>
        </a:prstGeom>
        <a:solidFill>
          <a:srgbClr val="FFFF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B</a:t>
          </a:r>
          <a:r>
            <a:rPr kumimoji="1" lang="ja-JP" altLang="en-US" sz="1100">
              <a:solidFill>
                <a:srgbClr val="FF0000"/>
              </a:solidFill>
            </a:rPr>
            <a:t>型は</a:t>
          </a:r>
          <a:r>
            <a:rPr kumimoji="1" lang="en-US" altLang="ja-JP" sz="1100">
              <a:solidFill>
                <a:srgbClr val="FF0000"/>
              </a:solidFill>
            </a:rPr>
            <a:t>R6</a:t>
          </a:r>
          <a:r>
            <a:rPr kumimoji="1" lang="ja-JP" altLang="en-US" sz="1100">
              <a:solidFill>
                <a:srgbClr val="FF0000"/>
              </a:solidFill>
            </a:rPr>
            <a:t>で終了</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32</xdr:col>
      <xdr:colOff>272143</xdr:colOff>
      <xdr:row>0</xdr:row>
      <xdr:rowOff>152400</xdr:rowOff>
    </xdr:from>
    <xdr:to>
      <xdr:col>40</xdr:col>
      <xdr:colOff>495794</xdr:colOff>
      <xdr:row>6</xdr:row>
      <xdr:rowOff>114516</xdr:rowOff>
    </xdr:to>
    <xdr:sp macro="" textlink="">
      <xdr:nvSpPr>
        <xdr:cNvPr id="2" name="テキスト ボックス 1">
          <a:extLst>
            <a:ext uri="{FF2B5EF4-FFF2-40B4-BE49-F238E27FC236}">
              <a16:creationId xmlns:a16="http://schemas.microsoft.com/office/drawing/2014/main" id="{A4CE254F-AC51-4B65-A0D6-68A0F1FEEE09}"/>
            </a:ext>
          </a:extLst>
        </xdr:cNvPr>
        <xdr:cNvSpPr txBox="1"/>
      </xdr:nvSpPr>
      <xdr:spPr>
        <a:xfrm>
          <a:off x="24160843" y="152400"/>
          <a:ext cx="15749401" cy="164804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solidFill>
                <a:schemeClr val="tx1"/>
              </a:solidFill>
            </a:rPr>
            <a:t>○　水色セルに金額を入力してください。（単位：いずれも円）</a:t>
          </a:r>
          <a:endParaRPr kumimoji="1" lang="en-US" altLang="ja-JP" sz="1200">
            <a:solidFill>
              <a:schemeClr val="tx1"/>
            </a:solidFill>
          </a:endParaRPr>
        </a:p>
        <a:p>
          <a:pPr rtl="0" eaLnBrk="1" latinLnBrk="0" hangingPunct="1"/>
          <a:r>
            <a:rPr kumimoji="1" lang="ja-JP" altLang="en-US" sz="1200">
              <a:solidFill>
                <a:schemeClr val="tx1"/>
              </a:solidFill>
            </a:rPr>
            <a:t>○　</a:t>
          </a:r>
          <a:r>
            <a:rPr kumimoji="1" lang="ja-JP" altLang="ja-JP" sz="1200">
              <a:solidFill>
                <a:schemeClr val="tx1"/>
              </a:solidFill>
              <a:effectLst/>
              <a:latin typeface="+mn-lt"/>
              <a:ea typeface="+mn-ea"/>
              <a:cs typeface="+mn-cs"/>
            </a:rPr>
            <a:t>地域支援事業内の一部の事業にあっては、当該事業として行われる資産の譲渡等には、消費税が課されません。</a:t>
          </a:r>
          <a:endParaRPr lang="ja-JP" altLang="ja-JP" sz="1200">
            <a:solidFill>
              <a:schemeClr val="tx1"/>
            </a:solidFill>
            <a:effectLst/>
          </a:endParaRPr>
        </a:p>
        <a:p>
          <a:pPr rtl="0" eaLnBrk="1" latinLnBrk="0" hangingPunct="1"/>
          <a:r>
            <a:rPr kumimoji="1" lang="ja-JP" altLang="ja-JP" sz="1200">
              <a:solidFill>
                <a:schemeClr val="tx1"/>
              </a:solidFill>
              <a:effectLst/>
              <a:latin typeface="+mn-lt"/>
              <a:ea typeface="+mn-ea"/>
              <a:cs typeface="+mn-cs"/>
            </a:rPr>
            <a:t>　</a:t>
          </a:r>
          <a:r>
            <a:rPr kumimoji="1" lang="ja-JP" altLang="en-US" sz="1200">
              <a:solidFill>
                <a:schemeClr val="tx1"/>
              </a:solidFill>
              <a:effectLst/>
              <a:latin typeface="+mn-lt"/>
              <a:ea typeface="+mn-ea"/>
              <a:cs typeface="+mn-cs"/>
            </a:rPr>
            <a:t>　</a:t>
          </a:r>
          <a:r>
            <a:rPr kumimoji="1" lang="ja-JP" altLang="en-US" sz="1200" baseline="0">
              <a:solidFill>
                <a:schemeClr val="tx1"/>
              </a:solidFill>
              <a:effectLst/>
              <a:latin typeface="+mn-lt"/>
              <a:ea typeface="+mn-ea"/>
              <a:cs typeface="+mn-cs"/>
            </a:rPr>
            <a:t> </a:t>
          </a:r>
          <a:r>
            <a:rPr kumimoji="1" lang="ja-JP" altLang="ja-JP" sz="1200">
              <a:solidFill>
                <a:schemeClr val="tx1"/>
              </a:solidFill>
              <a:effectLst/>
              <a:latin typeface="+mn-lt"/>
              <a:ea typeface="+mn-ea"/>
              <a:cs typeface="+mn-cs"/>
            </a:rPr>
            <a:t>このため、総事業費（</a:t>
          </a:r>
          <a:r>
            <a:rPr kumimoji="1" lang="en-US" altLang="ja-JP" sz="1200">
              <a:solidFill>
                <a:schemeClr val="tx1"/>
              </a:solidFill>
              <a:effectLst/>
              <a:latin typeface="+mn-ea"/>
              <a:ea typeface="+mn-ea"/>
              <a:cs typeface="+mn-cs"/>
            </a:rPr>
            <a:t>A</a:t>
          </a:r>
          <a:r>
            <a:rPr kumimoji="1" lang="ja-JP" altLang="ja-JP" sz="1200">
              <a:solidFill>
                <a:schemeClr val="tx1"/>
              </a:solidFill>
              <a:effectLst/>
              <a:latin typeface="+mn-lt"/>
              <a:ea typeface="+mn-ea"/>
              <a:cs typeface="+mn-cs"/>
            </a:rPr>
            <a:t>欄）や対象経費実支出額（Ｄ欄）の入力の際には、参考１</a:t>
          </a:r>
          <a:r>
            <a:rPr kumimoji="1" lang="ja-JP" altLang="en-US" sz="1200">
              <a:solidFill>
                <a:schemeClr val="tx1"/>
              </a:solidFill>
              <a:effectLst/>
              <a:latin typeface="+mn-lt"/>
              <a:ea typeface="+mn-ea"/>
              <a:cs typeface="+mn-cs"/>
            </a:rPr>
            <a:t>～３</a:t>
          </a:r>
          <a:r>
            <a:rPr kumimoji="1" lang="ja-JP" altLang="ja-JP" sz="1200">
              <a:solidFill>
                <a:schemeClr val="tx1"/>
              </a:solidFill>
              <a:effectLst/>
              <a:latin typeface="+mn-lt"/>
              <a:ea typeface="+mn-ea"/>
              <a:cs typeface="+mn-cs"/>
            </a:rPr>
            <a:t>を参照し、非課税</a:t>
          </a:r>
          <a:r>
            <a:rPr kumimoji="1" lang="ja-JP" altLang="en-US" sz="1200">
              <a:solidFill>
                <a:schemeClr val="tx1"/>
              </a:solidFill>
              <a:effectLst/>
              <a:latin typeface="+mn-lt"/>
              <a:ea typeface="+mn-ea"/>
              <a:cs typeface="+mn-cs"/>
            </a:rPr>
            <a:t>取引</a:t>
          </a:r>
          <a:r>
            <a:rPr kumimoji="1" lang="ja-JP" altLang="ja-JP" sz="1200">
              <a:solidFill>
                <a:schemeClr val="tx1"/>
              </a:solidFill>
              <a:effectLst/>
              <a:latin typeface="+mn-lt"/>
              <a:ea typeface="+mn-ea"/>
              <a:cs typeface="+mn-cs"/>
            </a:rPr>
            <a:t>を課税であると誤認して費用を計上</a:t>
          </a:r>
          <a:r>
            <a:rPr kumimoji="1" lang="ja-JP" altLang="en-US" sz="1200">
              <a:solidFill>
                <a:schemeClr val="tx1"/>
              </a:solidFill>
              <a:effectLst/>
              <a:latin typeface="+mn-lt"/>
              <a:ea typeface="+mn-ea"/>
              <a:cs typeface="+mn-cs"/>
            </a:rPr>
            <a:t>したり、課税取引を非課税と誤認して扱う</a:t>
          </a:r>
          <a:r>
            <a:rPr kumimoji="1" lang="ja-JP" altLang="ja-JP" sz="1200">
              <a:solidFill>
                <a:schemeClr val="tx1"/>
              </a:solidFill>
              <a:effectLst/>
              <a:latin typeface="+mn-lt"/>
              <a:ea typeface="+mn-ea"/>
              <a:cs typeface="+mn-cs"/>
            </a:rPr>
            <a:t>ことのないよう、注意してください。</a:t>
          </a:r>
          <a:endParaRPr kumimoji="1" lang="en-US" altLang="ja-JP" sz="1200">
            <a:solidFill>
              <a:schemeClr val="tx1"/>
            </a:solidFill>
            <a:effectLst/>
            <a:latin typeface="+mn-lt"/>
            <a:ea typeface="+mn-ea"/>
            <a:cs typeface="+mn-cs"/>
          </a:endParaRPr>
        </a:p>
        <a:p>
          <a:pPr rtl="0" eaLnBrk="1" latinLnBrk="0" hangingPunct="1"/>
          <a:r>
            <a:rPr kumimoji="1" lang="ja-JP" altLang="en-US" sz="1200">
              <a:solidFill>
                <a:schemeClr val="tx1"/>
              </a:solidFill>
              <a:effectLst/>
              <a:latin typeface="+mn-lt"/>
              <a:ea typeface="+mn-ea"/>
              <a:cs typeface="+mn-cs"/>
            </a:rPr>
            <a:t>　　</a:t>
          </a:r>
          <a:r>
            <a:rPr kumimoji="1" lang="en-US" altLang="ja-JP" sz="1200">
              <a:solidFill>
                <a:schemeClr val="tx1"/>
              </a:solidFill>
              <a:effectLst/>
              <a:latin typeface="+mn-lt"/>
              <a:ea typeface="+mn-ea"/>
              <a:cs typeface="+mn-cs"/>
            </a:rPr>
            <a:t>※</a:t>
          </a:r>
          <a:r>
            <a:rPr kumimoji="1" lang="ja-JP" altLang="en-US" sz="1200">
              <a:solidFill>
                <a:schemeClr val="tx1"/>
              </a:solidFill>
              <a:effectLst/>
              <a:latin typeface="+mn-lt"/>
              <a:ea typeface="+mn-ea"/>
              <a:cs typeface="+mn-cs"/>
            </a:rPr>
            <a:t>「</a:t>
          </a:r>
          <a:r>
            <a:rPr lang="ja-JP" altLang="en-US" sz="1200"/>
            <a:t>地域支援事業を委託して実施する場合における消費税の取扱いについて</a:t>
          </a:r>
          <a:r>
            <a:rPr kumimoji="1" lang="ja-JP" altLang="en-US" sz="1200">
              <a:solidFill>
                <a:schemeClr val="tx1"/>
              </a:solidFill>
              <a:effectLst/>
              <a:latin typeface="+mn-lt"/>
              <a:ea typeface="+mn-ea"/>
              <a:cs typeface="+mn-cs"/>
            </a:rPr>
            <a:t>」（令和６年６月</a:t>
          </a:r>
          <a:r>
            <a:rPr kumimoji="1" lang="en-US" altLang="ja-JP" sz="1200">
              <a:solidFill>
                <a:schemeClr val="tx1"/>
              </a:solidFill>
              <a:effectLst/>
              <a:latin typeface="+mn-lt"/>
              <a:ea typeface="+mn-ea"/>
              <a:cs typeface="+mn-cs"/>
            </a:rPr>
            <a:t>28</a:t>
          </a:r>
          <a:r>
            <a:rPr kumimoji="1" lang="ja-JP" altLang="en-US" sz="1200">
              <a:solidFill>
                <a:schemeClr val="tx1"/>
              </a:solidFill>
              <a:effectLst/>
              <a:latin typeface="+mn-lt"/>
              <a:ea typeface="+mn-ea"/>
              <a:cs typeface="+mn-cs"/>
            </a:rPr>
            <a:t>日</a:t>
          </a:r>
          <a:r>
            <a:rPr lang="ja-JP" altLang="en-US" sz="1200"/>
            <a:t>厚生労働省老健局認知症施策・地域介護推進課事務連絡</a:t>
          </a:r>
          <a:r>
            <a:rPr kumimoji="1" lang="ja-JP" altLang="en-US" sz="1200">
              <a:solidFill>
                <a:schemeClr val="tx1"/>
              </a:solidFill>
              <a:effectLst/>
              <a:latin typeface="+mn-lt"/>
              <a:ea typeface="+mn-ea"/>
              <a:cs typeface="+mn-cs"/>
            </a:rPr>
            <a:t>）も参照のこと。</a:t>
          </a:r>
          <a:endParaRPr kumimoji="1" lang="en-US" altLang="ja-JP" sz="1200">
            <a:solidFill>
              <a:schemeClr val="tx1"/>
            </a:solidFill>
            <a:effectLst/>
            <a:latin typeface="+mn-lt"/>
            <a:ea typeface="+mn-ea"/>
            <a:cs typeface="+mn-cs"/>
          </a:endParaRPr>
        </a:p>
        <a:p>
          <a:pPr rtl="0" eaLnBrk="1" latinLnBrk="0" hangingPunct="1"/>
          <a:r>
            <a:rPr lang="ja-JP" altLang="en-US" sz="1200">
              <a:solidFill>
                <a:schemeClr val="tx1"/>
              </a:solidFill>
              <a:effectLst/>
            </a:rPr>
            <a:t>○　寄付金その他の収入額の取扱いについては、参考３の「厚生労働省所管補助金等にかかる寄付金その他の収入の取扱いについて」に定められているので、参照してください。</a:t>
          </a:r>
          <a:endParaRPr kumimoji="1" lang="en-US" altLang="ja-JP" sz="1200">
            <a:solidFill>
              <a:schemeClr val="tx1"/>
            </a:solidFill>
          </a:endParaRPr>
        </a:p>
      </xdr:txBody>
    </xdr:sp>
    <xdr:clientData/>
  </xdr:twoCellAnchor>
  <xdr:twoCellAnchor>
    <xdr:from>
      <xdr:col>33</xdr:col>
      <xdr:colOff>5366657</xdr:colOff>
      <xdr:row>6</xdr:row>
      <xdr:rowOff>206829</xdr:rowOff>
    </xdr:from>
    <xdr:to>
      <xdr:col>41</xdr:col>
      <xdr:colOff>256376</xdr:colOff>
      <xdr:row>21</xdr:row>
      <xdr:rowOff>109579</xdr:rowOff>
    </xdr:to>
    <xdr:sp macro="" textlink="">
      <xdr:nvSpPr>
        <xdr:cNvPr id="3" name="テキスト ボックス 2">
          <a:extLst>
            <a:ext uri="{FF2B5EF4-FFF2-40B4-BE49-F238E27FC236}">
              <a16:creationId xmlns:a16="http://schemas.microsoft.com/office/drawing/2014/main" id="{C1E3637E-B6F6-40D3-ACD9-1A1094D49377}"/>
            </a:ext>
          </a:extLst>
        </xdr:cNvPr>
        <xdr:cNvSpPr txBox="1"/>
      </xdr:nvSpPr>
      <xdr:spPr>
        <a:xfrm>
          <a:off x="29712557" y="1892754"/>
          <a:ext cx="10720269" cy="36460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参考１：地域支援事業における消費税の取扱い（１）</a:t>
          </a:r>
          <a:r>
            <a:rPr kumimoji="1" lang="en-US" altLang="ja-JP" sz="1100">
              <a:solidFill>
                <a:schemeClr val="dk1"/>
              </a:solidFill>
              <a:effectLst/>
              <a:latin typeface="+mn-lt"/>
              <a:ea typeface="+mn-ea"/>
              <a:cs typeface="+mn-cs"/>
            </a:rPr>
            <a:t>〉</a:t>
          </a:r>
        </a:p>
        <a:p>
          <a:r>
            <a:rPr kumimoji="1" lang="ja-JP" altLang="en-US" sz="1100">
              <a:solidFill>
                <a:schemeClr val="dk1"/>
              </a:solidFill>
              <a:effectLst/>
              <a:latin typeface="+mn-lt"/>
              <a:ea typeface="+mn-ea"/>
              <a:cs typeface="+mn-cs"/>
            </a:rPr>
            <a:t>・「消費税法施行令第十四条の二第三項第十二号の規定に基づき厚生労働大臣が指定する資産の譲渡等」　平成</a:t>
          </a:r>
          <a:r>
            <a:rPr kumimoji="1" lang="en-US" altLang="ja-JP" sz="1100">
              <a:solidFill>
                <a:schemeClr val="dk1"/>
              </a:solidFill>
              <a:effectLst/>
              <a:latin typeface="+mn-lt"/>
              <a:ea typeface="+mn-ea"/>
              <a:cs typeface="+mn-cs"/>
            </a:rPr>
            <a:t>24</a:t>
          </a:r>
          <a:r>
            <a:rPr kumimoji="1" lang="ja-JP" altLang="en-US" sz="1100">
              <a:solidFill>
                <a:schemeClr val="dk1"/>
              </a:solidFill>
              <a:effectLst/>
              <a:latin typeface="+mn-lt"/>
              <a:ea typeface="+mn-ea"/>
              <a:cs typeface="+mn-cs"/>
            </a:rPr>
            <a:t>年３月</a:t>
          </a:r>
          <a:r>
            <a:rPr kumimoji="1" lang="en-US" altLang="ja-JP" sz="1100">
              <a:solidFill>
                <a:schemeClr val="dk1"/>
              </a:solidFill>
              <a:effectLst/>
              <a:latin typeface="+mn-lt"/>
              <a:ea typeface="+mn-ea"/>
              <a:cs typeface="+mn-cs"/>
            </a:rPr>
            <a:t>31</a:t>
          </a:r>
          <a:r>
            <a:rPr kumimoji="1" lang="ja-JP" altLang="en-US" sz="1100">
              <a:solidFill>
                <a:schemeClr val="dk1"/>
              </a:solidFill>
              <a:effectLst/>
              <a:latin typeface="+mn-lt"/>
              <a:ea typeface="+mn-ea"/>
              <a:cs typeface="+mn-cs"/>
            </a:rPr>
            <a:t>日厚生労働省告示第</a:t>
          </a:r>
          <a:r>
            <a:rPr kumimoji="1" lang="en-US" altLang="ja-JP" sz="1100">
              <a:solidFill>
                <a:schemeClr val="dk1"/>
              </a:solidFill>
              <a:effectLst/>
              <a:latin typeface="+mn-lt"/>
              <a:ea typeface="+mn-ea"/>
              <a:cs typeface="+mn-cs"/>
            </a:rPr>
            <a:t>307</a:t>
          </a:r>
          <a:r>
            <a:rPr kumimoji="1" lang="ja-JP" altLang="en-US" sz="1100">
              <a:solidFill>
                <a:schemeClr val="dk1"/>
              </a:solidFill>
              <a:effectLst/>
              <a:latin typeface="+mn-lt"/>
              <a:ea typeface="+mn-ea"/>
              <a:cs typeface="+mn-cs"/>
            </a:rPr>
            <a:t>号</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https://www.mhlw.go.jp/web/t_doc?dataId=33ab2822</a:t>
          </a:r>
          <a:r>
            <a:rPr kumimoji="1" lang="ja-JP" altLang="en-US"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endParaRPr kumimoji="1" lang="ja-JP" altLang="en-US"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　消費税法施行令</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昭和六十三年政令第三百六十号</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第十四条の二第三項第十二号の規定に基づき、消費税法施行令第十四条の二第三項第十二号の規定に</a:t>
          </a:r>
        </a:p>
        <a:p>
          <a:r>
            <a:rPr kumimoji="1" lang="ja-JP" altLang="en-US" sz="1100">
              <a:solidFill>
                <a:schemeClr val="dk1"/>
              </a:solidFill>
              <a:effectLst/>
              <a:latin typeface="+mn-lt"/>
              <a:ea typeface="+mn-ea"/>
              <a:cs typeface="+mn-cs"/>
            </a:rPr>
            <a:t>基づき厚生労働大臣が指定する資産の譲渡等を次のように定め、平成二十四年四月一日から適用する。</a:t>
          </a:r>
        </a:p>
        <a:p>
          <a:endParaRPr kumimoji="1" lang="ja-JP" altLang="en-US"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消費税法施行令第十四条の二第三項第十二号の規定に基づき厚生労働大臣が指定する資産の譲渡等</a:t>
          </a:r>
        </a:p>
        <a:p>
          <a:r>
            <a:rPr kumimoji="1" lang="ja-JP" altLang="en-US" sz="1100">
              <a:solidFill>
                <a:schemeClr val="dk1"/>
              </a:solidFill>
              <a:effectLst/>
              <a:latin typeface="+mn-lt"/>
              <a:ea typeface="+mn-ea"/>
              <a:cs typeface="+mn-cs"/>
            </a:rPr>
            <a:t>　介護保険法</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平成九年法律第百二十三号。以下「法」という。</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第百十五条の四十五第一項に規定する介護予防・日常生活支援総合事業のうち、同項第一号に規定する居宅要支援被保険者等に対して次に掲げる事業として行われる資産の譲渡等</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当該事業の利用者の選定により、通常の事業の実施地域</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当該事業を行う事業所が通常時に当該事業に係るサービスを提供する地域をいう。以下同じ。</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以外の地域の居宅において当該事業を行う場合に要した交通費を対価とする資産の譲渡等又は通常の事業の実施地域以外の地域に居住する利用者に対して当該事業を行う場合における送迎を除く。</a:t>
          </a:r>
          <a:r>
            <a:rPr kumimoji="1" lang="en-US" altLang="ja-JP" sz="1100">
              <a:solidFill>
                <a:schemeClr val="dk1"/>
              </a:solidFill>
              <a:effectLst/>
              <a:latin typeface="+mn-lt"/>
              <a:ea typeface="+mn-ea"/>
              <a:cs typeface="+mn-cs"/>
            </a:rPr>
            <a:t>)</a:t>
          </a:r>
        </a:p>
        <a:p>
          <a:r>
            <a:rPr kumimoji="1" lang="ja-JP" altLang="en-US" sz="1100">
              <a:solidFill>
                <a:schemeClr val="dk1"/>
              </a:solidFill>
              <a:effectLst/>
              <a:latin typeface="+mn-lt"/>
              <a:ea typeface="+mn-ea"/>
              <a:cs typeface="+mn-cs"/>
            </a:rPr>
            <a:t>　一　法第百十五条の四十五第一項第一号イに規定する第一号訪問事業</a:t>
          </a:r>
        </a:p>
        <a:p>
          <a:r>
            <a:rPr kumimoji="1" lang="ja-JP" altLang="en-US" sz="1100">
              <a:solidFill>
                <a:schemeClr val="dk1"/>
              </a:solidFill>
              <a:effectLst/>
              <a:latin typeface="+mn-lt"/>
              <a:ea typeface="+mn-ea"/>
              <a:cs typeface="+mn-cs"/>
            </a:rPr>
            <a:t>　二　法第百十五条の四十五第一項第一号ロに規定する第一号通所事業</a:t>
          </a:r>
        </a:p>
        <a:p>
          <a:r>
            <a:rPr kumimoji="1" lang="ja-JP" altLang="en-US" sz="1100">
              <a:solidFill>
                <a:schemeClr val="dk1"/>
              </a:solidFill>
              <a:effectLst/>
              <a:latin typeface="+mn-lt"/>
              <a:ea typeface="+mn-ea"/>
              <a:cs typeface="+mn-cs"/>
            </a:rPr>
            <a:t>　三　法第百十五条の四十五第一項第一号ハに規定する第一号生活支援事業</a:t>
          </a:r>
        </a:p>
        <a:p>
          <a:r>
            <a:rPr kumimoji="1" lang="ja-JP" altLang="en-US" sz="1100">
              <a:solidFill>
                <a:schemeClr val="dk1"/>
              </a:solidFill>
              <a:effectLst/>
              <a:latin typeface="+mn-lt"/>
              <a:ea typeface="+mn-ea"/>
              <a:cs typeface="+mn-cs"/>
            </a:rPr>
            <a:t>　四　法第百十五条の四十五第一項第一号ニに規定する第一号介護予防支援事業</a:t>
          </a:r>
        </a:p>
      </xdr:txBody>
    </xdr:sp>
    <xdr:clientData/>
  </xdr:twoCellAnchor>
  <xdr:twoCellAnchor>
    <xdr:from>
      <xdr:col>32</xdr:col>
      <xdr:colOff>261257</xdr:colOff>
      <xdr:row>6</xdr:row>
      <xdr:rowOff>228599</xdr:rowOff>
    </xdr:from>
    <xdr:to>
      <xdr:col>33</xdr:col>
      <xdr:colOff>5185923</xdr:colOff>
      <xdr:row>60</xdr:row>
      <xdr:rowOff>76200</xdr:rowOff>
    </xdr:to>
    <xdr:sp macro="" textlink="">
      <xdr:nvSpPr>
        <xdr:cNvPr id="4" name="テキスト ボックス 3">
          <a:extLst>
            <a:ext uri="{FF2B5EF4-FFF2-40B4-BE49-F238E27FC236}">
              <a16:creationId xmlns:a16="http://schemas.microsoft.com/office/drawing/2014/main" id="{C19DA502-A5B1-4CA5-8976-CD383D151ACC}"/>
            </a:ext>
          </a:extLst>
        </xdr:cNvPr>
        <xdr:cNvSpPr txBox="1"/>
      </xdr:nvSpPr>
      <xdr:spPr>
        <a:xfrm>
          <a:off x="24149957" y="1914524"/>
          <a:ext cx="5381866" cy="13249276"/>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　</a:t>
          </a:r>
          <a:r>
            <a:rPr kumimoji="1" lang="ja-JP" altLang="ja-JP" sz="1100" b="0">
              <a:solidFill>
                <a:schemeClr val="dk1"/>
              </a:solidFill>
              <a:effectLst/>
              <a:latin typeface="+mn-lt"/>
              <a:ea typeface="+mn-ea"/>
              <a:cs typeface="+mn-cs"/>
            </a:rPr>
            <a:t>重層的支援体制整備事業実施保険者においては、当該事業の対象である　</a:t>
          </a:r>
          <a:endParaRPr lang="ja-JP" altLang="ja-JP" sz="1200">
            <a:effectLst/>
          </a:endParaRPr>
        </a:p>
        <a:p>
          <a:pPr rtl="0" eaLnBrk="1" latinLnBrk="0" hangingPunct="1"/>
          <a:r>
            <a:rPr kumimoji="1" lang="ja-JP" altLang="ja-JP" sz="1100" b="0">
              <a:solidFill>
                <a:schemeClr val="dk1"/>
              </a:solidFill>
              <a:effectLst/>
              <a:latin typeface="+mn-lt"/>
              <a:ea typeface="+mn-ea"/>
              <a:cs typeface="+mn-cs"/>
            </a:rPr>
            <a:t>　　「地域介護予防活動支援事業」「生活支援体制整備事業」に係る総事業費</a:t>
          </a:r>
          <a:endParaRPr lang="ja-JP" altLang="ja-JP" sz="1200">
            <a:effectLst/>
          </a:endParaRPr>
        </a:p>
        <a:p>
          <a:pPr rtl="0" eaLnBrk="1" latinLnBrk="0" hangingPunct="1"/>
          <a:r>
            <a:rPr kumimoji="1" lang="ja-JP" altLang="ja-JP" sz="1100" b="0">
              <a:solidFill>
                <a:schemeClr val="dk1"/>
              </a:solidFill>
              <a:effectLst/>
              <a:latin typeface="+mn-lt"/>
              <a:ea typeface="+mn-ea"/>
              <a:cs typeface="+mn-cs"/>
            </a:rPr>
            <a:t>　（</a:t>
          </a:r>
          <a:r>
            <a:rPr kumimoji="1" lang="en-US" altLang="ja-JP" sz="1100" b="0">
              <a:solidFill>
                <a:schemeClr val="dk1"/>
              </a:solidFill>
              <a:effectLst/>
              <a:latin typeface="+mn-lt"/>
              <a:ea typeface="+mn-ea"/>
              <a:cs typeface="+mn-cs"/>
            </a:rPr>
            <a:t>A</a:t>
          </a:r>
          <a:r>
            <a:rPr kumimoji="1" lang="ja-JP" altLang="ja-JP" sz="1100" b="0">
              <a:solidFill>
                <a:schemeClr val="dk1"/>
              </a:solidFill>
              <a:effectLst/>
              <a:latin typeface="+mn-lt"/>
              <a:ea typeface="+mn-ea"/>
              <a:cs typeface="+mn-cs"/>
            </a:rPr>
            <a:t>欄）、対象経費実支出額（</a:t>
          </a:r>
          <a:r>
            <a:rPr kumimoji="1" lang="en-US" altLang="ja-JP" sz="1100" b="0">
              <a:solidFill>
                <a:schemeClr val="dk1"/>
              </a:solidFill>
              <a:effectLst/>
              <a:latin typeface="+mn-lt"/>
              <a:ea typeface="+mn-ea"/>
              <a:cs typeface="+mn-cs"/>
            </a:rPr>
            <a:t>D</a:t>
          </a:r>
          <a:r>
            <a:rPr kumimoji="1" lang="ja-JP" altLang="ja-JP" sz="1100" b="0">
              <a:solidFill>
                <a:schemeClr val="dk1"/>
              </a:solidFill>
              <a:effectLst/>
              <a:latin typeface="+mn-lt"/>
              <a:ea typeface="+mn-ea"/>
              <a:cs typeface="+mn-cs"/>
            </a:rPr>
            <a:t>欄）</a:t>
          </a:r>
          <a:r>
            <a:rPr kumimoji="1" lang="ja-JP" altLang="ja-JP" sz="1100">
              <a:solidFill>
                <a:schemeClr val="dk1"/>
              </a:solidFill>
              <a:effectLst/>
              <a:latin typeface="+mn-lt"/>
              <a:ea typeface="+mn-ea"/>
              <a:cs typeface="+mn-cs"/>
            </a:rPr>
            <a:t>の記入にあたり、</a:t>
          </a:r>
          <a:r>
            <a:rPr kumimoji="1" lang="ja-JP" altLang="ja-JP" sz="1100" b="0">
              <a:solidFill>
                <a:schemeClr val="dk1"/>
              </a:solidFill>
              <a:effectLst/>
              <a:latin typeface="+mn-lt"/>
              <a:ea typeface="+mn-ea"/>
              <a:cs typeface="+mn-cs"/>
            </a:rPr>
            <a:t>以下を確認して入力</a:t>
          </a:r>
          <a:endParaRPr lang="ja-JP" altLang="ja-JP" sz="1200">
            <a:effectLst/>
          </a:endParaRPr>
        </a:p>
        <a:p>
          <a:pPr rtl="0" eaLnBrk="1" latinLnBrk="0" hangingPunct="1"/>
          <a:r>
            <a:rPr kumimoji="1" lang="ja-JP" altLang="ja-JP" sz="1100" b="0">
              <a:solidFill>
                <a:schemeClr val="dk1"/>
              </a:solidFill>
              <a:effectLst/>
              <a:latin typeface="+mn-lt"/>
              <a:ea typeface="+mn-ea"/>
              <a:cs typeface="+mn-cs"/>
            </a:rPr>
            <a:t>　　してください。</a:t>
          </a:r>
          <a:endParaRPr lang="ja-JP" altLang="ja-JP" sz="1200">
            <a:effectLst/>
          </a:endParaRPr>
        </a:p>
        <a:p>
          <a:r>
            <a:rPr kumimoji="1" lang="ja-JP" altLang="ja-JP" sz="1100" baseline="0">
              <a:solidFill>
                <a:schemeClr val="dk1"/>
              </a:solidFill>
              <a:effectLst/>
              <a:latin typeface="+mn-lt"/>
              <a:ea typeface="+mn-ea"/>
              <a:cs typeface="+mn-cs"/>
            </a:rPr>
            <a:t>　　なお、当該事業の寄付金その他の収入額（</a:t>
          </a:r>
          <a:r>
            <a:rPr kumimoji="1" lang="en-US" altLang="ja-JP" sz="1100" baseline="0">
              <a:solidFill>
                <a:schemeClr val="dk1"/>
              </a:solidFill>
              <a:effectLst/>
              <a:latin typeface="+mn-lt"/>
              <a:ea typeface="+mn-ea"/>
              <a:cs typeface="+mn-cs"/>
            </a:rPr>
            <a:t>B</a:t>
          </a:r>
          <a:r>
            <a:rPr kumimoji="1" lang="ja-JP" altLang="ja-JP" sz="1100" baseline="0">
              <a:solidFill>
                <a:schemeClr val="dk1"/>
              </a:solidFill>
              <a:effectLst/>
              <a:latin typeface="+mn-lt"/>
              <a:ea typeface="+mn-ea"/>
              <a:cs typeface="+mn-cs"/>
            </a:rPr>
            <a:t>欄）の金額を「０円」と</a:t>
          </a:r>
          <a:endParaRPr lang="ja-JP" altLang="ja-JP" sz="1200">
            <a:effectLst/>
          </a:endParaRPr>
        </a:p>
        <a:p>
          <a:r>
            <a:rPr kumimoji="1" lang="ja-JP" altLang="ja-JP" sz="1100" baseline="0">
              <a:solidFill>
                <a:schemeClr val="dk1"/>
              </a:solidFill>
              <a:effectLst/>
              <a:latin typeface="+mn-lt"/>
              <a:ea typeface="+mn-ea"/>
              <a:cs typeface="+mn-cs"/>
            </a:rPr>
            <a:t>　　入力してください。</a:t>
          </a:r>
          <a:endParaRPr lang="ja-JP" altLang="ja-JP" sz="1200">
            <a:effectLst/>
          </a:endParaRPr>
        </a:p>
        <a:p>
          <a:pPr rtl="0" eaLnBrk="1" latinLnBrk="0" hangingPunct="1"/>
          <a:r>
            <a:rPr kumimoji="1" lang="ja-JP" altLang="ja-JP" sz="1100">
              <a:solidFill>
                <a:schemeClr val="dk1"/>
              </a:solidFill>
              <a:effectLst/>
              <a:latin typeface="+mn-lt"/>
              <a:ea typeface="+mn-ea"/>
              <a:cs typeface="+mn-cs"/>
            </a:rPr>
            <a:t>　　 広域連合等のうち構成市町村の一部が重層的支援体制整備事業を</a:t>
          </a:r>
          <a:r>
            <a:rPr kumimoji="1" lang="ja-JP" altLang="ja-JP" sz="1100" baseline="0">
              <a:solidFill>
                <a:schemeClr val="dk1"/>
              </a:solidFill>
              <a:effectLst/>
              <a:latin typeface="+mn-lt"/>
              <a:ea typeface="+mn-ea"/>
              <a:cs typeface="+mn-cs"/>
            </a:rPr>
            <a:t>実施</a:t>
          </a:r>
          <a:endParaRPr lang="ja-JP" altLang="ja-JP" sz="1200">
            <a:effectLst/>
          </a:endParaRPr>
        </a:p>
        <a:p>
          <a:pPr rtl="0" eaLnBrk="1" latinLnBrk="0" hangingPunct="1"/>
          <a:r>
            <a:rPr kumimoji="1" lang="ja-JP" altLang="ja-JP" sz="1100">
              <a:solidFill>
                <a:schemeClr val="dk1"/>
              </a:solidFill>
              <a:effectLst/>
              <a:latin typeface="+mn-lt"/>
              <a:ea typeface="+mn-ea"/>
              <a:cs typeface="+mn-cs"/>
            </a:rPr>
            <a:t>　　する場合は、未実施市町村の当該事業の総事業費（Ａ欄）及び対象経費</a:t>
          </a:r>
          <a:endParaRPr lang="ja-JP" altLang="ja-JP" sz="1200">
            <a:effectLst/>
          </a:endParaRPr>
        </a:p>
        <a:p>
          <a:pPr rtl="0" eaLnBrk="1" latinLnBrk="0" hangingPunct="1"/>
          <a:r>
            <a:rPr kumimoji="1" lang="ja-JP" altLang="ja-JP" sz="1100">
              <a:solidFill>
                <a:schemeClr val="dk1"/>
              </a:solidFill>
              <a:effectLst/>
              <a:latin typeface="+mn-lt"/>
              <a:ea typeface="+mn-ea"/>
              <a:cs typeface="+mn-cs"/>
            </a:rPr>
            <a:t>　　実支出額（Ｄ欄）に次の金額を含めた金額を入力してください。</a:t>
          </a:r>
          <a:endParaRPr lang="ja-JP" altLang="ja-JP" sz="1200">
            <a:effectLst/>
          </a:endParaRPr>
        </a:p>
        <a:p>
          <a:pPr rtl="0" eaLnBrk="1" fontAlgn="auto" latinLnBrk="0" hangingPunct="1"/>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　総事業費（</a:t>
          </a:r>
          <a:r>
            <a:rPr kumimoji="1" lang="en-US" altLang="ja-JP" sz="1100">
              <a:solidFill>
                <a:schemeClr val="dk1"/>
              </a:solidFill>
              <a:effectLst/>
              <a:latin typeface="+mn-lt"/>
              <a:ea typeface="+mn-ea"/>
              <a:cs typeface="+mn-cs"/>
            </a:rPr>
            <a:t>A</a:t>
          </a:r>
          <a:r>
            <a:rPr kumimoji="1" lang="ja-JP" altLang="ja-JP" sz="1100">
              <a:solidFill>
                <a:schemeClr val="dk1"/>
              </a:solidFill>
              <a:effectLst/>
              <a:latin typeface="+mn-lt"/>
              <a:ea typeface="+mn-ea"/>
              <a:cs typeface="+mn-cs"/>
            </a:rPr>
            <a:t>欄）や対象経費実支出額（</a:t>
          </a:r>
          <a:r>
            <a:rPr kumimoji="1" lang="en-US" altLang="ja-JP" sz="1100">
              <a:solidFill>
                <a:schemeClr val="dk1"/>
              </a:solidFill>
              <a:effectLst/>
              <a:latin typeface="+mn-lt"/>
              <a:ea typeface="+mn-ea"/>
              <a:cs typeface="+mn-cs"/>
            </a:rPr>
            <a:t>D</a:t>
          </a:r>
          <a:r>
            <a:rPr kumimoji="1" lang="ja-JP" altLang="ja-JP" sz="1100">
              <a:solidFill>
                <a:schemeClr val="dk1"/>
              </a:solidFill>
              <a:effectLst/>
              <a:latin typeface="+mn-lt"/>
              <a:ea typeface="+mn-ea"/>
              <a:cs typeface="+mn-cs"/>
            </a:rPr>
            <a:t>欄）に入力いただく金額</a:t>
          </a:r>
          <a:endParaRPr lang="ja-JP" altLang="ja-JP" sz="1200">
            <a:effectLst/>
          </a:endParaRPr>
        </a:p>
        <a:p>
          <a:pPr rtl="0" eaLnBrk="1" fontAlgn="auto" latinLnBrk="0" hangingPunct="1"/>
          <a:r>
            <a:rPr kumimoji="1" lang="ja-JP" altLang="ja-JP" sz="1100">
              <a:solidFill>
                <a:schemeClr val="dk1"/>
              </a:solidFill>
              <a:effectLst/>
              <a:latin typeface="+mn-lt"/>
              <a:ea typeface="+mn-ea"/>
              <a:cs typeface="+mn-cs"/>
            </a:rPr>
            <a:t>　　　　と「重層的支援体制整備事業に要する費用相当額」に表示される金額は、</a:t>
          </a:r>
          <a:endParaRPr lang="ja-JP" altLang="ja-JP" sz="1200">
            <a:effectLst/>
          </a:endParaRPr>
        </a:p>
        <a:p>
          <a:pPr rtl="0" eaLnBrk="1" fontAlgn="auto" latinLnBrk="0" hangingPunct="1"/>
          <a:r>
            <a:rPr kumimoji="1" lang="ja-JP" altLang="ja-JP" sz="1100">
              <a:solidFill>
                <a:schemeClr val="dk1"/>
              </a:solidFill>
              <a:effectLst/>
              <a:latin typeface="+mn-lt"/>
              <a:ea typeface="+mn-ea"/>
              <a:cs typeface="+mn-cs"/>
            </a:rPr>
            <a:t>　　　　定義が異なるため、異なる金額が入力されることがあります。</a:t>
          </a:r>
          <a:endParaRPr lang="ja-JP" altLang="ja-JP" sz="1200">
            <a:effectLst/>
          </a:endParaRPr>
        </a:p>
        <a:p>
          <a:pPr rtl="0" eaLnBrk="1" fontAlgn="auto" latinLnBrk="0" hangingPunct="1"/>
          <a:r>
            <a:rPr kumimoji="1" lang="ja-JP" altLang="ja-JP" sz="1100">
              <a:solidFill>
                <a:schemeClr val="dk1"/>
              </a:solidFill>
              <a:effectLst/>
              <a:latin typeface="+mn-lt"/>
              <a:ea typeface="+mn-ea"/>
              <a:cs typeface="+mn-cs"/>
            </a:rPr>
            <a:t>　　　　（「重層的支援体制整備事業に要する費用相当額」は、シート「初期</a:t>
          </a:r>
          <a:endParaRPr lang="ja-JP" altLang="ja-JP" sz="1200">
            <a:effectLst/>
          </a:endParaRPr>
        </a:p>
        <a:p>
          <a:pPr rtl="0" eaLnBrk="1" fontAlgn="auto" latinLnBrk="0" hangingPunct="1"/>
          <a:r>
            <a:rPr kumimoji="1" lang="ja-JP" altLang="ja-JP" sz="1100">
              <a:solidFill>
                <a:schemeClr val="dk1"/>
              </a:solidFill>
              <a:effectLst/>
              <a:latin typeface="+mn-lt"/>
              <a:ea typeface="+mn-ea"/>
              <a:cs typeface="+mn-cs"/>
            </a:rPr>
            <a:t>　　　　設定」より自動転記されます。）</a:t>
          </a:r>
          <a:endParaRPr lang="ja-JP" altLang="ja-JP" sz="1200">
            <a:effectLst/>
          </a:endParaRPr>
        </a:p>
        <a:p>
          <a:pPr rtl="0" eaLnBrk="1" fontAlgn="auto" latinLnBrk="0" hangingPunct="1"/>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　下部（★）に、「令和</a:t>
          </a:r>
          <a:r>
            <a:rPr kumimoji="1" lang="ja-JP" altLang="en-US" sz="1100">
              <a:solidFill>
                <a:schemeClr val="dk1"/>
              </a:solidFill>
              <a:effectLst/>
              <a:latin typeface="+mn-lt"/>
              <a:ea typeface="+mn-ea"/>
              <a:cs typeface="+mn-cs"/>
            </a:rPr>
            <a:t>７</a:t>
          </a:r>
          <a:r>
            <a:rPr kumimoji="1" lang="ja-JP" altLang="ja-JP" sz="1100">
              <a:solidFill>
                <a:schemeClr val="dk1"/>
              </a:solidFill>
              <a:effectLst/>
              <a:latin typeface="+mn-lt"/>
              <a:ea typeface="+mn-ea"/>
              <a:cs typeface="+mn-cs"/>
            </a:rPr>
            <a:t>年度重層的支援体制整備事業交付金の</a:t>
          </a:r>
          <a:endParaRPr lang="ja-JP" altLang="ja-JP" sz="1200">
            <a:effectLst/>
          </a:endParaRPr>
        </a:p>
        <a:p>
          <a:pPr rtl="0" eaLnBrk="1" fontAlgn="auto" latinLnBrk="0" hangingPunct="1"/>
          <a:r>
            <a:rPr kumimoji="1" lang="ja-JP" altLang="ja-JP" sz="1100">
              <a:solidFill>
                <a:schemeClr val="dk1"/>
              </a:solidFill>
              <a:effectLst/>
              <a:latin typeface="+mn-lt"/>
              <a:ea typeface="+mn-ea"/>
              <a:cs typeface="+mn-cs"/>
            </a:rPr>
            <a:t>　　　実績報告」における様式３・様式５で使用する表を掲載していますので、</a:t>
          </a:r>
          <a:endParaRPr lang="ja-JP" altLang="ja-JP" sz="1200">
            <a:effectLst/>
          </a:endParaRPr>
        </a:p>
        <a:p>
          <a:pPr rtl="0" eaLnBrk="1" fontAlgn="auto" latinLnBrk="0" hangingPunct="1"/>
          <a:r>
            <a:rPr kumimoji="1" lang="ja-JP" altLang="ja-JP" sz="1100">
              <a:solidFill>
                <a:schemeClr val="dk1"/>
              </a:solidFill>
              <a:effectLst/>
              <a:latin typeface="+mn-lt"/>
              <a:ea typeface="+mn-ea"/>
              <a:cs typeface="+mn-cs"/>
            </a:rPr>
            <a:t>　　　当該実績報告書の内容と齟齬がないかご確認ください。</a:t>
          </a:r>
          <a:endParaRPr lang="ja-JP" altLang="ja-JP" sz="1200">
            <a:effectLst/>
          </a:endParaRPr>
        </a:p>
        <a:p>
          <a:pPr rtl="0" eaLnBrk="1" latinLnBrk="0" hangingPunct="1"/>
          <a:r>
            <a:rPr kumimoji="1" lang="ja-JP" altLang="ja-JP" sz="1100">
              <a:solidFill>
                <a:schemeClr val="dk1"/>
              </a:solidFill>
              <a:effectLst/>
              <a:latin typeface="+mn-lt"/>
              <a:ea typeface="+mn-ea"/>
              <a:cs typeface="+mn-cs"/>
            </a:rPr>
            <a:t>　</a:t>
          </a:r>
          <a:r>
            <a:rPr kumimoji="1" lang="ja-JP" altLang="ja-JP" sz="1100" u="sng">
              <a:solidFill>
                <a:schemeClr val="dk1"/>
              </a:solidFill>
              <a:effectLst/>
              <a:latin typeface="+mn-lt"/>
              <a:ea typeface="+mn-ea"/>
              <a:cs typeface="+mn-cs"/>
            </a:rPr>
            <a:t>１　介護予防・日常生活支援総合事業のうち</a:t>
          </a:r>
          <a:endParaRPr lang="ja-JP" altLang="ja-JP" sz="1200">
            <a:effectLst/>
          </a:endParaRPr>
        </a:p>
        <a:p>
          <a:r>
            <a:rPr kumimoji="1" lang="ja-JP" altLang="ja-JP" sz="1100" u="sng">
              <a:solidFill>
                <a:schemeClr val="dk1"/>
              </a:solidFill>
              <a:effectLst/>
              <a:latin typeface="+mn-lt"/>
              <a:ea typeface="+mn-ea"/>
              <a:cs typeface="+mn-cs"/>
            </a:rPr>
            <a:t>（７）一般介護予防事業の「ウ　地域介護予防活動支援事業」</a:t>
          </a:r>
          <a:endParaRPr lang="ja-JP" altLang="ja-JP" sz="1200">
            <a:effectLst/>
          </a:endParaRPr>
        </a:p>
        <a:p>
          <a:r>
            <a:rPr kumimoji="1" lang="ja-JP" altLang="ja-JP" sz="1100">
              <a:solidFill>
                <a:schemeClr val="dk1"/>
              </a:solidFill>
              <a:effectLst/>
              <a:latin typeface="+mn-lt"/>
              <a:ea typeface="+mn-ea"/>
              <a:cs typeface="+mn-cs"/>
            </a:rPr>
            <a:t> →　</a:t>
          </a:r>
          <a:r>
            <a:rPr kumimoji="1" lang="ja-JP" altLang="ja-JP" sz="1100" baseline="0">
              <a:solidFill>
                <a:schemeClr val="dk1"/>
              </a:solidFill>
              <a:effectLst/>
              <a:latin typeface="+mn-lt"/>
              <a:ea typeface="+mn-ea"/>
              <a:cs typeface="+mn-cs"/>
            </a:rPr>
            <a:t>「令和</a:t>
          </a:r>
          <a:r>
            <a:rPr kumimoji="1" lang="ja-JP" altLang="en-US" sz="1100" baseline="0">
              <a:solidFill>
                <a:schemeClr val="dk1"/>
              </a:solidFill>
              <a:effectLst/>
              <a:latin typeface="+mn-lt"/>
              <a:ea typeface="+mn-ea"/>
              <a:cs typeface="+mn-cs"/>
            </a:rPr>
            <a:t>７</a:t>
          </a:r>
          <a:r>
            <a:rPr kumimoji="1" lang="ja-JP" altLang="ja-JP" sz="1100" baseline="0">
              <a:solidFill>
                <a:schemeClr val="dk1"/>
              </a:solidFill>
              <a:effectLst/>
              <a:latin typeface="+mn-lt"/>
              <a:ea typeface="+mn-ea"/>
              <a:cs typeface="+mn-cs"/>
            </a:rPr>
            <a:t>年度重層的支援体制整備事業交付金の実績報告」</a:t>
          </a:r>
          <a:r>
            <a:rPr kumimoji="1" lang="ja-JP" altLang="ja-JP" sz="1100">
              <a:solidFill>
                <a:schemeClr val="dk1"/>
              </a:solidFill>
              <a:effectLst/>
              <a:latin typeface="+mn-lt"/>
              <a:ea typeface="+mn-ea"/>
              <a:cs typeface="+mn-cs"/>
            </a:rPr>
            <a:t>における</a:t>
          </a:r>
          <a:endParaRPr lang="ja-JP" altLang="ja-JP" sz="1200">
            <a:effectLst/>
          </a:endParaRPr>
        </a:p>
        <a:p>
          <a:r>
            <a:rPr kumimoji="1" lang="ja-JP" altLang="ja-JP" sz="1100">
              <a:solidFill>
                <a:schemeClr val="dk1"/>
              </a:solidFill>
              <a:effectLst/>
              <a:latin typeface="+mn-lt"/>
              <a:ea typeface="+mn-ea"/>
              <a:cs typeface="+mn-cs"/>
            </a:rPr>
            <a:t>　　様式５（地域づくり事業　交付金所要額算定様式）</a:t>
          </a:r>
          <a:endParaRPr lang="ja-JP" altLang="ja-JP" sz="1200">
            <a:effectLst/>
          </a:endParaRPr>
        </a:p>
        <a:p>
          <a:r>
            <a:rPr kumimoji="1" lang="ja-JP" altLang="ja-JP" sz="1100">
              <a:solidFill>
                <a:schemeClr val="dk1"/>
              </a:solidFill>
              <a:effectLst/>
              <a:latin typeface="+mn-lt"/>
              <a:ea typeface="+mn-ea"/>
              <a:cs typeface="+mn-cs"/>
            </a:rPr>
            <a:t>　　　「カ　地域介護予防活動支援事業」の</a:t>
          </a:r>
          <a:r>
            <a:rPr kumimoji="1" lang="en-US" altLang="ja-JP" sz="1100">
              <a:solidFill>
                <a:schemeClr val="dk1"/>
              </a:solidFill>
              <a:effectLst/>
              <a:latin typeface="+mn-lt"/>
              <a:ea typeface="+mn-ea"/>
              <a:cs typeface="+mn-cs"/>
            </a:rPr>
            <a:t>K</a:t>
          </a:r>
          <a:r>
            <a:rPr kumimoji="1" lang="ja-JP" altLang="ja-JP" sz="1100">
              <a:solidFill>
                <a:schemeClr val="dk1"/>
              </a:solidFill>
              <a:effectLst/>
              <a:latin typeface="+mn-lt"/>
              <a:ea typeface="+mn-ea"/>
              <a:cs typeface="+mn-cs"/>
            </a:rPr>
            <a:t>欄に記載する金額</a:t>
          </a:r>
          <a:endParaRPr lang="ja-JP" altLang="ja-JP" sz="1200">
            <a:effectLst/>
          </a:endParaRPr>
        </a:p>
        <a:p>
          <a:r>
            <a:rPr kumimoji="1" lang="ja-JP" altLang="ja-JP" sz="1100">
              <a:solidFill>
                <a:schemeClr val="dk1"/>
              </a:solidFill>
              <a:effectLst/>
              <a:latin typeface="+mn-lt"/>
              <a:ea typeface="+mn-ea"/>
              <a:cs typeface="+mn-cs"/>
            </a:rPr>
            <a:t>　　（対象経費基本額（</a:t>
          </a:r>
          <a:r>
            <a:rPr kumimoji="1" lang="ja-JP" altLang="ja-JP" sz="1100" baseline="0">
              <a:solidFill>
                <a:schemeClr val="dk1"/>
              </a:solidFill>
              <a:effectLst/>
              <a:latin typeface="+mn-lt"/>
              <a:ea typeface="+mn-ea"/>
              <a:cs typeface="+mn-cs"/>
            </a:rPr>
            <a:t>影響</a:t>
          </a:r>
          <a:r>
            <a:rPr kumimoji="1" lang="ja-JP" altLang="ja-JP" sz="1100">
              <a:solidFill>
                <a:schemeClr val="dk1"/>
              </a:solidFill>
              <a:effectLst/>
              <a:latin typeface="+mn-lt"/>
              <a:ea typeface="+mn-ea"/>
              <a:cs typeface="+mn-cs"/>
            </a:rPr>
            <a:t>額調整後））</a:t>
          </a:r>
          <a:endParaRPr lang="ja-JP" altLang="ja-JP" sz="1200">
            <a:effectLst/>
          </a:endParaRPr>
        </a:p>
        <a:p>
          <a:r>
            <a:rPr kumimoji="1" lang="ja-JP" altLang="ja-JP" sz="1100">
              <a:solidFill>
                <a:schemeClr val="dk1"/>
              </a:solidFill>
              <a:effectLst/>
              <a:latin typeface="+mn-lt"/>
              <a:ea typeface="+mn-ea"/>
              <a:cs typeface="+mn-cs"/>
            </a:rPr>
            <a:t> </a:t>
          </a:r>
          <a:endParaRPr lang="ja-JP" altLang="ja-JP" sz="1200">
            <a:effectLst/>
          </a:endParaRPr>
        </a:p>
        <a:p>
          <a:r>
            <a:rPr kumimoji="1" lang="ja-JP" altLang="ja-JP" sz="1100" u="sng">
              <a:solidFill>
                <a:schemeClr val="dk1"/>
              </a:solidFill>
              <a:effectLst/>
              <a:latin typeface="+mn-lt"/>
              <a:ea typeface="+mn-ea"/>
              <a:cs typeface="+mn-cs"/>
            </a:rPr>
            <a:t>４　包括的支援事業（社会保障充実分）のうち</a:t>
          </a:r>
          <a:endParaRPr lang="ja-JP" altLang="ja-JP" sz="1200">
            <a:effectLst/>
          </a:endParaRPr>
        </a:p>
        <a:p>
          <a:r>
            <a:rPr kumimoji="1" lang="ja-JP" altLang="ja-JP" sz="1100" u="sng">
              <a:solidFill>
                <a:schemeClr val="dk1"/>
              </a:solidFill>
              <a:effectLst/>
              <a:latin typeface="+mn-lt"/>
              <a:ea typeface="+mn-ea"/>
              <a:cs typeface="+mn-cs"/>
            </a:rPr>
            <a:t>・（２）生活支援体制整備事業の「ア　生活支援コーディネーター・協議体」</a:t>
          </a:r>
          <a:endParaRPr lang="ja-JP" altLang="ja-JP" sz="1200">
            <a:effectLst/>
          </a:endParaRPr>
        </a:p>
        <a:p>
          <a:r>
            <a:rPr kumimoji="1" lang="ja-JP" altLang="ja-JP" sz="1100">
              <a:solidFill>
                <a:schemeClr val="dk1"/>
              </a:solidFill>
              <a:effectLst/>
              <a:latin typeface="+mn-lt"/>
              <a:ea typeface="+mn-ea"/>
              <a:cs typeface="+mn-cs"/>
            </a:rPr>
            <a:t> →　「令和</a:t>
          </a:r>
          <a:r>
            <a:rPr kumimoji="1" lang="ja-JP" altLang="en-US" sz="1100">
              <a:solidFill>
                <a:schemeClr val="dk1"/>
              </a:solidFill>
              <a:effectLst/>
              <a:latin typeface="+mn-lt"/>
              <a:ea typeface="+mn-ea"/>
              <a:cs typeface="+mn-cs"/>
            </a:rPr>
            <a:t>７</a:t>
          </a:r>
          <a:r>
            <a:rPr kumimoji="1" lang="ja-JP" altLang="ja-JP" sz="1100">
              <a:solidFill>
                <a:schemeClr val="dk1"/>
              </a:solidFill>
              <a:effectLst/>
              <a:latin typeface="+mn-lt"/>
              <a:ea typeface="+mn-ea"/>
              <a:cs typeface="+mn-cs"/>
            </a:rPr>
            <a:t>年度重層的支援体制整備事業交付金の実績報告」における</a:t>
          </a:r>
          <a:endParaRPr lang="ja-JP" altLang="ja-JP" sz="1200">
            <a:effectLst/>
          </a:endParaRPr>
        </a:p>
        <a:p>
          <a:r>
            <a:rPr kumimoji="1" lang="ja-JP" altLang="ja-JP" sz="1100">
              <a:solidFill>
                <a:schemeClr val="dk1"/>
              </a:solidFill>
              <a:effectLst/>
              <a:latin typeface="+mn-lt"/>
              <a:ea typeface="+mn-ea"/>
              <a:cs typeface="+mn-cs"/>
            </a:rPr>
            <a:t>　　様式５（地域づくり事業　交付金所要額算定様式）</a:t>
          </a:r>
          <a:endParaRPr lang="ja-JP" altLang="ja-JP" sz="1200">
            <a:effectLst/>
          </a:endParaRPr>
        </a:p>
        <a:p>
          <a:r>
            <a:rPr kumimoji="1" lang="ja-JP" altLang="ja-JP" sz="1100">
              <a:solidFill>
                <a:schemeClr val="dk1"/>
              </a:solidFill>
              <a:effectLst/>
              <a:latin typeface="+mn-lt"/>
              <a:ea typeface="+mn-ea"/>
              <a:cs typeface="+mn-cs"/>
            </a:rPr>
            <a:t>　　　「キ　生活支援体制整備事業」の</a:t>
          </a:r>
          <a:r>
            <a:rPr kumimoji="1" lang="en-US" altLang="ja-JP" sz="1100">
              <a:solidFill>
                <a:schemeClr val="dk1"/>
              </a:solidFill>
              <a:effectLst/>
              <a:latin typeface="+mn-lt"/>
              <a:ea typeface="+mn-ea"/>
              <a:cs typeface="+mn-cs"/>
            </a:rPr>
            <a:t>K</a:t>
          </a:r>
          <a:r>
            <a:rPr kumimoji="1" lang="ja-JP" altLang="ja-JP" sz="1100">
              <a:solidFill>
                <a:schemeClr val="dk1"/>
              </a:solidFill>
              <a:effectLst/>
              <a:latin typeface="+mn-lt"/>
              <a:ea typeface="+mn-ea"/>
              <a:cs typeface="+mn-cs"/>
            </a:rPr>
            <a:t>欄に記載する金額</a:t>
          </a:r>
          <a:endParaRPr lang="ja-JP" altLang="ja-JP" sz="1200">
            <a:effectLst/>
          </a:endParaRPr>
        </a:p>
        <a:p>
          <a:r>
            <a:rPr kumimoji="1" lang="ja-JP" altLang="ja-JP" sz="1100">
              <a:solidFill>
                <a:schemeClr val="dk1"/>
              </a:solidFill>
              <a:effectLst/>
              <a:latin typeface="+mn-lt"/>
              <a:ea typeface="+mn-ea"/>
              <a:cs typeface="+mn-cs"/>
            </a:rPr>
            <a:t>　　（対象経費基本額（影響額調整後））のうち</a:t>
          </a:r>
          <a:endParaRPr lang="ja-JP" altLang="ja-JP" sz="1200">
            <a:effectLst/>
          </a:endParaRPr>
        </a:p>
        <a:p>
          <a:r>
            <a:rPr kumimoji="1" lang="ja-JP" altLang="ja-JP" sz="1100">
              <a:solidFill>
                <a:schemeClr val="dk1"/>
              </a:solidFill>
              <a:effectLst/>
              <a:latin typeface="+mn-lt"/>
              <a:ea typeface="+mn-ea"/>
              <a:cs typeface="+mn-cs"/>
            </a:rPr>
            <a:t>　　　「住民参画・官民連携推進事業の実施に係る費用」</a:t>
          </a:r>
          <a:r>
            <a:rPr kumimoji="1" lang="ja-JP" altLang="en-US" sz="1100">
              <a:solidFill>
                <a:schemeClr val="dk1"/>
              </a:solidFill>
              <a:effectLst/>
              <a:latin typeface="+mn-lt"/>
              <a:ea typeface="+mn-ea"/>
              <a:cs typeface="+mn-cs"/>
            </a:rPr>
            <a:t>、</a:t>
          </a:r>
          <a:r>
            <a:rPr kumimoji="1" lang="ja-JP" altLang="ja-JP" sz="1100" u="none">
              <a:solidFill>
                <a:schemeClr val="dk1"/>
              </a:solidFill>
              <a:effectLst/>
              <a:latin typeface="+mn-lt"/>
              <a:ea typeface="+mn-ea"/>
              <a:cs typeface="+mn-cs"/>
            </a:rPr>
            <a:t>「生活支援コーディネーターを</a:t>
          </a:r>
          <a:endParaRPr kumimoji="1" lang="en-US" altLang="ja-JP" sz="1100" u="none">
            <a:solidFill>
              <a:schemeClr val="dk1"/>
            </a:solidFill>
            <a:effectLst/>
            <a:latin typeface="+mn-lt"/>
            <a:ea typeface="+mn-ea"/>
            <a:cs typeface="+mn-cs"/>
          </a:endParaRPr>
        </a:p>
        <a:p>
          <a:r>
            <a:rPr kumimoji="1" lang="ja-JP" altLang="en-US" sz="1100" u="none">
              <a:solidFill>
                <a:schemeClr val="dk1"/>
              </a:solidFill>
              <a:effectLst/>
              <a:latin typeface="+mn-lt"/>
              <a:ea typeface="+mn-ea"/>
              <a:cs typeface="+mn-cs"/>
            </a:rPr>
            <a:t>　　</a:t>
          </a:r>
          <a:r>
            <a:rPr kumimoji="1" lang="ja-JP" altLang="ja-JP" sz="1100" u="none">
              <a:solidFill>
                <a:schemeClr val="dk1"/>
              </a:solidFill>
              <a:effectLst/>
              <a:latin typeface="+mn-lt"/>
              <a:ea typeface="+mn-ea"/>
              <a:cs typeface="+mn-cs"/>
            </a:rPr>
            <a:t>中心とした相談支援連携体制構築事業」</a:t>
          </a:r>
          <a:r>
            <a:rPr kumimoji="1" lang="ja-JP" altLang="ja-JP" sz="1100">
              <a:solidFill>
                <a:schemeClr val="dk1"/>
              </a:solidFill>
              <a:effectLst/>
              <a:latin typeface="+mn-lt"/>
              <a:ea typeface="+mn-ea"/>
              <a:cs typeface="+mn-cs"/>
            </a:rPr>
            <a:t>及び「就労的活動支援コーディネーターの配置</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に係る費用」を控除した金額</a:t>
          </a:r>
          <a:endParaRPr lang="ja-JP" altLang="ja-JP" sz="1200">
            <a:effectLst/>
          </a:endParaRPr>
        </a:p>
        <a:p>
          <a:r>
            <a:rPr kumimoji="1" lang="ja-JP" altLang="ja-JP" sz="1100" u="sng">
              <a:solidFill>
                <a:schemeClr val="dk1"/>
              </a:solidFill>
              <a:effectLst/>
              <a:latin typeface="+mn-lt"/>
              <a:ea typeface="+mn-ea"/>
              <a:cs typeface="+mn-cs"/>
            </a:rPr>
            <a:t>・（２）生活支援体制整備事業の「イ　住民参画・官民連携推進事業」</a:t>
          </a:r>
          <a:endParaRPr lang="ja-JP" altLang="ja-JP" sz="1200">
            <a:effectLst/>
          </a:endParaRPr>
        </a:p>
        <a:p>
          <a:r>
            <a:rPr kumimoji="1" lang="ja-JP" altLang="ja-JP" sz="1100">
              <a:solidFill>
                <a:schemeClr val="dk1"/>
              </a:solidFill>
              <a:effectLst/>
              <a:latin typeface="+mn-lt"/>
              <a:ea typeface="+mn-ea"/>
              <a:cs typeface="+mn-cs"/>
            </a:rPr>
            <a:t> →　「令和</a:t>
          </a:r>
          <a:r>
            <a:rPr kumimoji="1" lang="ja-JP" altLang="en-US" sz="1100">
              <a:solidFill>
                <a:schemeClr val="dk1"/>
              </a:solidFill>
              <a:effectLst/>
              <a:latin typeface="+mn-lt"/>
              <a:ea typeface="+mn-ea"/>
              <a:cs typeface="+mn-cs"/>
            </a:rPr>
            <a:t>７</a:t>
          </a:r>
          <a:r>
            <a:rPr kumimoji="1" lang="ja-JP" altLang="ja-JP" sz="1100">
              <a:solidFill>
                <a:schemeClr val="dk1"/>
              </a:solidFill>
              <a:effectLst/>
              <a:latin typeface="+mn-lt"/>
              <a:ea typeface="+mn-ea"/>
              <a:cs typeface="+mn-cs"/>
            </a:rPr>
            <a:t>年度重層的支援体制整備事業交付金の実績報告」における</a:t>
          </a:r>
          <a:endParaRPr lang="ja-JP" altLang="ja-JP" sz="1200">
            <a:effectLst/>
          </a:endParaRPr>
        </a:p>
        <a:p>
          <a:r>
            <a:rPr kumimoji="1" lang="ja-JP" altLang="ja-JP" sz="1100">
              <a:solidFill>
                <a:schemeClr val="dk1"/>
              </a:solidFill>
              <a:effectLst/>
              <a:latin typeface="+mn-lt"/>
              <a:ea typeface="+mn-ea"/>
              <a:cs typeface="+mn-cs"/>
            </a:rPr>
            <a:t>　　様式５（地域づくり事業　交付金所要額算定様式）</a:t>
          </a:r>
          <a:endParaRPr lang="ja-JP" altLang="ja-JP" sz="1200">
            <a:effectLst/>
          </a:endParaRPr>
        </a:p>
        <a:p>
          <a:r>
            <a:rPr kumimoji="1" lang="ja-JP" altLang="ja-JP" sz="1100">
              <a:solidFill>
                <a:schemeClr val="dk1"/>
              </a:solidFill>
              <a:effectLst/>
              <a:latin typeface="+mn-lt"/>
              <a:ea typeface="+mn-ea"/>
              <a:cs typeface="+mn-cs"/>
            </a:rPr>
            <a:t>　　　「キ　生活支援体制整備事業」の</a:t>
          </a:r>
          <a:r>
            <a:rPr kumimoji="1" lang="en-US" altLang="ja-JP" sz="1100">
              <a:solidFill>
                <a:schemeClr val="dk1"/>
              </a:solidFill>
              <a:effectLst/>
              <a:latin typeface="+mn-lt"/>
              <a:ea typeface="+mn-ea"/>
              <a:cs typeface="+mn-cs"/>
            </a:rPr>
            <a:t>K</a:t>
          </a:r>
          <a:r>
            <a:rPr kumimoji="1" lang="ja-JP" altLang="ja-JP" sz="1100">
              <a:solidFill>
                <a:schemeClr val="dk1"/>
              </a:solidFill>
              <a:effectLst/>
              <a:latin typeface="+mn-lt"/>
              <a:ea typeface="+mn-ea"/>
              <a:cs typeface="+mn-cs"/>
            </a:rPr>
            <a:t>欄に記載する金額</a:t>
          </a:r>
          <a:endParaRPr lang="ja-JP" altLang="ja-JP" sz="1200">
            <a:effectLst/>
          </a:endParaRPr>
        </a:p>
        <a:p>
          <a:r>
            <a:rPr kumimoji="1" lang="ja-JP" altLang="ja-JP" sz="1100">
              <a:solidFill>
                <a:schemeClr val="dk1"/>
              </a:solidFill>
              <a:effectLst/>
              <a:latin typeface="+mn-lt"/>
              <a:ea typeface="+mn-ea"/>
              <a:cs typeface="+mn-cs"/>
            </a:rPr>
            <a:t>　　（対象経費基本額（影響額調整後））のうち</a:t>
          </a:r>
          <a:endParaRPr lang="ja-JP" altLang="ja-JP" sz="1200">
            <a:effectLst/>
          </a:endParaRPr>
        </a:p>
        <a:p>
          <a:r>
            <a:rPr kumimoji="1" lang="ja-JP" altLang="ja-JP" sz="1100">
              <a:solidFill>
                <a:schemeClr val="dk1"/>
              </a:solidFill>
              <a:effectLst/>
              <a:latin typeface="+mn-lt"/>
              <a:ea typeface="+mn-ea"/>
              <a:cs typeface="+mn-cs"/>
            </a:rPr>
            <a:t>　　　住民参画・官民連携推進事業の実施に係る費用の金額</a:t>
          </a:r>
          <a:endParaRPr kumimoji="1" lang="en-US" altLang="ja-JP" sz="1100">
            <a:solidFill>
              <a:schemeClr val="dk1"/>
            </a:solidFill>
            <a:effectLst/>
            <a:latin typeface="+mn-lt"/>
            <a:ea typeface="+mn-ea"/>
            <a:cs typeface="+mn-cs"/>
          </a:endParaRPr>
        </a:p>
        <a:p>
          <a:r>
            <a:rPr kumimoji="1" lang="ja-JP" altLang="ja-JP" sz="1100" u="sng">
              <a:solidFill>
                <a:schemeClr val="dk1"/>
              </a:solidFill>
              <a:effectLst/>
              <a:latin typeface="+mn-lt"/>
              <a:ea typeface="+mn-ea"/>
              <a:cs typeface="+mn-cs"/>
            </a:rPr>
            <a:t>・（２）生活支援体制整備事業の「ウ　生活支援コーディネーターを中心とした相談支援連携体制構築事業」</a:t>
          </a:r>
          <a:endParaRPr lang="ja-JP" altLang="ja-JP" sz="1200">
            <a:effectLst/>
          </a:endParaRPr>
        </a:p>
        <a:p>
          <a:r>
            <a:rPr kumimoji="1" lang="ja-JP" altLang="ja-JP" sz="1100">
              <a:solidFill>
                <a:schemeClr val="dk1"/>
              </a:solidFill>
              <a:effectLst/>
              <a:latin typeface="+mn-lt"/>
              <a:ea typeface="+mn-ea"/>
              <a:cs typeface="+mn-cs"/>
            </a:rPr>
            <a:t> →　「令和７年度重層的支援体制整備事業交付金の実績報告」における</a:t>
          </a:r>
          <a:endParaRPr lang="ja-JP" altLang="ja-JP" sz="1200">
            <a:effectLst/>
          </a:endParaRPr>
        </a:p>
        <a:p>
          <a:r>
            <a:rPr kumimoji="1" lang="ja-JP" altLang="ja-JP" sz="1100">
              <a:solidFill>
                <a:schemeClr val="dk1"/>
              </a:solidFill>
              <a:effectLst/>
              <a:latin typeface="+mn-lt"/>
              <a:ea typeface="+mn-ea"/>
              <a:cs typeface="+mn-cs"/>
            </a:rPr>
            <a:t>　　　様式５（地域づくり事業　交付金所要額算定様式）</a:t>
          </a:r>
          <a:endParaRPr lang="ja-JP" altLang="ja-JP" sz="1200">
            <a:effectLst/>
          </a:endParaRPr>
        </a:p>
        <a:p>
          <a:r>
            <a:rPr kumimoji="1" lang="ja-JP" altLang="ja-JP" sz="1100">
              <a:solidFill>
                <a:schemeClr val="dk1"/>
              </a:solidFill>
              <a:effectLst/>
              <a:latin typeface="+mn-lt"/>
              <a:ea typeface="+mn-ea"/>
              <a:cs typeface="+mn-cs"/>
            </a:rPr>
            <a:t>　　　「キ　生活支援体制整備事業」の</a:t>
          </a:r>
          <a:r>
            <a:rPr kumimoji="1" lang="en-US" altLang="ja-JP" sz="1100">
              <a:solidFill>
                <a:schemeClr val="dk1"/>
              </a:solidFill>
              <a:effectLst/>
              <a:latin typeface="+mn-lt"/>
              <a:ea typeface="+mn-ea"/>
              <a:cs typeface="+mn-cs"/>
            </a:rPr>
            <a:t>K</a:t>
          </a:r>
          <a:r>
            <a:rPr kumimoji="1" lang="ja-JP" altLang="ja-JP" sz="1100">
              <a:solidFill>
                <a:schemeClr val="dk1"/>
              </a:solidFill>
              <a:effectLst/>
              <a:latin typeface="+mn-lt"/>
              <a:ea typeface="+mn-ea"/>
              <a:cs typeface="+mn-cs"/>
            </a:rPr>
            <a:t>欄に記載する金額</a:t>
          </a:r>
          <a:endParaRPr lang="ja-JP" altLang="ja-JP" sz="1200">
            <a:effectLst/>
          </a:endParaRPr>
        </a:p>
        <a:p>
          <a:r>
            <a:rPr kumimoji="1" lang="ja-JP" altLang="ja-JP" sz="1100">
              <a:solidFill>
                <a:schemeClr val="dk1"/>
              </a:solidFill>
              <a:effectLst/>
              <a:latin typeface="+mn-lt"/>
              <a:ea typeface="+mn-ea"/>
              <a:cs typeface="+mn-cs"/>
            </a:rPr>
            <a:t>　　（対象経費基本額（影響額調整後））のうち</a:t>
          </a:r>
          <a:endParaRPr lang="ja-JP" altLang="ja-JP" sz="1200">
            <a:effectLst/>
          </a:endParaRPr>
        </a:p>
        <a:p>
          <a:r>
            <a:rPr kumimoji="1" lang="ja-JP" altLang="ja-JP" sz="1100">
              <a:solidFill>
                <a:schemeClr val="dk1"/>
              </a:solidFill>
              <a:effectLst/>
              <a:latin typeface="+mn-lt"/>
              <a:ea typeface="+mn-ea"/>
              <a:cs typeface="+mn-cs"/>
            </a:rPr>
            <a:t>　　　生活支援コーディネーターを中心とした相談支援連携体制構築事業</a:t>
          </a:r>
          <a:endParaRPr lang="ja-JP" altLang="ja-JP" sz="1200">
            <a:effectLst/>
          </a:endParaRPr>
        </a:p>
        <a:p>
          <a:r>
            <a:rPr kumimoji="1" lang="ja-JP" altLang="ja-JP" sz="1100">
              <a:solidFill>
                <a:schemeClr val="dk1"/>
              </a:solidFill>
              <a:effectLst/>
              <a:latin typeface="+mn-lt"/>
              <a:ea typeface="+mn-ea"/>
              <a:cs typeface="+mn-cs"/>
            </a:rPr>
            <a:t>　　　に係る費用の金額</a:t>
          </a:r>
          <a:endParaRPr lang="ja-JP" altLang="ja-JP" sz="1200">
            <a:effectLst/>
          </a:endParaRPr>
        </a:p>
        <a:p>
          <a:r>
            <a:rPr kumimoji="1" lang="ja-JP" altLang="ja-JP" sz="1100" u="sng">
              <a:solidFill>
                <a:schemeClr val="dk1"/>
              </a:solidFill>
              <a:effectLst/>
              <a:latin typeface="+mn-lt"/>
              <a:ea typeface="+mn-ea"/>
              <a:cs typeface="+mn-cs"/>
            </a:rPr>
            <a:t>・（２）生活支援体制整備事業の「</a:t>
          </a:r>
          <a:r>
            <a:rPr kumimoji="1" lang="ja-JP" altLang="en-US" sz="1100" u="sng">
              <a:solidFill>
                <a:schemeClr val="dk1"/>
              </a:solidFill>
              <a:effectLst/>
              <a:latin typeface="+mn-lt"/>
              <a:ea typeface="+mn-ea"/>
              <a:cs typeface="+mn-cs"/>
            </a:rPr>
            <a:t>エ</a:t>
          </a:r>
          <a:r>
            <a:rPr kumimoji="1" lang="ja-JP" altLang="ja-JP" sz="1100" u="sng">
              <a:solidFill>
                <a:schemeClr val="dk1"/>
              </a:solidFill>
              <a:effectLst/>
              <a:latin typeface="+mn-lt"/>
              <a:ea typeface="+mn-ea"/>
              <a:cs typeface="+mn-cs"/>
            </a:rPr>
            <a:t>　就労的活動支援コーディネーター」</a:t>
          </a:r>
          <a:endParaRPr lang="ja-JP" altLang="ja-JP" sz="1200">
            <a:effectLst/>
          </a:endParaRPr>
        </a:p>
        <a:p>
          <a:r>
            <a:rPr kumimoji="1" lang="ja-JP" altLang="ja-JP" sz="1100">
              <a:solidFill>
                <a:schemeClr val="dk1"/>
              </a:solidFill>
              <a:effectLst/>
              <a:latin typeface="+mn-lt"/>
              <a:ea typeface="+mn-ea"/>
              <a:cs typeface="+mn-cs"/>
            </a:rPr>
            <a:t> →　「令和</a:t>
          </a:r>
          <a:r>
            <a:rPr kumimoji="1" lang="ja-JP" altLang="en-US" sz="1100">
              <a:solidFill>
                <a:schemeClr val="dk1"/>
              </a:solidFill>
              <a:effectLst/>
              <a:latin typeface="+mn-lt"/>
              <a:ea typeface="+mn-ea"/>
              <a:cs typeface="+mn-cs"/>
            </a:rPr>
            <a:t>７</a:t>
          </a:r>
          <a:r>
            <a:rPr kumimoji="1" lang="ja-JP" altLang="ja-JP" sz="1100">
              <a:solidFill>
                <a:schemeClr val="dk1"/>
              </a:solidFill>
              <a:effectLst/>
              <a:latin typeface="+mn-lt"/>
              <a:ea typeface="+mn-ea"/>
              <a:cs typeface="+mn-cs"/>
            </a:rPr>
            <a:t>年度重層的支援体制整備事業交付金の実績報告」における</a:t>
          </a:r>
          <a:endParaRPr lang="ja-JP" altLang="ja-JP" sz="1200">
            <a:effectLst/>
          </a:endParaRPr>
        </a:p>
        <a:p>
          <a:r>
            <a:rPr kumimoji="1" lang="ja-JP" altLang="ja-JP" sz="1100">
              <a:solidFill>
                <a:schemeClr val="dk1"/>
              </a:solidFill>
              <a:effectLst/>
              <a:latin typeface="+mn-lt"/>
              <a:ea typeface="+mn-ea"/>
              <a:cs typeface="+mn-cs"/>
            </a:rPr>
            <a:t>　　様式５（地域づくり事業　交付金所要額算定様式）</a:t>
          </a:r>
          <a:endParaRPr lang="ja-JP" altLang="ja-JP" sz="1200">
            <a:effectLst/>
          </a:endParaRPr>
        </a:p>
        <a:p>
          <a:r>
            <a:rPr kumimoji="1" lang="ja-JP" altLang="ja-JP" sz="1100">
              <a:solidFill>
                <a:schemeClr val="dk1"/>
              </a:solidFill>
              <a:effectLst/>
              <a:latin typeface="+mn-lt"/>
              <a:ea typeface="+mn-ea"/>
              <a:cs typeface="+mn-cs"/>
            </a:rPr>
            <a:t>　　　「キ　生活支援体制整備事業」の</a:t>
          </a:r>
          <a:r>
            <a:rPr kumimoji="1" lang="en-US" altLang="ja-JP" sz="1100">
              <a:solidFill>
                <a:schemeClr val="dk1"/>
              </a:solidFill>
              <a:effectLst/>
              <a:latin typeface="+mn-lt"/>
              <a:ea typeface="+mn-ea"/>
              <a:cs typeface="+mn-cs"/>
            </a:rPr>
            <a:t>K</a:t>
          </a:r>
          <a:r>
            <a:rPr kumimoji="1" lang="ja-JP" altLang="ja-JP" sz="1100">
              <a:solidFill>
                <a:schemeClr val="dk1"/>
              </a:solidFill>
              <a:effectLst/>
              <a:latin typeface="+mn-lt"/>
              <a:ea typeface="+mn-ea"/>
              <a:cs typeface="+mn-cs"/>
            </a:rPr>
            <a:t>欄に記載する金額</a:t>
          </a:r>
          <a:endParaRPr lang="ja-JP" altLang="ja-JP" sz="1200">
            <a:effectLst/>
          </a:endParaRPr>
        </a:p>
        <a:p>
          <a:r>
            <a:rPr kumimoji="1" lang="ja-JP" altLang="ja-JP" sz="1100">
              <a:solidFill>
                <a:schemeClr val="dk1"/>
              </a:solidFill>
              <a:effectLst/>
              <a:latin typeface="+mn-lt"/>
              <a:ea typeface="+mn-ea"/>
              <a:cs typeface="+mn-cs"/>
            </a:rPr>
            <a:t>　　（対象経費基本額（影響額調整後））のうち</a:t>
          </a:r>
          <a:endParaRPr lang="ja-JP" altLang="ja-JP" sz="1200">
            <a:effectLst/>
          </a:endParaRPr>
        </a:p>
        <a:p>
          <a:r>
            <a:rPr kumimoji="1" lang="ja-JP" altLang="ja-JP" sz="1100">
              <a:solidFill>
                <a:schemeClr val="dk1"/>
              </a:solidFill>
              <a:effectLst/>
              <a:latin typeface="+mn-lt"/>
              <a:ea typeface="+mn-ea"/>
              <a:cs typeface="+mn-cs"/>
            </a:rPr>
            <a:t>　　　就労的活動支援コーディネーターの配置に係る費用の金額</a:t>
          </a:r>
          <a:endParaRPr lang="ja-JP" altLang="ja-JP" sz="1200">
            <a:effectLst/>
          </a:endParaRPr>
        </a:p>
        <a:p>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　包括的支援事業（地域包括支援センターの運営）の総事業費（</a:t>
          </a:r>
          <a:r>
            <a:rPr kumimoji="1" lang="en-US" altLang="ja-JP" sz="1100">
              <a:solidFill>
                <a:schemeClr val="dk1"/>
              </a:solidFill>
              <a:effectLst/>
              <a:latin typeface="+mn-lt"/>
              <a:ea typeface="+mn-ea"/>
              <a:cs typeface="+mn-cs"/>
            </a:rPr>
            <a:t>A</a:t>
          </a:r>
          <a:r>
            <a:rPr kumimoji="1" lang="ja-JP" altLang="ja-JP" sz="1100">
              <a:solidFill>
                <a:schemeClr val="dk1"/>
              </a:solidFill>
              <a:effectLst/>
              <a:latin typeface="+mn-lt"/>
              <a:ea typeface="+mn-ea"/>
              <a:cs typeface="+mn-cs"/>
            </a:rPr>
            <a:t>欄）、寄</a:t>
          </a:r>
          <a:endParaRPr lang="ja-JP" altLang="ja-JP" sz="1200">
            <a:effectLst/>
          </a:endParaRPr>
        </a:p>
        <a:p>
          <a:r>
            <a:rPr kumimoji="1" lang="ja-JP" altLang="ja-JP" sz="1100">
              <a:solidFill>
                <a:schemeClr val="dk1"/>
              </a:solidFill>
              <a:effectLst/>
              <a:latin typeface="+mn-lt"/>
              <a:ea typeface="+mn-ea"/>
              <a:cs typeface="+mn-cs"/>
            </a:rPr>
            <a:t>　　付金その他の収入額（</a:t>
          </a:r>
          <a:r>
            <a:rPr kumimoji="1" lang="en-US" altLang="ja-JP" sz="1100">
              <a:solidFill>
                <a:schemeClr val="dk1"/>
              </a:solidFill>
              <a:effectLst/>
              <a:latin typeface="+mn-lt"/>
              <a:ea typeface="+mn-ea"/>
              <a:cs typeface="+mn-cs"/>
            </a:rPr>
            <a:t>B</a:t>
          </a:r>
          <a:r>
            <a:rPr kumimoji="1" lang="ja-JP" altLang="ja-JP" sz="1100">
              <a:solidFill>
                <a:schemeClr val="dk1"/>
              </a:solidFill>
              <a:effectLst/>
              <a:latin typeface="+mn-lt"/>
              <a:ea typeface="+mn-ea"/>
              <a:cs typeface="+mn-cs"/>
            </a:rPr>
            <a:t>欄）、対象経費実支出額（</a:t>
          </a:r>
          <a:r>
            <a:rPr kumimoji="1" lang="en-US" altLang="ja-JP" sz="1100">
              <a:solidFill>
                <a:schemeClr val="dk1"/>
              </a:solidFill>
              <a:effectLst/>
              <a:latin typeface="+mn-lt"/>
              <a:ea typeface="+mn-ea"/>
              <a:cs typeface="+mn-cs"/>
            </a:rPr>
            <a:t>D</a:t>
          </a:r>
          <a:r>
            <a:rPr kumimoji="1" lang="ja-JP" altLang="ja-JP" sz="1100">
              <a:solidFill>
                <a:schemeClr val="dk1"/>
              </a:solidFill>
              <a:effectLst/>
              <a:latin typeface="+mn-lt"/>
              <a:ea typeface="+mn-ea"/>
              <a:cs typeface="+mn-cs"/>
            </a:rPr>
            <a:t>欄）については、シート　</a:t>
          </a:r>
          <a:endParaRPr lang="ja-JP" altLang="ja-JP" sz="1200">
            <a:effectLst/>
          </a:endParaRPr>
        </a:p>
        <a:p>
          <a:r>
            <a:rPr kumimoji="1" lang="ja-JP" altLang="ja-JP" sz="1100">
              <a:solidFill>
                <a:schemeClr val="dk1"/>
              </a:solidFill>
              <a:effectLst/>
              <a:latin typeface="+mn-lt"/>
              <a:ea typeface="+mn-ea"/>
              <a:cs typeface="+mn-cs"/>
            </a:rPr>
            <a:t>　　「別紙様式第４様式１別添２</a:t>
          </a:r>
          <a:r>
            <a:rPr kumimoji="1" lang="en-US" altLang="ja-JP" sz="1100">
              <a:solidFill>
                <a:schemeClr val="dk1"/>
              </a:solidFill>
              <a:effectLst/>
              <a:latin typeface="+mn-lt"/>
              <a:ea typeface="+mn-ea"/>
              <a:cs typeface="+mn-cs"/>
            </a:rPr>
            <a:t>_</a:t>
          </a:r>
          <a:r>
            <a:rPr kumimoji="1" lang="ja-JP" altLang="ja-JP" sz="1100">
              <a:solidFill>
                <a:schemeClr val="dk1"/>
              </a:solidFill>
              <a:effectLst/>
              <a:latin typeface="+mn-lt"/>
              <a:ea typeface="+mn-ea"/>
              <a:cs typeface="+mn-cs"/>
            </a:rPr>
            <a:t>地域包括支援センター運営費別表」から自動</a:t>
          </a:r>
          <a:endParaRPr lang="ja-JP" altLang="ja-JP" sz="1200">
            <a:effectLst/>
          </a:endParaRPr>
        </a:p>
        <a:p>
          <a:r>
            <a:rPr kumimoji="1" lang="ja-JP" altLang="ja-JP" sz="1100">
              <a:solidFill>
                <a:schemeClr val="dk1"/>
              </a:solidFill>
              <a:effectLst/>
              <a:latin typeface="+mn-lt"/>
              <a:ea typeface="+mn-ea"/>
              <a:cs typeface="+mn-cs"/>
            </a:rPr>
            <a:t>　　転記されます。</a:t>
          </a:r>
          <a:endParaRPr lang="ja-JP" altLang="ja-JP" sz="1200">
            <a:effectLst/>
          </a:endParaRPr>
        </a:p>
      </xdr:txBody>
    </xdr:sp>
    <xdr:clientData/>
  </xdr:twoCellAnchor>
  <xdr:twoCellAnchor>
    <xdr:from>
      <xdr:col>33</xdr:col>
      <xdr:colOff>5431972</xdr:colOff>
      <xdr:row>21</xdr:row>
      <xdr:rowOff>195944</xdr:rowOff>
    </xdr:from>
    <xdr:to>
      <xdr:col>41</xdr:col>
      <xdr:colOff>324679</xdr:colOff>
      <xdr:row>48</xdr:row>
      <xdr:rowOff>197544</xdr:rowOff>
    </xdr:to>
    <xdr:sp macro="" textlink="">
      <xdr:nvSpPr>
        <xdr:cNvPr id="5" name="テキスト ボックス 4">
          <a:extLst>
            <a:ext uri="{FF2B5EF4-FFF2-40B4-BE49-F238E27FC236}">
              <a16:creationId xmlns:a16="http://schemas.microsoft.com/office/drawing/2014/main" id="{FEA35D1D-BE93-45C1-9637-5405A017FC7F}"/>
            </a:ext>
          </a:extLst>
        </xdr:cNvPr>
        <xdr:cNvSpPr txBox="1"/>
      </xdr:nvSpPr>
      <xdr:spPr>
        <a:xfrm>
          <a:off x="29777872" y="5625194"/>
          <a:ext cx="10723257" cy="66881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参考２：地域支援事業における消費税の取扱い（２）</a:t>
          </a:r>
          <a:r>
            <a:rPr kumimoji="1" lang="en-US" altLang="ja-JP" sz="1100">
              <a:solidFill>
                <a:schemeClr val="dk1"/>
              </a:solidFill>
              <a:effectLst/>
              <a:latin typeface="+mn-lt"/>
              <a:ea typeface="+mn-ea"/>
              <a:cs typeface="+mn-cs"/>
            </a:rPr>
            <a:t>〉</a:t>
          </a:r>
        </a:p>
        <a:p>
          <a:r>
            <a:rPr kumimoji="1" lang="ja-JP" altLang="en-US" sz="1100">
              <a:solidFill>
                <a:schemeClr val="dk1"/>
              </a:solidFill>
              <a:effectLst/>
              <a:latin typeface="+mn-lt"/>
              <a:ea typeface="+mn-ea"/>
              <a:cs typeface="+mn-cs"/>
            </a:rPr>
            <a:t>・「消費税法施行令第十四条の三第五号の規定に基づき厚生労働大臣が指定する資産の譲渡等」　平成</a:t>
          </a:r>
          <a:r>
            <a:rPr kumimoji="1" lang="en-US" altLang="ja-JP" sz="1100">
              <a:solidFill>
                <a:schemeClr val="dk1"/>
              </a:solidFill>
              <a:effectLst/>
              <a:latin typeface="+mn-lt"/>
              <a:ea typeface="+mn-ea"/>
              <a:cs typeface="+mn-cs"/>
            </a:rPr>
            <a:t>18</a:t>
          </a:r>
          <a:r>
            <a:rPr kumimoji="1" lang="ja-JP" altLang="en-US" sz="1100">
              <a:solidFill>
                <a:schemeClr val="dk1"/>
              </a:solidFill>
              <a:effectLst/>
              <a:latin typeface="+mn-lt"/>
              <a:ea typeface="+mn-ea"/>
              <a:cs typeface="+mn-cs"/>
            </a:rPr>
            <a:t>年３月</a:t>
          </a:r>
          <a:r>
            <a:rPr kumimoji="1" lang="en-US" altLang="ja-JP" sz="1100">
              <a:solidFill>
                <a:schemeClr val="dk1"/>
              </a:solidFill>
              <a:effectLst/>
              <a:latin typeface="+mn-lt"/>
              <a:ea typeface="+mn-ea"/>
              <a:cs typeface="+mn-cs"/>
            </a:rPr>
            <a:t>31</a:t>
          </a:r>
          <a:r>
            <a:rPr kumimoji="1" lang="ja-JP" altLang="en-US" sz="1100">
              <a:solidFill>
                <a:schemeClr val="dk1"/>
              </a:solidFill>
              <a:effectLst/>
              <a:latin typeface="+mn-lt"/>
              <a:ea typeface="+mn-ea"/>
              <a:cs typeface="+mn-cs"/>
            </a:rPr>
            <a:t>日厚生労働省告示第</a:t>
          </a:r>
          <a:r>
            <a:rPr kumimoji="1" lang="en-US" altLang="ja-JP" sz="1100">
              <a:solidFill>
                <a:schemeClr val="dk1"/>
              </a:solidFill>
              <a:effectLst/>
              <a:latin typeface="+mn-lt"/>
              <a:ea typeface="+mn-ea"/>
              <a:cs typeface="+mn-cs"/>
            </a:rPr>
            <a:t>311</a:t>
          </a:r>
          <a:r>
            <a:rPr kumimoji="1" lang="ja-JP" altLang="en-US" sz="1100">
              <a:solidFill>
                <a:schemeClr val="dk1"/>
              </a:solidFill>
              <a:effectLst/>
              <a:latin typeface="+mn-lt"/>
              <a:ea typeface="+mn-ea"/>
              <a:cs typeface="+mn-cs"/>
            </a:rPr>
            <a:t>号</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https://www.mhlw.go.jp/web/t_doc?dataId=33aa8061</a:t>
          </a:r>
          <a:r>
            <a:rPr kumimoji="1" lang="ja-JP" altLang="en-US"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endParaRPr kumimoji="1" lang="ja-JP" altLang="en-US"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消費税法施行令</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昭和六十三年政令第三百六十号</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第十四条の三第五号の規定に基づき、厚生労働大臣が指定する資産の譲渡等を次のように定め、平成十八年四月一日から適用する。</a:t>
          </a:r>
        </a:p>
        <a:p>
          <a:endParaRPr kumimoji="1" lang="ja-JP" altLang="en-US"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消費税法施行令第十四条の三第五号の規定に基づき厚生労働大臣が指定する資産の譲渡等</a:t>
          </a:r>
        </a:p>
        <a:p>
          <a:r>
            <a:rPr kumimoji="1" lang="ja-JP" altLang="en-US" sz="1100">
              <a:solidFill>
                <a:schemeClr val="dk1"/>
              </a:solidFill>
              <a:effectLst/>
              <a:latin typeface="+mn-lt"/>
              <a:ea typeface="+mn-ea"/>
              <a:cs typeface="+mn-cs"/>
            </a:rPr>
            <a:t>　次に掲げる事業として行われる資産の譲渡等</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消費税法</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昭和六十三年法律第百八号</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別表第一第七号ロに掲げるものを除く。</a:t>
          </a:r>
          <a:r>
            <a:rPr kumimoji="1" lang="en-US" altLang="ja-JP" sz="1100">
              <a:solidFill>
                <a:schemeClr val="dk1"/>
              </a:solidFill>
              <a:effectLst/>
              <a:latin typeface="+mn-lt"/>
              <a:ea typeface="+mn-ea"/>
              <a:cs typeface="+mn-cs"/>
            </a:rPr>
            <a:t>)</a:t>
          </a:r>
        </a:p>
        <a:p>
          <a:r>
            <a:rPr kumimoji="1" lang="ja-JP" altLang="en-US" sz="1100">
              <a:solidFill>
                <a:schemeClr val="dk1"/>
              </a:solidFill>
              <a:effectLst/>
              <a:latin typeface="+mn-lt"/>
              <a:ea typeface="+mn-ea"/>
              <a:cs typeface="+mn-cs"/>
            </a:rPr>
            <a:t>一　地域の老人の福祉に関する各般の問題につき、老人、その者を現に養護する者</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以下「養護者」という。</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、地域住民その他の者からの相談に応じ、介護保険法</a:t>
          </a:r>
        </a:p>
        <a:p>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平成九年法律第百二十三号</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第二十四条第二項に規定する介護給付等対象サービス</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以下「介護給付等対象サービス」という。</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その他の保健医療サービス又は</a:t>
          </a:r>
        </a:p>
        <a:p>
          <a:r>
            <a:rPr kumimoji="1" lang="ja-JP" altLang="en-US" sz="1100">
              <a:solidFill>
                <a:schemeClr val="dk1"/>
              </a:solidFill>
              <a:effectLst/>
              <a:latin typeface="+mn-lt"/>
              <a:ea typeface="+mn-ea"/>
              <a:cs typeface="+mn-cs"/>
            </a:rPr>
            <a:t>　福祉サービス、権利擁護のための必要な援助等の利用に必要な助言を行う事業</a:t>
          </a:r>
        </a:p>
        <a:p>
          <a:r>
            <a:rPr kumimoji="1" lang="ja-JP" altLang="en-US" sz="1100">
              <a:solidFill>
                <a:schemeClr val="dk1"/>
              </a:solidFill>
              <a:effectLst/>
              <a:latin typeface="+mn-lt"/>
              <a:ea typeface="+mn-ea"/>
              <a:cs typeface="+mn-cs"/>
            </a:rPr>
            <a:t>二　地域における保健医療、福祉の関係者その他の者との連携体制の構築及びその連携体制の活用、居宅への訪問等の方法による主として居宅において介護を受ける</a:t>
          </a:r>
        </a:p>
        <a:p>
          <a:r>
            <a:rPr kumimoji="1" lang="ja-JP" altLang="en-US" sz="1100">
              <a:solidFill>
                <a:schemeClr val="dk1"/>
              </a:solidFill>
              <a:effectLst/>
              <a:latin typeface="+mn-lt"/>
              <a:ea typeface="+mn-ea"/>
              <a:cs typeface="+mn-cs"/>
            </a:rPr>
            <a:t>　老人</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以下「介護を受ける老人」という。</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に係る状況の把握を行う事業</a:t>
          </a:r>
        </a:p>
        <a:p>
          <a:r>
            <a:rPr kumimoji="1" lang="ja-JP" altLang="en-US" sz="1100">
              <a:solidFill>
                <a:schemeClr val="dk1"/>
              </a:solidFill>
              <a:effectLst/>
              <a:latin typeface="+mn-lt"/>
              <a:ea typeface="+mn-ea"/>
              <a:cs typeface="+mn-cs"/>
            </a:rPr>
            <a:t>三　介護給付等対象サービスその他の保健医療サービス又は福祉サービス、権利擁護のための必要な援助等を利用できるよう、介護を受ける老人又は養護者と市町村、</a:t>
          </a:r>
        </a:p>
        <a:p>
          <a:r>
            <a:rPr kumimoji="1" lang="ja-JP" altLang="en-US" sz="1100">
              <a:solidFill>
                <a:schemeClr val="dk1"/>
              </a:solidFill>
              <a:effectLst/>
              <a:latin typeface="+mn-lt"/>
              <a:ea typeface="+mn-ea"/>
              <a:cs typeface="+mn-cs"/>
            </a:rPr>
            <a:t>    老人居宅生活支援事業を行う者、老人福祉施設、医療施設、老人クラブその他老人の福祉を増進することを目的とする事業を行う者等との連絡調整を行う事業</a:t>
          </a:r>
        </a:p>
        <a:p>
          <a:r>
            <a:rPr kumimoji="1" lang="ja-JP" altLang="en-US" sz="1100">
              <a:solidFill>
                <a:schemeClr val="dk1"/>
              </a:solidFill>
              <a:effectLst/>
              <a:latin typeface="+mn-lt"/>
              <a:ea typeface="+mn-ea"/>
              <a:cs typeface="+mn-cs"/>
            </a:rPr>
            <a:t>四　その他介護を受ける老人又は養護者に必要な援助として行う次に掲げる事業</a:t>
          </a:r>
        </a:p>
        <a:p>
          <a:r>
            <a:rPr kumimoji="1" lang="ja-JP" altLang="en-US" sz="1100">
              <a:solidFill>
                <a:schemeClr val="dk1"/>
              </a:solidFill>
              <a:effectLst/>
              <a:latin typeface="+mn-lt"/>
              <a:ea typeface="+mn-ea"/>
              <a:cs typeface="+mn-cs"/>
            </a:rPr>
            <a:t>　イ　介護を受ける老人が要介護状態又は要支援状態</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以下「要介護状態等」という。</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となることを予防するため、その心身の状況、その置かれている環境その他の</a:t>
          </a:r>
        </a:p>
        <a:p>
          <a:r>
            <a:rPr kumimoji="1" lang="ja-JP" altLang="en-US" sz="1100">
              <a:solidFill>
                <a:schemeClr val="dk1"/>
              </a:solidFill>
              <a:effectLst/>
              <a:latin typeface="+mn-lt"/>
              <a:ea typeface="+mn-ea"/>
              <a:cs typeface="+mn-cs"/>
            </a:rPr>
            <a:t>　　状況に応じて、その選択に基づき、介護予防に関する事業</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介護保険法第十八条第二号に規定する予防給付に係るものを除く。</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その他の適切な事業が包括的かつ</a:t>
          </a:r>
        </a:p>
        <a:p>
          <a:r>
            <a:rPr kumimoji="1" lang="ja-JP" altLang="en-US" sz="1100">
              <a:solidFill>
                <a:schemeClr val="dk1"/>
              </a:solidFill>
              <a:effectLst/>
              <a:latin typeface="+mn-lt"/>
              <a:ea typeface="+mn-ea"/>
              <a:cs typeface="+mn-cs"/>
            </a:rPr>
            <a:t>　　効率的に提供されるよう必要な援助を行う事業</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介護保険法第百十五条の四十五第一項第一号に規定する介護予防・日常生活支援総合事業に係る事業を除く。</a:t>
          </a:r>
          <a:r>
            <a:rPr kumimoji="1" lang="en-US" altLang="ja-JP" sz="1100">
              <a:solidFill>
                <a:schemeClr val="dk1"/>
              </a:solidFill>
              <a:effectLst/>
              <a:latin typeface="+mn-lt"/>
              <a:ea typeface="+mn-ea"/>
              <a:cs typeface="+mn-cs"/>
            </a:rPr>
            <a:t>)</a:t>
          </a:r>
        </a:p>
        <a:p>
          <a:r>
            <a:rPr kumimoji="1" lang="ja-JP" altLang="en-US" sz="1100">
              <a:solidFill>
                <a:schemeClr val="dk1"/>
              </a:solidFill>
              <a:effectLst/>
              <a:latin typeface="+mn-lt"/>
              <a:ea typeface="+mn-ea"/>
              <a:cs typeface="+mn-cs"/>
            </a:rPr>
            <a:t>　ロ　介護保険法第七条第五項に規定する介護支援専門員への支援、介護給付等対象サービスその他の保健医療サービス又は福祉サービス等の連携体制</a:t>
          </a:r>
        </a:p>
        <a:p>
          <a:r>
            <a:rPr kumimoji="1" lang="ja-JP" altLang="en-US" sz="1100">
              <a:solidFill>
                <a:schemeClr val="dk1"/>
              </a:solidFill>
              <a:effectLst/>
              <a:latin typeface="+mn-lt"/>
              <a:ea typeface="+mn-ea"/>
              <a:cs typeface="+mn-cs"/>
            </a:rPr>
            <a:t>　　の確保等により、介護を受ける老人が地域において自立した日常生活を営むことができるよう、包括的かつ継続的な支援を行う事業</a:t>
          </a:r>
        </a:p>
        <a:p>
          <a:r>
            <a:rPr kumimoji="1" lang="ja-JP" altLang="en-US" sz="1100">
              <a:solidFill>
                <a:schemeClr val="dk1"/>
              </a:solidFill>
              <a:effectLst/>
              <a:latin typeface="+mn-lt"/>
              <a:ea typeface="+mn-ea"/>
              <a:cs typeface="+mn-cs"/>
            </a:rPr>
            <a:t>　ハ　医療に関する専門的知識を有する者が、介護サービス事業者、居宅における医療を提供する医療機関その他の関係者の連携を推進するものとして、</a:t>
          </a:r>
        </a:p>
        <a:p>
          <a:r>
            <a:rPr kumimoji="1" lang="ja-JP" altLang="en-US" sz="1100">
              <a:solidFill>
                <a:schemeClr val="dk1"/>
              </a:solidFill>
              <a:effectLst/>
              <a:latin typeface="+mn-lt"/>
              <a:ea typeface="+mn-ea"/>
              <a:cs typeface="+mn-cs"/>
            </a:rPr>
            <a:t>　　介護保険法施行規則</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平成十一年厚生省令第三十六号</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第百四十条の六十二の八各号に掲げる事業を行う事業</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ロに掲げる事業を除く。</a:t>
          </a:r>
          <a:r>
            <a:rPr kumimoji="1" lang="en-US" altLang="ja-JP" sz="1100">
              <a:solidFill>
                <a:schemeClr val="dk1"/>
              </a:solidFill>
              <a:effectLst/>
              <a:latin typeface="+mn-lt"/>
              <a:ea typeface="+mn-ea"/>
              <a:cs typeface="+mn-cs"/>
            </a:rPr>
            <a:t>)</a:t>
          </a:r>
        </a:p>
        <a:p>
          <a:r>
            <a:rPr kumimoji="1" lang="ja-JP" altLang="en-US" sz="1100">
              <a:solidFill>
                <a:schemeClr val="dk1"/>
              </a:solidFill>
              <a:effectLst/>
              <a:latin typeface="+mn-lt"/>
              <a:ea typeface="+mn-ea"/>
              <a:cs typeface="+mn-cs"/>
            </a:rPr>
            <a:t>　ニ　介護を受ける老人の地域における自立した日常生活の支援及び要介護状態等となることの予防又は要介護状態等の軽減若しくは悪化の防止に係る体制の整備その他の</a:t>
          </a:r>
        </a:p>
        <a:p>
          <a:r>
            <a:rPr kumimoji="1" lang="ja-JP" altLang="en-US" sz="1100">
              <a:solidFill>
                <a:schemeClr val="dk1"/>
              </a:solidFill>
              <a:effectLst/>
              <a:latin typeface="+mn-lt"/>
              <a:ea typeface="+mn-ea"/>
              <a:cs typeface="+mn-cs"/>
            </a:rPr>
            <a:t>　　これらを促進する事業</a:t>
          </a:r>
        </a:p>
        <a:p>
          <a:r>
            <a:rPr kumimoji="1" lang="ja-JP" altLang="en-US" sz="1100">
              <a:solidFill>
                <a:schemeClr val="dk1"/>
              </a:solidFill>
              <a:effectLst/>
              <a:latin typeface="+mn-lt"/>
              <a:ea typeface="+mn-ea"/>
              <a:cs typeface="+mn-cs"/>
            </a:rPr>
            <a:t>　ホ　保健医療及び福祉に関する専門的知識を有する者による認知症の早期における症状の悪化の防止のための支援その他の認知症である又はその疑いのある介護を受ける</a:t>
          </a:r>
        </a:p>
        <a:p>
          <a:r>
            <a:rPr kumimoji="1" lang="ja-JP" altLang="en-US" sz="1100">
              <a:solidFill>
                <a:schemeClr val="dk1"/>
              </a:solidFill>
              <a:effectLst/>
              <a:latin typeface="+mn-lt"/>
              <a:ea typeface="+mn-ea"/>
              <a:cs typeface="+mn-cs"/>
            </a:rPr>
            <a:t>　　老人に対する総合的な支援を行う事業</a:t>
          </a:r>
        </a:p>
      </xdr:txBody>
    </xdr:sp>
    <xdr:clientData/>
  </xdr:twoCellAnchor>
  <xdr:twoCellAnchor>
    <xdr:from>
      <xdr:col>33</xdr:col>
      <xdr:colOff>5442857</xdr:colOff>
      <xdr:row>49</xdr:row>
      <xdr:rowOff>0</xdr:rowOff>
    </xdr:from>
    <xdr:to>
      <xdr:col>41</xdr:col>
      <xdr:colOff>336563</xdr:colOff>
      <xdr:row>56</xdr:row>
      <xdr:rowOff>6137</xdr:rowOff>
    </xdr:to>
    <xdr:sp macro="" textlink="">
      <xdr:nvSpPr>
        <xdr:cNvPr id="6" name="テキスト ボックス 5">
          <a:extLst>
            <a:ext uri="{FF2B5EF4-FFF2-40B4-BE49-F238E27FC236}">
              <a16:creationId xmlns:a16="http://schemas.microsoft.com/office/drawing/2014/main" id="{EB547CD2-37F0-4D7F-801E-F4A94334A211}"/>
            </a:ext>
          </a:extLst>
        </xdr:cNvPr>
        <xdr:cNvSpPr txBox="1"/>
      </xdr:nvSpPr>
      <xdr:spPr>
        <a:xfrm>
          <a:off x="29788757" y="12363450"/>
          <a:ext cx="10724256" cy="1701587"/>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参考３：地域支援事業における消費税の取扱い（３）</a:t>
          </a:r>
          <a:r>
            <a:rPr kumimoji="1" lang="en-US" altLang="ja-JP" sz="1100">
              <a:solidFill>
                <a:schemeClr val="dk1"/>
              </a:solidFill>
              <a:effectLst/>
              <a:latin typeface="+mn-lt"/>
              <a:ea typeface="+mn-ea"/>
              <a:cs typeface="+mn-cs"/>
            </a:rPr>
            <a:t>〉</a:t>
          </a:r>
        </a:p>
        <a:p>
          <a:r>
            <a:rPr kumimoji="1" lang="ja-JP" altLang="en-US" sz="1100">
              <a:solidFill>
                <a:schemeClr val="dk1"/>
              </a:solidFill>
              <a:effectLst/>
              <a:latin typeface="+mn-lt"/>
              <a:ea typeface="+mn-ea"/>
              <a:cs typeface="+mn-cs"/>
            </a:rPr>
            <a:t>・消費税法基本通達（</a:t>
          </a:r>
          <a:r>
            <a:rPr kumimoji="1" lang="en-US" altLang="ja-JP" sz="1100">
              <a:solidFill>
                <a:schemeClr val="dk1"/>
              </a:solidFill>
              <a:effectLst/>
              <a:latin typeface="+mn-lt"/>
              <a:ea typeface="+mn-ea"/>
              <a:cs typeface="+mn-cs"/>
            </a:rPr>
            <a:t>https://www.nta.go.jp/law/tsutatsu/kihon/shohi/06/07.htm</a:t>
          </a:r>
          <a:r>
            <a:rPr kumimoji="1" lang="ja-JP" altLang="en-US"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r>
            <a:rPr kumimoji="1" lang="en-US" altLang="ja-JP" sz="1100">
              <a:solidFill>
                <a:schemeClr val="dk1"/>
              </a:solidFill>
              <a:effectLst/>
              <a:latin typeface="+mn-lt"/>
              <a:ea typeface="+mn-ea"/>
              <a:cs typeface="+mn-cs"/>
            </a:rPr>
            <a:t>6</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7</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4</a:t>
          </a:r>
          <a:r>
            <a:rPr kumimoji="1" lang="ja-JP" altLang="en-US" sz="1100">
              <a:solidFill>
                <a:schemeClr val="dk1"/>
              </a:solidFill>
              <a:effectLst/>
              <a:latin typeface="+mn-lt"/>
              <a:ea typeface="+mn-ea"/>
              <a:cs typeface="+mn-cs"/>
            </a:rPr>
            <a:t>　（介護サービスの委託に係る取扱い）</a:t>
          </a:r>
        </a:p>
        <a:p>
          <a:r>
            <a:rPr kumimoji="1" lang="ja-JP" altLang="en-US" sz="1100">
              <a:solidFill>
                <a:schemeClr val="dk1"/>
              </a:solidFill>
              <a:effectLst/>
              <a:latin typeface="+mn-lt"/>
              <a:ea typeface="+mn-ea"/>
              <a:cs typeface="+mn-cs"/>
            </a:rPr>
            <a:t>　介護保険法に規定する居宅サービス事業者、居宅介護支援事業者又は介護保険施設等（以下</a:t>
          </a:r>
          <a:r>
            <a:rPr kumimoji="1" lang="en-US" altLang="ja-JP" sz="1100">
              <a:solidFill>
                <a:schemeClr val="dk1"/>
              </a:solidFill>
              <a:effectLst/>
              <a:latin typeface="+mn-lt"/>
              <a:ea typeface="+mn-ea"/>
              <a:cs typeface="+mn-cs"/>
            </a:rPr>
            <a:t>6</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7</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4</a:t>
          </a:r>
          <a:r>
            <a:rPr kumimoji="1" lang="ja-JP" altLang="en-US" sz="1100">
              <a:solidFill>
                <a:schemeClr val="dk1"/>
              </a:solidFill>
              <a:effectLst/>
              <a:latin typeface="+mn-lt"/>
              <a:ea typeface="+mn-ea"/>
              <a:cs typeface="+mn-cs"/>
            </a:rPr>
            <a:t>において「居宅サービス事業者等」という。）からの委託により、他の事業者が、法別表第二第</a:t>
          </a:r>
          <a:r>
            <a:rPr kumimoji="1" lang="en-US" altLang="ja-JP" sz="1100">
              <a:solidFill>
                <a:schemeClr val="dk1"/>
              </a:solidFill>
              <a:effectLst/>
              <a:latin typeface="+mn-lt"/>
              <a:ea typeface="+mn-ea"/>
              <a:cs typeface="+mn-cs"/>
            </a:rPr>
            <a:t>7</a:t>
          </a:r>
          <a:r>
            <a:rPr kumimoji="1" lang="ja-JP" altLang="en-US" sz="1100">
              <a:solidFill>
                <a:schemeClr val="dk1"/>
              </a:solidFill>
              <a:effectLst/>
              <a:latin typeface="+mn-lt"/>
              <a:ea typeface="+mn-ea"/>
              <a:cs typeface="+mn-cs"/>
            </a:rPr>
            <a:t>号イ</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非課税となる介護保険に係る資産の譲渡等</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に規定する資産の譲渡等に係る業務の一部（以下</a:t>
          </a:r>
          <a:r>
            <a:rPr kumimoji="1" lang="en-US" altLang="ja-JP" sz="1100">
              <a:solidFill>
                <a:schemeClr val="dk1"/>
              </a:solidFill>
              <a:effectLst/>
              <a:latin typeface="+mn-lt"/>
              <a:ea typeface="+mn-ea"/>
              <a:cs typeface="+mn-cs"/>
            </a:rPr>
            <a:t>6</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7</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4</a:t>
          </a:r>
          <a:r>
            <a:rPr kumimoji="1" lang="ja-JP" altLang="en-US" sz="1100">
              <a:solidFill>
                <a:schemeClr val="dk1"/>
              </a:solidFill>
              <a:effectLst/>
              <a:latin typeface="+mn-lt"/>
              <a:ea typeface="+mn-ea"/>
              <a:cs typeface="+mn-cs"/>
            </a:rPr>
            <a:t>において「委託業務」という。）を行う場合における当該委託業務は、居宅サービス事業者等に対して行われるものであるから、同号に規定する資産の譲渡等に</a:t>
          </a:r>
          <a:r>
            <a:rPr kumimoji="1" lang="ja-JP" altLang="en-US" sz="1100" b="1" u="sng">
              <a:solidFill>
                <a:schemeClr val="dk1"/>
              </a:solidFill>
              <a:effectLst/>
              <a:latin typeface="+mn-lt"/>
              <a:ea typeface="+mn-ea"/>
              <a:cs typeface="+mn-cs"/>
            </a:rPr>
            <a:t>該当しない</a:t>
          </a:r>
          <a:r>
            <a:rPr kumimoji="1" lang="ja-JP" altLang="en-US" sz="1100">
              <a:solidFill>
                <a:schemeClr val="dk1"/>
              </a:solidFill>
              <a:effectLst/>
              <a:latin typeface="+mn-lt"/>
              <a:ea typeface="+mn-ea"/>
              <a:cs typeface="+mn-cs"/>
            </a:rPr>
            <a:t>ことに留意する。（平</a:t>
          </a:r>
          <a:r>
            <a:rPr kumimoji="1" lang="en-US" altLang="ja-JP" sz="1100">
              <a:solidFill>
                <a:schemeClr val="dk1"/>
              </a:solidFill>
              <a:effectLst/>
              <a:latin typeface="+mn-lt"/>
              <a:ea typeface="+mn-ea"/>
              <a:cs typeface="+mn-cs"/>
            </a:rPr>
            <a:t>12</a:t>
          </a:r>
          <a:r>
            <a:rPr kumimoji="1" lang="ja-JP" altLang="en-US" sz="1100">
              <a:solidFill>
                <a:schemeClr val="dk1"/>
              </a:solidFill>
              <a:effectLst/>
              <a:latin typeface="+mn-lt"/>
              <a:ea typeface="+mn-ea"/>
              <a:cs typeface="+mn-cs"/>
            </a:rPr>
            <a:t>課消</a:t>
          </a:r>
          <a:r>
            <a:rPr kumimoji="1" lang="en-US" altLang="ja-JP" sz="1100">
              <a:solidFill>
                <a:schemeClr val="dk1"/>
              </a:solidFill>
              <a:effectLst/>
              <a:latin typeface="+mn-lt"/>
              <a:ea typeface="+mn-ea"/>
              <a:cs typeface="+mn-cs"/>
            </a:rPr>
            <a:t>2</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10</a:t>
          </a:r>
          <a:r>
            <a:rPr kumimoji="1" lang="ja-JP" altLang="en-US" sz="1100">
              <a:solidFill>
                <a:schemeClr val="dk1"/>
              </a:solidFill>
              <a:effectLst/>
              <a:latin typeface="+mn-lt"/>
              <a:ea typeface="+mn-ea"/>
              <a:cs typeface="+mn-cs"/>
            </a:rPr>
            <a:t>、令５課消２－９により追加）</a:t>
          </a:r>
        </a:p>
      </xdr:txBody>
    </xdr:sp>
    <xdr:clientData/>
  </xdr:twoCellAnchor>
  <xdr:twoCellAnchor>
    <xdr:from>
      <xdr:col>33</xdr:col>
      <xdr:colOff>5453743</xdr:colOff>
      <xdr:row>56</xdr:row>
      <xdr:rowOff>97972</xdr:rowOff>
    </xdr:from>
    <xdr:to>
      <xdr:col>41</xdr:col>
      <xdr:colOff>341994</xdr:colOff>
      <xdr:row>85</xdr:row>
      <xdr:rowOff>58245</xdr:rowOff>
    </xdr:to>
    <xdr:sp macro="" textlink="">
      <xdr:nvSpPr>
        <xdr:cNvPr id="7" name="テキスト ボックス 6">
          <a:extLst>
            <a:ext uri="{FF2B5EF4-FFF2-40B4-BE49-F238E27FC236}">
              <a16:creationId xmlns:a16="http://schemas.microsoft.com/office/drawing/2014/main" id="{2395CE30-DA64-45F9-95E1-8777E2B3C8F8}"/>
            </a:ext>
          </a:extLst>
        </xdr:cNvPr>
        <xdr:cNvSpPr txBox="1"/>
      </xdr:nvSpPr>
      <xdr:spPr>
        <a:xfrm>
          <a:off x="29799643" y="14156872"/>
          <a:ext cx="10718801" cy="6703973"/>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dk1"/>
              </a:solidFill>
              <a:effectLst/>
              <a:latin typeface="+mn-lt"/>
              <a:ea typeface="+mn-ea"/>
              <a:cs typeface="+mn-cs"/>
            </a:rPr>
            <a:t>＜参考４：その他の収入の考え方＞</a:t>
          </a:r>
        </a:p>
        <a:p>
          <a:r>
            <a:rPr kumimoji="1" lang="ja-JP" altLang="en-US" sz="1100">
              <a:solidFill>
                <a:schemeClr val="dk1"/>
              </a:solidFill>
              <a:effectLst/>
              <a:latin typeface="+mn-lt"/>
              <a:ea typeface="+mn-ea"/>
              <a:cs typeface="+mn-cs"/>
            </a:rPr>
            <a:t>「厚生労働省所管補助金等にかかる寄付金その他の収入の取扱いについて」（令和</a:t>
          </a:r>
          <a:r>
            <a:rPr kumimoji="1" lang="en-US" altLang="ja-JP" sz="1100">
              <a:solidFill>
                <a:schemeClr val="dk1"/>
              </a:solidFill>
              <a:effectLst/>
              <a:latin typeface="+mn-lt"/>
              <a:ea typeface="+mn-ea"/>
              <a:cs typeface="+mn-cs"/>
            </a:rPr>
            <a:t>5</a:t>
          </a:r>
          <a:r>
            <a:rPr kumimoji="1" lang="ja-JP" altLang="en-US" sz="1100">
              <a:solidFill>
                <a:schemeClr val="dk1"/>
              </a:solidFill>
              <a:effectLst/>
              <a:latin typeface="+mn-lt"/>
              <a:ea typeface="+mn-ea"/>
              <a:cs typeface="+mn-cs"/>
            </a:rPr>
            <a:t>年</a:t>
          </a:r>
          <a:r>
            <a:rPr kumimoji="1" lang="en-US" altLang="ja-JP" sz="1100">
              <a:solidFill>
                <a:schemeClr val="dk1"/>
              </a:solidFill>
              <a:effectLst/>
              <a:latin typeface="+mn-lt"/>
              <a:ea typeface="+mn-ea"/>
              <a:cs typeface="+mn-cs"/>
            </a:rPr>
            <a:t>8</a:t>
          </a:r>
          <a:r>
            <a:rPr kumimoji="1" lang="ja-JP" altLang="en-US" sz="1100">
              <a:solidFill>
                <a:schemeClr val="dk1"/>
              </a:solidFill>
              <a:effectLst/>
              <a:latin typeface="+mn-lt"/>
              <a:ea typeface="+mn-ea"/>
              <a:cs typeface="+mn-cs"/>
            </a:rPr>
            <a:t>月</a:t>
          </a:r>
          <a:r>
            <a:rPr kumimoji="1" lang="en-US" altLang="ja-JP" sz="1100">
              <a:solidFill>
                <a:schemeClr val="dk1"/>
              </a:solidFill>
              <a:effectLst/>
              <a:latin typeface="+mn-lt"/>
              <a:ea typeface="+mn-ea"/>
              <a:cs typeface="+mn-cs"/>
            </a:rPr>
            <a:t>14</a:t>
          </a:r>
          <a:r>
            <a:rPr kumimoji="1" lang="ja-JP" altLang="en-US" sz="1100">
              <a:solidFill>
                <a:schemeClr val="dk1"/>
              </a:solidFill>
              <a:effectLst/>
              <a:latin typeface="+mn-lt"/>
              <a:ea typeface="+mn-ea"/>
              <a:cs typeface="+mn-cs"/>
            </a:rPr>
            <a:t>日会発</a:t>
          </a:r>
          <a:r>
            <a:rPr kumimoji="1" lang="en-US" altLang="ja-JP" sz="1100">
              <a:solidFill>
                <a:schemeClr val="dk1"/>
              </a:solidFill>
              <a:effectLst/>
              <a:latin typeface="+mn-lt"/>
              <a:ea typeface="+mn-ea"/>
              <a:cs typeface="+mn-cs"/>
            </a:rPr>
            <a:t>0814</a:t>
          </a:r>
          <a:r>
            <a:rPr kumimoji="1" lang="ja-JP" altLang="en-US" sz="1100">
              <a:solidFill>
                <a:schemeClr val="dk1"/>
              </a:solidFill>
              <a:effectLst/>
              <a:latin typeface="+mn-lt"/>
              <a:ea typeface="+mn-ea"/>
              <a:cs typeface="+mn-cs"/>
            </a:rPr>
            <a:t>第</a:t>
          </a:r>
          <a:r>
            <a:rPr kumimoji="1" lang="en-US" altLang="ja-JP" sz="1100">
              <a:solidFill>
                <a:schemeClr val="dk1"/>
              </a:solidFill>
              <a:effectLst/>
              <a:latin typeface="+mn-lt"/>
              <a:ea typeface="+mn-ea"/>
              <a:cs typeface="+mn-cs"/>
            </a:rPr>
            <a:t>7</a:t>
          </a:r>
          <a:r>
            <a:rPr kumimoji="1" lang="ja-JP" altLang="en-US" sz="1100">
              <a:solidFill>
                <a:schemeClr val="dk1"/>
              </a:solidFill>
              <a:effectLst/>
              <a:latin typeface="+mn-lt"/>
              <a:ea typeface="+mn-ea"/>
              <a:cs typeface="+mn-cs"/>
            </a:rPr>
            <a:t>号）の別紙</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https://www.mhlw.go.jp/web/t_doc?dataId=00tc7875&amp;dataType=1</a:t>
          </a:r>
          <a:r>
            <a:rPr kumimoji="1" lang="ja-JP" altLang="en-US"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厚生労働省所管補助金等にかかる寄付金その他の収入の取扱いについて</a:t>
          </a:r>
        </a:p>
        <a:p>
          <a:r>
            <a:rPr kumimoji="1" lang="ja-JP" altLang="en-US" sz="1100">
              <a:solidFill>
                <a:schemeClr val="dk1"/>
              </a:solidFill>
              <a:effectLst/>
              <a:latin typeface="+mn-lt"/>
              <a:ea typeface="+mn-ea"/>
              <a:cs typeface="+mn-cs"/>
            </a:rPr>
            <a:t>　厚生労働省所管の補助金等の交付に当たり控除すべき寄付金その他の収入の取扱いについては、その範囲等につき、それぞれの法令の定めるところによるほか、次のとおり定める。</a:t>
          </a:r>
        </a:p>
        <a:p>
          <a:r>
            <a:rPr kumimoji="1" lang="ja-JP" altLang="en-US" sz="1100">
              <a:solidFill>
                <a:schemeClr val="dk1"/>
              </a:solidFill>
              <a:effectLst/>
              <a:latin typeface="+mn-lt"/>
              <a:ea typeface="+mn-ea"/>
              <a:cs typeface="+mn-cs"/>
            </a:rPr>
            <a:t>なお、この取扱いは、法律補助、予算補助の如何にかかわらず適用されるものであるから念のため申し添える。</a:t>
          </a:r>
        </a:p>
        <a:p>
          <a:r>
            <a:rPr kumimoji="1" lang="en-US" altLang="ja-JP" sz="1100">
              <a:solidFill>
                <a:schemeClr val="dk1"/>
              </a:solidFill>
              <a:effectLst/>
              <a:latin typeface="+mn-lt"/>
              <a:ea typeface="+mn-ea"/>
              <a:cs typeface="+mn-cs"/>
            </a:rPr>
            <a:t>1</a:t>
          </a:r>
          <a:r>
            <a:rPr kumimoji="1" lang="ja-JP" altLang="en-US" sz="1100">
              <a:solidFill>
                <a:schemeClr val="dk1"/>
              </a:solidFill>
              <a:effectLst/>
              <a:latin typeface="+mn-lt"/>
              <a:ea typeface="+mn-ea"/>
              <a:cs typeface="+mn-cs"/>
            </a:rPr>
            <a:t>　寄付金その他の収入の範囲について</a:t>
          </a:r>
        </a:p>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一</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　寄付金</a:t>
          </a:r>
        </a:p>
        <a:p>
          <a:r>
            <a:rPr kumimoji="1" lang="ja-JP" altLang="en-US" sz="1100">
              <a:solidFill>
                <a:schemeClr val="dk1"/>
              </a:solidFill>
              <a:effectLst/>
              <a:latin typeface="+mn-lt"/>
              <a:ea typeface="+mn-ea"/>
              <a:cs typeface="+mn-cs"/>
            </a:rPr>
            <a:t>　寄付者がその使途を、補助事業等</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間接補助事業等を含む。以下同じ。</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に指定する寄付金をいい、使途を指定しない一般寄付金及び総事業のうち、補助対象外の事業に対する寄付金は、ここにいう寄付金とはみなさないものであること。</a:t>
          </a:r>
        </a:p>
        <a:p>
          <a:r>
            <a:rPr kumimoji="1" lang="ja-JP" altLang="en-US" sz="1100">
              <a:solidFill>
                <a:schemeClr val="dk1"/>
              </a:solidFill>
              <a:effectLst/>
              <a:latin typeface="+mn-lt"/>
              <a:ea typeface="+mn-ea"/>
              <a:cs typeface="+mn-cs"/>
            </a:rPr>
            <a:t>　ただし、補助事業者又は間接補助事業者が社会福祉法人等営利を目的としない法人である場合は、その特殊性を考慮し、法令に別段の定めのない限り、これら法人に対する寄付金は、補助事業等に指定するものであってもここにいう寄付金とみなさないものであること。</a:t>
          </a:r>
        </a:p>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二</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　その他の収入</a:t>
          </a:r>
        </a:p>
        <a:p>
          <a:r>
            <a:rPr kumimoji="1" lang="ja-JP" altLang="en-US" sz="1100">
              <a:solidFill>
                <a:schemeClr val="dk1"/>
              </a:solidFill>
              <a:effectLst/>
              <a:latin typeface="+mn-lt"/>
              <a:ea typeface="+mn-ea"/>
              <a:cs typeface="+mn-cs"/>
            </a:rPr>
            <a:t>　ここにいう収入とは、原則として、現金収入のみに限定せず、評価額、徴収法定額等をも含めることとし、収入の種類及び範囲は次のとおりとする。</a:t>
          </a:r>
        </a:p>
        <a:p>
          <a:r>
            <a:rPr kumimoji="1" lang="ja-JP" altLang="en-US" sz="1100">
              <a:solidFill>
                <a:schemeClr val="dk1"/>
              </a:solidFill>
              <a:effectLst/>
              <a:latin typeface="+mn-lt"/>
              <a:ea typeface="+mn-ea"/>
              <a:cs typeface="+mn-cs"/>
            </a:rPr>
            <a:t>　①　法令</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地方公共団体の条例及び規則を含む。</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に基づく徴収金、返還金等の収入</a:t>
          </a:r>
        </a:p>
        <a:p>
          <a:r>
            <a:rPr kumimoji="1" lang="ja-JP" altLang="en-US" sz="1100">
              <a:solidFill>
                <a:schemeClr val="dk1"/>
              </a:solidFill>
              <a:effectLst/>
              <a:latin typeface="+mn-lt"/>
              <a:ea typeface="+mn-ea"/>
              <a:cs typeface="+mn-cs"/>
            </a:rPr>
            <a:t>　②　契約違反による違約徴収金の収入</a:t>
          </a:r>
        </a:p>
        <a:p>
          <a:r>
            <a:rPr kumimoji="1" lang="ja-JP" altLang="en-US" sz="1100">
              <a:solidFill>
                <a:schemeClr val="dk1"/>
              </a:solidFill>
              <a:effectLst/>
              <a:latin typeface="+mn-lt"/>
              <a:ea typeface="+mn-ea"/>
              <a:cs typeface="+mn-cs"/>
            </a:rPr>
            <a:t>　③　既存建物等の全部又は一部が被災したことに伴う火災保険、地震保険による保険金収入等から交付要綱等により算出される自己負担相当を控除した額</a:t>
          </a:r>
        </a:p>
        <a:p>
          <a:r>
            <a:rPr kumimoji="1" lang="ja-JP" altLang="en-US" sz="1100">
              <a:solidFill>
                <a:schemeClr val="dk1"/>
              </a:solidFill>
              <a:effectLst/>
              <a:latin typeface="+mn-lt"/>
              <a:ea typeface="+mn-ea"/>
              <a:cs typeface="+mn-cs"/>
            </a:rPr>
            <a:t>　④　その他各補助金等の性質に応じた当該補助事業等に関する収入</a:t>
          </a:r>
        </a:p>
        <a:p>
          <a:r>
            <a:rPr kumimoji="1" lang="en-US" altLang="ja-JP" sz="1100">
              <a:solidFill>
                <a:schemeClr val="dk1"/>
              </a:solidFill>
              <a:effectLst/>
              <a:latin typeface="+mn-lt"/>
              <a:ea typeface="+mn-ea"/>
              <a:cs typeface="+mn-cs"/>
            </a:rPr>
            <a:t>2</a:t>
          </a:r>
          <a:r>
            <a:rPr kumimoji="1" lang="ja-JP" altLang="en-US" sz="1100">
              <a:solidFill>
                <a:schemeClr val="dk1"/>
              </a:solidFill>
              <a:effectLst/>
              <a:latin typeface="+mn-lt"/>
              <a:ea typeface="+mn-ea"/>
              <a:cs typeface="+mn-cs"/>
            </a:rPr>
            <a:t>　寄付金その他の収入の控除の方法について</a:t>
          </a:r>
        </a:p>
        <a:p>
          <a:r>
            <a:rPr kumimoji="1" lang="ja-JP" altLang="en-US" sz="1100">
              <a:solidFill>
                <a:schemeClr val="dk1"/>
              </a:solidFill>
              <a:effectLst/>
              <a:latin typeface="+mn-lt"/>
              <a:ea typeface="+mn-ea"/>
              <a:cs typeface="+mn-cs"/>
            </a:rPr>
            <a:t>　寄付金その他の収入があるときは、補助金等の交付額の算定過程において控除するものとすること。</a:t>
          </a:r>
        </a:p>
        <a:p>
          <a:r>
            <a:rPr kumimoji="1" lang="ja-JP" altLang="en-US" sz="1100">
              <a:solidFill>
                <a:schemeClr val="dk1"/>
              </a:solidFill>
              <a:effectLst/>
              <a:latin typeface="+mn-lt"/>
              <a:ea typeface="+mn-ea"/>
              <a:cs typeface="+mn-cs"/>
            </a:rPr>
            <a:t>なお、具体的な取扱いについては、各補助金等の性質を勘案のうえ、別途定められる交付要綱等によるものであること。</a:t>
          </a:r>
        </a:p>
      </xdr:txBody>
    </xdr:sp>
    <xdr:clientData/>
  </xdr:twoCellAnchor>
  <xdr:twoCellAnchor>
    <xdr:from>
      <xdr:col>14</xdr:col>
      <xdr:colOff>1524001</xdr:colOff>
      <xdr:row>71</xdr:row>
      <xdr:rowOff>108858</xdr:rowOff>
    </xdr:from>
    <xdr:to>
      <xdr:col>26</xdr:col>
      <xdr:colOff>468086</xdr:colOff>
      <xdr:row>95</xdr:row>
      <xdr:rowOff>163286</xdr:rowOff>
    </xdr:to>
    <xdr:sp macro="" textlink="">
      <xdr:nvSpPr>
        <xdr:cNvPr id="8" name="テキスト ボックス 1">
          <a:extLst>
            <a:ext uri="{FF2B5EF4-FFF2-40B4-BE49-F238E27FC236}">
              <a16:creationId xmlns:a16="http://schemas.microsoft.com/office/drawing/2014/main" id="{41D8D0B3-D93D-47B2-9FF3-FD8537B93C16}"/>
            </a:ext>
          </a:extLst>
        </xdr:cNvPr>
        <xdr:cNvSpPr txBox="1"/>
      </xdr:nvSpPr>
      <xdr:spPr>
        <a:xfrm>
          <a:off x="12839701" y="17892033"/>
          <a:ext cx="8373835" cy="5112203"/>
        </a:xfrm>
        <a:prstGeom prst="rect">
          <a:avLst/>
        </a:prstGeom>
        <a:solidFill>
          <a:srgbClr val="70AD47">
            <a:lumMod val="20000"/>
            <a:lumOff val="80000"/>
          </a:srgbClr>
        </a:solidFill>
        <a:ln w="9525" cmpd="sng">
          <a:solidFill>
            <a:sysClr val="window" lastClr="FFFFFF">
              <a:shade val="50000"/>
            </a:sysClr>
          </a:solid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mn-ea"/>
              <a:ea typeface="+mn-ea"/>
              <a:cs typeface="+mn-cs"/>
            </a:rPr>
            <a:t>（介護予防・日常生活支援総合事業調整交付金について）</a:t>
          </a:r>
          <a:endParaRPr kumimoji="1" lang="en-US" altLang="ja-JP" sz="1100" b="0" i="0" u="none" strike="noStrike" kern="0" cap="none" spc="0" normalizeH="0" baseline="0" noProof="0">
            <a:ln>
              <a:noFill/>
            </a:ln>
            <a:solidFill>
              <a:schemeClr val="tx1"/>
            </a:solidFill>
            <a:effectLst/>
            <a:uLnTx/>
            <a:uFillTx/>
            <a:latin typeface="+mn-ea"/>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mn-ea"/>
              <a:ea typeface="+mn-ea"/>
              <a:cs typeface="+mn-cs"/>
            </a:rPr>
            <a:t>○　「調整基準標準事業費額」「総合事業調整交付金所要額」欄には、交付申請における 「令和７年度地域支援事業交付金所要額調」</a:t>
          </a:r>
          <a:endParaRPr kumimoji="1" lang="en-US" altLang="ja-JP" sz="1100" b="0" i="0" u="none" strike="noStrike" kern="0" cap="none" spc="0" normalizeH="0" baseline="0" noProof="0">
            <a:ln>
              <a:noFill/>
            </a:ln>
            <a:solidFill>
              <a:schemeClr val="tx1"/>
            </a:solidFill>
            <a:effectLst/>
            <a:uLnTx/>
            <a:uFillTx/>
            <a:latin typeface="+mn-ea"/>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mn-ea"/>
              <a:ea typeface="+mn-ea"/>
              <a:cs typeface="+mn-cs"/>
            </a:rPr>
            <a:t>　（別紙様式第２様式１）の右側中段④と⑤の</a:t>
          </a:r>
          <a:r>
            <a:rPr kumimoji="1" lang="ja-JP" altLang="en-US" sz="1100" b="0" i="0" u="none" strike="noStrike" kern="0" cap="none" spc="0" normalizeH="0" baseline="0" noProof="0">
              <a:ln>
                <a:noFill/>
              </a:ln>
              <a:solidFill>
                <a:sysClr val="windowText" lastClr="000000"/>
              </a:solidFill>
              <a:effectLst/>
              <a:uLnTx/>
              <a:uFillTx/>
              <a:latin typeface="+mn-ea"/>
              <a:ea typeface="+mn-ea"/>
              <a:cs typeface="+mn-cs"/>
            </a:rPr>
            <a:t>金額をあらかじめ記入</a:t>
          </a:r>
          <a:r>
            <a:rPr kumimoji="1" lang="ja-JP" altLang="en-US" sz="1100" b="0" i="0" u="none" strike="noStrike" kern="0" cap="none" spc="0" normalizeH="0" baseline="0" noProof="0">
              <a:ln>
                <a:noFill/>
              </a:ln>
              <a:solidFill>
                <a:schemeClr val="tx1"/>
              </a:solidFill>
              <a:effectLst/>
              <a:uLnTx/>
              <a:uFillTx/>
              <a:latin typeface="+mn-ea"/>
              <a:ea typeface="+mn-ea"/>
              <a:cs typeface="+mn-cs"/>
            </a:rPr>
            <a:t>していますので、確認してください。</a:t>
          </a:r>
          <a:endParaRPr kumimoji="1" lang="en-US" altLang="ja-JP" sz="1100" b="0" i="0" u="none" strike="noStrike" kern="0" cap="none" spc="0" normalizeH="0" baseline="0" noProof="0">
            <a:ln>
              <a:noFill/>
            </a:ln>
            <a:solidFill>
              <a:schemeClr val="tx1"/>
            </a:solidFill>
            <a:effectLst/>
            <a:uLnTx/>
            <a:uFillTx/>
            <a:latin typeface="+mn-ea"/>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mn-ea"/>
              <a:ea typeface="+mn-ea"/>
              <a:cs typeface="+mn-cs"/>
            </a:rPr>
            <a:t>○　「調整基準標準事業費額」は第一号事業、一般介護予防事業に要した費用等に基づき、各保険者において算定いただいています。</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mn-ea"/>
              <a:ea typeface="+mn-ea"/>
              <a:cs typeface="+mn-cs"/>
            </a:rPr>
            <a:t>　　第一号事業、一般介護予防事業に要した費用等が、交付申請時から変更となって</a:t>
          </a:r>
          <a:r>
            <a:rPr kumimoji="1" lang="ja-JP" altLang="en-US" sz="1100" b="0" i="0" u="none" strike="noStrike" kern="0" cap="none" spc="0" normalizeH="0" baseline="0" noProof="0">
              <a:ln>
                <a:noFill/>
              </a:ln>
              <a:solidFill>
                <a:sysClr val="windowText" lastClr="000000"/>
              </a:solidFill>
              <a:effectLst/>
              <a:uLnTx/>
              <a:uFillTx/>
              <a:latin typeface="+mn-ea"/>
              <a:ea typeface="+mn-ea"/>
              <a:cs typeface="+mn-cs"/>
            </a:rPr>
            <a:t>いる</a:t>
          </a:r>
          <a:r>
            <a:rPr kumimoji="1" lang="ja-JP" altLang="en-US" sz="1100" b="0" i="0" u="none" strike="noStrike" kern="0" cap="none" spc="0" normalizeH="0" baseline="0" noProof="0">
              <a:ln>
                <a:noFill/>
              </a:ln>
              <a:solidFill>
                <a:schemeClr val="tx1"/>
              </a:solidFill>
              <a:effectLst/>
              <a:uLnTx/>
              <a:uFillTx/>
              <a:latin typeface="+mn-ea"/>
              <a:ea typeface="+mn-ea"/>
              <a:cs typeface="+mn-cs"/>
            </a:rPr>
            <a:t>保険者においては、昨年度お配りした</a:t>
          </a:r>
          <a:endParaRPr kumimoji="1" lang="en-US" altLang="ja-JP" sz="1100" b="0" i="0" u="none" strike="noStrike" kern="0" cap="none" spc="0" normalizeH="0" baseline="0" noProof="0">
            <a:ln>
              <a:noFill/>
            </a:ln>
            <a:solidFill>
              <a:schemeClr val="tx1"/>
            </a:solidFill>
            <a:effectLst/>
            <a:uLnTx/>
            <a:uFillTx/>
            <a:latin typeface="+mn-ea"/>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i="0" u="none" strike="noStrike" kern="0" cap="none" spc="0" normalizeH="0" baseline="0" noProof="0">
              <a:ln>
                <a:noFill/>
              </a:ln>
              <a:solidFill>
                <a:schemeClr val="tx1"/>
              </a:solidFill>
              <a:effectLst/>
              <a:uLnTx/>
              <a:uFillTx/>
              <a:latin typeface="+mn-ea"/>
              <a:ea typeface="+mn-ea"/>
              <a:cs typeface="+mn-cs"/>
            </a:rPr>
            <a:t>     </a:t>
          </a:r>
          <a:r>
            <a:rPr kumimoji="1" lang="ja-JP" altLang="en-US" sz="1100" b="0" i="0" u="none" strike="noStrike" kern="0" cap="none" spc="0" normalizeH="0" baseline="0" noProof="0">
              <a:ln>
                <a:noFill/>
              </a:ln>
              <a:solidFill>
                <a:schemeClr val="tx1"/>
              </a:solidFill>
              <a:effectLst/>
              <a:uLnTx/>
              <a:uFillTx/>
              <a:latin typeface="+mn-ea"/>
              <a:ea typeface="+mn-ea"/>
              <a:cs typeface="+mn-cs"/>
            </a:rPr>
            <a:t>「調整交付金算定額調」を参照し、調整基準標準事業費額を再算定し、修正してください。</a:t>
          </a:r>
          <a:endParaRPr kumimoji="1" lang="en-US" altLang="ja-JP" sz="1100" b="0" i="0" u="none" strike="noStrike" kern="0" cap="none" spc="0" normalizeH="0" baseline="0" noProof="0">
            <a:ln>
              <a:noFill/>
            </a:ln>
            <a:solidFill>
              <a:schemeClr val="tx1"/>
            </a:solidFill>
            <a:effectLst/>
            <a:uLnTx/>
            <a:uFillTx/>
            <a:latin typeface="+mn-ea"/>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mn-ea"/>
              <a:ea typeface="+mn-ea"/>
              <a:cs typeface="+mn-cs"/>
            </a:rPr>
            <a:t>　　（交付申請時の調整基準標準事業費額より、実績報告時の調整基準標準事業費額が少なくなった場合は、厚生労働省において調整交</a:t>
          </a:r>
          <a:endParaRPr kumimoji="1" lang="en-US" altLang="ja-JP" sz="1100" b="0" i="0" u="none" strike="noStrike" kern="0" cap="none" spc="0" normalizeH="0" baseline="0" noProof="0">
            <a:ln>
              <a:noFill/>
            </a:ln>
            <a:solidFill>
              <a:schemeClr val="tx1"/>
            </a:solidFill>
            <a:effectLst/>
            <a:uLnTx/>
            <a:uFillTx/>
            <a:latin typeface="+mn-ea"/>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mn-ea"/>
              <a:ea typeface="+mn-ea"/>
              <a:cs typeface="+mn-cs"/>
            </a:rPr>
            <a:t>　　付金の額を再算定し、調整交付金交付決定額との差額につき、返還を求めることとします。なお、交付申請時の調整基準標準事業費額より、</a:t>
          </a:r>
          <a:endParaRPr kumimoji="1" lang="en-US" altLang="ja-JP" sz="1100" b="0" i="0" u="none" strike="noStrike" kern="0" cap="none" spc="0" normalizeH="0" baseline="0" noProof="0">
            <a:ln>
              <a:noFill/>
            </a:ln>
            <a:solidFill>
              <a:schemeClr val="tx1"/>
            </a:solidFill>
            <a:effectLst/>
            <a:uLnTx/>
            <a:uFillTx/>
            <a:latin typeface="+mn-ea"/>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mn-ea"/>
              <a:ea typeface="+mn-ea"/>
              <a:cs typeface="+mn-cs"/>
            </a:rPr>
            <a:t>　　実績報告時の調整基準標準事業費額が多くなった場合でも、調整交付金の追加交付は行いません。</a:t>
          </a:r>
          <a:r>
            <a:rPr kumimoji="1" lang="en-US" altLang="ja-JP" sz="1100" b="0" i="0" u="none" strike="noStrike" kern="0" cap="none" spc="0" normalizeH="0" baseline="0" noProof="0">
              <a:ln>
                <a:noFill/>
              </a:ln>
              <a:solidFill>
                <a:schemeClr val="tx1"/>
              </a:solidFill>
              <a:effectLst/>
              <a:uLnTx/>
              <a:uFillTx/>
              <a:latin typeface="+mn-ea"/>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chemeClr val="tx1"/>
            </a:solidFill>
            <a:effectLst/>
            <a:uLnTx/>
            <a:uFillTx/>
            <a:latin typeface="+mn-ea"/>
            <a:ea typeface="+mn-ea"/>
            <a:cs typeface="+mn-cs"/>
          </a:endParaRPr>
        </a:p>
        <a:p>
          <a:pPr rtl="0" eaLnBrk="1" latinLnBrk="0" hangingPunct="1"/>
          <a:r>
            <a:rPr kumimoji="1" lang="ja-JP" altLang="ja-JP" sz="1100">
              <a:effectLst/>
              <a:latin typeface="+mn-lt"/>
              <a:ea typeface="+mn-ea"/>
              <a:cs typeface="+mn-cs"/>
            </a:rPr>
            <a:t>○重層的支援体制整備事業</a:t>
          </a:r>
          <a:r>
            <a:rPr kumimoji="1" lang="ja-JP" altLang="en-US" sz="1100">
              <a:effectLst/>
              <a:latin typeface="+mn-lt"/>
              <a:ea typeface="+mn-ea"/>
              <a:cs typeface="+mn-cs"/>
            </a:rPr>
            <a:t>実施保険者において</a:t>
          </a:r>
          <a:r>
            <a:rPr kumimoji="1" lang="ja-JP" altLang="ja-JP" sz="1100">
              <a:effectLst/>
              <a:latin typeface="+mn-lt"/>
              <a:ea typeface="+mn-ea"/>
              <a:cs typeface="+mn-cs"/>
            </a:rPr>
            <a:t>総合事業調整交付金に係る調整基準標準事業費額が交付申請時より減額となった場合</a:t>
          </a:r>
          <a:endParaRPr kumimoji="1" lang="en-US" altLang="ja-JP" sz="1100">
            <a:effectLst/>
            <a:latin typeface="+mn-lt"/>
            <a:ea typeface="+mn-ea"/>
            <a:cs typeface="+mn-cs"/>
          </a:endParaRPr>
        </a:p>
        <a:p>
          <a:pPr rtl="0" eaLnBrk="1" latinLnBrk="0" hangingPunct="1"/>
          <a:r>
            <a:rPr kumimoji="1" lang="ja-JP" altLang="en-US" sz="1100">
              <a:effectLst/>
              <a:latin typeface="+mn-lt"/>
              <a:ea typeface="+mn-ea"/>
              <a:cs typeface="+mn-cs"/>
            </a:rPr>
            <a:t>　</a:t>
          </a:r>
          <a:r>
            <a:rPr kumimoji="1" lang="ja-JP" altLang="ja-JP" sz="1100">
              <a:effectLst/>
              <a:latin typeface="+mn-lt"/>
              <a:ea typeface="+mn-ea"/>
              <a:cs typeface="+mn-cs"/>
            </a:rPr>
            <a:t>は、以下の要領で調整交付金所要額を減額してください。</a:t>
          </a:r>
          <a:endParaRPr lang="ja-JP" altLang="ja-JP">
            <a:effectLst/>
          </a:endParaRPr>
        </a:p>
        <a:p>
          <a:pPr rtl="0" eaLnBrk="1" latinLnBrk="0" hangingPunct="1"/>
          <a:r>
            <a:rPr kumimoji="1" lang="ja-JP" altLang="ja-JP" sz="1100">
              <a:effectLst/>
              <a:latin typeface="+mn-lt"/>
              <a:ea typeface="+mn-ea"/>
              <a:cs typeface="+mn-cs"/>
            </a:rPr>
            <a:t>　①　地域介護予防活動支援事業のみの事業費の変動により調整基準標準事業費額が減額となった場合</a:t>
          </a:r>
          <a:endParaRPr lang="ja-JP" altLang="ja-JP">
            <a:effectLst/>
          </a:endParaRPr>
        </a:p>
        <a:p>
          <a:pPr rtl="0" eaLnBrk="1" latinLnBrk="0" hangingPunct="1"/>
          <a:r>
            <a:rPr kumimoji="1" lang="ja-JP" altLang="ja-JP" sz="1100">
              <a:effectLst/>
              <a:latin typeface="+mn-lt"/>
              <a:ea typeface="+mn-ea"/>
              <a:cs typeface="+mn-cs"/>
            </a:rPr>
            <a:t>　　　　→重層的支援体制整備事業交付金として交付される総合事業調整交付金（調整交付金所要額）のみを減額</a:t>
          </a:r>
          <a:endParaRPr lang="ja-JP" altLang="ja-JP">
            <a:effectLst/>
          </a:endParaRPr>
        </a:p>
        <a:p>
          <a:pPr rtl="0" eaLnBrk="1" latinLnBrk="0" hangingPunct="1"/>
          <a:r>
            <a:rPr kumimoji="1" lang="ja-JP" altLang="ja-JP" sz="1100">
              <a:effectLst/>
              <a:latin typeface="+mn-lt"/>
              <a:ea typeface="+mn-ea"/>
              <a:cs typeface="+mn-cs"/>
            </a:rPr>
            <a:t>　②　総合事業のうち</a:t>
          </a:r>
          <a:r>
            <a:rPr kumimoji="1" lang="zh-TW" altLang="ja-JP" sz="1100">
              <a:effectLst/>
              <a:latin typeface="+mn-lt"/>
              <a:ea typeface="+mn-ea"/>
              <a:cs typeface="+mn-cs"/>
            </a:rPr>
            <a:t>地域介護予防活動支援事業</a:t>
          </a:r>
          <a:r>
            <a:rPr kumimoji="1" lang="ja-JP" altLang="ja-JP" sz="1100" b="1" u="sng">
              <a:effectLst/>
              <a:latin typeface="+mn-lt"/>
              <a:ea typeface="+mn-ea"/>
              <a:cs typeface="+mn-cs"/>
            </a:rPr>
            <a:t>以外の</a:t>
          </a:r>
          <a:r>
            <a:rPr kumimoji="1" lang="ja-JP" altLang="ja-JP" sz="1100">
              <a:effectLst/>
              <a:latin typeface="+mn-lt"/>
              <a:ea typeface="+mn-ea"/>
              <a:cs typeface="+mn-cs"/>
            </a:rPr>
            <a:t>事業のみの事業費の変動により調整基準標準事業費額が減額となった場合</a:t>
          </a:r>
          <a:endParaRPr lang="ja-JP" altLang="ja-JP">
            <a:effectLst/>
          </a:endParaRPr>
        </a:p>
        <a:p>
          <a:pPr rtl="0" eaLnBrk="1" latinLnBrk="0" hangingPunct="1"/>
          <a:r>
            <a:rPr kumimoji="1" lang="ja-JP" altLang="ja-JP" sz="1100">
              <a:effectLst/>
              <a:latin typeface="+mn-lt"/>
              <a:ea typeface="+mn-ea"/>
              <a:cs typeface="+mn-cs"/>
            </a:rPr>
            <a:t>　　　　→地域支援事業交付金として交付される総合事業調整交付金（調整交付金所要額）のみを減額</a:t>
          </a:r>
          <a:endParaRPr lang="ja-JP" altLang="ja-JP">
            <a:effectLst/>
          </a:endParaRPr>
        </a:p>
        <a:p>
          <a:pPr rtl="0" eaLnBrk="1" latinLnBrk="0" hangingPunct="1"/>
          <a:r>
            <a:rPr kumimoji="1" lang="ja-JP" altLang="ja-JP" sz="1100">
              <a:effectLst/>
              <a:latin typeface="+mn-lt"/>
              <a:ea typeface="+mn-ea"/>
              <a:cs typeface="+mn-cs"/>
            </a:rPr>
            <a:t>　③　地域介護予防活動支援事業およびそれ以外の事業いずれも事業費が変動したことにより調整基準標準事業費額が減額となった場合</a:t>
          </a:r>
          <a:endParaRPr lang="ja-JP" altLang="ja-JP">
            <a:effectLst/>
          </a:endParaRPr>
        </a:p>
        <a:p>
          <a:pPr rtl="0" eaLnBrk="1" latinLnBrk="0" hangingPunct="1"/>
          <a:r>
            <a:rPr kumimoji="1" lang="ja-JP" altLang="en-US" sz="1100">
              <a:effectLst/>
              <a:latin typeface="+mn-lt"/>
              <a:ea typeface="+mn-ea"/>
              <a:cs typeface="+mn-cs"/>
            </a:rPr>
            <a:t>　　　　</a:t>
          </a:r>
          <a:r>
            <a:rPr kumimoji="1" lang="ja-JP" altLang="ja-JP" sz="1100">
              <a:effectLst/>
              <a:latin typeface="+mn-lt"/>
              <a:ea typeface="+mn-ea"/>
              <a:cs typeface="+mn-cs"/>
            </a:rPr>
            <a:t>→</a:t>
          </a:r>
          <a:r>
            <a:rPr kumimoji="1" lang="zh-TW" altLang="ja-JP" sz="1100">
              <a:effectLst/>
              <a:latin typeface="+mn-lt"/>
              <a:ea typeface="+mn-ea"/>
              <a:cs typeface="+mn-cs"/>
            </a:rPr>
            <a:t>地域介護予防活動支援事業</a:t>
          </a:r>
          <a:r>
            <a:rPr kumimoji="1" lang="ja-JP" altLang="ja-JP" sz="1100">
              <a:effectLst/>
              <a:latin typeface="+mn-lt"/>
              <a:ea typeface="+mn-ea"/>
              <a:cs typeface="+mn-cs"/>
            </a:rPr>
            <a:t>とそれ以外の事業</a:t>
          </a:r>
          <a:r>
            <a:rPr kumimoji="1" lang="ja-JP" altLang="en-US" sz="1100">
              <a:effectLst/>
              <a:latin typeface="+mn-lt"/>
              <a:ea typeface="+mn-ea"/>
              <a:cs typeface="+mn-cs"/>
            </a:rPr>
            <a:t>費</a:t>
          </a:r>
          <a:r>
            <a:rPr kumimoji="1" lang="ja-JP" altLang="ja-JP" sz="1100">
              <a:effectLst/>
              <a:latin typeface="+mn-lt"/>
              <a:ea typeface="+mn-ea"/>
              <a:cs typeface="+mn-cs"/>
            </a:rPr>
            <a:t>の割合（内訳）は再算定せず、重層的支援体制整備事業交付金および地域支</a:t>
          </a:r>
          <a:endParaRPr kumimoji="1" lang="en-US" altLang="ja-JP" sz="1100">
            <a:effectLst/>
            <a:latin typeface="+mn-lt"/>
            <a:ea typeface="+mn-ea"/>
            <a:cs typeface="+mn-cs"/>
          </a:endParaRPr>
        </a:p>
        <a:p>
          <a:pPr rtl="0" eaLnBrk="1" latinLnBrk="0" hangingPunct="1"/>
          <a:r>
            <a:rPr kumimoji="1" lang="ja-JP" altLang="en-US" sz="1100">
              <a:effectLst/>
              <a:latin typeface="+mn-lt"/>
              <a:ea typeface="+mn-ea"/>
              <a:cs typeface="+mn-cs"/>
            </a:rPr>
            <a:t>　　　　　</a:t>
          </a:r>
          <a:r>
            <a:rPr kumimoji="1" lang="ja-JP" altLang="ja-JP" sz="1100">
              <a:effectLst/>
              <a:latin typeface="+mn-lt"/>
              <a:ea typeface="+mn-ea"/>
              <a:cs typeface="+mn-cs"/>
            </a:rPr>
            <a:t>援事業交付金として交付されるそれぞれの総合事業調整交付金（調整交付金所要額）を減額</a:t>
          </a:r>
          <a:endParaRPr lang="ja-JP" altLang="ja-JP">
            <a:effectLst/>
          </a:endParaRPr>
        </a:p>
        <a:p>
          <a:pPr rtl="0" eaLnBrk="1" latinLnBrk="0" hangingPunct="1"/>
          <a:r>
            <a:rPr kumimoji="1" lang="en-US" altLang="ja-JP" sz="1100">
              <a:effectLst/>
              <a:latin typeface="+mn-lt"/>
              <a:ea typeface="+mn-ea"/>
              <a:cs typeface="+mn-cs"/>
            </a:rPr>
            <a:t>※</a:t>
          </a:r>
          <a:r>
            <a:rPr kumimoji="1" lang="ja-JP" altLang="ja-JP" sz="1100">
              <a:effectLst/>
              <a:latin typeface="+mn-lt"/>
              <a:ea typeface="+mn-ea"/>
              <a:cs typeface="+mn-cs"/>
            </a:rPr>
            <a:t>総合事業調整交付金に係る調整基準標準事業費額が交付申請時より増額となった場合は、交付申請時の額を記載してください</a:t>
          </a:r>
          <a:endParaRPr kumimoji="1" lang="en-US" altLang="ja-JP" sz="1100">
            <a:effectLst/>
            <a:latin typeface="+mn-lt"/>
            <a:ea typeface="+mn-ea"/>
            <a:cs typeface="+mn-cs"/>
          </a:endParaRPr>
        </a:p>
        <a:p>
          <a:pPr rtl="0" eaLnBrk="1" latinLnBrk="0" hangingPunct="1"/>
          <a:r>
            <a:rPr kumimoji="1" lang="ja-JP" altLang="en-US" sz="1100">
              <a:effectLst/>
              <a:latin typeface="+mn-lt"/>
              <a:ea typeface="+mn-ea"/>
              <a:cs typeface="+mn-cs"/>
            </a:rPr>
            <a:t>　</a:t>
          </a:r>
          <a:r>
            <a:rPr kumimoji="1" lang="ja-JP" altLang="ja-JP" sz="1100">
              <a:effectLst/>
              <a:latin typeface="+mn-lt"/>
              <a:ea typeface="+mn-ea"/>
              <a:cs typeface="+mn-cs"/>
            </a:rPr>
            <a:t>（増額した額について記載する必要はありません。）</a:t>
          </a:r>
          <a:endParaRPr lang="ja-JP" altLang="ja-JP">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334945</xdr:colOff>
      <xdr:row>4</xdr:row>
      <xdr:rowOff>136071</xdr:rowOff>
    </xdr:from>
    <xdr:to>
      <xdr:col>1</xdr:col>
      <xdr:colOff>4013060</xdr:colOff>
      <xdr:row>7</xdr:row>
      <xdr:rowOff>238858</xdr:rowOff>
    </xdr:to>
    <xdr:sp macro="" textlink="">
      <xdr:nvSpPr>
        <xdr:cNvPr id="2" name="テキスト ボックス 1">
          <a:extLst>
            <a:ext uri="{FF2B5EF4-FFF2-40B4-BE49-F238E27FC236}">
              <a16:creationId xmlns:a16="http://schemas.microsoft.com/office/drawing/2014/main" id="{89078C59-370D-4E3C-8BD0-B559ADE36858}"/>
            </a:ext>
          </a:extLst>
        </xdr:cNvPr>
        <xdr:cNvSpPr txBox="1"/>
      </xdr:nvSpPr>
      <xdr:spPr>
        <a:xfrm>
          <a:off x="334945" y="1180011"/>
          <a:ext cx="4798255" cy="92574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t>○　広域連合等以外の申請者にあっては、Ｄ列のみ入力してください。</a:t>
          </a:r>
          <a:endParaRPr kumimoji="1" lang="en-US" altLang="ja-JP" sz="1200"/>
        </a:p>
        <a:p>
          <a:r>
            <a:rPr kumimoji="1" lang="ja-JP" altLang="en-US" sz="1200"/>
            <a:t>○　広域連合等の申請者にあっては、Ｅ列以降にも構成市町村名が自動入力されていますので、市町村ごとに必要情報を入力してください。</a:t>
          </a:r>
          <a:endParaRPr kumimoji="1" lang="en-US" altLang="ja-JP" sz="1200"/>
        </a:p>
      </xdr:txBody>
    </xdr:sp>
    <xdr:clientData/>
  </xdr:twoCellAnchor>
  <xdr:twoCellAnchor>
    <xdr:from>
      <xdr:col>0</xdr:col>
      <xdr:colOff>334945</xdr:colOff>
      <xdr:row>4</xdr:row>
      <xdr:rowOff>136071</xdr:rowOff>
    </xdr:from>
    <xdr:to>
      <xdr:col>1</xdr:col>
      <xdr:colOff>4013060</xdr:colOff>
      <xdr:row>7</xdr:row>
      <xdr:rowOff>238858</xdr:rowOff>
    </xdr:to>
    <xdr:sp macro="" textlink="">
      <xdr:nvSpPr>
        <xdr:cNvPr id="3" name="テキスト ボックス 2">
          <a:extLst>
            <a:ext uri="{FF2B5EF4-FFF2-40B4-BE49-F238E27FC236}">
              <a16:creationId xmlns:a16="http://schemas.microsoft.com/office/drawing/2014/main" id="{0627CE91-2622-4C8D-B15F-CC1B09646E25}"/>
            </a:ext>
          </a:extLst>
        </xdr:cNvPr>
        <xdr:cNvSpPr txBox="1"/>
      </xdr:nvSpPr>
      <xdr:spPr>
        <a:xfrm>
          <a:off x="334945" y="1180011"/>
          <a:ext cx="4798255" cy="92574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t>○　広域連合等以外の申請者にあっては、</a:t>
          </a:r>
          <a:r>
            <a:rPr kumimoji="1" lang="en-US" altLang="ja-JP" sz="1200"/>
            <a:t>E</a:t>
          </a:r>
          <a:r>
            <a:rPr kumimoji="1" lang="ja-JP" altLang="en-US" sz="1200"/>
            <a:t>列のみ入力してください。</a:t>
          </a:r>
          <a:endParaRPr kumimoji="1" lang="en-US" altLang="ja-JP" sz="1200"/>
        </a:p>
        <a:p>
          <a:r>
            <a:rPr kumimoji="1" lang="ja-JP" altLang="en-US" sz="1200"/>
            <a:t>○　広域連合等の申請者にあっては、</a:t>
          </a:r>
          <a:r>
            <a:rPr kumimoji="1" lang="en-US" altLang="ja-JP" sz="1200"/>
            <a:t>G</a:t>
          </a:r>
          <a:r>
            <a:rPr kumimoji="1" lang="ja-JP" altLang="en-US" sz="1200"/>
            <a:t>列以降にも構成市町村名が自動入力されていますので、市町村ごとに必要情報を入力してください。</a:t>
          </a:r>
          <a:endParaRPr kumimoji="1" lang="en-US" altLang="ja-JP" sz="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52.26.11\&#20196;&#21644;4&#24180;&#24230;\&#20849;&#26377;&#12501;&#12457;&#12523;&#12480;\05&#12288;&#20581;&#24247;&#31119;&#31049;&#35506;\&#12304;&#9993;&#12305;R4%20&#20171;&#35703;&#20445;&#38522;\R3%20&#23455;&#32318;&#22577;&#21578;%20&#12304;&#24517;&#12305;\R4%206%2022&#12304;&#12414;&#12391;&#12305;&#22320;&#22495;&#25903;&#25588;&#20107;&#26989;&#20132;&#20184;&#37329;\R4%206%2022%20%20&#65288;&#8251;&#12479;&#12452;&#12488;&#12523;&#22793;&#26356;&#12375;&#12394;&#12356;&#12391;&#12367;&#12384;&#12373;&#12356;&#65289;&#20196;&#21644;3&#24180;&#22320;&#22495;&#25903;&#25588;&#20107;&#26989;&#20132;&#20184;&#37329;&#20107;&#26989;&#23455;&#32318;&#22577;&#21578;&#26360;(&#20445;&#38522;&#32773;&#2999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52.26.11\&#20196;&#21644;5&#24180;&#24230;\6.&#20445;&#38522;&#24180;&#37329;\D.&#20171;&#35703;&#20445;&#38522;\0.&#35576;&#21209;\09_&#35036;&#21161;&#37329;&#12539;&#36000;&#25285;&#37329;\06_&#22320;&#22495;&#25903;&#25588;&#20107;&#26989;&#20132;&#20184;&#37329;\01&#23455;&#32318;&#22577;&#21578;&#65288;R4&#65289;\01&#25552;&#20986;&#65288;&#22269;&#65289;\050726&#65288;&#20877;&#12293;&#20462;&#27491;&#29256;&#65289;\0507_R4&#22320;&#22495;&#25903;&#25588;&#20107;&#26989;&#20132;&#20184;&#37329;&#20107;&#26989;&#23455;&#32318;&#22577;&#21578;&#26360;(&#23567;&#37326;&#300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52.26.11\&#20196;&#21644;6&#24180;&#24230;\6.&#20445;&#38522;&#24180;&#37329;\D.&#20171;&#35703;&#20445;&#38522;\0.&#35576;&#21209;\09_&#35036;&#21161;&#37329;&#12539;&#36000;&#25285;&#37329;\06_&#22320;&#22495;&#25903;&#25588;&#20107;&#26989;&#20132;&#20184;&#37329;\10&#23455;&#32318;&#22577;&#21578;&#65288;R5&#65289;\01&#22269;&#24235;\060708&#12304;710(&#27700;)&#12305;&#12294;&#30476;&#39640;&#40802;&#31119;&#31049;&#35506;&#12305;&#20196;&#21644;&#65301;&#24180;&#24230;&#22320;&#22495;&#25903;&#25588;&#20107;&#26989;&#20132;&#20184;&#37329;&#23455;&#32318;&#22577;&#21578;&#12398;&#30097;&#32681;&#29031;&#20250;&#12395;&#12388;&#12356;&#12390;&#65288;&#23567;&#37326;&#30010;&#65289;\&#22320;&#22495;&#25903;&#25588;&#20107;&#26989;&#20132;&#20184;&#37329;&#20107;&#26989;&#23455;&#32318;&#22577;&#21578;&#26360;(&#23567;&#37326;&#30010;)7.9&#20462;&#2749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llDown"/>
      <sheetName val="精算書データ"/>
      <sheetName val="任意事業ア"/>
      <sheetName val="任意事業イ"/>
      <sheetName val="任意事業ウ"/>
      <sheetName val="はじめに"/>
      <sheetName val="初期設定"/>
      <sheetName val="別紙様式4_事業実績報告書"/>
      <sheetName val="様式1_地域支援事業交付金精算書"/>
      <sheetName val="【記入例】様式1_地域支援事業交付金精算書"/>
      <sheetName val="様式1別添1_総合事業の上限額引き上げに係る事業実施報告書"/>
      <sheetName val="様式1別添2_地域包括支援センター運営費別表"/>
      <sheetName val="様式2_包括的支援事業(地域包括支援センター)実施報告書"/>
      <sheetName val="任意事業実施報告書　作成の留意事項"/>
      <sheetName val="様式3別添"/>
      <sheetName val="様式3_任意事業実施報告書_ア"/>
      <sheetName val="様式3_任意事業実施報告書_イ"/>
      <sheetName val="様式3_任意事業実施報告書_ウ"/>
      <sheetName val="様式4_包括的支援事業(社会保障充実分)実施報告書"/>
      <sheetName val="支給実績内訳書"/>
      <sheetName val="【記入例】　支給実績内訳書"/>
    </sheetNames>
    <sheetDataSet>
      <sheetData sheetId="0"/>
      <sheetData sheetId="1"/>
      <sheetData sheetId="2"/>
      <sheetData sheetId="3"/>
      <sheetData sheetId="4"/>
      <sheetData sheetId="5"/>
      <sheetData sheetId="6">
        <row r="8">
          <cell r="B8" t="str">
            <v>小野町</v>
          </cell>
        </row>
        <row r="11">
          <cell r="B11" t="str">
            <v>522</v>
          </cell>
        </row>
        <row r="12">
          <cell r="B12" t="str">
            <v>07</v>
          </cell>
        </row>
        <row r="13">
          <cell r="B13" t="str">
            <v>6</v>
          </cell>
        </row>
        <row r="37">
          <cell r="B37" t="str">
            <v>⑤個別協議</v>
          </cell>
        </row>
        <row r="40">
          <cell r="B40">
            <v>21897654</v>
          </cell>
        </row>
        <row r="41">
          <cell r="B41">
            <v>2650000</v>
          </cell>
        </row>
        <row r="45">
          <cell r="B45" t="str">
            <v>②未実施</v>
          </cell>
        </row>
        <row r="46">
          <cell r="B46"/>
        </row>
        <row r="47">
          <cell r="B47"/>
        </row>
        <row r="49">
          <cell r="B49"/>
        </row>
        <row r="50">
          <cell r="B50"/>
        </row>
        <row r="53">
          <cell r="B53" t="str">
            <v>①原則の上限額</v>
          </cell>
        </row>
        <row r="59">
          <cell r="B59" t="str">
            <v>①標準額</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処理用"/>
      <sheetName val="任意事業ア"/>
      <sheetName val="任意事業イ"/>
      <sheetName val="任意事業ウ"/>
      <sheetName val="所要額データ"/>
      <sheetName val="PullDown"/>
      <sheetName val="総合チェックシート"/>
      <sheetName val="はじめに"/>
      <sheetName val="初期設定"/>
      <sheetName val="重層的支援体制整備事業交付金"/>
      <sheetName val="所要額調書比較シート"/>
      <sheetName val="別紙様式第4_事業実績報告書"/>
      <sheetName val="様式1_地域支援事業交付金精算書"/>
      <sheetName val="【記入例】様式1_地域支援事業交付金精算書"/>
      <sheetName val="総合事業上限額算定の手引き　作成にあたって"/>
      <sheetName val="総合事業上限額算定の手引き（事前の個別協議なし）"/>
      <sheetName val="様式1別添1（事前の個別協議なし（事後協議あり））"/>
      <sheetName val="総合事業上限額算定の手引き（事前の個別協議あり）"/>
      <sheetName val="総合事業上限額算定の手引き（費用低減計画）"/>
      <sheetName val="様式1別添1_ (事前の個別協議あり)"/>
      <sheetName val="様式１別添２_地域包括支援センター運営費別表"/>
      <sheetName val="様式2_包括的支援事業（地域包括支援センターの運営）実施報告書"/>
      <sheetName val="任意事業実施報告書　作成の留意事項"/>
      <sheetName val="様式3別添_任意事業"/>
      <sheetName val="様式3_任意事業実施報告書_ア"/>
      <sheetName val="様式3_任意事業実施報告書_イ"/>
      <sheetName val="様式3_任意事業実施報告書_ウ"/>
      <sheetName val="包括的支援事業（社保充分)標準額の手引き作成にあたって"/>
      <sheetName val="包括的支援事業(社会保障充実分) 標準額の手引き"/>
      <sheetName val="様式４_包括的支援事業（社会保障充実分）実施報告書"/>
      <sheetName val="支給実績内訳書"/>
      <sheetName val="【記入例】　支給実績内訳書"/>
    </sheetNames>
    <sheetDataSet>
      <sheetData sheetId="0"/>
      <sheetData sheetId="1"/>
      <sheetData sheetId="2"/>
      <sheetData sheetId="3"/>
      <sheetData sheetId="4"/>
      <sheetData sheetId="5"/>
      <sheetData sheetId="6"/>
      <sheetData sheetId="7"/>
      <sheetData sheetId="8">
        <row r="7">
          <cell r="B7" t="str">
            <v>小野町</v>
          </cell>
        </row>
        <row r="10">
          <cell r="B10" t="str">
            <v>522</v>
          </cell>
        </row>
        <row r="11">
          <cell r="B11" t="str">
            <v>07</v>
          </cell>
        </row>
        <row r="12">
          <cell r="B12" t="str">
            <v>6</v>
          </cell>
        </row>
        <row r="38">
          <cell r="B38" t="str">
            <v>②未実施</v>
          </cell>
        </row>
        <row r="39">
          <cell r="B39">
            <v>0</v>
          </cell>
        </row>
        <row r="40">
          <cell r="B40">
            <v>0</v>
          </cell>
        </row>
        <row r="41">
          <cell r="B41">
            <v>0</v>
          </cell>
        </row>
        <row r="42">
          <cell r="B42">
            <v>0</v>
          </cell>
        </row>
        <row r="43">
          <cell r="B43">
            <v>0</v>
          </cell>
        </row>
        <row r="46">
          <cell r="B46">
            <v>33303297</v>
          </cell>
        </row>
        <row r="47">
          <cell r="B47">
            <v>2843000</v>
          </cell>
        </row>
        <row r="51">
          <cell r="B51" t="str">
            <v>①原則の上限額</v>
          </cell>
        </row>
      </sheetData>
      <sheetData sheetId="9"/>
      <sheetData sheetId="10"/>
      <sheetData sheetId="11"/>
      <sheetData sheetId="12"/>
      <sheetData sheetId="13"/>
      <sheetData sheetId="14"/>
      <sheetData sheetId="15">
        <row r="59">
          <cell r="C59" t="str">
            <v/>
          </cell>
        </row>
      </sheetData>
      <sheetData sheetId="16"/>
      <sheetData sheetId="17">
        <row r="55">
          <cell r="E55" t="str">
            <v>⑤個別協議希望</v>
          </cell>
        </row>
      </sheetData>
      <sheetData sheetId="18"/>
      <sheetData sheetId="19"/>
      <sheetData sheetId="20"/>
      <sheetData sheetId="21"/>
      <sheetData sheetId="22"/>
      <sheetData sheetId="23"/>
      <sheetData sheetId="24"/>
      <sheetData sheetId="25"/>
      <sheetData sheetId="26"/>
      <sheetData sheetId="27"/>
      <sheetData sheetId="28">
        <row r="13">
          <cell r="H13" t="str">
            <v>①標準額</v>
          </cell>
        </row>
      </sheetData>
      <sheetData sheetId="29"/>
      <sheetData sheetId="30"/>
      <sheetData sheetId="3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処理用"/>
      <sheetName val="任意事業ア"/>
      <sheetName val="任意事業イ"/>
      <sheetName val="任意事業ウ"/>
      <sheetName val="所要額データ"/>
      <sheetName val="PullDown"/>
      <sheetName val="総合チェックシート"/>
      <sheetName val="はじめに"/>
      <sheetName val="初期設定"/>
      <sheetName val="重層的支援体制整備事業交付金"/>
      <sheetName val="所要額調書比較シート"/>
      <sheetName val="別紙様式第4_事業実績報告書"/>
      <sheetName val="様式1_地域支援事業交付金精算書"/>
      <sheetName val="【記入例】様式1_地域支援事業交付金精算書"/>
      <sheetName val="総合事業上限額算定の手引き　作成にあたって"/>
      <sheetName val="総合事業上限額算定の手引き（事前の個別協議なし）"/>
      <sheetName val="様式1別添1（事前の個別協議なし（事後協議あり））"/>
      <sheetName val="総合事業上限額算定の手引き（事前の個別協議あり）"/>
      <sheetName val="総合事業上限額算定の手引き（費用低減計画）"/>
      <sheetName val="様式1別添1_ (事前の個別協議あり)"/>
      <sheetName val="様式１別添２_地域包括支援センター運営費別表"/>
      <sheetName val="様式2_包括的支援事業（地域包括支援センターの運営）実施報告書"/>
      <sheetName val="任意事業実施報告書　作成の留意事項"/>
      <sheetName val="様式3別添_任意事業"/>
      <sheetName val="様式3_任意事業実施報告書_ア"/>
      <sheetName val="様式3_任意事業実施報告書_イ"/>
      <sheetName val="様式3_任意事業実施報告書_ウ"/>
      <sheetName val="包括的支援事業（社保充分)標準額の手引き作成にあたって"/>
      <sheetName val="包括的支援事業(社会保障充実分) 標準額の手引き"/>
      <sheetName val="様式４_包括的支援事業（社会保障充実分）実施報告書"/>
      <sheetName val="支給実績内訳書"/>
      <sheetName val="【記入例】　支給実績内訳書"/>
    </sheetNames>
    <sheetDataSet>
      <sheetData sheetId="0"/>
      <sheetData sheetId="1"/>
      <sheetData sheetId="2"/>
      <sheetData sheetId="3"/>
      <sheetData sheetId="4"/>
      <sheetData sheetId="5"/>
      <sheetData sheetId="6"/>
      <sheetData sheetId="7"/>
      <sheetData sheetId="8">
        <row r="45">
          <cell r="B45">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Meiryo UI">
      <a:majorFont>
        <a:latin typeface="Calibri Light"/>
        <a:ea typeface="Meiryo UI"/>
        <a:cs typeface=""/>
      </a:majorFont>
      <a:minorFont>
        <a:latin typeface="Calibr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19D4C-EA92-418F-BE7A-4361F433C246}">
  <sheetPr codeName="Sheet2">
    <tabColor rgb="FF0070C0"/>
  </sheetPr>
  <dimension ref="A1:BAR16"/>
  <sheetViews>
    <sheetView topLeftCell="BAI1" zoomScaleNormal="100" workbookViewId="0">
      <selection activeCell="H35" sqref="H35"/>
    </sheetView>
  </sheetViews>
  <sheetFormatPr defaultColWidth="12.6640625" defaultRowHeight="15.75" customHeight="1"/>
  <cols>
    <col min="1" max="1" width="12.77734375" style="1" bestFit="1" customWidth="1"/>
    <col min="2" max="18" width="12.6640625" style="1"/>
    <col min="19" max="21" width="12.77734375" style="1" bestFit="1" customWidth="1"/>
    <col min="22" max="24" width="12.77734375" style="1" customWidth="1"/>
    <col min="25" max="25" width="12.6640625" style="1"/>
    <col min="26" max="27" width="12.77734375" style="1" bestFit="1" customWidth="1"/>
    <col min="28" max="28" width="12.6640625" style="1"/>
    <col min="29" max="315" width="12.77734375" style="1" bestFit="1" customWidth="1"/>
    <col min="316" max="318" width="12.6640625" style="1"/>
    <col min="319" max="320" width="12.77734375" style="1" bestFit="1" customWidth="1"/>
    <col min="321" max="321" width="12.6640625" style="1"/>
    <col min="322" max="325" width="12.77734375" style="1" bestFit="1" customWidth="1"/>
    <col min="326" max="326" width="13.21875" style="1" bestFit="1" customWidth="1"/>
    <col min="327" max="327" width="12.77734375" style="1" bestFit="1" customWidth="1"/>
    <col min="328" max="331" width="13.21875" style="1" bestFit="1" customWidth="1"/>
    <col min="332" max="352" width="12.6640625" style="1"/>
    <col min="353" max="354" width="12.77734375" style="1" bestFit="1" customWidth="1"/>
    <col min="355" max="356" width="12.6640625" style="1"/>
    <col min="357" max="382" width="12.77734375" style="1" bestFit="1" customWidth="1"/>
    <col min="383" max="384" width="12.6640625" style="1"/>
    <col min="385" max="388" width="12.77734375" style="1" bestFit="1" customWidth="1"/>
    <col min="389" max="391" width="12.6640625" style="1"/>
    <col min="392" max="392" width="12.77734375" style="1" bestFit="1" customWidth="1"/>
    <col min="393" max="394" width="12.6640625" style="1"/>
    <col min="395" max="396" width="12.77734375" style="1" bestFit="1" customWidth="1"/>
    <col min="397" max="413" width="12.77734375" style="1" customWidth="1"/>
    <col min="414" max="415" width="12.6640625" style="1"/>
    <col min="416" max="416" width="12.77734375" style="1" bestFit="1" customWidth="1"/>
    <col min="417" max="417" width="12.6640625" style="1"/>
    <col min="418" max="418" width="12.77734375" style="1" bestFit="1" customWidth="1"/>
    <col min="419" max="428" width="12.77734375" style="1" customWidth="1"/>
    <col min="429" max="443" width="12.77734375" style="1" bestFit="1" customWidth="1"/>
    <col min="444" max="444" width="12.6640625" style="1"/>
    <col min="445" max="465" width="12.77734375" style="1" bestFit="1" customWidth="1"/>
    <col min="466" max="466" width="12.77734375" style="2" bestFit="1" customWidth="1"/>
    <col min="467" max="467" width="12.6640625" style="2"/>
    <col min="468" max="472" width="12.77734375" style="2" bestFit="1" customWidth="1"/>
    <col min="473" max="473" width="12.6640625" style="2"/>
    <col min="474" max="495" width="12.77734375" style="2" bestFit="1" customWidth="1"/>
    <col min="496" max="496" width="12.6640625" style="2"/>
    <col min="497" max="501" width="12.77734375" style="2" bestFit="1" customWidth="1"/>
    <col min="502" max="502" width="12.6640625" style="2"/>
    <col min="503" max="510" width="12.77734375" style="2" bestFit="1" customWidth="1"/>
    <col min="511" max="511" width="12.6640625" style="2"/>
    <col min="512" max="518" width="12.77734375" style="2" bestFit="1" customWidth="1"/>
    <col min="519" max="532" width="12.77734375" style="1" customWidth="1"/>
    <col min="533" max="541" width="12.6640625" style="1"/>
    <col min="542" max="546" width="12.77734375" style="1" bestFit="1" customWidth="1"/>
    <col min="547" max="547" width="12.6640625" style="1"/>
    <col min="548" max="553" width="12.77734375" style="1" bestFit="1" customWidth="1"/>
    <col min="554" max="554" width="12.6640625" style="1"/>
    <col min="555" max="558" width="12.77734375" style="1" bestFit="1" customWidth="1"/>
    <col min="559" max="559" width="12.6640625" style="1"/>
    <col min="560" max="561" width="12.77734375" style="1" bestFit="1" customWidth="1"/>
    <col min="562" max="562" width="12.6640625" style="1"/>
    <col min="563" max="564" width="12.77734375" style="1" bestFit="1" customWidth="1"/>
    <col min="565" max="565" width="12.6640625" style="1"/>
    <col min="566" max="567" width="12.77734375" style="1" bestFit="1" customWidth="1"/>
    <col min="568" max="568" width="12.6640625" style="1"/>
    <col min="569" max="570" width="12.77734375" style="1" bestFit="1" customWidth="1"/>
    <col min="571" max="571" width="12.6640625" style="1"/>
    <col min="572" max="573" width="12.77734375" style="1" bestFit="1" customWidth="1"/>
    <col min="574" max="574" width="12.6640625" style="1"/>
    <col min="575" max="576" width="12.77734375" style="1" bestFit="1" customWidth="1"/>
    <col min="577" max="577" width="12.6640625" style="1"/>
    <col min="578" max="579" width="12.77734375" style="1" bestFit="1" customWidth="1"/>
    <col min="580" max="580" width="12.6640625" style="1"/>
    <col min="581" max="583" width="12.77734375" style="1" bestFit="1" customWidth="1"/>
    <col min="585" max="585" width="21.33203125" customWidth="1"/>
    <col min="586" max="586" width="14.88671875" customWidth="1"/>
    <col min="587" max="588" width="11.109375" bestFit="1" customWidth="1"/>
    <col min="591" max="591" width="11.21875" bestFit="1" customWidth="1"/>
    <col min="592" max="593" width="11.109375" bestFit="1" customWidth="1"/>
    <col min="594" max="594" width="10" bestFit="1" customWidth="1"/>
    <col min="595" max="595" width="11.109375" bestFit="1" customWidth="1"/>
    <col min="597" max="597" width="10" bestFit="1" customWidth="1"/>
    <col min="600" max="600" width="23.44140625" customWidth="1"/>
    <col min="601" max="601" width="10.44140625" customWidth="1"/>
    <col min="603" max="603" width="9.5546875" customWidth="1"/>
    <col min="604" max="604" width="12.5546875" customWidth="1"/>
    <col min="605" max="605" width="10.109375" customWidth="1"/>
    <col min="609" max="609" width="9.77734375" customWidth="1"/>
    <col min="611" max="611" width="10.109375" customWidth="1"/>
    <col min="613" max="613" width="9.88671875" customWidth="1"/>
    <col min="618" max="618" width="23.109375" customWidth="1"/>
    <col min="619" max="619" width="10.6640625" customWidth="1"/>
    <col min="622" max="622" width="12.6640625" customWidth="1"/>
    <col min="627" max="627" width="8.88671875" bestFit="1" customWidth="1"/>
    <col min="632" max="632" width="8.77734375" customWidth="1"/>
    <col min="636" max="636" width="23" customWidth="1"/>
    <col min="637" max="637" width="10.6640625" customWidth="1"/>
    <col min="639" max="639" width="9.21875" customWidth="1"/>
    <col min="640" max="640" width="12.77734375" customWidth="1"/>
    <col min="645" max="645" width="8.88671875" bestFit="1" customWidth="1"/>
    <col min="654" max="654" width="23.21875" customWidth="1"/>
    <col min="655" max="655" width="10.77734375" customWidth="1"/>
    <col min="658" max="658" width="13.109375" customWidth="1"/>
    <col min="663" max="663" width="8.88671875" bestFit="1" customWidth="1"/>
    <col min="672" max="672" width="23.5546875" customWidth="1"/>
    <col min="673" max="673" width="10.5546875" customWidth="1"/>
    <col min="675" max="675" width="9.21875" customWidth="1"/>
    <col min="676" max="676" width="12.6640625" customWidth="1"/>
    <col min="681" max="681" width="8.88671875" bestFit="1" customWidth="1"/>
    <col min="690" max="690" width="23.109375" customWidth="1"/>
    <col min="691" max="691" width="10.77734375" customWidth="1"/>
    <col min="693" max="693" width="9.109375" customWidth="1"/>
    <col min="694" max="694" width="13.21875" customWidth="1"/>
    <col min="699" max="699" width="9.21875" bestFit="1" customWidth="1"/>
    <col min="708" max="708" width="22.88671875" customWidth="1"/>
    <col min="709" max="709" width="10.44140625" customWidth="1"/>
    <col min="712" max="712" width="13.44140625" customWidth="1"/>
    <col min="717" max="717" width="10.21875" bestFit="1" customWidth="1"/>
    <col min="726" max="726" width="22.88671875" customWidth="1"/>
    <col min="727" max="727" width="10.21875" customWidth="1"/>
    <col min="735" max="735" width="11.33203125" bestFit="1" customWidth="1"/>
    <col min="753" max="753" width="12.44140625" bestFit="1" customWidth="1"/>
    <col min="771" max="771" width="8.88671875" bestFit="1" customWidth="1"/>
    <col min="789" max="789" width="8.88671875" bestFit="1" customWidth="1"/>
    <col min="807" max="807" width="8.88671875" bestFit="1" customWidth="1"/>
    <col min="825" max="825" width="8.88671875" bestFit="1" customWidth="1"/>
    <col min="843" max="843" width="8.88671875" bestFit="1" customWidth="1"/>
    <col min="861" max="861" width="8.88671875" bestFit="1" customWidth="1"/>
    <col min="879" max="879" width="8.88671875" bestFit="1" customWidth="1"/>
    <col min="897" max="897" width="8.88671875" bestFit="1" customWidth="1"/>
    <col min="915" max="915" width="8.88671875" bestFit="1" customWidth="1"/>
    <col min="933" max="933" width="8.88671875" bestFit="1" customWidth="1"/>
    <col min="951" max="951" width="8.88671875" bestFit="1" customWidth="1"/>
    <col min="969" max="969" width="8.88671875" bestFit="1" customWidth="1"/>
    <col min="987" max="987" width="8.88671875" bestFit="1" customWidth="1"/>
    <col min="1005" max="1005" width="8.88671875" bestFit="1" customWidth="1"/>
    <col min="1023" max="1023" width="8.88671875" bestFit="1" customWidth="1"/>
    <col min="1041" max="1041" width="8.88671875" bestFit="1" customWidth="1"/>
    <col min="1044" max="1044" width="8.77734375" customWidth="1"/>
    <col min="1059" max="1059" width="8.88671875" bestFit="1" customWidth="1"/>
    <col min="1077" max="1077" width="8.88671875" bestFit="1" customWidth="1"/>
    <col min="1095" max="1095" width="8.88671875" bestFit="1" customWidth="1"/>
    <col min="1113" max="1113" width="8.88671875" bestFit="1" customWidth="1"/>
    <col min="1131" max="1131" width="8.88671875" bestFit="1" customWidth="1"/>
    <col min="1149" max="1149" width="8.88671875" bestFit="1" customWidth="1"/>
    <col min="1167" max="1167" width="8.88671875" bestFit="1" customWidth="1"/>
    <col min="1185" max="1185" width="8.88671875" bestFit="1" customWidth="1"/>
    <col min="1196" max="1207" width="12.77734375" style="1" bestFit="1" customWidth="1"/>
    <col min="1208" max="1208" width="12.77734375" style="1" customWidth="1"/>
    <col min="1209" max="1211" width="12.77734375" style="1" bestFit="1" customWidth="1"/>
    <col min="1212" max="1212" width="12.77734375" style="1" customWidth="1"/>
    <col min="1213" max="1222" width="12.6640625" style="1"/>
    <col min="1223" max="1223" width="12.77734375" style="1" bestFit="1" customWidth="1"/>
    <col min="1224" max="1224" width="12.6640625" style="1"/>
    <col min="1225" max="1226" width="12.77734375" style="1" bestFit="1" customWidth="1"/>
    <col min="1227" max="1227" width="12.77734375" style="1" customWidth="1"/>
    <col min="1228" max="1233" width="12.77734375" style="1" bestFit="1" customWidth="1"/>
    <col min="1234" max="1234" width="12.77734375" style="1" customWidth="1"/>
    <col min="1235" max="1244" width="12.6640625" style="1"/>
    <col min="1245" max="1253" width="12.77734375" style="1" bestFit="1" customWidth="1"/>
    <col min="1254" max="1258" width="12.6640625" style="1"/>
    <col min="1259" max="1261" width="12.77734375" style="1" bestFit="1" customWidth="1"/>
    <col min="1262" max="1262" width="12.77734375" style="1" customWidth="1"/>
    <col min="1263" max="1264" width="12.77734375" style="1" bestFit="1" customWidth="1"/>
    <col min="1265" max="1266" width="12.6640625" style="1"/>
    <col min="1267" max="1270" width="12.77734375" style="1" bestFit="1" customWidth="1"/>
    <col min="1271" max="1272" width="12.6640625" style="1"/>
    <col min="1273" max="1279" width="12.77734375" style="1" bestFit="1" customWidth="1"/>
    <col min="1280" max="1281" width="12.6640625" style="1"/>
    <col min="1282" max="1285" width="12.77734375" style="1" bestFit="1" customWidth="1"/>
    <col min="1286" max="1287" width="12.6640625" style="1"/>
    <col min="1288" max="1288" width="12.77734375" style="1" bestFit="1" customWidth="1"/>
    <col min="1289" max="1290" width="12.6640625" style="1"/>
    <col min="1291" max="1294" width="12.77734375" style="1" bestFit="1" customWidth="1"/>
    <col min="1295" max="1296" width="12.6640625" style="1"/>
    <col min="1297" max="1303" width="12.77734375" style="1" bestFit="1" customWidth="1"/>
    <col min="1304" max="1305" width="12.6640625" style="1"/>
    <col min="1306" max="1306" width="12.77734375" style="1" bestFit="1" customWidth="1"/>
    <col min="1307" max="1308" width="12.6640625" style="1"/>
    <col min="1309" max="1312" width="12.77734375" style="1" bestFit="1" customWidth="1"/>
    <col min="1313" max="1314" width="12.6640625" style="1"/>
    <col min="1315" max="1324" width="12.77734375" style="1" bestFit="1" customWidth="1"/>
    <col min="1325" max="1326" width="12.6640625" style="1"/>
    <col min="1327" max="1327" width="12.77734375" style="1" bestFit="1" customWidth="1"/>
    <col min="1328" max="1329" width="12.6640625" style="1"/>
    <col min="1330" max="1334" width="12.77734375" style="1" bestFit="1" customWidth="1"/>
    <col min="1335" max="1348" width="12.77734375" style="1" customWidth="1"/>
    <col min="1349" max="1349" width="12.77734375" style="2" customWidth="1"/>
    <col min="1350" max="1359" width="12.77734375" style="1" customWidth="1"/>
    <col min="1360" max="1360" width="12.6640625" style="1"/>
    <col min="1361" max="1390" width="12.77734375" style="1" customWidth="1"/>
    <col min="1391" max="1393" width="12.6640625" style="1"/>
    <col min="1394" max="1396" width="12.6640625" style="2"/>
    <col min="1397" max="16384" width="12.6640625" style="1"/>
  </cols>
  <sheetData>
    <row r="1" spans="1:1396"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2"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2"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v>40</v>
      </c>
      <c r="VT1" s="1" t="s">
        <v>590</v>
      </c>
      <c r="VU1" s="1" t="s">
        <v>591</v>
      </c>
      <c r="VV1" s="1" t="s">
        <v>592</v>
      </c>
      <c r="VW1" s="1" t="s">
        <v>593</v>
      </c>
      <c r="VX1" s="1" t="s">
        <v>594</v>
      </c>
      <c r="VY1" s="1" t="s">
        <v>595</v>
      </c>
      <c r="VZ1" s="1" t="s">
        <v>596</v>
      </c>
      <c r="WA1" s="1" t="s">
        <v>597</v>
      </c>
      <c r="WB1" s="1" t="s">
        <v>598</v>
      </c>
      <c r="WC1" s="1" t="s">
        <v>599</v>
      </c>
      <c r="WD1" s="1" t="s">
        <v>600</v>
      </c>
      <c r="WE1" s="1" t="s">
        <v>601</v>
      </c>
      <c r="WF1" s="1" t="s">
        <v>602</v>
      </c>
      <c r="WG1" s="1" t="s">
        <v>603</v>
      </c>
      <c r="WH1" s="1" t="s">
        <v>604</v>
      </c>
      <c r="WI1" s="1" t="s">
        <v>605</v>
      </c>
      <c r="WJ1" s="1" t="s">
        <v>606</v>
      </c>
      <c r="WK1" s="1">
        <v>400</v>
      </c>
      <c r="WL1" s="1" t="s">
        <v>607</v>
      </c>
      <c r="WM1" s="1" t="s">
        <v>608</v>
      </c>
      <c r="WN1" s="1" t="s">
        <v>609</v>
      </c>
      <c r="WO1" s="1" t="s">
        <v>610</v>
      </c>
      <c r="WP1" s="1" t="s">
        <v>611</v>
      </c>
      <c r="WQ1" s="1" t="s">
        <v>612</v>
      </c>
      <c r="WR1" s="1" t="s">
        <v>613</v>
      </c>
      <c r="WS1" s="1" t="s">
        <v>614</v>
      </c>
      <c r="WT1" s="1" t="s">
        <v>615</v>
      </c>
      <c r="WU1" s="1" t="s">
        <v>616</v>
      </c>
      <c r="WV1" s="1" t="s">
        <v>617</v>
      </c>
      <c r="WW1" s="1" t="s">
        <v>618</v>
      </c>
      <c r="WX1" s="1" t="s">
        <v>619</v>
      </c>
      <c r="WY1" s="1" t="s">
        <v>620</v>
      </c>
      <c r="WZ1" s="1" t="s">
        <v>621</v>
      </c>
      <c r="XA1" s="1" t="s">
        <v>622</v>
      </c>
      <c r="XB1" s="1" t="s">
        <v>623</v>
      </c>
      <c r="XC1" s="1">
        <v>4000</v>
      </c>
      <c r="XD1" s="1" t="s">
        <v>624</v>
      </c>
      <c r="XE1" s="1" t="s">
        <v>625</v>
      </c>
      <c r="XF1" s="1" t="s">
        <v>626</v>
      </c>
      <c r="XG1" s="1" t="s">
        <v>627</v>
      </c>
      <c r="XH1" s="1" t="s">
        <v>628</v>
      </c>
      <c r="XI1" s="1" t="s">
        <v>629</v>
      </c>
      <c r="XJ1" s="1" t="s">
        <v>630</v>
      </c>
      <c r="XK1" s="1" t="s">
        <v>631</v>
      </c>
      <c r="XL1" s="1" t="s">
        <v>632</v>
      </c>
      <c r="XM1" s="1" t="s">
        <v>633</v>
      </c>
      <c r="XN1" s="1" t="s">
        <v>634</v>
      </c>
      <c r="XO1" s="1" t="s">
        <v>635</v>
      </c>
      <c r="XP1" s="1" t="s">
        <v>636</v>
      </c>
      <c r="XQ1" s="1" t="s">
        <v>637</v>
      </c>
      <c r="XR1" s="1" t="s">
        <v>638</v>
      </c>
      <c r="XS1" s="1" t="s">
        <v>639</v>
      </c>
      <c r="XT1" s="1" t="s">
        <v>640</v>
      </c>
      <c r="XU1" s="1">
        <v>40000</v>
      </c>
      <c r="XV1" s="1" t="s">
        <v>641</v>
      </c>
      <c r="XW1" s="1" t="s">
        <v>642</v>
      </c>
      <c r="XX1" s="1" t="s">
        <v>643</v>
      </c>
      <c r="XY1" s="1" t="s">
        <v>644</v>
      </c>
      <c r="XZ1" s="1" t="s">
        <v>645</v>
      </c>
      <c r="YA1" s="1" t="s">
        <v>646</v>
      </c>
      <c r="YB1" s="1" t="s">
        <v>647</v>
      </c>
      <c r="YC1" s="1" t="s">
        <v>648</v>
      </c>
      <c r="YD1" s="1" t="s">
        <v>649</v>
      </c>
      <c r="YE1" s="1" t="s">
        <v>650</v>
      </c>
      <c r="YF1" s="1" t="s">
        <v>651</v>
      </c>
      <c r="YG1" s="1" t="s">
        <v>652</v>
      </c>
      <c r="YH1" s="1" t="s">
        <v>653</v>
      </c>
      <c r="YI1" s="1" t="s">
        <v>654</v>
      </c>
      <c r="YJ1" s="1" t="s">
        <v>655</v>
      </c>
      <c r="YK1" s="1" t="s">
        <v>656</v>
      </c>
      <c r="YL1" s="1" t="s">
        <v>657</v>
      </c>
      <c r="YM1" s="1">
        <v>400000</v>
      </c>
      <c r="YN1" s="1" t="s">
        <v>658</v>
      </c>
      <c r="YO1" s="1" t="s">
        <v>659</v>
      </c>
      <c r="YP1" s="1" t="s">
        <v>660</v>
      </c>
      <c r="YQ1" s="1" t="s">
        <v>661</v>
      </c>
      <c r="YR1" s="1" t="s">
        <v>662</v>
      </c>
      <c r="YS1" s="1" t="s">
        <v>663</v>
      </c>
      <c r="YT1" s="1" t="s">
        <v>664</v>
      </c>
      <c r="YU1" s="1" t="s">
        <v>665</v>
      </c>
      <c r="YV1" s="1" t="s">
        <v>666</v>
      </c>
      <c r="YW1" s="1" t="s">
        <v>667</v>
      </c>
      <c r="YX1" s="1" t="s">
        <v>668</v>
      </c>
      <c r="YY1" s="1" t="s">
        <v>669</v>
      </c>
      <c r="YZ1" s="1" t="s">
        <v>670</v>
      </c>
      <c r="ZA1" s="1" t="s">
        <v>671</v>
      </c>
      <c r="ZB1" s="1" t="s">
        <v>672</v>
      </c>
      <c r="ZC1" s="1" t="s">
        <v>673</v>
      </c>
      <c r="ZD1" s="1" t="s">
        <v>674</v>
      </c>
      <c r="ZE1" s="1">
        <v>4000000</v>
      </c>
      <c r="ZF1" s="1" t="s">
        <v>675</v>
      </c>
      <c r="ZG1" s="1" t="s">
        <v>676</v>
      </c>
      <c r="ZH1" s="1" t="s">
        <v>677</v>
      </c>
      <c r="ZI1" s="1" t="s">
        <v>678</v>
      </c>
      <c r="ZJ1" s="1" t="s">
        <v>679</v>
      </c>
      <c r="ZK1" s="1" t="s">
        <v>680</v>
      </c>
      <c r="ZL1" s="1" t="s">
        <v>681</v>
      </c>
      <c r="ZM1" s="1" t="s">
        <v>682</v>
      </c>
      <c r="ZN1" s="1" t="s">
        <v>683</v>
      </c>
      <c r="ZO1" s="1" t="s">
        <v>684</v>
      </c>
      <c r="ZP1" s="1" t="s">
        <v>685</v>
      </c>
      <c r="ZQ1" s="1" t="s">
        <v>686</v>
      </c>
      <c r="ZR1" s="1" t="s">
        <v>687</v>
      </c>
      <c r="ZS1" s="1" t="s">
        <v>688</v>
      </c>
      <c r="ZT1" s="1" t="s">
        <v>689</v>
      </c>
      <c r="ZU1" s="1" t="s">
        <v>690</v>
      </c>
      <c r="ZV1" s="1" t="s">
        <v>691</v>
      </c>
      <c r="ZW1" s="1">
        <v>40000000</v>
      </c>
      <c r="ZX1" s="1" t="s">
        <v>692</v>
      </c>
      <c r="ZY1" s="1" t="s">
        <v>693</v>
      </c>
      <c r="ZZ1" s="1" t="s">
        <v>694</v>
      </c>
      <c r="AAA1" s="1" t="s">
        <v>695</v>
      </c>
      <c r="AAB1" s="1" t="s">
        <v>696</v>
      </c>
      <c r="AAC1" s="1" t="s">
        <v>697</v>
      </c>
      <c r="AAD1" s="1" t="s">
        <v>698</v>
      </c>
      <c r="AAE1" s="1" t="s">
        <v>699</v>
      </c>
      <c r="AAF1" s="1" t="s">
        <v>700</v>
      </c>
      <c r="AAG1" s="1" t="s">
        <v>701</v>
      </c>
      <c r="AAH1" s="1" t="s">
        <v>702</v>
      </c>
      <c r="AAI1" s="1" t="s">
        <v>703</v>
      </c>
      <c r="AAJ1" s="1" t="s">
        <v>704</v>
      </c>
      <c r="AAK1" s="1" t="s">
        <v>705</v>
      </c>
      <c r="AAL1" s="1" t="s">
        <v>706</v>
      </c>
      <c r="AAM1" s="1" t="s">
        <v>707</v>
      </c>
      <c r="AAN1" s="1" t="s">
        <v>708</v>
      </c>
      <c r="AAO1" s="1">
        <v>400000000</v>
      </c>
      <c r="AAP1" s="1" t="s">
        <v>709</v>
      </c>
      <c r="AAQ1" s="1" t="s">
        <v>710</v>
      </c>
      <c r="AAR1" s="1" t="s">
        <v>711</v>
      </c>
      <c r="AAS1" s="1" t="s">
        <v>712</v>
      </c>
      <c r="AAT1" s="1" t="s">
        <v>713</v>
      </c>
      <c r="AAU1" s="1" t="s">
        <v>714</v>
      </c>
      <c r="AAV1" s="1" t="s">
        <v>715</v>
      </c>
      <c r="AAW1" s="1" t="s">
        <v>716</v>
      </c>
      <c r="AAX1" s="1" t="s">
        <v>717</v>
      </c>
      <c r="AAY1" s="1" t="s">
        <v>718</v>
      </c>
      <c r="AAZ1" s="1" t="s">
        <v>719</v>
      </c>
      <c r="ABA1" s="1" t="s">
        <v>720</v>
      </c>
      <c r="ABB1" s="1" t="s">
        <v>721</v>
      </c>
      <c r="ABC1" s="1" t="s">
        <v>722</v>
      </c>
      <c r="ABD1" s="1" t="s">
        <v>723</v>
      </c>
      <c r="ABE1" s="1" t="s">
        <v>724</v>
      </c>
      <c r="ABF1" s="1" t="s">
        <v>725</v>
      </c>
      <c r="ABG1" s="1">
        <v>4000000000</v>
      </c>
      <c r="ABH1" s="1" t="s">
        <v>726</v>
      </c>
      <c r="ABI1" s="1" t="s">
        <v>727</v>
      </c>
      <c r="ABJ1" s="1" t="s">
        <v>728</v>
      </c>
      <c r="ABK1" s="1" t="s">
        <v>729</v>
      </c>
      <c r="ABL1" s="1" t="s">
        <v>730</v>
      </c>
      <c r="ABM1" s="1" t="s">
        <v>731</v>
      </c>
      <c r="ABN1" s="1" t="s">
        <v>732</v>
      </c>
      <c r="ABO1" s="1" t="s">
        <v>733</v>
      </c>
      <c r="ABP1" s="1" t="s">
        <v>734</v>
      </c>
      <c r="ABQ1" s="1" t="s">
        <v>735</v>
      </c>
      <c r="ABR1" s="1" t="s">
        <v>736</v>
      </c>
      <c r="ABS1" s="1" t="s">
        <v>737</v>
      </c>
      <c r="ABT1" s="1" t="s">
        <v>738</v>
      </c>
      <c r="ABU1" s="1" t="s">
        <v>739</v>
      </c>
      <c r="ABV1" s="1" t="s">
        <v>740</v>
      </c>
      <c r="ABW1" s="1" t="s">
        <v>741</v>
      </c>
      <c r="ABX1" s="1" t="s">
        <v>742</v>
      </c>
      <c r="ABY1" s="1">
        <v>40000000000</v>
      </c>
      <c r="ABZ1" s="1" t="s">
        <v>743</v>
      </c>
      <c r="ACA1" s="1" t="s">
        <v>744</v>
      </c>
      <c r="ACB1" s="1" t="s">
        <v>745</v>
      </c>
      <c r="ACC1" s="1" t="s">
        <v>746</v>
      </c>
      <c r="ACD1" s="1" t="s">
        <v>747</v>
      </c>
      <c r="ACE1" s="1" t="s">
        <v>748</v>
      </c>
      <c r="ACF1" s="1" t="s">
        <v>749</v>
      </c>
      <c r="ACG1" s="1" t="s">
        <v>750</v>
      </c>
      <c r="ACH1" s="1" t="s">
        <v>751</v>
      </c>
      <c r="ACI1" s="1" t="s">
        <v>752</v>
      </c>
      <c r="ACJ1" s="1" t="s">
        <v>753</v>
      </c>
      <c r="ACK1" s="1" t="s">
        <v>754</v>
      </c>
      <c r="ACL1" s="1" t="s">
        <v>755</v>
      </c>
      <c r="ACM1" s="1" t="s">
        <v>756</v>
      </c>
      <c r="ACN1" s="1" t="s">
        <v>757</v>
      </c>
      <c r="ACO1" s="1" t="s">
        <v>758</v>
      </c>
      <c r="ACP1" s="1" t="s">
        <v>759</v>
      </c>
      <c r="ACQ1" s="1">
        <v>400000000000</v>
      </c>
      <c r="ACR1" s="1" t="s">
        <v>760</v>
      </c>
      <c r="ACS1" s="1" t="s">
        <v>761</v>
      </c>
      <c r="ACT1" s="1" t="s">
        <v>762</v>
      </c>
      <c r="ACU1" s="1" t="s">
        <v>763</v>
      </c>
      <c r="ACV1" s="1" t="s">
        <v>764</v>
      </c>
      <c r="ACW1" s="1" t="s">
        <v>765</v>
      </c>
      <c r="ACX1" s="1" t="s">
        <v>766</v>
      </c>
      <c r="ACY1" s="1" t="s">
        <v>767</v>
      </c>
      <c r="ACZ1" s="1" t="s">
        <v>768</v>
      </c>
      <c r="ADA1" s="1" t="s">
        <v>769</v>
      </c>
      <c r="ADB1" s="1" t="s">
        <v>770</v>
      </c>
      <c r="ADC1" s="1" t="s">
        <v>771</v>
      </c>
      <c r="ADD1" s="1" t="s">
        <v>772</v>
      </c>
      <c r="ADE1" s="1" t="s">
        <v>773</v>
      </c>
      <c r="ADF1" s="1" t="s">
        <v>774</v>
      </c>
      <c r="ADG1" s="1" t="s">
        <v>775</v>
      </c>
      <c r="ADH1" s="1" t="s">
        <v>776</v>
      </c>
      <c r="ADI1" s="1">
        <v>4000000000000</v>
      </c>
      <c r="ADJ1" s="1" t="s">
        <v>777</v>
      </c>
      <c r="ADK1" s="1" t="s">
        <v>778</v>
      </c>
      <c r="ADL1" s="1" t="s">
        <v>779</v>
      </c>
      <c r="ADM1" s="1" t="s">
        <v>780</v>
      </c>
      <c r="ADN1" s="1" t="s">
        <v>781</v>
      </c>
      <c r="ADO1" s="1" t="s">
        <v>782</v>
      </c>
      <c r="ADP1" s="1" t="s">
        <v>783</v>
      </c>
      <c r="ADQ1" s="1" t="s">
        <v>784</v>
      </c>
      <c r="ADR1" s="1" t="s">
        <v>785</v>
      </c>
      <c r="ADS1" s="1" t="s">
        <v>786</v>
      </c>
      <c r="ADT1" s="1" t="s">
        <v>787</v>
      </c>
      <c r="ADU1" s="1" t="s">
        <v>788</v>
      </c>
      <c r="ADV1" s="1" t="s">
        <v>789</v>
      </c>
      <c r="ADW1" s="1" t="s">
        <v>790</v>
      </c>
      <c r="ADX1" s="1" t="s">
        <v>791</v>
      </c>
      <c r="ADY1" s="1" t="s">
        <v>792</v>
      </c>
      <c r="ADZ1" s="1" t="s">
        <v>793</v>
      </c>
      <c r="AEA1" s="1">
        <v>40000000000000</v>
      </c>
      <c r="AEB1" s="1" t="s">
        <v>794</v>
      </c>
      <c r="AEC1" s="1" t="s">
        <v>795</v>
      </c>
      <c r="AED1" s="1" t="s">
        <v>796</v>
      </c>
      <c r="AEE1" s="1" t="s">
        <v>797</v>
      </c>
      <c r="AEF1" s="1" t="s">
        <v>798</v>
      </c>
      <c r="AEG1" s="1" t="s">
        <v>799</v>
      </c>
      <c r="AEH1" s="1" t="s">
        <v>800</v>
      </c>
      <c r="AEI1" s="1" t="s">
        <v>801</v>
      </c>
      <c r="AEJ1" s="1" t="s">
        <v>802</v>
      </c>
      <c r="AEK1" s="1" t="s">
        <v>803</v>
      </c>
      <c r="AEL1" s="1" t="s">
        <v>804</v>
      </c>
      <c r="AEM1" s="1" t="s">
        <v>805</v>
      </c>
      <c r="AEN1" s="1" t="s">
        <v>806</v>
      </c>
      <c r="AEO1" s="1" t="s">
        <v>807</v>
      </c>
      <c r="AEP1" s="1" t="s">
        <v>808</v>
      </c>
      <c r="AEQ1" s="1" t="s">
        <v>809</v>
      </c>
      <c r="AER1" s="1" t="s">
        <v>810</v>
      </c>
      <c r="AES1" s="1">
        <v>400000000000000</v>
      </c>
      <c r="AET1" s="1" t="s">
        <v>811</v>
      </c>
      <c r="AEU1" s="1" t="s">
        <v>812</v>
      </c>
      <c r="AEV1" s="1" t="s">
        <v>813</v>
      </c>
      <c r="AEW1" s="1" t="s">
        <v>814</v>
      </c>
      <c r="AEX1" s="1" t="s">
        <v>815</v>
      </c>
      <c r="AEY1" s="1" t="s">
        <v>816</v>
      </c>
      <c r="AEZ1" s="1" t="s">
        <v>817</v>
      </c>
      <c r="AFA1" s="1" t="s">
        <v>818</v>
      </c>
      <c r="AFB1" s="1" t="s">
        <v>819</v>
      </c>
      <c r="AFC1" s="1" t="s">
        <v>820</v>
      </c>
      <c r="AFD1" s="1" t="s">
        <v>821</v>
      </c>
      <c r="AFE1" s="1" t="s">
        <v>822</v>
      </c>
      <c r="AFF1" s="1" t="s">
        <v>823</v>
      </c>
      <c r="AFG1" s="1" t="s">
        <v>824</v>
      </c>
      <c r="AFH1" s="1" t="s">
        <v>825</v>
      </c>
      <c r="AFI1" s="1" t="s">
        <v>826</v>
      </c>
      <c r="AFJ1" s="1" t="s">
        <v>827</v>
      </c>
      <c r="AFK1" s="1">
        <v>4000000000000000</v>
      </c>
      <c r="AFL1" s="1" t="s">
        <v>828</v>
      </c>
      <c r="AFM1" s="1" t="s">
        <v>829</v>
      </c>
      <c r="AFN1" s="1" t="s">
        <v>830</v>
      </c>
      <c r="AFO1" s="1" t="s">
        <v>831</v>
      </c>
      <c r="AFP1" s="1" t="s">
        <v>832</v>
      </c>
      <c r="AFQ1" s="1" t="s">
        <v>833</v>
      </c>
      <c r="AFR1" s="1" t="s">
        <v>834</v>
      </c>
      <c r="AFS1" s="1" t="s">
        <v>835</v>
      </c>
      <c r="AFT1" s="1" t="s">
        <v>836</v>
      </c>
      <c r="AFU1" s="1" t="s">
        <v>837</v>
      </c>
      <c r="AFV1" s="1" t="s">
        <v>838</v>
      </c>
      <c r="AFW1" s="1" t="s">
        <v>839</v>
      </c>
      <c r="AFX1" s="1" t="s">
        <v>840</v>
      </c>
      <c r="AFY1" s="1" t="s">
        <v>841</v>
      </c>
      <c r="AFZ1" s="1" t="s">
        <v>842</v>
      </c>
      <c r="AGA1" s="1" t="s">
        <v>843</v>
      </c>
      <c r="AGB1" s="1" t="s">
        <v>844</v>
      </c>
      <c r="AGC1" s="1">
        <v>4E+16</v>
      </c>
      <c r="AGD1" s="1" t="s">
        <v>845</v>
      </c>
      <c r="AGE1" s="1" t="s">
        <v>846</v>
      </c>
      <c r="AGF1" s="1" t="s">
        <v>847</v>
      </c>
      <c r="AGG1" s="1" t="s">
        <v>848</v>
      </c>
      <c r="AGH1" s="1" t="s">
        <v>849</v>
      </c>
      <c r="AGI1" s="1" t="s">
        <v>850</v>
      </c>
      <c r="AGJ1" s="1" t="s">
        <v>851</v>
      </c>
      <c r="AGK1" s="1" t="s">
        <v>852</v>
      </c>
      <c r="AGL1" s="1" t="s">
        <v>853</v>
      </c>
      <c r="AGM1" s="1" t="s">
        <v>854</v>
      </c>
      <c r="AGN1" s="1" t="s">
        <v>855</v>
      </c>
      <c r="AGO1" s="1" t="s">
        <v>856</v>
      </c>
      <c r="AGP1" s="1" t="s">
        <v>857</v>
      </c>
      <c r="AGQ1" s="1" t="s">
        <v>858</v>
      </c>
      <c r="AGR1" s="1" t="s">
        <v>859</v>
      </c>
      <c r="AGS1" s="1" t="s">
        <v>860</v>
      </c>
      <c r="AGT1" s="1" t="s">
        <v>861</v>
      </c>
      <c r="AGU1" s="1">
        <v>4E+17</v>
      </c>
      <c r="AGV1" s="1" t="s">
        <v>862</v>
      </c>
      <c r="AGW1" s="1" t="s">
        <v>863</v>
      </c>
      <c r="AGX1" s="1" t="s">
        <v>864</v>
      </c>
      <c r="AGY1" s="1" t="s">
        <v>865</v>
      </c>
      <c r="AGZ1" s="1" t="s">
        <v>866</v>
      </c>
      <c r="AHA1" s="1" t="s">
        <v>867</v>
      </c>
      <c r="AHB1" s="1" t="s">
        <v>868</v>
      </c>
      <c r="AHC1" s="1" t="s">
        <v>869</v>
      </c>
      <c r="AHD1" s="1" t="s">
        <v>870</v>
      </c>
      <c r="AHE1" s="1" t="s">
        <v>871</v>
      </c>
      <c r="AHF1" s="1" t="s">
        <v>872</v>
      </c>
      <c r="AHG1" s="1" t="s">
        <v>873</v>
      </c>
      <c r="AHH1" s="1" t="s">
        <v>874</v>
      </c>
      <c r="AHI1" s="1" t="s">
        <v>875</v>
      </c>
      <c r="AHJ1" s="1" t="s">
        <v>876</v>
      </c>
      <c r="AHK1" s="1" t="s">
        <v>877</v>
      </c>
      <c r="AHL1" s="1" t="s">
        <v>878</v>
      </c>
      <c r="AHM1" s="1">
        <v>4E+18</v>
      </c>
      <c r="AHN1" s="1" t="s">
        <v>879</v>
      </c>
      <c r="AHO1" s="1" t="s">
        <v>880</v>
      </c>
      <c r="AHP1" s="1" t="s">
        <v>881</v>
      </c>
      <c r="AHQ1" s="1" t="s">
        <v>882</v>
      </c>
      <c r="AHR1" s="1" t="s">
        <v>883</v>
      </c>
      <c r="AHS1" s="1" t="s">
        <v>884</v>
      </c>
      <c r="AHT1" s="1" t="s">
        <v>885</v>
      </c>
      <c r="AHU1" s="1" t="s">
        <v>886</v>
      </c>
      <c r="AHV1" s="1" t="s">
        <v>887</v>
      </c>
      <c r="AHW1" s="1" t="s">
        <v>888</v>
      </c>
      <c r="AHX1" s="1" t="s">
        <v>889</v>
      </c>
      <c r="AHY1" s="1" t="s">
        <v>890</v>
      </c>
      <c r="AHZ1" s="1" t="s">
        <v>891</v>
      </c>
      <c r="AIA1" s="1" t="s">
        <v>892</v>
      </c>
      <c r="AIB1" s="1" t="s">
        <v>893</v>
      </c>
      <c r="AIC1" s="1" t="s">
        <v>894</v>
      </c>
      <c r="AID1" s="1" t="s">
        <v>895</v>
      </c>
      <c r="AIE1" s="1">
        <v>4E+19</v>
      </c>
      <c r="AIF1" s="1" t="s">
        <v>896</v>
      </c>
      <c r="AIG1" s="1" t="s">
        <v>897</v>
      </c>
      <c r="AIH1" s="1" t="s">
        <v>898</v>
      </c>
      <c r="AII1" s="1" t="s">
        <v>899</v>
      </c>
      <c r="AIJ1" s="1" t="s">
        <v>900</v>
      </c>
      <c r="AIK1" s="1" t="s">
        <v>901</v>
      </c>
      <c r="AIL1" s="1" t="s">
        <v>902</v>
      </c>
      <c r="AIM1" s="1" t="s">
        <v>903</v>
      </c>
      <c r="AIN1" s="1" t="s">
        <v>904</v>
      </c>
      <c r="AIO1" s="1" t="s">
        <v>905</v>
      </c>
      <c r="AIP1" s="1" t="s">
        <v>906</v>
      </c>
      <c r="AIQ1" s="1" t="s">
        <v>907</v>
      </c>
      <c r="AIR1" s="1" t="s">
        <v>908</v>
      </c>
      <c r="AIS1" s="1" t="s">
        <v>909</v>
      </c>
      <c r="AIT1" s="1" t="s">
        <v>910</v>
      </c>
      <c r="AIU1" s="1" t="s">
        <v>911</v>
      </c>
      <c r="AIV1" s="1" t="s">
        <v>912</v>
      </c>
      <c r="AIW1" s="1">
        <v>4E+20</v>
      </c>
      <c r="AIX1" s="1" t="s">
        <v>913</v>
      </c>
      <c r="AIY1" s="1" t="s">
        <v>914</v>
      </c>
      <c r="AIZ1" s="1" t="s">
        <v>915</v>
      </c>
      <c r="AJA1" s="1" t="s">
        <v>916</v>
      </c>
      <c r="AJB1" s="1" t="s">
        <v>917</v>
      </c>
      <c r="AJC1" s="1" t="s">
        <v>918</v>
      </c>
      <c r="AJD1" s="1" t="s">
        <v>919</v>
      </c>
      <c r="AJE1" s="1" t="s">
        <v>920</v>
      </c>
      <c r="AJF1" s="1" t="s">
        <v>921</v>
      </c>
      <c r="AJG1" s="1" t="s">
        <v>922</v>
      </c>
      <c r="AJH1" s="1" t="s">
        <v>923</v>
      </c>
      <c r="AJI1" s="1" t="s">
        <v>924</v>
      </c>
      <c r="AJJ1" s="1" t="s">
        <v>925</v>
      </c>
      <c r="AJK1" s="1" t="s">
        <v>926</v>
      </c>
      <c r="AJL1" s="1" t="s">
        <v>927</v>
      </c>
      <c r="AJM1" s="1" t="s">
        <v>928</v>
      </c>
      <c r="AJN1" s="1" t="s">
        <v>929</v>
      </c>
      <c r="AJO1" s="1">
        <v>4E+21</v>
      </c>
      <c r="AJP1" s="1" t="s">
        <v>930</v>
      </c>
      <c r="AJQ1" s="1" t="s">
        <v>931</v>
      </c>
      <c r="AJR1" s="1" t="s">
        <v>932</v>
      </c>
      <c r="AJS1" s="1" t="s">
        <v>933</v>
      </c>
      <c r="AJT1" s="1" t="s">
        <v>934</v>
      </c>
      <c r="AJU1" s="1" t="s">
        <v>935</v>
      </c>
      <c r="AJV1" s="1" t="s">
        <v>936</v>
      </c>
      <c r="AJW1" s="1" t="s">
        <v>937</v>
      </c>
      <c r="AJX1" s="1" t="s">
        <v>938</v>
      </c>
      <c r="AJY1" s="1" t="s">
        <v>939</v>
      </c>
      <c r="AJZ1" s="1" t="s">
        <v>940</v>
      </c>
      <c r="AKA1" s="1" t="s">
        <v>941</v>
      </c>
      <c r="AKB1" s="1" t="s">
        <v>942</v>
      </c>
      <c r="AKC1" s="1" t="s">
        <v>943</v>
      </c>
      <c r="AKD1" s="1" t="s">
        <v>944</v>
      </c>
      <c r="AKE1" s="1" t="s">
        <v>945</v>
      </c>
      <c r="AKF1" s="1" t="s">
        <v>946</v>
      </c>
      <c r="AKG1" s="1">
        <v>4E+22</v>
      </c>
      <c r="AKH1" s="1" t="s">
        <v>947</v>
      </c>
      <c r="AKI1" s="1" t="s">
        <v>948</v>
      </c>
      <c r="AKJ1" s="1" t="s">
        <v>949</v>
      </c>
      <c r="AKK1" s="1" t="s">
        <v>950</v>
      </c>
      <c r="AKL1" s="1" t="s">
        <v>951</v>
      </c>
      <c r="AKM1" s="1" t="s">
        <v>952</v>
      </c>
      <c r="AKN1" s="1" t="s">
        <v>953</v>
      </c>
      <c r="AKO1" s="1" t="s">
        <v>954</v>
      </c>
      <c r="AKP1" s="1" t="s">
        <v>955</v>
      </c>
      <c r="AKQ1" s="1" t="s">
        <v>956</v>
      </c>
      <c r="AKR1" s="1" t="s">
        <v>957</v>
      </c>
      <c r="AKS1" s="1" t="s">
        <v>958</v>
      </c>
      <c r="AKT1" s="1" t="s">
        <v>959</v>
      </c>
      <c r="AKU1" s="1" t="s">
        <v>960</v>
      </c>
      <c r="AKV1" s="1" t="s">
        <v>961</v>
      </c>
      <c r="AKW1" s="1" t="s">
        <v>962</v>
      </c>
      <c r="AKX1" s="1" t="s">
        <v>963</v>
      </c>
      <c r="AKY1" s="1">
        <v>3.9999999999999997E+23</v>
      </c>
      <c r="AKZ1" s="1" t="s">
        <v>964</v>
      </c>
      <c r="ALA1" s="1" t="s">
        <v>965</v>
      </c>
      <c r="ALB1" s="1" t="s">
        <v>966</v>
      </c>
      <c r="ALC1" s="1" t="s">
        <v>967</v>
      </c>
      <c r="ALD1" s="1" t="s">
        <v>968</v>
      </c>
      <c r="ALE1" s="1" t="s">
        <v>969</v>
      </c>
      <c r="ALF1" s="1" t="s">
        <v>970</v>
      </c>
      <c r="ALG1" s="1" t="s">
        <v>971</v>
      </c>
      <c r="ALH1" s="1" t="s">
        <v>972</v>
      </c>
      <c r="ALI1" s="1" t="s">
        <v>973</v>
      </c>
      <c r="ALJ1" s="1" t="s">
        <v>974</v>
      </c>
      <c r="ALK1" s="1" t="s">
        <v>975</v>
      </c>
      <c r="ALL1" s="1" t="s">
        <v>976</v>
      </c>
      <c r="ALM1" s="1" t="s">
        <v>977</v>
      </c>
      <c r="ALN1" s="1" t="s">
        <v>978</v>
      </c>
      <c r="ALO1" s="1" t="s">
        <v>979</v>
      </c>
      <c r="ALP1" s="1" t="s">
        <v>980</v>
      </c>
      <c r="ALQ1" s="1">
        <v>3.9999999999999999E+24</v>
      </c>
      <c r="ALR1" s="1" t="s">
        <v>981</v>
      </c>
      <c r="ALS1" s="1" t="s">
        <v>982</v>
      </c>
      <c r="ALT1" s="1" t="s">
        <v>983</v>
      </c>
      <c r="ALU1" s="1" t="s">
        <v>984</v>
      </c>
      <c r="ALV1" s="1" t="s">
        <v>985</v>
      </c>
      <c r="ALW1" s="1" t="s">
        <v>986</v>
      </c>
      <c r="ALX1" s="1" t="s">
        <v>987</v>
      </c>
      <c r="ALY1" s="1" t="s">
        <v>988</v>
      </c>
      <c r="ALZ1" s="1" t="s">
        <v>989</v>
      </c>
      <c r="AMA1" s="1" t="s">
        <v>990</v>
      </c>
      <c r="AMB1" s="1" t="s">
        <v>991</v>
      </c>
      <c r="AMC1" s="1" t="s">
        <v>992</v>
      </c>
      <c r="AMD1" s="1" t="s">
        <v>993</v>
      </c>
      <c r="AME1" s="1" t="s">
        <v>994</v>
      </c>
      <c r="AMF1" s="1" t="s">
        <v>995</v>
      </c>
      <c r="AMG1" s="1" t="s">
        <v>996</v>
      </c>
      <c r="AMH1" s="1" t="s">
        <v>997</v>
      </c>
      <c r="AMI1" s="1">
        <v>4.0000000000000004E+25</v>
      </c>
      <c r="AMJ1" s="1" t="s">
        <v>998</v>
      </c>
      <c r="AMK1" s="1" t="s">
        <v>999</v>
      </c>
      <c r="AML1" s="1" t="s">
        <v>1000</v>
      </c>
      <c r="AMM1" s="1" t="s">
        <v>1001</v>
      </c>
      <c r="AMN1" s="1" t="s">
        <v>1002</v>
      </c>
      <c r="AMO1" s="1" t="s">
        <v>1003</v>
      </c>
      <c r="AMP1" s="1" t="s">
        <v>1004</v>
      </c>
      <c r="AMQ1" s="1" t="s">
        <v>1005</v>
      </c>
      <c r="AMR1" s="1" t="s">
        <v>1006</v>
      </c>
      <c r="AMS1" s="1" t="s">
        <v>1007</v>
      </c>
      <c r="AMT1" s="1" t="s">
        <v>1008</v>
      </c>
      <c r="AMU1" s="1" t="s">
        <v>1009</v>
      </c>
      <c r="AMV1" s="1" t="s">
        <v>1010</v>
      </c>
      <c r="AMW1" s="1" t="s">
        <v>1011</v>
      </c>
      <c r="AMX1" s="1" t="s">
        <v>1012</v>
      </c>
      <c r="AMY1" s="1" t="s">
        <v>1013</v>
      </c>
      <c r="AMZ1" s="1" t="s">
        <v>1014</v>
      </c>
      <c r="ANA1" s="1">
        <v>4.0000000000000002E+26</v>
      </c>
      <c r="ANB1" s="1" t="s">
        <v>1015</v>
      </c>
      <c r="ANC1" s="1" t="s">
        <v>1016</v>
      </c>
      <c r="AND1" s="1" t="s">
        <v>1017</v>
      </c>
      <c r="ANE1" s="1" t="s">
        <v>1018</v>
      </c>
      <c r="ANF1" s="1" t="s">
        <v>1019</v>
      </c>
      <c r="ANG1" s="1" t="s">
        <v>1020</v>
      </c>
      <c r="ANH1" s="1" t="s">
        <v>1021</v>
      </c>
      <c r="ANI1" s="1" t="s">
        <v>1022</v>
      </c>
      <c r="ANJ1" s="1" t="s">
        <v>1023</v>
      </c>
      <c r="ANK1" s="1" t="s">
        <v>1024</v>
      </c>
      <c r="ANL1" s="1" t="s">
        <v>1025</v>
      </c>
      <c r="ANM1" s="1" t="s">
        <v>1026</v>
      </c>
      <c r="ANN1" s="1" t="s">
        <v>1027</v>
      </c>
      <c r="ANO1" s="1" t="s">
        <v>1028</v>
      </c>
      <c r="ANP1" s="1" t="s">
        <v>1029</v>
      </c>
      <c r="ANQ1" s="1" t="s">
        <v>1030</v>
      </c>
      <c r="ANR1" s="1" t="s">
        <v>1031</v>
      </c>
      <c r="ANS1" s="1">
        <v>4.0000000000000001E+27</v>
      </c>
      <c r="ANT1" s="1" t="s">
        <v>1032</v>
      </c>
      <c r="ANU1" s="1" t="s">
        <v>1033</v>
      </c>
      <c r="ANV1" s="1" t="s">
        <v>1034</v>
      </c>
      <c r="ANW1" s="1" t="s">
        <v>1035</v>
      </c>
      <c r="ANX1" s="1" t="s">
        <v>1036</v>
      </c>
      <c r="ANY1" s="1" t="s">
        <v>1037</v>
      </c>
      <c r="ANZ1" s="1" t="s">
        <v>1038</v>
      </c>
      <c r="AOA1" s="1" t="s">
        <v>1039</v>
      </c>
      <c r="AOB1" s="1" t="s">
        <v>1040</v>
      </c>
      <c r="AOC1" s="1" t="s">
        <v>1041</v>
      </c>
      <c r="AOD1" s="1" t="s">
        <v>1042</v>
      </c>
      <c r="AOE1" s="1" t="s">
        <v>1043</v>
      </c>
      <c r="AOF1" s="1" t="s">
        <v>1044</v>
      </c>
      <c r="AOG1" s="1" t="s">
        <v>1045</v>
      </c>
      <c r="AOH1" s="1" t="s">
        <v>1046</v>
      </c>
      <c r="AOI1" s="1" t="s">
        <v>1047</v>
      </c>
      <c r="AOJ1" s="1" t="s">
        <v>1048</v>
      </c>
      <c r="AOK1" s="1">
        <v>3.9999999999999998E+28</v>
      </c>
      <c r="AOL1" s="1" t="s">
        <v>1049</v>
      </c>
      <c r="AOM1" s="1" t="s">
        <v>1050</v>
      </c>
      <c r="AON1" s="1" t="s">
        <v>1051</v>
      </c>
      <c r="AOO1" s="1" t="s">
        <v>1052</v>
      </c>
      <c r="AOP1" s="1" t="s">
        <v>1053</v>
      </c>
      <c r="AOQ1" s="1" t="s">
        <v>1054</v>
      </c>
      <c r="AOR1" s="1" t="s">
        <v>1055</v>
      </c>
      <c r="AOS1" s="1" t="s">
        <v>1056</v>
      </c>
      <c r="AOT1" s="1" t="s">
        <v>1057</v>
      </c>
      <c r="AOU1" s="1" t="s">
        <v>1058</v>
      </c>
      <c r="AOV1" s="1" t="s">
        <v>1059</v>
      </c>
      <c r="AOW1" s="1" t="s">
        <v>1060</v>
      </c>
      <c r="AOX1" s="1" t="s">
        <v>1061</v>
      </c>
      <c r="AOY1" s="1" t="s">
        <v>1062</v>
      </c>
      <c r="AOZ1" s="1" t="s">
        <v>1063</v>
      </c>
      <c r="APA1" s="1" t="s">
        <v>1064</v>
      </c>
      <c r="APB1" s="1" t="s">
        <v>1065</v>
      </c>
      <c r="APC1" s="1">
        <v>3.9999999999999997E+29</v>
      </c>
      <c r="APD1" s="1" t="s">
        <v>1066</v>
      </c>
      <c r="APE1" s="1" t="s">
        <v>1067</v>
      </c>
      <c r="APF1" s="1" t="s">
        <v>1068</v>
      </c>
      <c r="APG1" s="1" t="s">
        <v>1069</v>
      </c>
      <c r="APH1" s="1" t="s">
        <v>1070</v>
      </c>
      <c r="API1" s="1" t="s">
        <v>1071</v>
      </c>
      <c r="APJ1" s="1" t="s">
        <v>1072</v>
      </c>
      <c r="APK1" s="1" t="s">
        <v>1073</v>
      </c>
      <c r="APL1" s="1" t="s">
        <v>1074</v>
      </c>
      <c r="APM1" s="1" t="s">
        <v>1075</v>
      </c>
      <c r="APN1" s="1" t="s">
        <v>1076</v>
      </c>
      <c r="APO1" s="1" t="s">
        <v>1077</v>
      </c>
      <c r="APP1" s="1" t="s">
        <v>1078</v>
      </c>
      <c r="APQ1" s="1" t="s">
        <v>1079</v>
      </c>
      <c r="APR1" s="1" t="s">
        <v>1080</v>
      </c>
      <c r="APS1" s="1" t="s">
        <v>1081</v>
      </c>
      <c r="APT1" s="1" t="s">
        <v>1082</v>
      </c>
      <c r="APU1" s="1">
        <v>4.0000000000000001E+30</v>
      </c>
      <c r="APV1" s="1" t="s">
        <v>1083</v>
      </c>
      <c r="APW1" s="1" t="s">
        <v>1084</v>
      </c>
      <c r="APX1" s="1" t="s">
        <v>1085</v>
      </c>
      <c r="APY1" s="1" t="s">
        <v>1086</v>
      </c>
      <c r="APZ1" s="1" t="s">
        <v>1087</v>
      </c>
      <c r="AQA1" s="1" t="s">
        <v>1088</v>
      </c>
      <c r="AQB1" s="1" t="s">
        <v>1089</v>
      </c>
      <c r="AQC1" s="1" t="s">
        <v>1090</v>
      </c>
      <c r="AQD1" s="1" t="s">
        <v>1091</v>
      </c>
      <c r="AQE1" s="1" t="s">
        <v>1092</v>
      </c>
      <c r="AQF1" s="1" t="s">
        <v>1093</v>
      </c>
      <c r="AQG1" s="1" t="s">
        <v>1094</v>
      </c>
      <c r="AQH1" s="1" t="s">
        <v>1095</v>
      </c>
      <c r="AQI1" s="1" t="s">
        <v>1096</v>
      </c>
      <c r="AQJ1" s="1" t="s">
        <v>1097</v>
      </c>
      <c r="AQK1" s="1" t="s">
        <v>1098</v>
      </c>
      <c r="AQL1" s="1" t="s">
        <v>1099</v>
      </c>
      <c r="AQM1" s="1">
        <v>3.9999999999999999E+31</v>
      </c>
      <c r="AQN1" s="1" t="s">
        <v>1100</v>
      </c>
      <c r="AQO1" s="1" t="s">
        <v>1101</v>
      </c>
      <c r="AQP1" s="1" t="s">
        <v>1102</v>
      </c>
      <c r="AQQ1" s="1" t="s">
        <v>1103</v>
      </c>
      <c r="AQR1" s="1" t="s">
        <v>1104</v>
      </c>
      <c r="AQS1" s="1" t="s">
        <v>1105</v>
      </c>
      <c r="AQT1" s="1" t="s">
        <v>1106</v>
      </c>
      <c r="AQU1" s="1" t="s">
        <v>1107</v>
      </c>
      <c r="AQV1" s="1" t="s">
        <v>1108</v>
      </c>
      <c r="AQW1" s="1" t="s">
        <v>1109</v>
      </c>
      <c r="AQX1" s="1" t="s">
        <v>1110</v>
      </c>
      <c r="AQY1" s="1" t="s">
        <v>1111</v>
      </c>
      <c r="AQZ1" s="1" t="s">
        <v>1112</v>
      </c>
      <c r="ARA1" s="1" t="s">
        <v>1113</v>
      </c>
      <c r="ARB1" s="1" t="s">
        <v>1114</v>
      </c>
      <c r="ARC1" s="1" t="s">
        <v>1115</v>
      </c>
      <c r="ARD1" s="1" t="s">
        <v>1116</v>
      </c>
      <c r="ARE1" s="1">
        <v>4.0000000000000002E+32</v>
      </c>
      <c r="ARF1" s="1" t="s">
        <v>1117</v>
      </c>
      <c r="ARG1" s="1" t="s">
        <v>1118</v>
      </c>
      <c r="ARH1" s="1" t="s">
        <v>1119</v>
      </c>
      <c r="ARI1" s="1" t="s">
        <v>1120</v>
      </c>
      <c r="ARJ1" s="1" t="s">
        <v>1121</v>
      </c>
      <c r="ARK1" s="1" t="s">
        <v>1122</v>
      </c>
      <c r="ARL1" s="1" t="s">
        <v>1123</v>
      </c>
      <c r="ARM1" s="1" t="s">
        <v>1124</v>
      </c>
      <c r="ARN1" s="1" t="s">
        <v>1125</v>
      </c>
      <c r="ARO1" s="1" t="s">
        <v>1126</v>
      </c>
      <c r="ARP1" s="1" t="s">
        <v>1127</v>
      </c>
      <c r="ARQ1" s="1" t="s">
        <v>1128</v>
      </c>
      <c r="ARR1" s="1" t="s">
        <v>1129</v>
      </c>
      <c r="ARS1" s="1" t="s">
        <v>1130</v>
      </c>
      <c r="ART1" s="1" t="s">
        <v>1131</v>
      </c>
      <c r="ARU1" s="1" t="s">
        <v>1132</v>
      </c>
      <c r="ARV1" s="1" t="s">
        <v>1133</v>
      </c>
      <c r="ARW1" s="1">
        <v>3.9999999999999998E+33</v>
      </c>
      <c r="ARX1" s="1" t="s">
        <v>1134</v>
      </c>
      <c r="ARY1" s="1" t="s">
        <v>1135</v>
      </c>
      <c r="ARZ1" s="1" t="s">
        <v>1136</v>
      </c>
      <c r="ASA1" s="1" t="s">
        <v>1137</v>
      </c>
      <c r="ASB1" s="1" t="s">
        <v>1138</v>
      </c>
      <c r="ASC1" s="1" t="s">
        <v>1139</v>
      </c>
      <c r="ASD1" s="1" t="s">
        <v>1140</v>
      </c>
      <c r="ASE1" s="1" t="s">
        <v>1141</v>
      </c>
      <c r="ASF1" s="1" t="s">
        <v>1142</v>
      </c>
      <c r="ASG1" s="1" t="s">
        <v>1143</v>
      </c>
      <c r="ASH1" s="1" t="s">
        <v>1144</v>
      </c>
      <c r="ASI1" s="1" t="s">
        <v>1145</v>
      </c>
      <c r="ASJ1" s="1" t="s">
        <v>1146</v>
      </c>
      <c r="ASK1" s="1" t="s">
        <v>1147</v>
      </c>
      <c r="ASL1" s="1" t="s">
        <v>1148</v>
      </c>
      <c r="ASM1" s="1" t="s">
        <v>1149</v>
      </c>
      <c r="ASN1" s="1" t="s">
        <v>1150</v>
      </c>
      <c r="ASO1" s="1">
        <v>3.9999999999999998E+34</v>
      </c>
      <c r="ASP1" s="1" t="s">
        <v>1151</v>
      </c>
      <c r="ASQ1" s="1" t="s">
        <v>1152</v>
      </c>
      <c r="ASR1" s="1" t="s">
        <v>1153</v>
      </c>
      <c r="ASS1" s="1" t="s">
        <v>1154</v>
      </c>
      <c r="AST1" s="1" t="s">
        <v>1155</v>
      </c>
      <c r="ASU1" s="1" t="s">
        <v>1156</v>
      </c>
      <c r="ASV1" s="1" t="s">
        <v>1157</v>
      </c>
      <c r="ASW1" s="1" t="s">
        <v>1158</v>
      </c>
      <c r="ASX1" s="1" t="s">
        <v>1159</v>
      </c>
      <c r="ASY1" s="1" t="s">
        <v>1160</v>
      </c>
      <c r="ASZ1" s="1" t="s">
        <v>1161</v>
      </c>
      <c r="ATA1" s="1" t="s">
        <v>1162</v>
      </c>
      <c r="ATB1" s="1" t="s">
        <v>1163</v>
      </c>
      <c r="ATC1" s="1" t="s">
        <v>1164</v>
      </c>
      <c r="ATD1" s="1" t="s">
        <v>1165</v>
      </c>
      <c r="ATE1" s="1" t="s">
        <v>1166</v>
      </c>
      <c r="ATF1" s="1" t="s">
        <v>1167</v>
      </c>
      <c r="ATG1" s="1" t="s">
        <v>1168</v>
      </c>
      <c r="ATH1" s="1" t="s">
        <v>1169</v>
      </c>
      <c r="ATI1" s="1" t="s">
        <v>1170</v>
      </c>
      <c r="ATJ1" s="1" t="s">
        <v>1171</v>
      </c>
      <c r="ATK1" s="1" t="s">
        <v>1172</v>
      </c>
      <c r="ATL1" s="1" t="s">
        <v>1173</v>
      </c>
      <c r="ATM1" s="1" t="s">
        <v>1174</v>
      </c>
      <c r="ATN1" s="1" t="s">
        <v>1175</v>
      </c>
      <c r="ATO1" s="1" t="s">
        <v>1176</v>
      </c>
      <c r="ATP1" s="1" t="s">
        <v>1177</v>
      </c>
      <c r="ATQ1" s="1" t="s">
        <v>1178</v>
      </c>
      <c r="ATR1" s="1" t="s">
        <v>1179</v>
      </c>
      <c r="ATS1" s="1" t="s">
        <v>1180</v>
      </c>
      <c r="ATT1" s="1" t="s">
        <v>1181</v>
      </c>
      <c r="ATU1" s="1" t="s">
        <v>1182</v>
      </c>
      <c r="ATV1" s="1" t="s">
        <v>1183</v>
      </c>
      <c r="ATW1" s="1" t="s">
        <v>1184</v>
      </c>
      <c r="ATX1" s="1" t="s">
        <v>1185</v>
      </c>
      <c r="ATY1" s="1" t="s">
        <v>1186</v>
      </c>
      <c r="ATZ1" s="1" t="s">
        <v>1187</v>
      </c>
      <c r="AUA1" s="1" t="s">
        <v>1188</v>
      </c>
      <c r="AUB1" s="1" t="s">
        <v>1189</v>
      </c>
      <c r="AUC1" s="1" t="s">
        <v>1190</v>
      </c>
      <c r="AUD1" s="1" t="s">
        <v>1191</v>
      </c>
      <c r="AUE1" s="1" t="s">
        <v>1192</v>
      </c>
      <c r="AUF1" s="1" t="s">
        <v>1193</v>
      </c>
      <c r="AUG1" s="1" t="s">
        <v>1194</v>
      </c>
      <c r="AUH1" s="1" t="s">
        <v>1195</v>
      </c>
      <c r="AUI1" s="1" t="s">
        <v>1196</v>
      </c>
      <c r="AUJ1" s="1" t="s">
        <v>1197</v>
      </c>
      <c r="AUK1" s="1" t="s">
        <v>1198</v>
      </c>
      <c r="AUL1" s="1" t="s">
        <v>1199</v>
      </c>
      <c r="AUM1" s="1" t="s">
        <v>1200</v>
      </c>
      <c r="AUN1" s="1" t="s">
        <v>1201</v>
      </c>
      <c r="AUO1" s="3" t="s">
        <v>1202</v>
      </c>
      <c r="AUP1" s="1" t="s">
        <v>1203</v>
      </c>
      <c r="AUQ1" s="1" t="s">
        <v>1204</v>
      </c>
      <c r="AUR1" s="1" t="s">
        <v>1205</v>
      </c>
      <c r="AUS1" s="1" t="s">
        <v>1206</v>
      </c>
      <c r="AUT1" s="1" t="s">
        <v>1207</v>
      </c>
      <c r="AUU1" s="1" t="s">
        <v>1208</v>
      </c>
      <c r="AUV1" s="1" t="s">
        <v>1209</v>
      </c>
      <c r="AUW1" s="1" t="s">
        <v>1210</v>
      </c>
      <c r="AUX1" s="1" t="s">
        <v>1211</v>
      </c>
      <c r="AUY1" s="1" t="s">
        <v>1212</v>
      </c>
      <c r="AUZ1" s="1" t="s">
        <v>1213</v>
      </c>
      <c r="AVA1" s="1" t="s">
        <v>1214</v>
      </c>
      <c r="AVB1" s="1" t="s">
        <v>1215</v>
      </c>
      <c r="AVC1" s="1" t="s">
        <v>1216</v>
      </c>
      <c r="AVD1" s="1" t="s">
        <v>1217</v>
      </c>
      <c r="AVE1" s="1" t="s">
        <v>1218</v>
      </c>
      <c r="AVF1" s="1" t="s">
        <v>1219</v>
      </c>
      <c r="AVG1" s="1" t="s">
        <v>1220</v>
      </c>
      <c r="AVH1" s="1" t="s">
        <v>1221</v>
      </c>
      <c r="AVI1" s="2" t="s">
        <v>1222</v>
      </c>
      <c r="AVJ1" s="1" t="s">
        <v>1223</v>
      </c>
      <c r="AVK1" s="1" t="s">
        <v>1224</v>
      </c>
      <c r="AVL1" s="1" t="s">
        <v>1225</v>
      </c>
      <c r="AVM1" s="1" t="s">
        <v>1226</v>
      </c>
      <c r="AVN1" s="1" t="s">
        <v>1227</v>
      </c>
      <c r="AVO1" s="1" t="s">
        <v>1228</v>
      </c>
      <c r="AVP1" s="1" t="s">
        <v>1229</v>
      </c>
      <c r="AVQ1" s="1" t="s">
        <v>1230</v>
      </c>
      <c r="AVR1" s="1" t="s">
        <v>1231</v>
      </c>
      <c r="AVS1" s="1" t="s">
        <v>1232</v>
      </c>
      <c r="AVT1" s="1" t="s">
        <v>1233</v>
      </c>
      <c r="AVU1" s="1" t="s">
        <v>1234</v>
      </c>
      <c r="AVV1" s="1" t="s">
        <v>1235</v>
      </c>
      <c r="AVW1" s="1" t="s">
        <v>1236</v>
      </c>
      <c r="AVX1" s="1" t="s">
        <v>1237</v>
      </c>
      <c r="AVY1" s="1" t="s">
        <v>1238</v>
      </c>
      <c r="AVZ1" s="1" t="s">
        <v>1239</v>
      </c>
      <c r="AWA1" s="1" t="s">
        <v>1240</v>
      </c>
      <c r="AWB1" s="1" t="s">
        <v>1241</v>
      </c>
      <c r="AWC1" s="1" t="s">
        <v>1242</v>
      </c>
      <c r="AWD1" s="1" t="s">
        <v>1243</v>
      </c>
      <c r="AWE1" s="1" t="s">
        <v>1244</v>
      </c>
      <c r="AWF1" s="1" t="s">
        <v>1245</v>
      </c>
      <c r="AWG1" s="1" t="s">
        <v>1246</v>
      </c>
      <c r="AWH1" s="1" t="s">
        <v>1247</v>
      </c>
      <c r="AWI1" s="1" t="s">
        <v>1248</v>
      </c>
      <c r="AWJ1" s="1" t="s">
        <v>1249</v>
      </c>
      <c r="AWK1" s="1" t="s">
        <v>1250</v>
      </c>
      <c r="AWL1" s="1" t="s">
        <v>1251</v>
      </c>
      <c r="AWM1" s="1" t="s">
        <v>1252</v>
      </c>
      <c r="AWN1" s="1" t="s">
        <v>1253</v>
      </c>
      <c r="AWO1" s="1" t="s">
        <v>1254</v>
      </c>
      <c r="AWP1" s="1" t="s">
        <v>1255</v>
      </c>
      <c r="AWQ1" s="1" t="s">
        <v>1256</v>
      </c>
      <c r="AWR1" s="1" t="s">
        <v>1257</v>
      </c>
      <c r="AWS1" s="1" t="s">
        <v>1258</v>
      </c>
      <c r="AWT1" s="1" t="s">
        <v>1259</v>
      </c>
      <c r="AWU1" s="1" t="s">
        <v>1260</v>
      </c>
      <c r="AWV1" s="1" t="s">
        <v>1261</v>
      </c>
      <c r="AWW1" s="1" t="s">
        <v>1262</v>
      </c>
      <c r="AWX1" s="1" t="s">
        <v>1263</v>
      </c>
      <c r="AWY1" s="1" t="s">
        <v>1264</v>
      </c>
      <c r="AWZ1" s="1" t="s">
        <v>1265</v>
      </c>
      <c r="AXA1" s="1" t="s">
        <v>1266</v>
      </c>
      <c r="AXB1" s="1" t="s">
        <v>1267</v>
      </c>
      <c r="AXC1" s="1" t="s">
        <v>1268</v>
      </c>
      <c r="AXD1" s="1" t="s">
        <v>1269</v>
      </c>
      <c r="AXE1" s="1" t="s">
        <v>1270</v>
      </c>
      <c r="AXF1" s="1" t="s">
        <v>1271</v>
      </c>
      <c r="AXG1" s="1" t="s">
        <v>1272</v>
      </c>
      <c r="AXH1" s="1" t="s">
        <v>1273</v>
      </c>
      <c r="AXI1" s="1" t="s">
        <v>1274</v>
      </c>
      <c r="AXJ1" s="1" t="s">
        <v>1275</v>
      </c>
      <c r="AXK1" s="1" t="s">
        <v>1276</v>
      </c>
      <c r="AXL1" s="1" t="s">
        <v>1277</v>
      </c>
      <c r="AXM1" s="1" t="s">
        <v>1278</v>
      </c>
      <c r="AXN1" s="1" t="s">
        <v>1279</v>
      </c>
      <c r="AXO1" s="1" t="s">
        <v>1280</v>
      </c>
      <c r="AXP1" s="1" t="s">
        <v>1281</v>
      </c>
      <c r="AXQ1" s="1" t="s">
        <v>1282</v>
      </c>
      <c r="AXR1" s="1" t="s">
        <v>1283</v>
      </c>
      <c r="AXS1" s="1" t="s">
        <v>1284</v>
      </c>
      <c r="AXT1" s="1" t="s">
        <v>1285</v>
      </c>
      <c r="AXU1" s="1" t="s">
        <v>1286</v>
      </c>
      <c r="AXV1" s="1" t="s">
        <v>1287</v>
      </c>
      <c r="AXW1" s="1" t="s">
        <v>1288</v>
      </c>
      <c r="AXX1" s="1" t="s">
        <v>1289</v>
      </c>
      <c r="AXY1" s="1" t="s">
        <v>1290</v>
      </c>
      <c r="AXZ1" s="1" t="s">
        <v>1291</v>
      </c>
      <c r="AYA1" s="1" t="s">
        <v>1292</v>
      </c>
      <c r="AYB1" s="1" t="s">
        <v>1293</v>
      </c>
      <c r="AYC1" s="1" t="s">
        <v>1294</v>
      </c>
      <c r="AYD1" s="1" t="s">
        <v>1295</v>
      </c>
      <c r="AYE1" s="1" t="s">
        <v>1296</v>
      </c>
      <c r="AYF1" s="1" t="s">
        <v>1297</v>
      </c>
      <c r="AYG1" s="1" t="s">
        <v>1298</v>
      </c>
      <c r="AYH1" s="1" t="s">
        <v>1299</v>
      </c>
      <c r="AYI1" s="1" t="s">
        <v>1300</v>
      </c>
      <c r="AYJ1" s="1" t="s">
        <v>1301</v>
      </c>
      <c r="AYK1" s="1" t="s">
        <v>1302</v>
      </c>
      <c r="AYL1" s="1" t="s">
        <v>1303</v>
      </c>
      <c r="AYM1" s="1" t="s">
        <v>1304</v>
      </c>
      <c r="AYN1" s="1" t="s">
        <v>1305</v>
      </c>
      <c r="AYO1" s="1" t="s">
        <v>1306</v>
      </c>
      <c r="AYP1" s="1" t="s">
        <v>1307</v>
      </c>
      <c r="AYQ1" s="1" t="s">
        <v>1308</v>
      </c>
      <c r="AYR1" s="1" t="s">
        <v>1309</v>
      </c>
      <c r="AYS1" s="1" t="s">
        <v>1310</v>
      </c>
      <c r="AYT1" s="1" t="s">
        <v>1311</v>
      </c>
      <c r="AYU1" s="1" t="s">
        <v>1312</v>
      </c>
      <c r="AYV1" s="1" t="s">
        <v>1313</v>
      </c>
      <c r="AYW1" s="2" t="s">
        <v>1314</v>
      </c>
      <c r="AYX1" s="1" t="s">
        <v>1315</v>
      </c>
      <c r="AYY1" s="1" t="s">
        <v>1316</v>
      </c>
      <c r="AYZ1" s="1" t="s">
        <v>1317</v>
      </c>
      <c r="AZA1" s="1" t="s">
        <v>1318</v>
      </c>
      <c r="AZB1" s="1" t="s">
        <v>1319</v>
      </c>
      <c r="AZC1" s="1" t="s">
        <v>1320</v>
      </c>
      <c r="AZD1" s="1" t="s">
        <v>1321</v>
      </c>
      <c r="AZE1" s="1" t="s">
        <v>1322</v>
      </c>
      <c r="AZF1" s="1" t="s">
        <v>1323</v>
      </c>
      <c r="AZG1" s="1" t="s">
        <v>1324</v>
      </c>
      <c r="AZH1" s="1" t="s">
        <v>1325</v>
      </c>
      <c r="AZI1" s="1" t="s">
        <v>1326</v>
      </c>
      <c r="AZJ1" s="1" t="s">
        <v>1327</v>
      </c>
      <c r="AZK1" s="1" t="s">
        <v>1328</v>
      </c>
      <c r="AZL1" s="1" t="s">
        <v>1329</v>
      </c>
      <c r="AZM1" s="1" t="s">
        <v>1330</v>
      </c>
      <c r="AZN1" s="1" t="s">
        <v>1331</v>
      </c>
      <c r="AZO1" s="1" t="s">
        <v>1332</v>
      </c>
      <c r="AZP1" s="1" t="s">
        <v>1333</v>
      </c>
      <c r="AZQ1" s="1" t="s">
        <v>1334</v>
      </c>
      <c r="AZR1" s="1" t="s">
        <v>1335</v>
      </c>
      <c r="AZS1" s="1" t="s">
        <v>1336</v>
      </c>
      <c r="AZT1" s="1" t="s">
        <v>1337</v>
      </c>
      <c r="AZU1" s="1" t="s">
        <v>1338</v>
      </c>
      <c r="AZV1" s="1" t="s">
        <v>1339</v>
      </c>
      <c r="AZW1" s="1" t="s">
        <v>1340</v>
      </c>
      <c r="AZX1" s="1" t="s">
        <v>1341</v>
      </c>
      <c r="AZY1" s="1" t="s">
        <v>1342</v>
      </c>
      <c r="AZZ1" s="1" t="s">
        <v>1343</v>
      </c>
      <c r="BAA1" s="1" t="s">
        <v>1344</v>
      </c>
      <c r="BAB1" s="1" t="s">
        <v>1345</v>
      </c>
      <c r="BAC1" s="1" t="s">
        <v>1346</v>
      </c>
      <c r="BAD1" s="1" t="s">
        <v>1347</v>
      </c>
      <c r="BAE1" s="1" t="s">
        <v>1348</v>
      </c>
      <c r="BAF1" s="1" t="s">
        <v>1349</v>
      </c>
      <c r="BAG1" s="1" t="s">
        <v>1350</v>
      </c>
      <c r="BAH1" s="1" t="s">
        <v>1351</v>
      </c>
      <c r="BAI1" s="1" t="s">
        <v>1352</v>
      </c>
      <c r="BAJ1" s="1" t="s">
        <v>1353</v>
      </c>
      <c r="BAK1" s="1" t="s">
        <v>1354</v>
      </c>
      <c r="BAL1" s="1" t="s">
        <v>1355</v>
      </c>
      <c r="BAM1" s="4" t="s">
        <v>1356</v>
      </c>
      <c r="BAN1" s="4" t="s">
        <v>1357</v>
      </c>
      <c r="BAO1" s="4" t="s">
        <v>1358</v>
      </c>
      <c r="BAP1" s="2" t="s">
        <v>1359</v>
      </c>
      <c r="BAQ1" s="2" t="s">
        <v>1360</v>
      </c>
      <c r="BAR1" s="2" t="s">
        <v>1361</v>
      </c>
    </row>
    <row r="2" spans="1:1396">
      <c r="A2" s="1" t="e">
        <f>#REF!</f>
        <v>#REF!</v>
      </c>
      <c r="B2" s="1" t="e">
        <f>#REF!</f>
        <v>#REF!</v>
      </c>
      <c r="C2" s="1" t="e">
        <f>#REF!</f>
        <v>#REF!</v>
      </c>
      <c r="D2" s="1" t="e">
        <f>#REF!</f>
        <v>#REF!</v>
      </c>
      <c r="E2" s="1" t="e">
        <f>#REF!</f>
        <v>#REF!</v>
      </c>
      <c r="F2" s="1" t="e">
        <f>#REF!</f>
        <v>#REF!</v>
      </c>
      <c r="G2" s="1" t="e">
        <f>#REF!</f>
        <v>#REF!</v>
      </c>
      <c r="H2" s="1" t="e">
        <f>#REF!</f>
        <v>#REF!</v>
      </c>
      <c r="I2" s="1" t="e">
        <f>#REF!</f>
        <v>#REF!</v>
      </c>
      <c r="J2" s="1" t="e">
        <f>#REF!</f>
        <v>#REF!</v>
      </c>
      <c r="K2" s="1" t="e">
        <f>#REF!</f>
        <v>#REF!</v>
      </c>
      <c r="L2" s="1" t="e">
        <f>#REF!</f>
        <v>#REF!</v>
      </c>
      <c r="M2" s="1" t="e">
        <f>#REF!</f>
        <v>#REF!</v>
      </c>
      <c r="N2" s="1" t="e">
        <f>#REF!</f>
        <v>#REF!</v>
      </c>
      <c r="O2" s="1" t="e">
        <f>#REF!</f>
        <v>#REF!</v>
      </c>
      <c r="P2" s="1" t="e">
        <f>#REF!</f>
        <v>#REF!</v>
      </c>
      <c r="Q2" s="1" t="e">
        <f>#REF!</f>
        <v>#REF!</v>
      </c>
      <c r="R2" s="1" t="e">
        <f>#REF!</f>
        <v>#REF!</v>
      </c>
      <c r="S2" s="1" t="e">
        <f>#REF!</f>
        <v>#REF!</v>
      </c>
      <c r="T2" s="1" t="e">
        <f>#REF!</f>
        <v>#REF!</v>
      </c>
      <c r="U2" s="1" t="e">
        <f>#REF!</f>
        <v>#REF!</v>
      </c>
      <c r="V2" s="5" t="e">
        <f>#REF!</f>
        <v>#REF!</v>
      </c>
      <c r="W2" s="6" t="e">
        <f>#REF!</f>
        <v>#REF!</v>
      </c>
      <c r="X2" s="6" t="e">
        <f>#REF!</f>
        <v>#REF!</v>
      </c>
      <c r="Y2" s="1" t="e">
        <f>#REF!</f>
        <v>#REF!</v>
      </c>
      <c r="Z2" s="1" t="e">
        <f>#REF!</f>
        <v>#REF!</v>
      </c>
      <c r="AA2" s="1" t="e">
        <f>#REF!</f>
        <v>#REF!</v>
      </c>
      <c r="AB2" s="1" t="e">
        <f>#REF!</f>
        <v>#REF!</v>
      </c>
      <c r="AC2" s="1" t="e">
        <f>#REF!</f>
        <v>#REF!</v>
      </c>
      <c r="AD2" s="1" t="e">
        <f>#REF!</f>
        <v>#REF!</v>
      </c>
      <c r="AE2" s="1" t="e">
        <f>#REF!</f>
        <v>#REF!</v>
      </c>
      <c r="AF2" s="1" t="e">
        <f>#REF!</f>
        <v>#REF!</v>
      </c>
      <c r="AG2" s="1" t="e">
        <f>#REF!</f>
        <v>#REF!</v>
      </c>
      <c r="AH2" s="1" t="e">
        <f>#REF!</f>
        <v>#REF!</v>
      </c>
      <c r="AI2" s="1" t="e">
        <f>#REF!</f>
        <v>#REF!</v>
      </c>
      <c r="AJ2" s="1" t="e">
        <f>#REF!</f>
        <v>#REF!</v>
      </c>
      <c r="AK2" s="1" t="e">
        <f>#REF!</f>
        <v>#REF!</v>
      </c>
      <c r="AL2" s="1" t="e">
        <f>#REF!</f>
        <v>#REF!</v>
      </c>
      <c r="AM2" s="1" t="e">
        <f>#REF!</f>
        <v>#REF!</v>
      </c>
      <c r="AN2" s="1" t="e">
        <f>#REF!</f>
        <v>#REF!</v>
      </c>
      <c r="AO2" s="1" t="e">
        <f>#REF!</f>
        <v>#REF!</v>
      </c>
      <c r="AP2" s="1" t="e">
        <f>#REF!</f>
        <v>#REF!</v>
      </c>
      <c r="AQ2" s="1" t="e">
        <f>#REF!</f>
        <v>#REF!</v>
      </c>
      <c r="AR2" s="1" t="e">
        <f>#REF!</f>
        <v>#REF!</v>
      </c>
      <c r="AS2" s="1" t="e">
        <f>#REF!</f>
        <v>#REF!</v>
      </c>
      <c r="AT2" s="1" t="e">
        <f>#REF!</f>
        <v>#REF!</v>
      </c>
      <c r="AU2" s="1" t="e">
        <f>#REF!</f>
        <v>#REF!</v>
      </c>
      <c r="AV2" s="1" t="e">
        <f>#REF!</f>
        <v>#REF!</v>
      </c>
      <c r="AW2" s="1" t="e">
        <f>#REF!</f>
        <v>#REF!</v>
      </c>
      <c r="AX2" s="1" t="e">
        <f>#REF!</f>
        <v>#REF!</v>
      </c>
      <c r="AY2" s="1" t="e">
        <f>#REF!</f>
        <v>#REF!</v>
      </c>
      <c r="AZ2" s="1" t="e">
        <f>#REF!</f>
        <v>#REF!</v>
      </c>
      <c r="BA2" s="1" t="e">
        <f>#REF!</f>
        <v>#REF!</v>
      </c>
      <c r="BB2" s="1" t="e">
        <f>#REF!</f>
        <v>#REF!</v>
      </c>
      <c r="BC2" s="1" t="e">
        <f>#REF!</f>
        <v>#REF!</v>
      </c>
      <c r="BD2" s="1" t="e">
        <f>#REF!</f>
        <v>#REF!</v>
      </c>
      <c r="BE2" s="1" t="e">
        <f>#REF!</f>
        <v>#REF!</v>
      </c>
      <c r="BF2" s="1" t="e">
        <f>#REF!</f>
        <v>#REF!</v>
      </c>
      <c r="BG2" s="1" t="e">
        <f>#REF!</f>
        <v>#REF!</v>
      </c>
      <c r="BH2" s="1" t="e">
        <f>#REF!</f>
        <v>#REF!</v>
      </c>
      <c r="BI2" s="1" t="e">
        <f>#REF!</f>
        <v>#REF!</v>
      </c>
      <c r="BJ2" s="1" t="e">
        <f>#REF!</f>
        <v>#REF!</v>
      </c>
      <c r="BK2" s="1" t="e">
        <f>#REF!</f>
        <v>#REF!</v>
      </c>
      <c r="BL2" s="1" t="e">
        <f>#REF!</f>
        <v>#REF!</v>
      </c>
      <c r="BM2" s="1" t="e">
        <f>#REF!</f>
        <v>#REF!</v>
      </c>
      <c r="BN2" s="1" t="e">
        <f>#REF!</f>
        <v>#REF!</v>
      </c>
      <c r="BO2" s="1" t="e">
        <f>#REF!</f>
        <v>#REF!</v>
      </c>
      <c r="BP2" s="1" t="e">
        <f>#REF!</f>
        <v>#REF!</v>
      </c>
      <c r="BQ2" s="1" t="e">
        <f>#REF!</f>
        <v>#REF!</v>
      </c>
      <c r="BR2" s="1" t="e">
        <f>#REF!</f>
        <v>#REF!</v>
      </c>
      <c r="BS2" s="1" t="e">
        <f>#REF!</f>
        <v>#REF!</v>
      </c>
      <c r="BT2" s="1" t="e">
        <f>#REF!</f>
        <v>#REF!</v>
      </c>
      <c r="BU2" s="1" t="e">
        <f>#REF!</f>
        <v>#REF!</v>
      </c>
      <c r="BV2" s="1" t="e">
        <f>#REF!</f>
        <v>#REF!</v>
      </c>
      <c r="BW2" s="1" t="e">
        <f>#REF!</f>
        <v>#REF!</v>
      </c>
      <c r="BX2" s="1" t="e">
        <f>#REF!</f>
        <v>#REF!</v>
      </c>
      <c r="BY2" s="1" t="e">
        <f>#REF!</f>
        <v>#REF!</v>
      </c>
      <c r="BZ2" s="1" t="e">
        <f>#REF!</f>
        <v>#REF!</v>
      </c>
      <c r="CA2" s="1" t="e">
        <f>#REF!</f>
        <v>#REF!</v>
      </c>
      <c r="CB2" s="1" t="e">
        <f>#REF!</f>
        <v>#REF!</v>
      </c>
      <c r="CC2" s="1" t="e">
        <f>#REF!</f>
        <v>#REF!</v>
      </c>
      <c r="CD2" s="1" t="e">
        <f>#REF!</f>
        <v>#REF!</v>
      </c>
      <c r="CE2" s="1" t="e">
        <f>#REF!</f>
        <v>#REF!</v>
      </c>
      <c r="CF2" s="1" t="e">
        <f>#REF!</f>
        <v>#REF!</v>
      </c>
      <c r="CG2" s="1" t="e">
        <f>#REF!</f>
        <v>#REF!</v>
      </c>
      <c r="CH2" s="1" t="e">
        <f>#REF!</f>
        <v>#REF!</v>
      </c>
      <c r="CI2" s="1" t="e">
        <f>#REF!</f>
        <v>#REF!</v>
      </c>
      <c r="CJ2" s="1" t="e">
        <f>#REF!</f>
        <v>#REF!</v>
      </c>
      <c r="CK2" s="1" t="e">
        <f>#REF!</f>
        <v>#REF!</v>
      </c>
      <c r="CL2" s="1" t="e">
        <f>#REF!</f>
        <v>#REF!</v>
      </c>
      <c r="CM2" s="1" t="e">
        <f>#REF!</f>
        <v>#REF!</v>
      </c>
      <c r="CN2" s="1" t="e">
        <f>#REF!</f>
        <v>#REF!</v>
      </c>
      <c r="CO2" s="1" t="e">
        <f>#REF!</f>
        <v>#REF!</v>
      </c>
      <c r="CP2" s="1" t="e">
        <f>#REF!</f>
        <v>#REF!</v>
      </c>
      <c r="CQ2" s="1" t="e">
        <f>#REF!</f>
        <v>#REF!</v>
      </c>
      <c r="CR2" s="1" t="e">
        <f>#REF!</f>
        <v>#REF!</v>
      </c>
      <c r="CS2" s="1" t="e">
        <f>#REF!</f>
        <v>#REF!</v>
      </c>
      <c r="CT2" s="1" t="e">
        <f>#REF!</f>
        <v>#REF!</v>
      </c>
      <c r="CU2" s="1" t="e">
        <f>#REF!</f>
        <v>#REF!</v>
      </c>
      <c r="CV2" s="1" t="e">
        <f>#REF!</f>
        <v>#REF!</v>
      </c>
      <c r="CW2" s="1" t="e">
        <f>#REF!</f>
        <v>#REF!</v>
      </c>
      <c r="CX2" s="1" t="e">
        <f>#REF!</f>
        <v>#REF!</v>
      </c>
      <c r="CY2" s="1" t="e">
        <f>#REF!</f>
        <v>#REF!</v>
      </c>
      <c r="CZ2" s="1" t="e">
        <f>#REF!</f>
        <v>#REF!</v>
      </c>
      <c r="DA2" s="1" t="e">
        <f>#REF!</f>
        <v>#REF!</v>
      </c>
      <c r="DB2" s="1" t="e">
        <f>#REF!</f>
        <v>#REF!</v>
      </c>
      <c r="DC2" s="1" t="e">
        <f>#REF!</f>
        <v>#REF!</v>
      </c>
      <c r="DD2" s="1" t="e">
        <f>#REF!</f>
        <v>#REF!</v>
      </c>
      <c r="DE2" s="1" t="e">
        <f>#REF!</f>
        <v>#REF!</v>
      </c>
      <c r="DF2" s="1" t="e">
        <f>#REF!</f>
        <v>#REF!</v>
      </c>
      <c r="DG2" s="1" t="e">
        <f>#REF!</f>
        <v>#REF!</v>
      </c>
      <c r="DH2" s="1" t="e">
        <f>#REF!</f>
        <v>#REF!</v>
      </c>
      <c r="DI2" s="1" t="e">
        <f>#REF!</f>
        <v>#REF!</v>
      </c>
      <c r="DJ2" s="1" t="e">
        <f>#REF!</f>
        <v>#REF!</v>
      </c>
      <c r="DK2" s="1" t="e">
        <f>#REF!</f>
        <v>#REF!</v>
      </c>
      <c r="DL2" s="1" t="e">
        <f>#REF!</f>
        <v>#REF!</v>
      </c>
      <c r="DM2" s="1" t="e">
        <f>#REF!</f>
        <v>#REF!</v>
      </c>
      <c r="DN2" s="1" t="e">
        <f>#REF!</f>
        <v>#REF!</v>
      </c>
      <c r="DO2" s="1" t="e">
        <f>#REF!</f>
        <v>#REF!</v>
      </c>
      <c r="DP2" s="1" t="e">
        <f>#REF!</f>
        <v>#REF!</v>
      </c>
      <c r="DQ2" s="1" t="e">
        <f>#REF!</f>
        <v>#REF!</v>
      </c>
      <c r="DR2" s="1" t="e">
        <f>#REF!</f>
        <v>#REF!</v>
      </c>
      <c r="DS2" s="1" t="e">
        <f>#REF!</f>
        <v>#REF!</v>
      </c>
      <c r="DT2" s="1" t="e">
        <f>#REF!</f>
        <v>#REF!</v>
      </c>
      <c r="DU2" s="1" t="e">
        <f>#REF!</f>
        <v>#REF!</v>
      </c>
      <c r="DV2" s="1" t="e">
        <f>#REF!</f>
        <v>#REF!</v>
      </c>
      <c r="DW2" s="1" t="e">
        <f>#REF!</f>
        <v>#REF!</v>
      </c>
      <c r="DX2" s="1" t="e">
        <f>#REF!</f>
        <v>#REF!</v>
      </c>
      <c r="DY2" s="1" t="e">
        <f>#REF!</f>
        <v>#REF!</v>
      </c>
      <c r="DZ2" s="1" t="e">
        <f>#REF!</f>
        <v>#REF!</v>
      </c>
      <c r="EA2" s="1" t="e">
        <f>#REF!</f>
        <v>#REF!</v>
      </c>
      <c r="EB2" s="1" t="e">
        <f>#REF!</f>
        <v>#REF!</v>
      </c>
      <c r="EC2" s="1" t="e">
        <f>#REF!</f>
        <v>#REF!</v>
      </c>
      <c r="ED2" s="1" t="e">
        <f>#REF!</f>
        <v>#REF!</v>
      </c>
      <c r="EE2" s="1" t="e">
        <f>#REF!</f>
        <v>#REF!</v>
      </c>
      <c r="EF2" s="1" t="e">
        <f>#REF!</f>
        <v>#REF!</v>
      </c>
      <c r="EG2" s="1" t="e">
        <f>#REF!</f>
        <v>#REF!</v>
      </c>
      <c r="EH2" s="1" t="e">
        <f>#REF!</f>
        <v>#REF!</v>
      </c>
      <c r="EI2" s="1" t="e">
        <f>#REF!</f>
        <v>#REF!</v>
      </c>
      <c r="EJ2" s="1" t="e">
        <f>#REF!</f>
        <v>#REF!</v>
      </c>
      <c r="EK2" s="1" t="e">
        <f>#REF!</f>
        <v>#REF!</v>
      </c>
      <c r="EL2" s="1" t="e">
        <f>#REF!</f>
        <v>#REF!</v>
      </c>
      <c r="EM2" s="1" t="e">
        <f>#REF!</f>
        <v>#REF!</v>
      </c>
      <c r="EN2" s="1" t="e">
        <f>#REF!</f>
        <v>#REF!</v>
      </c>
      <c r="EO2" s="1" t="e">
        <f>#REF!</f>
        <v>#REF!</v>
      </c>
      <c r="EP2" s="1" t="e">
        <f>#REF!</f>
        <v>#REF!</v>
      </c>
      <c r="EQ2" s="1" t="e">
        <f>#REF!</f>
        <v>#REF!</v>
      </c>
      <c r="ER2" s="1" t="e">
        <f>#REF!</f>
        <v>#REF!</v>
      </c>
      <c r="ES2" s="1" t="e">
        <f>#REF!</f>
        <v>#REF!</v>
      </c>
      <c r="ET2" s="1" t="e">
        <f>#REF!</f>
        <v>#REF!</v>
      </c>
      <c r="EU2" s="1" t="e">
        <f>#REF!</f>
        <v>#REF!</v>
      </c>
      <c r="EV2" s="1" t="e">
        <f>#REF!</f>
        <v>#REF!</v>
      </c>
      <c r="EW2" s="1" t="e">
        <f>#REF!</f>
        <v>#REF!</v>
      </c>
      <c r="EX2" s="1" t="e">
        <f>#REF!</f>
        <v>#REF!</v>
      </c>
      <c r="EY2" s="1" t="e">
        <f>#REF!</f>
        <v>#REF!</v>
      </c>
      <c r="EZ2" s="1" t="e">
        <f>#REF!</f>
        <v>#REF!</v>
      </c>
      <c r="FA2" s="1" t="e">
        <f>#REF!</f>
        <v>#REF!</v>
      </c>
      <c r="FB2" s="1" t="e">
        <f>#REF!</f>
        <v>#REF!</v>
      </c>
      <c r="FC2" s="1" t="e">
        <f>#REF!</f>
        <v>#REF!</v>
      </c>
      <c r="FD2" s="1" t="e">
        <f>#REF!</f>
        <v>#REF!</v>
      </c>
      <c r="FE2" s="1" t="e">
        <f>#REF!</f>
        <v>#REF!</v>
      </c>
      <c r="FF2" s="1" t="e">
        <f>#REF!</f>
        <v>#REF!</v>
      </c>
      <c r="FG2" s="1" t="e">
        <f>#REF!</f>
        <v>#REF!</v>
      </c>
      <c r="FH2" s="1" t="e">
        <f>#REF!</f>
        <v>#REF!</v>
      </c>
      <c r="FI2" s="1" t="e">
        <f>#REF!</f>
        <v>#REF!</v>
      </c>
      <c r="FJ2" s="1" t="e">
        <f>#REF!</f>
        <v>#REF!</v>
      </c>
      <c r="FK2" s="1" t="e">
        <f>#REF!</f>
        <v>#REF!</v>
      </c>
      <c r="FL2" s="1" t="e">
        <f>#REF!</f>
        <v>#REF!</v>
      </c>
      <c r="FM2" s="1" t="e">
        <f>#REF!</f>
        <v>#REF!</v>
      </c>
      <c r="FN2" s="1" t="e">
        <f>#REF!</f>
        <v>#REF!</v>
      </c>
      <c r="FO2" s="1" t="e">
        <f>#REF!</f>
        <v>#REF!</v>
      </c>
      <c r="FP2" s="1" t="e">
        <f>#REF!</f>
        <v>#REF!</v>
      </c>
      <c r="FQ2" s="1" t="e">
        <f>#REF!</f>
        <v>#REF!</v>
      </c>
      <c r="FR2" s="1" t="e">
        <f>#REF!</f>
        <v>#REF!</v>
      </c>
      <c r="FS2" s="1" t="e">
        <f>#REF!</f>
        <v>#REF!</v>
      </c>
      <c r="FT2" s="1" t="e">
        <f>#REF!</f>
        <v>#REF!</v>
      </c>
      <c r="FU2" s="1" t="e">
        <f>#REF!</f>
        <v>#REF!</v>
      </c>
      <c r="FV2" s="1" t="e">
        <f>#REF!</f>
        <v>#REF!</v>
      </c>
      <c r="FW2" s="1" t="e">
        <f>#REF!</f>
        <v>#REF!</v>
      </c>
      <c r="FX2" s="1" t="e">
        <f>#REF!</f>
        <v>#REF!</v>
      </c>
      <c r="FY2" s="1" t="e">
        <f>#REF!</f>
        <v>#REF!</v>
      </c>
      <c r="FZ2" s="1" t="e">
        <f>#REF!</f>
        <v>#REF!</v>
      </c>
      <c r="GA2" s="1" t="e">
        <f>#REF!</f>
        <v>#REF!</v>
      </c>
      <c r="GB2" s="1" t="e">
        <f>#REF!</f>
        <v>#REF!</v>
      </c>
      <c r="GC2" s="1" t="e">
        <f>#REF!</f>
        <v>#REF!</v>
      </c>
      <c r="GD2" s="1" t="e">
        <f>#REF!</f>
        <v>#REF!</v>
      </c>
      <c r="GE2" s="1" t="e">
        <f>#REF!</f>
        <v>#REF!</v>
      </c>
      <c r="GF2" s="1" t="e">
        <f>#REF!</f>
        <v>#REF!</v>
      </c>
      <c r="GG2" s="1" t="e">
        <f>#REF!</f>
        <v>#REF!</v>
      </c>
      <c r="GH2" s="1" t="e">
        <f>#REF!</f>
        <v>#REF!</v>
      </c>
      <c r="GI2" s="1" t="e">
        <f>#REF!</f>
        <v>#REF!</v>
      </c>
      <c r="GJ2" s="1" t="e">
        <f>#REF!</f>
        <v>#REF!</v>
      </c>
      <c r="GK2" s="1" t="e">
        <f>#REF!</f>
        <v>#REF!</v>
      </c>
      <c r="GL2" s="1" t="e">
        <f>#REF!</f>
        <v>#REF!</v>
      </c>
      <c r="GM2" s="1" t="e">
        <f>#REF!</f>
        <v>#REF!</v>
      </c>
      <c r="GN2" s="1" t="e">
        <f>#REF!</f>
        <v>#REF!</v>
      </c>
      <c r="GO2" s="1" t="e">
        <f>#REF!</f>
        <v>#REF!</v>
      </c>
      <c r="GP2" s="1" t="e">
        <f>#REF!</f>
        <v>#REF!</v>
      </c>
      <c r="GQ2" s="1" t="e">
        <f>#REF!</f>
        <v>#REF!</v>
      </c>
      <c r="GR2" s="1" t="e">
        <f>#REF!</f>
        <v>#REF!</v>
      </c>
      <c r="GS2" s="1" t="e">
        <f>#REF!</f>
        <v>#REF!</v>
      </c>
      <c r="GT2" s="1" t="e">
        <f>#REF!</f>
        <v>#REF!</v>
      </c>
      <c r="GU2" s="1" t="e">
        <f>#REF!</f>
        <v>#REF!</v>
      </c>
      <c r="GV2" s="1" t="e">
        <f>#REF!</f>
        <v>#REF!</v>
      </c>
      <c r="GW2" s="1" t="e">
        <f>#REF!</f>
        <v>#REF!</v>
      </c>
      <c r="GX2" s="1" t="e">
        <f>#REF!</f>
        <v>#REF!</v>
      </c>
      <c r="GY2" s="1" t="e">
        <f>#REF!</f>
        <v>#REF!</v>
      </c>
      <c r="GZ2" s="1" t="e">
        <f>#REF!</f>
        <v>#REF!</v>
      </c>
      <c r="HA2" s="1" t="e">
        <f>#REF!</f>
        <v>#REF!</v>
      </c>
      <c r="HB2" s="1" t="e">
        <f>#REF!</f>
        <v>#REF!</v>
      </c>
      <c r="HC2" s="1" t="e">
        <f>#REF!</f>
        <v>#REF!</v>
      </c>
      <c r="HD2" s="1" t="e">
        <f>#REF!</f>
        <v>#REF!</v>
      </c>
      <c r="HE2" s="1" t="e">
        <f>#REF!</f>
        <v>#REF!</v>
      </c>
      <c r="HF2" s="1" t="e">
        <f>#REF!</f>
        <v>#REF!</v>
      </c>
      <c r="HG2" s="1" t="e">
        <f>#REF!</f>
        <v>#REF!</v>
      </c>
      <c r="HH2" s="1" t="e">
        <f>#REF!</f>
        <v>#REF!</v>
      </c>
      <c r="HI2" s="1" t="e">
        <f>#REF!</f>
        <v>#REF!</v>
      </c>
      <c r="HJ2" s="1" t="e">
        <f>#REF!</f>
        <v>#REF!</v>
      </c>
      <c r="HK2" s="1" t="e">
        <f>#REF!</f>
        <v>#REF!</v>
      </c>
      <c r="HL2" s="1" t="e">
        <f>#REF!</f>
        <v>#REF!</v>
      </c>
      <c r="HM2" s="1" t="e">
        <f>#REF!</f>
        <v>#REF!</v>
      </c>
      <c r="HN2" s="1" t="e">
        <f>#REF!</f>
        <v>#REF!</v>
      </c>
      <c r="HO2" s="1" t="e">
        <f>#REF!</f>
        <v>#REF!</v>
      </c>
      <c r="HP2" s="1" t="e">
        <f>#REF!</f>
        <v>#REF!</v>
      </c>
      <c r="HQ2" s="1" t="e">
        <f>#REF!</f>
        <v>#REF!</v>
      </c>
      <c r="HR2" s="1" t="e">
        <f>#REF!</f>
        <v>#REF!</v>
      </c>
      <c r="HS2" s="1" t="e">
        <f>#REF!</f>
        <v>#REF!</v>
      </c>
      <c r="HT2" s="1" t="e">
        <f>#REF!</f>
        <v>#REF!</v>
      </c>
      <c r="HU2" s="1" t="e">
        <f>#REF!</f>
        <v>#REF!</v>
      </c>
      <c r="HV2" s="1" t="e">
        <f>#REF!</f>
        <v>#REF!</v>
      </c>
      <c r="HW2" s="1" t="e">
        <f>#REF!</f>
        <v>#REF!</v>
      </c>
      <c r="HX2" s="1" t="e">
        <f>#REF!</f>
        <v>#REF!</v>
      </c>
      <c r="HY2" s="1" t="e">
        <f>#REF!</f>
        <v>#REF!</v>
      </c>
      <c r="HZ2" s="1" t="e">
        <f>#REF!</f>
        <v>#REF!</v>
      </c>
      <c r="IA2" s="1" t="e">
        <f>#REF!</f>
        <v>#REF!</v>
      </c>
      <c r="IB2" s="1" t="e">
        <f>#REF!</f>
        <v>#REF!</v>
      </c>
      <c r="IC2" s="1" t="e">
        <f>#REF!</f>
        <v>#REF!</v>
      </c>
      <c r="ID2" s="1" t="e">
        <f>#REF!</f>
        <v>#REF!</v>
      </c>
      <c r="IE2" s="1" t="e">
        <f>#REF!</f>
        <v>#REF!</v>
      </c>
      <c r="IF2" s="1" t="e">
        <f>#REF!</f>
        <v>#REF!</v>
      </c>
      <c r="IG2" s="1" t="e">
        <f>#REF!</f>
        <v>#REF!</v>
      </c>
      <c r="IH2" s="1" t="e">
        <f>#REF!</f>
        <v>#REF!</v>
      </c>
      <c r="II2" s="1" t="e">
        <f>#REF!</f>
        <v>#REF!</v>
      </c>
      <c r="IJ2" s="1" t="e">
        <f>#REF!</f>
        <v>#REF!</v>
      </c>
      <c r="IK2" s="1" t="e">
        <f>#REF!</f>
        <v>#REF!</v>
      </c>
      <c r="IL2" s="1" t="e">
        <f>#REF!</f>
        <v>#REF!</v>
      </c>
      <c r="IM2" s="1" t="e">
        <f>#REF!</f>
        <v>#REF!</v>
      </c>
      <c r="IN2" s="1" t="e">
        <f>#REF!</f>
        <v>#REF!</v>
      </c>
      <c r="IO2" s="1" t="e">
        <f>#REF!</f>
        <v>#REF!</v>
      </c>
      <c r="IP2" s="1" t="e">
        <f>#REF!</f>
        <v>#REF!</v>
      </c>
      <c r="IQ2" s="1" t="e">
        <f>#REF!</f>
        <v>#REF!</v>
      </c>
      <c r="IR2" s="1" t="e">
        <f>#REF!</f>
        <v>#REF!</v>
      </c>
      <c r="IS2" s="1" t="e">
        <f>#REF!</f>
        <v>#REF!</v>
      </c>
      <c r="IT2" s="1" t="e">
        <f>#REF!</f>
        <v>#REF!</v>
      </c>
      <c r="IU2" s="7" t="e">
        <f>#REF!</f>
        <v>#REF!</v>
      </c>
      <c r="IV2" s="1" t="e">
        <f>#REF!</f>
        <v>#REF!</v>
      </c>
      <c r="IW2" s="1" t="e">
        <f>#REF!</f>
        <v>#REF!</v>
      </c>
      <c r="IX2" s="1" t="e">
        <f>#REF!</f>
        <v>#REF!</v>
      </c>
      <c r="IY2" s="1" t="e">
        <f>#REF!</f>
        <v>#REF!</v>
      </c>
      <c r="IZ2" s="1" t="e">
        <f>#REF!</f>
        <v>#REF!</v>
      </c>
      <c r="JA2" s="1" t="e">
        <f>#REF!</f>
        <v>#REF!</v>
      </c>
      <c r="JB2" s="1" t="e">
        <f>#REF!</f>
        <v>#REF!</v>
      </c>
      <c r="JC2" s="1" t="e">
        <f>#REF!</f>
        <v>#REF!</v>
      </c>
      <c r="JD2" s="1" t="e">
        <f>#REF!</f>
        <v>#REF!</v>
      </c>
      <c r="JE2" s="1" t="e">
        <f>#REF!</f>
        <v>#REF!</v>
      </c>
      <c r="JF2" s="1" t="e">
        <f>#REF!</f>
        <v>#REF!</v>
      </c>
      <c r="JG2" s="1" t="e">
        <f>#REF!</f>
        <v>#REF!</v>
      </c>
      <c r="JH2" s="1" t="e">
        <f>#REF!</f>
        <v>#REF!</v>
      </c>
      <c r="JI2" s="1" t="e">
        <f>#REF!</f>
        <v>#REF!</v>
      </c>
      <c r="JJ2" s="1" t="e">
        <f>#REF!</f>
        <v>#REF!</v>
      </c>
      <c r="JK2" s="1" t="e">
        <f>#REF!</f>
        <v>#REF!</v>
      </c>
      <c r="JL2" s="1" t="e">
        <f>#REF!</f>
        <v>#REF!</v>
      </c>
      <c r="JM2" s="1" t="e">
        <f>#REF!</f>
        <v>#REF!</v>
      </c>
      <c r="JN2" s="1" t="e">
        <f>#REF!</f>
        <v>#REF!</v>
      </c>
      <c r="JO2" s="1" t="e">
        <f>#REF!</f>
        <v>#REF!</v>
      </c>
      <c r="JP2" s="1" t="e">
        <f>#REF!</f>
        <v>#REF!</v>
      </c>
      <c r="JQ2" s="1" t="e">
        <f>#REF!</f>
        <v>#REF!</v>
      </c>
      <c r="JR2" s="1" t="e">
        <f>#REF!</f>
        <v>#REF!</v>
      </c>
      <c r="JS2" s="1" t="e">
        <f>#REF!</f>
        <v>#REF!</v>
      </c>
      <c r="JT2" s="1" t="e">
        <f>#REF!</f>
        <v>#REF!</v>
      </c>
      <c r="JU2" s="1" t="e">
        <f>#REF!</f>
        <v>#REF!</v>
      </c>
      <c r="JV2" s="1" t="e">
        <f>#REF!</f>
        <v>#REF!</v>
      </c>
      <c r="JW2" s="1" t="e">
        <f>#REF!</f>
        <v>#REF!</v>
      </c>
      <c r="JX2" s="1" t="e">
        <f>#REF!</f>
        <v>#REF!</v>
      </c>
      <c r="JY2" s="1" t="e">
        <f>#REF!</f>
        <v>#REF!</v>
      </c>
      <c r="JZ2" s="1" t="e">
        <f>#REF!</f>
        <v>#REF!</v>
      </c>
      <c r="KA2" s="1" t="e">
        <f>#REF!</f>
        <v>#REF!</v>
      </c>
      <c r="KB2" s="1" t="e">
        <f>#REF!</f>
        <v>#REF!</v>
      </c>
      <c r="KC2" s="1" t="e">
        <f>#REF!</f>
        <v>#REF!</v>
      </c>
      <c r="KD2" s="1" t="e">
        <f>#REF!</f>
        <v>#REF!</v>
      </c>
      <c r="KE2" s="1" t="e">
        <f>#REF!</f>
        <v>#REF!</v>
      </c>
      <c r="KF2" s="1" t="e">
        <f>#REF!</f>
        <v>#REF!</v>
      </c>
      <c r="KG2" s="1" t="e">
        <f>#REF!</f>
        <v>#REF!</v>
      </c>
      <c r="KH2" s="1" t="e">
        <f>#REF!</f>
        <v>#REF!</v>
      </c>
      <c r="KI2" s="1" t="e">
        <f>#REF!</f>
        <v>#REF!</v>
      </c>
      <c r="KJ2" s="1" t="e">
        <f>#REF!</f>
        <v>#REF!</v>
      </c>
      <c r="KK2" s="1" t="e">
        <f>#REF!</f>
        <v>#REF!</v>
      </c>
      <c r="KL2" s="1" t="e">
        <f>#REF!</f>
        <v>#REF!</v>
      </c>
      <c r="KM2" s="1" t="e">
        <f>#REF!</f>
        <v>#REF!</v>
      </c>
      <c r="KN2" s="1" t="e">
        <f>#REF!</f>
        <v>#REF!</v>
      </c>
      <c r="KO2" s="1" t="e">
        <f>#REF!</f>
        <v>#REF!</v>
      </c>
      <c r="KP2" s="1" t="e">
        <f>#REF!</f>
        <v>#REF!</v>
      </c>
      <c r="KQ2" s="1" t="e">
        <f>#REF!</f>
        <v>#REF!</v>
      </c>
      <c r="KR2" s="1" t="e">
        <f>#REF!</f>
        <v>#REF!</v>
      </c>
      <c r="KS2" s="1" t="e">
        <f>#REF!</f>
        <v>#REF!</v>
      </c>
      <c r="KT2" s="1" t="e">
        <f>#REF!</f>
        <v>#REF!</v>
      </c>
      <c r="KU2" s="1" t="e">
        <f>#REF!</f>
        <v>#REF!</v>
      </c>
      <c r="KV2" s="1" t="e">
        <f>#REF!</f>
        <v>#REF!</v>
      </c>
      <c r="KW2" s="1" t="e">
        <f>#REF!</f>
        <v>#REF!</v>
      </c>
      <c r="KX2" s="1" t="e">
        <f>#REF!</f>
        <v>#REF!</v>
      </c>
      <c r="KY2" s="1" t="e">
        <f>#REF!</f>
        <v>#REF!</v>
      </c>
      <c r="KZ2" s="1" t="e">
        <f>#REF!</f>
        <v>#REF!</v>
      </c>
      <c r="LA2" s="1" t="e">
        <f>#REF!</f>
        <v>#REF!</v>
      </c>
      <c r="LB2" s="1" t="e">
        <f>#REF!</f>
        <v>#REF!</v>
      </c>
      <c r="LC2" s="1" t="e">
        <f>#REF!</f>
        <v>#REF!</v>
      </c>
      <c r="LD2" s="2" t="e">
        <f>#REF!</f>
        <v>#REF!</v>
      </c>
      <c r="LE2" s="2" t="e">
        <f>#REF!</f>
        <v>#REF!</v>
      </c>
      <c r="LF2" s="2" t="e">
        <f>#REF!</f>
        <v>#REF!</v>
      </c>
      <c r="LG2" s="8" t="e">
        <f>#REF!</f>
        <v>#REF!</v>
      </c>
      <c r="LH2" s="2" t="e">
        <f>#REF!</f>
        <v>#REF!</v>
      </c>
      <c r="LI2" s="2" t="e">
        <f>#REF!</f>
        <v>#REF!</v>
      </c>
      <c r="LJ2" s="8" t="e">
        <f>#REF!</f>
        <v>#REF!</v>
      </c>
      <c r="LK2" s="8" t="e">
        <f>#REF!</f>
        <v>#REF!</v>
      </c>
      <c r="LL2" s="8" t="e">
        <f>#REF!</f>
        <v>#REF!</v>
      </c>
      <c r="LM2" s="8" t="e">
        <f>#REF!</f>
        <v>#REF!</v>
      </c>
      <c r="LN2" s="7" t="e">
        <f>#REF!</f>
        <v>#REF!</v>
      </c>
      <c r="LO2" s="7" t="e">
        <f>#REF!</f>
        <v>#REF!</v>
      </c>
      <c r="LP2" s="7" t="e">
        <f>#REF!</f>
        <v>#REF!</v>
      </c>
      <c r="LQ2" s="7" t="e">
        <f>#REF!</f>
        <v>#REF!</v>
      </c>
      <c r="LR2" s="7" t="e">
        <f>#REF!</f>
        <v>#REF!</v>
      </c>
      <c r="LS2" s="7" t="e">
        <f>#REF!</f>
        <v>#REF!</v>
      </c>
      <c r="LT2" s="1" t="e">
        <f>#REF!</f>
        <v>#REF!</v>
      </c>
      <c r="LU2" s="1" t="e">
        <f>#REF!</f>
        <v>#REF!</v>
      </c>
      <c r="LV2" s="1" t="e">
        <f>#REF!</f>
        <v>#REF!</v>
      </c>
      <c r="LW2" s="7" t="e">
        <f>#REF!</f>
        <v>#REF!</v>
      </c>
      <c r="LX2" s="7" t="e">
        <f>#REF!</f>
        <v>#REF!</v>
      </c>
      <c r="LY2" s="7" t="e">
        <f>#REF!</f>
        <v>#REF!</v>
      </c>
      <c r="LZ2" s="7" t="e">
        <f>#REF!</f>
        <v>#REF!</v>
      </c>
      <c r="MA2" s="7" t="e">
        <f>#REF!</f>
        <v>#REF!</v>
      </c>
      <c r="MB2" s="7" t="e">
        <f>#REF!</f>
        <v>#REF!</v>
      </c>
      <c r="MC2" s="1" t="e">
        <f>#REF!</f>
        <v>#REF!</v>
      </c>
      <c r="MD2" s="1" t="e">
        <f>#REF!</f>
        <v>#REF!</v>
      </c>
      <c r="ME2" s="1" t="e">
        <f>#REF!</f>
        <v>#REF!</v>
      </c>
      <c r="MF2" s="7" t="e">
        <f>#REF!</f>
        <v>#REF!</v>
      </c>
      <c r="MG2" s="7" t="e">
        <f>#REF!</f>
        <v>#REF!</v>
      </c>
      <c r="MH2" s="7" t="e">
        <f>#REF!</f>
        <v>#REF!</v>
      </c>
      <c r="MI2" s="7" t="e">
        <f>#REF!</f>
        <v>#REF!</v>
      </c>
      <c r="MJ2" s="7" t="e">
        <f>#REF!</f>
        <v>#REF!</v>
      </c>
      <c r="MK2" s="7" t="e">
        <f>#REF!</f>
        <v>#REF!</v>
      </c>
      <c r="ML2" s="1" t="e">
        <f>#REF!</f>
        <v>#REF!</v>
      </c>
      <c r="MM2" s="1" t="e">
        <f>#REF!</f>
        <v>#REF!</v>
      </c>
      <c r="MN2" s="1" t="e">
        <f>#REF!</f>
        <v>#REF!</v>
      </c>
      <c r="MO2" s="1" t="e">
        <f>#REF!</f>
        <v>#REF!</v>
      </c>
      <c r="MP2" s="1" t="e">
        <f>#REF!</f>
        <v>#REF!</v>
      </c>
      <c r="MQ2" s="1" t="e">
        <f>#REF!</f>
        <v>#REF!</v>
      </c>
      <c r="MR2" s="1" t="e">
        <f>#REF!</f>
        <v>#REF!</v>
      </c>
      <c r="MS2" s="1" t="e">
        <f>#REF!</f>
        <v>#REF!</v>
      </c>
      <c r="MT2" s="1" t="e">
        <f>#REF!</f>
        <v>#REF!</v>
      </c>
      <c r="MU2" s="1" t="e">
        <f>#REF!</f>
        <v>#REF!</v>
      </c>
      <c r="MV2" s="1" t="e">
        <f>#REF!</f>
        <v>#REF!</v>
      </c>
      <c r="MW2" s="1" t="e">
        <f>#REF!</f>
        <v>#REF!</v>
      </c>
      <c r="MX2" s="1" t="e">
        <f>#REF!</f>
        <v>#REF!</v>
      </c>
      <c r="MY2" s="1" t="e">
        <f>#REF!</f>
        <v>#REF!</v>
      </c>
      <c r="MZ2" s="1" t="e">
        <f>#REF!</f>
        <v>#REF!</v>
      </c>
      <c r="NA2" s="1" t="e">
        <f>#REF!</f>
        <v>#REF!</v>
      </c>
      <c r="NB2" s="1" t="e">
        <f>#REF!</f>
        <v>#REF!</v>
      </c>
      <c r="NC2" s="1" t="e">
        <f>#REF!</f>
        <v>#REF!</v>
      </c>
      <c r="ND2" s="1" t="e">
        <f>#REF!</f>
        <v>#REF!</v>
      </c>
      <c r="NE2" s="1" t="e">
        <f>#REF!</f>
        <v>#REF!</v>
      </c>
      <c r="NF2" s="1" t="e">
        <f>#REF!</f>
        <v>#REF!</v>
      </c>
      <c r="NG2" s="1" t="e">
        <f>#REF!</f>
        <v>#REF!</v>
      </c>
      <c r="NH2" s="1" t="e">
        <f>#REF!</f>
        <v>#REF!</v>
      </c>
      <c r="NI2" s="1" t="e">
        <f>#REF!</f>
        <v>#REF!</v>
      </c>
      <c r="NJ2" s="1" t="e">
        <f>#REF!</f>
        <v>#REF!</v>
      </c>
      <c r="NK2" s="1" t="e">
        <f>#REF!</f>
        <v>#REF!</v>
      </c>
      <c r="NL2" s="1" t="e">
        <f>#REF!</f>
        <v>#REF!</v>
      </c>
      <c r="NM2" s="1" t="e">
        <f>#REF!</f>
        <v>#REF!</v>
      </c>
      <c r="NN2" s="1" t="e">
        <f>#REF!</f>
        <v>#REF!</v>
      </c>
      <c r="NO2" s="1" t="e">
        <f>#REF!</f>
        <v>#REF!</v>
      </c>
      <c r="NP2" s="1" t="e">
        <f>#REF!</f>
        <v>#REF!</v>
      </c>
      <c r="NQ2" s="1" t="e">
        <f>#REF!</f>
        <v>#REF!</v>
      </c>
      <c r="NR2" s="1" t="e">
        <f>#REF!</f>
        <v>#REF!</v>
      </c>
      <c r="NS2" s="1" t="e">
        <f>#REF!</f>
        <v>#REF!</v>
      </c>
      <c r="NT2" s="1" t="e">
        <f>#REF!</f>
        <v>#REF!</v>
      </c>
      <c r="NU2" s="1" t="e">
        <f>#REF!</f>
        <v>#REF!</v>
      </c>
      <c r="NV2" s="1" t="e">
        <f>#REF!</f>
        <v>#REF!</v>
      </c>
      <c r="NW2" s="1" t="e">
        <f>#REF!</f>
        <v>#REF!</v>
      </c>
      <c r="NX2" s="1" t="e">
        <f>#REF!</f>
        <v>#REF!</v>
      </c>
      <c r="NY2" s="1" t="e">
        <f>#REF!</f>
        <v>#REF!</v>
      </c>
      <c r="NZ2" s="1" t="e">
        <f>#REF!</f>
        <v>#REF!</v>
      </c>
      <c r="OA2" s="1" t="e">
        <f>#REF!</f>
        <v>#REF!</v>
      </c>
      <c r="OB2" s="1" t="e">
        <f>#REF!</f>
        <v>#REF!</v>
      </c>
      <c r="OC2" s="1" t="e">
        <f>#REF!</f>
        <v>#REF!</v>
      </c>
      <c r="OD2" s="1" t="e">
        <f>#REF!</f>
        <v>#REF!</v>
      </c>
      <c r="OE2" s="1" t="e">
        <f>#REF!</f>
        <v>#REF!</v>
      </c>
      <c r="OF2" s="1" t="e">
        <f>#REF!</f>
        <v>#REF!</v>
      </c>
      <c r="OG2" s="1" t="e">
        <f>#REF!</f>
        <v>#REF!</v>
      </c>
      <c r="OH2" s="1" t="e">
        <f>#REF!</f>
        <v>#REF!</v>
      </c>
      <c r="OI2" s="1" t="e">
        <f>#REF!</f>
        <v>#REF!</v>
      </c>
      <c r="OJ2" s="1" t="e">
        <f>#REF!</f>
        <v>#REF!</v>
      </c>
      <c r="OK2" s="1" t="e">
        <f>#REF!</f>
        <v>#REF!</v>
      </c>
      <c r="OL2" s="1" t="e">
        <f>#REF!</f>
        <v>#REF!</v>
      </c>
      <c r="OM2" s="1" t="e">
        <f>#REF!</f>
        <v>#REF!</v>
      </c>
      <c r="ON2" s="1" t="e">
        <f>#REF!</f>
        <v>#REF!</v>
      </c>
      <c r="OO2" s="1" t="e">
        <f>#REF!</f>
        <v>#REF!</v>
      </c>
      <c r="OP2" s="1" t="e">
        <f>#REF!</f>
        <v>#REF!</v>
      </c>
      <c r="OQ2" s="1" t="e">
        <f>#REF!</f>
        <v>#REF!</v>
      </c>
      <c r="OR2" s="1" t="e">
        <f>#REF!</f>
        <v>#REF!</v>
      </c>
      <c r="OS2" s="1" t="e">
        <f>#REF!</f>
        <v>#REF!</v>
      </c>
      <c r="OT2" s="1" t="e">
        <f>#REF!</f>
        <v>#REF!</v>
      </c>
      <c r="OU2" s="1" t="e">
        <f>#REF!</f>
        <v>#REF!</v>
      </c>
      <c r="OV2" s="1" t="e">
        <f>#REF!</f>
        <v>#REF!</v>
      </c>
      <c r="OW2" s="1" t="e">
        <f>#REF!</f>
        <v>#REF!</v>
      </c>
      <c r="OX2" s="1" t="e">
        <f>#REF!</f>
        <v>#REF!</v>
      </c>
      <c r="OY2" s="1" t="e">
        <f>#REF!</f>
        <v>#REF!</v>
      </c>
      <c r="OZ2" s="1" t="e">
        <f>#REF!</f>
        <v>#REF!</v>
      </c>
      <c r="PA2" s="1" t="e">
        <f>#REF!</f>
        <v>#REF!</v>
      </c>
      <c r="PB2" s="1" t="e">
        <f>#REF!</f>
        <v>#REF!</v>
      </c>
      <c r="PC2" s="1" t="e">
        <f>#REF!</f>
        <v>#REF!</v>
      </c>
      <c r="PD2" s="1" t="e">
        <f>#REF!</f>
        <v>#REF!</v>
      </c>
      <c r="PE2" s="1" t="e">
        <f>#REF!</f>
        <v>#REF!</v>
      </c>
      <c r="PF2" s="1" t="e">
        <f>#REF!</f>
        <v>#REF!</v>
      </c>
      <c r="PG2" s="1" t="e">
        <f>#REF!</f>
        <v>#REF!</v>
      </c>
      <c r="PH2" s="1" t="e">
        <f>#REF!</f>
        <v>#REF!</v>
      </c>
      <c r="PI2" s="1" t="e">
        <f>#REF!</f>
        <v>#REF!</v>
      </c>
      <c r="PJ2" s="1" t="e">
        <f>#REF!</f>
        <v>#REF!</v>
      </c>
      <c r="PK2" s="1" t="e">
        <f>#REF!</f>
        <v>#REF!</v>
      </c>
      <c r="PL2" s="1" t="e">
        <f>#REF!</f>
        <v>#REF!</v>
      </c>
      <c r="PM2" s="1" t="e">
        <f>#REF!</f>
        <v>#REF!</v>
      </c>
      <c r="PN2" s="1" t="e">
        <f>#REF!</f>
        <v>#REF!</v>
      </c>
      <c r="PO2" s="1" t="e">
        <f>#REF!</f>
        <v>#REF!</v>
      </c>
      <c r="PP2" s="1" t="e">
        <f>#REF!</f>
        <v>#REF!</v>
      </c>
      <c r="PQ2" s="1" t="e">
        <f>#REF!</f>
        <v>#REF!</v>
      </c>
      <c r="PR2" s="1" t="e">
        <f>#REF!</f>
        <v>#REF!</v>
      </c>
      <c r="PS2" s="1" t="e">
        <f>#REF!</f>
        <v>#REF!</v>
      </c>
      <c r="PT2" s="1" t="e">
        <f>#REF!</f>
        <v>#REF!</v>
      </c>
      <c r="PU2" s="1" t="e">
        <f>#REF!</f>
        <v>#REF!</v>
      </c>
      <c r="PV2" s="1" t="e">
        <f>#REF!</f>
        <v>#REF!</v>
      </c>
      <c r="PW2" s="1" t="e">
        <f>#REF!</f>
        <v>#REF!</v>
      </c>
      <c r="PX2" s="1" t="e">
        <f>#REF!</f>
        <v>#REF!</v>
      </c>
      <c r="PY2" s="1" t="e">
        <f>#REF!</f>
        <v>#REF!</v>
      </c>
      <c r="PZ2" s="9" t="e">
        <f>#REF!</f>
        <v>#REF!</v>
      </c>
      <c r="QA2" s="9" t="e">
        <f>#REF!</f>
        <v>#REF!</v>
      </c>
      <c r="QB2" s="1" t="e">
        <f>#REF!</f>
        <v>#REF!</v>
      </c>
      <c r="QC2" s="1" t="e">
        <f>#REF!</f>
        <v>#REF!</v>
      </c>
      <c r="QD2" s="1" t="e">
        <f>#REF!</f>
        <v>#REF!</v>
      </c>
      <c r="QE2" s="1" t="e">
        <f>#REF!</f>
        <v>#REF!</v>
      </c>
      <c r="QF2" s="1" t="e">
        <f>#REF!</f>
        <v>#REF!</v>
      </c>
      <c r="QG2" s="1" t="e">
        <f>#REF!</f>
        <v>#REF!</v>
      </c>
      <c r="QH2" s="1" t="e">
        <f>#REF!</f>
        <v>#REF!</v>
      </c>
      <c r="QI2" s="1" t="e">
        <f>#REF!</f>
        <v>#REF!</v>
      </c>
      <c r="QJ2" s="1" t="e">
        <f>#REF!</f>
        <v>#REF!</v>
      </c>
      <c r="QK2" s="1" t="e">
        <f>#REF!</f>
        <v>#REF!</v>
      </c>
      <c r="QL2" s="1" t="e">
        <f>#REF!</f>
        <v>#REF!</v>
      </c>
      <c r="QM2" s="1" t="e">
        <f>#REF!</f>
        <v>#REF!</v>
      </c>
      <c r="QN2" s="1" t="e">
        <f>#REF!</f>
        <v>#REF!</v>
      </c>
      <c r="QO2" s="1" t="e">
        <f>#REF!</f>
        <v>#REF!</v>
      </c>
      <c r="QP2" s="1" t="e">
        <f>#REF!</f>
        <v>#REF!</v>
      </c>
      <c r="QQ2" s="1" t="e">
        <f>#REF!</f>
        <v>#REF!</v>
      </c>
      <c r="QR2" s="1" t="e">
        <f>#REF!</f>
        <v>#REF!</v>
      </c>
      <c r="QS2" s="1" t="e">
        <f>#REF!</f>
        <v>#REF!</v>
      </c>
      <c r="QT2" s="1" t="e">
        <f>#REF!</f>
        <v>#REF!</v>
      </c>
      <c r="QU2" s="1" t="e">
        <f>#REF!</f>
        <v>#REF!</v>
      </c>
      <c r="QV2" s="1" t="e">
        <f>#REF!</f>
        <v>#REF!</v>
      </c>
      <c r="QW2" s="1" t="e">
        <f>#REF!</f>
        <v>#REF!</v>
      </c>
      <c r="QX2" s="2" t="e">
        <f>#REF!</f>
        <v>#REF!</v>
      </c>
      <c r="QY2" s="2" t="e">
        <f>#REF!</f>
        <v>#REF!</v>
      </c>
      <c r="QZ2" s="2" t="e">
        <f>#REF!</f>
        <v>#REF!</v>
      </c>
      <c r="RA2" s="2" t="e">
        <f>#REF!</f>
        <v>#REF!</v>
      </c>
      <c r="RB2" s="2" t="e">
        <f>#REF!</f>
        <v>#REF!</v>
      </c>
      <c r="RC2" s="2" t="e">
        <f>#REF!</f>
        <v>#REF!</v>
      </c>
      <c r="RD2" s="2" t="e">
        <f>#REF!</f>
        <v>#REF!</v>
      </c>
      <c r="RE2" s="2" t="e">
        <f>#REF!</f>
        <v>#REF!</v>
      </c>
      <c r="RF2" s="2" t="e">
        <f>#REF!</f>
        <v>#REF!</v>
      </c>
      <c r="RG2" s="2" t="e">
        <f>#REF!</f>
        <v>#REF!</v>
      </c>
      <c r="RH2" s="2" t="e">
        <f>#REF!</f>
        <v>#REF!</v>
      </c>
      <c r="RI2" s="2" t="e">
        <f>#REF!</f>
        <v>#REF!</v>
      </c>
      <c r="RJ2" s="2" t="e">
        <f>#REF!</f>
        <v>#REF!</v>
      </c>
      <c r="RK2" s="2" t="e">
        <f>#REF!</f>
        <v>#REF!</v>
      </c>
      <c r="RL2" s="2" t="e">
        <f>#REF!</f>
        <v>#REF!</v>
      </c>
      <c r="RM2" s="2" t="e">
        <f>#REF!</f>
        <v>#REF!</v>
      </c>
      <c r="RN2" s="2" t="e">
        <f>#REF!</f>
        <v>#REF!</v>
      </c>
      <c r="RO2" s="2" t="e">
        <f>#REF!</f>
        <v>#REF!</v>
      </c>
      <c r="RP2" s="2" t="e">
        <f>#REF!</f>
        <v>#REF!</v>
      </c>
      <c r="RQ2" s="2" t="e">
        <f>#REF!</f>
        <v>#REF!</v>
      </c>
      <c r="RR2" s="2" t="e">
        <f>#REF!</f>
        <v>#REF!</v>
      </c>
      <c r="RS2" s="2" t="e">
        <f>#REF!</f>
        <v>#REF!</v>
      </c>
      <c r="RT2" s="2" t="e">
        <f>#REF!</f>
        <v>#REF!</v>
      </c>
      <c r="RU2" s="2" t="e">
        <f>#REF!</f>
        <v>#REF!</v>
      </c>
      <c r="RV2" s="2" t="e">
        <f>#REF!</f>
        <v>#REF!</v>
      </c>
      <c r="RW2" s="2" t="e">
        <f>#REF!</f>
        <v>#REF!</v>
      </c>
      <c r="RX2" s="2" t="e">
        <f>#REF!</f>
        <v>#REF!</v>
      </c>
      <c r="RY2" s="2" t="e">
        <f>#REF!</f>
        <v>#REF!</v>
      </c>
      <c r="RZ2" s="2" t="e">
        <f>#REF!</f>
        <v>#REF!</v>
      </c>
      <c r="SA2" s="2" t="e">
        <f>#REF!</f>
        <v>#REF!</v>
      </c>
      <c r="SB2" s="2" t="e">
        <f>#REF!</f>
        <v>#REF!</v>
      </c>
      <c r="SC2" s="2" t="e">
        <f>#REF!</f>
        <v>#REF!</v>
      </c>
      <c r="SD2" s="2" t="e">
        <f>#REF!</f>
        <v>#REF!</v>
      </c>
      <c r="SE2" s="2" t="e">
        <f>#REF!</f>
        <v>#REF!</v>
      </c>
      <c r="SF2" s="2" t="e">
        <f>#REF!</f>
        <v>#REF!</v>
      </c>
      <c r="SG2" s="2" t="e">
        <f>#REF!</f>
        <v>#REF!</v>
      </c>
      <c r="SH2" s="2" t="e">
        <f>#REF!</f>
        <v>#REF!</v>
      </c>
      <c r="SI2" s="2" t="e">
        <f>#REF!</f>
        <v>#REF!</v>
      </c>
      <c r="SJ2" s="2" t="e">
        <f>#REF!</f>
        <v>#REF!</v>
      </c>
      <c r="SK2" s="2" t="e">
        <f>#REF!</f>
        <v>#REF!</v>
      </c>
      <c r="SL2" s="2" t="e">
        <f>#REF!</f>
        <v>#REF!</v>
      </c>
      <c r="SM2" s="2" t="e">
        <f>#REF!</f>
        <v>#REF!</v>
      </c>
      <c r="SN2" s="2" t="e">
        <f>#REF!</f>
        <v>#REF!</v>
      </c>
      <c r="SO2" s="2" t="e">
        <f>#REF!</f>
        <v>#REF!</v>
      </c>
      <c r="SP2" s="2" t="e">
        <f>#REF!</f>
        <v>#REF!</v>
      </c>
      <c r="SQ2" s="2" t="e">
        <f>#REF!</f>
        <v>#REF!</v>
      </c>
      <c r="SR2" s="2" t="e">
        <f>#REF!</f>
        <v>#REF!</v>
      </c>
      <c r="SS2" s="2" t="e">
        <f>#REF!</f>
        <v>#REF!</v>
      </c>
      <c r="ST2" s="2" t="e">
        <f>#REF!</f>
        <v>#REF!</v>
      </c>
      <c r="SU2" s="2" t="e">
        <f>#REF!</f>
        <v>#REF!</v>
      </c>
      <c r="SV2" s="2" t="e">
        <f>#REF!</f>
        <v>#REF!</v>
      </c>
      <c r="SW2" s="2" t="e">
        <f>#REF!</f>
        <v>#REF!</v>
      </c>
      <c r="SX2" s="2" t="e">
        <f>#REF!</f>
        <v>#REF!</v>
      </c>
      <c r="SY2" s="1" t="e">
        <f>#REF!</f>
        <v>#REF!</v>
      </c>
      <c r="SZ2" s="1" t="e">
        <f>#REF!</f>
        <v>#REF!</v>
      </c>
      <c r="TA2" s="1" t="e">
        <f>#REF!</f>
        <v>#REF!</v>
      </c>
      <c r="TB2" s="1" t="e">
        <f>#REF!</f>
        <v>#REF!</v>
      </c>
      <c r="TC2" s="1" t="e">
        <f>#REF!</f>
        <v>#REF!</v>
      </c>
      <c r="TD2" s="1" t="e">
        <f>#REF!</f>
        <v>#REF!</v>
      </c>
      <c r="TE2" s="1" t="e">
        <f>#REF!</f>
        <v>#REF!</v>
      </c>
      <c r="TF2" s="1" t="e">
        <f>#REF!</f>
        <v>#REF!</v>
      </c>
      <c r="TG2" s="1" t="e">
        <f>#REF!</f>
        <v>#REF!</v>
      </c>
      <c r="TH2" s="1" t="e">
        <f>#REF!</f>
        <v>#REF!</v>
      </c>
      <c r="TI2" s="1" t="e">
        <f>#REF!</f>
        <v>#REF!</v>
      </c>
      <c r="TJ2" s="1" t="e">
        <f>#REF!</f>
        <v>#REF!</v>
      </c>
      <c r="TK2" s="1" t="e">
        <f>#REF!</f>
        <v>#REF!</v>
      </c>
      <c r="TL2" s="1" t="e">
        <f>#REF!</f>
        <v>#REF!</v>
      </c>
      <c r="TM2" s="1" t="e">
        <f>#REF!</f>
        <v>#REF!</v>
      </c>
      <c r="TN2" s="1" t="e">
        <f>#REF!</f>
        <v>#REF!</v>
      </c>
      <c r="TO2" s="1" t="e">
        <f>#REF!</f>
        <v>#REF!</v>
      </c>
      <c r="TP2" s="1" t="e">
        <f>#REF!</f>
        <v>#REF!</v>
      </c>
      <c r="TQ2" s="1" t="e">
        <f>#REF!</f>
        <v>#REF!</v>
      </c>
      <c r="TR2" s="1" t="e">
        <f>#REF!</f>
        <v>#REF!</v>
      </c>
      <c r="TS2" s="1" t="e">
        <f>#REF!</f>
        <v>#REF!</v>
      </c>
      <c r="TT2" s="1" t="e">
        <f>#REF!</f>
        <v>#REF!</v>
      </c>
      <c r="TU2" s="1" t="e">
        <f>#REF!</f>
        <v>#REF!</v>
      </c>
      <c r="TV2" s="1" t="e">
        <f>#REF!</f>
        <v>#REF!</v>
      </c>
      <c r="TW2" s="1" t="e">
        <f>#REF!</f>
        <v>#REF!</v>
      </c>
      <c r="TX2" s="1" t="e">
        <f>#REF!</f>
        <v>#REF!</v>
      </c>
      <c r="TY2" s="1" t="e">
        <f>#REF!</f>
        <v>#REF!</v>
      </c>
      <c r="TZ2" s="1" t="e">
        <f>#REF!</f>
        <v>#REF!</v>
      </c>
      <c r="UA2" s="1" t="e">
        <f>#REF!</f>
        <v>#REF!</v>
      </c>
      <c r="UB2" s="1" t="e">
        <f>#REF!</f>
        <v>#REF!</v>
      </c>
      <c r="UC2" s="1" t="e">
        <f>#REF!</f>
        <v>#REF!</v>
      </c>
      <c r="UD2" s="1" t="e">
        <f>#REF!</f>
        <v>#REF!</v>
      </c>
      <c r="UE2" s="1" t="e">
        <f>#REF!</f>
        <v>#REF!</v>
      </c>
      <c r="UF2" s="1" t="e">
        <f>#REF!</f>
        <v>#REF!</v>
      </c>
      <c r="UG2" s="1" t="e">
        <f>#REF!</f>
        <v>#REF!</v>
      </c>
      <c r="UH2" s="1" t="e">
        <f>#REF!</f>
        <v>#REF!</v>
      </c>
      <c r="UI2" s="1" t="e">
        <f>#REF!</f>
        <v>#REF!</v>
      </c>
      <c r="UJ2" s="1" t="e">
        <f>#REF!</f>
        <v>#REF!</v>
      </c>
      <c r="UK2" s="1" t="e">
        <f>#REF!</f>
        <v>#REF!</v>
      </c>
      <c r="UL2" s="1" t="e">
        <f>#REF!</f>
        <v>#REF!</v>
      </c>
      <c r="UM2" s="1" t="e">
        <f>#REF!</f>
        <v>#REF!</v>
      </c>
      <c r="UN2" s="1" t="e">
        <f>#REF!</f>
        <v>#REF!</v>
      </c>
      <c r="UO2" s="1" t="e">
        <f>#REF!</f>
        <v>#REF!</v>
      </c>
      <c r="UP2" s="1" t="e">
        <f>#REF!</f>
        <v>#REF!</v>
      </c>
      <c r="UQ2" s="1" t="e">
        <f>#REF!</f>
        <v>#REF!</v>
      </c>
      <c r="UR2" s="1" t="e">
        <f>#REF!</f>
        <v>#REF!</v>
      </c>
      <c r="US2" s="1" t="e">
        <f>#REF!</f>
        <v>#REF!</v>
      </c>
      <c r="UT2" s="1" t="e">
        <f>#REF!</f>
        <v>#REF!</v>
      </c>
      <c r="UU2" s="1" t="e">
        <f>#REF!</f>
        <v>#REF!</v>
      </c>
      <c r="UV2" s="1" t="e">
        <f>#REF!</f>
        <v>#REF!</v>
      </c>
      <c r="UW2" s="1" t="e">
        <f>#REF!</f>
        <v>#REF!</v>
      </c>
      <c r="UX2" s="1" t="e">
        <f>#REF!</f>
        <v>#REF!</v>
      </c>
      <c r="UY2" s="1" t="e">
        <f>#REF!</f>
        <v>#REF!</v>
      </c>
      <c r="UZ2" s="1" t="e">
        <f>#REF!</f>
        <v>#REF!</v>
      </c>
      <c r="VA2" s="1" t="e">
        <f>#REF!</f>
        <v>#REF!</v>
      </c>
      <c r="VB2" s="1" t="e">
        <f>#REF!</f>
        <v>#REF!</v>
      </c>
      <c r="VC2" s="1" t="e">
        <f>#REF!</f>
        <v>#REF!</v>
      </c>
      <c r="VD2" s="1" t="e">
        <f>#REF!</f>
        <v>#REF!</v>
      </c>
      <c r="VE2" s="1" t="e">
        <f>#REF!</f>
        <v>#REF!</v>
      </c>
      <c r="VF2" s="1" t="e">
        <f>#REF!</f>
        <v>#REF!</v>
      </c>
      <c r="VG2" s="1" t="e">
        <f>#REF!</f>
        <v>#REF!</v>
      </c>
      <c r="VH2" s="1" t="e">
        <f>#REF!</f>
        <v>#REF!</v>
      </c>
      <c r="VI2" s="1" t="e">
        <f>#REF!</f>
        <v>#REF!</v>
      </c>
      <c r="VJ2" s="1" t="e">
        <f>#REF!</f>
        <v>#REF!</v>
      </c>
      <c r="VK2" s="1" t="e">
        <f>#REF!</f>
        <v>#REF!</v>
      </c>
      <c r="VL2" t="str">
        <f>'（参考）包括・任意事業の上限額算定の手引き'!$E5</f>
        <v/>
      </c>
      <c r="VM2" t="str">
        <f>'（参考）包括・任意事業の上限額算定の手引き'!$E6</f>
        <v/>
      </c>
      <c r="VN2" t="str">
        <f>'（参考）包括・任意事業の上限額算定の手引き'!$E7</f>
        <v>①原則の上限額</v>
      </c>
      <c r="VO2">
        <f>'（参考）包括・任意事業の上限額算定の手引き'!$E10</f>
        <v>24076130</v>
      </c>
      <c r="VP2">
        <f>'（参考）包括・任意事業の上限額算定の手引き'!$E11</f>
        <v>3464</v>
      </c>
      <c r="VQ2">
        <f>'（参考）包括・任意事業の上限額算定の手引き'!$E12</f>
        <v>3497</v>
      </c>
      <c r="VR2">
        <f>'（参考）包括・任意事業の上限額算定の手引き'!$E13</f>
        <v>1.0032000000000001</v>
      </c>
      <c r="VS2">
        <f>'（参考）包括・任意事業の上限額算定の手引き'!$E14</f>
        <v>24153173</v>
      </c>
      <c r="VT2">
        <f>'（参考）包括・任意事業の上限額算定の手引き'!$E17</f>
        <v>3497</v>
      </c>
      <c r="VU2">
        <f>'（参考）包括・任意事業の上限額算定の手引き'!$E18</f>
        <v>19427777</v>
      </c>
      <c r="VV2">
        <f>'（参考）包括・任意事業の上限額算定の手引き'!$E19</f>
        <v>3252210</v>
      </c>
      <c r="VW2">
        <f>'（参考）包括・任意事業の上限額算定の手引き'!$E20</f>
        <v>22679987</v>
      </c>
      <c r="VX2" t="e">
        <f>'（参考）包括・任意事業の上限額算定の手引き'!$E25</f>
        <v>#REF!</v>
      </c>
      <c r="VY2">
        <f>'（参考）包括・任意事業の上限額算定の手引き'!$E26</f>
        <v>3252210</v>
      </c>
      <c r="VZ2">
        <f>'（参考）包括・任意事業の上限額算定の手引き'!$E27</f>
        <v>0</v>
      </c>
      <c r="WA2">
        <f>'（参考）包括・任意事業の上限額算定の手引き'!$E28</f>
        <v>0</v>
      </c>
      <c r="WB2">
        <f>'（参考）包括・任意事業の上限額算定の手引き'!$E29</f>
        <v>3252210</v>
      </c>
      <c r="WC2" t="e">
        <f>'（参考）包括・任意事業の上限額算定の手引き'!$E30</f>
        <v>#REF!</v>
      </c>
      <c r="WD2" t="str">
        <f>'（参考）包括・任意事業の上限額算定の手引き'!$G5</f>
        <v/>
      </c>
      <c r="WE2" t="str">
        <f>'（参考）包括・任意事業の上限額算定の手引き'!$G6</f>
        <v/>
      </c>
      <c r="WF2">
        <f>'（参考）包括・任意事業の上限額算定の手引き'!$G7</f>
        <v>0</v>
      </c>
      <c r="WG2">
        <f>'（参考）包括・任意事業の上限額算定の手引き'!$G10</f>
        <v>0</v>
      </c>
      <c r="WH2">
        <f>'（参考）包括・任意事業の上限額算定の手引き'!$G11</f>
        <v>0</v>
      </c>
      <c r="WI2">
        <f>'（参考）包括・任意事業の上限額算定の手引き'!$G12</f>
        <v>0</v>
      </c>
      <c r="WJ2" t="str">
        <f>'（参考）包括・任意事業の上限額算定の手引き'!$G13</f>
        <v xml:space="preserve"> </v>
      </c>
      <c r="WK2">
        <f>'（参考）包括・任意事業の上限額算定の手引き'!$G14</f>
        <v>0</v>
      </c>
      <c r="WL2">
        <f>'（参考）包括・任意事業の上限額算定の手引き'!$G17</f>
        <v>0</v>
      </c>
      <c r="WM2">
        <f>'（参考）包括・任意事業の上限額算定の手引き'!$G18</f>
        <v>0</v>
      </c>
      <c r="WN2">
        <f>'（参考）包括・任意事業の上限額算定の手引き'!$G19</f>
        <v>0</v>
      </c>
      <c r="WO2">
        <f>'（参考）包括・任意事業の上限額算定の手引き'!$G20</f>
        <v>0</v>
      </c>
      <c r="WP2">
        <f>'（参考）包括・任意事業の上限額算定の手引き'!$G25</f>
        <v>0</v>
      </c>
      <c r="WQ2">
        <f>'（参考）包括・任意事業の上限額算定の手引き'!$G26</f>
        <v>0</v>
      </c>
      <c r="WR2">
        <f>'（参考）包括・任意事業の上限額算定の手引き'!$G27</f>
        <v>0</v>
      </c>
      <c r="WS2">
        <f>'（参考）包括・任意事業の上限額算定の手引き'!$G28</f>
        <v>0</v>
      </c>
      <c r="WT2">
        <f>'（参考）包括・任意事業の上限額算定の手引き'!$G29</f>
        <v>0</v>
      </c>
      <c r="WU2" t="str">
        <f>'（参考）包括・任意事業の上限額算定の手引き'!$G30</f>
        <v>×</v>
      </c>
      <c r="WV2" t="str">
        <f>'（参考）包括・任意事業の上限額算定の手引き'!$I5</f>
        <v/>
      </c>
      <c r="WW2" t="str">
        <f>'（参考）包括・任意事業の上限額算定の手引き'!$I6</f>
        <v/>
      </c>
      <c r="WX2">
        <f>'（参考）包括・任意事業の上限額算定の手引き'!$I7</f>
        <v>0</v>
      </c>
      <c r="WY2">
        <f>'（参考）包括・任意事業の上限額算定の手引き'!$I10</f>
        <v>0</v>
      </c>
      <c r="WZ2">
        <f>'（参考）包括・任意事業の上限額算定の手引き'!$I11</f>
        <v>0</v>
      </c>
      <c r="XA2">
        <f>'（参考）包括・任意事業の上限額算定の手引き'!$I12</f>
        <v>0</v>
      </c>
      <c r="XB2" t="str">
        <f>'（参考）包括・任意事業の上限額算定の手引き'!$I13</f>
        <v xml:space="preserve"> </v>
      </c>
      <c r="XC2">
        <f>'（参考）包括・任意事業の上限額算定の手引き'!$I14</f>
        <v>0</v>
      </c>
      <c r="XD2">
        <f>'（参考）包括・任意事業の上限額算定の手引き'!$I17</f>
        <v>0</v>
      </c>
      <c r="XE2">
        <f>'（参考）包括・任意事業の上限額算定の手引き'!$I18</f>
        <v>0</v>
      </c>
      <c r="XF2">
        <f>'（参考）包括・任意事業の上限額算定の手引き'!$I19</f>
        <v>0</v>
      </c>
      <c r="XG2">
        <f>'（参考）包括・任意事業の上限額算定の手引き'!$I20</f>
        <v>0</v>
      </c>
      <c r="XH2">
        <f>'（参考）包括・任意事業の上限額算定の手引き'!$I25</f>
        <v>0</v>
      </c>
      <c r="XI2">
        <f>'（参考）包括・任意事業の上限額算定の手引き'!$I26</f>
        <v>0</v>
      </c>
      <c r="XJ2">
        <f>'（参考）包括・任意事業の上限額算定の手引き'!$I27</f>
        <v>0</v>
      </c>
      <c r="XK2">
        <f>'（参考）包括・任意事業の上限額算定の手引き'!$I28</f>
        <v>0</v>
      </c>
      <c r="XL2">
        <f>'（参考）包括・任意事業の上限額算定の手引き'!$I29</f>
        <v>0</v>
      </c>
      <c r="XM2" t="str">
        <f>'（参考）包括・任意事業の上限額算定の手引き'!$I30</f>
        <v>×</v>
      </c>
      <c r="XN2" t="str">
        <f>'（参考）包括・任意事業の上限額算定の手引き'!$K5</f>
        <v/>
      </c>
      <c r="XO2" t="str">
        <f>'（参考）包括・任意事業の上限額算定の手引き'!$K6</f>
        <v/>
      </c>
      <c r="XP2">
        <f>'（参考）包括・任意事業の上限額算定の手引き'!$K7</f>
        <v>0</v>
      </c>
      <c r="XQ2">
        <f>'（参考）包括・任意事業の上限額算定の手引き'!$K10</f>
        <v>0</v>
      </c>
      <c r="XR2">
        <f>'（参考）包括・任意事業の上限額算定の手引き'!$K11</f>
        <v>0</v>
      </c>
      <c r="XS2">
        <f>'（参考）包括・任意事業の上限額算定の手引き'!$K12</f>
        <v>0</v>
      </c>
      <c r="XT2" t="str">
        <f>'（参考）包括・任意事業の上限額算定の手引き'!$K13</f>
        <v xml:space="preserve"> </v>
      </c>
      <c r="XU2">
        <f>'（参考）包括・任意事業の上限額算定の手引き'!$K14</f>
        <v>0</v>
      </c>
      <c r="XV2">
        <f>'（参考）包括・任意事業の上限額算定の手引き'!$K17</f>
        <v>0</v>
      </c>
      <c r="XW2">
        <f>'（参考）包括・任意事業の上限額算定の手引き'!$K18</f>
        <v>0</v>
      </c>
      <c r="XX2">
        <f>'（参考）包括・任意事業の上限額算定の手引き'!$K19</f>
        <v>0</v>
      </c>
      <c r="XY2">
        <f>'（参考）包括・任意事業の上限額算定の手引き'!$K20</f>
        <v>0</v>
      </c>
      <c r="XZ2">
        <f>'（参考）包括・任意事業の上限額算定の手引き'!$K25</f>
        <v>0</v>
      </c>
      <c r="YA2">
        <f>'（参考）包括・任意事業の上限額算定の手引き'!$K26</f>
        <v>0</v>
      </c>
      <c r="YB2">
        <f>'（参考）包括・任意事業の上限額算定の手引き'!$K27</f>
        <v>0</v>
      </c>
      <c r="YC2">
        <f>'（参考）包括・任意事業の上限額算定の手引き'!$K28</f>
        <v>0</v>
      </c>
      <c r="YD2">
        <f>'（参考）包括・任意事業の上限額算定の手引き'!$K29</f>
        <v>0</v>
      </c>
      <c r="YE2" t="str">
        <f>'（参考）包括・任意事業の上限額算定の手引き'!$K30</f>
        <v>×</v>
      </c>
      <c r="YF2" t="str">
        <f>'（参考）包括・任意事業の上限額算定の手引き'!$M5</f>
        <v/>
      </c>
      <c r="YG2" t="str">
        <f>'（参考）包括・任意事業の上限額算定の手引き'!$M6</f>
        <v/>
      </c>
      <c r="YH2">
        <f>'（参考）包括・任意事業の上限額算定の手引き'!$M7</f>
        <v>0</v>
      </c>
      <c r="YI2">
        <f>'（参考）包括・任意事業の上限額算定の手引き'!$M10</f>
        <v>0</v>
      </c>
      <c r="YJ2">
        <f>'（参考）包括・任意事業の上限額算定の手引き'!$M11</f>
        <v>0</v>
      </c>
      <c r="YK2">
        <f>'（参考）包括・任意事業の上限額算定の手引き'!$M12</f>
        <v>0</v>
      </c>
      <c r="YL2" t="str">
        <f>'（参考）包括・任意事業の上限額算定の手引き'!$M13</f>
        <v xml:space="preserve"> </v>
      </c>
      <c r="YM2">
        <f>'（参考）包括・任意事業の上限額算定の手引き'!$M14</f>
        <v>0</v>
      </c>
      <c r="YN2">
        <f>'（参考）包括・任意事業の上限額算定の手引き'!$M17</f>
        <v>0</v>
      </c>
      <c r="YO2">
        <f>'（参考）包括・任意事業の上限額算定の手引き'!$M18</f>
        <v>0</v>
      </c>
      <c r="YP2">
        <f>'（参考）包括・任意事業の上限額算定の手引き'!$M19</f>
        <v>0</v>
      </c>
      <c r="YQ2">
        <f>'（参考）包括・任意事業の上限額算定の手引き'!$M20</f>
        <v>0</v>
      </c>
      <c r="YR2">
        <f>'（参考）包括・任意事業の上限額算定の手引き'!$M25</f>
        <v>0</v>
      </c>
      <c r="YS2">
        <f>'（参考）包括・任意事業の上限額算定の手引き'!$M26</f>
        <v>0</v>
      </c>
      <c r="YT2">
        <f>'（参考）包括・任意事業の上限額算定の手引き'!$M27</f>
        <v>0</v>
      </c>
      <c r="YU2">
        <f>'（参考）包括・任意事業の上限額算定の手引き'!$M28</f>
        <v>0</v>
      </c>
      <c r="YV2">
        <f>'（参考）包括・任意事業の上限額算定の手引き'!$M29</f>
        <v>0</v>
      </c>
      <c r="YW2" t="str">
        <f>'（参考）包括・任意事業の上限額算定の手引き'!$M30</f>
        <v>×</v>
      </c>
      <c r="YX2" t="str">
        <f>'（参考）包括・任意事業の上限額算定の手引き'!$O5</f>
        <v/>
      </c>
      <c r="YY2" t="str">
        <f>'（参考）包括・任意事業の上限額算定の手引き'!$O6</f>
        <v/>
      </c>
      <c r="YZ2">
        <f>'（参考）包括・任意事業の上限額算定の手引き'!$O7</f>
        <v>0</v>
      </c>
      <c r="ZA2">
        <f>'（参考）包括・任意事業の上限額算定の手引き'!$O10</f>
        <v>0</v>
      </c>
      <c r="ZB2">
        <f>'（参考）包括・任意事業の上限額算定の手引き'!$O11</f>
        <v>0</v>
      </c>
      <c r="ZC2">
        <f>'（参考）包括・任意事業の上限額算定の手引き'!$O12</f>
        <v>0</v>
      </c>
      <c r="ZD2" t="str">
        <f>'（参考）包括・任意事業の上限額算定の手引き'!$O13</f>
        <v xml:space="preserve"> </v>
      </c>
      <c r="ZE2">
        <f>'（参考）包括・任意事業の上限額算定の手引き'!$O14</f>
        <v>0</v>
      </c>
      <c r="ZF2">
        <f>'（参考）包括・任意事業の上限額算定の手引き'!$O17</f>
        <v>0</v>
      </c>
      <c r="ZG2">
        <f>'（参考）包括・任意事業の上限額算定の手引き'!$O18</f>
        <v>0</v>
      </c>
      <c r="ZH2">
        <f>'（参考）包括・任意事業の上限額算定の手引き'!$O19</f>
        <v>0</v>
      </c>
      <c r="ZI2">
        <f>'（参考）包括・任意事業の上限額算定の手引き'!$O20</f>
        <v>0</v>
      </c>
      <c r="ZJ2">
        <f>'（参考）包括・任意事業の上限額算定の手引き'!$O25</f>
        <v>0</v>
      </c>
      <c r="ZK2">
        <f>'（参考）包括・任意事業の上限額算定の手引き'!$O26</f>
        <v>0</v>
      </c>
      <c r="ZL2">
        <f>'（参考）包括・任意事業の上限額算定の手引き'!$O27</f>
        <v>0</v>
      </c>
      <c r="ZM2">
        <f>'（参考）包括・任意事業の上限額算定の手引き'!$O28</f>
        <v>0</v>
      </c>
      <c r="ZN2">
        <f>'（参考）包括・任意事業の上限額算定の手引き'!$O29</f>
        <v>0</v>
      </c>
      <c r="ZO2" t="str">
        <f>'（参考）包括・任意事業の上限額算定の手引き'!$O30</f>
        <v>×</v>
      </c>
      <c r="ZP2" t="str">
        <f>'（参考）包括・任意事業の上限額算定の手引き'!$Q5</f>
        <v/>
      </c>
      <c r="ZQ2" t="str">
        <f>'（参考）包括・任意事業の上限額算定の手引き'!$Q6</f>
        <v/>
      </c>
      <c r="ZR2">
        <f>'（参考）包括・任意事業の上限額算定の手引き'!$Q7</f>
        <v>0</v>
      </c>
      <c r="ZS2">
        <f>'（参考）包括・任意事業の上限額算定の手引き'!$Q10</f>
        <v>0</v>
      </c>
      <c r="ZT2">
        <f>'（参考）包括・任意事業の上限額算定の手引き'!$Q11</f>
        <v>0</v>
      </c>
      <c r="ZU2">
        <f>'（参考）包括・任意事業の上限額算定の手引き'!$Q12</f>
        <v>0</v>
      </c>
      <c r="ZV2" t="str">
        <f>'（参考）包括・任意事業の上限額算定の手引き'!$Q13</f>
        <v xml:space="preserve"> </v>
      </c>
      <c r="ZW2">
        <f>'（参考）包括・任意事業の上限額算定の手引き'!$Q14</f>
        <v>0</v>
      </c>
      <c r="ZX2">
        <f>'（参考）包括・任意事業の上限額算定の手引き'!$Q17</f>
        <v>0</v>
      </c>
      <c r="ZY2">
        <f>'（参考）包括・任意事業の上限額算定の手引き'!$Q18</f>
        <v>0</v>
      </c>
      <c r="ZZ2">
        <f>'（参考）包括・任意事業の上限額算定の手引き'!$Q19</f>
        <v>0</v>
      </c>
      <c r="AAA2">
        <f>'（参考）包括・任意事業の上限額算定の手引き'!$Q20</f>
        <v>0</v>
      </c>
      <c r="AAB2">
        <f>'（参考）包括・任意事業の上限額算定の手引き'!$Q25</f>
        <v>0</v>
      </c>
      <c r="AAC2">
        <f>'（参考）包括・任意事業の上限額算定の手引き'!$Q26</f>
        <v>0</v>
      </c>
      <c r="AAD2">
        <f>'（参考）包括・任意事業の上限額算定の手引き'!$Q27</f>
        <v>0</v>
      </c>
      <c r="AAE2">
        <f>'（参考）包括・任意事業の上限額算定の手引き'!$Q28</f>
        <v>0</v>
      </c>
      <c r="AAF2">
        <f>'（参考）包括・任意事業の上限額算定の手引き'!$Q29</f>
        <v>0</v>
      </c>
      <c r="AAG2" t="str">
        <f>'（参考）包括・任意事業の上限額算定の手引き'!$Q30</f>
        <v>×</v>
      </c>
      <c r="AAH2" t="str">
        <f>'（参考）包括・任意事業の上限額算定の手引き'!$S5</f>
        <v/>
      </c>
      <c r="AAI2" t="str">
        <f>'（参考）包括・任意事業の上限額算定の手引き'!$S6</f>
        <v/>
      </c>
      <c r="AAJ2">
        <f>'（参考）包括・任意事業の上限額算定の手引き'!$S7</f>
        <v>0</v>
      </c>
      <c r="AAK2">
        <f>'（参考）包括・任意事業の上限額算定の手引き'!$S10</f>
        <v>0</v>
      </c>
      <c r="AAL2">
        <f>'（参考）包括・任意事業の上限額算定の手引き'!$S11</f>
        <v>0</v>
      </c>
      <c r="AAM2">
        <f>'（参考）包括・任意事業の上限額算定の手引き'!$S12</f>
        <v>0</v>
      </c>
      <c r="AAN2" t="str">
        <f>'（参考）包括・任意事業の上限額算定の手引き'!$S13</f>
        <v xml:space="preserve"> </v>
      </c>
      <c r="AAO2">
        <f>'（参考）包括・任意事業の上限額算定の手引き'!$S14</f>
        <v>0</v>
      </c>
      <c r="AAP2">
        <f>'（参考）包括・任意事業の上限額算定の手引き'!$S17</f>
        <v>0</v>
      </c>
      <c r="AAQ2">
        <f>'（参考）包括・任意事業の上限額算定の手引き'!$S18</f>
        <v>0</v>
      </c>
      <c r="AAR2">
        <f>'（参考）包括・任意事業の上限額算定の手引き'!$S19</f>
        <v>0</v>
      </c>
      <c r="AAS2">
        <f>'（参考）包括・任意事業の上限額算定の手引き'!$S20</f>
        <v>0</v>
      </c>
      <c r="AAT2">
        <f>'（参考）包括・任意事業の上限額算定の手引き'!$S25</f>
        <v>0</v>
      </c>
      <c r="AAU2">
        <f>'（参考）包括・任意事業の上限額算定の手引き'!$S26</f>
        <v>0</v>
      </c>
      <c r="AAV2">
        <f>'（参考）包括・任意事業の上限額算定の手引き'!$S27</f>
        <v>0</v>
      </c>
      <c r="AAW2">
        <f>'（参考）包括・任意事業の上限額算定の手引き'!$S28</f>
        <v>0</v>
      </c>
      <c r="AAX2">
        <f>'（参考）包括・任意事業の上限額算定の手引き'!$S29</f>
        <v>0</v>
      </c>
      <c r="AAY2" t="str">
        <f>'（参考）包括・任意事業の上限額算定の手引き'!$S30</f>
        <v>×</v>
      </c>
      <c r="AAZ2" t="str">
        <f>'（参考）包括・任意事業の上限額算定の手引き'!$U5</f>
        <v/>
      </c>
      <c r="ABA2" t="str">
        <f>'（参考）包括・任意事業の上限額算定の手引き'!$U6</f>
        <v/>
      </c>
      <c r="ABB2">
        <f>'（参考）包括・任意事業の上限額算定の手引き'!$U7</f>
        <v>0</v>
      </c>
      <c r="ABC2">
        <f>'（参考）包括・任意事業の上限額算定の手引き'!$U10</f>
        <v>0</v>
      </c>
      <c r="ABD2">
        <f>'（参考）包括・任意事業の上限額算定の手引き'!$U11</f>
        <v>0</v>
      </c>
      <c r="ABE2">
        <f>'（参考）包括・任意事業の上限額算定の手引き'!$U12</f>
        <v>0</v>
      </c>
      <c r="ABF2" t="str">
        <f>'（参考）包括・任意事業の上限額算定の手引き'!$U13</f>
        <v xml:space="preserve"> </v>
      </c>
      <c r="ABG2">
        <f>'（参考）包括・任意事業の上限額算定の手引き'!$U14</f>
        <v>0</v>
      </c>
      <c r="ABH2">
        <f>'（参考）包括・任意事業の上限額算定の手引き'!$U17</f>
        <v>0</v>
      </c>
      <c r="ABI2">
        <f>'（参考）包括・任意事業の上限額算定の手引き'!$U18</f>
        <v>0</v>
      </c>
      <c r="ABJ2">
        <f>'（参考）包括・任意事業の上限額算定の手引き'!$U19</f>
        <v>0</v>
      </c>
      <c r="ABK2">
        <f>'（参考）包括・任意事業の上限額算定の手引き'!$U20</f>
        <v>0</v>
      </c>
      <c r="ABL2">
        <f>'（参考）包括・任意事業の上限額算定の手引き'!$U25</f>
        <v>0</v>
      </c>
      <c r="ABM2">
        <f>'（参考）包括・任意事業の上限額算定の手引き'!$U26</f>
        <v>0</v>
      </c>
      <c r="ABN2">
        <f>'（参考）包括・任意事業の上限額算定の手引き'!$U27</f>
        <v>0</v>
      </c>
      <c r="ABO2">
        <f>'（参考）包括・任意事業の上限額算定の手引き'!$U28</f>
        <v>0</v>
      </c>
      <c r="ABP2">
        <f>'（参考）包括・任意事業の上限額算定の手引き'!$U29</f>
        <v>0</v>
      </c>
      <c r="ABQ2" t="str">
        <f>'（参考）包括・任意事業の上限額算定の手引き'!$U30</f>
        <v>×</v>
      </c>
      <c r="ABR2" t="str">
        <f>'（参考）包括・任意事業の上限額算定の手引き'!$W5</f>
        <v/>
      </c>
      <c r="ABS2" t="str">
        <f>'（参考）包括・任意事業の上限額算定の手引き'!$W6</f>
        <v/>
      </c>
      <c r="ABT2">
        <f>'（参考）包括・任意事業の上限額算定の手引き'!$W7</f>
        <v>0</v>
      </c>
      <c r="ABU2">
        <f>'（参考）包括・任意事業の上限額算定の手引き'!$W10</f>
        <v>0</v>
      </c>
      <c r="ABV2">
        <f>'（参考）包括・任意事業の上限額算定の手引き'!$W11</f>
        <v>0</v>
      </c>
      <c r="ABW2">
        <f>'（参考）包括・任意事業の上限額算定の手引き'!$W12</f>
        <v>0</v>
      </c>
      <c r="ABX2" t="str">
        <f>'（参考）包括・任意事業の上限額算定の手引き'!$W13</f>
        <v xml:space="preserve"> </v>
      </c>
      <c r="ABY2">
        <f>'（参考）包括・任意事業の上限額算定の手引き'!$W14</f>
        <v>0</v>
      </c>
      <c r="ABZ2">
        <f>'（参考）包括・任意事業の上限額算定の手引き'!$W17</f>
        <v>0</v>
      </c>
      <c r="ACA2">
        <f>'（参考）包括・任意事業の上限額算定の手引き'!$W18</f>
        <v>0</v>
      </c>
      <c r="ACB2">
        <f>'（参考）包括・任意事業の上限額算定の手引き'!$W19</f>
        <v>0</v>
      </c>
      <c r="ACC2">
        <f>'（参考）包括・任意事業の上限額算定の手引き'!$W20</f>
        <v>0</v>
      </c>
      <c r="ACD2">
        <f>'（参考）包括・任意事業の上限額算定の手引き'!$W25</f>
        <v>0</v>
      </c>
      <c r="ACE2">
        <f>'（参考）包括・任意事業の上限額算定の手引き'!$W26</f>
        <v>0</v>
      </c>
      <c r="ACF2">
        <f>'（参考）包括・任意事業の上限額算定の手引き'!$W27</f>
        <v>0</v>
      </c>
      <c r="ACG2">
        <f>'（参考）包括・任意事業の上限額算定の手引き'!$W28</f>
        <v>0</v>
      </c>
      <c r="ACH2">
        <f>'（参考）包括・任意事業の上限額算定の手引き'!$W29</f>
        <v>0</v>
      </c>
      <c r="ACI2" t="str">
        <f>'（参考）包括・任意事業の上限額算定の手引き'!$W30</f>
        <v>×</v>
      </c>
      <c r="ACJ2" t="str">
        <f>'（参考）包括・任意事業の上限額算定の手引き'!$Y5</f>
        <v/>
      </c>
      <c r="ACK2" t="str">
        <f>'（参考）包括・任意事業の上限額算定の手引き'!$Y6</f>
        <v/>
      </c>
      <c r="ACL2">
        <f>'（参考）包括・任意事業の上限額算定の手引き'!$Y7</f>
        <v>0</v>
      </c>
      <c r="ACM2">
        <f>'（参考）包括・任意事業の上限額算定の手引き'!$Y10</f>
        <v>0</v>
      </c>
      <c r="ACN2">
        <f>'（参考）包括・任意事業の上限額算定の手引き'!$Y11</f>
        <v>0</v>
      </c>
      <c r="ACO2">
        <f>'（参考）包括・任意事業の上限額算定の手引き'!$Y12</f>
        <v>0</v>
      </c>
      <c r="ACP2" t="str">
        <f>'（参考）包括・任意事業の上限額算定の手引き'!$Y13</f>
        <v xml:space="preserve"> </v>
      </c>
      <c r="ACQ2">
        <f>'（参考）包括・任意事業の上限額算定の手引き'!$Y14</f>
        <v>0</v>
      </c>
      <c r="ACR2">
        <f>'（参考）包括・任意事業の上限額算定の手引き'!$Y17</f>
        <v>0</v>
      </c>
      <c r="ACS2">
        <f>'（参考）包括・任意事業の上限額算定の手引き'!$Y18</f>
        <v>0</v>
      </c>
      <c r="ACT2">
        <f>'（参考）包括・任意事業の上限額算定の手引き'!$Y19</f>
        <v>0</v>
      </c>
      <c r="ACU2">
        <f>'（参考）包括・任意事業の上限額算定の手引き'!$Y20</f>
        <v>0</v>
      </c>
      <c r="ACV2">
        <f>'（参考）包括・任意事業の上限額算定の手引き'!$Y25</f>
        <v>0</v>
      </c>
      <c r="ACW2">
        <f>'（参考）包括・任意事業の上限額算定の手引き'!$Y26</f>
        <v>0</v>
      </c>
      <c r="ACX2">
        <f>'（参考）包括・任意事業の上限額算定の手引き'!$Y27</f>
        <v>0</v>
      </c>
      <c r="ACY2">
        <f>'（参考）包括・任意事業の上限額算定の手引き'!$Y28</f>
        <v>0</v>
      </c>
      <c r="ACZ2">
        <f>'（参考）包括・任意事業の上限額算定の手引き'!$Y29</f>
        <v>0</v>
      </c>
      <c r="ADA2" t="str">
        <f>'（参考）包括・任意事業の上限額算定の手引き'!$Y30</f>
        <v>×</v>
      </c>
      <c r="ADB2" t="str">
        <f>'（参考）包括・任意事業の上限額算定の手引き'!$AA5</f>
        <v/>
      </c>
      <c r="ADC2" t="str">
        <f>'（参考）包括・任意事業の上限額算定の手引き'!$AA6</f>
        <v/>
      </c>
      <c r="ADD2">
        <f>'（参考）包括・任意事業の上限額算定の手引き'!$AA7</f>
        <v>0</v>
      </c>
      <c r="ADE2">
        <f>'（参考）包括・任意事業の上限額算定の手引き'!$AA10</f>
        <v>0</v>
      </c>
      <c r="ADF2">
        <f>'（参考）包括・任意事業の上限額算定の手引き'!$AA11</f>
        <v>0</v>
      </c>
      <c r="ADG2">
        <f>'（参考）包括・任意事業の上限額算定の手引き'!$AA12</f>
        <v>0</v>
      </c>
      <c r="ADH2" t="str">
        <f>'（参考）包括・任意事業の上限額算定の手引き'!$AA13</f>
        <v xml:space="preserve"> </v>
      </c>
      <c r="ADI2">
        <f>'（参考）包括・任意事業の上限額算定の手引き'!$AA14</f>
        <v>0</v>
      </c>
      <c r="ADJ2">
        <f>'（参考）包括・任意事業の上限額算定の手引き'!$AA17</f>
        <v>0</v>
      </c>
      <c r="ADK2">
        <f>'（参考）包括・任意事業の上限額算定の手引き'!$AA18</f>
        <v>0</v>
      </c>
      <c r="ADL2">
        <f>'（参考）包括・任意事業の上限額算定の手引き'!$AA19</f>
        <v>0</v>
      </c>
      <c r="ADM2">
        <f>'（参考）包括・任意事業の上限額算定の手引き'!$AA20</f>
        <v>0</v>
      </c>
      <c r="ADN2">
        <f>'（参考）包括・任意事業の上限額算定の手引き'!$AA25</f>
        <v>0</v>
      </c>
      <c r="ADO2">
        <f>'（参考）包括・任意事業の上限額算定の手引き'!$AA26</f>
        <v>0</v>
      </c>
      <c r="ADP2">
        <f>'（参考）包括・任意事業の上限額算定の手引き'!$AA27</f>
        <v>0</v>
      </c>
      <c r="ADQ2">
        <f>'（参考）包括・任意事業の上限額算定の手引き'!$AA28</f>
        <v>0</v>
      </c>
      <c r="ADR2">
        <f>'（参考）包括・任意事業の上限額算定の手引き'!$AA29</f>
        <v>0</v>
      </c>
      <c r="ADS2" t="str">
        <f>'（参考）包括・任意事業の上限額算定の手引き'!$AA30</f>
        <v>×</v>
      </c>
      <c r="ADT2" t="str">
        <f>'（参考）包括・任意事業の上限額算定の手引き'!$AC5</f>
        <v/>
      </c>
      <c r="ADU2" t="str">
        <f>'（参考）包括・任意事業の上限額算定の手引き'!$AC6</f>
        <v/>
      </c>
      <c r="ADV2">
        <f>'（参考）包括・任意事業の上限額算定の手引き'!$AC7</f>
        <v>0</v>
      </c>
      <c r="ADW2">
        <f>'（参考）包括・任意事業の上限額算定の手引き'!$AC10</f>
        <v>0</v>
      </c>
      <c r="ADX2">
        <f>'（参考）包括・任意事業の上限額算定の手引き'!$AC11</f>
        <v>0</v>
      </c>
      <c r="ADY2">
        <f>'（参考）包括・任意事業の上限額算定の手引き'!$AC12</f>
        <v>0</v>
      </c>
      <c r="ADZ2" t="str">
        <f>'（参考）包括・任意事業の上限額算定の手引き'!$AC13</f>
        <v xml:space="preserve"> </v>
      </c>
      <c r="AEA2">
        <f>'（参考）包括・任意事業の上限額算定の手引き'!$AC14</f>
        <v>0</v>
      </c>
      <c r="AEB2">
        <f>'（参考）包括・任意事業の上限額算定の手引き'!$AC17</f>
        <v>0</v>
      </c>
      <c r="AEC2">
        <f>'（参考）包括・任意事業の上限額算定の手引き'!$AC18</f>
        <v>0</v>
      </c>
      <c r="AED2">
        <f>'（参考）包括・任意事業の上限額算定の手引き'!$AC19</f>
        <v>0</v>
      </c>
      <c r="AEE2">
        <f>'（参考）包括・任意事業の上限額算定の手引き'!$AC20</f>
        <v>0</v>
      </c>
      <c r="AEF2">
        <f>'（参考）包括・任意事業の上限額算定の手引き'!$AC25</f>
        <v>0</v>
      </c>
      <c r="AEG2">
        <f>'（参考）包括・任意事業の上限額算定の手引き'!$AC26</f>
        <v>0</v>
      </c>
      <c r="AEH2">
        <f>'（参考）包括・任意事業の上限額算定の手引き'!$AC27</f>
        <v>0</v>
      </c>
      <c r="AEI2">
        <f>'（参考）包括・任意事業の上限額算定の手引き'!$AC28</f>
        <v>0</v>
      </c>
      <c r="AEJ2">
        <f>'（参考）包括・任意事業の上限額算定の手引き'!$AC29</f>
        <v>0</v>
      </c>
      <c r="AEK2" t="str">
        <f>'（参考）包括・任意事業の上限額算定の手引き'!$AC30</f>
        <v>×</v>
      </c>
      <c r="AEL2" t="str">
        <f>'（参考）包括・任意事業の上限額算定の手引き'!$AE5</f>
        <v/>
      </c>
      <c r="AEM2" t="str">
        <f>'（参考）包括・任意事業の上限額算定の手引き'!$AE6</f>
        <v/>
      </c>
      <c r="AEN2">
        <f>'（参考）包括・任意事業の上限額算定の手引き'!$AE7</f>
        <v>0</v>
      </c>
      <c r="AEO2">
        <f>'（参考）包括・任意事業の上限額算定の手引き'!$AE10</f>
        <v>0</v>
      </c>
      <c r="AEP2">
        <f>'（参考）包括・任意事業の上限額算定の手引き'!$AE11</f>
        <v>0</v>
      </c>
      <c r="AEQ2">
        <f>'（参考）包括・任意事業の上限額算定の手引き'!$AE12</f>
        <v>0</v>
      </c>
      <c r="AER2" t="str">
        <f>'（参考）包括・任意事業の上限額算定の手引き'!$AE13</f>
        <v xml:space="preserve"> </v>
      </c>
      <c r="AES2">
        <f>'（参考）包括・任意事業の上限額算定の手引き'!$AE14</f>
        <v>0</v>
      </c>
      <c r="AET2">
        <f>'（参考）包括・任意事業の上限額算定の手引き'!$AE17</f>
        <v>0</v>
      </c>
      <c r="AEU2">
        <f>'（参考）包括・任意事業の上限額算定の手引き'!$AE18</f>
        <v>0</v>
      </c>
      <c r="AEV2">
        <f>'（参考）包括・任意事業の上限額算定の手引き'!$AE19</f>
        <v>0</v>
      </c>
      <c r="AEW2">
        <f>'（参考）包括・任意事業の上限額算定の手引き'!$AE20</f>
        <v>0</v>
      </c>
      <c r="AEX2">
        <f>'（参考）包括・任意事業の上限額算定の手引き'!$AE25</f>
        <v>0</v>
      </c>
      <c r="AEY2">
        <f>'（参考）包括・任意事業の上限額算定の手引き'!$AE26</f>
        <v>0</v>
      </c>
      <c r="AEZ2">
        <f>'（参考）包括・任意事業の上限額算定の手引き'!$AE27</f>
        <v>0</v>
      </c>
      <c r="AFA2">
        <f>'（参考）包括・任意事業の上限額算定の手引き'!$AE28</f>
        <v>0</v>
      </c>
      <c r="AFB2">
        <f>'（参考）包括・任意事業の上限額算定の手引き'!$AE29</f>
        <v>0</v>
      </c>
      <c r="AFC2" t="str">
        <f>'（参考）包括・任意事業の上限額算定の手引き'!$AE30</f>
        <v>×</v>
      </c>
      <c r="AFD2" t="str">
        <f>'（参考）包括・任意事業の上限額算定の手引き'!$AG5</f>
        <v/>
      </c>
      <c r="AFE2" t="str">
        <f>'（参考）包括・任意事業の上限額算定の手引き'!$AG6</f>
        <v/>
      </c>
      <c r="AFF2">
        <f>'（参考）包括・任意事業の上限額算定の手引き'!$AG7</f>
        <v>0</v>
      </c>
      <c r="AFG2">
        <f>'（参考）包括・任意事業の上限額算定の手引き'!$AG10</f>
        <v>0</v>
      </c>
      <c r="AFH2">
        <f>'（参考）包括・任意事業の上限額算定の手引き'!$AG11</f>
        <v>0</v>
      </c>
      <c r="AFI2">
        <f>'（参考）包括・任意事業の上限額算定の手引き'!$AG12</f>
        <v>0</v>
      </c>
      <c r="AFJ2" t="str">
        <f>'（参考）包括・任意事業の上限額算定の手引き'!$AG13</f>
        <v xml:space="preserve"> </v>
      </c>
      <c r="AFK2">
        <f>'（参考）包括・任意事業の上限額算定の手引き'!$AG14</f>
        <v>0</v>
      </c>
      <c r="AFL2">
        <f>'（参考）包括・任意事業の上限額算定の手引き'!$AG17</f>
        <v>0</v>
      </c>
      <c r="AFM2">
        <f>'（参考）包括・任意事業の上限額算定の手引き'!$AG18</f>
        <v>0</v>
      </c>
      <c r="AFN2">
        <f>'（参考）包括・任意事業の上限額算定の手引き'!$AG19</f>
        <v>0</v>
      </c>
      <c r="AFO2">
        <f>'（参考）包括・任意事業の上限額算定の手引き'!$AG20</f>
        <v>0</v>
      </c>
      <c r="AFP2">
        <f>'（参考）包括・任意事業の上限額算定の手引き'!$AG25</f>
        <v>0</v>
      </c>
      <c r="AFQ2">
        <f>'（参考）包括・任意事業の上限額算定の手引き'!$AG26</f>
        <v>0</v>
      </c>
      <c r="AFR2">
        <f>'（参考）包括・任意事業の上限額算定の手引き'!$AG27</f>
        <v>0</v>
      </c>
      <c r="AFS2">
        <f>'（参考）包括・任意事業の上限額算定の手引き'!$AG28</f>
        <v>0</v>
      </c>
      <c r="AFT2">
        <f>'（参考）包括・任意事業の上限額算定の手引き'!$AG29</f>
        <v>0</v>
      </c>
      <c r="AFU2" t="str">
        <f>'（参考）包括・任意事業の上限額算定の手引き'!$AG30</f>
        <v>×</v>
      </c>
      <c r="AFV2" t="str">
        <f>'（参考）包括・任意事業の上限額算定の手引き'!$AI5</f>
        <v/>
      </c>
      <c r="AFW2" t="str">
        <f>'（参考）包括・任意事業の上限額算定の手引き'!$AI6</f>
        <v/>
      </c>
      <c r="AFX2">
        <f>'（参考）包括・任意事業の上限額算定の手引き'!$AI7</f>
        <v>0</v>
      </c>
      <c r="AFY2">
        <f>'（参考）包括・任意事業の上限額算定の手引き'!$AI10</f>
        <v>0</v>
      </c>
      <c r="AFZ2">
        <f>'（参考）包括・任意事業の上限額算定の手引き'!$AI11</f>
        <v>0</v>
      </c>
      <c r="AGA2">
        <f>'（参考）包括・任意事業の上限額算定の手引き'!$AI12</f>
        <v>0</v>
      </c>
      <c r="AGB2" t="str">
        <f>'（参考）包括・任意事業の上限額算定の手引き'!$AI13</f>
        <v xml:space="preserve"> </v>
      </c>
      <c r="AGC2">
        <f>'（参考）包括・任意事業の上限額算定の手引き'!$AI14</f>
        <v>0</v>
      </c>
      <c r="AGD2">
        <f>'（参考）包括・任意事業の上限額算定の手引き'!$AI17</f>
        <v>0</v>
      </c>
      <c r="AGE2">
        <f>'（参考）包括・任意事業の上限額算定の手引き'!$AI18</f>
        <v>0</v>
      </c>
      <c r="AGF2">
        <f>'（参考）包括・任意事業の上限額算定の手引き'!$AI19</f>
        <v>0</v>
      </c>
      <c r="AGG2">
        <f>'（参考）包括・任意事業の上限額算定の手引き'!$AI20</f>
        <v>0</v>
      </c>
      <c r="AGH2">
        <f>'（参考）包括・任意事業の上限額算定の手引き'!$AI25</f>
        <v>0</v>
      </c>
      <c r="AGI2">
        <f>'（参考）包括・任意事業の上限額算定の手引き'!$AI26</f>
        <v>0</v>
      </c>
      <c r="AGJ2">
        <f>'（参考）包括・任意事業の上限額算定の手引き'!$AI27</f>
        <v>0</v>
      </c>
      <c r="AGK2">
        <f>'（参考）包括・任意事業の上限額算定の手引き'!$AI28</f>
        <v>0</v>
      </c>
      <c r="AGL2">
        <f>'（参考）包括・任意事業の上限額算定の手引き'!$AI29</f>
        <v>0</v>
      </c>
      <c r="AGM2" t="str">
        <f>'（参考）包括・任意事業の上限額算定の手引き'!$AI30</f>
        <v>×</v>
      </c>
      <c r="AGN2" t="str">
        <f>'（参考）包括・任意事業の上限額算定の手引き'!$AK5</f>
        <v/>
      </c>
      <c r="AGO2" t="str">
        <f>'（参考）包括・任意事業の上限額算定の手引き'!$AK6</f>
        <v/>
      </c>
      <c r="AGP2">
        <f>'（参考）包括・任意事業の上限額算定の手引き'!$AK7</f>
        <v>0</v>
      </c>
      <c r="AGQ2">
        <f>'（参考）包括・任意事業の上限額算定の手引き'!$AK10</f>
        <v>0</v>
      </c>
      <c r="AGR2">
        <f>'（参考）包括・任意事業の上限額算定の手引き'!$AK11</f>
        <v>0</v>
      </c>
      <c r="AGS2">
        <f>'（参考）包括・任意事業の上限額算定の手引き'!$AK12</f>
        <v>0</v>
      </c>
      <c r="AGT2" t="str">
        <f>'（参考）包括・任意事業の上限額算定の手引き'!$AK13</f>
        <v xml:space="preserve"> </v>
      </c>
      <c r="AGU2">
        <f>'（参考）包括・任意事業の上限額算定の手引き'!$AK14</f>
        <v>0</v>
      </c>
      <c r="AGV2">
        <f>'（参考）包括・任意事業の上限額算定の手引き'!$AK17</f>
        <v>0</v>
      </c>
      <c r="AGW2">
        <f>'（参考）包括・任意事業の上限額算定の手引き'!$AK18</f>
        <v>0</v>
      </c>
      <c r="AGX2">
        <f>'（参考）包括・任意事業の上限額算定の手引き'!$AK19</f>
        <v>0</v>
      </c>
      <c r="AGY2">
        <f>'（参考）包括・任意事業の上限額算定の手引き'!$AK20</f>
        <v>0</v>
      </c>
      <c r="AGZ2">
        <f>'（参考）包括・任意事業の上限額算定の手引き'!$AK25</f>
        <v>0</v>
      </c>
      <c r="AHA2">
        <f>'（参考）包括・任意事業の上限額算定の手引き'!$AK26</f>
        <v>0</v>
      </c>
      <c r="AHB2">
        <f>'（参考）包括・任意事業の上限額算定の手引き'!$AK27</f>
        <v>0</v>
      </c>
      <c r="AHC2">
        <f>'（参考）包括・任意事業の上限額算定の手引き'!$AK28</f>
        <v>0</v>
      </c>
      <c r="AHD2">
        <f>'（参考）包括・任意事業の上限額算定の手引き'!$AK29</f>
        <v>0</v>
      </c>
      <c r="AHE2" t="str">
        <f>'（参考）包括・任意事業の上限額算定の手引き'!$AK30</f>
        <v>×</v>
      </c>
      <c r="AHF2" t="str">
        <f>'（参考）包括・任意事業の上限額算定の手引き'!$AM5</f>
        <v/>
      </c>
      <c r="AHG2" t="str">
        <f>'（参考）包括・任意事業の上限額算定の手引き'!$AM6</f>
        <v/>
      </c>
      <c r="AHH2">
        <f>'（参考）包括・任意事業の上限額算定の手引き'!$AM7</f>
        <v>0</v>
      </c>
      <c r="AHI2">
        <f>'（参考）包括・任意事業の上限額算定の手引き'!$AM10</f>
        <v>0</v>
      </c>
      <c r="AHJ2">
        <f>'（参考）包括・任意事業の上限額算定の手引き'!$AM11</f>
        <v>0</v>
      </c>
      <c r="AHK2">
        <f>'（参考）包括・任意事業の上限額算定の手引き'!$AM12</f>
        <v>0</v>
      </c>
      <c r="AHL2" t="str">
        <f>'（参考）包括・任意事業の上限額算定の手引き'!$AM13</f>
        <v xml:space="preserve"> </v>
      </c>
      <c r="AHM2">
        <f>'（参考）包括・任意事業の上限額算定の手引き'!$AM14</f>
        <v>0</v>
      </c>
      <c r="AHN2">
        <f>'（参考）包括・任意事業の上限額算定の手引き'!$AM17</f>
        <v>0</v>
      </c>
      <c r="AHO2">
        <f>'（参考）包括・任意事業の上限額算定の手引き'!$AM18</f>
        <v>0</v>
      </c>
      <c r="AHP2">
        <f>'（参考）包括・任意事業の上限額算定の手引き'!$AM19</f>
        <v>0</v>
      </c>
      <c r="AHQ2">
        <f>'（参考）包括・任意事業の上限額算定の手引き'!$AM20</f>
        <v>0</v>
      </c>
      <c r="AHR2">
        <f>'（参考）包括・任意事業の上限額算定の手引き'!$AM25</f>
        <v>0</v>
      </c>
      <c r="AHS2">
        <f>'（参考）包括・任意事業の上限額算定の手引き'!$AM26</f>
        <v>0</v>
      </c>
      <c r="AHT2">
        <f>'（参考）包括・任意事業の上限額算定の手引き'!$AM27</f>
        <v>0</v>
      </c>
      <c r="AHU2">
        <f>'（参考）包括・任意事業の上限額算定の手引き'!$AM28</f>
        <v>0</v>
      </c>
      <c r="AHV2">
        <f>'（参考）包括・任意事業の上限額算定の手引き'!$AM29</f>
        <v>0</v>
      </c>
      <c r="AHW2" t="str">
        <f>'（参考）包括・任意事業の上限額算定の手引き'!$AM30</f>
        <v>×</v>
      </c>
      <c r="AHX2" t="str">
        <f>'（参考）包括・任意事業の上限額算定の手引き'!$AO5</f>
        <v/>
      </c>
      <c r="AHY2" t="str">
        <f>'（参考）包括・任意事業の上限額算定の手引き'!$AO6</f>
        <v/>
      </c>
      <c r="AHZ2">
        <f>'（参考）包括・任意事業の上限額算定の手引き'!$AO7</f>
        <v>0</v>
      </c>
      <c r="AIA2">
        <f>'（参考）包括・任意事業の上限額算定の手引き'!$AO10</f>
        <v>0</v>
      </c>
      <c r="AIB2">
        <f>'（参考）包括・任意事業の上限額算定の手引き'!$AO11</f>
        <v>0</v>
      </c>
      <c r="AIC2">
        <f>'（参考）包括・任意事業の上限額算定の手引き'!$AO12</f>
        <v>0</v>
      </c>
      <c r="AID2" t="str">
        <f>'（参考）包括・任意事業の上限額算定の手引き'!$AO13</f>
        <v xml:space="preserve"> </v>
      </c>
      <c r="AIE2">
        <f>'（参考）包括・任意事業の上限額算定の手引き'!$AO14</f>
        <v>0</v>
      </c>
      <c r="AIF2">
        <f>'（参考）包括・任意事業の上限額算定の手引き'!$AO17</f>
        <v>0</v>
      </c>
      <c r="AIG2">
        <f>'（参考）包括・任意事業の上限額算定の手引き'!$AO18</f>
        <v>0</v>
      </c>
      <c r="AIH2">
        <f>'（参考）包括・任意事業の上限額算定の手引き'!$AO19</f>
        <v>0</v>
      </c>
      <c r="AII2">
        <f>'（参考）包括・任意事業の上限額算定の手引き'!$AO20</f>
        <v>0</v>
      </c>
      <c r="AIJ2">
        <f>'（参考）包括・任意事業の上限額算定の手引き'!$AO25</f>
        <v>0</v>
      </c>
      <c r="AIK2">
        <f>'（参考）包括・任意事業の上限額算定の手引き'!$AO26</f>
        <v>0</v>
      </c>
      <c r="AIL2">
        <f>'（参考）包括・任意事業の上限額算定の手引き'!$AO27</f>
        <v>0</v>
      </c>
      <c r="AIM2">
        <f>'（参考）包括・任意事業の上限額算定の手引き'!$AO28</f>
        <v>0</v>
      </c>
      <c r="AIN2">
        <f>'（参考）包括・任意事業の上限額算定の手引き'!$AO29</f>
        <v>0</v>
      </c>
      <c r="AIO2" t="str">
        <f>'（参考）包括・任意事業の上限額算定の手引き'!$AO30</f>
        <v>×</v>
      </c>
      <c r="AIP2" t="str">
        <f>'（参考）包括・任意事業の上限額算定の手引き'!$AQ5</f>
        <v/>
      </c>
      <c r="AIQ2" t="str">
        <f>'（参考）包括・任意事業の上限額算定の手引き'!$AQ6</f>
        <v/>
      </c>
      <c r="AIR2">
        <f>'（参考）包括・任意事業の上限額算定の手引き'!$AQ7</f>
        <v>0</v>
      </c>
      <c r="AIS2">
        <f>'（参考）包括・任意事業の上限額算定の手引き'!$AQ10</f>
        <v>0</v>
      </c>
      <c r="AIT2">
        <f>'（参考）包括・任意事業の上限額算定の手引き'!$AQ11</f>
        <v>0</v>
      </c>
      <c r="AIU2">
        <f>'（参考）包括・任意事業の上限額算定の手引き'!$AQ12</f>
        <v>0</v>
      </c>
      <c r="AIV2" t="str">
        <f>'（参考）包括・任意事業の上限額算定の手引き'!$AQ13</f>
        <v xml:space="preserve"> </v>
      </c>
      <c r="AIW2">
        <f>'（参考）包括・任意事業の上限額算定の手引き'!$AQ14</f>
        <v>0</v>
      </c>
      <c r="AIX2">
        <f>'（参考）包括・任意事業の上限額算定の手引き'!$AQ17</f>
        <v>0</v>
      </c>
      <c r="AIY2">
        <f>'（参考）包括・任意事業の上限額算定の手引き'!$AQ18</f>
        <v>0</v>
      </c>
      <c r="AIZ2">
        <f>'（参考）包括・任意事業の上限額算定の手引き'!$AQ19</f>
        <v>0</v>
      </c>
      <c r="AJA2">
        <f>'（参考）包括・任意事業の上限額算定の手引き'!$AQ20</f>
        <v>0</v>
      </c>
      <c r="AJB2">
        <f>'（参考）包括・任意事業の上限額算定の手引き'!$AQ25</f>
        <v>0</v>
      </c>
      <c r="AJC2">
        <f>'（参考）包括・任意事業の上限額算定の手引き'!$AQ26</f>
        <v>0</v>
      </c>
      <c r="AJD2">
        <f>'（参考）包括・任意事業の上限額算定の手引き'!$AQ27</f>
        <v>0</v>
      </c>
      <c r="AJE2">
        <f>'（参考）包括・任意事業の上限額算定の手引き'!$AQ28</f>
        <v>0</v>
      </c>
      <c r="AJF2">
        <f>'（参考）包括・任意事業の上限額算定の手引き'!$AQ29</f>
        <v>0</v>
      </c>
      <c r="AJG2" t="str">
        <f>'（参考）包括・任意事業の上限額算定の手引き'!$AQ30</f>
        <v>×</v>
      </c>
      <c r="AJH2" t="str">
        <f>'（参考）包括・任意事業の上限額算定の手引き'!$AS5</f>
        <v/>
      </c>
      <c r="AJI2" t="str">
        <f>'（参考）包括・任意事業の上限額算定の手引き'!$AS6</f>
        <v/>
      </c>
      <c r="AJJ2">
        <f>'（参考）包括・任意事業の上限額算定の手引き'!$AS7</f>
        <v>0</v>
      </c>
      <c r="AJK2">
        <f>'（参考）包括・任意事業の上限額算定の手引き'!$AS10</f>
        <v>0</v>
      </c>
      <c r="AJL2">
        <f>'（参考）包括・任意事業の上限額算定の手引き'!$AS11</f>
        <v>0</v>
      </c>
      <c r="AJM2">
        <f>'（参考）包括・任意事業の上限額算定の手引き'!$AS12</f>
        <v>0</v>
      </c>
      <c r="AJN2" t="str">
        <f>'（参考）包括・任意事業の上限額算定の手引き'!$AS13</f>
        <v xml:space="preserve"> </v>
      </c>
      <c r="AJO2">
        <f>'（参考）包括・任意事業の上限額算定の手引き'!$AS14</f>
        <v>0</v>
      </c>
      <c r="AJP2">
        <f>'（参考）包括・任意事業の上限額算定の手引き'!$AS17</f>
        <v>0</v>
      </c>
      <c r="AJQ2">
        <f>'（参考）包括・任意事業の上限額算定の手引き'!$AS18</f>
        <v>0</v>
      </c>
      <c r="AJR2">
        <f>'（参考）包括・任意事業の上限額算定の手引き'!$AS19</f>
        <v>0</v>
      </c>
      <c r="AJS2">
        <f>'（参考）包括・任意事業の上限額算定の手引き'!$AS20</f>
        <v>0</v>
      </c>
      <c r="AJT2">
        <f>'（参考）包括・任意事業の上限額算定の手引き'!$AS25</f>
        <v>0</v>
      </c>
      <c r="AJU2">
        <f>'（参考）包括・任意事業の上限額算定の手引き'!$AS26</f>
        <v>0</v>
      </c>
      <c r="AJV2">
        <f>'（参考）包括・任意事業の上限額算定の手引き'!$AS27</f>
        <v>0</v>
      </c>
      <c r="AJW2">
        <f>'（参考）包括・任意事業の上限額算定の手引き'!$AS28</f>
        <v>0</v>
      </c>
      <c r="AJX2">
        <f>'（参考）包括・任意事業の上限額算定の手引き'!$AS29</f>
        <v>0</v>
      </c>
      <c r="AJY2" t="str">
        <f>'（参考）包括・任意事業の上限額算定の手引き'!$AS30</f>
        <v>×</v>
      </c>
      <c r="AJZ2" t="str">
        <f>'（参考）包括・任意事業の上限額算定の手引き'!$AU5</f>
        <v/>
      </c>
      <c r="AKA2" t="str">
        <f>'（参考）包括・任意事業の上限額算定の手引き'!$AU6</f>
        <v/>
      </c>
      <c r="AKB2">
        <f>'（参考）包括・任意事業の上限額算定の手引き'!$AU7</f>
        <v>0</v>
      </c>
      <c r="AKC2">
        <f>'（参考）包括・任意事業の上限額算定の手引き'!$AU10</f>
        <v>0</v>
      </c>
      <c r="AKD2">
        <f>'（参考）包括・任意事業の上限額算定の手引き'!$AU11</f>
        <v>0</v>
      </c>
      <c r="AKE2">
        <f>'（参考）包括・任意事業の上限額算定の手引き'!$AU12</f>
        <v>0</v>
      </c>
      <c r="AKF2" t="str">
        <f>'（参考）包括・任意事業の上限額算定の手引き'!$AU13</f>
        <v xml:space="preserve"> </v>
      </c>
      <c r="AKG2">
        <f>'（参考）包括・任意事業の上限額算定の手引き'!$AU14</f>
        <v>0</v>
      </c>
      <c r="AKH2">
        <f>'（参考）包括・任意事業の上限額算定の手引き'!$AU17</f>
        <v>0</v>
      </c>
      <c r="AKI2">
        <f>'（参考）包括・任意事業の上限額算定の手引き'!$AU18</f>
        <v>0</v>
      </c>
      <c r="AKJ2">
        <f>'（参考）包括・任意事業の上限額算定の手引き'!$AU19</f>
        <v>0</v>
      </c>
      <c r="AKK2">
        <f>'（参考）包括・任意事業の上限額算定の手引き'!$AU20</f>
        <v>0</v>
      </c>
      <c r="AKL2">
        <f>'（参考）包括・任意事業の上限額算定の手引き'!$AU25</f>
        <v>0</v>
      </c>
      <c r="AKM2">
        <f>'（参考）包括・任意事業の上限額算定の手引き'!$AU26</f>
        <v>0</v>
      </c>
      <c r="AKN2">
        <f>'（参考）包括・任意事業の上限額算定の手引き'!$AU27</f>
        <v>0</v>
      </c>
      <c r="AKO2">
        <f>'（参考）包括・任意事業の上限額算定の手引き'!$AU28</f>
        <v>0</v>
      </c>
      <c r="AKP2">
        <f>'（参考）包括・任意事業の上限額算定の手引き'!$AU29</f>
        <v>0</v>
      </c>
      <c r="AKQ2" t="str">
        <f>'（参考）包括・任意事業の上限額算定の手引き'!$AU30</f>
        <v>×</v>
      </c>
      <c r="AKR2" t="str">
        <f>'（参考）包括・任意事業の上限額算定の手引き'!$AW5</f>
        <v/>
      </c>
      <c r="AKS2" t="str">
        <f>'（参考）包括・任意事業の上限額算定の手引き'!$AW6</f>
        <v/>
      </c>
      <c r="AKT2">
        <f>'（参考）包括・任意事業の上限額算定の手引き'!$AW7</f>
        <v>0</v>
      </c>
      <c r="AKU2">
        <f>'（参考）包括・任意事業の上限額算定の手引き'!$AW10</f>
        <v>0</v>
      </c>
      <c r="AKV2">
        <f>'（参考）包括・任意事業の上限額算定の手引き'!$AW11</f>
        <v>0</v>
      </c>
      <c r="AKW2">
        <f>'（参考）包括・任意事業の上限額算定の手引き'!$AW12</f>
        <v>0</v>
      </c>
      <c r="AKX2" t="str">
        <f>'（参考）包括・任意事業の上限額算定の手引き'!$AW13</f>
        <v xml:space="preserve"> </v>
      </c>
      <c r="AKY2">
        <f>'（参考）包括・任意事業の上限額算定の手引き'!$AW14</f>
        <v>0</v>
      </c>
      <c r="AKZ2">
        <f>'（参考）包括・任意事業の上限額算定の手引き'!$AW17</f>
        <v>0</v>
      </c>
      <c r="ALA2">
        <f>'（参考）包括・任意事業の上限額算定の手引き'!$AW18</f>
        <v>0</v>
      </c>
      <c r="ALB2">
        <f>'（参考）包括・任意事業の上限額算定の手引き'!$AW19</f>
        <v>0</v>
      </c>
      <c r="ALC2">
        <f>'（参考）包括・任意事業の上限額算定の手引き'!$AW20</f>
        <v>0</v>
      </c>
      <c r="ALD2">
        <f>'（参考）包括・任意事業の上限額算定の手引き'!$AW25</f>
        <v>0</v>
      </c>
      <c r="ALE2">
        <f>'（参考）包括・任意事業の上限額算定の手引き'!$AW26</f>
        <v>0</v>
      </c>
      <c r="ALF2">
        <f>'（参考）包括・任意事業の上限額算定の手引き'!$AW27</f>
        <v>0</v>
      </c>
      <c r="ALG2">
        <f>'（参考）包括・任意事業の上限額算定の手引き'!$AW28</f>
        <v>0</v>
      </c>
      <c r="ALH2">
        <f>'（参考）包括・任意事業の上限額算定の手引き'!$AW29</f>
        <v>0</v>
      </c>
      <c r="ALI2" t="str">
        <f>'（参考）包括・任意事業の上限額算定の手引き'!$AW30</f>
        <v>×</v>
      </c>
      <c r="ALJ2" t="str">
        <f>'（参考）包括・任意事業の上限額算定の手引き'!$AY5</f>
        <v/>
      </c>
      <c r="ALK2" t="str">
        <f>'（参考）包括・任意事業の上限額算定の手引き'!$AY6</f>
        <v/>
      </c>
      <c r="ALL2">
        <f>'（参考）包括・任意事業の上限額算定の手引き'!$AY7</f>
        <v>0</v>
      </c>
      <c r="ALM2">
        <f>'（参考）包括・任意事業の上限額算定の手引き'!$AY10</f>
        <v>0</v>
      </c>
      <c r="ALN2">
        <f>'（参考）包括・任意事業の上限額算定の手引き'!$AY11</f>
        <v>0</v>
      </c>
      <c r="ALO2">
        <f>'（参考）包括・任意事業の上限額算定の手引き'!$AY12</f>
        <v>0</v>
      </c>
      <c r="ALP2" t="str">
        <f>'（参考）包括・任意事業の上限額算定の手引き'!$AY13</f>
        <v xml:space="preserve"> </v>
      </c>
      <c r="ALQ2">
        <f>'（参考）包括・任意事業の上限額算定の手引き'!$AY14</f>
        <v>0</v>
      </c>
      <c r="ALR2">
        <f>'（参考）包括・任意事業の上限額算定の手引き'!$AY17</f>
        <v>0</v>
      </c>
      <c r="ALS2">
        <f>'（参考）包括・任意事業の上限額算定の手引き'!$AY18</f>
        <v>0</v>
      </c>
      <c r="ALT2">
        <f>'（参考）包括・任意事業の上限額算定の手引き'!$AY19</f>
        <v>0</v>
      </c>
      <c r="ALU2">
        <f>'（参考）包括・任意事業の上限額算定の手引き'!$AY20</f>
        <v>0</v>
      </c>
      <c r="ALV2">
        <f>'（参考）包括・任意事業の上限額算定の手引き'!$AY25</f>
        <v>0</v>
      </c>
      <c r="ALW2">
        <f>'（参考）包括・任意事業の上限額算定の手引き'!$AY26</f>
        <v>0</v>
      </c>
      <c r="ALX2">
        <f>'（参考）包括・任意事業の上限額算定の手引き'!$AY27</f>
        <v>0</v>
      </c>
      <c r="ALY2">
        <f>'（参考）包括・任意事業の上限額算定の手引き'!$AY28</f>
        <v>0</v>
      </c>
      <c r="ALZ2">
        <f>'（参考）包括・任意事業の上限額算定の手引き'!$AY29</f>
        <v>0</v>
      </c>
      <c r="AMA2" t="str">
        <f>'（参考）包括・任意事業の上限額算定の手引き'!$AY30</f>
        <v>×</v>
      </c>
      <c r="AMB2" t="str">
        <f>'（参考）包括・任意事業の上限額算定の手引き'!$BA5</f>
        <v/>
      </c>
      <c r="AMC2" t="str">
        <f>'（参考）包括・任意事業の上限額算定の手引き'!$BA6</f>
        <v/>
      </c>
      <c r="AMD2">
        <f>'（参考）包括・任意事業の上限額算定の手引き'!$BA7</f>
        <v>0</v>
      </c>
      <c r="AME2">
        <f>'（参考）包括・任意事業の上限額算定の手引き'!$BA10</f>
        <v>0</v>
      </c>
      <c r="AMF2">
        <f>'（参考）包括・任意事業の上限額算定の手引き'!$BA11</f>
        <v>0</v>
      </c>
      <c r="AMG2">
        <f>'（参考）包括・任意事業の上限額算定の手引き'!$BA12</f>
        <v>0</v>
      </c>
      <c r="AMH2" t="str">
        <f>'（参考）包括・任意事業の上限額算定の手引き'!$BA13</f>
        <v xml:space="preserve"> </v>
      </c>
      <c r="AMI2">
        <f>'（参考）包括・任意事業の上限額算定の手引き'!$BA14</f>
        <v>0</v>
      </c>
      <c r="AMJ2">
        <f>'（参考）包括・任意事業の上限額算定の手引き'!$BA17</f>
        <v>0</v>
      </c>
      <c r="AMK2">
        <f>'（参考）包括・任意事業の上限額算定の手引き'!$BA18</f>
        <v>0</v>
      </c>
      <c r="AML2">
        <f>'（参考）包括・任意事業の上限額算定の手引き'!$BA19</f>
        <v>0</v>
      </c>
      <c r="AMM2">
        <f>'（参考）包括・任意事業の上限額算定の手引き'!$BA20</f>
        <v>0</v>
      </c>
      <c r="AMN2">
        <f>'（参考）包括・任意事業の上限額算定の手引き'!$BA25</f>
        <v>0</v>
      </c>
      <c r="AMO2">
        <f>'（参考）包括・任意事業の上限額算定の手引き'!$BA26</f>
        <v>0</v>
      </c>
      <c r="AMP2">
        <f>'（参考）包括・任意事業の上限額算定の手引き'!$BA27</f>
        <v>0</v>
      </c>
      <c r="AMQ2">
        <f>'（参考）包括・任意事業の上限額算定の手引き'!$BA28</f>
        <v>0</v>
      </c>
      <c r="AMR2">
        <f>'（参考）包括・任意事業の上限額算定の手引き'!$BA29</f>
        <v>0</v>
      </c>
      <c r="AMS2" t="str">
        <f>'（参考）包括・任意事業の上限額算定の手引き'!$BA30</f>
        <v>×</v>
      </c>
      <c r="AMT2" t="str">
        <f>'（参考）包括・任意事業の上限額算定の手引き'!$BC5</f>
        <v/>
      </c>
      <c r="AMU2" t="str">
        <f>'（参考）包括・任意事業の上限額算定の手引き'!$BC6</f>
        <v/>
      </c>
      <c r="AMV2">
        <f>'（参考）包括・任意事業の上限額算定の手引き'!$BC7</f>
        <v>0</v>
      </c>
      <c r="AMW2">
        <f>'（参考）包括・任意事業の上限額算定の手引き'!$BC10</f>
        <v>0</v>
      </c>
      <c r="AMX2">
        <f>'（参考）包括・任意事業の上限額算定の手引き'!$BC11</f>
        <v>0</v>
      </c>
      <c r="AMY2">
        <f>'（参考）包括・任意事業の上限額算定の手引き'!$BC12</f>
        <v>0</v>
      </c>
      <c r="AMZ2" t="str">
        <f>'（参考）包括・任意事業の上限額算定の手引き'!$BC13</f>
        <v xml:space="preserve"> </v>
      </c>
      <c r="ANA2">
        <f>'（参考）包括・任意事業の上限額算定の手引き'!$BC14</f>
        <v>0</v>
      </c>
      <c r="ANB2">
        <f>'（参考）包括・任意事業の上限額算定の手引き'!$BC17</f>
        <v>0</v>
      </c>
      <c r="ANC2">
        <f>'（参考）包括・任意事業の上限額算定の手引き'!$BC18</f>
        <v>0</v>
      </c>
      <c r="AND2">
        <f>'（参考）包括・任意事業の上限額算定の手引き'!$BC19</f>
        <v>0</v>
      </c>
      <c r="ANE2">
        <f>'（参考）包括・任意事業の上限額算定の手引き'!$BC20</f>
        <v>0</v>
      </c>
      <c r="ANF2">
        <f>'（参考）包括・任意事業の上限額算定の手引き'!$BC25</f>
        <v>0</v>
      </c>
      <c r="ANG2">
        <f>'（参考）包括・任意事業の上限額算定の手引き'!$BC26</f>
        <v>0</v>
      </c>
      <c r="ANH2">
        <f>'（参考）包括・任意事業の上限額算定の手引き'!$BC27</f>
        <v>0</v>
      </c>
      <c r="ANI2">
        <f>'（参考）包括・任意事業の上限額算定の手引き'!$BC28</f>
        <v>0</v>
      </c>
      <c r="ANJ2">
        <f>'（参考）包括・任意事業の上限額算定の手引き'!$BC29</f>
        <v>0</v>
      </c>
      <c r="ANK2" t="str">
        <f>'（参考）包括・任意事業の上限額算定の手引き'!$BC30</f>
        <v>×</v>
      </c>
      <c r="ANL2" t="str">
        <f>'（参考）包括・任意事業の上限額算定の手引き'!$BE5</f>
        <v/>
      </c>
      <c r="ANM2" t="str">
        <f>'（参考）包括・任意事業の上限額算定の手引き'!$BE6</f>
        <v/>
      </c>
      <c r="ANN2">
        <f>'（参考）包括・任意事業の上限額算定の手引き'!$BE7</f>
        <v>0</v>
      </c>
      <c r="ANO2">
        <f>'（参考）包括・任意事業の上限額算定の手引き'!$BE10</f>
        <v>0</v>
      </c>
      <c r="ANP2">
        <f>'（参考）包括・任意事業の上限額算定の手引き'!$BE11</f>
        <v>0</v>
      </c>
      <c r="ANQ2">
        <f>'（参考）包括・任意事業の上限額算定の手引き'!$BE12</f>
        <v>0</v>
      </c>
      <c r="ANR2" t="str">
        <f>'（参考）包括・任意事業の上限額算定の手引き'!$BE13</f>
        <v xml:space="preserve"> </v>
      </c>
      <c r="ANS2">
        <f>'（参考）包括・任意事業の上限額算定の手引き'!$BE14</f>
        <v>0</v>
      </c>
      <c r="ANT2">
        <f>'（参考）包括・任意事業の上限額算定の手引き'!$BE17</f>
        <v>0</v>
      </c>
      <c r="ANU2">
        <f>'（参考）包括・任意事業の上限額算定の手引き'!$BE18</f>
        <v>0</v>
      </c>
      <c r="ANV2">
        <f>'（参考）包括・任意事業の上限額算定の手引き'!$BE19</f>
        <v>0</v>
      </c>
      <c r="ANW2">
        <f>'（参考）包括・任意事業の上限額算定の手引き'!$BE20</f>
        <v>0</v>
      </c>
      <c r="ANX2">
        <f>'（参考）包括・任意事業の上限額算定の手引き'!$BE25</f>
        <v>0</v>
      </c>
      <c r="ANY2">
        <f>'（参考）包括・任意事業の上限額算定の手引き'!$BE26</f>
        <v>0</v>
      </c>
      <c r="ANZ2">
        <f>'（参考）包括・任意事業の上限額算定の手引き'!$BE27</f>
        <v>0</v>
      </c>
      <c r="AOA2">
        <f>'（参考）包括・任意事業の上限額算定の手引き'!$BE28</f>
        <v>0</v>
      </c>
      <c r="AOB2">
        <f>'（参考）包括・任意事業の上限額算定の手引き'!$BE29</f>
        <v>0</v>
      </c>
      <c r="AOC2" t="str">
        <f>'（参考）包括・任意事業の上限額算定の手引き'!$BE30</f>
        <v>×</v>
      </c>
      <c r="AOD2" t="str">
        <f>'（参考）包括・任意事業の上限額算定の手引き'!$BG5</f>
        <v/>
      </c>
      <c r="AOE2" t="str">
        <f>'（参考）包括・任意事業の上限額算定の手引き'!$BG6</f>
        <v/>
      </c>
      <c r="AOF2">
        <f>'（参考）包括・任意事業の上限額算定の手引き'!$BG7</f>
        <v>0</v>
      </c>
      <c r="AOG2">
        <f>'（参考）包括・任意事業の上限額算定の手引き'!$BG10</f>
        <v>0</v>
      </c>
      <c r="AOH2">
        <f>'（参考）包括・任意事業の上限額算定の手引き'!$BG11</f>
        <v>0</v>
      </c>
      <c r="AOI2">
        <f>'（参考）包括・任意事業の上限額算定の手引き'!$BG12</f>
        <v>0</v>
      </c>
      <c r="AOJ2" t="str">
        <f>'（参考）包括・任意事業の上限額算定の手引き'!$BG13</f>
        <v xml:space="preserve"> </v>
      </c>
      <c r="AOK2">
        <f>'（参考）包括・任意事業の上限額算定の手引き'!$BG14</f>
        <v>0</v>
      </c>
      <c r="AOL2">
        <f>'（参考）包括・任意事業の上限額算定の手引き'!$BG17</f>
        <v>0</v>
      </c>
      <c r="AOM2">
        <f>'（参考）包括・任意事業の上限額算定の手引き'!$BG18</f>
        <v>0</v>
      </c>
      <c r="AON2">
        <f>'（参考）包括・任意事業の上限額算定の手引き'!$BG19</f>
        <v>0</v>
      </c>
      <c r="AOO2">
        <f>'（参考）包括・任意事業の上限額算定の手引き'!$BG20</f>
        <v>0</v>
      </c>
      <c r="AOP2">
        <f>'（参考）包括・任意事業の上限額算定の手引き'!$BG25</f>
        <v>0</v>
      </c>
      <c r="AOQ2">
        <f>'（参考）包括・任意事業の上限額算定の手引き'!$BG26</f>
        <v>0</v>
      </c>
      <c r="AOR2">
        <f>'（参考）包括・任意事業の上限額算定の手引き'!$BG27</f>
        <v>0</v>
      </c>
      <c r="AOS2">
        <f>'（参考）包括・任意事業の上限額算定の手引き'!$BG28</f>
        <v>0</v>
      </c>
      <c r="AOT2">
        <f>'（参考）包括・任意事業の上限額算定の手引き'!$BG29</f>
        <v>0</v>
      </c>
      <c r="AOU2" t="str">
        <f>'（参考）包括・任意事業の上限額算定の手引き'!$BG30</f>
        <v>×</v>
      </c>
      <c r="AOV2" t="str">
        <f>'（参考）包括・任意事業の上限額算定の手引き'!$BI5</f>
        <v/>
      </c>
      <c r="AOW2" t="str">
        <f>'（参考）包括・任意事業の上限額算定の手引き'!$BI6</f>
        <v/>
      </c>
      <c r="AOX2">
        <f>'（参考）包括・任意事業の上限額算定の手引き'!$BI7</f>
        <v>0</v>
      </c>
      <c r="AOY2">
        <f>'（参考）包括・任意事業の上限額算定の手引き'!$BI10</f>
        <v>0</v>
      </c>
      <c r="AOZ2">
        <f>'（参考）包括・任意事業の上限額算定の手引き'!$BI11</f>
        <v>0</v>
      </c>
      <c r="APA2">
        <f>'（参考）包括・任意事業の上限額算定の手引き'!$BI12</f>
        <v>0</v>
      </c>
      <c r="APB2" t="str">
        <f>'（参考）包括・任意事業の上限額算定の手引き'!$BI13</f>
        <v xml:space="preserve"> </v>
      </c>
      <c r="APC2">
        <f>'（参考）包括・任意事業の上限額算定の手引き'!$BI14</f>
        <v>0</v>
      </c>
      <c r="APD2">
        <f>'（参考）包括・任意事業の上限額算定の手引き'!$BI17</f>
        <v>0</v>
      </c>
      <c r="APE2">
        <f>'（参考）包括・任意事業の上限額算定の手引き'!$BI18</f>
        <v>0</v>
      </c>
      <c r="APF2">
        <f>'（参考）包括・任意事業の上限額算定の手引き'!$BI19</f>
        <v>0</v>
      </c>
      <c r="APG2">
        <f>'（参考）包括・任意事業の上限額算定の手引き'!$BI20</f>
        <v>0</v>
      </c>
      <c r="APH2">
        <f>'（参考）包括・任意事業の上限額算定の手引き'!$BI25</f>
        <v>0</v>
      </c>
      <c r="API2">
        <f>'（参考）包括・任意事業の上限額算定の手引き'!$BI26</f>
        <v>0</v>
      </c>
      <c r="APJ2">
        <f>'（参考）包括・任意事業の上限額算定の手引き'!$BI27</f>
        <v>0</v>
      </c>
      <c r="APK2">
        <f>'（参考）包括・任意事業の上限額算定の手引き'!$BI28</f>
        <v>0</v>
      </c>
      <c r="APL2">
        <f>'（参考）包括・任意事業の上限額算定の手引き'!$BI29</f>
        <v>0</v>
      </c>
      <c r="APM2" t="str">
        <f>'（参考）包括・任意事業の上限額算定の手引き'!$BI30</f>
        <v>×</v>
      </c>
      <c r="APN2" t="str">
        <f>'（参考）包括・任意事業の上限額算定の手引き'!$BK5</f>
        <v/>
      </c>
      <c r="APO2" t="str">
        <f>'（参考）包括・任意事業の上限額算定の手引き'!$BK6</f>
        <v/>
      </c>
      <c r="APP2">
        <f>'（参考）包括・任意事業の上限額算定の手引き'!$BK7</f>
        <v>0</v>
      </c>
      <c r="APQ2">
        <f>'（参考）包括・任意事業の上限額算定の手引き'!$BK10</f>
        <v>0</v>
      </c>
      <c r="APR2">
        <f>'（参考）包括・任意事業の上限額算定の手引き'!$BK11</f>
        <v>0</v>
      </c>
      <c r="APS2">
        <f>'（参考）包括・任意事業の上限額算定の手引き'!$BK12</f>
        <v>0</v>
      </c>
      <c r="APT2" t="str">
        <f>'（参考）包括・任意事業の上限額算定の手引き'!$BK13</f>
        <v xml:space="preserve"> </v>
      </c>
      <c r="APU2">
        <f>'（参考）包括・任意事業の上限額算定の手引き'!$BK14</f>
        <v>0</v>
      </c>
      <c r="APV2">
        <f>'（参考）包括・任意事業の上限額算定の手引き'!$BK17</f>
        <v>0</v>
      </c>
      <c r="APW2">
        <f>'（参考）包括・任意事業の上限額算定の手引き'!$BK18</f>
        <v>0</v>
      </c>
      <c r="APX2">
        <f>'（参考）包括・任意事業の上限額算定の手引き'!$BK19</f>
        <v>0</v>
      </c>
      <c r="APY2">
        <f>'（参考）包括・任意事業の上限額算定の手引き'!$BK20</f>
        <v>0</v>
      </c>
      <c r="APZ2">
        <f>'（参考）包括・任意事業の上限額算定の手引き'!$BK25</f>
        <v>0</v>
      </c>
      <c r="AQA2">
        <f>'（参考）包括・任意事業の上限額算定の手引き'!$BK26</f>
        <v>0</v>
      </c>
      <c r="AQB2">
        <f>'（参考）包括・任意事業の上限額算定の手引き'!$BK27</f>
        <v>0</v>
      </c>
      <c r="AQC2">
        <f>'（参考）包括・任意事業の上限額算定の手引き'!$BK28</f>
        <v>0</v>
      </c>
      <c r="AQD2">
        <f>'（参考）包括・任意事業の上限額算定の手引き'!$BK29</f>
        <v>0</v>
      </c>
      <c r="AQE2" t="str">
        <f>'（参考）包括・任意事業の上限額算定の手引き'!$BK30</f>
        <v>×</v>
      </c>
      <c r="AQF2" t="str">
        <f>'（参考）包括・任意事業の上限額算定の手引き'!$BM5</f>
        <v/>
      </c>
      <c r="AQG2" t="str">
        <f>'（参考）包括・任意事業の上限額算定の手引き'!$BM6</f>
        <v/>
      </c>
      <c r="AQH2">
        <f>'（参考）包括・任意事業の上限額算定の手引き'!$BM7</f>
        <v>0</v>
      </c>
      <c r="AQI2">
        <f>'（参考）包括・任意事業の上限額算定の手引き'!$BM10</f>
        <v>0</v>
      </c>
      <c r="AQJ2">
        <f>'（参考）包括・任意事業の上限額算定の手引き'!$BM11</f>
        <v>0</v>
      </c>
      <c r="AQK2">
        <f>'（参考）包括・任意事業の上限額算定の手引き'!$BM12</f>
        <v>0</v>
      </c>
      <c r="AQL2" t="str">
        <f>'（参考）包括・任意事業の上限額算定の手引き'!$BM13</f>
        <v xml:space="preserve"> </v>
      </c>
      <c r="AQM2">
        <f>'（参考）包括・任意事業の上限額算定の手引き'!$BM14</f>
        <v>0</v>
      </c>
      <c r="AQN2">
        <f>'（参考）包括・任意事業の上限額算定の手引き'!$BM17</f>
        <v>0</v>
      </c>
      <c r="AQO2">
        <f>'（参考）包括・任意事業の上限額算定の手引き'!$BM18</f>
        <v>0</v>
      </c>
      <c r="AQP2">
        <f>'（参考）包括・任意事業の上限額算定の手引き'!$BM19</f>
        <v>0</v>
      </c>
      <c r="AQQ2">
        <f>'（参考）包括・任意事業の上限額算定の手引き'!$BM20</f>
        <v>0</v>
      </c>
      <c r="AQR2">
        <f>'（参考）包括・任意事業の上限額算定の手引き'!$BM25</f>
        <v>0</v>
      </c>
      <c r="AQS2">
        <f>'（参考）包括・任意事業の上限額算定の手引き'!$BM26</f>
        <v>0</v>
      </c>
      <c r="AQT2">
        <f>'（参考）包括・任意事業の上限額算定の手引き'!$BM27</f>
        <v>0</v>
      </c>
      <c r="AQU2">
        <f>'（参考）包括・任意事業の上限額算定の手引き'!$BM28</f>
        <v>0</v>
      </c>
      <c r="AQV2">
        <f>'（参考）包括・任意事業の上限額算定の手引き'!$BM29</f>
        <v>0</v>
      </c>
      <c r="AQW2" t="str">
        <f>'（参考）包括・任意事業の上限額算定の手引き'!$BM30</f>
        <v>×</v>
      </c>
      <c r="AQX2" t="str">
        <f>'（参考）包括・任意事業の上限額算定の手引き'!$BO5</f>
        <v/>
      </c>
      <c r="AQY2" t="str">
        <f>'（参考）包括・任意事業の上限額算定の手引き'!$BO6</f>
        <v/>
      </c>
      <c r="AQZ2">
        <f>'（参考）包括・任意事業の上限額算定の手引き'!$BO7</f>
        <v>0</v>
      </c>
      <c r="ARA2">
        <f>'（参考）包括・任意事業の上限額算定の手引き'!$BO10</f>
        <v>0</v>
      </c>
      <c r="ARB2">
        <f>'（参考）包括・任意事業の上限額算定の手引き'!$BO11</f>
        <v>0</v>
      </c>
      <c r="ARC2">
        <f>'（参考）包括・任意事業の上限額算定の手引き'!$BO12</f>
        <v>0</v>
      </c>
      <c r="ARD2" t="str">
        <f>'（参考）包括・任意事業の上限額算定の手引き'!$BO13</f>
        <v xml:space="preserve"> </v>
      </c>
      <c r="ARE2">
        <f>'（参考）包括・任意事業の上限額算定の手引き'!$BO14</f>
        <v>0</v>
      </c>
      <c r="ARF2">
        <f>'（参考）包括・任意事業の上限額算定の手引き'!$BO17</f>
        <v>0</v>
      </c>
      <c r="ARG2">
        <f>'（参考）包括・任意事業の上限額算定の手引き'!$BO18</f>
        <v>0</v>
      </c>
      <c r="ARH2">
        <f>'（参考）包括・任意事業の上限額算定の手引き'!$BO19</f>
        <v>0</v>
      </c>
      <c r="ARI2">
        <f>'（参考）包括・任意事業の上限額算定の手引き'!$BO20</f>
        <v>0</v>
      </c>
      <c r="ARJ2">
        <f>'（参考）包括・任意事業の上限額算定の手引き'!$BO25</f>
        <v>0</v>
      </c>
      <c r="ARK2">
        <f>'（参考）包括・任意事業の上限額算定の手引き'!$BO26</f>
        <v>0</v>
      </c>
      <c r="ARL2">
        <f>'（参考）包括・任意事業の上限額算定の手引き'!$BO27</f>
        <v>0</v>
      </c>
      <c r="ARM2">
        <f>'（参考）包括・任意事業の上限額算定の手引き'!$BO28</f>
        <v>0</v>
      </c>
      <c r="ARN2">
        <f>'（参考）包括・任意事業の上限額算定の手引き'!$BO29</f>
        <v>0</v>
      </c>
      <c r="ARO2" t="str">
        <f>'（参考）包括・任意事業の上限額算定の手引き'!$BO30</f>
        <v>×</v>
      </c>
      <c r="ARP2" t="str">
        <f>'（参考）包括・任意事業の上限額算定の手引き'!$BQ5</f>
        <v/>
      </c>
      <c r="ARQ2" t="str">
        <f>'（参考）包括・任意事業の上限額算定の手引き'!$BQ6</f>
        <v/>
      </c>
      <c r="ARR2">
        <f>'（参考）包括・任意事業の上限額算定の手引き'!$BQ7</f>
        <v>0</v>
      </c>
      <c r="ARS2">
        <f>'（参考）包括・任意事業の上限額算定の手引き'!$BQ10</f>
        <v>0</v>
      </c>
      <c r="ART2">
        <f>'（参考）包括・任意事業の上限額算定の手引き'!$BQ11</f>
        <v>0</v>
      </c>
      <c r="ARU2">
        <f>'（参考）包括・任意事業の上限額算定の手引き'!$BQ12</f>
        <v>0</v>
      </c>
      <c r="ARV2" t="str">
        <f>'（参考）包括・任意事業の上限額算定の手引き'!$BQ13</f>
        <v xml:space="preserve"> </v>
      </c>
      <c r="ARW2">
        <f>'（参考）包括・任意事業の上限額算定の手引き'!$BQ14</f>
        <v>0</v>
      </c>
      <c r="ARX2">
        <f>'（参考）包括・任意事業の上限額算定の手引き'!$BQ17</f>
        <v>0</v>
      </c>
      <c r="ARY2">
        <f>'（参考）包括・任意事業の上限額算定の手引き'!$BQ18</f>
        <v>0</v>
      </c>
      <c r="ARZ2">
        <f>'（参考）包括・任意事業の上限額算定の手引き'!$BQ19</f>
        <v>0</v>
      </c>
      <c r="ASA2">
        <f>'（参考）包括・任意事業の上限額算定の手引き'!$BQ20</f>
        <v>0</v>
      </c>
      <c r="ASB2">
        <f>'（参考）包括・任意事業の上限額算定の手引き'!$BQ25</f>
        <v>0</v>
      </c>
      <c r="ASC2">
        <f>'（参考）包括・任意事業の上限額算定の手引き'!$BQ26</f>
        <v>0</v>
      </c>
      <c r="ASD2">
        <f>'（参考）包括・任意事業の上限額算定の手引き'!$BQ27</f>
        <v>0</v>
      </c>
      <c r="ASE2">
        <f>'（参考）包括・任意事業の上限額算定の手引き'!$BQ28</f>
        <v>0</v>
      </c>
      <c r="ASF2">
        <f>'（参考）包括・任意事業の上限額算定の手引き'!$BQ29</f>
        <v>0</v>
      </c>
      <c r="ASG2" t="str">
        <f>'（参考）包括・任意事業の上限額算定の手引き'!$BQ30</f>
        <v>×</v>
      </c>
      <c r="ASH2" t="str">
        <f>'（参考）包括・任意事業の上限額算定の手引き'!$BS5</f>
        <v/>
      </c>
      <c r="ASI2" t="str">
        <f>'（参考）包括・任意事業の上限額算定の手引き'!$BS6</f>
        <v/>
      </c>
      <c r="ASJ2">
        <f>'（参考）包括・任意事業の上限額算定の手引き'!$BS7</f>
        <v>0</v>
      </c>
      <c r="ASK2">
        <f>'（参考）包括・任意事業の上限額算定の手引き'!$BS10</f>
        <v>0</v>
      </c>
      <c r="ASL2">
        <f>'（参考）包括・任意事業の上限額算定の手引き'!$BS11</f>
        <v>0</v>
      </c>
      <c r="ASM2">
        <f>'（参考）包括・任意事業の上限額算定の手引き'!$BS12</f>
        <v>0</v>
      </c>
      <c r="ASN2" t="str">
        <f>'（参考）包括・任意事業の上限額算定の手引き'!$BS13</f>
        <v xml:space="preserve"> </v>
      </c>
      <c r="ASO2">
        <f>'（参考）包括・任意事業の上限額算定の手引き'!$BS14</f>
        <v>0</v>
      </c>
      <c r="ASP2">
        <f>'（参考）包括・任意事業の上限額算定の手引き'!$BS17</f>
        <v>0</v>
      </c>
      <c r="ASQ2">
        <f>'（参考）包括・任意事業の上限額算定の手引き'!$BS18</f>
        <v>0</v>
      </c>
      <c r="ASR2">
        <f>'（参考）包括・任意事業の上限額算定の手引き'!$BS19</f>
        <v>0</v>
      </c>
      <c r="ASS2">
        <f>'（参考）包括・任意事業の上限額算定の手引き'!$BS20</f>
        <v>0</v>
      </c>
      <c r="AST2">
        <f>'（参考）包括・任意事業の上限額算定の手引き'!$BS25</f>
        <v>0</v>
      </c>
      <c r="ASU2">
        <f>'（参考）包括・任意事業の上限額算定の手引き'!$BS26</f>
        <v>0</v>
      </c>
      <c r="ASV2">
        <f>'（参考）包括・任意事業の上限額算定の手引き'!$BS27</f>
        <v>0</v>
      </c>
      <c r="ASW2">
        <f>'（参考）包括・任意事業の上限額算定の手引き'!$BS28</f>
        <v>0</v>
      </c>
      <c r="ASX2">
        <f>'（参考）包括・任意事業の上限額算定の手引き'!$BS29</f>
        <v>0</v>
      </c>
      <c r="ASY2" t="str">
        <f>'（参考）包括・任意事業の上限額算定の手引き'!$BS30</f>
        <v>×</v>
      </c>
      <c r="ASZ2" s="1" t="e">
        <f>#REF!</f>
        <v>#REF!</v>
      </c>
      <c r="ATA2" s="1" t="e">
        <f>#REF!</f>
        <v>#REF!</v>
      </c>
      <c r="ATB2" s="1" t="e">
        <f>#REF!</f>
        <v>#REF!</v>
      </c>
      <c r="ATC2" s="1" t="e">
        <f>#REF!</f>
        <v>#REF!</v>
      </c>
      <c r="ATD2" s="1" t="e">
        <f>#REF!</f>
        <v>#REF!</v>
      </c>
      <c r="ATE2" s="1" t="e">
        <f>#REF!</f>
        <v>#REF!</v>
      </c>
      <c r="ATF2" s="1" t="e">
        <f>#REF!</f>
        <v>#REF!</v>
      </c>
      <c r="ATG2" s="1" t="e">
        <f>#REF!</f>
        <v>#REF!</v>
      </c>
      <c r="ATH2" s="1" t="e">
        <f>#REF!</f>
        <v>#REF!</v>
      </c>
      <c r="ATI2" s="1" t="e">
        <f>#REF!</f>
        <v>#REF!</v>
      </c>
      <c r="ATJ2" s="1" t="e">
        <f>#REF!</f>
        <v>#REF!</v>
      </c>
      <c r="ATK2" s="1" t="e">
        <f>#REF!</f>
        <v>#REF!</v>
      </c>
      <c r="ATL2" s="1" t="e">
        <f>#REF!</f>
        <v>#REF!</v>
      </c>
      <c r="ATM2" s="1" t="e">
        <f>#REF!</f>
        <v>#REF!</v>
      </c>
      <c r="ATN2" s="1" t="e">
        <f>#REF!</f>
        <v>#REF!</v>
      </c>
      <c r="ATO2" s="1" t="e">
        <f>#REF!</f>
        <v>#REF!</v>
      </c>
      <c r="ATP2" s="1" t="e">
        <f>#REF!</f>
        <v>#REF!</v>
      </c>
      <c r="ATQ2" s="1" t="e">
        <f>#REF!</f>
        <v>#REF!</v>
      </c>
      <c r="ATR2" s="1" t="e">
        <f>#REF!</f>
        <v>#REF!</v>
      </c>
      <c r="ATS2" s="1" t="e">
        <f>#REF!</f>
        <v>#REF!</v>
      </c>
      <c r="ATT2" s="1" t="e">
        <f>#REF!</f>
        <v>#REF!</v>
      </c>
      <c r="ATU2" s="1" t="e">
        <f>#REF!</f>
        <v>#REF!</v>
      </c>
      <c r="ATV2" s="1" t="e">
        <f>#REF!</f>
        <v>#REF!</v>
      </c>
      <c r="ATW2" s="1" t="e">
        <f>#REF!</f>
        <v>#REF!</v>
      </c>
      <c r="ATX2" s="1" t="e">
        <f>#REF!</f>
        <v>#REF!</v>
      </c>
      <c r="ATY2" s="1" t="e">
        <f>#REF!</f>
        <v>#REF!</v>
      </c>
      <c r="ATZ2" s="1" t="e">
        <f>#REF!</f>
        <v>#REF!</v>
      </c>
      <c r="AUA2" s="1" t="e">
        <f>#REF!</f>
        <v>#REF!</v>
      </c>
      <c r="AUB2" s="1" t="e">
        <f>#REF!</f>
        <v>#REF!</v>
      </c>
      <c r="AUC2" s="7" t="e">
        <f>#REF!</f>
        <v>#REF!</v>
      </c>
      <c r="AUD2" s="7" t="e">
        <f>#REF!</f>
        <v>#REF!</v>
      </c>
      <c r="AUE2" s="7" t="e">
        <f>#REF!</f>
        <v>#REF!</v>
      </c>
      <c r="AUF2" s="7" t="e">
        <f>#REF!</f>
        <v>#REF!</v>
      </c>
      <c r="AUG2" s="7" t="e">
        <f>#REF!</f>
        <v>#REF!</v>
      </c>
      <c r="AUH2" s="7" t="e">
        <f>#REF!</f>
        <v>#REF!</v>
      </c>
      <c r="AUI2" s="7" t="e">
        <f>#REF!</f>
        <v>#REF!</v>
      </c>
      <c r="AUJ2" s="7" t="e">
        <f>#REF!</f>
        <v>#REF!</v>
      </c>
      <c r="AUK2" s="7" t="e">
        <f>#REF!</f>
        <v>#REF!</v>
      </c>
      <c r="AUL2" s="7" t="e">
        <f>#REF!</f>
        <v>#REF!</v>
      </c>
      <c r="AUM2" s="1" t="e">
        <f>#REF!</f>
        <v>#REF!</v>
      </c>
      <c r="AUN2" s="1" t="e">
        <f>#REF!</f>
        <v>#REF!</v>
      </c>
      <c r="AUO2" s="1" t="e">
        <f>#REF!</f>
        <v>#REF!</v>
      </c>
      <c r="AUP2" s="1" t="e">
        <f>#REF!</f>
        <v>#REF!</v>
      </c>
      <c r="AUQ2" s="1" t="e">
        <f>#REF!</f>
        <v>#REF!</v>
      </c>
      <c r="AUR2" s="1" t="e">
        <f>#REF!</f>
        <v>#REF!</v>
      </c>
      <c r="AUS2" s="1" t="e">
        <f>#REF!</f>
        <v>#REF!</v>
      </c>
      <c r="AUT2" s="1" t="e">
        <f>#REF!</f>
        <v>#REF!</v>
      </c>
      <c r="AUU2" s="1" t="e">
        <f>#REF!</f>
        <v>#REF!</v>
      </c>
      <c r="AUV2" s="1" t="e">
        <f>#REF!</f>
        <v>#REF!</v>
      </c>
      <c r="AUW2" s="1" t="e">
        <f>#REF!</f>
        <v>#REF!</v>
      </c>
      <c r="AUX2" s="1" t="e">
        <f>#REF!</f>
        <v>#REF!</v>
      </c>
      <c r="AUY2" s="1" t="e">
        <f>#REF!</f>
        <v>#REF!</v>
      </c>
      <c r="AUZ2" s="1" t="e">
        <f>#REF!</f>
        <v>#REF!</v>
      </c>
      <c r="AVA2" s="1" t="e">
        <f>#REF!</f>
        <v>#REF!</v>
      </c>
      <c r="AVB2" s="1" t="e">
        <f>#REF!</f>
        <v>#REF!</v>
      </c>
      <c r="AVC2" s="1" t="e">
        <f>#REF!</f>
        <v>#REF!</v>
      </c>
      <c r="AVD2" s="1" t="e">
        <f>#REF!</f>
        <v>#REF!</v>
      </c>
      <c r="AVE2" s="1" t="e">
        <f>#REF!</f>
        <v>#REF!</v>
      </c>
      <c r="AVF2" s="1" t="e">
        <f>#REF!</f>
        <v>#REF!</v>
      </c>
      <c r="AVG2" s="1" t="e">
        <f>#REF!</f>
        <v>#REF!</v>
      </c>
      <c r="AVH2" s="1" t="e">
        <f>#REF!</f>
        <v>#REF!</v>
      </c>
      <c r="AVI2" s="2" t="e">
        <f>#REF!</f>
        <v>#REF!</v>
      </c>
      <c r="AVJ2" s="1" t="e">
        <f>#REF!</f>
        <v>#REF!</v>
      </c>
      <c r="AVK2" s="1" t="e">
        <f>#REF!</f>
        <v>#REF!</v>
      </c>
      <c r="AVL2" s="1" t="e">
        <f>#REF!</f>
        <v>#REF!</v>
      </c>
      <c r="AVM2" s="1" t="e">
        <f>#REF!</f>
        <v>#REF!</v>
      </c>
      <c r="AVN2" s="1" t="e">
        <f>#REF!</f>
        <v>#REF!</v>
      </c>
      <c r="AVO2" s="1" t="e">
        <f>#REF!</f>
        <v>#REF!</v>
      </c>
      <c r="AVP2" s="1" t="e">
        <f>#REF!</f>
        <v>#REF!</v>
      </c>
      <c r="AVQ2" s="1" t="e">
        <f>#REF!</f>
        <v>#REF!</v>
      </c>
      <c r="AVR2" s="1" t="e">
        <f>#REF!</f>
        <v>#REF!</v>
      </c>
      <c r="AVS2" s="1" t="e">
        <f>#REF!</f>
        <v>#REF!</v>
      </c>
      <c r="AVT2" s="1" t="e">
        <f>#REF!</f>
        <v>#REF!</v>
      </c>
      <c r="AVU2" s="1" t="e">
        <f>#REF!</f>
        <v>#REF!</v>
      </c>
      <c r="AVV2" s="1" t="e">
        <f>#REF!</f>
        <v>#REF!</v>
      </c>
      <c r="AVW2" s="1" t="e">
        <f>#REF!</f>
        <v>#REF!</v>
      </c>
      <c r="AVX2" s="1" t="e">
        <f>#REF!</f>
        <v>#REF!</v>
      </c>
      <c r="AVY2" s="1" t="e">
        <f>#REF!</f>
        <v>#REF!</v>
      </c>
      <c r="AVZ2" s="1" t="e">
        <f>#REF!</f>
        <v>#REF!</v>
      </c>
      <c r="AWA2" s="1" t="e">
        <f>#REF!</f>
        <v>#REF!</v>
      </c>
      <c r="AWB2" s="1" t="e">
        <f>#REF!</f>
        <v>#REF!</v>
      </c>
      <c r="AWC2" s="1" t="e">
        <f>#REF!</f>
        <v>#REF!</v>
      </c>
      <c r="AWD2" s="1" t="e">
        <f>#REF!</f>
        <v>#REF!</v>
      </c>
      <c r="AWE2" s="1" t="e">
        <f>#REF!</f>
        <v>#REF!</v>
      </c>
      <c r="AWF2" s="1" t="e">
        <f>#REF!</f>
        <v>#REF!</v>
      </c>
      <c r="AWG2" s="1" t="e">
        <f>#REF!</f>
        <v>#REF!</v>
      </c>
      <c r="AWH2" s="1" t="e">
        <f>#REF!</f>
        <v>#REF!</v>
      </c>
      <c r="AWI2" s="1" t="e">
        <f>#REF!</f>
        <v>#REF!</v>
      </c>
      <c r="AWJ2" s="1" t="e">
        <f>#REF!</f>
        <v>#REF!</v>
      </c>
      <c r="AWK2" s="1" t="e">
        <f>#REF!</f>
        <v>#REF!</v>
      </c>
      <c r="AWL2" s="1" t="e">
        <f>#REF!</f>
        <v>#REF!</v>
      </c>
      <c r="AWM2" s="1" t="e">
        <f>#REF!</f>
        <v>#REF!</v>
      </c>
      <c r="AWN2" s="1" t="e">
        <f>#REF!</f>
        <v>#REF!</v>
      </c>
      <c r="AWO2" s="1" t="e">
        <f>#REF!</f>
        <v>#REF!</v>
      </c>
      <c r="AWP2" s="1" t="e">
        <f>#REF!</f>
        <v>#REF!</v>
      </c>
      <c r="AWQ2" s="1" t="e">
        <f>#REF!</f>
        <v>#REF!</v>
      </c>
      <c r="AWR2" s="1" t="e">
        <f>#REF!</f>
        <v>#REF!</v>
      </c>
      <c r="AWS2" s="1" t="e">
        <f>#REF!</f>
        <v>#REF!</v>
      </c>
      <c r="AWT2" s="1" t="e">
        <f>#REF!</f>
        <v>#REF!</v>
      </c>
      <c r="AWU2" s="1" t="e">
        <f>#REF!</f>
        <v>#REF!</v>
      </c>
      <c r="AWV2" s="1" t="e">
        <f>#REF!</f>
        <v>#REF!</v>
      </c>
      <c r="AWW2" s="1" t="e">
        <f>#REF!</f>
        <v>#REF!</v>
      </c>
      <c r="AWX2" s="1" t="e">
        <f>#REF!</f>
        <v>#REF!</v>
      </c>
      <c r="AWY2" s="1" t="e">
        <f>#REF!</f>
        <v>#REF!</v>
      </c>
      <c r="AWZ2" s="1" t="e">
        <f>#REF!</f>
        <v>#REF!</v>
      </c>
      <c r="AXA2" s="1" t="e">
        <f>#REF!</f>
        <v>#REF!</v>
      </c>
      <c r="AXB2" s="1" t="e">
        <f>#REF!</f>
        <v>#REF!</v>
      </c>
      <c r="AXC2" s="1" t="e">
        <f>#REF!</f>
        <v>#REF!</v>
      </c>
      <c r="AXD2" s="1" t="e">
        <f>#REF!</f>
        <v>#REF!</v>
      </c>
      <c r="AXE2" s="1" t="e">
        <f>#REF!</f>
        <v>#REF!</v>
      </c>
      <c r="AXF2" s="1" t="e">
        <f>#REF!</f>
        <v>#REF!</v>
      </c>
      <c r="AXG2" s="1" t="e">
        <f>#REF!</f>
        <v>#REF!</v>
      </c>
      <c r="AXH2" s="1" t="e">
        <f>#REF!</f>
        <v>#REF!</v>
      </c>
      <c r="AXI2" s="1" t="e">
        <f>#REF!</f>
        <v>#REF!</v>
      </c>
      <c r="AXJ2" s="1" t="e">
        <f>#REF!</f>
        <v>#REF!</v>
      </c>
      <c r="AXK2" s="1" t="e">
        <f>#REF!</f>
        <v>#REF!</v>
      </c>
      <c r="AXL2" s="1" t="e">
        <f>#REF!</f>
        <v>#REF!</v>
      </c>
      <c r="AXM2" s="1" t="e">
        <f>#REF!</f>
        <v>#REF!</v>
      </c>
      <c r="AXN2" s="1" t="e">
        <f>#REF!</f>
        <v>#REF!</v>
      </c>
      <c r="AXO2" s="1" t="e">
        <f>#REF!</f>
        <v>#REF!</v>
      </c>
      <c r="AXP2" s="1" t="e">
        <f>#REF!</f>
        <v>#REF!</v>
      </c>
      <c r="AXQ2" s="1" t="e">
        <f>#REF!</f>
        <v>#REF!</v>
      </c>
      <c r="AXR2" s="1" t="e">
        <f>#REF!</f>
        <v>#REF!</v>
      </c>
      <c r="AXS2" s="1" t="e">
        <f>#REF!</f>
        <v>#REF!</v>
      </c>
      <c r="AXT2" s="1" t="e">
        <f>#REF!</f>
        <v>#REF!</v>
      </c>
      <c r="AXU2" s="1" t="e">
        <f>#REF!</f>
        <v>#REF!</v>
      </c>
      <c r="AXV2" s="1" t="e">
        <f>#REF!</f>
        <v>#REF!</v>
      </c>
      <c r="AXW2" s="1" t="e">
        <f>#REF!</f>
        <v>#REF!</v>
      </c>
      <c r="AXX2" s="1" t="e">
        <f>#REF!</f>
        <v>#REF!</v>
      </c>
      <c r="AXY2" s="1" t="e">
        <f>#REF!</f>
        <v>#REF!</v>
      </c>
      <c r="AXZ2" s="1" t="e">
        <f>#REF!</f>
        <v>#REF!</v>
      </c>
      <c r="AYA2" s="1" t="e">
        <f>#REF!</f>
        <v>#REF!</v>
      </c>
      <c r="AYB2" s="1" t="e">
        <f>#REF!</f>
        <v>#REF!</v>
      </c>
      <c r="AYC2" s="1" t="e">
        <f>#REF!</f>
        <v>#REF!</v>
      </c>
      <c r="AYD2" s="7" t="e">
        <f>#REF!</f>
        <v>#REF!</v>
      </c>
      <c r="AYE2" s="1" t="e">
        <f>#REF!</f>
        <v>#REF!</v>
      </c>
      <c r="AYF2" s="1" t="e">
        <f>#REF!</f>
        <v>#REF!</v>
      </c>
      <c r="AYG2" s="1" t="e">
        <f>#REF!</f>
        <v>#REF!</v>
      </c>
      <c r="AYH2" s="1" t="e">
        <f>#REF!</f>
        <v>#REF!</v>
      </c>
      <c r="AYI2" s="1" t="e">
        <f>#REF!</f>
        <v>#REF!</v>
      </c>
      <c r="AYJ2" s="1" t="e">
        <f>#REF!</f>
        <v>#REF!</v>
      </c>
      <c r="AYK2" s="10" t="e">
        <f>IF(SUM(AYL2:AYP2)=0,"","有")</f>
        <v>#REF!</v>
      </c>
      <c r="AYL2" s="1" t="e">
        <f>#REF!</f>
        <v>#REF!</v>
      </c>
      <c r="AYM2" s="1" t="e">
        <f>#REF!</f>
        <v>#REF!</v>
      </c>
      <c r="AYN2" s="1" t="e">
        <f>#REF!</f>
        <v>#REF!</v>
      </c>
      <c r="AYO2" s="1" t="e">
        <f>#REF!</f>
        <v>#REF!</v>
      </c>
      <c r="AYP2" s="1" t="e">
        <f>#REF!</f>
        <v>#REF!</v>
      </c>
      <c r="AYQ2" s="1" t="e">
        <f>#REF!</f>
        <v>#REF!</v>
      </c>
      <c r="AYR2" s="1" t="e">
        <f>#REF!</f>
        <v>#REF!</v>
      </c>
      <c r="AYS2" s="1" t="e">
        <f>#REF!</f>
        <v>#REF!</v>
      </c>
      <c r="AYT2" s="1" t="e">
        <f>#REF!</f>
        <v>#REF!</v>
      </c>
      <c r="AYU2" s="1" t="e">
        <f>#REF!</f>
        <v>#REF!</v>
      </c>
      <c r="AYV2" s="1" t="e">
        <f>#REF!</f>
        <v>#REF!</v>
      </c>
      <c r="AYW2" s="2" t="e">
        <f>#REF!</f>
        <v>#REF!</v>
      </c>
      <c r="AYX2" s="1" t="e">
        <f>#REF!</f>
        <v>#REF!</v>
      </c>
      <c r="AYY2" s="1" t="e">
        <f>#REF!</f>
        <v>#REF!</v>
      </c>
      <c r="AYZ2" s="1" t="e">
        <f>#REF!</f>
        <v>#REF!</v>
      </c>
      <c r="AZA2" s="1" t="e">
        <f>#REF!</f>
        <v>#REF!</v>
      </c>
      <c r="AZB2" s="1" t="e">
        <f>#REF!</f>
        <v>#REF!</v>
      </c>
      <c r="AZC2" s="1" t="e">
        <f>#REF!</f>
        <v>#REF!</v>
      </c>
      <c r="AZD2" s="1" t="e">
        <f>#REF!</f>
        <v>#REF!</v>
      </c>
      <c r="AZE2" s="1" t="e">
        <f>#REF!</f>
        <v>#REF!</v>
      </c>
      <c r="AZF2" s="1" t="e">
        <f>#REF!</f>
        <v>#REF!</v>
      </c>
      <c r="AZG2" s="1" t="e">
        <f>#REF!</f>
        <v>#REF!</v>
      </c>
      <c r="AZH2" s="1" t="e">
        <f>#REF!</f>
        <v>#REF!</v>
      </c>
      <c r="AZI2" s="1" t="e">
        <f>#REF!</f>
        <v>#REF!</v>
      </c>
      <c r="AZJ2" s="1" t="e">
        <f>#REF!</f>
        <v>#REF!</v>
      </c>
      <c r="AZK2" s="1" t="e">
        <f>#REF!</f>
        <v>#REF!</v>
      </c>
      <c r="AZL2" s="1" t="e">
        <f>#REF!</f>
        <v>#REF!</v>
      </c>
      <c r="AZM2" s="1" t="e">
        <f>#REF!</f>
        <v>#REF!</v>
      </c>
      <c r="AZN2" s="1" t="e">
        <f>#REF!</f>
        <v>#REF!</v>
      </c>
      <c r="AZO2" s="1" t="e">
        <f>#REF!</f>
        <v>#REF!</v>
      </c>
      <c r="AZP2" s="1" t="e">
        <f>#REF!</f>
        <v>#REF!</v>
      </c>
      <c r="AZQ2" s="1" t="e">
        <f>#REF!</f>
        <v>#REF!</v>
      </c>
      <c r="AZR2" s="1" t="e">
        <f>#REF!</f>
        <v>#REF!</v>
      </c>
      <c r="AZS2" s="1" t="e">
        <f>#REF!</f>
        <v>#REF!</v>
      </c>
      <c r="AZT2" s="1" t="e">
        <f>#REF!</f>
        <v>#REF!</v>
      </c>
      <c r="AZU2" s="1" t="e">
        <f>#REF!</f>
        <v>#REF!</v>
      </c>
      <c r="AZV2" s="1" t="e">
        <f>#REF!</f>
        <v>#REF!</v>
      </c>
      <c r="AZW2" s="1" t="e">
        <f>#REF!</f>
        <v>#REF!</v>
      </c>
      <c r="AZX2" s="1" t="e">
        <f>#REF!</f>
        <v>#REF!</v>
      </c>
      <c r="AZY2" s="1" t="e">
        <f>#REF!</f>
        <v>#REF!</v>
      </c>
      <c r="AZZ2" s="1" t="e">
        <f>#REF!</f>
        <v>#REF!</v>
      </c>
      <c r="BAA2" s="1" t="e">
        <f>#REF!</f>
        <v>#REF!</v>
      </c>
      <c r="BAB2" s="1" t="e">
        <f>#REF!</f>
        <v>#REF!</v>
      </c>
      <c r="BAC2" s="10" t="e">
        <f>#REF!</f>
        <v>#REF!</v>
      </c>
      <c r="BAD2" s="1" t="e">
        <f>#REF!</f>
        <v>#REF!</v>
      </c>
      <c r="BAE2" s="1" t="e">
        <f>#REF!</f>
        <v>#REF!</v>
      </c>
      <c r="BAF2" s="1" t="e">
        <f>#REF!</f>
        <v>#REF!</v>
      </c>
      <c r="BAG2" s="1" t="e">
        <f>#REF!</f>
        <v>#REF!</v>
      </c>
      <c r="BAH2" s="1" t="e">
        <f>#REF!</f>
        <v>#REF!</v>
      </c>
      <c r="BAI2" s="1" t="e">
        <f>#REF!</f>
        <v>#REF!</v>
      </c>
      <c r="BAJ2" s="1" t="e">
        <f>#REF!</f>
        <v>#REF!</v>
      </c>
      <c r="BAK2" s="1" t="e">
        <f>#REF!</f>
        <v>#REF!</v>
      </c>
      <c r="BAL2" s="1" t="e">
        <f>#REF!</f>
        <v>#REF!</v>
      </c>
      <c r="BAM2" s="11" t="e">
        <f>#REF!</f>
        <v>#REF!</v>
      </c>
      <c r="BAN2" s="11" t="e">
        <f>#REF!</f>
        <v>#REF!</v>
      </c>
      <c r="BAO2" s="11" t="e">
        <f>#REF!</f>
        <v>#REF!</v>
      </c>
      <c r="BAP2" s="12" t="e">
        <f>#REF!</f>
        <v>#REF!</v>
      </c>
      <c r="BAQ2" s="2" t="e">
        <f>#REF!</f>
        <v>#REF!</v>
      </c>
      <c r="BAR2" s="2" t="e">
        <f>#REF!</f>
        <v>#REF!</v>
      </c>
    </row>
    <row r="5" spans="1:1396">
      <c r="OK5" s="1" t="s">
        <v>1362</v>
      </c>
    </row>
    <row r="6" spans="1:1396">
      <c r="OK6" s="1" t="s">
        <v>1363</v>
      </c>
    </row>
    <row r="7" spans="1:1396">
      <c r="OK7" s="1" t="s">
        <v>1364</v>
      </c>
    </row>
    <row r="8" spans="1:1396">
      <c r="OK8" s="1" t="s">
        <v>1365</v>
      </c>
      <c r="QX8" s="13"/>
      <c r="QY8" s="13"/>
      <c r="QZ8" s="14"/>
      <c r="RA8" s="14"/>
      <c r="RB8" s="14"/>
      <c r="RC8" s="14"/>
      <c r="RD8" s="14"/>
      <c r="RE8" s="14"/>
      <c r="RF8" s="14"/>
      <c r="RG8" s="14"/>
      <c r="RH8" s="14"/>
      <c r="RI8" s="14"/>
      <c r="RJ8" s="14"/>
      <c r="RK8" s="14"/>
      <c r="RL8" s="14"/>
      <c r="RM8" s="14"/>
      <c r="RN8" s="14"/>
      <c r="RO8" s="14"/>
      <c r="RP8" s="14"/>
      <c r="RQ8" s="14"/>
      <c r="RR8" s="14"/>
      <c r="RS8" s="13"/>
      <c r="RT8" s="13"/>
      <c r="RU8" s="13"/>
      <c r="RV8" s="13"/>
      <c r="RW8" s="13"/>
      <c r="RX8" s="13"/>
      <c r="RY8" s="13"/>
      <c r="RZ8" s="13"/>
      <c r="SA8" s="13"/>
      <c r="SB8" s="13"/>
      <c r="SC8" s="13"/>
      <c r="SD8" s="13"/>
      <c r="SE8" s="13"/>
      <c r="SF8" s="13"/>
      <c r="SG8" s="13"/>
      <c r="SH8" s="13"/>
      <c r="SI8" s="13"/>
      <c r="SJ8" s="13"/>
      <c r="SK8" s="13"/>
      <c r="SL8" s="13"/>
      <c r="SM8" s="13"/>
      <c r="SN8" s="13"/>
      <c r="SO8" s="13"/>
      <c r="SP8" s="13"/>
      <c r="SQ8" s="13"/>
    </row>
    <row r="9" spans="1:1396">
      <c r="OK9" s="1" t="s">
        <v>405</v>
      </c>
    </row>
    <row r="10" spans="1:1396">
      <c r="OK10" s="1" t="s">
        <v>1366</v>
      </c>
    </row>
    <row r="11" spans="1:1396">
      <c r="OK11" s="1" t="s">
        <v>1367</v>
      </c>
    </row>
    <row r="12" spans="1:1396">
      <c r="OK12" s="1" t="s">
        <v>1368</v>
      </c>
    </row>
    <row r="13" spans="1:1396">
      <c r="OK13" s="1" t="s">
        <v>1369</v>
      </c>
    </row>
    <row r="14" spans="1:1396">
      <c r="OK14" s="1" t="s">
        <v>1370</v>
      </c>
    </row>
    <row r="15" spans="1:1396">
      <c r="OK15" s="1" t="s">
        <v>1371</v>
      </c>
    </row>
    <row r="16" spans="1:1396">
      <c r="OK16" s="1" t="s">
        <v>1372</v>
      </c>
    </row>
  </sheetData>
  <phoneticPr fontId="3"/>
  <conditionalFormatting sqref="AZI1:XFD1 AVJ1:AZG1 OX1:PB1 PF1:PG1 ME1:ML1 MN1:OK1 PI1:VK1 A1:MC1 ASZ1:AVH1">
    <cfRule type="duplicateValues" dxfId="80" priority="3"/>
  </conditionalFormatting>
  <conditionalFormatting sqref="AZH1">
    <cfRule type="duplicateValues" dxfId="79" priority="2"/>
  </conditionalFormatting>
  <conditionalFormatting sqref="VP1:ASY1 VL1:VN1">
    <cfRule type="duplicateValues" dxfId="78" priority="1"/>
  </conditionalFormatting>
  <dataValidations count="1">
    <dataValidation type="whole" errorStyle="warning" operator="greaterThanOrEqual" allowBlank="1" showInputMessage="1" showErrorMessage="1" error="0以上の整数（金額）を入力して下さい。" sqref="KK1" xr:uid="{198317DE-BAEA-47FE-8AC0-5F9541E2F037}">
      <formula1>0</formula1>
    </dataValidation>
  </dataValidations>
  <printOptions horizontalCentered="1"/>
  <pageMargins left="0.23622047244094491" right="0.35433070866141736" top="0.74803149606299213" bottom="0.74803149606299213" header="0.31496062992125984" footer="0.31496062992125984"/>
  <pageSetup paperSize="9" scale="57" orientation="portrait" blackAndWhite="1"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38F8-5088-4865-85C2-70E6B8CA7F9E}">
  <sheetPr codeName="Sheet4">
    <tabColor rgb="FF92D050"/>
  </sheetPr>
  <dimension ref="A1:CQ1785"/>
  <sheetViews>
    <sheetView topLeftCell="BO1" zoomScale="85" zoomScaleNormal="85" workbookViewId="0">
      <selection activeCell="BY10" sqref="BY10"/>
    </sheetView>
  </sheetViews>
  <sheetFormatPr defaultColWidth="8.88671875" defaultRowHeight="15.75"/>
  <cols>
    <col min="1" max="1" width="3.21875" style="17" customWidth="1"/>
    <col min="2" max="2" width="7.6640625" style="17" customWidth="1"/>
    <col min="3" max="3" width="13.5546875" style="17" bestFit="1" customWidth="1"/>
    <col min="4" max="5" width="3.33203125" style="17" customWidth="1"/>
    <col min="6" max="6" width="11.6640625" style="17" bestFit="1" customWidth="1"/>
    <col min="7" max="7" width="5.33203125" style="17" customWidth="1"/>
    <col min="8" max="8" width="13.5546875" style="17" bestFit="1" customWidth="1"/>
    <col min="9" max="9" width="5.109375" style="17" customWidth="1"/>
    <col min="10" max="10" width="10" style="17" bestFit="1" customWidth="1"/>
    <col min="11" max="11" width="4.109375" style="17" customWidth="1"/>
    <col min="12" max="12" width="8.5546875" style="17" bestFit="1" customWidth="1"/>
    <col min="13" max="13" width="15.33203125" style="17" bestFit="1" customWidth="1"/>
    <col min="14" max="14" width="5.109375" style="17" customWidth="1"/>
    <col min="15" max="15" width="5.6640625" style="17" customWidth="1"/>
    <col min="16" max="16" width="7.44140625" style="17" customWidth="1"/>
    <col min="17" max="17" width="7.33203125" style="17" customWidth="1"/>
    <col min="18" max="18" width="6.77734375" style="17" customWidth="1"/>
    <col min="19" max="19" width="4.5546875" style="17" customWidth="1"/>
    <col min="20" max="20" width="9.5546875" style="17" customWidth="1"/>
    <col min="21" max="21" width="5.5546875" style="17" customWidth="1"/>
    <col min="22" max="22" width="14" style="17" customWidth="1"/>
    <col min="23" max="23" width="16" style="17" bestFit="1" customWidth="1"/>
    <col min="24" max="24" width="2.88671875" style="17" customWidth="1"/>
    <col min="25" max="25" width="5.6640625" style="17" bestFit="1" customWidth="1"/>
    <col min="26" max="26" width="4.5546875" style="17" customWidth="1"/>
    <col min="27" max="30" width="8.88671875" style="17"/>
    <col min="31" max="31" width="12.21875" style="17" customWidth="1"/>
    <col min="32" max="39" width="8.88671875" style="17"/>
    <col min="40" max="40" width="9.109375" style="17" customWidth="1"/>
    <col min="41" max="55" width="8.88671875" style="17"/>
    <col min="56" max="56" width="9.109375" style="17" customWidth="1"/>
    <col min="57" max="71" width="8.88671875" style="17"/>
    <col min="72" max="72" width="9.109375" style="17" customWidth="1"/>
    <col min="73" max="73" width="20.88671875" style="17" bestFit="1" customWidth="1"/>
    <col min="74" max="74" width="3" style="17" customWidth="1"/>
    <col min="75" max="75" width="3.88671875" style="17" customWidth="1"/>
    <col min="76" max="76" width="2.88671875" style="17" customWidth="1"/>
    <col min="77" max="77" width="33.33203125" style="17" bestFit="1" customWidth="1"/>
    <col min="78" max="78" width="14" style="17" bestFit="1" customWidth="1"/>
    <col min="79" max="79" width="15" style="17" bestFit="1" customWidth="1"/>
    <col min="80" max="80" width="4.88671875" style="17" customWidth="1"/>
    <col min="81" max="81" width="32.77734375" style="17" customWidth="1"/>
    <col min="82" max="82" width="5" style="17" customWidth="1"/>
    <col min="83" max="83" width="14.21875" style="17" bestFit="1" customWidth="1"/>
    <col min="84" max="84" width="3.33203125" style="17" customWidth="1"/>
    <col min="85" max="85" width="8.88671875" style="17"/>
    <col min="86" max="86" width="3" style="17" customWidth="1"/>
    <col min="87" max="87" width="9.109375" style="17" bestFit="1" customWidth="1"/>
    <col min="88" max="88" width="8.88671875" style="18" customWidth="1"/>
    <col min="89" max="89" width="8.88671875" style="18"/>
    <col min="90" max="90" width="14.77734375" style="18" customWidth="1"/>
    <col min="91" max="91" width="6.44140625" style="18" customWidth="1"/>
    <col min="92" max="92" width="8.88671875" style="17"/>
    <col min="93" max="93" width="27.77734375" style="17" customWidth="1"/>
    <col min="94" max="94" width="29.6640625" style="17" customWidth="1"/>
    <col min="95" max="16384" width="8.88671875" style="17"/>
  </cols>
  <sheetData>
    <row r="1" spans="1:95">
      <c r="A1" s="15" t="s">
        <v>1373</v>
      </c>
      <c r="B1" s="16"/>
      <c r="C1" s="16"/>
      <c r="D1" s="16"/>
      <c r="F1" s="15" t="s">
        <v>1374</v>
      </c>
      <c r="G1" s="15"/>
      <c r="H1" s="15"/>
      <c r="I1" s="16"/>
      <c r="J1" s="16"/>
      <c r="M1" s="15" t="s">
        <v>1375</v>
      </c>
      <c r="N1" s="15"/>
      <c r="O1" s="15"/>
      <c r="P1" s="16"/>
      <c r="Q1" s="16"/>
      <c r="R1" s="16"/>
      <c r="S1" s="16"/>
      <c r="T1" s="16"/>
      <c r="U1" s="16"/>
      <c r="V1" s="16"/>
      <c r="W1" s="16"/>
      <c r="X1" s="16"/>
      <c r="Z1" s="15" t="s">
        <v>1376</v>
      </c>
      <c r="AA1" s="15"/>
      <c r="AB1" s="15"/>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X1" s="15" t="s">
        <v>1377</v>
      </c>
      <c r="BY1" s="15"/>
      <c r="BZ1" s="15"/>
      <c r="CA1" s="16"/>
    </row>
    <row r="4" spans="1:95">
      <c r="AA4" s="19" t="s">
        <v>1378</v>
      </c>
      <c r="AB4" s="19" t="s">
        <v>1379</v>
      </c>
      <c r="AC4" s="19" t="s">
        <v>1380</v>
      </c>
      <c r="AD4" s="19" t="s">
        <v>1381</v>
      </c>
      <c r="AE4" s="19" t="s">
        <v>1382</v>
      </c>
      <c r="AF4" s="19" t="s">
        <v>1383</v>
      </c>
      <c r="AG4" s="19" t="s">
        <v>1384</v>
      </c>
      <c r="AH4" s="19" t="s">
        <v>1385</v>
      </c>
      <c r="AI4" s="19" t="s">
        <v>1386</v>
      </c>
      <c r="AJ4" s="19" t="s">
        <v>1387</v>
      </c>
      <c r="AK4" s="19" t="s">
        <v>1388</v>
      </c>
      <c r="AL4" s="19" t="s">
        <v>1389</v>
      </c>
      <c r="AM4" s="19" t="s">
        <v>1390</v>
      </c>
      <c r="AN4" s="19" t="s">
        <v>1391</v>
      </c>
      <c r="AO4" s="19" t="s">
        <v>1392</v>
      </c>
      <c r="AP4" s="19" t="s">
        <v>1393</v>
      </c>
      <c r="AQ4" s="19" t="s">
        <v>1394</v>
      </c>
      <c r="AR4" s="19" t="s">
        <v>1395</v>
      </c>
      <c r="AS4" s="19" t="s">
        <v>1396</v>
      </c>
      <c r="AT4" s="19" t="s">
        <v>1397</v>
      </c>
      <c r="AU4" s="19" t="s">
        <v>1398</v>
      </c>
      <c r="AV4" s="19" t="s">
        <v>1399</v>
      </c>
      <c r="AW4" s="19" t="s">
        <v>1400</v>
      </c>
      <c r="AX4" s="19" t="s">
        <v>1401</v>
      </c>
      <c r="AY4" s="19" t="s">
        <v>1402</v>
      </c>
      <c r="AZ4" s="19" t="s">
        <v>1403</v>
      </c>
      <c r="BA4" s="19" t="s">
        <v>1404</v>
      </c>
      <c r="BB4" s="19" t="s">
        <v>1405</v>
      </c>
      <c r="BC4" s="19" t="s">
        <v>1406</v>
      </c>
      <c r="BD4" s="19" t="s">
        <v>1407</v>
      </c>
      <c r="BE4" s="19" t="s">
        <v>1408</v>
      </c>
      <c r="BF4" s="19" t="s">
        <v>1409</v>
      </c>
      <c r="BG4" s="19" t="s">
        <v>1410</v>
      </c>
      <c r="BH4" s="19" t="s">
        <v>1411</v>
      </c>
      <c r="BI4" s="19" t="s">
        <v>1412</v>
      </c>
      <c r="BJ4" s="19" t="s">
        <v>1413</v>
      </c>
      <c r="BK4" s="19" t="s">
        <v>1414</v>
      </c>
      <c r="BL4" s="19" t="s">
        <v>1415</v>
      </c>
      <c r="BM4" s="19" t="s">
        <v>1416</v>
      </c>
      <c r="BN4" s="19" t="s">
        <v>1417</v>
      </c>
      <c r="BO4" s="19" t="s">
        <v>1418</v>
      </c>
      <c r="BP4" s="19" t="s">
        <v>1419</v>
      </c>
      <c r="BQ4" s="19" t="s">
        <v>1420</v>
      </c>
      <c r="BR4" s="19" t="s">
        <v>1421</v>
      </c>
      <c r="BS4" s="19" t="s">
        <v>1422</v>
      </c>
      <c r="BT4" s="19" t="s">
        <v>1423</v>
      </c>
      <c r="BU4" s="19" t="s">
        <v>1424</v>
      </c>
      <c r="BY4" s="17" t="s">
        <v>1425</v>
      </c>
      <c r="CC4" s="17" t="s">
        <v>1426</v>
      </c>
    </row>
    <row r="5" spans="1:95" s="20" customFormat="1" ht="63">
      <c r="B5" s="19" t="s">
        <v>1427</v>
      </c>
      <c r="C5" s="21" t="s">
        <v>1428</v>
      </c>
      <c r="F5" s="21" t="s">
        <v>1429</v>
      </c>
      <c r="G5" s="19" t="s">
        <v>1427</v>
      </c>
      <c r="H5" s="22" t="s">
        <v>1428</v>
      </c>
      <c r="I5" s="22" t="s">
        <v>1430</v>
      </c>
      <c r="J5" s="21" t="s">
        <v>1431</v>
      </c>
      <c r="N5" s="19" t="s">
        <v>1432</v>
      </c>
      <c r="O5" s="22" t="s">
        <v>1433</v>
      </c>
      <c r="P5" s="22" t="s">
        <v>1434</v>
      </c>
      <c r="Q5" s="22" t="s">
        <v>1435</v>
      </c>
      <c r="R5" s="22" t="s">
        <v>1436</v>
      </c>
      <c r="S5" s="21" t="s">
        <v>1437</v>
      </c>
      <c r="T5" s="21" t="s">
        <v>1438</v>
      </c>
      <c r="U5" s="21" t="s">
        <v>1427</v>
      </c>
      <c r="V5" s="21" t="s">
        <v>1428</v>
      </c>
      <c r="W5" s="21" t="s">
        <v>1429</v>
      </c>
      <c r="AA5" s="23" t="s">
        <v>1439</v>
      </c>
      <c r="AB5" s="23" t="s">
        <v>1440</v>
      </c>
      <c r="AC5" s="23" t="s">
        <v>1441</v>
      </c>
      <c r="AD5" s="23" t="s">
        <v>1442</v>
      </c>
      <c r="AE5" s="23" t="s">
        <v>1443</v>
      </c>
      <c r="AF5" s="23" t="s">
        <v>1444</v>
      </c>
      <c r="AG5" s="23" t="s">
        <v>1445</v>
      </c>
      <c r="AH5" s="23" t="s">
        <v>1446</v>
      </c>
      <c r="AI5" s="23" t="s">
        <v>1447</v>
      </c>
      <c r="AJ5" s="23" t="s">
        <v>1448</v>
      </c>
      <c r="AK5" s="23" t="s">
        <v>1449</v>
      </c>
      <c r="AL5" s="23" t="s">
        <v>1450</v>
      </c>
      <c r="AM5" s="23" t="s">
        <v>1451</v>
      </c>
      <c r="AN5" s="23" t="s">
        <v>1452</v>
      </c>
      <c r="AO5" s="23" t="s">
        <v>1453</v>
      </c>
      <c r="AP5" s="23" t="s">
        <v>1454</v>
      </c>
      <c r="AQ5" s="23" t="s">
        <v>1455</v>
      </c>
      <c r="AR5" s="23" t="s">
        <v>1456</v>
      </c>
      <c r="AS5" s="23" t="s">
        <v>1457</v>
      </c>
      <c r="AT5" s="23" t="s">
        <v>1458</v>
      </c>
      <c r="AU5" s="23" t="s">
        <v>1459</v>
      </c>
      <c r="AV5" s="23" t="s">
        <v>1460</v>
      </c>
      <c r="AW5" s="23" t="s">
        <v>1461</v>
      </c>
      <c r="AX5" s="23" t="s">
        <v>1462</v>
      </c>
      <c r="AY5" s="23" t="s">
        <v>1463</v>
      </c>
      <c r="AZ5" s="23" t="s">
        <v>1464</v>
      </c>
      <c r="BA5" s="23" t="s">
        <v>1465</v>
      </c>
      <c r="BB5" s="23" t="s">
        <v>1466</v>
      </c>
      <c r="BC5" s="23" t="s">
        <v>1467</v>
      </c>
      <c r="BD5" s="23" t="s">
        <v>1468</v>
      </c>
      <c r="BE5" s="23" t="s">
        <v>1469</v>
      </c>
      <c r="BF5" s="23" t="s">
        <v>1470</v>
      </c>
      <c r="BG5" s="23" t="s">
        <v>1471</v>
      </c>
      <c r="BH5" s="23" t="s">
        <v>1472</v>
      </c>
      <c r="BI5" s="23" t="s">
        <v>1473</v>
      </c>
      <c r="BJ5" s="23" t="s">
        <v>1474</v>
      </c>
      <c r="BK5" s="23" t="s">
        <v>1475</v>
      </c>
      <c r="BL5" s="23" t="s">
        <v>1476</v>
      </c>
      <c r="BM5" s="23" t="s">
        <v>1477</v>
      </c>
      <c r="BN5" s="23" t="s">
        <v>1478</v>
      </c>
      <c r="BO5" s="23" t="s">
        <v>1479</v>
      </c>
      <c r="BP5" s="23" t="s">
        <v>1480</v>
      </c>
      <c r="BQ5" s="23" t="s">
        <v>1481</v>
      </c>
      <c r="BR5" s="23" t="s">
        <v>1482</v>
      </c>
      <c r="BS5" s="23" t="s">
        <v>1483</v>
      </c>
      <c r="BT5" s="23" t="s">
        <v>1484</v>
      </c>
      <c r="BU5" s="23" t="s">
        <v>1485</v>
      </c>
      <c r="BY5" s="24" t="s">
        <v>1486</v>
      </c>
      <c r="BZ5" s="24" t="s">
        <v>1487</v>
      </c>
      <c r="CA5" s="24" t="s">
        <v>1488</v>
      </c>
      <c r="CC5" s="24" t="s">
        <v>1489</v>
      </c>
      <c r="CE5" s="24" t="s">
        <v>1490</v>
      </c>
      <c r="CG5" s="25" t="s">
        <v>1491</v>
      </c>
      <c r="CJ5" s="26" t="s">
        <v>1492</v>
      </c>
      <c r="CK5" s="26" t="s">
        <v>1493</v>
      </c>
      <c r="CL5" s="26"/>
      <c r="CM5" s="26" t="s">
        <v>1494</v>
      </c>
    </row>
    <row r="6" spans="1:95">
      <c r="B6" s="27" t="s">
        <v>1439</v>
      </c>
      <c r="C6" s="28" t="s">
        <v>1495</v>
      </c>
      <c r="F6" s="17" t="s">
        <v>1496</v>
      </c>
      <c r="G6" s="27" t="s">
        <v>1439</v>
      </c>
      <c r="H6" s="29" t="s">
        <v>1495</v>
      </c>
      <c r="I6" s="29" t="s">
        <v>1439</v>
      </c>
      <c r="J6" s="28" t="s">
        <v>1378</v>
      </c>
      <c r="L6" s="17" t="s">
        <v>1497</v>
      </c>
      <c r="M6" s="17" t="s">
        <v>1498</v>
      </c>
      <c r="N6" s="27" t="s">
        <v>1499</v>
      </c>
      <c r="O6" s="29" t="s">
        <v>1439</v>
      </c>
      <c r="P6" s="29" t="s">
        <v>1500</v>
      </c>
      <c r="Q6" s="29" t="s">
        <v>1439</v>
      </c>
      <c r="R6" s="29" t="s">
        <v>1501</v>
      </c>
      <c r="S6" s="28" t="s">
        <v>1502</v>
      </c>
      <c r="T6" s="28" t="s">
        <v>1503</v>
      </c>
      <c r="U6" s="28" t="s">
        <v>1439</v>
      </c>
      <c r="V6" s="28" t="s">
        <v>1495</v>
      </c>
      <c r="W6" s="28" t="s">
        <v>1504</v>
      </c>
      <c r="X6" s="17">
        <v>1</v>
      </c>
      <c r="AA6" s="30" t="s">
        <v>1503</v>
      </c>
      <c r="AB6" s="31" t="s">
        <v>1505</v>
      </c>
      <c r="AC6" s="31" t="s">
        <v>1506</v>
      </c>
      <c r="AD6" s="31" t="s">
        <v>1507</v>
      </c>
      <c r="AE6" s="31" t="s">
        <v>1508</v>
      </c>
      <c r="AF6" s="31" t="s">
        <v>1509</v>
      </c>
      <c r="AG6" s="31" t="s">
        <v>1510</v>
      </c>
      <c r="AH6" s="31" t="s">
        <v>1511</v>
      </c>
      <c r="AI6" s="31" t="s">
        <v>1512</v>
      </c>
      <c r="AJ6" s="31" t="s">
        <v>1513</v>
      </c>
      <c r="AK6" s="31" t="s">
        <v>1514</v>
      </c>
      <c r="AL6" s="31" t="s">
        <v>1515</v>
      </c>
      <c r="AM6" s="31" t="s">
        <v>1516</v>
      </c>
      <c r="AN6" s="31" t="s">
        <v>1517</v>
      </c>
      <c r="AO6" s="31" t="s">
        <v>1518</v>
      </c>
      <c r="AP6" s="31" t="s">
        <v>1519</v>
      </c>
      <c r="AQ6" s="31" t="s">
        <v>1520</v>
      </c>
      <c r="AR6" s="31" t="s">
        <v>1521</v>
      </c>
      <c r="AS6" s="31" t="s">
        <v>1522</v>
      </c>
      <c r="AT6" s="31" t="s">
        <v>1523</v>
      </c>
      <c r="AU6" s="31" t="s">
        <v>1524</v>
      </c>
      <c r="AV6" s="31" t="s">
        <v>1525</v>
      </c>
      <c r="AW6" s="31" t="s">
        <v>1526</v>
      </c>
      <c r="AX6" s="31" t="s">
        <v>1527</v>
      </c>
      <c r="AY6" s="31" t="s">
        <v>1528</v>
      </c>
      <c r="AZ6" s="31" t="s">
        <v>1529</v>
      </c>
      <c r="BA6" s="31" t="s">
        <v>1530</v>
      </c>
      <c r="BB6" s="31" t="s">
        <v>1531</v>
      </c>
      <c r="BC6" s="31" t="s">
        <v>1532</v>
      </c>
      <c r="BD6" s="31" t="s">
        <v>1533</v>
      </c>
      <c r="BE6" s="31" t="s">
        <v>1534</v>
      </c>
      <c r="BF6" s="31" t="s">
        <v>1535</v>
      </c>
      <c r="BG6" s="31" t="s">
        <v>1536</v>
      </c>
      <c r="BH6" s="31" t="s">
        <v>1537</v>
      </c>
      <c r="BI6" s="31" t="s">
        <v>1538</v>
      </c>
      <c r="BJ6" s="31" t="s">
        <v>1539</v>
      </c>
      <c r="BK6" s="31" t="s">
        <v>1540</v>
      </c>
      <c r="BL6" s="31" t="s">
        <v>1541</v>
      </c>
      <c r="BM6" s="31" t="s">
        <v>1542</v>
      </c>
      <c r="BN6" s="31" t="s">
        <v>1543</v>
      </c>
      <c r="BO6" s="31" t="s">
        <v>1544</v>
      </c>
      <c r="BP6" s="31" t="s">
        <v>1545</v>
      </c>
      <c r="BQ6" s="31" t="s">
        <v>1546</v>
      </c>
      <c r="BR6" s="31" t="s">
        <v>1547</v>
      </c>
      <c r="BS6" s="31" t="s">
        <v>1548</v>
      </c>
      <c r="BT6" s="31" t="s">
        <v>1549</v>
      </c>
      <c r="BU6" s="32" t="s">
        <v>1550</v>
      </c>
      <c r="BY6" s="33" t="s">
        <v>1551</v>
      </c>
      <c r="BZ6" s="33" t="s">
        <v>1552</v>
      </c>
      <c r="CA6" s="33" t="s">
        <v>1553</v>
      </c>
      <c r="CC6" s="33" t="s">
        <v>1551</v>
      </c>
      <c r="CE6" s="34">
        <v>42095</v>
      </c>
      <c r="CG6" s="25" t="s">
        <v>1554</v>
      </c>
      <c r="CI6" s="17" t="s">
        <v>1555</v>
      </c>
      <c r="CJ6" s="26" t="s">
        <v>1378</v>
      </c>
      <c r="CK6" s="26" t="s">
        <v>1503</v>
      </c>
      <c r="CL6" s="26" t="str">
        <f>CJ6&amp;CK6</f>
        <v>北海道札幌市</v>
      </c>
      <c r="CM6" s="26">
        <v>1</v>
      </c>
      <c r="CN6" s="17" t="str">
        <f t="shared" ref="CN6:CN69" si="0">VLOOKUP(CL6,$M$6:$N$1784,2,FALSE)</f>
        <v>0001</v>
      </c>
      <c r="CO6" s="17" t="str">
        <f>CM6&amp;TEXT(CN6,0)&amp;CK6</f>
        <v>11札幌市</v>
      </c>
      <c r="CP6" s="17" t="s">
        <v>1556</v>
      </c>
      <c r="CQ6" s="17" t="b">
        <f>CO6=CP6</f>
        <v>1</v>
      </c>
    </row>
    <row r="7" spans="1:95">
      <c r="B7" s="27" t="s">
        <v>1440</v>
      </c>
      <c r="C7" s="28" t="s">
        <v>1557</v>
      </c>
      <c r="F7" s="17" t="s">
        <v>1558</v>
      </c>
      <c r="G7" s="27" t="s">
        <v>1440</v>
      </c>
      <c r="H7" s="29" t="s">
        <v>1557</v>
      </c>
      <c r="I7" s="29" t="s">
        <v>1440</v>
      </c>
      <c r="J7" s="28" t="s">
        <v>1379</v>
      </c>
      <c r="L7" s="17" t="s">
        <v>1559</v>
      </c>
      <c r="M7" s="17" t="s">
        <v>1560</v>
      </c>
      <c r="N7" s="27" t="s">
        <v>1561</v>
      </c>
      <c r="O7" s="29" t="s">
        <v>1439</v>
      </c>
      <c r="P7" s="29" t="s">
        <v>1562</v>
      </c>
      <c r="Q7" s="29" t="s">
        <v>1439</v>
      </c>
      <c r="R7" s="29" t="s">
        <v>1563</v>
      </c>
      <c r="S7" s="28" t="s">
        <v>1564</v>
      </c>
      <c r="T7" s="28" t="s">
        <v>1565</v>
      </c>
      <c r="U7" s="28" t="s">
        <v>1439</v>
      </c>
      <c r="V7" s="28" t="s">
        <v>1495</v>
      </c>
      <c r="W7" s="28" t="s">
        <v>1566</v>
      </c>
      <c r="X7" s="17">
        <v>1</v>
      </c>
      <c r="AA7" s="35" t="s">
        <v>1565</v>
      </c>
      <c r="AB7" s="36" t="s">
        <v>1567</v>
      </c>
      <c r="AC7" s="36" t="s">
        <v>1568</v>
      </c>
      <c r="AD7" s="36" t="s">
        <v>1569</v>
      </c>
      <c r="AE7" s="36" t="s">
        <v>1570</v>
      </c>
      <c r="AF7" s="36" t="s">
        <v>1571</v>
      </c>
      <c r="AG7" s="36" t="s">
        <v>1572</v>
      </c>
      <c r="AH7" s="36" t="s">
        <v>1573</v>
      </c>
      <c r="AI7" s="36" t="s">
        <v>1574</v>
      </c>
      <c r="AJ7" s="36" t="s">
        <v>1575</v>
      </c>
      <c r="AK7" s="36" t="s">
        <v>1576</v>
      </c>
      <c r="AL7" s="36" t="s">
        <v>1577</v>
      </c>
      <c r="AM7" s="36" t="s">
        <v>1578</v>
      </c>
      <c r="AN7" s="36" t="s">
        <v>1579</v>
      </c>
      <c r="AO7" s="36" t="s">
        <v>1580</v>
      </c>
      <c r="AP7" s="36" t="s">
        <v>1581</v>
      </c>
      <c r="AQ7" s="36" t="s">
        <v>1582</v>
      </c>
      <c r="AR7" s="36" t="s">
        <v>1583</v>
      </c>
      <c r="AS7" s="36" t="s">
        <v>1584</v>
      </c>
      <c r="AT7" s="36" t="s">
        <v>1585</v>
      </c>
      <c r="AU7" s="36" t="s">
        <v>1586</v>
      </c>
      <c r="AV7" s="36" t="s">
        <v>1587</v>
      </c>
      <c r="AW7" s="36" t="s">
        <v>1588</v>
      </c>
      <c r="AX7" s="36" t="s">
        <v>1589</v>
      </c>
      <c r="AY7" s="36" t="s">
        <v>1590</v>
      </c>
      <c r="AZ7" s="36" t="s">
        <v>1591</v>
      </c>
      <c r="BA7" s="36" t="s">
        <v>1592</v>
      </c>
      <c r="BB7" s="36" t="s">
        <v>1593</v>
      </c>
      <c r="BC7" s="36" t="s">
        <v>1594</v>
      </c>
      <c r="BD7" s="36" t="s">
        <v>1595</v>
      </c>
      <c r="BE7" s="36" t="s">
        <v>1596</v>
      </c>
      <c r="BF7" s="36" t="s">
        <v>1597</v>
      </c>
      <c r="BG7" s="36" t="s">
        <v>1598</v>
      </c>
      <c r="BH7" s="36" t="s">
        <v>1599</v>
      </c>
      <c r="BI7" s="36" t="s">
        <v>1600</v>
      </c>
      <c r="BJ7" s="36" t="s">
        <v>1601</v>
      </c>
      <c r="BK7" s="36" t="s">
        <v>1602</v>
      </c>
      <c r="BL7" s="36" t="s">
        <v>1603</v>
      </c>
      <c r="BM7" s="36" t="s">
        <v>1604</v>
      </c>
      <c r="BN7" s="36" t="s">
        <v>1605</v>
      </c>
      <c r="BO7" s="36" t="s">
        <v>1606</v>
      </c>
      <c r="BP7" s="36" t="s">
        <v>1607</v>
      </c>
      <c r="BQ7" s="36" t="s">
        <v>1608</v>
      </c>
      <c r="BR7" s="36" t="s">
        <v>1609</v>
      </c>
      <c r="BS7" s="36" t="s">
        <v>1610</v>
      </c>
      <c r="BT7" s="36" t="s">
        <v>1611</v>
      </c>
      <c r="BU7" s="37" t="s">
        <v>1612</v>
      </c>
      <c r="BY7" s="33" t="s">
        <v>1613</v>
      </c>
      <c r="BZ7" s="38" t="s">
        <v>1614</v>
      </c>
      <c r="CA7" s="38" t="s">
        <v>1615</v>
      </c>
      <c r="CC7" s="33" t="s">
        <v>1613</v>
      </c>
      <c r="CE7" s="34">
        <v>42461</v>
      </c>
      <c r="CG7" s="25" t="s">
        <v>1616</v>
      </c>
      <c r="CI7" s="17" t="s">
        <v>1617</v>
      </c>
      <c r="CJ7" s="39" t="s">
        <v>1378</v>
      </c>
      <c r="CK7" s="26" t="s">
        <v>1565</v>
      </c>
      <c r="CL7" s="26" t="str">
        <f t="shared" ref="CL7:CL70" si="1">CJ7&amp;CK7</f>
        <v>北海道函館市</v>
      </c>
      <c r="CM7" s="26">
        <v>2</v>
      </c>
      <c r="CN7" s="17" t="str">
        <f t="shared" si="0"/>
        <v>0002</v>
      </c>
      <c r="CO7" s="17" t="str">
        <f t="shared" ref="CO7:CO70" si="2">CM7&amp;TEXT(CN7,0)&amp;CK7</f>
        <v>22函館市</v>
      </c>
      <c r="CP7" s="17" t="s">
        <v>1618</v>
      </c>
      <c r="CQ7" s="17" t="b">
        <f t="shared" ref="CQ7:CQ70" si="3">CO7=CP7</f>
        <v>1</v>
      </c>
    </row>
    <row r="8" spans="1:95">
      <c r="B8" s="27" t="s">
        <v>1441</v>
      </c>
      <c r="C8" s="28" t="s">
        <v>1619</v>
      </c>
      <c r="F8" s="17" t="s">
        <v>1620</v>
      </c>
      <c r="G8" s="27" t="s">
        <v>1440</v>
      </c>
      <c r="H8" s="29" t="s">
        <v>1557</v>
      </c>
      <c r="I8" s="29" t="s">
        <v>1441</v>
      </c>
      <c r="J8" s="28" t="s">
        <v>1380</v>
      </c>
      <c r="L8" s="17" t="s">
        <v>1621</v>
      </c>
      <c r="M8" s="17" t="s">
        <v>1622</v>
      </c>
      <c r="N8" s="27" t="s">
        <v>1623</v>
      </c>
      <c r="O8" s="29" t="s">
        <v>1439</v>
      </c>
      <c r="P8" s="29" t="s">
        <v>1624</v>
      </c>
      <c r="Q8" s="29" t="s">
        <v>1439</v>
      </c>
      <c r="R8" s="29" t="s">
        <v>1625</v>
      </c>
      <c r="S8" s="28" t="s">
        <v>1626</v>
      </c>
      <c r="T8" s="28" t="s">
        <v>1627</v>
      </c>
      <c r="U8" s="28" t="s">
        <v>1439</v>
      </c>
      <c r="V8" s="28" t="s">
        <v>1495</v>
      </c>
      <c r="W8" s="28" t="s">
        <v>1628</v>
      </c>
      <c r="X8" s="17">
        <v>1</v>
      </c>
      <c r="AA8" s="30" t="s">
        <v>1627</v>
      </c>
      <c r="AB8" s="31" t="s">
        <v>1629</v>
      </c>
      <c r="AC8" s="31" t="s">
        <v>1630</v>
      </c>
      <c r="AD8" s="31" t="s">
        <v>1631</v>
      </c>
      <c r="AE8" s="31" t="s">
        <v>1632</v>
      </c>
      <c r="AF8" s="31" t="s">
        <v>1633</v>
      </c>
      <c r="AG8" s="31" t="s">
        <v>1634</v>
      </c>
      <c r="AH8" s="31" t="s">
        <v>1635</v>
      </c>
      <c r="AI8" s="31" t="s">
        <v>1636</v>
      </c>
      <c r="AJ8" s="31" t="s">
        <v>1637</v>
      </c>
      <c r="AK8" s="31" t="s">
        <v>1638</v>
      </c>
      <c r="AL8" s="31" t="s">
        <v>1639</v>
      </c>
      <c r="AM8" s="31" t="s">
        <v>1640</v>
      </c>
      <c r="AN8" s="31" t="s">
        <v>1641</v>
      </c>
      <c r="AO8" s="31" t="s">
        <v>1642</v>
      </c>
      <c r="AP8" s="31" t="s">
        <v>1643</v>
      </c>
      <c r="AQ8" s="31" t="s">
        <v>1644</v>
      </c>
      <c r="AR8" s="31" t="s">
        <v>1645</v>
      </c>
      <c r="AS8" s="31" t="s">
        <v>1646</v>
      </c>
      <c r="AT8" s="31" t="s">
        <v>1647</v>
      </c>
      <c r="AU8" s="31" t="s">
        <v>1648</v>
      </c>
      <c r="AV8" s="31" t="s">
        <v>1649</v>
      </c>
      <c r="AW8" s="31" t="s">
        <v>1650</v>
      </c>
      <c r="AX8" s="31" t="s">
        <v>1651</v>
      </c>
      <c r="AY8" s="31" t="s">
        <v>1652</v>
      </c>
      <c r="AZ8" s="31" t="s">
        <v>1653</v>
      </c>
      <c r="BA8" s="31" t="s">
        <v>1654</v>
      </c>
      <c r="BB8" s="31" t="s">
        <v>1655</v>
      </c>
      <c r="BC8" s="31" t="s">
        <v>1656</v>
      </c>
      <c r="BD8" s="31" t="s">
        <v>1657</v>
      </c>
      <c r="BE8" s="31" t="s">
        <v>1658</v>
      </c>
      <c r="BF8" s="31" t="s">
        <v>1659</v>
      </c>
      <c r="BG8" s="31" t="s">
        <v>1660</v>
      </c>
      <c r="BH8" s="31" t="s">
        <v>1661</v>
      </c>
      <c r="BI8" s="31" t="s">
        <v>1662</v>
      </c>
      <c r="BJ8" s="31" t="s">
        <v>1663</v>
      </c>
      <c r="BK8" s="31" t="s">
        <v>1664</v>
      </c>
      <c r="BL8" s="31" t="s">
        <v>1665</v>
      </c>
      <c r="BM8" s="31" t="s">
        <v>1666</v>
      </c>
      <c r="BN8" s="31" t="s">
        <v>1667</v>
      </c>
      <c r="BO8" s="31" t="s">
        <v>1668</v>
      </c>
      <c r="BP8" s="31" t="s">
        <v>1669</v>
      </c>
      <c r="BQ8" s="31" t="s">
        <v>1670</v>
      </c>
      <c r="BR8" s="31" t="s">
        <v>1671</v>
      </c>
      <c r="BS8" s="31" t="s">
        <v>1672</v>
      </c>
      <c r="BT8" s="31" t="s">
        <v>1673</v>
      </c>
      <c r="BU8" s="32" t="s">
        <v>1674</v>
      </c>
      <c r="BY8" s="33" t="s">
        <v>1675</v>
      </c>
      <c r="CC8" s="33" t="s">
        <v>1675</v>
      </c>
      <c r="CE8" s="34">
        <v>42826</v>
      </c>
      <c r="CG8" s="25" t="s">
        <v>1676</v>
      </c>
      <c r="CJ8" s="39" t="s">
        <v>1378</v>
      </c>
      <c r="CK8" s="26" t="s">
        <v>1627</v>
      </c>
      <c r="CL8" s="26" t="str">
        <f t="shared" si="1"/>
        <v>北海道小樽市</v>
      </c>
      <c r="CM8" s="26">
        <v>3</v>
      </c>
      <c r="CN8" s="17" t="str">
        <f t="shared" si="0"/>
        <v>0003</v>
      </c>
      <c r="CO8" s="17" t="str">
        <f t="shared" si="2"/>
        <v>33小樽市</v>
      </c>
      <c r="CP8" s="17" t="s">
        <v>1677</v>
      </c>
      <c r="CQ8" s="17" t="b">
        <f t="shared" si="3"/>
        <v>1</v>
      </c>
    </row>
    <row r="9" spans="1:95">
      <c r="B9" s="27" t="s">
        <v>1442</v>
      </c>
      <c r="C9" s="28" t="s">
        <v>1678</v>
      </c>
      <c r="F9" s="17" t="s">
        <v>1679</v>
      </c>
      <c r="G9" s="27" t="s">
        <v>1440</v>
      </c>
      <c r="H9" s="29" t="s">
        <v>1557</v>
      </c>
      <c r="I9" s="29" t="s">
        <v>1442</v>
      </c>
      <c r="J9" s="28" t="s">
        <v>1381</v>
      </c>
      <c r="L9" s="17" t="s">
        <v>1680</v>
      </c>
      <c r="M9" s="17" t="s">
        <v>1681</v>
      </c>
      <c r="N9" s="27" t="s">
        <v>1682</v>
      </c>
      <c r="O9" s="29" t="s">
        <v>1439</v>
      </c>
      <c r="P9" s="29" t="s">
        <v>1683</v>
      </c>
      <c r="Q9" s="29" t="s">
        <v>1439</v>
      </c>
      <c r="R9" s="29" t="s">
        <v>1684</v>
      </c>
      <c r="S9" s="28" t="s">
        <v>1502</v>
      </c>
      <c r="T9" s="28" t="s">
        <v>1685</v>
      </c>
      <c r="U9" s="28" t="s">
        <v>1439</v>
      </c>
      <c r="V9" s="28" t="s">
        <v>1495</v>
      </c>
      <c r="W9" s="28" t="s">
        <v>1686</v>
      </c>
      <c r="X9" s="17">
        <v>1</v>
      </c>
      <c r="AA9" s="35" t="s">
        <v>1685</v>
      </c>
      <c r="AB9" s="36" t="s">
        <v>1687</v>
      </c>
      <c r="AC9" s="36" t="s">
        <v>1688</v>
      </c>
      <c r="AD9" s="36" t="s">
        <v>1689</v>
      </c>
      <c r="AE9" s="36" t="s">
        <v>1690</v>
      </c>
      <c r="AF9" s="36" t="s">
        <v>1691</v>
      </c>
      <c r="AG9" s="36" t="s">
        <v>1692</v>
      </c>
      <c r="AH9" s="36" t="s">
        <v>1693</v>
      </c>
      <c r="AI9" s="36" t="s">
        <v>1694</v>
      </c>
      <c r="AJ9" s="36" t="s">
        <v>1695</v>
      </c>
      <c r="AK9" s="36" t="s">
        <v>1696</v>
      </c>
      <c r="AL9" s="36" t="s">
        <v>1697</v>
      </c>
      <c r="AM9" s="36" t="s">
        <v>1698</v>
      </c>
      <c r="AN9" s="36" t="s">
        <v>1699</v>
      </c>
      <c r="AO9" s="36" t="s">
        <v>1700</v>
      </c>
      <c r="AP9" s="36" t="s">
        <v>1701</v>
      </c>
      <c r="AQ9" s="36" t="s">
        <v>1702</v>
      </c>
      <c r="AR9" s="36" t="s">
        <v>1703</v>
      </c>
      <c r="AS9" s="36" t="s">
        <v>1704</v>
      </c>
      <c r="AT9" s="36" t="s">
        <v>1705</v>
      </c>
      <c r="AU9" s="36" t="s">
        <v>1706</v>
      </c>
      <c r="AV9" s="36" t="s">
        <v>1707</v>
      </c>
      <c r="AW9" s="36" t="s">
        <v>1708</v>
      </c>
      <c r="AX9" s="36" t="s">
        <v>1709</v>
      </c>
      <c r="AY9" s="36" t="s">
        <v>1710</v>
      </c>
      <c r="AZ9" s="36" t="s">
        <v>1711</v>
      </c>
      <c r="BA9" s="36" t="s">
        <v>1712</v>
      </c>
      <c r="BB9" s="36" t="s">
        <v>1713</v>
      </c>
      <c r="BC9" s="36" t="s">
        <v>1714</v>
      </c>
      <c r="BD9" s="36" t="s">
        <v>1715</v>
      </c>
      <c r="BE9" s="36" t="s">
        <v>1716</v>
      </c>
      <c r="BF9" s="36" t="s">
        <v>1717</v>
      </c>
      <c r="BG9" s="36" t="s">
        <v>1718</v>
      </c>
      <c r="BH9" s="36" t="s">
        <v>1719</v>
      </c>
      <c r="BI9" s="36" t="s">
        <v>1720</v>
      </c>
      <c r="BJ9" s="36" t="s">
        <v>1721</v>
      </c>
      <c r="BK9" s="36" t="s">
        <v>1722</v>
      </c>
      <c r="BL9" s="36" t="s">
        <v>1723</v>
      </c>
      <c r="BM9" s="36" t="s">
        <v>1724</v>
      </c>
      <c r="BN9" s="36" t="s">
        <v>1725</v>
      </c>
      <c r="BO9" s="36" t="s">
        <v>1726</v>
      </c>
      <c r="BP9" s="36" t="s">
        <v>1727</v>
      </c>
      <c r="BQ9" s="36" t="s">
        <v>1728</v>
      </c>
      <c r="BR9" s="36" t="s">
        <v>1729</v>
      </c>
      <c r="BS9" s="36" t="s">
        <v>1730</v>
      </c>
      <c r="BT9" s="36" t="s">
        <v>1731</v>
      </c>
      <c r="BU9" s="37" t="s">
        <v>1732</v>
      </c>
      <c r="BY9" s="33" t="s">
        <v>1733</v>
      </c>
      <c r="CC9" s="33" t="s">
        <v>1733</v>
      </c>
      <c r="CG9" s="25" t="s">
        <v>1734</v>
      </c>
      <c r="CJ9" s="26" t="s">
        <v>1378</v>
      </c>
      <c r="CK9" s="26" t="s">
        <v>1685</v>
      </c>
      <c r="CL9" s="26" t="str">
        <f t="shared" si="1"/>
        <v>北海道旭川市</v>
      </c>
      <c r="CM9" s="26">
        <v>4</v>
      </c>
      <c r="CN9" s="17" t="str">
        <f t="shared" si="0"/>
        <v>0004</v>
      </c>
      <c r="CO9" s="17" t="str">
        <f t="shared" si="2"/>
        <v>44旭川市</v>
      </c>
      <c r="CP9" s="17" t="s">
        <v>1735</v>
      </c>
      <c r="CQ9" s="17" t="b">
        <f t="shared" si="3"/>
        <v>1</v>
      </c>
    </row>
    <row r="10" spans="1:95">
      <c r="B10" s="27" t="s">
        <v>1443</v>
      </c>
      <c r="C10" s="28" t="s">
        <v>1736</v>
      </c>
      <c r="F10" s="17" t="s">
        <v>1737</v>
      </c>
      <c r="G10" s="27" t="s">
        <v>1440</v>
      </c>
      <c r="H10" s="29" t="s">
        <v>1557</v>
      </c>
      <c r="I10" s="29" t="s">
        <v>1443</v>
      </c>
      <c r="J10" s="28" t="s">
        <v>1382</v>
      </c>
      <c r="L10" s="17" t="s">
        <v>1738</v>
      </c>
      <c r="M10" s="17" t="s">
        <v>1739</v>
      </c>
      <c r="N10" s="27" t="s">
        <v>1740</v>
      </c>
      <c r="O10" s="29" t="s">
        <v>1439</v>
      </c>
      <c r="P10" s="29" t="s">
        <v>1741</v>
      </c>
      <c r="Q10" s="29" t="s">
        <v>1439</v>
      </c>
      <c r="R10" s="29" t="s">
        <v>1742</v>
      </c>
      <c r="S10" s="28" t="s">
        <v>1743</v>
      </c>
      <c r="T10" s="28" t="s">
        <v>1744</v>
      </c>
      <c r="U10" s="28" t="s">
        <v>1439</v>
      </c>
      <c r="V10" s="28" t="s">
        <v>1495</v>
      </c>
      <c r="W10" s="28" t="s">
        <v>1745</v>
      </c>
      <c r="X10" s="17">
        <v>1</v>
      </c>
      <c r="AA10" s="30" t="s">
        <v>1744</v>
      </c>
      <c r="AB10" s="31" t="s">
        <v>1746</v>
      </c>
      <c r="AC10" s="31" t="s">
        <v>1747</v>
      </c>
      <c r="AD10" s="31" t="s">
        <v>1748</v>
      </c>
      <c r="AE10" s="31" t="s">
        <v>1749</v>
      </c>
      <c r="AF10" s="31" t="s">
        <v>1750</v>
      </c>
      <c r="AG10" s="31" t="s">
        <v>1751</v>
      </c>
      <c r="AH10" s="31" t="s">
        <v>1752</v>
      </c>
      <c r="AI10" s="31" t="s">
        <v>1753</v>
      </c>
      <c r="AJ10" s="31" t="s">
        <v>1754</v>
      </c>
      <c r="AK10" s="31" t="s">
        <v>1755</v>
      </c>
      <c r="AL10" s="31" t="s">
        <v>1756</v>
      </c>
      <c r="AM10" s="31" t="s">
        <v>1757</v>
      </c>
      <c r="AN10" s="31" t="s">
        <v>1758</v>
      </c>
      <c r="AO10" s="31" t="s">
        <v>1759</v>
      </c>
      <c r="AP10" s="31" t="s">
        <v>1760</v>
      </c>
      <c r="AQ10" s="31" t="s">
        <v>1761</v>
      </c>
      <c r="AR10" s="31" t="s">
        <v>1762</v>
      </c>
      <c r="AS10" s="31" t="s">
        <v>1763</v>
      </c>
      <c r="AT10" s="31" t="s">
        <v>1764</v>
      </c>
      <c r="AU10" s="31" t="s">
        <v>1765</v>
      </c>
      <c r="AV10" s="31" t="s">
        <v>1766</v>
      </c>
      <c r="AW10" s="31" t="s">
        <v>1767</v>
      </c>
      <c r="AX10" s="31" t="s">
        <v>1768</v>
      </c>
      <c r="AY10" s="31" t="s">
        <v>1769</v>
      </c>
      <c r="AZ10" s="31" t="s">
        <v>1770</v>
      </c>
      <c r="BA10" s="31" t="s">
        <v>1771</v>
      </c>
      <c r="BB10" s="31" t="s">
        <v>1772</v>
      </c>
      <c r="BC10" s="31" t="s">
        <v>1773</v>
      </c>
      <c r="BD10" s="31" t="s">
        <v>1774</v>
      </c>
      <c r="BE10" s="31" t="s">
        <v>1775</v>
      </c>
      <c r="BF10" s="31" t="s">
        <v>1776</v>
      </c>
      <c r="BG10" s="31" t="s">
        <v>1777</v>
      </c>
      <c r="BH10" s="31" t="s">
        <v>1778</v>
      </c>
      <c r="BI10" s="31" t="s">
        <v>1779</v>
      </c>
      <c r="BJ10" s="31" t="s">
        <v>1780</v>
      </c>
      <c r="BK10" s="31" t="s">
        <v>1781</v>
      </c>
      <c r="BL10" s="31" t="s">
        <v>1782</v>
      </c>
      <c r="BM10" s="31" t="s">
        <v>1783</v>
      </c>
      <c r="BN10" s="31" t="s">
        <v>1784</v>
      </c>
      <c r="BO10" s="31" t="s">
        <v>1785</v>
      </c>
      <c r="BP10" s="31" t="s">
        <v>1786</v>
      </c>
      <c r="BQ10" s="31" t="s">
        <v>1787</v>
      </c>
      <c r="BR10" s="31" t="s">
        <v>1788</v>
      </c>
      <c r="BS10" s="31" t="s">
        <v>1789</v>
      </c>
      <c r="BT10" s="31" t="s">
        <v>1790</v>
      </c>
      <c r="BU10" s="32" t="s">
        <v>1791</v>
      </c>
      <c r="BY10" s="38" t="s">
        <v>1792</v>
      </c>
      <c r="CC10" s="38" t="s">
        <v>1793</v>
      </c>
      <c r="CG10" s="25" t="s">
        <v>1794</v>
      </c>
      <c r="CJ10" s="26" t="s">
        <v>1378</v>
      </c>
      <c r="CK10" s="26" t="s">
        <v>1744</v>
      </c>
      <c r="CL10" s="26" t="str">
        <f t="shared" si="1"/>
        <v>北海道室蘭市</v>
      </c>
      <c r="CM10" s="26">
        <v>5</v>
      </c>
      <c r="CN10" s="17" t="str">
        <f t="shared" si="0"/>
        <v>0005</v>
      </c>
      <c r="CO10" s="17" t="str">
        <f t="shared" si="2"/>
        <v>55室蘭市</v>
      </c>
      <c r="CP10" s="17" t="s">
        <v>1795</v>
      </c>
      <c r="CQ10" s="17" t="b">
        <f t="shared" si="3"/>
        <v>1</v>
      </c>
    </row>
    <row r="11" spans="1:95">
      <c r="B11" s="27" t="s">
        <v>1444</v>
      </c>
      <c r="C11" s="28" t="s">
        <v>1796</v>
      </c>
      <c r="F11" s="17" t="s">
        <v>1797</v>
      </c>
      <c r="G11" s="27" t="s">
        <v>1440</v>
      </c>
      <c r="H11" s="29" t="s">
        <v>1557</v>
      </c>
      <c r="I11" s="29" t="s">
        <v>1444</v>
      </c>
      <c r="J11" s="28" t="s">
        <v>1383</v>
      </c>
      <c r="L11" s="17" t="s">
        <v>1798</v>
      </c>
      <c r="M11" s="17" t="s">
        <v>1799</v>
      </c>
      <c r="N11" s="27" t="s">
        <v>1800</v>
      </c>
      <c r="O11" s="29" t="s">
        <v>1439</v>
      </c>
      <c r="P11" s="29" t="s">
        <v>1801</v>
      </c>
      <c r="Q11" s="29" t="s">
        <v>1439</v>
      </c>
      <c r="R11" s="29" t="s">
        <v>1802</v>
      </c>
      <c r="S11" s="28" t="s">
        <v>1803</v>
      </c>
      <c r="T11" s="28" t="s">
        <v>1804</v>
      </c>
      <c r="U11" s="28" t="s">
        <v>1439</v>
      </c>
      <c r="V11" s="28" t="s">
        <v>1495</v>
      </c>
      <c r="W11" s="28" t="s">
        <v>1805</v>
      </c>
      <c r="X11" s="17">
        <v>1</v>
      </c>
      <c r="AA11" s="35" t="s">
        <v>1804</v>
      </c>
      <c r="AB11" s="36" t="s">
        <v>1806</v>
      </c>
      <c r="AC11" s="36" t="s">
        <v>1807</v>
      </c>
      <c r="AD11" s="36" t="s">
        <v>1808</v>
      </c>
      <c r="AE11" s="36" t="s">
        <v>1809</v>
      </c>
      <c r="AF11" s="36" t="s">
        <v>1810</v>
      </c>
      <c r="AG11" s="36" t="s">
        <v>1811</v>
      </c>
      <c r="AH11" s="36" t="s">
        <v>1812</v>
      </c>
      <c r="AI11" s="36" t="s">
        <v>1813</v>
      </c>
      <c r="AJ11" s="36" t="s">
        <v>1814</v>
      </c>
      <c r="AK11" s="36" t="s">
        <v>1815</v>
      </c>
      <c r="AL11" s="36" t="s">
        <v>1816</v>
      </c>
      <c r="AM11" s="36" t="s">
        <v>1817</v>
      </c>
      <c r="AN11" s="36" t="s">
        <v>1818</v>
      </c>
      <c r="AO11" s="36" t="s">
        <v>1819</v>
      </c>
      <c r="AP11" s="36" t="s">
        <v>1820</v>
      </c>
      <c r="AQ11" s="36" t="s">
        <v>1821</v>
      </c>
      <c r="AR11" s="36" t="s">
        <v>1822</v>
      </c>
      <c r="AS11" s="36" t="s">
        <v>1823</v>
      </c>
      <c r="AT11" s="36" t="s">
        <v>1824</v>
      </c>
      <c r="AU11" s="36" t="s">
        <v>1825</v>
      </c>
      <c r="AV11" s="36" t="s">
        <v>1826</v>
      </c>
      <c r="AW11" s="36" t="s">
        <v>1827</v>
      </c>
      <c r="AX11" s="36" t="s">
        <v>1828</v>
      </c>
      <c r="AY11" s="36" t="s">
        <v>1829</v>
      </c>
      <c r="AZ11" s="36" t="s">
        <v>1830</v>
      </c>
      <c r="BA11" s="36" t="s">
        <v>1831</v>
      </c>
      <c r="BB11" s="36" t="s">
        <v>1832</v>
      </c>
      <c r="BC11" s="36" t="s">
        <v>1833</v>
      </c>
      <c r="BD11" s="36" t="s">
        <v>1834</v>
      </c>
      <c r="BE11" s="36" t="s">
        <v>1835</v>
      </c>
      <c r="BF11" s="36" t="s">
        <v>1836</v>
      </c>
      <c r="BG11" s="36" t="s">
        <v>1837</v>
      </c>
      <c r="BH11" s="36" t="s">
        <v>1838</v>
      </c>
      <c r="BI11" s="36" t="s">
        <v>1839</v>
      </c>
      <c r="BJ11" s="36" t="s">
        <v>1840</v>
      </c>
      <c r="BK11" s="36" t="s">
        <v>1841</v>
      </c>
      <c r="BL11" s="36" t="s">
        <v>1842</v>
      </c>
      <c r="BM11" s="36" t="s">
        <v>1843</v>
      </c>
      <c r="BN11" s="36" t="s">
        <v>1844</v>
      </c>
      <c r="BO11" s="36" t="s">
        <v>1845</v>
      </c>
      <c r="BP11" s="36" t="s">
        <v>1846</v>
      </c>
      <c r="BQ11" s="36" t="s">
        <v>1847</v>
      </c>
      <c r="BR11" s="36" t="s">
        <v>1848</v>
      </c>
      <c r="BS11" s="36" t="s">
        <v>1849</v>
      </c>
      <c r="BT11" s="36" t="s">
        <v>1850</v>
      </c>
      <c r="BU11" s="37" t="s">
        <v>1851</v>
      </c>
      <c r="CC11" s="38" t="s">
        <v>1852</v>
      </c>
      <c r="CG11" s="25" t="s">
        <v>1853</v>
      </c>
      <c r="CJ11" s="26" t="s">
        <v>1378</v>
      </c>
      <c r="CK11" s="26" t="s">
        <v>1804</v>
      </c>
      <c r="CL11" s="26" t="str">
        <f t="shared" si="1"/>
        <v>北海道釧路市</v>
      </c>
      <c r="CM11" s="26">
        <v>6</v>
      </c>
      <c r="CN11" s="17" t="str">
        <f t="shared" si="0"/>
        <v>0006</v>
      </c>
      <c r="CO11" s="17" t="str">
        <f t="shared" si="2"/>
        <v>66釧路市</v>
      </c>
      <c r="CP11" s="17" t="s">
        <v>1854</v>
      </c>
      <c r="CQ11" s="17" t="b">
        <f t="shared" si="3"/>
        <v>1</v>
      </c>
    </row>
    <row r="12" spans="1:95">
      <c r="B12" s="27" t="s">
        <v>1445</v>
      </c>
      <c r="C12" s="28" t="s">
        <v>1855</v>
      </c>
      <c r="F12" s="17" t="s">
        <v>1856</v>
      </c>
      <c r="G12" s="27" t="s">
        <v>1440</v>
      </c>
      <c r="H12" s="29" t="s">
        <v>1557</v>
      </c>
      <c r="I12" s="29" t="s">
        <v>1445</v>
      </c>
      <c r="J12" s="28" t="s">
        <v>1384</v>
      </c>
      <c r="L12" s="17" t="s">
        <v>1857</v>
      </c>
      <c r="M12" s="17" t="s">
        <v>1858</v>
      </c>
      <c r="N12" s="27" t="s">
        <v>1859</v>
      </c>
      <c r="O12" s="29" t="s">
        <v>1439</v>
      </c>
      <c r="P12" s="29" t="s">
        <v>1860</v>
      </c>
      <c r="Q12" s="29" t="s">
        <v>1439</v>
      </c>
      <c r="R12" s="29" t="s">
        <v>1861</v>
      </c>
      <c r="S12" s="28" t="s">
        <v>1862</v>
      </c>
      <c r="T12" s="28" t="s">
        <v>1863</v>
      </c>
      <c r="U12" s="28" t="s">
        <v>1439</v>
      </c>
      <c r="V12" s="28" t="s">
        <v>1495</v>
      </c>
      <c r="W12" s="28" t="s">
        <v>1864</v>
      </c>
      <c r="X12" s="17">
        <v>1</v>
      </c>
      <c r="AA12" s="30" t="s">
        <v>1863</v>
      </c>
      <c r="AB12" s="31" t="s">
        <v>1865</v>
      </c>
      <c r="AC12" s="31" t="s">
        <v>1866</v>
      </c>
      <c r="AD12" s="31" t="s">
        <v>1867</v>
      </c>
      <c r="AE12" s="31" t="s">
        <v>1868</v>
      </c>
      <c r="AF12" s="31" t="s">
        <v>1869</v>
      </c>
      <c r="AG12" s="31" t="s">
        <v>1870</v>
      </c>
      <c r="AH12" s="31" t="s">
        <v>1871</v>
      </c>
      <c r="AI12" s="31" t="s">
        <v>1872</v>
      </c>
      <c r="AJ12" s="31" t="s">
        <v>1873</v>
      </c>
      <c r="AK12" s="31" t="s">
        <v>1874</v>
      </c>
      <c r="AL12" s="31" t="s">
        <v>1875</v>
      </c>
      <c r="AM12" s="31" t="s">
        <v>1876</v>
      </c>
      <c r="AN12" s="31" t="s">
        <v>1877</v>
      </c>
      <c r="AO12" s="31" t="s">
        <v>1878</v>
      </c>
      <c r="AP12" s="31" t="s">
        <v>1879</v>
      </c>
      <c r="AQ12" s="31" t="s">
        <v>1880</v>
      </c>
      <c r="AR12" s="31" t="s">
        <v>1881</v>
      </c>
      <c r="AS12" s="31" t="s">
        <v>1882</v>
      </c>
      <c r="AT12" s="31" t="s">
        <v>1883</v>
      </c>
      <c r="AU12" s="31" t="s">
        <v>1884</v>
      </c>
      <c r="AV12" s="31" t="s">
        <v>1885</v>
      </c>
      <c r="AW12" s="31" t="s">
        <v>1886</v>
      </c>
      <c r="AX12" s="31" t="s">
        <v>1887</v>
      </c>
      <c r="AY12" s="31" t="s">
        <v>1888</v>
      </c>
      <c r="AZ12" s="31" t="s">
        <v>1889</v>
      </c>
      <c r="BA12" s="31" t="s">
        <v>1890</v>
      </c>
      <c r="BB12" s="31" t="s">
        <v>1891</v>
      </c>
      <c r="BC12" s="31" t="s">
        <v>1892</v>
      </c>
      <c r="BD12" s="31" t="s">
        <v>1893</v>
      </c>
      <c r="BE12" s="31" t="s">
        <v>1894</v>
      </c>
      <c r="BF12" s="31" t="s">
        <v>1895</v>
      </c>
      <c r="BG12" s="31" t="s">
        <v>1896</v>
      </c>
      <c r="BH12" s="31" t="s">
        <v>1897</v>
      </c>
      <c r="BI12" s="31" t="s">
        <v>1898</v>
      </c>
      <c r="BJ12" s="31" t="s">
        <v>1899</v>
      </c>
      <c r="BK12" s="31" t="s">
        <v>1900</v>
      </c>
      <c r="BL12" s="31" t="s">
        <v>1901</v>
      </c>
      <c r="BM12" s="31" t="s">
        <v>1902</v>
      </c>
      <c r="BN12" s="31" t="s">
        <v>1903</v>
      </c>
      <c r="BO12" s="31" t="s">
        <v>1904</v>
      </c>
      <c r="BP12" s="31" t="s">
        <v>1905</v>
      </c>
      <c r="BQ12" s="31" t="s">
        <v>1906</v>
      </c>
      <c r="BR12" s="31" t="s">
        <v>1907</v>
      </c>
      <c r="BS12" s="31" t="s">
        <v>1908</v>
      </c>
      <c r="BT12" s="31" t="s">
        <v>1909</v>
      </c>
      <c r="BU12" s="32" t="s">
        <v>1910</v>
      </c>
      <c r="CG12" s="25" t="s">
        <v>1911</v>
      </c>
      <c r="CJ12" s="26" t="s">
        <v>1378</v>
      </c>
      <c r="CK12" s="26" t="s">
        <v>1863</v>
      </c>
      <c r="CL12" s="26" t="str">
        <f t="shared" si="1"/>
        <v>北海道帯広市</v>
      </c>
      <c r="CM12" s="26">
        <v>7</v>
      </c>
      <c r="CN12" s="17" t="str">
        <f t="shared" si="0"/>
        <v>0007</v>
      </c>
      <c r="CO12" s="17" t="str">
        <f t="shared" si="2"/>
        <v>77帯広市</v>
      </c>
      <c r="CP12" s="17" t="s">
        <v>1912</v>
      </c>
      <c r="CQ12" s="17" t="b">
        <f t="shared" si="3"/>
        <v>1</v>
      </c>
    </row>
    <row r="13" spans="1:95">
      <c r="B13" s="40" t="s">
        <v>1446</v>
      </c>
      <c r="C13" s="41" t="s">
        <v>1913</v>
      </c>
      <c r="F13" s="17" t="s">
        <v>1914</v>
      </c>
      <c r="G13" s="27" t="s">
        <v>1441</v>
      </c>
      <c r="H13" s="29" t="s">
        <v>1619</v>
      </c>
      <c r="I13" s="29" t="s">
        <v>1446</v>
      </c>
      <c r="J13" s="28" t="s">
        <v>1385</v>
      </c>
      <c r="L13" s="17" t="s">
        <v>1915</v>
      </c>
      <c r="M13" s="17" t="s">
        <v>1916</v>
      </c>
      <c r="N13" s="27" t="s">
        <v>1917</v>
      </c>
      <c r="O13" s="29" t="s">
        <v>1439</v>
      </c>
      <c r="P13" s="29" t="s">
        <v>1918</v>
      </c>
      <c r="Q13" s="29" t="s">
        <v>1439</v>
      </c>
      <c r="R13" s="29" t="s">
        <v>1919</v>
      </c>
      <c r="S13" s="28" t="s">
        <v>1920</v>
      </c>
      <c r="T13" s="28" t="s">
        <v>1921</v>
      </c>
      <c r="U13" s="28" t="s">
        <v>1439</v>
      </c>
      <c r="V13" s="28" t="s">
        <v>1495</v>
      </c>
      <c r="W13" s="28" t="s">
        <v>1922</v>
      </c>
      <c r="X13" s="17">
        <v>1</v>
      </c>
      <c r="AA13" s="35" t="s">
        <v>1921</v>
      </c>
      <c r="AB13" s="36" t="s">
        <v>1923</v>
      </c>
      <c r="AC13" s="36" t="s">
        <v>1924</v>
      </c>
      <c r="AD13" s="36" t="s">
        <v>1925</v>
      </c>
      <c r="AE13" s="36" t="s">
        <v>1926</v>
      </c>
      <c r="AF13" s="36" t="s">
        <v>1927</v>
      </c>
      <c r="AG13" s="36" t="s">
        <v>1928</v>
      </c>
      <c r="AH13" s="36" t="s">
        <v>1929</v>
      </c>
      <c r="AI13" s="36" t="s">
        <v>1930</v>
      </c>
      <c r="AJ13" s="36" t="s">
        <v>1931</v>
      </c>
      <c r="AK13" s="36" t="s">
        <v>1932</v>
      </c>
      <c r="AL13" s="36" t="s">
        <v>1933</v>
      </c>
      <c r="AM13" s="36" t="s">
        <v>1934</v>
      </c>
      <c r="AN13" s="36" t="s">
        <v>1935</v>
      </c>
      <c r="AO13" s="36" t="s">
        <v>1936</v>
      </c>
      <c r="AP13" s="36" t="s">
        <v>1937</v>
      </c>
      <c r="AQ13" s="36" t="s">
        <v>1938</v>
      </c>
      <c r="AR13" s="36" t="s">
        <v>1939</v>
      </c>
      <c r="AS13" s="36" t="s">
        <v>1940</v>
      </c>
      <c r="AT13" s="36" t="s">
        <v>1941</v>
      </c>
      <c r="AU13" s="36" t="s">
        <v>1942</v>
      </c>
      <c r="AV13" s="36" t="s">
        <v>1943</v>
      </c>
      <c r="AW13" s="36" t="s">
        <v>1944</v>
      </c>
      <c r="AX13" s="36" t="s">
        <v>1945</v>
      </c>
      <c r="AY13" s="36" t="s">
        <v>1946</v>
      </c>
      <c r="AZ13" s="36" t="s">
        <v>1947</v>
      </c>
      <c r="BA13" s="36" t="s">
        <v>1948</v>
      </c>
      <c r="BB13" s="36" t="s">
        <v>1949</v>
      </c>
      <c r="BC13" s="36" t="s">
        <v>1950</v>
      </c>
      <c r="BD13" s="36" t="s">
        <v>1951</v>
      </c>
      <c r="BE13" s="36" t="s">
        <v>1952</v>
      </c>
      <c r="BF13" s="36" t="s">
        <v>1953</v>
      </c>
      <c r="BG13" s="36" t="s">
        <v>1954</v>
      </c>
      <c r="BH13" s="36" t="s">
        <v>1955</v>
      </c>
      <c r="BI13" s="36" t="s">
        <v>1956</v>
      </c>
      <c r="BJ13" s="36" t="s">
        <v>1957</v>
      </c>
      <c r="BK13" s="36" t="s">
        <v>1958</v>
      </c>
      <c r="BL13" s="36" t="s">
        <v>1959</v>
      </c>
      <c r="BM13" s="36" t="s">
        <v>1960</v>
      </c>
      <c r="BN13" s="36" t="s">
        <v>1961</v>
      </c>
      <c r="BO13" s="36" t="s">
        <v>1962</v>
      </c>
      <c r="BP13" s="36" t="s">
        <v>1963</v>
      </c>
      <c r="BQ13" s="36" t="s">
        <v>1964</v>
      </c>
      <c r="BR13" s="36" t="s">
        <v>1965</v>
      </c>
      <c r="BS13" s="36" t="s">
        <v>1966</v>
      </c>
      <c r="BT13" s="36" t="s">
        <v>1967</v>
      </c>
      <c r="BU13" s="37" t="s">
        <v>1968</v>
      </c>
      <c r="CG13" s="25" t="s">
        <v>1969</v>
      </c>
      <c r="CJ13" s="26" t="s">
        <v>1378</v>
      </c>
      <c r="CK13" s="26" t="s">
        <v>1921</v>
      </c>
      <c r="CL13" s="26" t="str">
        <f t="shared" si="1"/>
        <v>北海道北見市</v>
      </c>
      <c r="CM13" s="26">
        <v>8</v>
      </c>
      <c r="CN13" s="17" t="str">
        <f t="shared" si="0"/>
        <v>0008</v>
      </c>
      <c r="CO13" s="17" t="str">
        <f t="shared" si="2"/>
        <v>88北見市</v>
      </c>
      <c r="CP13" s="17" t="s">
        <v>1970</v>
      </c>
      <c r="CQ13" s="17" t="b">
        <f t="shared" si="3"/>
        <v>1</v>
      </c>
    </row>
    <row r="14" spans="1:95">
      <c r="F14" s="17" t="s">
        <v>1971</v>
      </c>
      <c r="G14" s="27" t="s">
        <v>1441</v>
      </c>
      <c r="H14" s="29" t="s">
        <v>1619</v>
      </c>
      <c r="I14" s="29" t="s">
        <v>1447</v>
      </c>
      <c r="J14" s="28" t="s">
        <v>1386</v>
      </c>
      <c r="L14" s="17" t="s">
        <v>1972</v>
      </c>
      <c r="M14" s="17" t="s">
        <v>1973</v>
      </c>
      <c r="N14" s="27" t="s">
        <v>1974</v>
      </c>
      <c r="O14" s="29" t="s">
        <v>1439</v>
      </c>
      <c r="P14" s="29" t="s">
        <v>1975</v>
      </c>
      <c r="Q14" s="29" t="s">
        <v>1439</v>
      </c>
      <c r="R14" s="29" t="s">
        <v>1976</v>
      </c>
      <c r="S14" s="28" t="s">
        <v>1977</v>
      </c>
      <c r="T14" s="28" t="s">
        <v>1978</v>
      </c>
      <c r="U14" s="28" t="s">
        <v>1439</v>
      </c>
      <c r="V14" s="28" t="s">
        <v>1495</v>
      </c>
      <c r="W14" s="28" t="s">
        <v>1979</v>
      </c>
      <c r="X14" s="17">
        <v>1</v>
      </c>
      <c r="AA14" s="30" t="s">
        <v>1978</v>
      </c>
      <c r="AB14" s="31" t="s">
        <v>1980</v>
      </c>
      <c r="AC14" s="31" t="s">
        <v>1981</v>
      </c>
      <c r="AD14" s="31" t="s">
        <v>1982</v>
      </c>
      <c r="AE14" s="31" t="s">
        <v>1983</v>
      </c>
      <c r="AF14" s="31" t="s">
        <v>1984</v>
      </c>
      <c r="AG14" s="31" t="s">
        <v>1985</v>
      </c>
      <c r="AH14" s="31" t="s">
        <v>1986</v>
      </c>
      <c r="AI14" s="31" t="s">
        <v>1987</v>
      </c>
      <c r="AJ14" s="31" t="s">
        <v>1988</v>
      </c>
      <c r="AK14" s="31" t="s">
        <v>1989</v>
      </c>
      <c r="AL14" s="31" t="s">
        <v>1990</v>
      </c>
      <c r="AM14" s="31" t="s">
        <v>1991</v>
      </c>
      <c r="AN14" s="31" t="s">
        <v>1992</v>
      </c>
      <c r="AO14" s="31" t="s">
        <v>1993</v>
      </c>
      <c r="AP14" s="31" t="s">
        <v>1994</v>
      </c>
      <c r="AQ14" s="31" t="s">
        <v>1995</v>
      </c>
      <c r="AR14" s="31" t="s">
        <v>1996</v>
      </c>
      <c r="AS14" s="31" t="s">
        <v>1997</v>
      </c>
      <c r="AT14" s="31" t="s">
        <v>1998</v>
      </c>
      <c r="AU14" s="31" t="s">
        <v>1999</v>
      </c>
      <c r="AV14" s="31" t="s">
        <v>2000</v>
      </c>
      <c r="AW14" s="31" t="s">
        <v>2001</v>
      </c>
      <c r="AX14" s="31" t="s">
        <v>2002</v>
      </c>
      <c r="AY14" s="31" t="s">
        <v>2003</v>
      </c>
      <c r="AZ14" s="31" t="s">
        <v>2004</v>
      </c>
      <c r="BA14" s="31" t="s">
        <v>2005</v>
      </c>
      <c r="BB14" s="31" t="s">
        <v>2006</v>
      </c>
      <c r="BC14" s="31" t="s">
        <v>2007</v>
      </c>
      <c r="BD14" s="31" t="s">
        <v>2008</v>
      </c>
      <c r="BE14" s="31" t="s">
        <v>2009</v>
      </c>
      <c r="BF14" s="31" t="s">
        <v>2010</v>
      </c>
      <c r="BG14" s="31" t="s">
        <v>2011</v>
      </c>
      <c r="BH14" s="31" t="s">
        <v>2012</v>
      </c>
      <c r="BI14" s="31" t="s">
        <v>2013</v>
      </c>
      <c r="BJ14" s="31" t="s">
        <v>2014</v>
      </c>
      <c r="BK14" s="31" t="s">
        <v>2015</v>
      </c>
      <c r="BL14" s="31" t="s">
        <v>2016</v>
      </c>
      <c r="BM14" s="31" t="s">
        <v>2017</v>
      </c>
      <c r="BN14" s="31" t="s">
        <v>2018</v>
      </c>
      <c r="BO14" s="31" t="s">
        <v>2019</v>
      </c>
      <c r="BP14" s="31" t="s">
        <v>2020</v>
      </c>
      <c r="BQ14" s="31" t="s">
        <v>2021</v>
      </c>
      <c r="BR14" s="31" t="s">
        <v>2022</v>
      </c>
      <c r="BS14" s="31" t="s">
        <v>2023</v>
      </c>
      <c r="BT14" s="31" t="s">
        <v>2024</v>
      </c>
      <c r="BU14" s="32" t="s">
        <v>2025</v>
      </c>
      <c r="CG14" s="25" t="s">
        <v>2026</v>
      </c>
      <c r="CJ14" s="26" t="s">
        <v>1378</v>
      </c>
      <c r="CK14" s="26" t="s">
        <v>1978</v>
      </c>
      <c r="CL14" s="26" t="str">
        <f t="shared" si="1"/>
        <v>北海道夕張市</v>
      </c>
      <c r="CM14" s="26">
        <v>9</v>
      </c>
      <c r="CN14" s="17" t="str">
        <f t="shared" si="0"/>
        <v>0009</v>
      </c>
      <c r="CO14" s="17" t="str">
        <f t="shared" si="2"/>
        <v>99夕張市</v>
      </c>
      <c r="CP14" s="17" t="s">
        <v>2027</v>
      </c>
      <c r="CQ14" s="17" t="b">
        <f t="shared" si="3"/>
        <v>1</v>
      </c>
    </row>
    <row r="15" spans="1:95">
      <c r="F15" s="17" t="s">
        <v>2028</v>
      </c>
      <c r="G15" s="27" t="s">
        <v>1441</v>
      </c>
      <c r="H15" s="29" t="s">
        <v>1619</v>
      </c>
      <c r="I15" s="29" t="s">
        <v>1448</v>
      </c>
      <c r="J15" s="28" t="s">
        <v>1387</v>
      </c>
      <c r="L15" s="17" t="s">
        <v>2029</v>
      </c>
      <c r="M15" s="17" t="s">
        <v>2030</v>
      </c>
      <c r="N15" s="27" t="s">
        <v>2031</v>
      </c>
      <c r="O15" s="29" t="s">
        <v>1439</v>
      </c>
      <c r="P15" s="29" t="s">
        <v>2032</v>
      </c>
      <c r="Q15" s="29" t="s">
        <v>1439</v>
      </c>
      <c r="R15" s="29" t="s">
        <v>2033</v>
      </c>
      <c r="S15" s="28" t="s">
        <v>1743</v>
      </c>
      <c r="T15" s="28" t="s">
        <v>2034</v>
      </c>
      <c r="U15" s="28" t="s">
        <v>1439</v>
      </c>
      <c r="V15" s="28" t="s">
        <v>1495</v>
      </c>
      <c r="W15" s="28" t="s">
        <v>2035</v>
      </c>
      <c r="X15" s="17">
        <v>1</v>
      </c>
      <c r="AA15" s="35" t="s">
        <v>2034</v>
      </c>
      <c r="AB15" s="36" t="s">
        <v>2036</v>
      </c>
      <c r="AC15" s="36" t="s">
        <v>2037</v>
      </c>
      <c r="AD15" s="36" t="s">
        <v>2038</v>
      </c>
      <c r="AE15" s="36" t="s">
        <v>2039</v>
      </c>
      <c r="AF15" s="36" t="s">
        <v>2040</v>
      </c>
      <c r="AG15" s="36" t="s">
        <v>2041</v>
      </c>
      <c r="AH15" s="36" t="s">
        <v>2042</v>
      </c>
      <c r="AI15" s="36" t="s">
        <v>2043</v>
      </c>
      <c r="AJ15" s="36" t="s">
        <v>2044</v>
      </c>
      <c r="AK15" s="36" t="s">
        <v>2045</v>
      </c>
      <c r="AL15" s="36" t="s">
        <v>2046</v>
      </c>
      <c r="AM15" s="36" t="s">
        <v>2047</v>
      </c>
      <c r="AN15" s="36" t="s">
        <v>2048</v>
      </c>
      <c r="AO15" s="36" t="s">
        <v>2049</v>
      </c>
      <c r="AP15" s="36" t="s">
        <v>2050</v>
      </c>
      <c r="AQ15" s="36" t="s">
        <v>2051</v>
      </c>
      <c r="AR15" s="36" t="s">
        <v>2052</v>
      </c>
      <c r="AS15" s="36" t="s">
        <v>2053</v>
      </c>
      <c r="AT15" s="36" t="s">
        <v>2054</v>
      </c>
      <c r="AU15" s="36" t="s">
        <v>2055</v>
      </c>
      <c r="AV15" s="36" t="s">
        <v>2056</v>
      </c>
      <c r="AW15" s="36" t="s">
        <v>2057</v>
      </c>
      <c r="AX15" s="36" t="s">
        <v>2058</v>
      </c>
      <c r="AY15" s="36" t="s">
        <v>2059</v>
      </c>
      <c r="AZ15" s="36" t="s">
        <v>2060</v>
      </c>
      <c r="BA15" s="36" t="s">
        <v>2061</v>
      </c>
      <c r="BB15" s="36" t="s">
        <v>2062</v>
      </c>
      <c r="BC15" s="36" t="s">
        <v>2063</v>
      </c>
      <c r="BD15" s="36" t="s">
        <v>2064</v>
      </c>
      <c r="BE15" s="36" t="s">
        <v>2065</v>
      </c>
      <c r="BF15" s="36" t="s">
        <v>2066</v>
      </c>
      <c r="BG15" s="36" t="s">
        <v>2067</v>
      </c>
      <c r="BH15" s="36" t="s">
        <v>2068</v>
      </c>
      <c r="BI15" s="36" t="s">
        <v>2069</v>
      </c>
      <c r="BJ15" s="36" t="s">
        <v>2070</v>
      </c>
      <c r="BK15" s="36" t="s">
        <v>2071</v>
      </c>
      <c r="BL15" s="36" t="s">
        <v>2072</v>
      </c>
      <c r="BM15" s="36" t="s">
        <v>2073</v>
      </c>
      <c r="BN15" s="36" t="s">
        <v>2074</v>
      </c>
      <c r="BO15" s="36" t="s">
        <v>2075</v>
      </c>
      <c r="BP15" s="36" t="s">
        <v>2076</v>
      </c>
      <c r="BQ15" s="36" t="s">
        <v>2077</v>
      </c>
      <c r="BR15" s="36" t="s">
        <v>2078</v>
      </c>
      <c r="BS15" s="36" t="s">
        <v>2079</v>
      </c>
      <c r="BT15" s="36" t="s">
        <v>2080</v>
      </c>
      <c r="BU15" s="37" t="s">
        <v>2081</v>
      </c>
      <c r="CG15" s="25" t="s">
        <v>2082</v>
      </c>
      <c r="CJ15" s="26" t="s">
        <v>1378</v>
      </c>
      <c r="CK15" s="26" t="s">
        <v>2034</v>
      </c>
      <c r="CL15" s="26" t="str">
        <f t="shared" si="1"/>
        <v>北海道岩見沢市</v>
      </c>
      <c r="CM15" s="26">
        <v>10</v>
      </c>
      <c r="CN15" s="17" t="str">
        <f t="shared" si="0"/>
        <v>0010</v>
      </c>
      <c r="CO15" s="17" t="str">
        <f t="shared" si="2"/>
        <v>1010岩見沢市</v>
      </c>
      <c r="CP15" s="17" t="s">
        <v>2083</v>
      </c>
      <c r="CQ15" s="17" t="b">
        <f t="shared" si="3"/>
        <v>1</v>
      </c>
    </row>
    <row r="16" spans="1:95">
      <c r="F16" s="17" t="s">
        <v>2084</v>
      </c>
      <c r="G16" s="27" t="s">
        <v>1441</v>
      </c>
      <c r="H16" s="29" t="s">
        <v>1619</v>
      </c>
      <c r="I16" s="29" t="s">
        <v>1449</v>
      </c>
      <c r="J16" s="28" t="s">
        <v>1388</v>
      </c>
      <c r="L16" s="17" t="s">
        <v>2085</v>
      </c>
      <c r="M16" s="17" t="s">
        <v>2086</v>
      </c>
      <c r="N16" s="27" t="s">
        <v>2087</v>
      </c>
      <c r="O16" s="29" t="s">
        <v>1439</v>
      </c>
      <c r="P16" s="29" t="s">
        <v>2088</v>
      </c>
      <c r="Q16" s="29" t="s">
        <v>1439</v>
      </c>
      <c r="R16" s="29" t="s">
        <v>2089</v>
      </c>
      <c r="S16" s="28" t="s">
        <v>1803</v>
      </c>
      <c r="T16" s="28" t="s">
        <v>2090</v>
      </c>
      <c r="U16" s="28" t="s">
        <v>1439</v>
      </c>
      <c r="V16" s="28" t="s">
        <v>1495</v>
      </c>
      <c r="W16" s="28" t="s">
        <v>2091</v>
      </c>
      <c r="X16" s="17">
        <v>1</v>
      </c>
      <c r="AA16" s="30" t="s">
        <v>2090</v>
      </c>
      <c r="AB16" s="31" t="s">
        <v>2092</v>
      </c>
      <c r="AC16" s="31" t="s">
        <v>2093</v>
      </c>
      <c r="AD16" s="31" t="s">
        <v>2094</v>
      </c>
      <c r="AE16" s="31" t="s">
        <v>2095</v>
      </c>
      <c r="AF16" s="31" t="s">
        <v>2096</v>
      </c>
      <c r="AG16" s="31" t="s">
        <v>2097</v>
      </c>
      <c r="AH16" s="31" t="s">
        <v>2098</v>
      </c>
      <c r="AI16" s="31" t="s">
        <v>2099</v>
      </c>
      <c r="AJ16" s="31" t="s">
        <v>2100</v>
      </c>
      <c r="AK16" s="31" t="s">
        <v>2101</v>
      </c>
      <c r="AL16" s="31" t="s">
        <v>2102</v>
      </c>
      <c r="AM16" s="31" t="s">
        <v>2103</v>
      </c>
      <c r="AN16" s="31" t="s">
        <v>2104</v>
      </c>
      <c r="AO16" s="31" t="s">
        <v>2105</v>
      </c>
      <c r="AP16" s="31" t="s">
        <v>2106</v>
      </c>
      <c r="AQ16" s="31" t="s">
        <v>2107</v>
      </c>
      <c r="AR16" s="31" t="s">
        <v>2108</v>
      </c>
      <c r="AS16" s="31" t="s">
        <v>2109</v>
      </c>
      <c r="AT16" s="31" t="s">
        <v>2110</v>
      </c>
      <c r="AU16" s="31" t="s">
        <v>2111</v>
      </c>
      <c r="AV16" s="31" t="s">
        <v>2112</v>
      </c>
      <c r="AW16" s="31" t="s">
        <v>2113</v>
      </c>
      <c r="AX16" s="31" t="s">
        <v>2114</v>
      </c>
      <c r="AY16" s="31" t="s">
        <v>2115</v>
      </c>
      <c r="AZ16" s="31" t="s">
        <v>2116</v>
      </c>
      <c r="BA16" s="31" t="s">
        <v>2117</v>
      </c>
      <c r="BB16" s="31" t="s">
        <v>2118</v>
      </c>
      <c r="BC16" s="31" t="s">
        <v>2119</v>
      </c>
      <c r="BD16" s="31" t="s">
        <v>2120</v>
      </c>
      <c r="BE16" s="31" t="s">
        <v>2121</v>
      </c>
      <c r="BF16" s="31" t="s">
        <v>2122</v>
      </c>
      <c r="BG16" s="31" t="s">
        <v>2123</v>
      </c>
      <c r="BH16" s="31" t="s">
        <v>2124</v>
      </c>
      <c r="BI16" s="31" t="s">
        <v>2125</v>
      </c>
      <c r="BJ16" s="31" t="s">
        <v>2126</v>
      </c>
      <c r="BK16" s="31" t="s">
        <v>2127</v>
      </c>
      <c r="BL16" s="31" t="s">
        <v>2128</v>
      </c>
      <c r="BM16" s="31" t="s">
        <v>2129</v>
      </c>
      <c r="BN16" s="31" t="s">
        <v>2130</v>
      </c>
      <c r="BO16" s="31" t="s">
        <v>2131</v>
      </c>
      <c r="BP16" s="31" t="s">
        <v>2132</v>
      </c>
      <c r="BQ16" s="31" t="s">
        <v>2133</v>
      </c>
      <c r="BR16" s="31" t="s">
        <v>2134</v>
      </c>
      <c r="BS16" s="31" t="s">
        <v>2135</v>
      </c>
      <c r="BT16" s="31" t="s">
        <v>2136</v>
      </c>
      <c r="BU16" s="32" t="s">
        <v>2137</v>
      </c>
      <c r="CG16" s="25" t="s">
        <v>2138</v>
      </c>
      <c r="CJ16" s="26" t="s">
        <v>1378</v>
      </c>
      <c r="CK16" s="26" t="s">
        <v>2090</v>
      </c>
      <c r="CL16" s="26" t="str">
        <f t="shared" si="1"/>
        <v>北海道網走市</v>
      </c>
      <c r="CM16" s="26">
        <v>11</v>
      </c>
      <c r="CN16" s="17" t="str">
        <f t="shared" si="0"/>
        <v>0011</v>
      </c>
      <c r="CO16" s="17" t="str">
        <f t="shared" si="2"/>
        <v>1111網走市</v>
      </c>
      <c r="CP16" s="17" t="s">
        <v>2139</v>
      </c>
      <c r="CQ16" s="17" t="b">
        <f t="shared" si="3"/>
        <v>1</v>
      </c>
    </row>
    <row r="17" spans="6:95">
      <c r="F17" s="17" t="s">
        <v>2140</v>
      </c>
      <c r="G17" s="27" t="s">
        <v>1441</v>
      </c>
      <c r="H17" s="29" t="s">
        <v>1619</v>
      </c>
      <c r="I17" s="29" t="s">
        <v>1450</v>
      </c>
      <c r="J17" s="28" t="s">
        <v>1389</v>
      </c>
      <c r="L17" s="17" t="s">
        <v>2141</v>
      </c>
      <c r="M17" s="17" t="s">
        <v>2142</v>
      </c>
      <c r="N17" s="27" t="s">
        <v>2143</v>
      </c>
      <c r="O17" s="29" t="s">
        <v>1439</v>
      </c>
      <c r="P17" s="29" t="s">
        <v>2144</v>
      </c>
      <c r="Q17" s="29" t="s">
        <v>1439</v>
      </c>
      <c r="R17" s="29" t="s">
        <v>2145</v>
      </c>
      <c r="S17" s="28" t="s">
        <v>1862</v>
      </c>
      <c r="T17" s="28" t="s">
        <v>2146</v>
      </c>
      <c r="U17" s="28" t="s">
        <v>1439</v>
      </c>
      <c r="V17" s="28" t="s">
        <v>1495</v>
      </c>
      <c r="W17" s="28" t="s">
        <v>2147</v>
      </c>
      <c r="X17" s="17">
        <v>1</v>
      </c>
      <c r="AA17" s="35" t="s">
        <v>2146</v>
      </c>
      <c r="AB17" s="36" t="s">
        <v>2148</v>
      </c>
      <c r="AC17" s="36" t="s">
        <v>2149</v>
      </c>
      <c r="AD17" s="36" t="s">
        <v>2150</v>
      </c>
      <c r="AE17" s="36" t="s">
        <v>2151</v>
      </c>
      <c r="AF17" s="36" t="s">
        <v>2152</v>
      </c>
      <c r="AG17" s="36" t="s">
        <v>2153</v>
      </c>
      <c r="AH17" s="36" t="s">
        <v>2154</v>
      </c>
      <c r="AI17" s="36" t="s">
        <v>2155</v>
      </c>
      <c r="AJ17" s="36" t="s">
        <v>2156</v>
      </c>
      <c r="AK17" s="36" t="s">
        <v>2157</v>
      </c>
      <c r="AL17" s="36" t="s">
        <v>2158</v>
      </c>
      <c r="AM17" s="36" t="s">
        <v>2159</v>
      </c>
      <c r="AN17" s="36" t="s">
        <v>2160</v>
      </c>
      <c r="AO17" s="36" t="s">
        <v>2161</v>
      </c>
      <c r="AP17" s="36" t="s">
        <v>2162</v>
      </c>
      <c r="AQ17" s="36" t="s">
        <v>2163</v>
      </c>
      <c r="AR17" s="36" t="s">
        <v>2164</v>
      </c>
      <c r="AS17" s="36" t="s">
        <v>2165</v>
      </c>
      <c r="AT17" s="36" t="s">
        <v>2166</v>
      </c>
      <c r="AU17" s="36" t="s">
        <v>2167</v>
      </c>
      <c r="AV17" s="36" t="s">
        <v>2168</v>
      </c>
      <c r="AW17" s="36" t="s">
        <v>2169</v>
      </c>
      <c r="AX17" s="36" t="s">
        <v>2170</v>
      </c>
      <c r="AY17" s="36" t="s">
        <v>2171</v>
      </c>
      <c r="AZ17" s="36" t="s">
        <v>2172</v>
      </c>
      <c r="BA17" s="36" t="s">
        <v>2173</v>
      </c>
      <c r="BB17" s="36" t="s">
        <v>2174</v>
      </c>
      <c r="BC17" s="36" t="s">
        <v>2175</v>
      </c>
      <c r="BD17" s="36" t="s">
        <v>2176</v>
      </c>
      <c r="BE17" s="36" t="s">
        <v>2177</v>
      </c>
      <c r="BF17" s="36" t="s">
        <v>2178</v>
      </c>
      <c r="BG17" s="36" t="s">
        <v>2179</v>
      </c>
      <c r="BH17" s="36" t="s">
        <v>2180</v>
      </c>
      <c r="BI17" s="36" t="s">
        <v>2181</v>
      </c>
      <c r="BJ17" s="36" t="s">
        <v>2182</v>
      </c>
      <c r="BK17" s="36" t="s">
        <v>2183</v>
      </c>
      <c r="BL17" s="36" t="s">
        <v>2184</v>
      </c>
      <c r="BM17" s="36" t="s">
        <v>2185</v>
      </c>
      <c r="BN17" s="36" t="s">
        <v>2186</v>
      </c>
      <c r="BO17" s="36" t="s">
        <v>2187</v>
      </c>
      <c r="BP17" s="36" t="s">
        <v>2188</v>
      </c>
      <c r="BQ17" s="36" t="s">
        <v>2189</v>
      </c>
      <c r="BR17" s="36" t="s">
        <v>2190</v>
      </c>
      <c r="BS17" s="36" t="s">
        <v>2191</v>
      </c>
      <c r="BT17" s="36" t="s">
        <v>2192</v>
      </c>
      <c r="BU17" s="37" t="s">
        <v>2193</v>
      </c>
      <c r="CG17" s="25"/>
      <c r="CJ17" s="26" t="s">
        <v>1378</v>
      </c>
      <c r="CK17" s="26" t="s">
        <v>2146</v>
      </c>
      <c r="CL17" s="26" t="str">
        <f t="shared" si="1"/>
        <v>北海道留萌市</v>
      </c>
      <c r="CM17" s="26">
        <v>12</v>
      </c>
      <c r="CN17" s="17" t="str">
        <f t="shared" si="0"/>
        <v>0012</v>
      </c>
      <c r="CO17" s="17" t="str">
        <f t="shared" si="2"/>
        <v>1212留萌市</v>
      </c>
      <c r="CP17" s="17" t="s">
        <v>2194</v>
      </c>
      <c r="CQ17" s="17" t="b">
        <f t="shared" si="3"/>
        <v>1</v>
      </c>
    </row>
    <row r="18" spans="6:95">
      <c r="F18" s="17" t="s">
        <v>2195</v>
      </c>
      <c r="G18" s="27" t="s">
        <v>1441</v>
      </c>
      <c r="H18" s="29" t="s">
        <v>1619</v>
      </c>
      <c r="I18" s="29" t="s">
        <v>1451</v>
      </c>
      <c r="J18" s="28" t="s">
        <v>1390</v>
      </c>
      <c r="L18" s="17" t="s">
        <v>2196</v>
      </c>
      <c r="M18" s="17" t="s">
        <v>2197</v>
      </c>
      <c r="N18" s="27" t="s">
        <v>2198</v>
      </c>
      <c r="O18" s="29" t="s">
        <v>1439</v>
      </c>
      <c r="P18" s="29" t="s">
        <v>2199</v>
      </c>
      <c r="Q18" s="29" t="s">
        <v>1439</v>
      </c>
      <c r="R18" s="29" t="s">
        <v>2200</v>
      </c>
      <c r="S18" s="28" t="s">
        <v>1920</v>
      </c>
      <c r="T18" s="28" t="s">
        <v>2201</v>
      </c>
      <c r="U18" s="28" t="s">
        <v>1439</v>
      </c>
      <c r="V18" s="28" t="s">
        <v>1495</v>
      </c>
      <c r="W18" s="28" t="s">
        <v>2202</v>
      </c>
      <c r="X18" s="17">
        <v>1</v>
      </c>
      <c r="AA18" s="30" t="s">
        <v>2201</v>
      </c>
      <c r="AB18" s="31" t="s">
        <v>2203</v>
      </c>
      <c r="AC18" s="31" t="s">
        <v>2204</v>
      </c>
      <c r="AD18" s="31" t="s">
        <v>2205</v>
      </c>
      <c r="AE18" s="31" t="s">
        <v>2206</v>
      </c>
      <c r="AF18" s="31" t="s">
        <v>2207</v>
      </c>
      <c r="AG18" s="31" t="s">
        <v>2208</v>
      </c>
      <c r="AH18" s="31" t="s">
        <v>2209</v>
      </c>
      <c r="AI18" s="31" t="s">
        <v>2210</v>
      </c>
      <c r="AJ18" s="31" t="s">
        <v>2211</v>
      </c>
      <c r="AK18" s="31" t="s">
        <v>2212</v>
      </c>
      <c r="AL18" s="31" t="s">
        <v>2213</v>
      </c>
      <c r="AM18" s="31" t="s">
        <v>2214</v>
      </c>
      <c r="AN18" s="31" t="s">
        <v>2215</v>
      </c>
      <c r="AO18" s="31" t="s">
        <v>2216</v>
      </c>
      <c r="AP18" s="31" t="s">
        <v>2217</v>
      </c>
      <c r="AQ18" s="31" t="s">
        <v>2218</v>
      </c>
      <c r="AR18" s="31" t="s">
        <v>2219</v>
      </c>
      <c r="AS18" s="31" t="s">
        <v>2220</v>
      </c>
      <c r="AT18" s="31" t="s">
        <v>2221</v>
      </c>
      <c r="AU18" s="31" t="s">
        <v>2222</v>
      </c>
      <c r="AV18" s="31" t="s">
        <v>2223</v>
      </c>
      <c r="AW18" s="31" t="s">
        <v>2224</v>
      </c>
      <c r="AX18" s="31" t="s">
        <v>2225</v>
      </c>
      <c r="AY18" s="31" t="s">
        <v>2226</v>
      </c>
      <c r="AZ18" s="31" t="s">
        <v>2227</v>
      </c>
      <c r="BA18" s="31" t="s">
        <v>2228</v>
      </c>
      <c r="BB18" s="31" t="s">
        <v>2229</v>
      </c>
      <c r="BC18" s="31" t="s">
        <v>2230</v>
      </c>
      <c r="BD18" s="31" t="s">
        <v>2231</v>
      </c>
      <c r="BE18" s="31" t="s">
        <v>2232</v>
      </c>
      <c r="BF18" s="31" t="s">
        <v>2233</v>
      </c>
      <c r="BG18" s="31" t="s">
        <v>2234</v>
      </c>
      <c r="BH18" s="31" t="s">
        <v>2235</v>
      </c>
      <c r="BI18" s="31" t="s">
        <v>2236</v>
      </c>
      <c r="BJ18" s="31" t="s">
        <v>2237</v>
      </c>
      <c r="BK18" s="31" t="s">
        <v>2238</v>
      </c>
      <c r="BL18" s="31" t="s">
        <v>2239</v>
      </c>
      <c r="BM18" s="31" t="s">
        <v>2240</v>
      </c>
      <c r="BN18" s="31" t="s">
        <v>2241</v>
      </c>
      <c r="BO18" s="31" t="s">
        <v>2242</v>
      </c>
      <c r="BP18" s="31" t="s">
        <v>2243</v>
      </c>
      <c r="BQ18" s="31" t="s">
        <v>2244</v>
      </c>
      <c r="BR18" s="31" t="s">
        <v>2245</v>
      </c>
      <c r="BS18" s="31" t="s">
        <v>2246</v>
      </c>
      <c r="BT18" s="31" t="s">
        <v>2247</v>
      </c>
      <c r="BU18" s="32" t="s">
        <v>2248</v>
      </c>
      <c r="CJ18" s="26" t="s">
        <v>1378</v>
      </c>
      <c r="CK18" s="26" t="s">
        <v>2201</v>
      </c>
      <c r="CL18" s="26" t="str">
        <f t="shared" si="1"/>
        <v>北海道苫小牧市</v>
      </c>
      <c r="CM18" s="26">
        <v>13</v>
      </c>
      <c r="CN18" s="17" t="str">
        <f t="shared" si="0"/>
        <v>0013</v>
      </c>
      <c r="CO18" s="17" t="str">
        <f t="shared" si="2"/>
        <v>1313苫小牧市</v>
      </c>
      <c r="CP18" s="17" t="s">
        <v>2249</v>
      </c>
      <c r="CQ18" s="17" t="b">
        <f t="shared" si="3"/>
        <v>1</v>
      </c>
    </row>
    <row r="19" spans="6:95">
      <c r="F19" s="17" t="s">
        <v>2250</v>
      </c>
      <c r="G19" s="27" t="s">
        <v>1441</v>
      </c>
      <c r="H19" s="29" t="s">
        <v>1619</v>
      </c>
      <c r="I19" s="29" t="s">
        <v>1452</v>
      </c>
      <c r="J19" s="28" t="s">
        <v>1391</v>
      </c>
      <c r="L19" s="17" t="s">
        <v>2251</v>
      </c>
      <c r="M19" s="17" t="s">
        <v>2252</v>
      </c>
      <c r="N19" s="27" t="s">
        <v>2253</v>
      </c>
      <c r="O19" s="29" t="s">
        <v>1439</v>
      </c>
      <c r="P19" s="29" t="s">
        <v>2254</v>
      </c>
      <c r="Q19" s="29" t="s">
        <v>1439</v>
      </c>
      <c r="R19" s="29" t="s">
        <v>2255</v>
      </c>
      <c r="S19" s="28" t="s">
        <v>1977</v>
      </c>
      <c r="T19" s="28" t="s">
        <v>2256</v>
      </c>
      <c r="U19" s="28" t="s">
        <v>1439</v>
      </c>
      <c r="V19" s="28" t="s">
        <v>1495</v>
      </c>
      <c r="W19" s="28" t="s">
        <v>2257</v>
      </c>
      <c r="X19" s="17">
        <v>1</v>
      </c>
      <c r="AA19" s="35" t="s">
        <v>2256</v>
      </c>
      <c r="AB19" s="36" t="s">
        <v>2258</v>
      </c>
      <c r="AC19" s="36" t="s">
        <v>2259</v>
      </c>
      <c r="AD19" s="36" t="s">
        <v>2260</v>
      </c>
      <c r="AE19" s="36" t="s">
        <v>2261</v>
      </c>
      <c r="AF19" s="36" t="s">
        <v>2262</v>
      </c>
      <c r="AG19" s="36" t="s">
        <v>2263</v>
      </c>
      <c r="AH19" s="36" t="s">
        <v>2264</v>
      </c>
      <c r="AI19" s="36" t="s">
        <v>2265</v>
      </c>
      <c r="AJ19" s="36" t="s">
        <v>2266</v>
      </c>
      <c r="AK19" s="36" t="s">
        <v>2267</v>
      </c>
      <c r="AL19" s="36" t="s">
        <v>2268</v>
      </c>
      <c r="AM19" s="36" t="s">
        <v>2269</v>
      </c>
      <c r="AN19" s="36" t="s">
        <v>2270</v>
      </c>
      <c r="AO19" s="36" t="s">
        <v>2271</v>
      </c>
      <c r="AP19" s="36" t="s">
        <v>2272</v>
      </c>
      <c r="AQ19" s="36" t="s">
        <v>2273</v>
      </c>
      <c r="AR19" s="36" t="s">
        <v>2274</v>
      </c>
      <c r="AS19" s="36" t="s">
        <v>2275</v>
      </c>
      <c r="AT19" s="36" t="s">
        <v>2276</v>
      </c>
      <c r="AU19" s="36" t="s">
        <v>2277</v>
      </c>
      <c r="AV19" s="36" t="s">
        <v>2278</v>
      </c>
      <c r="AW19" s="36" t="s">
        <v>2279</v>
      </c>
      <c r="AX19" s="36" t="s">
        <v>2280</v>
      </c>
      <c r="AY19" s="36" t="s">
        <v>2281</v>
      </c>
      <c r="AZ19" s="36" t="s">
        <v>2282</v>
      </c>
      <c r="BA19" s="36" t="s">
        <v>2283</v>
      </c>
      <c r="BB19" s="36" t="s">
        <v>2284</v>
      </c>
      <c r="BC19" s="36" t="s">
        <v>2285</v>
      </c>
      <c r="BD19" s="36" t="s">
        <v>2286</v>
      </c>
      <c r="BE19" s="36" t="s">
        <v>2287</v>
      </c>
      <c r="BF19" s="36" t="s">
        <v>2288</v>
      </c>
      <c r="BG19" s="36" t="s">
        <v>2289</v>
      </c>
      <c r="BH19" s="36" t="s">
        <v>2290</v>
      </c>
      <c r="BI19" s="36" t="s">
        <v>2291</v>
      </c>
      <c r="BJ19" s="36" t="s">
        <v>2292</v>
      </c>
      <c r="BK19" s="36" t="s">
        <v>2293</v>
      </c>
      <c r="BL19" s="36" t="s">
        <v>2294</v>
      </c>
      <c r="BM19" s="36" t="s">
        <v>2295</v>
      </c>
      <c r="BN19" s="36" t="s">
        <v>2296</v>
      </c>
      <c r="BO19" s="36" t="s">
        <v>2297</v>
      </c>
      <c r="BP19" s="36" t="s">
        <v>2298</v>
      </c>
      <c r="BQ19" s="36" t="s">
        <v>2299</v>
      </c>
      <c r="BR19" s="36" t="s">
        <v>2300</v>
      </c>
      <c r="BS19" s="36" t="s">
        <v>2301</v>
      </c>
      <c r="BT19" s="36" t="s">
        <v>2302</v>
      </c>
      <c r="BU19" s="37" t="s">
        <v>2303</v>
      </c>
      <c r="CJ19" s="26" t="s">
        <v>1378</v>
      </c>
      <c r="CK19" s="26" t="s">
        <v>2256</v>
      </c>
      <c r="CL19" s="26" t="str">
        <f t="shared" si="1"/>
        <v>北海道稚内市</v>
      </c>
      <c r="CM19" s="26">
        <v>14</v>
      </c>
      <c r="CN19" s="17" t="str">
        <f t="shared" si="0"/>
        <v>0014</v>
      </c>
      <c r="CO19" s="17" t="str">
        <f t="shared" si="2"/>
        <v>1414稚内市</v>
      </c>
      <c r="CP19" s="17" t="s">
        <v>2304</v>
      </c>
      <c r="CQ19" s="17" t="b">
        <f t="shared" si="3"/>
        <v>1</v>
      </c>
    </row>
    <row r="20" spans="6:95">
      <c r="F20" s="17" t="s">
        <v>2305</v>
      </c>
      <c r="G20" s="27" t="s">
        <v>1441</v>
      </c>
      <c r="H20" s="29" t="s">
        <v>1619</v>
      </c>
      <c r="I20" s="29" t="s">
        <v>1453</v>
      </c>
      <c r="J20" s="28" t="s">
        <v>1392</v>
      </c>
      <c r="L20" s="17" t="s">
        <v>2306</v>
      </c>
      <c r="M20" s="17" t="s">
        <v>2307</v>
      </c>
      <c r="N20" s="27" t="s">
        <v>2308</v>
      </c>
      <c r="O20" s="29" t="s">
        <v>1439</v>
      </c>
      <c r="P20" s="29" t="s">
        <v>2309</v>
      </c>
      <c r="Q20" s="29" t="s">
        <v>1439</v>
      </c>
      <c r="R20" s="29" t="s">
        <v>2310</v>
      </c>
      <c r="S20" s="28" t="s">
        <v>2311</v>
      </c>
      <c r="T20" s="28" t="s">
        <v>2312</v>
      </c>
      <c r="U20" s="28" t="s">
        <v>1439</v>
      </c>
      <c r="V20" s="28" t="s">
        <v>1495</v>
      </c>
      <c r="W20" s="28" t="s">
        <v>2313</v>
      </c>
      <c r="X20" s="17">
        <v>1</v>
      </c>
      <c r="AA20" s="30" t="s">
        <v>2312</v>
      </c>
      <c r="AB20" s="31" t="s">
        <v>2314</v>
      </c>
      <c r="AC20" s="31" t="s">
        <v>2315</v>
      </c>
      <c r="AD20" s="31" t="s">
        <v>2316</v>
      </c>
      <c r="AE20" s="31" t="s">
        <v>2317</v>
      </c>
      <c r="AF20" s="31" t="s">
        <v>2318</v>
      </c>
      <c r="AG20" s="31" t="s">
        <v>2319</v>
      </c>
      <c r="AH20" s="31" t="s">
        <v>2320</v>
      </c>
      <c r="AI20" s="31" t="s">
        <v>2321</v>
      </c>
      <c r="AJ20" s="31" t="s">
        <v>2322</v>
      </c>
      <c r="AK20" s="31" t="s">
        <v>2323</v>
      </c>
      <c r="AL20" s="31" t="s">
        <v>2324</v>
      </c>
      <c r="AM20" s="31" t="s">
        <v>2325</v>
      </c>
      <c r="AN20" s="31" t="s">
        <v>2326</v>
      </c>
      <c r="AO20" s="31" t="s">
        <v>2327</v>
      </c>
      <c r="AP20" s="31" t="s">
        <v>2328</v>
      </c>
      <c r="AQ20" s="31" t="s">
        <v>2329</v>
      </c>
      <c r="AR20" s="31" t="s">
        <v>2330</v>
      </c>
      <c r="AS20" s="31" t="s">
        <v>2331</v>
      </c>
      <c r="AT20" s="31" t="s">
        <v>2332</v>
      </c>
      <c r="AU20" s="31" t="s">
        <v>2333</v>
      </c>
      <c r="AV20" s="31" t="s">
        <v>2334</v>
      </c>
      <c r="AW20" s="31" t="s">
        <v>2335</v>
      </c>
      <c r="AX20" s="31" t="s">
        <v>2336</v>
      </c>
      <c r="AY20" s="31" t="s">
        <v>2337</v>
      </c>
      <c r="AZ20" s="31" t="s">
        <v>2338</v>
      </c>
      <c r="BA20" s="31" t="s">
        <v>2339</v>
      </c>
      <c r="BB20" s="31" t="s">
        <v>2340</v>
      </c>
      <c r="BC20" s="31" t="s">
        <v>2341</v>
      </c>
      <c r="BD20" s="31" t="s">
        <v>2342</v>
      </c>
      <c r="BE20" s="31" t="s">
        <v>2281</v>
      </c>
      <c r="BF20" s="31" t="s">
        <v>2343</v>
      </c>
      <c r="BG20" s="31" t="s">
        <v>2344</v>
      </c>
      <c r="BH20" s="31" t="s">
        <v>2345</v>
      </c>
      <c r="BI20" s="31" t="s">
        <v>2346</v>
      </c>
      <c r="BJ20" s="31" t="s">
        <v>2347</v>
      </c>
      <c r="BK20" s="31" t="s">
        <v>2348</v>
      </c>
      <c r="BL20" s="31" t="s">
        <v>2349</v>
      </c>
      <c r="BM20" s="31" t="s">
        <v>2350</v>
      </c>
      <c r="BN20" s="31" t="s">
        <v>2351</v>
      </c>
      <c r="BO20" s="31" t="s">
        <v>2352</v>
      </c>
      <c r="BP20" s="31" t="s">
        <v>2353</v>
      </c>
      <c r="BQ20" s="31" t="s">
        <v>2354</v>
      </c>
      <c r="BR20" s="31" t="s">
        <v>2355</v>
      </c>
      <c r="BS20" s="31" t="s">
        <v>2356</v>
      </c>
      <c r="BT20" s="31" t="s">
        <v>2357</v>
      </c>
      <c r="BU20" s="32" t="s">
        <v>2358</v>
      </c>
      <c r="CJ20" s="26" t="s">
        <v>1378</v>
      </c>
      <c r="CK20" s="26" t="s">
        <v>2312</v>
      </c>
      <c r="CL20" s="26" t="str">
        <f t="shared" si="1"/>
        <v>北海道美唄市</v>
      </c>
      <c r="CM20" s="26">
        <v>15</v>
      </c>
      <c r="CN20" s="17" t="str">
        <f t="shared" si="0"/>
        <v>0015</v>
      </c>
      <c r="CO20" s="17" t="str">
        <f t="shared" si="2"/>
        <v>1515美唄市</v>
      </c>
      <c r="CP20" s="17" t="s">
        <v>2359</v>
      </c>
      <c r="CQ20" s="17" t="b">
        <f t="shared" si="3"/>
        <v>1</v>
      </c>
    </row>
    <row r="21" spans="6:95">
      <c r="F21" s="17" t="s">
        <v>2360</v>
      </c>
      <c r="G21" s="27" t="s">
        <v>1442</v>
      </c>
      <c r="H21" s="29" t="s">
        <v>1678</v>
      </c>
      <c r="I21" s="29" t="s">
        <v>1454</v>
      </c>
      <c r="J21" s="28" t="s">
        <v>1393</v>
      </c>
      <c r="L21" s="17" t="s">
        <v>2361</v>
      </c>
      <c r="M21" s="17" t="s">
        <v>2362</v>
      </c>
      <c r="N21" s="27" t="s">
        <v>2363</v>
      </c>
      <c r="O21" s="29" t="s">
        <v>1439</v>
      </c>
      <c r="P21" s="29" t="s">
        <v>2364</v>
      </c>
      <c r="Q21" s="29" t="s">
        <v>1439</v>
      </c>
      <c r="R21" s="29" t="s">
        <v>2365</v>
      </c>
      <c r="S21" s="28" t="s">
        <v>1564</v>
      </c>
      <c r="T21" s="28" t="s">
        <v>2366</v>
      </c>
      <c r="U21" s="28" t="s">
        <v>1439</v>
      </c>
      <c r="V21" s="28" t="s">
        <v>1495</v>
      </c>
      <c r="W21" s="28" t="s">
        <v>2367</v>
      </c>
      <c r="X21" s="17">
        <v>1</v>
      </c>
      <c r="AA21" s="35" t="s">
        <v>2366</v>
      </c>
      <c r="AB21" s="36" t="s">
        <v>2368</v>
      </c>
      <c r="AC21" s="36" t="s">
        <v>2369</v>
      </c>
      <c r="AD21" s="36" t="s">
        <v>2370</v>
      </c>
      <c r="AE21" s="36" t="s">
        <v>2371</v>
      </c>
      <c r="AF21" s="36" t="s">
        <v>2372</v>
      </c>
      <c r="AG21" s="36" t="s">
        <v>2373</v>
      </c>
      <c r="AH21" s="36" t="s">
        <v>2374</v>
      </c>
      <c r="AI21" s="36" t="s">
        <v>2375</v>
      </c>
      <c r="AJ21" s="36" t="s">
        <v>2376</v>
      </c>
      <c r="AK21" s="36" t="s">
        <v>2377</v>
      </c>
      <c r="AL21" s="36" t="s">
        <v>2378</v>
      </c>
      <c r="AM21" s="36" t="s">
        <v>2379</v>
      </c>
      <c r="AN21" s="36" t="s">
        <v>2380</v>
      </c>
      <c r="AO21" s="36" t="s">
        <v>2381</v>
      </c>
      <c r="AP21" s="36" t="s">
        <v>2382</v>
      </c>
      <c r="AQ21" s="36" t="s">
        <v>2383</v>
      </c>
      <c r="AR21" s="36" t="s">
        <v>2384</v>
      </c>
      <c r="AS21" s="36" t="s">
        <v>2385</v>
      </c>
      <c r="AT21" s="36" t="s">
        <v>2386</v>
      </c>
      <c r="AU21" s="36" t="s">
        <v>2387</v>
      </c>
      <c r="AV21" s="36" t="s">
        <v>2388</v>
      </c>
      <c r="AW21" s="36" t="s">
        <v>2389</v>
      </c>
      <c r="AX21" s="36" t="s">
        <v>2390</v>
      </c>
      <c r="AY21" s="36" t="s">
        <v>2391</v>
      </c>
      <c r="AZ21" s="36" t="s">
        <v>2392</v>
      </c>
      <c r="BA21" s="36" t="s">
        <v>2393</v>
      </c>
      <c r="BB21" s="36" t="s">
        <v>2394</v>
      </c>
      <c r="BC21" s="36" t="s">
        <v>2395</v>
      </c>
      <c r="BD21" s="36" t="s">
        <v>2396</v>
      </c>
      <c r="BE21" s="36" t="s">
        <v>2397</v>
      </c>
      <c r="BF21" s="36" t="s">
        <v>2398</v>
      </c>
      <c r="BG21" s="36" t="s">
        <v>2399</v>
      </c>
      <c r="BH21" s="36" t="s">
        <v>2400</v>
      </c>
      <c r="BI21" s="36" t="s">
        <v>2401</v>
      </c>
      <c r="BJ21" s="36" t="s">
        <v>2402</v>
      </c>
      <c r="BK21" s="36" t="s">
        <v>2403</v>
      </c>
      <c r="BL21" s="36" t="s">
        <v>2404</v>
      </c>
      <c r="BM21" s="36" t="s">
        <v>2405</v>
      </c>
      <c r="BN21" s="36" t="s">
        <v>2406</v>
      </c>
      <c r="BO21" s="36" t="s">
        <v>2407</v>
      </c>
      <c r="BP21" s="36" t="s">
        <v>2408</v>
      </c>
      <c r="BQ21" s="36" t="s">
        <v>2409</v>
      </c>
      <c r="BR21" s="36" t="s">
        <v>2410</v>
      </c>
      <c r="BS21" s="36" t="s">
        <v>2411</v>
      </c>
      <c r="BT21" s="36" t="s">
        <v>2412</v>
      </c>
      <c r="BU21" s="37" t="s">
        <v>2413</v>
      </c>
      <c r="CJ21" s="26" t="s">
        <v>1378</v>
      </c>
      <c r="CK21" s="26" t="s">
        <v>2366</v>
      </c>
      <c r="CL21" s="26" t="str">
        <f t="shared" si="1"/>
        <v>北海道芦別市</v>
      </c>
      <c r="CM21" s="26">
        <v>16</v>
      </c>
      <c r="CN21" s="17" t="str">
        <f t="shared" si="0"/>
        <v>0016</v>
      </c>
      <c r="CO21" s="17" t="str">
        <f t="shared" si="2"/>
        <v>1616芦別市</v>
      </c>
      <c r="CP21" s="17" t="s">
        <v>2414</v>
      </c>
      <c r="CQ21" s="17" t="b">
        <f t="shared" si="3"/>
        <v>1</v>
      </c>
    </row>
    <row r="22" spans="6:95">
      <c r="F22" s="17" t="s">
        <v>2415</v>
      </c>
      <c r="G22" s="27" t="s">
        <v>1442</v>
      </c>
      <c r="H22" s="29" t="s">
        <v>1678</v>
      </c>
      <c r="I22" s="29" t="s">
        <v>1455</v>
      </c>
      <c r="J22" s="28" t="s">
        <v>1394</v>
      </c>
      <c r="L22" s="17" t="s">
        <v>2416</v>
      </c>
      <c r="M22" s="17" t="s">
        <v>2417</v>
      </c>
      <c r="N22" s="27" t="s">
        <v>2418</v>
      </c>
      <c r="O22" s="29" t="s">
        <v>1439</v>
      </c>
      <c r="P22" s="29" t="s">
        <v>2419</v>
      </c>
      <c r="Q22" s="29" t="s">
        <v>1439</v>
      </c>
      <c r="R22" s="29" t="s">
        <v>2420</v>
      </c>
      <c r="S22" s="28" t="s">
        <v>1626</v>
      </c>
      <c r="T22" s="28" t="s">
        <v>2421</v>
      </c>
      <c r="U22" s="28" t="s">
        <v>1439</v>
      </c>
      <c r="V22" s="28" t="s">
        <v>1495</v>
      </c>
      <c r="W22" s="28" t="s">
        <v>2422</v>
      </c>
      <c r="X22" s="17">
        <v>1</v>
      </c>
      <c r="AA22" s="30" t="s">
        <v>2421</v>
      </c>
      <c r="AB22" s="31" t="s">
        <v>2423</v>
      </c>
      <c r="AC22" s="31" t="s">
        <v>2424</v>
      </c>
      <c r="AD22" s="31" t="s">
        <v>2425</v>
      </c>
      <c r="AE22" s="31" t="s">
        <v>2426</v>
      </c>
      <c r="AF22" s="31" t="s">
        <v>2427</v>
      </c>
      <c r="AG22" s="31" t="s">
        <v>2428</v>
      </c>
      <c r="AH22" s="31" t="s">
        <v>2429</v>
      </c>
      <c r="AI22" s="31" t="s">
        <v>2430</v>
      </c>
      <c r="AJ22" s="31" t="s">
        <v>2431</v>
      </c>
      <c r="AK22" s="31" t="s">
        <v>2432</v>
      </c>
      <c r="AL22" s="31" t="s">
        <v>2433</v>
      </c>
      <c r="AM22" s="31" t="s">
        <v>2434</v>
      </c>
      <c r="AN22" s="31" t="s">
        <v>2435</v>
      </c>
      <c r="AO22" s="31" t="s">
        <v>2436</v>
      </c>
      <c r="AP22" s="31" t="s">
        <v>2437</v>
      </c>
      <c r="AQ22" s="31" t="s">
        <v>2438</v>
      </c>
      <c r="AR22" s="31" t="s">
        <v>2439</v>
      </c>
      <c r="AS22" s="31" t="s">
        <v>2440</v>
      </c>
      <c r="AT22" s="31" t="s">
        <v>2441</v>
      </c>
      <c r="AU22" s="31" t="s">
        <v>2442</v>
      </c>
      <c r="AV22" s="31" t="s">
        <v>2443</v>
      </c>
      <c r="AW22" s="31" t="s">
        <v>2444</v>
      </c>
      <c r="AX22" s="31" t="s">
        <v>2445</v>
      </c>
      <c r="AY22" s="31" t="s">
        <v>2446</v>
      </c>
      <c r="AZ22" s="31" t="s">
        <v>2447</v>
      </c>
      <c r="BA22" s="31" t="s">
        <v>2448</v>
      </c>
      <c r="BB22" s="31" t="s">
        <v>2449</v>
      </c>
      <c r="BC22" s="31" t="s">
        <v>2450</v>
      </c>
      <c r="BD22" s="31" t="s">
        <v>2164</v>
      </c>
      <c r="BE22" s="31" t="s">
        <v>2451</v>
      </c>
      <c r="BF22" s="31" t="s">
        <v>2452</v>
      </c>
      <c r="BG22" s="31" t="s">
        <v>2453</v>
      </c>
      <c r="BH22" s="31" t="s">
        <v>2454</v>
      </c>
      <c r="BI22" s="31" t="s">
        <v>2455</v>
      </c>
      <c r="BJ22" s="31" t="s">
        <v>2456</v>
      </c>
      <c r="BK22" s="31" t="s">
        <v>2457</v>
      </c>
      <c r="BL22" s="31" t="s">
        <v>2458</v>
      </c>
      <c r="BM22" s="31" t="s">
        <v>2459</v>
      </c>
      <c r="BN22" s="31" t="s">
        <v>2460</v>
      </c>
      <c r="BO22" s="31" t="s">
        <v>2461</v>
      </c>
      <c r="BP22" s="31" t="s">
        <v>2462</v>
      </c>
      <c r="BQ22" s="31" t="s">
        <v>2463</v>
      </c>
      <c r="BR22" s="31" t="s">
        <v>2464</v>
      </c>
      <c r="BS22" s="31" t="s">
        <v>2465</v>
      </c>
      <c r="BT22" s="31" t="s">
        <v>2466</v>
      </c>
      <c r="BU22" s="32" t="s">
        <v>2467</v>
      </c>
      <c r="CJ22" s="26" t="s">
        <v>1378</v>
      </c>
      <c r="CK22" s="26" t="s">
        <v>2421</v>
      </c>
      <c r="CL22" s="26" t="str">
        <f t="shared" si="1"/>
        <v>北海道江別市</v>
      </c>
      <c r="CM22" s="26">
        <v>17</v>
      </c>
      <c r="CN22" s="17" t="str">
        <f t="shared" si="0"/>
        <v>0017</v>
      </c>
      <c r="CO22" s="17" t="str">
        <f t="shared" si="2"/>
        <v>1717江別市</v>
      </c>
      <c r="CP22" s="17" t="s">
        <v>2468</v>
      </c>
      <c r="CQ22" s="17" t="b">
        <f t="shared" si="3"/>
        <v>1</v>
      </c>
    </row>
    <row r="23" spans="6:95">
      <c r="F23" s="17" t="s">
        <v>2469</v>
      </c>
      <c r="G23" s="27" t="s">
        <v>1443</v>
      </c>
      <c r="H23" s="29" t="s">
        <v>1736</v>
      </c>
      <c r="I23" s="29" t="s">
        <v>1456</v>
      </c>
      <c r="J23" s="28" t="s">
        <v>1395</v>
      </c>
      <c r="L23" s="17" t="s">
        <v>2470</v>
      </c>
      <c r="M23" s="17" t="s">
        <v>2471</v>
      </c>
      <c r="N23" s="27" t="s">
        <v>2472</v>
      </c>
      <c r="O23" s="29" t="s">
        <v>1439</v>
      </c>
      <c r="P23" s="29" t="s">
        <v>2473</v>
      </c>
      <c r="Q23" s="29" t="s">
        <v>1439</v>
      </c>
      <c r="R23" s="29" t="s">
        <v>2474</v>
      </c>
      <c r="S23" s="28" t="s">
        <v>1502</v>
      </c>
      <c r="T23" s="28" t="s">
        <v>2475</v>
      </c>
      <c r="U23" s="28" t="s">
        <v>1439</v>
      </c>
      <c r="V23" s="28" t="s">
        <v>1495</v>
      </c>
      <c r="W23" s="28" t="s">
        <v>2476</v>
      </c>
      <c r="X23" s="17">
        <v>1</v>
      </c>
      <c r="AA23" s="35" t="s">
        <v>2475</v>
      </c>
      <c r="AB23" s="36" t="s">
        <v>2477</v>
      </c>
      <c r="AC23" s="36" t="s">
        <v>2478</v>
      </c>
      <c r="AD23" s="36" t="s">
        <v>2479</v>
      </c>
      <c r="AE23" s="36" t="s">
        <v>2480</v>
      </c>
      <c r="AF23" s="36" t="s">
        <v>2280</v>
      </c>
      <c r="AG23" s="36" t="s">
        <v>2481</v>
      </c>
      <c r="AH23" s="36" t="s">
        <v>2482</v>
      </c>
      <c r="AI23" s="36" t="s">
        <v>2483</v>
      </c>
      <c r="AJ23" s="36" t="s">
        <v>2484</v>
      </c>
      <c r="AK23" s="36" t="s">
        <v>2485</v>
      </c>
      <c r="AL23" s="36" t="s">
        <v>2486</v>
      </c>
      <c r="AM23" s="36" t="s">
        <v>2487</v>
      </c>
      <c r="AN23" s="36" t="s">
        <v>2488</v>
      </c>
      <c r="AO23" s="36" t="s">
        <v>2489</v>
      </c>
      <c r="AP23" s="36" t="s">
        <v>2280</v>
      </c>
      <c r="AQ23" s="36" t="s">
        <v>2490</v>
      </c>
      <c r="AR23" s="36" t="s">
        <v>2491</v>
      </c>
      <c r="AS23" s="36" t="s">
        <v>2492</v>
      </c>
      <c r="AT23" s="36" t="s">
        <v>2484</v>
      </c>
      <c r="AU23" s="36" t="s">
        <v>2493</v>
      </c>
      <c r="AV23" s="36" t="s">
        <v>2494</v>
      </c>
      <c r="AW23" s="36" t="s">
        <v>2495</v>
      </c>
      <c r="AX23" s="36" t="s">
        <v>2496</v>
      </c>
      <c r="AY23" s="36" t="s">
        <v>2497</v>
      </c>
      <c r="AZ23" s="36" t="s">
        <v>2498</v>
      </c>
      <c r="BA23" s="36" t="s">
        <v>2499</v>
      </c>
      <c r="BB23" s="36" t="s">
        <v>2500</v>
      </c>
      <c r="BC23" s="36" t="s">
        <v>2501</v>
      </c>
      <c r="BD23" s="36" t="s">
        <v>2502</v>
      </c>
      <c r="BE23" s="36" t="s">
        <v>2440</v>
      </c>
      <c r="BF23" s="36" t="s">
        <v>2503</v>
      </c>
      <c r="BG23" s="36" t="s">
        <v>2504</v>
      </c>
      <c r="BH23" s="36" t="s">
        <v>2505</v>
      </c>
      <c r="BI23" s="36" t="s">
        <v>2506</v>
      </c>
      <c r="BJ23" s="36" t="s">
        <v>2507</v>
      </c>
      <c r="BK23" s="36"/>
      <c r="BL23" s="36" t="s">
        <v>2508</v>
      </c>
      <c r="BM23" s="36" t="s">
        <v>2509</v>
      </c>
      <c r="BN23" s="36" t="s">
        <v>2510</v>
      </c>
      <c r="BO23" s="36" t="s">
        <v>2511</v>
      </c>
      <c r="BP23" s="36" t="s">
        <v>2512</v>
      </c>
      <c r="BQ23" s="36" t="s">
        <v>2513</v>
      </c>
      <c r="BR23" s="36" t="s">
        <v>2514</v>
      </c>
      <c r="BS23" s="36" t="s">
        <v>2515</v>
      </c>
      <c r="BT23" s="36" t="s">
        <v>2516</v>
      </c>
      <c r="BU23" s="37" t="s">
        <v>2517</v>
      </c>
      <c r="CJ23" s="26" t="s">
        <v>1378</v>
      </c>
      <c r="CK23" s="26" t="s">
        <v>2475</v>
      </c>
      <c r="CL23" s="26" t="str">
        <f t="shared" si="1"/>
        <v>北海道赤平市</v>
      </c>
      <c r="CM23" s="26">
        <v>18</v>
      </c>
      <c r="CN23" s="17" t="str">
        <f t="shared" si="0"/>
        <v>0018</v>
      </c>
      <c r="CO23" s="17" t="str">
        <f t="shared" si="2"/>
        <v>1818赤平市</v>
      </c>
      <c r="CP23" s="17" t="s">
        <v>2518</v>
      </c>
      <c r="CQ23" s="17" t="b">
        <f t="shared" si="3"/>
        <v>1</v>
      </c>
    </row>
    <row r="24" spans="6:95">
      <c r="F24" s="17" t="s">
        <v>2519</v>
      </c>
      <c r="G24" s="27" t="s">
        <v>1441</v>
      </c>
      <c r="H24" s="29" t="s">
        <v>1619</v>
      </c>
      <c r="I24" s="29" t="s">
        <v>1457</v>
      </c>
      <c r="J24" s="28" t="s">
        <v>1396</v>
      </c>
      <c r="L24" s="17" t="s">
        <v>2520</v>
      </c>
      <c r="M24" s="17" t="s">
        <v>2521</v>
      </c>
      <c r="N24" s="27" t="s">
        <v>2522</v>
      </c>
      <c r="O24" s="29" t="s">
        <v>1439</v>
      </c>
      <c r="P24" s="29" t="s">
        <v>2523</v>
      </c>
      <c r="Q24" s="29" t="s">
        <v>1439</v>
      </c>
      <c r="R24" s="29" t="s">
        <v>2524</v>
      </c>
      <c r="S24" s="28" t="s">
        <v>2525</v>
      </c>
      <c r="T24" s="28" t="s">
        <v>2526</v>
      </c>
      <c r="U24" s="28" t="s">
        <v>1439</v>
      </c>
      <c r="V24" s="28" t="s">
        <v>1495</v>
      </c>
      <c r="W24" s="28" t="s">
        <v>2527</v>
      </c>
      <c r="X24" s="17">
        <v>1</v>
      </c>
      <c r="AA24" s="30" t="s">
        <v>2526</v>
      </c>
      <c r="AB24" s="31" t="s">
        <v>2528</v>
      </c>
      <c r="AC24" s="31" t="s">
        <v>2529</v>
      </c>
      <c r="AD24" s="31" t="s">
        <v>2530</v>
      </c>
      <c r="AE24" s="31" t="s">
        <v>2531</v>
      </c>
      <c r="AF24" s="31" t="s">
        <v>2532</v>
      </c>
      <c r="AG24" s="31" t="s">
        <v>2533</v>
      </c>
      <c r="AH24" s="31" t="s">
        <v>2534</v>
      </c>
      <c r="AI24" s="31" t="s">
        <v>2535</v>
      </c>
      <c r="AJ24" s="31" t="s">
        <v>2536</v>
      </c>
      <c r="AK24" s="31" t="s">
        <v>2537</v>
      </c>
      <c r="AL24" s="31" t="s">
        <v>2538</v>
      </c>
      <c r="AM24" s="31" t="s">
        <v>2539</v>
      </c>
      <c r="AN24" s="31" t="s">
        <v>2540</v>
      </c>
      <c r="AO24" s="31" t="s">
        <v>2541</v>
      </c>
      <c r="AP24" s="31"/>
      <c r="AQ24" s="31" t="s">
        <v>2542</v>
      </c>
      <c r="AR24" s="31"/>
      <c r="AS24" s="31" t="s">
        <v>2543</v>
      </c>
      <c r="AT24" s="31" t="s">
        <v>2544</v>
      </c>
      <c r="AU24" s="31" t="s">
        <v>2545</v>
      </c>
      <c r="AV24" s="31" t="s">
        <v>2546</v>
      </c>
      <c r="AW24" s="31" t="s">
        <v>2547</v>
      </c>
      <c r="AX24" s="31" t="s">
        <v>2548</v>
      </c>
      <c r="AY24" s="31" t="s">
        <v>2549</v>
      </c>
      <c r="AZ24" s="31" t="s">
        <v>2550</v>
      </c>
      <c r="BA24" s="31" t="s">
        <v>2551</v>
      </c>
      <c r="BB24" s="31" t="s">
        <v>2552</v>
      </c>
      <c r="BC24" s="31" t="s">
        <v>2553</v>
      </c>
      <c r="BD24" s="31" t="s">
        <v>2554</v>
      </c>
      <c r="BE24" s="31" t="s">
        <v>2555</v>
      </c>
      <c r="BF24" s="31" t="s">
        <v>2556</v>
      </c>
      <c r="BG24" s="31" t="s">
        <v>2557</v>
      </c>
      <c r="BH24" s="31" t="s">
        <v>2558</v>
      </c>
      <c r="BI24" s="31" t="s">
        <v>2559</v>
      </c>
      <c r="BJ24" s="31" t="s">
        <v>2560</v>
      </c>
      <c r="BK24" s="31"/>
      <c r="BL24" s="31" t="s">
        <v>2561</v>
      </c>
      <c r="BM24" s="31" t="s">
        <v>2562</v>
      </c>
      <c r="BN24" s="31" t="s">
        <v>2563</v>
      </c>
      <c r="BO24" s="31" t="s">
        <v>2564</v>
      </c>
      <c r="BP24" s="31" t="s">
        <v>2565</v>
      </c>
      <c r="BQ24" s="31" t="s">
        <v>2566</v>
      </c>
      <c r="BR24" s="31"/>
      <c r="BS24" s="31" t="s">
        <v>2567</v>
      </c>
      <c r="BT24" s="31" t="s">
        <v>2568</v>
      </c>
      <c r="BU24" s="32" t="s">
        <v>2569</v>
      </c>
      <c r="CJ24" s="26" t="s">
        <v>1378</v>
      </c>
      <c r="CK24" s="26" t="s">
        <v>2526</v>
      </c>
      <c r="CL24" s="26" t="str">
        <f t="shared" si="1"/>
        <v>北海道紋別市</v>
      </c>
      <c r="CM24" s="26">
        <v>19</v>
      </c>
      <c r="CN24" s="17" t="str">
        <f t="shared" si="0"/>
        <v>0019</v>
      </c>
      <c r="CO24" s="17" t="str">
        <f t="shared" si="2"/>
        <v>1919紋別市</v>
      </c>
      <c r="CP24" s="17" t="s">
        <v>2570</v>
      </c>
      <c r="CQ24" s="17" t="b">
        <f t="shared" si="3"/>
        <v>1</v>
      </c>
    </row>
    <row r="25" spans="6:95">
      <c r="F25" s="17" t="s">
        <v>2571</v>
      </c>
      <c r="G25" s="27" t="s">
        <v>1441</v>
      </c>
      <c r="H25" s="29" t="s">
        <v>1619</v>
      </c>
      <c r="I25" s="29" t="s">
        <v>1458</v>
      </c>
      <c r="J25" s="28" t="s">
        <v>1397</v>
      </c>
      <c r="L25" s="17" t="s">
        <v>2572</v>
      </c>
      <c r="M25" s="17" t="s">
        <v>2573</v>
      </c>
      <c r="N25" s="27" t="s">
        <v>2574</v>
      </c>
      <c r="O25" s="29" t="s">
        <v>1439</v>
      </c>
      <c r="P25" s="29" t="s">
        <v>2575</v>
      </c>
      <c r="Q25" s="29" t="s">
        <v>1439</v>
      </c>
      <c r="R25" s="29" t="s">
        <v>2576</v>
      </c>
      <c r="S25" s="28" t="s">
        <v>2311</v>
      </c>
      <c r="T25" s="28" t="s">
        <v>2577</v>
      </c>
      <c r="U25" s="28" t="s">
        <v>1439</v>
      </c>
      <c r="V25" s="28" t="s">
        <v>1495</v>
      </c>
      <c r="W25" s="28" t="s">
        <v>2575</v>
      </c>
      <c r="X25" s="17">
        <v>1</v>
      </c>
      <c r="AA25" s="35" t="s">
        <v>2577</v>
      </c>
      <c r="AB25" s="36" t="s">
        <v>2578</v>
      </c>
      <c r="AC25" s="36" t="s">
        <v>2579</v>
      </c>
      <c r="AD25" s="36" t="s">
        <v>2580</v>
      </c>
      <c r="AE25" s="36" t="s">
        <v>2581</v>
      </c>
      <c r="AF25" s="36" t="s">
        <v>2582</v>
      </c>
      <c r="AG25" s="36" t="s">
        <v>2583</v>
      </c>
      <c r="AH25" s="36" t="s">
        <v>2584</v>
      </c>
      <c r="AI25" s="36" t="s">
        <v>2585</v>
      </c>
      <c r="AJ25" s="36" t="s">
        <v>2586</v>
      </c>
      <c r="AK25" s="36" t="s">
        <v>2587</v>
      </c>
      <c r="AL25" s="36" t="s">
        <v>2588</v>
      </c>
      <c r="AM25" s="36" t="s">
        <v>2589</v>
      </c>
      <c r="AN25" s="36" t="s">
        <v>2590</v>
      </c>
      <c r="AO25" s="36" t="s">
        <v>2591</v>
      </c>
      <c r="AP25" s="36"/>
      <c r="AQ25" s="36"/>
      <c r="AR25" s="36"/>
      <c r="AS25" s="36" t="s">
        <v>2592</v>
      </c>
      <c r="AT25" s="36" t="s">
        <v>2593</v>
      </c>
      <c r="AU25" s="36" t="s">
        <v>2594</v>
      </c>
      <c r="AV25" s="36" t="s">
        <v>2595</v>
      </c>
      <c r="AW25" s="36" t="s">
        <v>2596</v>
      </c>
      <c r="AX25" s="36" t="s">
        <v>2597</v>
      </c>
      <c r="AY25" s="36"/>
      <c r="AZ25" s="36" t="s">
        <v>2598</v>
      </c>
      <c r="BA25" s="36" t="s">
        <v>2599</v>
      </c>
      <c r="BB25" s="36" t="s">
        <v>2600</v>
      </c>
      <c r="BC25" s="36" t="s">
        <v>2601</v>
      </c>
      <c r="BD25" s="36" t="s">
        <v>2602</v>
      </c>
      <c r="BE25" s="36" t="s">
        <v>2603</v>
      </c>
      <c r="BF25" s="36" t="s">
        <v>2604</v>
      </c>
      <c r="BG25" s="36" t="s">
        <v>2605</v>
      </c>
      <c r="BH25" s="36" t="s">
        <v>2606</v>
      </c>
      <c r="BI25" s="36"/>
      <c r="BJ25" s="36" t="s">
        <v>2607</v>
      </c>
      <c r="BK25" s="36"/>
      <c r="BL25" s="36" t="s">
        <v>2608</v>
      </c>
      <c r="BM25" s="36" t="s">
        <v>2609</v>
      </c>
      <c r="BN25" s="36" t="s">
        <v>2610</v>
      </c>
      <c r="BO25" s="36" t="s">
        <v>2611</v>
      </c>
      <c r="BP25" s="36" t="s">
        <v>2612</v>
      </c>
      <c r="BQ25" s="36" t="s">
        <v>2613</v>
      </c>
      <c r="BR25" s="36"/>
      <c r="BS25" s="36" t="s">
        <v>2614</v>
      </c>
      <c r="BT25" s="36" t="s">
        <v>2615</v>
      </c>
      <c r="BU25" s="37" t="s">
        <v>2616</v>
      </c>
      <c r="CJ25" s="26" t="s">
        <v>1378</v>
      </c>
      <c r="CK25" s="26" t="s">
        <v>2577</v>
      </c>
      <c r="CL25" s="26" t="str">
        <f t="shared" si="1"/>
        <v>北海道士別市</v>
      </c>
      <c r="CM25" s="26">
        <v>20</v>
      </c>
      <c r="CN25" s="17" t="str">
        <f t="shared" si="0"/>
        <v>0020</v>
      </c>
      <c r="CO25" s="17" t="str">
        <f t="shared" si="2"/>
        <v>2020士別市</v>
      </c>
      <c r="CP25" s="17" t="s">
        <v>2617</v>
      </c>
      <c r="CQ25" s="17" t="b">
        <f t="shared" si="3"/>
        <v>1</v>
      </c>
    </row>
    <row r="26" spans="6:95">
      <c r="F26" s="17" t="s">
        <v>2618</v>
      </c>
      <c r="G26" s="27" t="s">
        <v>1442</v>
      </c>
      <c r="H26" s="29" t="s">
        <v>1678</v>
      </c>
      <c r="I26" s="29" t="s">
        <v>1459</v>
      </c>
      <c r="J26" s="28" t="s">
        <v>1398</v>
      </c>
      <c r="L26" s="17" t="s">
        <v>2619</v>
      </c>
      <c r="M26" s="17" t="s">
        <v>2620</v>
      </c>
      <c r="N26" s="27" t="s">
        <v>2621</v>
      </c>
      <c r="O26" s="29" t="s">
        <v>1439</v>
      </c>
      <c r="P26" s="29" t="s">
        <v>2622</v>
      </c>
      <c r="Q26" s="29" t="s">
        <v>1439</v>
      </c>
      <c r="R26" s="29" t="s">
        <v>2623</v>
      </c>
      <c r="S26" s="28" t="s">
        <v>1564</v>
      </c>
      <c r="T26" s="28" t="s">
        <v>2624</v>
      </c>
      <c r="U26" s="28" t="s">
        <v>1439</v>
      </c>
      <c r="V26" s="28" t="s">
        <v>1495</v>
      </c>
      <c r="W26" s="28" t="s">
        <v>2622</v>
      </c>
      <c r="X26" s="17">
        <v>1</v>
      </c>
      <c r="AA26" s="30" t="s">
        <v>2624</v>
      </c>
      <c r="AB26" s="31" t="s">
        <v>2625</v>
      </c>
      <c r="AC26" s="31" t="s">
        <v>2626</v>
      </c>
      <c r="AD26" s="31" t="s">
        <v>2627</v>
      </c>
      <c r="AE26" s="31" t="s">
        <v>2628</v>
      </c>
      <c r="AF26" s="31" t="s">
        <v>2629</v>
      </c>
      <c r="AG26" s="31" t="s">
        <v>2630</v>
      </c>
      <c r="AH26" s="31" t="s">
        <v>2631</v>
      </c>
      <c r="AI26" s="31" t="s">
        <v>2632</v>
      </c>
      <c r="AJ26" s="31" t="s">
        <v>2633</v>
      </c>
      <c r="AK26" s="31" t="s">
        <v>2634</v>
      </c>
      <c r="AL26" s="31" t="s">
        <v>2635</v>
      </c>
      <c r="AM26" s="31" t="s">
        <v>2636</v>
      </c>
      <c r="AN26" s="31" t="s">
        <v>2637</v>
      </c>
      <c r="AO26" s="31" t="s">
        <v>2638</v>
      </c>
      <c r="AP26" s="31"/>
      <c r="AQ26" s="31"/>
      <c r="AR26" s="31"/>
      <c r="AS26" s="31" t="s">
        <v>2639</v>
      </c>
      <c r="AT26" s="31" t="s">
        <v>2640</v>
      </c>
      <c r="AU26" s="31" t="s">
        <v>2641</v>
      </c>
      <c r="AV26" s="31" t="s">
        <v>2642</v>
      </c>
      <c r="AW26" s="31" t="s">
        <v>2643</v>
      </c>
      <c r="AX26" s="31" t="s">
        <v>2644</v>
      </c>
      <c r="AY26" s="31"/>
      <c r="AZ26" s="31" t="s">
        <v>2645</v>
      </c>
      <c r="BA26" s="31" t="s">
        <v>2646</v>
      </c>
      <c r="BB26" s="31" t="s">
        <v>2647</v>
      </c>
      <c r="BC26" s="31" t="s">
        <v>2648</v>
      </c>
      <c r="BD26" s="31" t="s">
        <v>2649</v>
      </c>
      <c r="BE26" s="31"/>
      <c r="BF26" s="31" t="s">
        <v>2650</v>
      </c>
      <c r="BG26" s="31" t="s">
        <v>2651</v>
      </c>
      <c r="BH26" s="31" t="s">
        <v>2652</v>
      </c>
      <c r="BI26" s="31"/>
      <c r="BJ26" s="31" t="s">
        <v>2653</v>
      </c>
      <c r="BK26" s="31"/>
      <c r="BL26" s="31"/>
      <c r="BM26" s="31" t="s">
        <v>2654</v>
      </c>
      <c r="BN26" s="31" t="s">
        <v>2655</v>
      </c>
      <c r="BO26" s="31" t="s">
        <v>2656</v>
      </c>
      <c r="BP26" s="31" t="s">
        <v>2657</v>
      </c>
      <c r="BQ26" s="31" t="s">
        <v>2658</v>
      </c>
      <c r="BR26" s="31"/>
      <c r="BS26" s="31" t="s">
        <v>2659</v>
      </c>
      <c r="BT26" s="31" t="s">
        <v>2660</v>
      </c>
      <c r="BU26" s="32" t="s">
        <v>2661</v>
      </c>
      <c r="CJ26" s="26" t="s">
        <v>1378</v>
      </c>
      <c r="CK26" s="26" t="s">
        <v>2624</v>
      </c>
      <c r="CL26" s="26" t="str">
        <f t="shared" si="1"/>
        <v>北海道名寄市</v>
      </c>
      <c r="CM26" s="26">
        <v>21</v>
      </c>
      <c r="CN26" s="17" t="str">
        <f t="shared" si="0"/>
        <v>0021</v>
      </c>
      <c r="CO26" s="17" t="str">
        <f t="shared" si="2"/>
        <v>2121名寄市</v>
      </c>
      <c r="CP26" s="17" t="s">
        <v>2662</v>
      </c>
      <c r="CQ26" s="17" t="b">
        <f t="shared" si="3"/>
        <v>1</v>
      </c>
    </row>
    <row r="27" spans="6:95">
      <c r="F27" s="17" t="s">
        <v>2663</v>
      </c>
      <c r="G27" s="27" t="s">
        <v>1442</v>
      </c>
      <c r="H27" s="29" t="s">
        <v>1678</v>
      </c>
      <c r="I27" s="29" t="s">
        <v>1460</v>
      </c>
      <c r="J27" s="28" t="s">
        <v>1399</v>
      </c>
      <c r="L27" s="17" t="s">
        <v>2664</v>
      </c>
      <c r="M27" s="17" t="s">
        <v>2665</v>
      </c>
      <c r="N27" s="27" t="s">
        <v>2666</v>
      </c>
      <c r="O27" s="29" t="s">
        <v>1439</v>
      </c>
      <c r="P27" s="29" t="s">
        <v>2667</v>
      </c>
      <c r="Q27" s="29" t="s">
        <v>1439</v>
      </c>
      <c r="R27" s="29" t="s">
        <v>2668</v>
      </c>
      <c r="S27" s="28" t="s">
        <v>1626</v>
      </c>
      <c r="T27" s="28" t="s">
        <v>2669</v>
      </c>
      <c r="U27" s="28" t="s">
        <v>1439</v>
      </c>
      <c r="V27" s="28" t="s">
        <v>1495</v>
      </c>
      <c r="W27" s="28" t="s">
        <v>2670</v>
      </c>
      <c r="X27" s="17">
        <v>1</v>
      </c>
      <c r="AA27" s="35" t="s">
        <v>2669</v>
      </c>
      <c r="AB27" s="36" t="s">
        <v>2671</v>
      </c>
      <c r="AC27" s="36" t="s">
        <v>2672</v>
      </c>
      <c r="AD27" s="36" t="s">
        <v>2673</v>
      </c>
      <c r="AE27" s="36" t="s">
        <v>2674</v>
      </c>
      <c r="AF27" s="36" t="s">
        <v>2675</v>
      </c>
      <c r="AG27" s="36" t="s">
        <v>2676</v>
      </c>
      <c r="AH27" s="36" t="s">
        <v>2677</v>
      </c>
      <c r="AI27" s="36" t="s">
        <v>2678</v>
      </c>
      <c r="AJ27" s="36" t="s">
        <v>2679</v>
      </c>
      <c r="AK27" s="36" t="s">
        <v>2680</v>
      </c>
      <c r="AL27" s="36" t="s">
        <v>2681</v>
      </c>
      <c r="AM27" s="36" t="s">
        <v>2682</v>
      </c>
      <c r="AN27" s="36" t="s">
        <v>2683</v>
      </c>
      <c r="AO27" s="36" t="s">
        <v>2684</v>
      </c>
      <c r="AP27" s="36"/>
      <c r="AQ27" s="36"/>
      <c r="AR27" s="36"/>
      <c r="AS27" s="36" t="s">
        <v>2685</v>
      </c>
      <c r="AT27" s="36" t="s">
        <v>2686</v>
      </c>
      <c r="AU27" s="36" t="s">
        <v>2687</v>
      </c>
      <c r="AV27" s="36" t="s">
        <v>2688</v>
      </c>
      <c r="AW27" s="36" t="s">
        <v>2689</v>
      </c>
      <c r="AX27" s="36" t="s">
        <v>2690</v>
      </c>
      <c r="AY27" s="36"/>
      <c r="AZ27" s="36" t="s">
        <v>2691</v>
      </c>
      <c r="BA27" s="36" t="s">
        <v>2692</v>
      </c>
      <c r="BB27" s="36" t="s">
        <v>2693</v>
      </c>
      <c r="BC27" s="36" t="s">
        <v>2694</v>
      </c>
      <c r="BD27" s="36" t="s">
        <v>2695</v>
      </c>
      <c r="BE27" s="36"/>
      <c r="BF27" s="36" t="s">
        <v>2696</v>
      </c>
      <c r="BG27" s="36" t="s">
        <v>2697</v>
      </c>
      <c r="BH27" s="36" t="s">
        <v>2698</v>
      </c>
      <c r="BI27" s="36"/>
      <c r="BJ27" s="36" t="s">
        <v>2699</v>
      </c>
      <c r="BK27" s="36"/>
      <c r="BL27" s="36"/>
      <c r="BM27" s="36" t="s">
        <v>2700</v>
      </c>
      <c r="BN27" s="36" t="s">
        <v>2701</v>
      </c>
      <c r="BO27" s="36" t="s">
        <v>2702</v>
      </c>
      <c r="BP27" s="36" t="s">
        <v>2703</v>
      </c>
      <c r="BQ27" s="36" t="s">
        <v>2704</v>
      </c>
      <c r="BR27" s="36"/>
      <c r="BS27" s="36" t="s">
        <v>2705</v>
      </c>
      <c r="BT27" s="36" t="s">
        <v>2706</v>
      </c>
      <c r="BU27" s="37" t="s">
        <v>2707</v>
      </c>
      <c r="CJ27" s="26" t="s">
        <v>1378</v>
      </c>
      <c r="CK27" s="26" t="s">
        <v>2669</v>
      </c>
      <c r="CL27" s="26" t="str">
        <f t="shared" si="1"/>
        <v>北海道三笠市</v>
      </c>
      <c r="CM27" s="26">
        <v>22</v>
      </c>
      <c r="CN27" s="17" t="str">
        <f t="shared" si="0"/>
        <v>0022</v>
      </c>
      <c r="CO27" s="17" t="str">
        <f t="shared" si="2"/>
        <v>2222三笠市</v>
      </c>
      <c r="CP27" s="17" t="s">
        <v>2708</v>
      </c>
      <c r="CQ27" s="17" t="b">
        <f t="shared" si="3"/>
        <v>1</v>
      </c>
    </row>
    <row r="28" spans="6:95">
      <c r="F28" s="17" t="s">
        <v>2709</v>
      </c>
      <c r="G28" s="27" t="s">
        <v>1442</v>
      </c>
      <c r="H28" s="29" t="s">
        <v>1678</v>
      </c>
      <c r="I28" s="29" t="s">
        <v>1461</v>
      </c>
      <c r="J28" s="28" t="s">
        <v>1400</v>
      </c>
      <c r="L28" s="17" t="s">
        <v>2710</v>
      </c>
      <c r="M28" s="17" t="s">
        <v>2711</v>
      </c>
      <c r="N28" s="27" t="s">
        <v>2712</v>
      </c>
      <c r="O28" s="29" t="s">
        <v>1439</v>
      </c>
      <c r="P28" s="29" t="s">
        <v>2713</v>
      </c>
      <c r="Q28" s="29" t="s">
        <v>1439</v>
      </c>
      <c r="R28" s="29" t="s">
        <v>2714</v>
      </c>
      <c r="S28" s="28" t="s">
        <v>1502</v>
      </c>
      <c r="T28" s="28" t="s">
        <v>2715</v>
      </c>
      <c r="U28" s="28" t="s">
        <v>1439</v>
      </c>
      <c r="V28" s="28" t="s">
        <v>1495</v>
      </c>
      <c r="W28" s="28" t="s">
        <v>2716</v>
      </c>
      <c r="X28" s="17">
        <v>1</v>
      </c>
      <c r="AA28" s="30" t="s">
        <v>2715</v>
      </c>
      <c r="AB28" s="31" t="s">
        <v>2717</v>
      </c>
      <c r="AC28" s="31" t="s">
        <v>2718</v>
      </c>
      <c r="AD28" s="31" t="s">
        <v>2719</v>
      </c>
      <c r="AE28" s="31" t="s">
        <v>2720</v>
      </c>
      <c r="AF28" s="31" t="s">
        <v>2721</v>
      </c>
      <c r="AG28" s="31" t="s">
        <v>2722</v>
      </c>
      <c r="AH28" s="31" t="s">
        <v>2723</v>
      </c>
      <c r="AI28" s="31" t="s">
        <v>2724</v>
      </c>
      <c r="AJ28" s="31" t="s">
        <v>2725</v>
      </c>
      <c r="AK28" s="31" t="s">
        <v>2726</v>
      </c>
      <c r="AL28" s="31" t="s">
        <v>2727</v>
      </c>
      <c r="AM28" s="31" t="s">
        <v>2728</v>
      </c>
      <c r="AN28" s="31" t="s">
        <v>2729</v>
      </c>
      <c r="AO28" s="31" t="s">
        <v>2730</v>
      </c>
      <c r="AP28" s="31"/>
      <c r="AQ28" s="31"/>
      <c r="AR28" s="31"/>
      <c r="AS28" s="31" t="s">
        <v>2731</v>
      </c>
      <c r="AT28" s="31" t="s">
        <v>2732</v>
      </c>
      <c r="AU28" s="31" t="s">
        <v>2733</v>
      </c>
      <c r="AV28" s="31" t="s">
        <v>2734</v>
      </c>
      <c r="AW28" s="31" t="s">
        <v>2735</v>
      </c>
      <c r="AX28" s="31" t="s">
        <v>2736</v>
      </c>
      <c r="AY28" s="31"/>
      <c r="AZ28" s="31" t="s">
        <v>2737</v>
      </c>
      <c r="BA28" s="31" t="s">
        <v>2738</v>
      </c>
      <c r="BB28" s="31" t="s">
        <v>2739</v>
      </c>
      <c r="BC28" s="31" t="s">
        <v>2740</v>
      </c>
      <c r="BD28" s="31" t="s">
        <v>2741</v>
      </c>
      <c r="BE28" s="31"/>
      <c r="BF28" s="31" t="s">
        <v>2742</v>
      </c>
      <c r="BG28" s="31" t="s">
        <v>2743</v>
      </c>
      <c r="BH28" s="31" t="s">
        <v>2744</v>
      </c>
      <c r="BI28" s="31"/>
      <c r="BJ28" s="31" t="s">
        <v>2745</v>
      </c>
      <c r="BK28" s="31"/>
      <c r="BL28" s="31"/>
      <c r="BM28" s="31" t="s">
        <v>2746</v>
      </c>
      <c r="BN28" s="31" t="s">
        <v>2747</v>
      </c>
      <c r="BO28" s="31" t="s">
        <v>2748</v>
      </c>
      <c r="BP28" s="31"/>
      <c r="BQ28" s="31" t="s">
        <v>2749</v>
      </c>
      <c r="BR28" s="31"/>
      <c r="BS28" s="31" t="s">
        <v>2066</v>
      </c>
      <c r="BT28" s="31" t="s">
        <v>2750</v>
      </c>
      <c r="BU28" s="32" t="s">
        <v>2751</v>
      </c>
      <c r="CJ28" s="26" t="s">
        <v>1378</v>
      </c>
      <c r="CK28" s="26" t="s">
        <v>2715</v>
      </c>
      <c r="CL28" s="26" t="str">
        <f t="shared" si="1"/>
        <v>北海道根室市</v>
      </c>
      <c r="CM28" s="26">
        <v>23</v>
      </c>
      <c r="CN28" s="17" t="str">
        <f t="shared" si="0"/>
        <v>0023</v>
      </c>
      <c r="CO28" s="17" t="str">
        <f t="shared" si="2"/>
        <v>2323根室市</v>
      </c>
      <c r="CP28" s="17" t="s">
        <v>2752</v>
      </c>
      <c r="CQ28" s="17" t="b">
        <f t="shared" si="3"/>
        <v>1</v>
      </c>
    </row>
    <row r="29" spans="6:95">
      <c r="F29" s="17" t="s">
        <v>2753</v>
      </c>
      <c r="G29" s="27" t="s">
        <v>1442</v>
      </c>
      <c r="H29" s="29" t="s">
        <v>1678</v>
      </c>
      <c r="I29" s="29" t="s">
        <v>1462</v>
      </c>
      <c r="J29" s="28" t="s">
        <v>1401</v>
      </c>
      <c r="L29" s="17" t="s">
        <v>2754</v>
      </c>
      <c r="M29" s="17" t="s">
        <v>2755</v>
      </c>
      <c r="N29" s="27" t="s">
        <v>2756</v>
      </c>
      <c r="O29" s="29" t="s">
        <v>1439</v>
      </c>
      <c r="P29" s="29" t="s">
        <v>2757</v>
      </c>
      <c r="Q29" s="29" t="s">
        <v>1439</v>
      </c>
      <c r="R29" s="29" t="s">
        <v>2758</v>
      </c>
      <c r="S29" s="28" t="s">
        <v>2525</v>
      </c>
      <c r="T29" s="28" t="s">
        <v>2759</v>
      </c>
      <c r="U29" s="28" t="s">
        <v>1439</v>
      </c>
      <c r="V29" s="28" t="s">
        <v>1495</v>
      </c>
      <c r="W29" s="28" t="s">
        <v>2760</v>
      </c>
      <c r="X29" s="17">
        <v>1</v>
      </c>
      <c r="AA29" s="35" t="s">
        <v>2759</v>
      </c>
      <c r="AB29" s="36" t="s">
        <v>2761</v>
      </c>
      <c r="AC29" s="36" t="s">
        <v>2762</v>
      </c>
      <c r="AD29" s="36" t="s">
        <v>2763</v>
      </c>
      <c r="AE29" s="36" t="s">
        <v>2764</v>
      </c>
      <c r="AF29" s="36" t="s">
        <v>2765</v>
      </c>
      <c r="AG29" s="36" t="s">
        <v>2766</v>
      </c>
      <c r="AH29" s="36" t="s">
        <v>2767</v>
      </c>
      <c r="AI29" s="36" t="s">
        <v>2768</v>
      </c>
      <c r="AJ29" s="36" t="s">
        <v>2769</v>
      </c>
      <c r="AK29" s="36" t="s">
        <v>2770</v>
      </c>
      <c r="AL29" s="36" t="s">
        <v>2771</v>
      </c>
      <c r="AM29" s="36" t="s">
        <v>2772</v>
      </c>
      <c r="AN29" s="36" t="s">
        <v>2773</v>
      </c>
      <c r="AO29" s="36" t="s">
        <v>2774</v>
      </c>
      <c r="AP29" s="36"/>
      <c r="AQ29" s="36"/>
      <c r="AR29" s="36"/>
      <c r="AS29" s="36" t="s">
        <v>2775</v>
      </c>
      <c r="AT29" s="36" t="s">
        <v>2776</v>
      </c>
      <c r="AU29" s="36" t="s">
        <v>2777</v>
      </c>
      <c r="AV29" s="36" t="s">
        <v>2778</v>
      </c>
      <c r="AW29" s="36" t="s">
        <v>2779</v>
      </c>
      <c r="AX29" s="36" t="s">
        <v>2780</v>
      </c>
      <c r="AY29" s="36"/>
      <c r="AZ29" s="36" t="s">
        <v>2781</v>
      </c>
      <c r="BA29" s="36" t="s">
        <v>2782</v>
      </c>
      <c r="BB29" s="36" t="s">
        <v>2783</v>
      </c>
      <c r="BC29" s="36" t="s">
        <v>2784</v>
      </c>
      <c r="BD29" s="36" t="s">
        <v>2785</v>
      </c>
      <c r="BE29" s="36"/>
      <c r="BF29" s="36"/>
      <c r="BG29" s="36" t="s">
        <v>2786</v>
      </c>
      <c r="BH29" s="36"/>
      <c r="BI29" s="36"/>
      <c r="BJ29" s="36" t="s">
        <v>2787</v>
      </c>
      <c r="BK29" s="36"/>
      <c r="BL29" s="36"/>
      <c r="BM29" s="36" t="s">
        <v>2788</v>
      </c>
      <c r="BN29" s="36" t="s">
        <v>2789</v>
      </c>
      <c r="BO29" s="36"/>
      <c r="BP29" s="36"/>
      <c r="BQ29" s="36" t="s">
        <v>2790</v>
      </c>
      <c r="BR29" s="36"/>
      <c r="BS29" s="36" t="s">
        <v>2791</v>
      </c>
      <c r="BT29" s="36" t="s">
        <v>2792</v>
      </c>
      <c r="BU29" s="37" t="s">
        <v>2793</v>
      </c>
      <c r="CJ29" s="26" t="s">
        <v>1378</v>
      </c>
      <c r="CK29" s="26" t="s">
        <v>2759</v>
      </c>
      <c r="CL29" s="26" t="str">
        <f t="shared" si="1"/>
        <v>北海道千歳市</v>
      </c>
      <c r="CM29" s="26">
        <v>24</v>
      </c>
      <c r="CN29" s="17" t="str">
        <f t="shared" si="0"/>
        <v>0024</v>
      </c>
      <c r="CO29" s="17" t="str">
        <f t="shared" si="2"/>
        <v>2424千歳市</v>
      </c>
      <c r="CP29" s="17" t="s">
        <v>2794</v>
      </c>
      <c r="CQ29" s="17" t="b">
        <f t="shared" si="3"/>
        <v>1</v>
      </c>
    </row>
    <row r="30" spans="6:95">
      <c r="F30" s="17" t="s">
        <v>2795</v>
      </c>
      <c r="G30" s="27" t="s">
        <v>1443</v>
      </c>
      <c r="H30" s="29" t="s">
        <v>1736</v>
      </c>
      <c r="I30" s="29" t="s">
        <v>1463</v>
      </c>
      <c r="J30" s="28" t="s">
        <v>1402</v>
      </c>
      <c r="L30" s="17" t="s">
        <v>2796</v>
      </c>
      <c r="M30" s="17" t="s">
        <v>2797</v>
      </c>
      <c r="N30" s="27" t="s">
        <v>2798</v>
      </c>
      <c r="O30" s="29" t="s">
        <v>1439</v>
      </c>
      <c r="P30" s="29" t="s">
        <v>2799</v>
      </c>
      <c r="Q30" s="29" t="s">
        <v>1439</v>
      </c>
      <c r="R30" s="29" t="s">
        <v>2800</v>
      </c>
      <c r="S30" s="28" t="s">
        <v>1803</v>
      </c>
      <c r="T30" s="28" t="s">
        <v>2801</v>
      </c>
      <c r="U30" s="28" t="s">
        <v>1439</v>
      </c>
      <c r="V30" s="28" t="s">
        <v>1495</v>
      </c>
      <c r="W30" s="28" t="s">
        <v>2802</v>
      </c>
      <c r="X30" s="17">
        <v>1</v>
      </c>
      <c r="AA30" s="30" t="s">
        <v>2801</v>
      </c>
      <c r="AB30" s="31" t="s">
        <v>2803</v>
      </c>
      <c r="AC30" s="31" t="s">
        <v>2804</v>
      </c>
      <c r="AD30" s="31" t="s">
        <v>2805</v>
      </c>
      <c r="AE30" s="31" t="s">
        <v>2806</v>
      </c>
      <c r="AF30" s="31" t="s">
        <v>2807</v>
      </c>
      <c r="AG30" s="31" t="s">
        <v>2808</v>
      </c>
      <c r="AH30" s="31" t="s">
        <v>2809</v>
      </c>
      <c r="AI30" s="31" t="s">
        <v>2810</v>
      </c>
      <c r="AJ30" s="31" t="s">
        <v>2811</v>
      </c>
      <c r="AK30" s="31" t="s">
        <v>2812</v>
      </c>
      <c r="AL30" s="31" t="s">
        <v>2813</v>
      </c>
      <c r="AM30" s="31" t="s">
        <v>2814</v>
      </c>
      <c r="AN30" s="31" t="s">
        <v>2815</v>
      </c>
      <c r="AO30" s="31" t="s">
        <v>2816</v>
      </c>
      <c r="AP30" s="31"/>
      <c r="AQ30" s="31"/>
      <c r="AR30" s="31"/>
      <c r="AS30" s="31" t="s">
        <v>2817</v>
      </c>
      <c r="AT30" s="31" t="s">
        <v>2818</v>
      </c>
      <c r="AU30" s="31" t="s">
        <v>2819</v>
      </c>
      <c r="AV30" s="31" t="s">
        <v>2820</v>
      </c>
      <c r="AW30" s="31" t="s">
        <v>2821</v>
      </c>
      <c r="AX30" s="31" t="s">
        <v>2822</v>
      </c>
      <c r="AY30" s="31"/>
      <c r="AZ30" s="31" t="s">
        <v>2823</v>
      </c>
      <c r="BA30" s="31" t="s">
        <v>2824</v>
      </c>
      <c r="BB30" s="31" t="s">
        <v>2825</v>
      </c>
      <c r="BC30" s="31" t="s">
        <v>2826</v>
      </c>
      <c r="BD30" s="31" t="s">
        <v>2827</v>
      </c>
      <c r="BE30" s="31"/>
      <c r="BF30" s="31"/>
      <c r="BG30" s="31" t="s">
        <v>2828</v>
      </c>
      <c r="BH30" s="31"/>
      <c r="BI30" s="31"/>
      <c r="BJ30" s="31" t="s">
        <v>2829</v>
      </c>
      <c r="BK30" s="31"/>
      <c r="BL30" s="31"/>
      <c r="BM30" s="31" t="s">
        <v>2830</v>
      </c>
      <c r="BN30" s="31" t="s">
        <v>2831</v>
      </c>
      <c r="BO30" s="31"/>
      <c r="BP30" s="31"/>
      <c r="BQ30" s="31" t="s">
        <v>2832</v>
      </c>
      <c r="BR30" s="31"/>
      <c r="BS30" s="31" t="s">
        <v>2833</v>
      </c>
      <c r="BT30" s="31" t="s">
        <v>2834</v>
      </c>
      <c r="BU30" s="32" t="s">
        <v>2835</v>
      </c>
      <c r="CJ30" s="26" t="s">
        <v>1378</v>
      </c>
      <c r="CK30" s="26" t="s">
        <v>2801</v>
      </c>
      <c r="CL30" s="26" t="str">
        <f t="shared" si="1"/>
        <v>北海道滝川市</v>
      </c>
      <c r="CM30" s="26">
        <v>25</v>
      </c>
      <c r="CN30" s="17" t="str">
        <f t="shared" si="0"/>
        <v>0025</v>
      </c>
      <c r="CO30" s="17" t="str">
        <f t="shared" si="2"/>
        <v>2525滝川市</v>
      </c>
      <c r="CP30" s="17" t="s">
        <v>2836</v>
      </c>
      <c r="CQ30" s="17" t="b">
        <f t="shared" si="3"/>
        <v>1</v>
      </c>
    </row>
    <row r="31" spans="6:95">
      <c r="F31" s="17" t="s">
        <v>2837</v>
      </c>
      <c r="G31" s="27" t="s">
        <v>1443</v>
      </c>
      <c r="H31" s="29" t="s">
        <v>1736</v>
      </c>
      <c r="I31" s="29" t="s">
        <v>1464</v>
      </c>
      <c r="J31" s="28" t="s">
        <v>1403</v>
      </c>
      <c r="L31" s="17" t="s">
        <v>2838</v>
      </c>
      <c r="M31" s="17" t="s">
        <v>2839</v>
      </c>
      <c r="N31" s="27" t="s">
        <v>2840</v>
      </c>
      <c r="O31" s="29" t="s">
        <v>1439</v>
      </c>
      <c r="P31" s="29" t="s">
        <v>2841</v>
      </c>
      <c r="Q31" s="29" t="s">
        <v>1439</v>
      </c>
      <c r="R31" s="29" t="s">
        <v>2842</v>
      </c>
      <c r="S31" s="28" t="s">
        <v>1862</v>
      </c>
      <c r="T31" s="28" t="s">
        <v>2843</v>
      </c>
      <c r="U31" s="28" t="s">
        <v>1439</v>
      </c>
      <c r="V31" s="28" t="s">
        <v>1495</v>
      </c>
      <c r="W31" s="28" t="s">
        <v>2844</v>
      </c>
      <c r="X31" s="17">
        <v>1</v>
      </c>
      <c r="AA31" s="35" t="s">
        <v>2843</v>
      </c>
      <c r="AB31" s="36" t="s">
        <v>2845</v>
      </c>
      <c r="AC31" s="36" t="s">
        <v>2846</v>
      </c>
      <c r="AD31" s="36" t="s">
        <v>2847</v>
      </c>
      <c r="AE31" s="36" t="s">
        <v>2066</v>
      </c>
      <c r="AF31" s="36" t="s">
        <v>2848</v>
      </c>
      <c r="AG31" s="36" t="s">
        <v>2849</v>
      </c>
      <c r="AH31" s="36" t="s">
        <v>2850</v>
      </c>
      <c r="AI31" s="36"/>
      <c r="AJ31" s="36" t="s">
        <v>2851</v>
      </c>
      <c r="AK31" s="36" t="s">
        <v>2852</v>
      </c>
      <c r="AL31" s="36" t="s">
        <v>2853</v>
      </c>
      <c r="AM31" s="36" t="s">
        <v>2854</v>
      </c>
      <c r="AN31" s="36" t="s">
        <v>2855</v>
      </c>
      <c r="AO31" s="36" t="s">
        <v>2856</v>
      </c>
      <c r="AP31" s="36"/>
      <c r="AQ31" s="36"/>
      <c r="AR31" s="36"/>
      <c r="AS31" s="36" t="s">
        <v>2857</v>
      </c>
      <c r="AT31" s="36" t="s">
        <v>2858</v>
      </c>
      <c r="AU31" s="36" t="s">
        <v>2859</v>
      </c>
      <c r="AV31" s="36" t="s">
        <v>2860</v>
      </c>
      <c r="AW31" s="36" t="s">
        <v>2861</v>
      </c>
      <c r="AX31" s="36" t="s">
        <v>2862</v>
      </c>
      <c r="AY31" s="36"/>
      <c r="AZ31" s="36" t="s">
        <v>2863</v>
      </c>
      <c r="BA31" s="36" t="s">
        <v>2864</v>
      </c>
      <c r="BB31" s="36" t="s">
        <v>2865</v>
      </c>
      <c r="BC31" s="36" t="s">
        <v>2866</v>
      </c>
      <c r="BD31" s="36" t="s">
        <v>2867</v>
      </c>
      <c r="BE31" s="36"/>
      <c r="BF31" s="36"/>
      <c r="BG31" s="36" t="s">
        <v>2868</v>
      </c>
      <c r="BH31" s="36"/>
      <c r="BI31" s="36"/>
      <c r="BJ31" s="36"/>
      <c r="BK31" s="36"/>
      <c r="BL31" s="36"/>
      <c r="BM31" s="36" t="s">
        <v>2869</v>
      </c>
      <c r="BN31" s="36" t="s">
        <v>2870</v>
      </c>
      <c r="BO31" s="36"/>
      <c r="BP31" s="36"/>
      <c r="BQ31" s="36" t="s">
        <v>2871</v>
      </c>
      <c r="BR31" s="36"/>
      <c r="BS31" s="36" t="s">
        <v>2872</v>
      </c>
      <c r="BT31" s="36" t="s">
        <v>2873</v>
      </c>
      <c r="BU31" s="37" t="s">
        <v>2874</v>
      </c>
      <c r="CJ31" s="26" t="s">
        <v>1378</v>
      </c>
      <c r="CK31" s="26" t="s">
        <v>2843</v>
      </c>
      <c r="CL31" s="26" t="str">
        <f t="shared" si="1"/>
        <v>北海道砂川市</v>
      </c>
      <c r="CM31" s="26">
        <v>26</v>
      </c>
      <c r="CN31" s="17" t="str">
        <f t="shared" si="0"/>
        <v>0026</v>
      </c>
      <c r="CO31" s="17" t="str">
        <f t="shared" si="2"/>
        <v>2626砂川市</v>
      </c>
      <c r="CP31" s="17" t="s">
        <v>2875</v>
      </c>
      <c r="CQ31" s="17" t="b">
        <f t="shared" si="3"/>
        <v>1</v>
      </c>
    </row>
    <row r="32" spans="6:95">
      <c r="F32" s="17" t="s">
        <v>2876</v>
      </c>
      <c r="G32" s="27" t="s">
        <v>1443</v>
      </c>
      <c r="H32" s="29" t="s">
        <v>1736</v>
      </c>
      <c r="I32" s="29" t="s">
        <v>1465</v>
      </c>
      <c r="J32" s="28" t="s">
        <v>1404</v>
      </c>
      <c r="L32" s="17" t="s">
        <v>2877</v>
      </c>
      <c r="M32" s="17" t="s">
        <v>2878</v>
      </c>
      <c r="N32" s="27" t="s">
        <v>2879</v>
      </c>
      <c r="O32" s="29" t="s">
        <v>1439</v>
      </c>
      <c r="P32" s="29" t="s">
        <v>2880</v>
      </c>
      <c r="Q32" s="29" t="s">
        <v>1439</v>
      </c>
      <c r="R32" s="29" t="s">
        <v>2881</v>
      </c>
      <c r="S32" s="28" t="s">
        <v>1977</v>
      </c>
      <c r="T32" s="28" t="s">
        <v>2882</v>
      </c>
      <c r="U32" s="28" t="s">
        <v>1439</v>
      </c>
      <c r="V32" s="28" t="s">
        <v>1495</v>
      </c>
      <c r="W32" s="28" t="s">
        <v>2883</v>
      </c>
      <c r="X32" s="17">
        <v>1</v>
      </c>
      <c r="AA32" s="30" t="s">
        <v>2882</v>
      </c>
      <c r="AB32" s="31" t="s">
        <v>2884</v>
      </c>
      <c r="AC32" s="31" t="s">
        <v>2885</v>
      </c>
      <c r="AD32" s="31" t="s">
        <v>2886</v>
      </c>
      <c r="AE32" s="31"/>
      <c r="AF32" s="31" t="s">
        <v>2887</v>
      </c>
      <c r="AG32" s="31" t="s">
        <v>2888</v>
      </c>
      <c r="AH32" s="31" t="s">
        <v>2889</v>
      </c>
      <c r="AI32" s="31"/>
      <c r="AJ32" s="31" t="s">
        <v>2890</v>
      </c>
      <c r="AK32" s="31" t="s">
        <v>2891</v>
      </c>
      <c r="AL32" s="31" t="s">
        <v>2892</v>
      </c>
      <c r="AM32" s="31" t="s">
        <v>2893</v>
      </c>
      <c r="AN32" s="31" t="s">
        <v>2894</v>
      </c>
      <c r="AO32" s="31" t="s">
        <v>2895</v>
      </c>
      <c r="AP32" s="31"/>
      <c r="AQ32" s="31"/>
      <c r="AR32" s="31"/>
      <c r="AS32" s="31" t="s">
        <v>2896</v>
      </c>
      <c r="AT32" s="31" t="s">
        <v>2897</v>
      </c>
      <c r="AU32" s="31" t="s">
        <v>2898</v>
      </c>
      <c r="AV32" s="31" t="s">
        <v>2899</v>
      </c>
      <c r="AW32" s="31" t="s">
        <v>2900</v>
      </c>
      <c r="AX32" s="31" t="s">
        <v>2901</v>
      </c>
      <c r="AY32" s="31"/>
      <c r="AZ32" s="31"/>
      <c r="BA32" s="31" t="s">
        <v>2902</v>
      </c>
      <c r="BB32" s="31" t="s">
        <v>2903</v>
      </c>
      <c r="BC32" s="31" t="s">
        <v>2904</v>
      </c>
      <c r="BD32" s="31" t="s">
        <v>2905</v>
      </c>
      <c r="BE32" s="31"/>
      <c r="BF32" s="31"/>
      <c r="BG32" s="31" t="s">
        <v>2906</v>
      </c>
      <c r="BH32" s="31"/>
      <c r="BI32" s="31"/>
      <c r="BJ32" s="31"/>
      <c r="BK32" s="31"/>
      <c r="BL32" s="31"/>
      <c r="BM32" s="31" t="s">
        <v>2907</v>
      </c>
      <c r="BN32" s="31" t="s">
        <v>2908</v>
      </c>
      <c r="BO32" s="31"/>
      <c r="BP32" s="31"/>
      <c r="BQ32" s="31" t="s">
        <v>2909</v>
      </c>
      <c r="BR32" s="31"/>
      <c r="BS32" s="31"/>
      <c r="BT32" s="31" t="s">
        <v>2910</v>
      </c>
      <c r="BU32" s="32" t="s">
        <v>2911</v>
      </c>
      <c r="CJ32" s="26" t="s">
        <v>1378</v>
      </c>
      <c r="CK32" s="26" t="s">
        <v>2882</v>
      </c>
      <c r="CL32" s="26" t="str">
        <f t="shared" si="1"/>
        <v>北海道深川市</v>
      </c>
      <c r="CM32" s="26">
        <v>27</v>
      </c>
      <c r="CN32" s="17" t="str">
        <f t="shared" si="0"/>
        <v>0027</v>
      </c>
      <c r="CO32" s="17" t="str">
        <f t="shared" si="2"/>
        <v>2727深川市</v>
      </c>
      <c r="CP32" s="17" t="s">
        <v>2912</v>
      </c>
      <c r="CQ32" s="17" t="b">
        <f t="shared" si="3"/>
        <v>1</v>
      </c>
    </row>
    <row r="33" spans="6:95">
      <c r="F33" s="17" t="s">
        <v>2913</v>
      </c>
      <c r="G33" s="27" t="s">
        <v>1443</v>
      </c>
      <c r="H33" s="29" t="s">
        <v>1736</v>
      </c>
      <c r="I33" s="29" t="s">
        <v>1466</v>
      </c>
      <c r="J33" s="28" t="s">
        <v>1405</v>
      </c>
      <c r="L33" s="17" t="s">
        <v>2914</v>
      </c>
      <c r="M33" s="17" t="s">
        <v>2915</v>
      </c>
      <c r="N33" s="27" t="s">
        <v>2916</v>
      </c>
      <c r="O33" s="29" t="s">
        <v>1439</v>
      </c>
      <c r="P33" s="29" t="s">
        <v>2917</v>
      </c>
      <c r="Q33" s="29" t="s">
        <v>1439</v>
      </c>
      <c r="R33" s="29" t="s">
        <v>2918</v>
      </c>
      <c r="S33" s="28" t="s">
        <v>1743</v>
      </c>
      <c r="T33" s="28" t="s">
        <v>2919</v>
      </c>
      <c r="U33" s="28" t="s">
        <v>1439</v>
      </c>
      <c r="V33" s="28" t="s">
        <v>1495</v>
      </c>
      <c r="W33" s="28" t="s">
        <v>2920</v>
      </c>
      <c r="X33" s="17">
        <v>1</v>
      </c>
      <c r="AA33" s="35" t="s">
        <v>2919</v>
      </c>
      <c r="AB33" s="36" t="s">
        <v>2921</v>
      </c>
      <c r="AC33" s="36" t="s">
        <v>2922</v>
      </c>
      <c r="AD33" s="36" t="s">
        <v>2923</v>
      </c>
      <c r="AE33" s="36"/>
      <c r="AF33" s="36" t="s">
        <v>2924</v>
      </c>
      <c r="AG33" s="36" t="s">
        <v>2925</v>
      </c>
      <c r="AH33" s="36" t="s">
        <v>2926</v>
      </c>
      <c r="AI33" s="36"/>
      <c r="AJ33" s="36" t="s">
        <v>2927</v>
      </c>
      <c r="AK33" s="36" t="s">
        <v>2928</v>
      </c>
      <c r="AL33" s="36" t="s">
        <v>2929</v>
      </c>
      <c r="AM33" s="36" t="s">
        <v>2930</v>
      </c>
      <c r="AN33" s="36" t="s">
        <v>2931</v>
      </c>
      <c r="AO33" s="36" t="s">
        <v>2932</v>
      </c>
      <c r="AP33" s="36"/>
      <c r="AQ33" s="36"/>
      <c r="AR33" s="36"/>
      <c r="AS33" s="36"/>
      <c r="AT33" s="36" t="s">
        <v>2933</v>
      </c>
      <c r="AU33" s="36" t="s">
        <v>2934</v>
      </c>
      <c r="AV33" s="36" t="s">
        <v>2935</v>
      </c>
      <c r="AW33" s="36" t="s">
        <v>2936</v>
      </c>
      <c r="AX33" s="36" t="s">
        <v>2937</v>
      </c>
      <c r="AY33" s="36"/>
      <c r="AZ33" s="36"/>
      <c r="BA33" s="36" t="s">
        <v>2938</v>
      </c>
      <c r="BB33" s="36" t="s">
        <v>2939</v>
      </c>
      <c r="BC33" s="36" t="s">
        <v>2940</v>
      </c>
      <c r="BD33" s="36" t="s">
        <v>2941</v>
      </c>
      <c r="BE33" s="36"/>
      <c r="BF33" s="36"/>
      <c r="BG33" s="36"/>
      <c r="BH33" s="36"/>
      <c r="BI33" s="36"/>
      <c r="BJ33" s="36"/>
      <c r="BK33" s="36"/>
      <c r="BL33" s="36"/>
      <c r="BM33" s="36" t="s">
        <v>2942</v>
      </c>
      <c r="BN33" s="36" t="s">
        <v>2943</v>
      </c>
      <c r="BO33" s="36"/>
      <c r="BP33" s="36"/>
      <c r="BQ33" s="36" t="s">
        <v>2944</v>
      </c>
      <c r="BR33" s="36"/>
      <c r="BS33" s="36"/>
      <c r="BT33" s="36" t="s">
        <v>2945</v>
      </c>
      <c r="BU33" s="37" t="s">
        <v>2946</v>
      </c>
      <c r="CJ33" s="26" t="s">
        <v>1378</v>
      </c>
      <c r="CK33" s="26" t="s">
        <v>2919</v>
      </c>
      <c r="CL33" s="26" t="str">
        <f t="shared" si="1"/>
        <v>北海道富良野市</v>
      </c>
      <c r="CM33" s="26">
        <v>28</v>
      </c>
      <c r="CN33" s="17" t="str">
        <f t="shared" si="0"/>
        <v>0028</v>
      </c>
      <c r="CO33" s="17" t="str">
        <f t="shared" si="2"/>
        <v>2828富良野市</v>
      </c>
      <c r="CP33" s="17" t="s">
        <v>2947</v>
      </c>
      <c r="CQ33" s="17" t="b">
        <f t="shared" si="3"/>
        <v>1</v>
      </c>
    </row>
    <row r="34" spans="6:95">
      <c r="F34" s="17" t="s">
        <v>2948</v>
      </c>
      <c r="G34" s="27" t="s">
        <v>1443</v>
      </c>
      <c r="H34" s="29" t="s">
        <v>1736</v>
      </c>
      <c r="I34" s="29" t="s">
        <v>1467</v>
      </c>
      <c r="J34" s="28" t="s">
        <v>1406</v>
      </c>
      <c r="L34" s="17" t="s">
        <v>2949</v>
      </c>
      <c r="M34" s="17" t="s">
        <v>2950</v>
      </c>
      <c r="N34" s="27" t="s">
        <v>2951</v>
      </c>
      <c r="O34" s="29" t="s">
        <v>1439</v>
      </c>
      <c r="P34" s="29" t="s">
        <v>2952</v>
      </c>
      <c r="Q34" s="29" t="s">
        <v>1439</v>
      </c>
      <c r="R34" s="29" t="s">
        <v>2953</v>
      </c>
      <c r="S34" s="28" t="s">
        <v>1803</v>
      </c>
      <c r="T34" s="28" t="s">
        <v>2954</v>
      </c>
      <c r="U34" s="28" t="s">
        <v>1439</v>
      </c>
      <c r="V34" s="28" t="s">
        <v>1495</v>
      </c>
      <c r="W34" s="28" t="s">
        <v>2955</v>
      </c>
      <c r="X34" s="17">
        <v>1</v>
      </c>
      <c r="AA34" s="30" t="s">
        <v>2954</v>
      </c>
      <c r="AB34" s="31" t="s">
        <v>2956</v>
      </c>
      <c r="AC34" s="31" t="s">
        <v>2957</v>
      </c>
      <c r="AD34" s="31" t="s">
        <v>2958</v>
      </c>
      <c r="AE34" s="31"/>
      <c r="AF34" s="31" t="s">
        <v>2501</v>
      </c>
      <c r="AG34" s="31" t="s">
        <v>2959</v>
      </c>
      <c r="AH34" s="31" t="s">
        <v>2960</v>
      </c>
      <c r="AI34" s="31"/>
      <c r="AJ34" s="31" t="s">
        <v>2961</v>
      </c>
      <c r="AK34" s="31" t="s">
        <v>2962</v>
      </c>
      <c r="AL34" s="31" t="s">
        <v>2963</v>
      </c>
      <c r="AM34" s="31" t="s">
        <v>1897</v>
      </c>
      <c r="AN34" s="31" t="s">
        <v>2964</v>
      </c>
      <c r="AO34" s="31" t="s">
        <v>2965</v>
      </c>
      <c r="AP34" s="31"/>
      <c r="AQ34" s="31"/>
      <c r="AR34" s="31"/>
      <c r="AS34" s="31"/>
      <c r="AT34" s="31" t="s">
        <v>2966</v>
      </c>
      <c r="AU34" s="31" t="s">
        <v>2967</v>
      </c>
      <c r="AV34" s="31" t="s">
        <v>2968</v>
      </c>
      <c r="AW34" s="31" t="s">
        <v>2969</v>
      </c>
      <c r="AX34" s="31" t="s">
        <v>2970</v>
      </c>
      <c r="AY34" s="31"/>
      <c r="AZ34" s="31"/>
      <c r="BA34" s="31" t="s">
        <v>2971</v>
      </c>
      <c r="BB34" s="31" t="s">
        <v>2972</v>
      </c>
      <c r="BC34" s="31" t="s">
        <v>2973</v>
      </c>
      <c r="BD34" s="31" t="s">
        <v>2974</v>
      </c>
      <c r="BE34" s="31"/>
      <c r="BF34" s="31"/>
      <c r="BG34" s="31"/>
      <c r="BH34" s="31"/>
      <c r="BI34" s="31"/>
      <c r="BJ34" s="31"/>
      <c r="BK34" s="31"/>
      <c r="BL34" s="31"/>
      <c r="BM34" s="31" t="s">
        <v>2975</v>
      </c>
      <c r="BN34" s="31" t="s">
        <v>2976</v>
      </c>
      <c r="BO34" s="31"/>
      <c r="BP34" s="31"/>
      <c r="BQ34" s="31" t="s">
        <v>2977</v>
      </c>
      <c r="BR34" s="31"/>
      <c r="BS34" s="31"/>
      <c r="BT34" s="31" t="s">
        <v>2978</v>
      </c>
      <c r="BU34" s="32" t="s">
        <v>2979</v>
      </c>
      <c r="CJ34" s="26" t="s">
        <v>1378</v>
      </c>
      <c r="CK34" s="26" t="s">
        <v>2954</v>
      </c>
      <c r="CL34" s="26" t="str">
        <f t="shared" si="1"/>
        <v>北海道登別市</v>
      </c>
      <c r="CM34" s="26">
        <v>29</v>
      </c>
      <c r="CN34" s="17" t="str">
        <f t="shared" si="0"/>
        <v>0029</v>
      </c>
      <c r="CO34" s="17" t="str">
        <f t="shared" si="2"/>
        <v>2929登別市</v>
      </c>
      <c r="CP34" s="17" t="s">
        <v>2980</v>
      </c>
      <c r="CQ34" s="17" t="b">
        <f t="shared" si="3"/>
        <v>1</v>
      </c>
    </row>
    <row r="35" spans="6:95">
      <c r="F35" s="17" t="s">
        <v>2981</v>
      </c>
      <c r="G35" s="27" t="s">
        <v>1443</v>
      </c>
      <c r="H35" s="29" t="s">
        <v>1736</v>
      </c>
      <c r="I35" s="29" t="s">
        <v>1468</v>
      </c>
      <c r="J35" s="28" t="s">
        <v>1407</v>
      </c>
      <c r="L35" s="17" t="s">
        <v>2982</v>
      </c>
      <c r="M35" s="17" t="s">
        <v>2983</v>
      </c>
      <c r="N35" s="27" t="s">
        <v>2984</v>
      </c>
      <c r="O35" s="29" t="s">
        <v>1439</v>
      </c>
      <c r="P35" s="29" t="s">
        <v>2985</v>
      </c>
      <c r="Q35" s="29" t="s">
        <v>1439</v>
      </c>
      <c r="R35" s="29" t="s">
        <v>2986</v>
      </c>
      <c r="S35" s="28" t="s">
        <v>1862</v>
      </c>
      <c r="T35" s="28" t="s">
        <v>2987</v>
      </c>
      <c r="U35" s="28" t="s">
        <v>1439</v>
      </c>
      <c r="V35" s="28" t="s">
        <v>1495</v>
      </c>
      <c r="W35" s="28" t="s">
        <v>2988</v>
      </c>
      <c r="X35" s="17">
        <v>1</v>
      </c>
      <c r="AA35" s="35" t="s">
        <v>2987</v>
      </c>
      <c r="AB35" s="36" t="s">
        <v>2989</v>
      </c>
      <c r="AC35" s="36" t="s">
        <v>2990</v>
      </c>
      <c r="AD35" s="36" t="s">
        <v>2991</v>
      </c>
      <c r="AE35" s="36"/>
      <c r="AF35" s="36" t="s">
        <v>2749</v>
      </c>
      <c r="AG35" s="36" t="s">
        <v>2992</v>
      </c>
      <c r="AH35" s="36" t="s">
        <v>2993</v>
      </c>
      <c r="AI35" s="36"/>
      <c r="AJ35" s="36" t="s">
        <v>2994</v>
      </c>
      <c r="AK35" s="36" t="s">
        <v>2995</v>
      </c>
      <c r="AL35" s="36" t="s">
        <v>2996</v>
      </c>
      <c r="AM35" s="36" t="s">
        <v>2997</v>
      </c>
      <c r="AN35" s="36" t="s">
        <v>2998</v>
      </c>
      <c r="AO35" s="36" t="s">
        <v>2999</v>
      </c>
      <c r="AP35" s="36"/>
      <c r="AQ35" s="36"/>
      <c r="AR35" s="36"/>
      <c r="AS35" s="36"/>
      <c r="AT35" s="36" t="s">
        <v>3000</v>
      </c>
      <c r="AU35" s="36" t="s">
        <v>3001</v>
      </c>
      <c r="AV35" s="36" t="s">
        <v>3002</v>
      </c>
      <c r="AW35" s="36" t="s">
        <v>3003</v>
      </c>
      <c r="AX35" s="36" t="s">
        <v>3004</v>
      </c>
      <c r="AY35" s="36"/>
      <c r="AZ35" s="36"/>
      <c r="BA35" s="36" t="s">
        <v>3005</v>
      </c>
      <c r="BB35" s="36" t="s">
        <v>3006</v>
      </c>
      <c r="BC35" s="36" t="s">
        <v>3007</v>
      </c>
      <c r="BD35" s="36" t="s">
        <v>3008</v>
      </c>
      <c r="BE35" s="36"/>
      <c r="BF35" s="36"/>
      <c r="BG35" s="36"/>
      <c r="BH35" s="36"/>
      <c r="BI35" s="36"/>
      <c r="BJ35" s="36"/>
      <c r="BK35" s="36"/>
      <c r="BL35" s="36"/>
      <c r="BM35" s="36" t="s">
        <v>3009</v>
      </c>
      <c r="BN35" s="36" t="s">
        <v>3010</v>
      </c>
      <c r="BO35" s="36"/>
      <c r="BP35" s="36"/>
      <c r="BQ35" s="36" t="s">
        <v>3011</v>
      </c>
      <c r="BR35" s="36"/>
      <c r="BS35" s="36"/>
      <c r="BT35" s="36" t="s">
        <v>3012</v>
      </c>
      <c r="BU35" s="37" t="s">
        <v>3013</v>
      </c>
      <c r="CJ35" s="26" t="s">
        <v>1378</v>
      </c>
      <c r="CK35" s="26" t="s">
        <v>2987</v>
      </c>
      <c r="CL35" s="26" t="str">
        <f t="shared" si="1"/>
        <v>北海道恵庭市</v>
      </c>
      <c r="CM35" s="26">
        <v>30</v>
      </c>
      <c r="CN35" s="17" t="str">
        <f t="shared" si="0"/>
        <v>0030</v>
      </c>
      <c r="CO35" s="17" t="str">
        <f t="shared" si="2"/>
        <v>3030恵庭市</v>
      </c>
      <c r="CP35" s="17" t="s">
        <v>3014</v>
      </c>
      <c r="CQ35" s="17" t="b">
        <f t="shared" si="3"/>
        <v>1</v>
      </c>
    </row>
    <row r="36" spans="6:95">
      <c r="F36" s="17" t="s">
        <v>3015</v>
      </c>
      <c r="G36" s="27" t="s">
        <v>1444</v>
      </c>
      <c r="H36" s="29" t="s">
        <v>1796</v>
      </c>
      <c r="I36" s="29" t="s">
        <v>1469</v>
      </c>
      <c r="J36" s="28" t="s">
        <v>1408</v>
      </c>
      <c r="L36" s="17" t="s">
        <v>3016</v>
      </c>
      <c r="M36" s="17" t="s">
        <v>3017</v>
      </c>
      <c r="N36" s="27" t="s">
        <v>3018</v>
      </c>
      <c r="O36" s="29" t="s">
        <v>1439</v>
      </c>
      <c r="P36" s="29" t="s">
        <v>3019</v>
      </c>
      <c r="Q36" s="29" t="s">
        <v>1439</v>
      </c>
      <c r="R36" s="29" t="s">
        <v>3020</v>
      </c>
      <c r="S36" s="28" t="s">
        <v>1977</v>
      </c>
      <c r="T36" s="28" t="s">
        <v>2153</v>
      </c>
      <c r="U36" s="28" t="s">
        <v>1439</v>
      </c>
      <c r="V36" s="28" t="s">
        <v>1495</v>
      </c>
      <c r="W36" s="28" t="s">
        <v>3021</v>
      </c>
      <c r="X36" s="17">
        <v>1</v>
      </c>
      <c r="AA36" s="30" t="s">
        <v>2153</v>
      </c>
      <c r="AB36" s="31" t="s">
        <v>3022</v>
      </c>
      <c r="AC36" s="31" t="s">
        <v>3023</v>
      </c>
      <c r="AD36" s="31" t="s">
        <v>3024</v>
      </c>
      <c r="AE36" s="31"/>
      <c r="AF36" s="31" t="s">
        <v>3025</v>
      </c>
      <c r="AG36" s="31" t="s">
        <v>3026</v>
      </c>
      <c r="AH36" s="31" t="s">
        <v>3027</v>
      </c>
      <c r="AI36" s="31"/>
      <c r="AJ36" s="31" t="s">
        <v>3028</v>
      </c>
      <c r="AK36" s="31" t="s">
        <v>3029</v>
      </c>
      <c r="AL36" s="31" t="s">
        <v>3030</v>
      </c>
      <c r="AM36" s="31" t="s">
        <v>3031</v>
      </c>
      <c r="AN36" s="31" t="s">
        <v>3032</v>
      </c>
      <c r="AO36" s="31"/>
      <c r="AP36" s="31"/>
      <c r="AQ36" s="31"/>
      <c r="AR36" s="31"/>
      <c r="AS36" s="31"/>
      <c r="AT36" s="31" t="s">
        <v>3033</v>
      </c>
      <c r="AU36" s="31" t="s">
        <v>3034</v>
      </c>
      <c r="AV36" s="31" t="s">
        <v>3035</v>
      </c>
      <c r="AW36" s="31" t="s">
        <v>3036</v>
      </c>
      <c r="AX36" s="31" t="s">
        <v>3037</v>
      </c>
      <c r="AY36" s="31"/>
      <c r="AZ36" s="31"/>
      <c r="BA36" s="31" t="s">
        <v>3038</v>
      </c>
      <c r="BB36" s="31" t="s">
        <v>3039</v>
      </c>
      <c r="BC36" s="31" t="s">
        <v>3040</v>
      </c>
      <c r="BD36" s="31"/>
      <c r="BE36" s="31"/>
      <c r="BF36" s="31"/>
      <c r="BG36" s="31"/>
      <c r="BH36" s="31"/>
      <c r="BI36" s="31"/>
      <c r="BJ36" s="31"/>
      <c r="BK36" s="31"/>
      <c r="BL36" s="31"/>
      <c r="BM36" s="31" t="s">
        <v>3041</v>
      </c>
      <c r="BN36" s="31" t="s">
        <v>3042</v>
      </c>
      <c r="BO36" s="31"/>
      <c r="BP36" s="31"/>
      <c r="BQ36" s="31" t="s">
        <v>3043</v>
      </c>
      <c r="BR36" s="31"/>
      <c r="BS36" s="31"/>
      <c r="BT36" s="31" t="s">
        <v>3044</v>
      </c>
      <c r="BU36" s="32" t="s">
        <v>3045</v>
      </c>
      <c r="CJ36" s="26" t="s">
        <v>1378</v>
      </c>
      <c r="CK36" s="26" t="s">
        <v>2153</v>
      </c>
      <c r="CL36" s="26" t="str">
        <f t="shared" si="1"/>
        <v>北海道伊達市</v>
      </c>
      <c r="CM36" s="26">
        <v>31</v>
      </c>
      <c r="CN36" s="17" t="str">
        <f t="shared" si="0"/>
        <v>0031</v>
      </c>
      <c r="CO36" s="17" t="str">
        <f t="shared" si="2"/>
        <v>3131伊達市</v>
      </c>
      <c r="CP36" s="17" t="s">
        <v>3046</v>
      </c>
      <c r="CQ36" s="17" t="b">
        <f t="shared" si="3"/>
        <v>1</v>
      </c>
    </row>
    <row r="37" spans="6:95">
      <c r="F37" s="17" t="s">
        <v>3047</v>
      </c>
      <c r="G37" s="27" t="s">
        <v>1444</v>
      </c>
      <c r="H37" s="29" t="s">
        <v>1796</v>
      </c>
      <c r="I37" s="29" t="s">
        <v>1470</v>
      </c>
      <c r="J37" s="28" t="s">
        <v>1409</v>
      </c>
      <c r="L37" s="17" t="s">
        <v>3048</v>
      </c>
      <c r="M37" s="17" t="s">
        <v>3049</v>
      </c>
      <c r="N37" s="27" t="s">
        <v>3050</v>
      </c>
      <c r="O37" s="29" t="s">
        <v>1439</v>
      </c>
      <c r="P37" s="29" t="s">
        <v>3051</v>
      </c>
      <c r="Q37" s="29" t="s">
        <v>1439</v>
      </c>
      <c r="R37" s="29" t="s">
        <v>3052</v>
      </c>
      <c r="S37" s="28" t="s">
        <v>1743</v>
      </c>
      <c r="T37" s="28" t="s">
        <v>3053</v>
      </c>
      <c r="U37" s="28" t="s">
        <v>1439</v>
      </c>
      <c r="V37" s="28" t="s">
        <v>1495</v>
      </c>
      <c r="W37" s="28" t="s">
        <v>3054</v>
      </c>
      <c r="X37" s="17">
        <v>1</v>
      </c>
      <c r="AA37" s="35" t="s">
        <v>3053</v>
      </c>
      <c r="AB37" s="36" t="s">
        <v>3055</v>
      </c>
      <c r="AC37" s="36" t="s">
        <v>3056</v>
      </c>
      <c r="AD37" s="36" t="s">
        <v>3057</v>
      </c>
      <c r="AE37" s="36"/>
      <c r="AF37" s="36" t="s">
        <v>3058</v>
      </c>
      <c r="AG37" s="36" t="s">
        <v>2629</v>
      </c>
      <c r="AH37" s="36" t="s">
        <v>3059</v>
      </c>
      <c r="AI37" s="36"/>
      <c r="AJ37" s="36" t="s">
        <v>2445</v>
      </c>
      <c r="AK37" s="36" t="s">
        <v>3060</v>
      </c>
      <c r="AL37" s="36" t="s">
        <v>3061</v>
      </c>
      <c r="AM37" s="36" t="s">
        <v>3062</v>
      </c>
      <c r="AN37" s="36" t="s">
        <v>3063</v>
      </c>
      <c r="AO37" s="36"/>
      <c r="AP37" s="36"/>
      <c r="AQ37" s="36"/>
      <c r="AR37" s="36"/>
      <c r="AS37" s="36"/>
      <c r="AT37" s="36" t="s">
        <v>3064</v>
      </c>
      <c r="AU37" s="36" t="s">
        <v>3065</v>
      </c>
      <c r="AV37" s="36" t="s">
        <v>3066</v>
      </c>
      <c r="AW37" s="36" t="s">
        <v>3067</v>
      </c>
      <c r="AX37" s="36" t="s">
        <v>3068</v>
      </c>
      <c r="AY37" s="36"/>
      <c r="AZ37" s="36"/>
      <c r="BA37" s="36" t="s">
        <v>3069</v>
      </c>
      <c r="BB37" s="36" t="s">
        <v>3070</v>
      </c>
      <c r="BC37" s="36" t="s">
        <v>3071</v>
      </c>
      <c r="BD37" s="36"/>
      <c r="BE37" s="36"/>
      <c r="BF37" s="36"/>
      <c r="BG37" s="36"/>
      <c r="BH37" s="36"/>
      <c r="BI37" s="36"/>
      <c r="BJ37" s="36"/>
      <c r="BK37" s="36"/>
      <c r="BL37" s="36"/>
      <c r="BM37" s="36" t="s">
        <v>3072</v>
      </c>
      <c r="BN37" s="36" t="s">
        <v>3073</v>
      </c>
      <c r="BO37" s="36"/>
      <c r="BP37" s="36"/>
      <c r="BQ37" s="36" t="s">
        <v>3074</v>
      </c>
      <c r="BR37" s="36"/>
      <c r="BS37" s="36"/>
      <c r="BT37" s="36" t="s">
        <v>3075</v>
      </c>
      <c r="BU37" s="37" t="s">
        <v>3076</v>
      </c>
      <c r="CJ37" s="26" t="s">
        <v>1378</v>
      </c>
      <c r="CK37" s="26" t="s">
        <v>3053</v>
      </c>
      <c r="CL37" s="26" t="str">
        <f t="shared" si="1"/>
        <v>北海道北広島市</v>
      </c>
      <c r="CM37" s="26">
        <v>32</v>
      </c>
      <c r="CN37" s="17" t="str">
        <f t="shared" si="0"/>
        <v>0032</v>
      </c>
      <c r="CO37" s="17" t="str">
        <f t="shared" si="2"/>
        <v>3232北広島市</v>
      </c>
      <c r="CP37" s="17" t="s">
        <v>3077</v>
      </c>
      <c r="CQ37" s="17" t="b">
        <f t="shared" si="3"/>
        <v>1</v>
      </c>
    </row>
    <row r="38" spans="6:95">
      <c r="F38" s="17" t="s">
        <v>3078</v>
      </c>
      <c r="G38" s="27" t="s">
        <v>1444</v>
      </c>
      <c r="H38" s="29" t="s">
        <v>1796</v>
      </c>
      <c r="I38" s="29" t="s">
        <v>1471</v>
      </c>
      <c r="J38" s="28" t="s">
        <v>1410</v>
      </c>
      <c r="L38" s="17" t="s">
        <v>3079</v>
      </c>
      <c r="M38" s="17" t="s">
        <v>3080</v>
      </c>
      <c r="N38" s="27" t="s">
        <v>3081</v>
      </c>
      <c r="O38" s="29" t="s">
        <v>1439</v>
      </c>
      <c r="P38" s="29" t="s">
        <v>3082</v>
      </c>
      <c r="Q38" s="29" t="s">
        <v>1439</v>
      </c>
      <c r="R38" s="29" t="s">
        <v>3083</v>
      </c>
      <c r="S38" s="28" t="s">
        <v>1564</v>
      </c>
      <c r="T38" s="28" t="s">
        <v>3084</v>
      </c>
      <c r="U38" s="28" t="s">
        <v>1439</v>
      </c>
      <c r="V38" s="28" t="s">
        <v>1495</v>
      </c>
      <c r="W38" s="28" t="s">
        <v>3082</v>
      </c>
      <c r="X38" s="17">
        <v>1</v>
      </c>
      <c r="AA38" s="30" t="s">
        <v>3084</v>
      </c>
      <c r="AB38" s="31" t="s">
        <v>3085</v>
      </c>
      <c r="AC38" s="31" t="s">
        <v>3086</v>
      </c>
      <c r="AD38" s="31" t="s">
        <v>2354</v>
      </c>
      <c r="AE38" s="31"/>
      <c r="AF38" s="31" t="s">
        <v>3087</v>
      </c>
      <c r="AG38" s="31" t="s">
        <v>2927</v>
      </c>
      <c r="AH38" s="31" t="s">
        <v>3088</v>
      </c>
      <c r="AI38" s="31"/>
      <c r="AJ38" s="31" t="s">
        <v>3089</v>
      </c>
      <c r="AK38" s="31" t="s">
        <v>3090</v>
      </c>
      <c r="AL38" s="31" t="s">
        <v>3091</v>
      </c>
      <c r="AM38" s="31" t="s">
        <v>3092</v>
      </c>
      <c r="AN38" s="31" t="s">
        <v>3093</v>
      </c>
      <c r="AO38" s="31"/>
      <c r="AP38" s="31"/>
      <c r="AQ38" s="31"/>
      <c r="AR38" s="31"/>
      <c r="AS38" s="31"/>
      <c r="AT38" s="31" t="s">
        <v>3094</v>
      </c>
      <c r="AU38" s="31" t="s">
        <v>3095</v>
      </c>
      <c r="AV38" s="31" t="s">
        <v>3096</v>
      </c>
      <c r="AW38" s="31" t="s">
        <v>3097</v>
      </c>
      <c r="AX38" s="31"/>
      <c r="AY38" s="31"/>
      <c r="AZ38" s="31"/>
      <c r="BA38" s="31" t="s">
        <v>3098</v>
      </c>
      <c r="BB38" s="31" t="s">
        <v>3099</v>
      </c>
      <c r="BC38" s="31" t="s">
        <v>3100</v>
      </c>
      <c r="BD38" s="31"/>
      <c r="BE38" s="31"/>
      <c r="BF38" s="31"/>
      <c r="BG38" s="31"/>
      <c r="BH38" s="31"/>
      <c r="BI38" s="31"/>
      <c r="BJ38" s="31"/>
      <c r="BK38" s="31"/>
      <c r="BL38" s="31"/>
      <c r="BM38" s="31" t="s">
        <v>3101</v>
      </c>
      <c r="BN38" s="31" t="s">
        <v>3102</v>
      </c>
      <c r="BO38" s="31"/>
      <c r="BP38" s="31"/>
      <c r="BQ38" s="31" t="s">
        <v>3103</v>
      </c>
      <c r="BR38" s="31"/>
      <c r="BS38" s="31"/>
      <c r="BT38" s="31" t="s">
        <v>3104</v>
      </c>
      <c r="BU38" s="32" t="s">
        <v>3105</v>
      </c>
      <c r="CJ38" s="26" t="s">
        <v>1378</v>
      </c>
      <c r="CK38" s="26" t="s">
        <v>3084</v>
      </c>
      <c r="CL38" s="26" t="str">
        <f t="shared" si="1"/>
        <v>北海道石狩市</v>
      </c>
      <c r="CM38" s="26">
        <v>33</v>
      </c>
      <c r="CN38" s="17" t="str">
        <f t="shared" si="0"/>
        <v>0033</v>
      </c>
      <c r="CO38" s="17" t="str">
        <f t="shared" si="2"/>
        <v>3333石狩市</v>
      </c>
      <c r="CP38" s="17" t="s">
        <v>3106</v>
      </c>
      <c r="CQ38" s="17" t="b">
        <f t="shared" si="3"/>
        <v>1</v>
      </c>
    </row>
    <row r="39" spans="6:95">
      <c r="F39" s="17" t="s">
        <v>3107</v>
      </c>
      <c r="G39" s="27" t="s">
        <v>1444</v>
      </c>
      <c r="H39" s="29" t="s">
        <v>1796</v>
      </c>
      <c r="I39" s="29" t="s">
        <v>1472</v>
      </c>
      <c r="J39" s="28" t="s">
        <v>1411</v>
      </c>
      <c r="L39" s="17" t="s">
        <v>3108</v>
      </c>
      <c r="M39" s="17" t="s">
        <v>3109</v>
      </c>
      <c r="N39" s="27" t="s">
        <v>3110</v>
      </c>
      <c r="O39" s="29" t="s">
        <v>1439</v>
      </c>
      <c r="P39" s="29" t="s">
        <v>3111</v>
      </c>
      <c r="Q39" s="29" t="s">
        <v>1439</v>
      </c>
      <c r="R39" s="29" t="s">
        <v>3112</v>
      </c>
      <c r="S39" s="28" t="s">
        <v>1626</v>
      </c>
      <c r="T39" s="28" t="s">
        <v>3113</v>
      </c>
      <c r="U39" s="28" t="s">
        <v>1439</v>
      </c>
      <c r="V39" s="28" t="s">
        <v>1495</v>
      </c>
      <c r="W39" s="28" t="s">
        <v>3114</v>
      </c>
      <c r="X39" s="17">
        <v>1</v>
      </c>
      <c r="AA39" s="35" t="s">
        <v>3113</v>
      </c>
      <c r="AB39" s="36" t="s">
        <v>3115</v>
      </c>
      <c r="AC39" s="36" t="s">
        <v>3116</v>
      </c>
      <c r="AD39" s="36" t="s">
        <v>3117</v>
      </c>
      <c r="AE39" s="36"/>
      <c r="AF39" s="36" t="s">
        <v>3118</v>
      </c>
      <c r="AG39" s="36" t="s">
        <v>3119</v>
      </c>
      <c r="AH39" s="36" t="s">
        <v>3120</v>
      </c>
      <c r="AI39" s="36"/>
      <c r="AJ39" s="36" t="s">
        <v>3121</v>
      </c>
      <c r="AK39" s="36" t="s">
        <v>3122</v>
      </c>
      <c r="AL39" s="36" t="s">
        <v>3123</v>
      </c>
      <c r="AM39" s="36" t="s">
        <v>3124</v>
      </c>
      <c r="AN39" s="36"/>
      <c r="AO39" s="36"/>
      <c r="AP39" s="36"/>
      <c r="AQ39" s="36"/>
      <c r="AR39" s="36"/>
      <c r="AS39" s="36"/>
      <c r="AT39" s="36" t="s">
        <v>2832</v>
      </c>
      <c r="AU39" s="36" t="s">
        <v>3125</v>
      </c>
      <c r="AV39" s="36" t="s">
        <v>3126</v>
      </c>
      <c r="AW39" s="36" t="s">
        <v>3127</v>
      </c>
      <c r="AX39" s="36"/>
      <c r="AY39" s="36"/>
      <c r="AZ39" s="36"/>
      <c r="BA39" s="36" t="s">
        <v>3128</v>
      </c>
      <c r="BB39" s="36" t="s">
        <v>3129</v>
      </c>
      <c r="BC39" s="36" t="s">
        <v>3130</v>
      </c>
      <c r="BD39" s="36"/>
      <c r="BE39" s="36"/>
      <c r="BF39" s="36"/>
      <c r="BG39" s="36"/>
      <c r="BH39" s="36"/>
      <c r="BI39" s="36"/>
      <c r="BJ39" s="36"/>
      <c r="BK39" s="36"/>
      <c r="BL39" s="36"/>
      <c r="BM39" s="36" t="s">
        <v>3131</v>
      </c>
      <c r="BN39" s="36" t="s">
        <v>3132</v>
      </c>
      <c r="BO39" s="36"/>
      <c r="BP39" s="36"/>
      <c r="BQ39" s="36" t="s">
        <v>3133</v>
      </c>
      <c r="BR39" s="36"/>
      <c r="BS39" s="36"/>
      <c r="BT39" s="36" t="s">
        <v>3134</v>
      </c>
      <c r="BU39" s="37" t="s">
        <v>3135</v>
      </c>
      <c r="CJ39" s="26" t="s">
        <v>1378</v>
      </c>
      <c r="CK39" s="26" t="s">
        <v>3113</v>
      </c>
      <c r="CL39" s="26" t="str">
        <f t="shared" si="1"/>
        <v>北海道北斗市</v>
      </c>
      <c r="CM39" s="26">
        <v>34</v>
      </c>
      <c r="CN39" s="17" t="str">
        <f t="shared" si="0"/>
        <v>0034</v>
      </c>
      <c r="CO39" s="17" t="str">
        <f t="shared" si="2"/>
        <v>3434北斗市</v>
      </c>
      <c r="CP39" s="17" t="s">
        <v>3136</v>
      </c>
      <c r="CQ39" s="17" t="b">
        <f t="shared" si="3"/>
        <v>1</v>
      </c>
    </row>
    <row r="40" spans="6:95">
      <c r="F40" s="17" t="s">
        <v>3137</v>
      </c>
      <c r="G40" s="27" t="s">
        <v>1444</v>
      </c>
      <c r="H40" s="29" t="s">
        <v>1796</v>
      </c>
      <c r="I40" s="29" t="s">
        <v>1473</v>
      </c>
      <c r="J40" s="28" t="s">
        <v>1412</v>
      </c>
      <c r="L40" s="17" t="s">
        <v>3138</v>
      </c>
      <c r="M40" s="17" t="s">
        <v>3139</v>
      </c>
      <c r="N40" s="27" t="s">
        <v>3140</v>
      </c>
      <c r="O40" s="29" t="s">
        <v>1439</v>
      </c>
      <c r="P40" s="29" t="s">
        <v>3141</v>
      </c>
      <c r="Q40" s="29" t="s">
        <v>1439</v>
      </c>
      <c r="R40" s="29" t="s">
        <v>3142</v>
      </c>
      <c r="S40" s="28" t="s">
        <v>1502</v>
      </c>
      <c r="T40" s="28" t="s">
        <v>3143</v>
      </c>
      <c r="U40" s="28" t="s">
        <v>1439</v>
      </c>
      <c r="V40" s="28" t="s">
        <v>1495</v>
      </c>
      <c r="W40" s="28" t="s">
        <v>3144</v>
      </c>
      <c r="X40" s="17">
        <v>1</v>
      </c>
      <c r="AA40" s="30" t="s">
        <v>3143</v>
      </c>
      <c r="AB40" s="31" t="s">
        <v>3145</v>
      </c>
      <c r="AC40" s="31" t="s">
        <v>3146</v>
      </c>
      <c r="AD40" s="31" t="s">
        <v>3147</v>
      </c>
      <c r="AE40" s="31"/>
      <c r="AF40" s="31" t="s">
        <v>3148</v>
      </c>
      <c r="AG40" s="31" t="s">
        <v>3149</v>
      </c>
      <c r="AH40" s="31" t="s">
        <v>3150</v>
      </c>
      <c r="AI40" s="31"/>
      <c r="AJ40" s="31" t="s">
        <v>3151</v>
      </c>
      <c r="AK40" s="31" t="s">
        <v>3152</v>
      </c>
      <c r="AL40" s="31" t="s">
        <v>3153</v>
      </c>
      <c r="AM40" s="31" t="s">
        <v>3154</v>
      </c>
      <c r="AN40" s="31"/>
      <c r="AO40" s="31"/>
      <c r="AP40" s="31"/>
      <c r="AQ40" s="31"/>
      <c r="AR40" s="31"/>
      <c r="AS40" s="31"/>
      <c r="AT40" s="31" t="s">
        <v>3155</v>
      </c>
      <c r="AU40" s="31" t="s">
        <v>3156</v>
      </c>
      <c r="AV40" s="31" t="s">
        <v>3157</v>
      </c>
      <c r="AW40" s="31" t="s">
        <v>3158</v>
      </c>
      <c r="AX40" s="31"/>
      <c r="AY40" s="31"/>
      <c r="AZ40" s="31"/>
      <c r="BA40" s="31" t="s">
        <v>3159</v>
      </c>
      <c r="BB40" s="31" t="s">
        <v>3160</v>
      </c>
      <c r="BC40" s="31" t="s">
        <v>3161</v>
      </c>
      <c r="BD40" s="31"/>
      <c r="BE40" s="31"/>
      <c r="BF40" s="31"/>
      <c r="BG40" s="31"/>
      <c r="BH40" s="31"/>
      <c r="BI40" s="31"/>
      <c r="BJ40" s="31"/>
      <c r="BK40" s="31"/>
      <c r="BL40" s="31"/>
      <c r="BM40" s="31" t="s">
        <v>3162</v>
      </c>
      <c r="BN40" s="31" t="s">
        <v>3163</v>
      </c>
      <c r="BO40" s="31"/>
      <c r="BP40" s="31"/>
      <c r="BQ40" s="31" t="s">
        <v>3164</v>
      </c>
      <c r="BR40" s="31"/>
      <c r="BS40" s="31"/>
      <c r="BT40" s="31" t="s">
        <v>3165</v>
      </c>
      <c r="BU40" s="32" t="s">
        <v>3166</v>
      </c>
      <c r="CJ40" s="26" t="s">
        <v>1378</v>
      </c>
      <c r="CK40" s="26" t="s">
        <v>3143</v>
      </c>
      <c r="CL40" s="26" t="str">
        <f t="shared" si="1"/>
        <v>北海道当別町</v>
      </c>
      <c r="CM40" s="26">
        <v>35</v>
      </c>
      <c r="CN40" s="17" t="str">
        <f t="shared" si="0"/>
        <v>0035</v>
      </c>
      <c r="CO40" s="17" t="str">
        <f t="shared" si="2"/>
        <v>3535当別町</v>
      </c>
      <c r="CP40" s="17" t="s">
        <v>3167</v>
      </c>
      <c r="CQ40" s="17" t="b">
        <f t="shared" si="3"/>
        <v>1</v>
      </c>
    </row>
    <row r="41" spans="6:95">
      <c r="F41" s="17" t="s">
        <v>3168</v>
      </c>
      <c r="G41" s="27" t="s">
        <v>1445</v>
      </c>
      <c r="H41" s="29" t="s">
        <v>1855</v>
      </c>
      <c r="I41" s="29" t="s">
        <v>1474</v>
      </c>
      <c r="J41" s="28" t="s">
        <v>1413</v>
      </c>
      <c r="L41" s="17" t="s">
        <v>3169</v>
      </c>
      <c r="M41" s="17" t="s">
        <v>3170</v>
      </c>
      <c r="N41" s="27" t="s">
        <v>3171</v>
      </c>
      <c r="O41" s="29" t="s">
        <v>1439</v>
      </c>
      <c r="P41" s="29" t="s">
        <v>3172</v>
      </c>
      <c r="Q41" s="29" t="s">
        <v>1439</v>
      </c>
      <c r="R41" s="29" t="s">
        <v>3173</v>
      </c>
      <c r="S41" s="28" t="s">
        <v>2525</v>
      </c>
      <c r="T41" s="28" t="s">
        <v>3174</v>
      </c>
      <c r="U41" s="28" t="s">
        <v>1439</v>
      </c>
      <c r="V41" s="28" t="s">
        <v>1495</v>
      </c>
      <c r="W41" s="28" t="s">
        <v>3175</v>
      </c>
      <c r="X41" s="17">
        <v>1</v>
      </c>
      <c r="AA41" s="35" t="s">
        <v>3174</v>
      </c>
      <c r="AB41" s="36" t="s">
        <v>3176</v>
      </c>
      <c r="AC41" s="36" t="s">
        <v>3177</v>
      </c>
      <c r="AD41" s="36"/>
      <c r="AE41" s="36"/>
      <c r="AF41" s="36"/>
      <c r="AG41" s="36" t="s">
        <v>3178</v>
      </c>
      <c r="AH41" s="36" t="s">
        <v>3179</v>
      </c>
      <c r="AI41" s="36"/>
      <c r="AJ41" s="36"/>
      <c r="AK41" s="36" t="s">
        <v>3180</v>
      </c>
      <c r="AL41" s="36" t="s">
        <v>3181</v>
      </c>
      <c r="AM41" s="36" t="s">
        <v>3182</v>
      </c>
      <c r="AN41" s="36"/>
      <c r="AO41" s="36"/>
      <c r="AP41" s="36"/>
      <c r="AQ41" s="36"/>
      <c r="AR41" s="36"/>
      <c r="AS41" s="36"/>
      <c r="AT41" s="36" t="s">
        <v>3183</v>
      </c>
      <c r="AU41" s="36" t="s">
        <v>3184</v>
      </c>
      <c r="AV41" s="36"/>
      <c r="AW41" s="36" t="s">
        <v>3185</v>
      </c>
      <c r="AX41" s="36"/>
      <c r="AY41" s="36"/>
      <c r="AZ41" s="36"/>
      <c r="BA41" s="36" t="s">
        <v>3186</v>
      </c>
      <c r="BB41" s="36" t="s">
        <v>3187</v>
      </c>
      <c r="BC41" s="36" t="s">
        <v>3188</v>
      </c>
      <c r="BD41" s="36"/>
      <c r="BE41" s="36"/>
      <c r="BF41" s="36"/>
      <c r="BG41" s="36"/>
      <c r="BH41" s="36"/>
      <c r="BI41" s="36"/>
      <c r="BJ41" s="36"/>
      <c r="BK41" s="36"/>
      <c r="BL41" s="36"/>
      <c r="BM41" s="36"/>
      <c r="BN41" s="36" t="s">
        <v>3189</v>
      </c>
      <c r="BO41" s="36"/>
      <c r="BP41" s="36"/>
      <c r="BQ41" s="36" t="s">
        <v>3190</v>
      </c>
      <c r="BR41" s="36"/>
      <c r="BS41" s="36"/>
      <c r="BT41" s="36" t="s">
        <v>3191</v>
      </c>
      <c r="BU41" s="37" t="s">
        <v>3192</v>
      </c>
      <c r="CJ41" s="26" t="s">
        <v>1378</v>
      </c>
      <c r="CK41" s="26" t="s">
        <v>3174</v>
      </c>
      <c r="CL41" s="26" t="str">
        <f t="shared" si="1"/>
        <v>北海道新篠津村</v>
      </c>
      <c r="CM41" s="26">
        <v>36</v>
      </c>
      <c r="CN41" s="17" t="str">
        <f t="shared" si="0"/>
        <v>0036</v>
      </c>
      <c r="CO41" s="17" t="str">
        <f t="shared" si="2"/>
        <v>3636新篠津村</v>
      </c>
      <c r="CP41" s="17" t="s">
        <v>3193</v>
      </c>
      <c r="CQ41" s="17" t="b">
        <f t="shared" si="3"/>
        <v>1</v>
      </c>
    </row>
    <row r="42" spans="6:95">
      <c r="F42" s="17" t="s">
        <v>3194</v>
      </c>
      <c r="G42" s="27" t="s">
        <v>1445</v>
      </c>
      <c r="H42" s="29" t="s">
        <v>1855</v>
      </c>
      <c r="I42" s="29" t="s">
        <v>1475</v>
      </c>
      <c r="J42" s="28" t="s">
        <v>1414</v>
      </c>
      <c r="L42" s="17" t="s">
        <v>3195</v>
      </c>
      <c r="M42" s="17" t="s">
        <v>3196</v>
      </c>
      <c r="N42" s="27" t="s">
        <v>3197</v>
      </c>
      <c r="O42" s="29" t="s">
        <v>1439</v>
      </c>
      <c r="P42" s="29" t="s">
        <v>3198</v>
      </c>
      <c r="Q42" s="29" t="s">
        <v>1439</v>
      </c>
      <c r="R42" s="29" t="s">
        <v>3199</v>
      </c>
      <c r="S42" s="28" t="s">
        <v>1920</v>
      </c>
      <c r="T42" s="28" t="s">
        <v>2294</v>
      </c>
      <c r="U42" s="28" t="s">
        <v>1439</v>
      </c>
      <c r="V42" s="28" t="s">
        <v>1495</v>
      </c>
      <c r="W42" s="28" t="s">
        <v>3200</v>
      </c>
      <c r="X42" s="17">
        <v>1</v>
      </c>
      <c r="AA42" s="30" t="s">
        <v>2294</v>
      </c>
      <c r="AB42" s="31" t="s">
        <v>3201</v>
      </c>
      <c r="AC42" s="31" t="s">
        <v>3202</v>
      </c>
      <c r="AD42" s="31"/>
      <c r="AE42" s="31"/>
      <c r="AF42" s="31"/>
      <c r="AG42" s="31" t="s">
        <v>3203</v>
      </c>
      <c r="AH42" s="31" t="s">
        <v>3204</v>
      </c>
      <c r="AI42" s="31"/>
      <c r="AJ42" s="31"/>
      <c r="AK42" s="31" t="s">
        <v>3205</v>
      </c>
      <c r="AL42" s="31" t="s">
        <v>3206</v>
      </c>
      <c r="AM42" s="31" t="s">
        <v>3207</v>
      </c>
      <c r="AN42" s="31"/>
      <c r="AO42" s="31"/>
      <c r="AP42" s="31"/>
      <c r="AQ42" s="31"/>
      <c r="AR42" s="31"/>
      <c r="AS42" s="31"/>
      <c r="AT42" s="31" t="s">
        <v>3208</v>
      </c>
      <c r="AU42" s="31" t="s">
        <v>3209</v>
      </c>
      <c r="AV42" s="31"/>
      <c r="AW42" s="31" t="s">
        <v>3210</v>
      </c>
      <c r="AX42" s="31"/>
      <c r="AY42" s="31"/>
      <c r="AZ42" s="31"/>
      <c r="BA42" s="31" t="s">
        <v>3211</v>
      </c>
      <c r="BB42" s="31" t="s">
        <v>3212</v>
      </c>
      <c r="BC42" s="31" t="s">
        <v>3213</v>
      </c>
      <c r="BD42" s="31"/>
      <c r="BE42" s="31"/>
      <c r="BF42" s="31"/>
      <c r="BG42" s="31"/>
      <c r="BH42" s="31"/>
      <c r="BI42" s="31"/>
      <c r="BJ42" s="31"/>
      <c r="BK42" s="31"/>
      <c r="BL42" s="31"/>
      <c r="BM42" s="31"/>
      <c r="BN42" s="31" t="s">
        <v>3214</v>
      </c>
      <c r="BO42" s="31"/>
      <c r="BP42" s="31"/>
      <c r="BQ42" s="31" t="s">
        <v>3215</v>
      </c>
      <c r="BR42" s="31"/>
      <c r="BS42" s="31"/>
      <c r="BT42" s="31" t="s">
        <v>3216</v>
      </c>
      <c r="BU42" s="32" t="s">
        <v>3217</v>
      </c>
      <c r="CJ42" s="26" t="s">
        <v>1378</v>
      </c>
      <c r="CK42" s="26" t="s">
        <v>2294</v>
      </c>
      <c r="CL42" s="26" t="str">
        <f t="shared" si="1"/>
        <v>北海道松前町</v>
      </c>
      <c r="CM42" s="26">
        <v>37</v>
      </c>
      <c r="CN42" s="17" t="str">
        <f t="shared" si="0"/>
        <v>0037</v>
      </c>
      <c r="CO42" s="17" t="str">
        <f t="shared" si="2"/>
        <v>3737松前町</v>
      </c>
      <c r="CP42" s="17" t="s">
        <v>3218</v>
      </c>
      <c r="CQ42" s="17" t="b">
        <f t="shared" si="3"/>
        <v>1</v>
      </c>
    </row>
    <row r="43" spans="6:95">
      <c r="F43" s="17" t="s">
        <v>3219</v>
      </c>
      <c r="G43" s="27" t="s">
        <v>1445</v>
      </c>
      <c r="H43" s="29" t="s">
        <v>1855</v>
      </c>
      <c r="I43" s="29" t="s">
        <v>1476</v>
      </c>
      <c r="J43" s="28" t="s">
        <v>1415</v>
      </c>
      <c r="L43" s="17" t="s">
        <v>3220</v>
      </c>
      <c r="M43" s="17" t="s">
        <v>3221</v>
      </c>
      <c r="N43" s="27" t="s">
        <v>3222</v>
      </c>
      <c r="O43" s="29" t="s">
        <v>1439</v>
      </c>
      <c r="P43" s="29" t="s">
        <v>3223</v>
      </c>
      <c r="Q43" s="29" t="s">
        <v>1439</v>
      </c>
      <c r="R43" s="29" t="s">
        <v>3224</v>
      </c>
      <c r="S43" s="28" t="s">
        <v>1977</v>
      </c>
      <c r="T43" s="28" t="s">
        <v>3225</v>
      </c>
      <c r="U43" s="28" t="s">
        <v>1439</v>
      </c>
      <c r="V43" s="28" t="s">
        <v>1495</v>
      </c>
      <c r="W43" s="28" t="s">
        <v>3226</v>
      </c>
      <c r="X43" s="17">
        <v>1</v>
      </c>
      <c r="AA43" s="35" t="s">
        <v>3225</v>
      </c>
      <c r="AB43" s="36" t="s">
        <v>2440</v>
      </c>
      <c r="AC43" s="36"/>
      <c r="AD43" s="36"/>
      <c r="AE43" s="36"/>
      <c r="AF43" s="36"/>
      <c r="AG43" s="36" t="s">
        <v>3227</v>
      </c>
      <c r="AH43" s="36" t="s">
        <v>3228</v>
      </c>
      <c r="AI43" s="36"/>
      <c r="AJ43" s="36"/>
      <c r="AK43" s="36" t="s">
        <v>3229</v>
      </c>
      <c r="AL43" s="36" t="s">
        <v>3230</v>
      </c>
      <c r="AM43" s="36" t="s">
        <v>3231</v>
      </c>
      <c r="AN43" s="36"/>
      <c r="AO43" s="36"/>
      <c r="AP43" s="36"/>
      <c r="AQ43" s="36"/>
      <c r="AR43" s="36"/>
      <c r="AS43" s="36"/>
      <c r="AT43" s="36" t="s">
        <v>3232</v>
      </c>
      <c r="AU43" s="36" t="s">
        <v>3233</v>
      </c>
      <c r="AV43" s="36"/>
      <c r="AW43" s="36" t="s">
        <v>3234</v>
      </c>
      <c r="AX43" s="36"/>
      <c r="AY43" s="36"/>
      <c r="AZ43" s="36"/>
      <c r="BA43" s="36" t="s">
        <v>3212</v>
      </c>
      <c r="BB43" s="36" t="s">
        <v>3235</v>
      </c>
      <c r="BC43" s="36" t="s">
        <v>2441</v>
      </c>
      <c r="BD43" s="36"/>
      <c r="BE43" s="36"/>
      <c r="BF43" s="36"/>
      <c r="BG43" s="36"/>
      <c r="BH43" s="36"/>
      <c r="BI43" s="36"/>
      <c r="BJ43" s="36"/>
      <c r="BK43" s="36"/>
      <c r="BL43" s="36"/>
      <c r="BM43" s="36"/>
      <c r="BN43" s="36" t="s">
        <v>3236</v>
      </c>
      <c r="BO43" s="36"/>
      <c r="BP43" s="36"/>
      <c r="BQ43" s="36" t="s">
        <v>3237</v>
      </c>
      <c r="BR43" s="36"/>
      <c r="BS43" s="36"/>
      <c r="BT43" s="36" t="s">
        <v>3238</v>
      </c>
      <c r="BU43" s="37" t="s">
        <v>3239</v>
      </c>
      <c r="CJ43" s="26" t="s">
        <v>1378</v>
      </c>
      <c r="CK43" s="26" t="s">
        <v>3225</v>
      </c>
      <c r="CL43" s="26" t="str">
        <f t="shared" si="1"/>
        <v>北海道福島町</v>
      </c>
      <c r="CM43" s="26">
        <v>38</v>
      </c>
      <c r="CN43" s="17" t="str">
        <f t="shared" si="0"/>
        <v>0038</v>
      </c>
      <c r="CO43" s="17" t="str">
        <f t="shared" si="2"/>
        <v>3838福島町</v>
      </c>
      <c r="CP43" s="17" t="s">
        <v>3240</v>
      </c>
      <c r="CQ43" s="17" t="b">
        <f t="shared" si="3"/>
        <v>1</v>
      </c>
    </row>
    <row r="44" spans="6:95">
      <c r="F44" s="17" t="s">
        <v>3241</v>
      </c>
      <c r="G44" s="27" t="s">
        <v>1445</v>
      </c>
      <c r="H44" s="29" t="s">
        <v>1855</v>
      </c>
      <c r="I44" s="29" t="s">
        <v>1477</v>
      </c>
      <c r="J44" s="28" t="s">
        <v>1416</v>
      </c>
      <c r="L44" s="17" t="s">
        <v>3242</v>
      </c>
      <c r="M44" s="17" t="s">
        <v>3243</v>
      </c>
      <c r="N44" s="27" t="s">
        <v>3244</v>
      </c>
      <c r="O44" s="29" t="s">
        <v>1439</v>
      </c>
      <c r="P44" s="29" t="s">
        <v>3245</v>
      </c>
      <c r="Q44" s="29" t="s">
        <v>1439</v>
      </c>
      <c r="R44" s="29" t="s">
        <v>3246</v>
      </c>
      <c r="S44" s="28" t="s">
        <v>1743</v>
      </c>
      <c r="T44" s="28" t="s">
        <v>3247</v>
      </c>
      <c r="U44" s="28" t="s">
        <v>1439</v>
      </c>
      <c r="V44" s="28" t="s">
        <v>1495</v>
      </c>
      <c r="W44" s="28" t="s">
        <v>3248</v>
      </c>
      <c r="X44" s="17">
        <v>1</v>
      </c>
      <c r="AA44" s="30" t="s">
        <v>3247</v>
      </c>
      <c r="AB44" s="31" t="s">
        <v>3249</v>
      </c>
      <c r="AC44" s="31"/>
      <c r="AD44" s="31"/>
      <c r="AE44" s="31"/>
      <c r="AF44" s="31"/>
      <c r="AG44" s="31" t="s">
        <v>3250</v>
      </c>
      <c r="AH44" s="31" t="s">
        <v>3251</v>
      </c>
      <c r="AI44" s="31"/>
      <c r="AJ44" s="31"/>
      <c r="AK44" s="31" t="s">
        <v>3252</v>
      </c>
      <c r="AL44" s="31" t="s">
        <v>3253</v>
      </c>
      <c r="AM44" s="31" t="s">
        <v>3254</v>
      </c>
      <c r="AN44" s="31"/>
      <c r="AO44" s="31"/>
      <c r="AP44" s="31"/>
      <c r="AQ44" s="31"/>
      <c r="AR44" s="31"/>
      <c r="AS44" s="31"/>
      <c r="AT44" s="31" t="s">
        <v>3255</v>
      </c>
      <c r="AU44" s="31" t="s">
        <v>3256</v>
      </c>
      <c r="AV44" s="31"/>
      <c r="AW44" s="31" t="s">
        <v>3257</v>
      </c>
      <c r="AX44" s="31"/>
      <c r="AY44" s="31"/>
      <c r="AZ44" s="31"/>
      <c r="BA44" s="31" t="s">
        <v>3258</v>
      </c>
      <c r="BB44" s="31" t="s">
        <v>3259</v>
      </c>
      <c r="BC44" s="31" t="s">
        <v>3260</v>
      </c>
      <c r="BD44" s="31"/>
      <c r="BE44" s="31"/>
      <c r="BF44" s="31"/>
      <c r="BG44" s="31"/>
      <c r="BH44" s="31"/>
      <c r="BI44" s="31"/>
      <c r="BJ44" s="31"/>
      <c r="BK44" s="31"/>
      <c r="BL44" s="31"/>
      <c r="BM44" s="31"/>
      <c r="BN44" s="31" t="s">
        <v>3261</v>
      </c>
      <c r="BO44" s="31"/>
      <c r="BP44" s="31"/>
      <c r="BQ44" s="31" t="s">
        <v>3262</v>
      </c>
      <c r="BR44" s="31"/>
      <c r="BS44" s="31"/>
      <c r="BT44" s="31" t="s">
        <v>3263</v>
      </c>
      <c r="BU44" s="32" t="s">
        <v>3264</v>
      </c>
      <c r="CJ44" s="26" t="s">
        <v>1378</v>
      </c>
      <c r="CK44" s="26" t="s">
        <v>3247</v>
      </c>
      <c r="CL44" s="26" t="str">
        <f t="shared" si="1"/>
        <v>北海道知内町</v>
      </c>
      <c r="CM44" s="26">
        <v>39</v>
      </c>
      <c r="CN44" s="17" t="str">
        <f t="shared" si="0"/>
        <v>0039</v>
      </c>
      <c r="CO44" s="17" t="str">
        <f t="shared" si="2"/>
        <v>3939知内町</v>
      </c>
      <c r="CP44" s="17" t="s">
        <v>3265</v>
      </c>
      <c r="CQ44" s="17" t="b">
        <f t="shared" si="3"/>
        <v>1</v>
      </c>
    </row>
    <row r="45" spans="6:95">
      <c r="F45" s="17" t="s">
        <v>3266</v>
      </c>
      <c r="G45" s="27" t="s">
        <v>1446</v>
      </c>
      <c r="H45" s="29" t="s">
        <v>1913</v>
      </c>
      <c r="I45" s="29" t="s">
        <v>1478</v>
      </c>
      <c r="J45" s="28" t="s">
        <v>1417</v>
      </c>
      <c r="L45" s="17" t="s">
        <v>3267</v>
      </c>
      <c r="M45" s="17" t="s">
        <v>3268</v>
      </c>
      <c r="N45" s="27" t="s">
        <v>3269</v>
      </c>
      <c r="O45" s="29" t="s">
        <v>1439</v>
      </c>
      <c r="P45" s="29" t="s">
        <v>3270</v>
      </c>
      <c r="Q45" s="29" t="s">
        <v>1439</v>
      </c>
      <c r="R45" s="29" t="s">
        <v>3271</v>
      </c>
      <c r="S45" s="28" t="s">
        <v>1803</v>
      </c>
      <c r="T45" s="28" t="s">
        <v>3272</v>
      </c>
      <c r="U45" s="28" t="s">
        <v>1439</v>
      </c>
      <c r="V45" s="28" t="s">
        <v>1495</v>
      </c>
      <c r="W45" s="28" t="s">
        <v>3273</v>
      </c>
      <c r="X45" s="17">
        <v>1</v>
      </c>
      <c r="AA45" s="35" t="s">
        <v>3272</v>
      </c>
      <c r="AB45" s="36" t="s">
        <v>3274</v>
      </c>
      <c r="AC45" s="36"/>
      <c r="AD45" s="36"/>
      <c r="AE45" s="36"/>
      <c r="AF45" s="36"/>
      <c r="AG45" s="36" t="s">
        <v>3275</v>
      </c>
      <c r="AH45" s="36" t="s">
        <v>3276</v>
      </c>
      <c r="AI45" s="36"/>
      <c r="AJ45" s="36"/>
      <c r="AK45" s="36" t="s">
        <v>3277</v>
      </c>
      <c r="AL45" s="36" t="s">
        <v>3278</v>
      </c>
      <c r="AM45" s="36" t="s">
        <v>3279</v>
      </c>
      <c r="AN45" s="36"/>
      <c r="AO45" s="36"/>
      <c r="AP45" s="36"/>
      <c r="AQ45" s="36"/>
      <c r="AR45" s="36"/>
      <c r="AS45" s="36"/>
      <c r="AT45" s="36" t="s">
        <v>3280</v>
      </c>
      <c r="AU45" s="36" t="s">
        <v>3281</v>
      </c>
      <c r="AV45" s="36"/>
      <c r="AW45" s="36" t="s">
        <v>2164</v>
      </c>
      <c r="AX45" s="36"/>
      <c r="AY45" s="36"/>
      <c r="AZ45" s="36"/>
      <c r="BA45" s="36" t="s">
        <v>3282</v>
      </c>
      <c r="BB45" s="36" t="s">
        <v>3283</v>
      </c>
      <c r="BC45" s="36"/>
      <c r="BD45" s="36"/>
      <c r="BE45" s="36"/>
      <c r="BF45" s="36"/>
      <c r="BG45" s="36"/>
      <c r="BH45" s="36"/>
      <c r="BI45" s="36"/>
      <c r="BJ45" s="36"/>
      <c r="BK45" s="36"/>
      <c r="BL45" s="36"/>
      <c r="BM45" s="36"/>
      <c r="BN45" s="36" t="s">
        <v>3284</v>
      </c>
      <c r="BO45" s="36"/>
      <c r="BP45" s="36"/>
      <c r="BQ45" s="36" t="s">
        <v>3285</v>
      </c>
      <c r="BR45" s="36"/>
      <c r="BS45" s="36"/>
      <c r="BT45" s="36" t="s">
        <v>3286</v>
      </c>
      <c r="BU45" s="37" t="s">
        <v>3287</v>
      </c>
      <c r="CJ45" s="26" t="s">
        <v>1378</v>
      </c>
      <c r="CK45" s="26" t="s">
        <v>3272</v>
      </c>
      <c r="CL45" s="26" t="str">
        <f t="shared" si="1"/>
        <v>北海道木古内町</v>
      </c>
      <c r="CM45" s="26">
        <v>40</v>
      </c>
      <c r="CN45" s="17" t="str">
        <f t="shared" si="0"/>
        <v>0040</v>
      </c>
      <c r="CO45" s="17" t="str">
        <f t="shared" si="2"/>
        <v>4040木古内町</v>
      </c>
      <c r="CP45" s="17" t="s">
        <v>3288</v>
      </c>
      <c r="CQ45" s="17" t="b">
        <f t="shared" si="3"/>
        <v>1</v>
      </c>
    </row>
    <row r="46" spans="6:95">
      <c r="F46" s="17" t="s">
        <v>3289</v>
      </c>
      <c r="G46" s="27" t="s">
        <v>1446</v>
      </c>
      <c r="H46" s="29" t="s">
        <v>1913</v>
      </c>
      <c r="I46" s="29" t="s">
        <v>1479</v>
      </c>
      <c r="J46" s="28" t="s">
        <v>1418</v>
      </c>
      <c r="L46" s="17" t="s">
        <v>3290</v>
      </c>
      <c r="M46" s="17" t="s">
        <v>3291</v>
      </c>
      <c r="N46" s="27" t="s">
        <v>3292</v>
      </c>
      <c r="O46" s="29" t="s">
        <v>1439</v>
      </c>
      <c r="P46" s="29" t="s">
        <v>3293</v>
      </c>
      <c r="Q46" s="29" t="s">
        <v>1439</v>
      </c>
      <c r="R46" s="29" t="s">
        <v>3294</v>
      </c>
      <c r="S46" s="28" t="s">
        <v>2525</v>
      </c>
      <c r="T46" s="28" t="s">
        <v>3295</v>
      </c>
      <c r="U46" s="28" t="s">
        <v>1439</v>
      </c>
      <c r="V46" s="28" t="s">
        <v>1495</v>
      </c>
      <c r="W46" s="28" t="s">
        <v>3296</v>
      </c>
      <c r="X46" s="17">
        <v>1</v>
      </c>
      <c r="AA46" s="30" t="s">
        <v>3295</v>
      </c>
      <c r="AB46" s="31"/>
      <c r="AC46" s="31"/>
      <c r="AD46" s="31"/>
      <c r="AE46" s="31"/>
      <c r="AF46" s="31"/>
      <c r="AG46" s="31" t="s">
        <v>3297</v>
      </c>
      <c r="AH46" s="31" t="s">
        <v>3298</v>
      </c>
      <c r="AI46" s="31"/>
      <c r="AJ46" s="31"/>
      <c r="AK46" s="31" t="s">
        <v>3299</v>
      </c>
      <c r="AL46" s="31" t="s">
        <v>3300</v>
      </c>
      <c r="AM46" s="31" t="s">
        <v>3301</v>
      </c>
      <c r="AN46" s="31"/>
      <c r="AO46" s="31"/>
      <c r="AP46" s="31"/>
      <c r="AQ46" s="31"/>
      <c r="AR46" s="31"/>
      <c r="AS46" s="31"/>
      <c r="AT46" s="31" t="s">
        <v>3302</v>
      </c>
      <c r="AU46" s="31" t="s">
        <v>1996</v>
      </c>
      <c r="AV46" s="31"/>
      <c r="AW46" s="31" t="s">
        <v>3303</v>
      </c>
      <c r="AX46" s="31"/>
      <c r="AY46" s="31"/>
      <c r="AZ46" s="31"/>
      <c r="BA46" s="31" t="s">
        <v>3304</v>
      </c>
      <c r="BB46" s="31" t="s">
        <v>3305</v>
      </c>
      <c r="BC46" s="31"/>
      <c r="BD46" s="31"/>
      <c r="BE46" s="31"/>
      <c r="BF46" s="31"/>
      <c r="BG46" s="31"/>
      <c r="BH46" s="31"/>
      <c r="BI46" s="31"/>
      <c r="BJ46" s="31"/>
      <c r="BK46" s="31"/>
      <c r="BL46" s="31"/>
      <c r="BM46" s="31"/>
      <c r="BN46" s="31" t="s">
        <v>3306</v>
      </c>
      <c r="BO46" s="31"/>
      <c r="BP46" s="31"/>
      <c r="BQ46" s="31" t="s">
        <v>3307</v>
      </c>
      <c r="BR46" s="31"/>
      <c r="BS46" s="31"/>
      <c r="BT46" s="31" t="s">
        <v>3308</v>
      </c>
      <c r="BU46" s="32" t="s">
        <v>3309</v>
      </c>
      <c r="CJ46" s="26" t="s">
        <v>1378</v>
      </c>
      <c r="CK46" s="26" t="s">
        <v>3295</v>
      </c>
      <c r="CL46" s="26" t="str">
        <f t="shared" si="1"/>
        <v>北海道七飯町</v>
      </c>
      <c r="CM46" s="26">
        <v>41</v>
      </c>
      <c r="CN46" s="17" t="str">
        <f t="shared" si="0"/>
        <v>0041</v>
      </c>
      <c r="CO46" s="17" t="str">
        <f t="shared" si="2"/>
        <v>4141七飯町</v>
      </c>
      <c r="CP46" s="17" t="s">
        <v>3310</v>
      </c>
      <c r="CQ46" s="17" t="b">
        <f t="shared" si="3"/>
        <v>1</v>
      </c>
    </row>
    <row r="47" spans="6:95">
      <c r="F47" s="17" t="s">
        <v>3311</v>
      </c>
      <c r="G47" s="27" t="s">
        <v>1446</v>
      </c>
      <c r="H47" s="29" t="s">
        <v>1913</v>
      </c>
      <c r="I47" s="29" t="s">
        <v>1480</v>
      </c>
      <c r="J47" s="28" t="s">
        <v>1419</v>
      </c>
      <c r="L47" s="17" t="s">
        <v>3312</v>
      </c>
      <c r="M47" s="17" t="s">
        <v>3313</v>
      </c>
      <c r="N47" s="27" t="s">
        <v>3314</v>
      </c>
      <c r="O47" s="29" t="s">
        <v>1439</v>
      </c>
      <c r="P47" s="29" t="s">
        <v>3315</v>
      </c>
      <c r="Q47" s="29" t="s">
        <v>1439</v>
      </c>
      <c r="R47" s="29" t="s">
        <v>3316</v>
      </c>
      <c r="S47" s="28" t="s">
        <v>2311</v>
      </c>
      <c r="T47" s="28" t="s">
        <v>3317</v>
      </c>
      <c r="U47" s="28" t="s">
        <v>1439</v>
      </c>
      <c r="V47" s="28" t="s">
        <v>1495</v>
      </c>
      <c r="W47" s="28" t="s">
        <v>3318</v>
      </c>
      <c r="X47" s="17">
        <v>1</v>
      </c>
      <c r="AA47" s="35" t="s">
        <v>3317</v>
      </c>
      <c r="AB47" s="36"/>
      <c r="AC47" s="36"/>
      <c r="AD47" s="36"/>
      <c r="AE47" s="36"/>
      <c r="AF47" s="36"/>
      <c r="AG47" s="36" t="s">
        <v>3319</v>
      </c>
      <c r="AH47" s="36" t="s">
        <v>3320</v>
      </c>
      <c r="AI47" s="36"/>
      <c r="AJ47" s="36"/>
      <c r="AK47" s="36" t="s">
        <v>3321</v>
      </c>
      <c r="AL47" s="36" t="s">
        <v>3322</v>
      </c>
      <c r="AM47" s="36" t="s">
        <v>3323</v>
      </c>
      <c r="AN47" s="36"/>
      <c r="AO47" s="36"/>
      <c r="AP47" s="36"/>
      <c r="AQ47" s="36"/>
      <c r="AR47" s="36"/>
      <c r="AS47" s="36"/>
      <c r="AT47" s="36" t="s">
        <v>3324</v>
      </c>
      <c r="AU47" s="36" t="s">
        <v>3325</v>
      </c>
      <c r="AV47" s="36"/>
      <c r="AW47" s="36" t="s">
        <v>3326</v>
      </c>
      <c r="AX47" s="36"/>
      <c r="AY47" s="36"/>
      <c r="AZ47" s="36"/>
      <c r="BA47" s="36" t="s">
        <v>3327</v>
      </c>
      <c r="BB47" s="36"/>
      <c r="BC47" s="36"/>
      <c r="BD47" s="36"/>
      <c r="BE47" s="36"/>
      <c r="BF47" s="36"/>
      <c r="BG47" s="36"/>
      <c r="BH47" s="36"/>
      <c r="BI47" s="36"/>
      <c r="BJ47" s="36"/>
      <c r="BK47" s="36"/>
      <c r="BL47" s="36"/>
      <c r="BM47" s="36"/>
      <c r="BN47" s="36" t="s">
        <v>3328</v>
      </c>
      <c r="BO47" s="36"/>
      <c r="BP47" s="36"/>
      <c r="BQ47" s="36" t="s">
        <v>3329</v>
      </c>
      <c r="BR47" s="36"/>
      <c r="BS47" s="36"/>
      <c r="BT47" s="36" t="s">
        <v>3330</v>
      </c>
      <c r="BU47" s="37" t="s">
        <v>3331</v>
      </c>
      <c r="CJ47" s="26" t="s">
        <v>1378</v>
      </c>
      <c r="CK47" s="26" t="s">
        <v>3317</v>
      </c>
      <c r="CL47" s="26" t="str">
        <f t="shared" si="1"/>
        <v>北海道鹿部町</v>
      </c>
      <c r="CM47" s="26">
        <v>42</v>
      </c>
      <c r="CN47" s="17" t="str">
        <f t="shared" si="0"/>
        <v>0042</v>
      </c>
      <c r="CO47" s="17" t="str">
        <f t="shared" si="2"/>
        <v>4242鹿部町</v>
      </c>
      <c r="CP47" s="17" t="s">
        <v>3332</v>
      </c>
      <c r="CQ47" s="17" t="b">
        <f t="shared" si="3"/>
        <v>1</v>
      </c>
    </row>
    <row r="48" spans="6:95">
      <c r="F48" s="17" t="s">
        <v>3333</v>
      </c>
      <c r="G48" s="27" t="s">
        <v>1446</v>
      </c>
      <c r="H48" s="29" t="s">
        <v>1913</v>
      </c>
      <c r="I48" s="29" t="s">
        <v>1481</v>
      </c>
      <c r="J48" s="28" t="s">
        <v>1420</v>
      </c>
      <c r="L48" s="17" t="s">
        <v>3334</v>
      </c>
      <c r="M48" s="17" t="s">
        <v>3335</v>
      </c>
      <c r="N48" s="27" t="s">
        <v>3336</v>
      </c>
      <c r="O48" s="29" t="s">
        <v>1439</v>
      </c>
      <c r="P48" s="29" t="s">
        <v>3337</v>
      </c>
      <c r="Q48" s="29" t="s">
        <v>1439</v>
      </c>
      <c r="R48" s="29" t="s">
        <v>3338</v>
      </c>
      <c r="S48" s="28" t="s">
        <v>1920</v>
      </c>
      <c r="T48" s="28" t="s">
        <v>3157</v>
      </c>
      <c r="U48" s="28" t="s">
        <v>1439</v>
      </c>
      <c r="V48" s="28" t="s">
        <v>1495</v>
      </c>
      <c r="W48" s="28" t="s">
        <v>3339</v>
      </c>
      <c r="X48" s="17">
        <v>1</v>
      </c>
      <c r="AA48" s="30" t="s">
        <v>3157</v>
      </c>
      <c r="AB48" s="31"/>
      <c r="AC48" s="31"/>
      <c r="AD48" s="31"/>
      <c r="AE48" s="31"/>
      <c r="AF48" s="31"/>
      <c r="AG48" s="31" t="s">
        <v>3340</v>
      </c>
      <c r="AH48" s="31" t="s">
        <v>3341</v>
      </c>
      <c r="AI48" s="31"/>
      <c r="AJ48" s="31"/>
      <c r="AK48" s="31" t="s">
        <v>3342</v>
      </c>
      <c r="AL48" s="31" t="s">
        <v>3343</v>
      </c>
      <c r="AM48" s="31" t="s">
        <v>3344</v>
      </c>
      <c r="AN48" s="31"/>
      <c r="AO48" s="31"/>
      <c r="AP48" s="31"/>
      <c r="AQ48" s="31"/>
      <c r="AR48" s="31"/>
      <c r="AS48" s="31"/>
      <c r="AT48" s="31" t="s">
        <v>3345</v>
      </c>
      <c r="AU48" s="31" t="s">
        <v>3346</v>
      </c>
      <c r="AV48" s="31"/>
      <c r="AW48" s="31" t="s">
        <v>3347</v>
      </c>
      <c r="AX48" s="31"/>
      <c r="AY48" s="31"/>
      <c r="AZ48" s="31"/>
      <c r="BA48" s="31" t="s">
        <v>3348</v>
      </c>
      <c r="BB48" s="31"/>
      <c r="BC48" s="31"/>
      <c r="BD48" s="31"/>
      <c r="BE48" s="31"/>
      <c r="BF48" s="31"/>
      <c r="BG48" s="31"/>
      <c r="BH48" s="31"/>
      <c r="BI48" s="31"/>
      <c r="BJ48" s="31"/>
      <c r="BK48" s="31"/>
      <c r="BL48" s="31"/>
      <c r="BM48" s="31"/>
      <c r="BN48" s="31" t="s">
        <v>3349</v>
      </c>
      <c r="BO48" s="31"/>
      <c r="BP48" s="31"/>
      <c r="BQ48" s="31" t="s">
        <v>3350</v>
      </c>
      <c r="BR48" s="31"/>
      <c r="BS48" s="31"/>
      <c r="BT48" s="31" t="s">
        <v>3351</v>
      </c>
      <c r="BU48" s="32"/>
      <c r="CJ48" s="26" t="s">
        <v>1378</v>
      </c>
      <c r="CK48" s="26" t="s">
        <v>3157</v>
      </c>
      <c r="CL48" s="26" t="str">
        <f t="shared" si="1"/>
        <v>北海道森町</v>
      </c>
      <c r="CM48" s="26">
        <v>43</v>
      </c>
      <c r="CN48" s="17" t="str">
        <f t="shared" si="0"/>
        <v>0043</v>
      </c>
      <c r="CO48" s="17" t="str">
        <f t="shared" si="2"/>
        <v>4343森町</v>
      </c>
      <c r="CP48" s="17" t="s">
        <v>3352</v>
      </c>
      <c r="CQ48" s="17" t="b">
        <f t="shared" si="3"/>
        <v>1</v>
      </c>
    </row>
    <row r="49" spans="6:95">
      <c r="F49" s="17" t="s">
        <v>3353</v>
      </c>
      <c r="G49" s="27" t="s">
        <v>1446</v>
      </c>
      <c r="H49" s="29" t="s">
        <v>1913</v>
      </c>
      <c r="I49" s="29" t="s">
        <v>1482</v>
      </c>
      <c r="J49" s="28" t="s">
        <v>1421</v>
      </c>
      <c r="L49" s="17" t="s">
        <v>3354</v>
      </c>
      <c r="M49" s="17" t="s">
        <v>3355</v>
      </c>
      <c r="N49" s="27" t="s">
        <v>3356</v>
      </c>
      <c r="O49" s="29" t="s">
        <v>1439</v>
      </c>
      <c r="P49" s="29" t="s">
        <v>3357</v>
      </c>
      <c r="Q49" s="29" t="s">
        <v>1439</v>
      </c>
      <c r="R49" s="29" t="s">
        <v>3358</v>
      </c>
      <c r="S49" s="28" t="s">
        <v>1977</v>
      </c>
      <c r="T49" s="28" t="s">
        <v>3359</v>
      </c>
      <c r="U49" s="28" t="s">
        <v>1439</v>
      </c>
      <c r="V49" s="28" t="s">
        <v>1495</v>
      </c>
      <c r="W49" s="28" t="s">
        <v>3360</v>
      </c>
      <c r="X49" s="17">
        <v>1</v>
      </c>
      <c r="AA49" s="35" t="s">
        <v>3359</v>
      </c>
      <c r="AB49" s="36"/>
      <c r="AC49" s="36"/>
      <c r="AD49" s="36"/>
      <c r="AE49" s="36"/>
      <c r="AF49" s="36"/>
      <c r="AG49" s="36" t="s">
        <v>3361</v>
      </c>
      <c r="AH49" s="36" t="s">
        <v>3362</v>
      </c>
      <c r="AI49" s="36"/>
      <c r="AJ49" s="36"/>
      <c r="AK49" s="36" t="s">
        <v>3363</v>
      </c>
      <c r="AL49" s="36" t="s">
        <v>3364</v>
      </c>
      <c r="AM49" s="36" t="s">
        <v>3365</v>
      </c>
      <c r="AN49" s="36"/>
      <c r="AO49" s="36"/>
      <c r="AP49" s="36"/>
      <c r="AQ49" s="36"/>
      <c r="AR49" s="36"/>
      <c r="AS49" s="36"/>
      <c r="AT49" s="36" t="s">
        <v>3366</v>
      </c>
      <c r="AU49" s="36" t="s">
        <v>3367</v>
      </c>
      <c r="AV49" s="36"/>
      <c r="AW49" s="36" t="s">
        <v>3368</v>
      </c>
      <c r="AX49" s="36"/>
      <c r="AY49" s="36"/>
      <c r="AZ49" s="36"/>
      <c r="BA49" s="36"/>
      <c r="BB49" s="36"/>
      <c r="BC49" s="36"/>
      <c r="BD49" s="36"/>
      <c r="BE49" s="36"/>
      <c r="BF49" s="36"/>
      <c r="BG49" s="36"/>
      <c r="BH49" s="36"/>
      <c r="BI49" s="36"/>
      <c r="BJ49" s="36"/>
      <c r="BK49" s="36"/>
      <c r="BL49" s="36"/>
      <c r="BM49" s="36"/>
      <c r="BN49" s="36" t="s">
        <v>3369</v>
      </c>
      <c r="BO49" s="36"/>
      <c r="BP49" s="36"/>
      <c r="BQ49" s="36" t="s">
        <v>3370</v>
      </c>
      <c r="BR49" s="36"/>
      <c r="BS49" s="36"/>
      <c r="BT49" s="36"/>
      <c r="BU49" s="37"/>
      <c r="CJ49" s="26" t="s">
        <v>1378</v>
      </c>
      <c r="CK49" s="26" t="s">
        <v>3359</v>
      </c>
      <c r="CL49" s="26" t="str">
        <f t="shared" si="1"/>
        <v>北海道八雲町</v>
      </c>
      <c r="CM49" s="26">
        <v>44</v>
      </c>
      <c r="CN49" s="17" t="str">
        <f t="shared" si="0"/>
        <v>0044</v>
      </c>
      <c r="CO49" s="17" t="str">
        <f t="shared" si="2"/>
        <v>4444八雲町</v>
      </c>
      <c r="CP49" s="17" t="s">
        <v>3371</v>
      </c>
      <c r="CQ49" s="17" t="b">
        <f t="shared" si="3"/>
        <v>1</v>
      </c>
    </row>
    <row r="50" spans="6:95">
      <c r="F50" s="17" t="s">
        <v>3372</v>
      </c>
      <c r="G50" s="27" t="s">
        <v>1446</v>
      </c>
      <c r="H50" s="29" t="s">
        <v>1913</v>
      </c>
      <c r="I50" s="29" t="s">
        <v>1483</v>
      </c>
      <c r="J50" s="28" t="s">
        <v>1422</v>
      </c>
      <c r="L50" s="17" t="s">
        <v>3373</v>
      </c>
      <c r="M50" s="17" t="s">
        <v>3374</v>
      </c>
      <c r="N50" s="27" t="s">
        <v>3375</v>
      </c>
      <c r="O50" s="29" t="s">
        <v>1439</v>
      </c>
      <c r="P50" s="29" t="s">
        <v>3376</v>
      </c>
      <c r="Q50" s="29" t="s">
        <v>1439</v>
      </c>
      <c r="R50" s="29" t="s">
        <v>3377</v>
      </c>
      <c r="S50" s="28" t="s">
        <v>1743</v>
      </c>
      <c r="T50" s="28" t="s">
        <v>3378</v>
      </c>
      <c r="U50" s="28" t="s">
        <v>1439</v>
      </c>
      <c r="V50" s="28" t="s">
        <v>1495</v>
      </c>
      <c r="W50" s="28" t="s">
        <v>3379</v>
      </c>
      <c r="X50" s="17">
        <v>1</v>
      </c>
      <c r="AA50" s="30" t="s">
        <v>3378</v>
      </c>
      <c r="AB50" s="31"/>
      <c r="AC50" s="31"/>
      <c r="AD50" s="31"/>
      <c r="AE50" s="31"/>
      <c r="AF50" s="31"/>
      <c r="AG50" s="31" t="s">
        <v>3380</v>
      </c>
      <c r="AH50" s="31"/>
      <c r="AI50" s="31"/>
      <c r="AJ50" s="31"/>
      <c r="AK50" s="31" t="s">
        <v>3381</v>
      </c>
      <c r="AL50" s="31" t="s">
        <v>3382</v>
      </c>
      <c r="AM50" s="31" t="s">
        <v>3383</v>
      </c>
      <c r="AN50" s="31"/>
      <c r="AO50" s="31"/>
      <c r="AP50" s="31"/>
      <c r="AQ50" s="31"/>
      <c r="AR50" s="31"/>
      <c r="AS50" s="31"/>
      <c r="AT50" s="31" t="s">
        <v>3384</v>
      </c>
      <c r="AU50" s="31" t="s">
        <v>3385</v>
      </c>
      <c r="AV50" s="31"/>
      <c r="AW50" s="31" t="s">
        <v>3386</v>
      </c>
      <c r="AX50" s="31"/>
      <c r="AY50" s="31"/>
      <c r="AZ50" s="31"/>
      <c r="BA50" s="31"/>
      <c r="BB50" s="31"/>
      <c r="BC50" s="31"/>
      <c r="BD50" s="31"/>
      <c r="BE50" s="31"/>
      <c r="BF50" s="31"/>
      <c r="BG50" s="31"/>
      <c r="BH50" s="31"/>
      <c r="BI50" s="31"/>
      <c r="BJ50" s="31"/>
      <c r="BK50" s="31"/>
      <c r="BL50" s="31"/>
      <c r="BM50" s="31"/>
      <c r="BN50" s="31" t="s">
        <v>3387</v>
      </c>
      <c r="BO50" s="31"/>
      <c r="BP50" s="31"/>
      <c r="BQ50" s="31" t="s">
        <v>3388</v>
      </c>
      <c r="BR50" s="31"/>
      <c r="BS50" s="31"/>
      <c r="BT50" s="31"/>
      <c r="BU50" s="32"/>
      <c r="CJ50" s="26" t="s">
        <v>1378</v>
      </c>
      <c r="CK50" s="26" t="s">
        <v>3378</v>
      </c>
      <c r="CL50" s="26" t="str">
        <f t="shared" si="1"/>
        <v>北海道長万部町</v>
      </c>
      <c r="CM50" s="26">
        <v>45</v>
      </c>
      <c r="CN50" s="17" t="str">
        <f t="shared" si="0"/>
        <v>0045</v>
      </c>
      <c r="CO50" s="17" t="str">
        <f t="shared" si="2"/>
        <v>4545長万部町</v>
      </c>
      <c r="CP50" s="17" t="s">
        <v>3389</v>
      </c>
      <c r="CQ50" s="17" t="b">
        <f t="shared" si="3"/>
        <v>1</v>
      </c>
    </row>
    <row r="51" spans="6:95">
      <c r="F51" s="17" t="s">
        <v>3390</v>
      </c>
      <c r="G51" s="27" t="s">
        <v>1446</v>
      </c>
      <c r="H51" s="29" t="s">
        <v>1913</v>
      </c>
      <c r="I51" s="29" t="s">
        <v>1484</v>
      </c>
      <c r="J51" s="28" t="s">
        <v>1423</v>
      </c>
      <c r="L51" s="17" t="s">
        <v>3391</v>
      </c>
      <c r="M51" s="17" t="s">
        <v>3392</v>
      </c>
      <c r="N51" s="27" t="s">
        <v>3393</v>
      </c>
      <c r="O51" s="29" t="s">
        <v>1439</v>
      </c>
      <c r="P51" s="29" t="s">
        <v>3394</v>
      </c>
      <c r="Q51" s="29" t="s">
        <v>1439</v>
      </c>
      <c r="R51" s="29" t="s">
        <v>3395</v>
      </c>
      <c r="S51" s="28" t="s">
        <v>2525</v>
      </c>
      <c r="T51" s="28" t="s">
        <v>3396</v>
      </c>
      <c r="U51" s="28" t="s">
        <v>1439</v>
      </c>
      <c r="V51" s="28" t="s">
        <v>1495</v>
      </c>
      <c r="W51" s="28" t="s">
        <v>3397</v>
      </c>
      <c r="X51" s="17">
        <v>1</v>
      </c>
      <c r="AA51" s="35" t="s">
        <v>3396</v>
      </c>
      <c r="AB51" s="36"/>
      <c r="AC51" s="36"/>
      <c r="AD51" s="36"/>
      <c r="AE51" s="36"/>
      <c r="AF51" s="36"/>
      <c r="AG51" s="36" t="s">
        <v>3398</v>
      </c>
      <c r="AH51" s="36"/>
      <c r="AI51" s="36"/>
      <c r="AJ51" s="36"/>
      <c r="AK51" s="36" t="s">
        <v>3399</v>
      </c>
      <c r="AL51" s="36" t="s">
        <v>3400</v>
      </c>
      <c r="AM51" s="36" t="s">
        <v>3401</v>
      </c>
      <c r="AN51" s="36"/>
      <c r="AO51" s="36"/>
      <c r="AP51" s="36"/>
      <c r="AQ51" s="36"/>
      <c r="AR51" s="36"/>
      <c r="AS51" s="36"/>
      <c r="AT51" s="36" t="s">
        <v>3402</v>
      </c>
      <c r="AU51" s="36"/>
      <c r="AV51" s="36"/>
      <c r="AW51" s="36" t="s">
        <v>3403</v>
      </c>
      <c r="AX51" s="36"/>
      <c r="AY51" s="36"/>
      <c r="AZ51" s="36"/>
      <c r="BA51" s="36"/>
      <c r="BB51" s="36"/>
      <c r="BC51" s="36"/>
      <c r="BD51" s="36"/>
      <c r="BE51" s="36"/>
      <c r="BF51" s="36"/>
      <c r="BG51" s="36"/>
      <c r="BH51" s="36"/>
      <c r="BI51" s="36"/>
      <c r="BJ51" s="36"/>
      <c r="BK51" s="36"/>
      <c r="BL51" s="36"/>
      <c r="BM51" s="36"/>
      <c r="BN51" s="36" t="s">
        <v>3404</v>
      </c>
      <c r="BO51" s="36"/>
      <c r="BP51" s="36"/>
      <c r="BQ51" s="36"/>
      <c r="BR51" s="36"/>
      <c r="BS51" s="36"/>
      <c r="BT51" s="36"/>
      <c r="BU51" s="37"/>
      <c r="CJ51" s="26" t="s">
        <v>1378</v>
      </c>
      <c r="CK51" s="26" t="s">
        <v>3396</v>
      </c>
      <c r="CL51" s="26" t="str">
        <f t="shared" si="1"/>
        <v>北海道江差町</v>
      </c>
      <c r="CM51" s="26">
        <v>46</v>
      </c>
      <c r="CN51" s="17" t="str">
        <f t="shared" si="0"/>
        <v>0046</v>
      </c>
      <c r="CO51" s="17" t="str">
        <f t="shared" si="2"/>
        <v>4646江差町</v>
      </c>
      <c r="CP51" s="17" t="s">
        <v>3405</v>
      </c>
      <c r="CQ51" s="17" t="b">
        <f t="shared" si="3"/>
        <v>1</v>
      </c>
    </row>
    <row r="52" spans="6:95">
      <c r="F52" s="17" t="s">
        <v>3406</v>
      </c>
      <c r="G52" s="40" t="s">
        <v>1446</v>
      </c>
      <c r="H52" s="42" t="s">
        <v>1913</v>
      </c>
      <c r="I52" s="42" t="s">
        <v>1485</v>
      </c>
      <c r="J52" s="41" t="s">
        <v>1424</v>
      </c>
      <c r="L52" s="17" t="s">
        <v>3407</v>
      </c>
      <c r="M52" s="17" t="s">
        <v>3408</v>
      </c>
      <c r="N52" s="27" t="s">
        <v>3409</v>
      </c>
      <c r="O52" s="29" t="s">
        <v>1439</v>
      </c>
      <c r="P52" s="29" t="s">
        <v>3410</v>
      </c>
      <c r="Q52" s="29" t="s">
        <v>1439</v>
      </c>
      <c r="R52" s="29" t="s">
        <v>3411</v>
      </c>
      <c r="S52" s="28" t="s">
        <v>2311</v>
      </c>
      <c r="T52" s="28" t="s">
        <v>3412</v>
      </c>
      <c r="U52" s="28" t="s">
        <v>1439</v>
      </c>
      <c r="V52" s="28" t="s">
        <v>1495</v>
      </c>
      <c r="W52" s="28" t="s">
        <v>3413</v>
      </c>
      <c r="X52" s="17">
        <v>1</v>
      </c>
      <c r="AA52" s="30" t="s">
        <v>3412</v>
      </c>
      <c r="AB52" s="31"/>
      <c r="AC52" s="31"/>
      <c r="AD52" s="31"/>
      <c r="AE52" s="31"/>
      <c r="AF52" s="31"/>
      <c r="AG52" s="31" t="s">
        <v>3414</v>
      </c>
      <c r="AH52" s="31"/>
      <c r="AI52" s="31"/>
      <c r="AJ52" s="31"/>
      <c r="AK52" s="31" t="s">
        <v>3415</v>
      </c>
      <c r="AL52" s="31" t="s">
        <v>3416</v>
      </c>
      <c r="AM52" s="31" t="s">
        <v>3417</v>
      </c>
      <c r="AN52" s="31"/>
      <c r="AO52" s="31"/>
      <c r="AP52" s="31"/>
      <c r="AQ52" s="31"/>
      <c r="AR52" s="31"/>
      <c r="AS52" s="31"/>
      <c r="AT52" s="31" t="s">
        <v>3418</v>
      </c>
      <c r="AU52" s="31"/>
      <c r="AV52" s="31"/>
      <c r="AW52" s="31" t="s">
        <v>3419</v>
      </c>
      <c r="AX52" s="31"/>
      <c r="AY52" s="31"/>
      <c r="AZ52" s="31"/>
      <c r="BA52" s="31"/>
      <c r="BB52" s="31"/>
      <c r="BC52" s="31"/>
      <c r="BD52" s="31"/>
      <c r="BE52" s="31"/>
      <c r="BF52" s="31"/>
      <c r="BG52" s="31"/>
      <c r="BH52" s="31"/>
      <c r="BI52" s="31"/>
      <c r="BJ52" s="31"/>
      <c r="BK52" s="31"/>
      <c r="BL52" s="31"/>
      <c r="BM52" s="31"/>
      <c r="BN52" s="31" t="s">
        <v>3420</v>
      </c>
      <c r="BO52" s="31"/>
      <c r="BP52" s="31"/>
      <c r="BQ52" s="31"/>
      <c r="BR52" s="31"/>
      <c r="BS52" s="31"/>
      <c r="BT52" s="31"/>
      <c r="BU52" s="32"/>
      <c r="CJ52" s="26" t="s">
        <v>1378</v>
      </c>
      <c r="CK52" s="26" t="s">
        <v>3412</v>
      </c>
      <c r="CL52" s="26" t="str">
        <f t="shared" si="1"/>
        <v>北海道上ノ国町</v>
      </c>
      <c r="CM52" s="26">
        <v>47</v>
      </c>
      <c r="CN52" s="17" t="str">
        <f t="shared" si="0"/>
        <v>0047</v>
      </c>
      <c r="CO52" s="17" t="str">
        <f t="shared" si="2"/>
        <v>4747上ノ国町</v>
      </c>
      <c r="CP52" s="17" t="s">
        <v>3421</v>
      </c>
      <c r="CQ52" s="17" t="b">
        <f t="shared" si="3"/>
        <v>1</v>
      </c>
    </row>
    <row r="53" spans="6:95">
      <c r="L53" s="17" t="s">
        <v>3422</v>
      </c>
      <c r="M53" s="17" t="s">
        <v>3423</v>
      </c>
      <c r="N53" s="27" t="s">
        <v>3424</v>
      </c>
      <c r="O53" s="29" t="s">
        <v>1439</v>
      </c>
      <c r="P53" s="29" t="s">
        <v>3425</v>
      </c>
      <c r="Q53" s="29" t="s">
        <v>1439</v>
      </c>
      <c r="R53" s="29" t="s">
        <v>3426</v>
      </c>
      <c r="S53" s="28" t="s">
        <v>1564</v>
      </c>
      <c r="T53" s="28" t="s">
        <v>3427</v>
      </c>
      <c r="U53" s="28" t="s">
        <v>1439</v>
      </c>
      <c r="V53" s="28" t="s">
        <v>1495</v>
      </c>
      <c r="W53" s="28" t="s">
        <v>3428</v>
      </c>
      <c r="X53" s="17">
        <v>1</v>
      </c>
      <c r="AA53" s="35" t="s">
        <v>3427</v>
      </c>
      <c r="AB53" s="36"/>
      <c r="AC53" s="36"/>
      <c r="AD53" s="36"/>
      <c r="AE53" s="36"/>
      <c r="AF53" s="36"/>
      <c r="AG53" s="36" t="s">
        <v>3429</v>
      </c>
      <c r="AH53" s="36"/>
      <c r="AI53" s="36"/>
      <c r="AJ53" s="36"/>
      <c r="AK53" s="36" t="s">
        <v>3430</v>
      </c>
      <c r="AL53" s="36" t="s">
        <v>3431</v>
      </c>
      <c r="AM53" s="36" t="s">
        <v>3432</v>
      </c>
      <c r="AN53" s="36"/>
      <c r="AO53" s="36"/>
      <c r="AP53" s="36"/>
      <c r="AQ53" s="36"/>
      <c r="AR53" s="36"/>
      <c r="AS53" s="36"/>
      <c r="AT53" s="36" t="s">
        <v>3433</v>
      </c>
      <c r="AU53" s="36"/>
      <c r="AV53" s="36"/>
      <c r="AW53" s="36" t="s">
        <v>3434</v>
      </c>
      <c r="AX53" s="36"/>
      <c r="AY53" s="36"/>
      <c r="AZ53" s="36"/>
      <c r="BA53" s="36"/>
      <c r="BB53" s="36"/>
      <c r="BC53" s="36"/>
      <c r="BD53" s="36"/>
      <c r="BE53" s="36"/>
      <c r="BF53" s="36"/>
      <c r="BG53" s="36"/>
      <c r="BH53" s="36"/>
      <c r="BI53" s="36"/>
      <c r="BJ53" s="36"/>
      <c r="BK53" s="36"/>
      <c r="BL53" s="36"/>
      <c r="BM53" s="36"/>
      <c r="BN53" s="36" t="s">
        <v>3435</v>
      </c>
      <c r="BO53" s="36"/>
      <c r="BP53" s="36"/>
      <c r="BQ53" s="36"/>
      <c r="BR53" s="36"/>
      <c r="BS53" s="36"/>
      <c r="BT53" s="36"/>
      <c r="BU53" s="37"/>
      <c r="CJ53" s="26" t="s">
        <v>1378</v>
      </c>
      <c r="CK53" s="26" t="s">
        <v>3427</v>
      </c>
      <c r="CL53" s="26" t="str">
        <f t="shared" si="1"/>
        <v>北海道厚沢部町</v>
      </c>
      <c r="CM53" s="26">
        <v>48</v>
      </c>
      <c r="CN53" s="17" t="str">
        <f t="shared" si="0"/>
        <v>0048</v>
      </c>
      <c r="CO53" s="17" t="str">
        <f t="shared" si="2"/>
        <v>4848厚沢部町</v>
      </c>
      <c r="CP53" s="17" t="s">
        <v>3436</v>
      </c>
      <c r="CQ53" s="17" t="b">
        <f t="shared" si="3"/>
        <v>1</v>
      </c>
    </row>
    <row r="54" spans="6:95">
      <c r="L54" s="17" t="s">
        <v>3437</v>
      </c>
      <c r="M54" s="17" t="s">
        <v>3438</v>
      </c>
      <c r="N54" s="27" t="s">
        <v>3439</v>
      </c>
      <c r="O54" s="29" t="s">
        <v>1439</v>
      </c>
      <c r="P54" s="29" t="s">
        <v>3440</v>
      </c>
      <c r="Q54" s="29" t="s">
        <v>1439</v>
      </c>
      <c r="R54" s="29" t="s">
        <v>3441</v>
      </c>
      <c r="S54" s="28" t="s">
        <v>1626</v>
      </c>
      <c r="T54" s="28" t="s">
        <v>3442</v>
      </c>
      <c r="U54" s="28" t="s">
        <v>1439</v>
      </c>
      <c r="V54" s="28" t="s">
        <v>1495</v>
      </c>
      <c r="W54" s="28" t="s">
        <v>3443</v>
      </c>
      <c r="X54" s="17">
        <v>1</v>
      </c>
      <c r="AA54" s="30" t="s">
        <v>3442</v>
      </c>
      <c r="AB54" s="31"/>
      <c r="AC54" s="31"/>
      <c r="AD54" s="31"/>
      <c r="AE54" s="31"/>
      <c r="AF54" s="31"/>
      <c r="AG54" s="31" t="s">
        <v>3444</v>
      </c>
      <c r="AH54" s="31"/>
      <c r="AI54" s="31"/>
      <c r="AJ54" s="31"/>
      <c r="AK54" s="31" t="s">
        <v>3445</v>
      </c>
      <c r="AL54" s="31" t="s">
        <v>3446</v>
      </c>
      <c r="AM54" s="31" t="s">
        <v>3447</v>
      </c>
      <c r="AN54" s="31"/>
      <c r="AO54" s="31"/>
      <c r="AP54" s="31"/>
      <c r="AQ54" s="31"/>
      <c r="AR54" s="31"/>
      <c r="AS54" s="31"/>
      <c r="AT54" s="31" t="s">
        <v>3448</v>
      </c>
      <c r="AU54" s="31"/>
      <c r="AV54" s="31"/>
      <c r="AW54" s="31" t="s">
        <v>3449</v>
      </c>
      <c r="AX54" s="31"/>
      <c r="AY54" s="31"/>
      <c r="AZ54" s="31"/>
      <c r="BA54" s="31"/>
      <c r="BB54" s="31"/>
      <c r="BC54" s="31"/>
      <c r="BD54" s="31"/>
      <c r="BE54" s="31"/>
      <c r="BF54" s="31"/>
      <c r="BG54" s="31"/>
      <c r="BH54" s="31"/>
      <c r="BI54" s="31"/>
      <c r="BJ54" s="31"/>
      <c r="BK54" s="31"/>
      <c r="BL54" s="31"/>
      <c r="BM54" s="31"/>
      <c r="BN54" s="31" t="s">
        <v>3450</v>
      </c>
      <c r="BO54" s="31"/>
      <c r="BP54" s="31"/>
      <c r="BQ54" s="31"/>
      <c r="BR54" s="31"/>
      <c r="BS54" s="31"/>
      <c r="BT54" s="31"/>
      <c r="BU54" s="32"/>
      <c r="CJ54" s="26" t="s">
        <v>1378</v>
      </c>
      <c r="CK54" s="26" t="s">
        <v>3442</v>
      </c>
      <c r="CL54" s="26" t="str">
        <f t="shared" si="1"/>
        <v>北海道乙部町</v>
      </c>
      <c r="CM54" s="26">
        <v>49</v>
      </c>
      <c r="CN54" s="17" t="str">
        <f t="shared" si="0"/>
        <v>0049</v>
      </c>
      <c r="CO54" s="17" t="str">
        <f t="shared" si="2"/>
        <v>4949乙部町</v>
      </c>
      <c r="CP54" s="17" t="s">
        <v>3451</v>
      </c>
      <c r="CQ54" s="17" t="b">
        <f t="shared" si="3"/>
        <v>1</v>
      </c>
    </row>
    <row r="55" spans="6:95">
      <c r="L55" s="17" t="s">
        <v>3452</v>
      </c>
      <c r="M55" s="17" t="s">
        <v>3453</v>
      </c>
      <c r="N55" s="27" t="s">
        <v>3454</v>
      </c>
      <c r="O55" s="29" t="s">
        <v>1439</v>
      </c>
      <c r="P55" s="29" t="s">
        <v>3455</v>
      </c>
      <c r="Q55" s="29" t="s">
        <v>1439</v>
      </c>
      <c r="R55" s="29" t="s">
        <v>3456</v>
      </c>
      <c r="S55" s="28" t="s">
        <v>1803</v>
      </c>
      <c r="T55" s="28" t="s">
        <v>3457</v>
      </c>
      <c r="U55" s="28" t="s">
        <v>1439</v>
      </c>
      <c r="V55" s="28" t="s">
        <v>1495</v>
      </c>
      <c r="W55" s="28" t="s">
        <v>3458</v>
      </c>
      <c r="X55" s="17">
        <v>1</v>
      </c>
      <c r="AA55" s="35" t="s">
        <v>3457</v>
      </c>
      <c r="AB55" s="36"/>
      <c r="AC55" s="36"/>
      <c r="AD55" s="36"/>
      <c r="AE55" s="36"/>
      <c r="AF55" s="36"/>
      <c r="AG55" s="36" t="s">
        <v>3459</v>
      </c>
      <c r="AH55" s="36"/>
      <c r="AI55" s="36"/>
      <c r="AJ55" s="36"/>
      <c r="AK55" s="36" t="s">
        <v>3460</v>
      </c>
      <c r="AL55" s="36" t="s">
        <v>3461</v>
      </c>
      <c r="AM55" s="36" t="s">
        <v>3462</v>
      </c>
      <c r="AN55" s="36"/>
      <c r="AO55" s="36"/>
      <c r="AP55" s="36"/>
      <c r="AQ55" s="36"/>
      <c r="AR55" s="36"/>
      <c r="AS55" s="36"/>
      <c r="AT55" s="36" t="s">
        <v>3463</v>
      </c>
      <c r="AU55" s="36"/>
      <c r="AV55" s="36"/>
      <c r="AW55" s="36" t="s">
        <v>3464</v>
      </c>
      <c r="AX55" s="36"/>
      <c r="AY55" s="36"/>
      <c r="AZ55" s="36"/>
      <c r="BA55" s="36"/>
      <c r="BB55" s="36"/>
      <c r="BC55" s="36"/>
      <c r="BD55" s="36"/>
      <c r="BE55" s="36"/>
      <c r="BF55" s="36"/>
      <c r="BG55" s="36"/>
      <c r="BH55" s="36"/>
      <c r="BI55" s="36"/>
      <c r="BJ55" s="36"/>
      <c r="BK55" s="36"/>
      <c r="BL55" s="36"/>
      <c r="BM55" s="36"/>
      <c r="BN55" s="36" t="s">
        <v>2342</v>
      </c>
      <c r="BO55" s="36"/>
      <c r="BP55" s="36"/>
      <c r="BQ55" s="36"/>
      <c r="BR55" s="36"/>
      <c r="BS55" s="36"/>
      <c r="BT55" s="36"/>
      <c r="BU55" s="37"/>
      <c r="CJ55" s="26" t="s">
        <v>1378</v>
      </c>
      <c r="CK55" s="26" t="s">
        <v>3457</v>
      </c>
      <c r="CL55" s="26" t="str">
        <f t="shared" si="1"/>
        <v>北海道奥尻町</v>
      </c>
      <c r="CM55" s="26">
        <v>50</v>
      </c>
      <c r="CN55" s="17" t="str">
        <f t="shared" si="0"/>
        <v>0050</v>
      </c>
      <c r="CO55" s="17" t="str">
        <f t="shared" si="2"/>
        <v>5050奥尻町</v>
      </c>
      <c r="CP55" s="17" t="s">
        <v>3465</v>
      </c>
      <c r="CQ55" s="17" t="b">
        <f t="shared" si="3"/>
        <v>1</v>
      </c>
    </row>
    <row r="56" spans="6:95">
      <c r="L56" s="17" t="s">
        <v>3466</v>
      </c>
      <c r="M56" s="17" t="s">
        <v>3467</v>
      </c>
      <c r="N56" s="27" t="s">
        <v>3468</v>
      </c>
      <c r="O56" s="29" t="s">
        <v>1439</v>
      </c>
      <c r="P56" s="29" t="s">
        <v>3469</v>
      </c>
      <c r="Q56" s="29" t="s">
        <v>1439</v>
      </c>
      <c r="R56" s="29" t="s">
        <v>3470</v>
      </c>
      <c r="S56" s="28" t="s">
        <v>1977</v>
      </c>
      <c r="T56" s="28" t="s">
        <v>3471</v>
      </c>
      <c r="U56" s="28" t="s">
        <v>1439</v>
      </c>
      <c r="V56" s="28" t="s">
        <v>1495</v>
      </c>
      <c r="W56" s="28" t="s">
        <v>3469</v>
      </c>
      <c r="X56" s="17">
        <v>1</v>
      </c>
      <c r="AA56" s="30" t="s">
        <v>3471</v>
      </c>
      <c r="AB56" s="31"/>
      <c r="AC56" s="31"/>
      <c r="AD56" s="31"/>
      <c r="AE56" s="31"/>
      <c r="AF56" s="31"/>
      <c r="AG56" s="31" t="s">
        <v>3472</v>
      </c>
      <c r="AH56" s="31"/>
      <c r="AI56" s="31"/>
      <c r="AJ56" s="31"/>
      <c r="AK56" s="31" t="s">
        <v>3473</v>
      </c>
      <c r="AL56" s="31" t="s">
        <v>3474</v>
      </c>
      <c r="AM56" s="31" t="s">
        <v>3475</v>
      </c>
      <c r="AN56" s="31"/>
      <c r="AO56" s="31"/>
      <c r="AP56" s="31"/>
      <c r="AQ56" s="31"/>
      <c r="AR56" s="31"/>
      <c r="AS56" s="31"/>
      <c r="AT56" s="31" t="s">
        <v>3476</v>
      </c>
      <c r="AU56" s="31"/>
      <c r="AV56" s="31"/>
      <c r="AW56" s="31" t="s">
        <v>3477</v>
      </c>
      <c r="AX56" s="31"/>
      <c r="AY56" s="31"/>
      <c r="AZ56" s="31"/>
      <c r="BA56" s="31"/>
      <c r="BB56" s="31"/>
      <c r="BC56" s="31"/>
      <c r="BD56" s="31"/>
      <c r="BE56" s="31"/>
      <c r="BF56" s="31"/>
      <c r="BG56" s="31"/>
      <c r="BH56" s="31"/>
      <c r="BI56" s="31"/>
      <c r="BJ56" s="31"/>
      <c r="BK56" s="31"/>
      <c r="BL56" s="31"/>
      <c r="BM56" s="31"/>
      <c r="BN56" s="31" t="s">
        <v>3478</v>
      </c>
      <c r="BO56" s="31"/>
      <c r="BP56" s="31"/>
      <c r="BQ56" s="31"/>
      <c r="BR56" s="31"/>
      <c r="BS56" s="31"/>
      <c r="BT56" s="31"/>
      <c r="BU56" s="32"/>
      <c r="CJ56" s="26" t="s">
        <v>1378</v>
      </c>
      <c r="CK56" s="26" t="s">
        <v>3471</v>
      </c>
      <c r="CL56" s="26" t="str">
        <f t="shared" si="1"/>
        <v>北海道今金町</v>
      </c>
      <c r="CM56" s="26">
        <v>51</v>
      </c>
      <c r="CN56" s="17" t="str">
        <f t="shared" si="0"/>
        <v>0051</v>
      </c>
      <c r="CO56" s="17" t="str">
        <f t="shared" si="2"/>
        <v>5151今金町</v>
      </c>
      <c r="CP56" s="17" t="s">
        <v>3479</v>
      </c>
      <c r="CQ56" s="17" t="b">
        <f t="shared" si="3"/>
        <v>1</v>
      </c>
    </row>
    <row r="57" spans="6:95">
      <c r="L57" s="17" t="s">
        <v>3480</v>
      </c>
      <c r="M57" s="17" t="s">
        <v>3481</v>
      </c>
      <c r="N57" s="27" t="s">
        <v>3482</v>
      </c>
      <c r="O57" s="29" t="s">
        <v>1439</v>
      </c>
      <c r="P57" s="29" t="s">
        <v>3483</v>
      </c>
      <c r="Q57" s="29" t="s">
        <v>1439</v>
      </c>
      <c r="R57" s="29" t="s">
        <v>3484</v>
      </c>
      <c r="S57" s="28" t="s">
        <v>1743</v>
      </c>
      <c r="T57" s="28" t="s">
        <v>3485</v>
      </c>
      <c r="U57" s="28" t="s">
        <v>1439</v>
      </c>
      <c r="V57" s="28" t="s">
        <v>1495</v>
      </c>
      <c r="W57" s="28" t="s">
        <v>3483</v>
      </c>
      <c r="X57" s="17">
        <v>1</v>
      </c>
      <c r="AA57" s="35" t="s">
        <v>3485</v>
      </c>
      <c r="AB57" s="36"/>
      <c r="AC57" s="36"/>
      <c r="AD57" s="36"/>
      <c r="AE57" s="36"/>
      <c r="AF57" s="36"/>
      <c r="AG57" s="36" t="s">
        <v>3486</v>
      </c>
      <c r="AH57" s="36"/>
      <c r="AI57" s="36"/>
      <c r="AJ57" s="36"/>
      <c r="AK57" s="36" t="s">
        <v>3487</v>
      </c>
      <c r="AL57" s="36" t="s">
        <v>3488</v>
      </c>
      <c r="AM57" s="36" t="s">
        <v>3489</v>
      </c>
      <c r="AN57" s="36"/>
      <c r="AO57" s="36"/>
      <c r="AP57" s="36"/>
      <c r="AQ57" s="36"/>
      <c r="AR57" s="36"/>
      <c r="AS57" s="36"/>
      <c r="AT57" s="36" t="s">
        <v>3490</v>
      </c>
      <c r="AU57" s="36"/>
      <c r="AV57" s="36"/>
      <c r="AW57" s="36" t="s">
        <v>3491</v>
      </c>
      <c r="AX57" s="36"/>
      <c r="AY57" s="36"/>
      <c r="AZ57" s="36"/>
      <c r="BA57" s="36"/>
      <c r="BB57" s="36"/>
      <c r="BC57" s="36"/>
      <c r="BD57" s="36"/>
      <c r="BE57" s="36"/>
      <c r="BF57" s="36"/>
      <c r="BG57" s="36"/>
      <c r="BH57" s="36"/>
      <c r="BI57" s="36"/>
      <c r="BJ57" s="36"/>
      <c r="BK57" s="36"/>
      <c r="BL57" s="36"/>
      <c r="BM57" s="36"/>
      <c r="BN57" s="36" t="s">
        <v>3492</v>
      </c>
      <c r="BO57" s="36"/>
      <c r="BP57" s="36"/>
      <c r="BQ57" s="36"/>
      <c r="BR57" s="36"/>
      <c r="BS57" s="36"/>
      <c r="BT57" s="36"/>
      <c r="BU57" s="37"/>
      <c r="CJ57" s="26" t="s">
        <v>1378</v>
      </c>
      <c r="CK57" s="26" t="s">
        <v>3485</v>
      </c>
      <c r="CL57" s="26" t="str">
        <f t="shared" si="1"/>
        <v>北海道せたな町</v>
      </c>
      <c r="CM57" s="26">
        <v>52</v>
      </c>
      <c r="CN57" s="17" t="str">
        <f t="shared" si="0"/>
        <v>0052</v>
      </c>
      <c r="CO57" s="17" t="str">
        <f t="shared" si="2"/>
        <v>5252せたな町</v>
      </c>
      <c r="CP57" s="17" t="s">
        <v>3493</v>
      </c>
      <c r="CQ57" s="17" t="b">
        <f t="shared" si="3"/>
        <v>1</v>
      </c>
    </row>
    <row r="58" spans="6:95">
      <c r="L58" s="17" t="s">
        <v>3494</v>
      </c>
      <c r="M58" s="17" t="s">
        <v>3495</v>
      </c>
      <c r="N58" s="27" t="s">
        <v>3496</v>
      </c>
      <c r="O58" s="29" t="s">
        <v>1439</v>
      </c>
      <c r="P58" s="29" t="s">
        <v>3497</v>
      </c>
      <c r="Q58" s="29" t="s">
        <v>1439</v>
      </c>
      <c r="R58" s="29" t="s">
        <v>3498</v>
      </c>
      <c r="S58" s="28" t="s">
        <v>1862</v>
      </c>
      <c r="T58" s="28" t="s">
        <v>3499</v>
      </c>
      <c r="U58" s="28" t="s">
        <v>1439</v>
      </c>
      <c r="V58" s="28" t="s">
        <v>1495</v>
      </c>
      <c r="W58" s="28" t="s">
        <v>3500</v>
      </c>
      <c r="X58" s="17">
        <v>1</v>
      </c>
      <c r="AA58" s="30" t="s">
        <v>3499</v>
      </c>
      <c r="AB58" s="31"/>
      <c r="AC58" s="31"/>
      <c r="AD58" s="31"/>
      <c r="AE58" s="31"/>
      <c r="AF58" s="31"/>
      <c r="AG58" s="31" t="s">
        <v>3501</v>
      </c>
      <c r="AH58" s="31"/>
      <c r="AI58" s="31"/>
      <c r="AJ58" s="31"/>
      <c r="AK58" s="31" t="s">
        <v>3502</v>
      </c>
      <c r="AL58" s="31" t="s">
        <v>3503</v>
      </c>
      <c r="AM58" s="31" t="s">
        <v>3504</v>
      </c>
      <c r="AN58" s="31"/>
      <c r="AO58" s="31"/>
      <c r="AP58" s="31"/>
      <c r="AQ58" s="31"/>
      <c r="AR58" s="31"/>
      <c r="AS58" s="31"/>
      <c r="AT58" s="31" t="s">
        <v>2769</v>
      </c>
      <c r="AU58" s="31"/>
      <c r="AV58" s="31"/>
      <c r="AW58" s="31" t="s">
        <v>3505</v>
      </c>
      <c r="AX58" s="31"/>
      <c r="AY58" s="31"/>
      <c r="AZ58" s="31"/>
      <c r="BA58" s="31"/>
      <c r="BB58" s="31"/>
      <c r="BC58" s="31"/>
      <c r="BD58" s="31"/>
      <c r="BE58" s="31"/>
      <c r="BF58" s="31"/>
      <c r="BG58" s="31"/>
      <c r="BH58" s="31"/>
      <c r="BI58" s="31"/>
      <c r="BJ58" s="31"/>
      <c r="BK58" s="31"/>
      <c r="BL58" s="31"/>
      <c r="BM58" s="31"/>
      <c r="BN58" s="31" t="s">
        <v>3506</v>
      </c>
      <c r="BO58" s="31"/>
      <c r="BP58" s="31"/>
      <c r="BQ58" s="31"/>
      <c r="BR58" s="31"/>
      <c r="BS58" s="31"/>
      <c r="BT58" s="31"/>
      <c r="BU58" s="32"/>
      <c r="CJ58" s="26" t="s">
        <v>1378</v>
      </c>
      <c r="CK58" s="26" t="s">
        <v>3499</v>
      </c>
      <c r="CL58" s="26" t="str">
        <f t="shared" si="1"/>
        <v>北海道寿都町</v>
      </c>
      <c r="CM58" s="26">
        <v>53</v>
      </c>
      <c r="CN58" s="17" t="str">
        <f t="shared" si="0"/>
        <v>0053</v>
      </c>
      <c r="CO58" s="17" t="str">
        <f t="shared" si="2"/>
        <v>5353寿都町</v>
      </c>
      <c r="CP58" s="17" t="s">
        <v>3507</v>
      </c>
      <c r="CQ58" s="17" t="b">
        <f t="shared" si="3"/>
        <v>1</v>
      </c>
    </row>
    <row r="59" spans="6:95">
      <c r="L59" s="17" t="s">
        <v>3508</v>
      </c>
      <c r="M59" s="17" t="s">
        <v>3509</v>
      </c>
      <c r="N59" s="27" t="s">
        <v>3510</v>
      </c>
      <c r="O59" s="29" t="s">
        <v>1439</v>
      </c>
      <c r="P59" s="29" t="s">
        <v>3511</v>
      </c>
      <c r="Q59" s="29" t="s">
        <v>1439</v>
      </c>
      <c r="R59" s="29" t="s">
        <v>3512</v>
      </c>
      <c r="S59" s="28" t="s">
        <v>1502</v>
      </c>
      <c r="T59" s="28" t="s">
        <v>3513</v>
      </c>
      <c r="U59" s="28" t="s">
        <v>1439</v>
      </c>
      <c r="V59" s="28" t="s">
        <v>1495</v>
      </c>
      <c r="W59" s="28" t="s">
        <v>3514</v>
      </c>
      <c r="X59" s="17">
        <v>1</v>
      </c>
      <c r="AA59" s="35" t="s">
        <v>3513</v>
      </c>
      <c r="AB59" s="36"/>
      <c r="AC59" s="36"/>
      <c r="AD59" s="36"/>
      <c r="AE59" s="36"/>
      <c r="AF59" s="36"/>
      <c r="AG59" s="36" t="s">
        <v>3515</v>
      </c>
      <c r="AH59" s="36"/>
      <c r="AI59" s="36"/>
      <c r="AJ59" s="36"/>
      <c r="AK59" s="36" t="s">
        <v>3516</v>
      </c>
      <c r="AL59" s="36" t="s">
        <v>3517</v>
      </c>
      <c r="AM59" s="36" t="s">
        <v>3518</v>
      </c>
      <c r="AN59" s="36"/>
      <c r="AO59" s="36"/>
      <c r="AP59" s="36"/>
      <c r="AQ59" s="36"/>
      <c r="AR59" s="36"/>
      <c r="AS59" s="36"/>
      <c r="AT59" s="36" t="s">
        <v>3519</v>
      </c>
      <c r="AU59" s="36"/>
      <c r="AV59" s="36"/>
      <c r="AW59" s="36" t="s">
        <v>3520</v>
      </c>
      <c r="AX59" s="36"/>
      <c r="AY59" s="36"/>
      <c r="AZ59" s="36"/>
      <c r="BA59" s="36"/>
      <c r="BB59" s="36"/>
      <c r="BC59" s="36"/>
      <c r="BD59" s="36"/>
      <c r="BE59" s="36"/>
      <c r="BF59" s="36"/>
      <c r="BG59" s="36"/>
      <c r="BH59" s="36"/>
      <c r="BI59" s="36"/>
      <c r="BJ59" s="36"/>
      <c r="BK59" s="36"/>
      <c r="BL59" s="36"/>
      <c r="BM59" s="36"/>
      <c r="BN59" s="36" t="s">
        <v>3521</v>
      </c>
      <c r="BO59" s="36"/>
      <c r="BP59" s="36"/>
      <c r="BQ59" s="36"/>
      <c r="BR59" s="36"/>
      <c r="BS59" s="36"/>
      <c r="BT59" s="36"/>
      <c r="BU59" s="37"/>
      <c r="CJ59" s="26" t="s">
        <v>1378</v>
      </c>
      <c r="CK59" s="26" t="s">
        <v>3513</v>
      </c>
      <c r="CL59" s="26" t="str">
        <f t="shared" si="1"/>
        <v>北海道岩内町</v>
      </c>
      <c r="CM59" s="26">
        <v>54</v>
      </c>
      <c r="CN59" s="17" t="str">
        <f t="shared" si="0"/>
        <v>0054</v>
      </c>
      <c r="CO59" s="17" t="str">
        <f t="shared" si="2"/>
        <v>5454岩内町</v>
      </c>
      <c r="CP59" s="17" t="s">
        <v>3522</v>
      </c>
      <c r="CQ59" s="17" t="b">
        <f t="shared" si="3"/>
        <v>1</v>
      </c>
    </row>
    <row r="60" spans="6:95">
      <c r="L60" s="17" t="s">
        <v>3523</v>
      </c>
      <c r="M60" s="17" t="s">
        <v>3524</v>
      </c>
      <c r="N60" s="27" t="s">
        <v>3525</v>
      </c>
      <c r="O60" s="29" t="s">
        <v>1439</v>
      </c>
      <c r="P60" s="29" t="s">
        <v>3526</v>
      </c>
      <c r="Q60" s="29" t="s">
        <v>1439</v>
      </c>
      <c r="R60" s="29" t="s">
        <v>3527</v>
      </c>
      <c r="S60" s="28" t="s">
        <v>1743</v>
      </c>
      <c r="T60" s="28" t="s">
        <v>3528</v>
      </c>
      <c r="U60" s="28" t="s">
        <v>1439</v>
      </c>
      <c r="V60" s="28" t="s">
        <v>1495</v>
      </c>
      <c r="W60" s="28" t="s">
        <v>3529</v>
      </c>
      <c r="X60" s="17">
        <v>1</v>
      </c>
      <c r="AA60" s="30" t="s">
        <v>3528</v>
      </c>
      <c r="AB60" s="31"/>
      <c r="AC60" s="31"/>
      <c r="AD60" s="31"/>
      <c r="AE60" s="31"/>
      <c r="AF60" s="31"/>
      <c r="AG60" s="31" t="s">
        <v>3530</v>
      </c>
      <c r="AH60" s="31"/>
      <c r="AI60" s="31"/>
      <c r="AJ60" s="31"/>
      <c r="AK60" s="31" t="s">
        <v>2354</v>
      </c>
      <c r="AL60" s="31"/>
      <c r="AM60" s="31" t="s">
        <v>3531</v>
      </c>
      <c r="AN60" s="31"/>
      <c r="AO60" s="31"/>
      <c r="AP60" s="31"/>
      <c r="AQ60" s="31"/>
      <c r="AR60" s="31"/>
      <c r="AS60" s="31"/>
      <c r="AT60" s="31" t="s">
        <v>3532</v>
      </c>
      <c r="AU60" s="31"/>
      <c r="AV60" s="31"/>
      <c r="AW60" s="31" t="s">
        <v>3533</v>
      </c>
      <c r="AX60" s="31"/>
      <c r="AY60" s="31"/>
      <c r="AZ60" s="31"/>
      <c r="BA60" s="31"/>
      <c r="BB60" s="31"/>
      <c r="BC60" s="31"/>
      <c r="BD60" s="31"/>
      <c r="BE60" s="31"/>
      <c r="BF60" s="31"/>
      <c r="BG60" s="31"/>
      <c r="BH60" s="31"/>
      <c r="BI60" s="31"/>
      <c r="BJ60" s="31"/>
      <c r="BK60" s="31"/>
      <c r="BL60" s="31"/>
      <c r="BM60" s="31"/>
      <c r="BN60" s="31" t="s">
        <v>2580</v>
      </c>
      <c r="BO60" s="31"/>
      <c r="BP60" s="31"/>
      <c r="BQ60" s="31"/>
      <c r="BR60" s="31"/>
      <c r="BS60" s="31"/>
      <c r="BT60" s="31"/>
      <c r="BU60" s="32"/>
      <c r="CJ60" s="26" t="s">
        <v>1378</v>
      </c>
      <c r="CK60" s="26" t="s">
        <v>3528</v>
      </c>
      <c r="CL60" s="26" t="str">
        <f t="shared" si="1"/>
        <v>北海道余市町</v>
      </c>
      <c r="CM60" s="26">
        <v>55</v>
      </c>
      <c r="CN60" s="17" t="str">
        <f t="shared" si="0"/>
        <v>0055</v>
      </c>
      <c r="CO60" s="17" t="str">
        <f t="shared" si="2"/>
        <v>5555余市町</v>
      </c>
      <c r="CP60" s="17" t="s">
        <v>3534</v>
      </c>
      <c r="CQ60" s="17" t="b">
        <f t="shared" si="3"/>
        <v>1</v>
      </c>
    </row>
    <row r="61" spans="6:95">
      <c r="L61" s="17" t="s">
        <v>3535</v>
      </c>
      <c r="M61" s="17" t="s">
        <v>3536</v>
      </c>
      <c r="N61" s="27" t="s">
        <v>3537</v>
      </c>
      <c r="O61" s="29" t="s">
        <v>1439</v>
      </c>
      <c r="P61" s="29" t="s">
        <v>3538</v>
      </c>
      <c r="Q61" s="29" t="s">
        <v>1439</v>
      </c>
      <c r="R61" s="29" t="s">
        <v>3539</v>
      </c>
      <c r="S61" s="28" t="s">
        <v>2311</v>
      </c>
      <c r="T61" s="28" t="s">
        <v>3540</v>
      </c>
      <c r="U61" s="28" t="s">
        <v>1439</v>
      </c>
      <c r="V61" s="28" t="s">
        <v>1495</v>
      </c>
      <c r="W61" s="28" t="s">
        <v>3541</v>
      </c>
      <c r="X61" s="17">
        <v>1</v>
      </c>
      <c r="AA61" s="35" t="s">
        <v>3540</v>
      </c>
      <c r="AB61" s="36"/>
      <c r="AC61" s="36"/>
      <c r="AD61" s="36"/>
      <c r="AE61" s="36"/>
      <c r="AF61" s="36"/>
      <c r="AG61" s="36" t="s">
        <v>3542</v>
      </c>
      <c r="AH61" s="36"/>
      <c r="AI61" s="36"/>
      <c r="AJ61" s="36"/>
      <c r="AK61" s="36" t="s">
        <v>3543</v>
      </c>
      <c r="AL61" s="36"/>
      <c r="AM61" s="36" t="s">
        <v>3544</v>
      </c>
      <c r="AN61" s="36"/>
      <c r="AO61" s="36"/>
      <c r="AP61" s="36"/>
      <c r="AQ61" s="36"/>
      <c r="AR61" s="36"/>
      <c r="AS61" s="36"/>
      <c r="AT61" s="36" t="s">
        <v>3545</v>
      </c>
      <c r="AU61" s="36"/>
      <c r="AV61" s="36"/>
      <c r="AW61" s="36" t="s">
        <v>3546</v>
      </c>
      <c r="AX61" s="36"/>
      <c r="AY61" s="36"/>
      <c r="AZ61" s="36"/>
      <c r="BA61" s="36"/>
      <c r="BB61" s="36"/>
      <c r="BC61" s="36"/>
      <c r="BD61" s="36"/>
      <c r="BE61" s="36"/>
      <c r="BF61" s="36"/>
      <c r="BG61" s="36"/>
      <c r="BH61" s="36"/>
      <c r="BI61" s="36"/>
      <c r="BJ61" s="36"/>
      <c r="BK61" s="36"/>
      <c r="BL61" s="36"/>
      <c r="BM61" s="36"/>
      <c r="BN61" s="36" t="s">
        <v>3547</v>
      </c>
      <c r="BO61" s="36"/>
      <c r="BP61" s="36"/>
      <c r="BQ61" s="36"/>
      <c r="BR61" s="36"/>
      <c r="BS61" s="36"/>
      <c r="BT61" s="36"/>
      <c r="BU61" s="37"/>
      <c r="CJ61" s="26" t="s">
        <v>1378</v>
      </c>
      <c r="CK61" s="26" t="s">
        <v>3540</v>
      </c>
      <c r="CL61" s="26" t="str">
        <f t="shared" si="1"/>
        <v>北海道南幌町</v>
      </c>
      <c r="CM61" s="26">
        <v>56</v>
      </c>
      <c r="CN61" s="17" t="str">
        <f t="shared" si="0"/>
        <v>0056</v>
      </c>
      <c r="CO61" s="17" t="str">
        <f t="shared" si="2"/>
        <v>5656南幌町</v>
      </c>
      <c r="CP61" s="17" t="s">
        <v>3548</v>
      </c>
      <c r="CQ61" s="17" t="b">
        <f t="shared" si="3"/>
        <v>1</v>
      </c>
    </row>
    <row r="62" spans="6:95">
      <c r="L62" s="17" t="s">
        <v>3549</v>
      </c>
      <c r="M62" s="17" t="s">
        <v>3550</v>
      </c>
      <c r="N62" s="27" t="s">
        <v>3551</v>
      </c>
      <c r="O62" s="29" t="s">
        <v>1439</v>
      </c>
      <c r="P62" s="29" t="s">
        <v>3552</v>
      </c>
      <c r="Q62" s="29" t="s">
        <v>1439</v>
      </c>
      <c r="R62" s="29" t="s">
        <v>3553</v>
      </c>
      <c r="S62" s="28" t="s">
        <v>1743</v>
      </c>
      <c r="T62" s="28" t="s">
        <v>3554</v>
      </c>
      <c r="U62" s="28" t="s">
        <v>1439</v>
      </c>
      <c r="V62" s="28" t="s">
        <v>1495</v>
      </c>
      <c r="W62" s="28" t="s">
        <v>3555</v>
      </c>
      <c r="X62" s="17">
        <v>1</v>
      </c>
      <c r="AA62" s="30" t="s">
        <v>3554</v>
      </c>
      <c r="AB62" s="31"/>
      <c r="AC62" s="31"/>
      <c r="AD62" s="31"/>
      <c r="AE62" s="31"/>
      <c r="AF62" s="31"/>
      <c r="AG62" s="31" t="s">
        <v>3556</v>
      </c>
      <c r="AH62" s="31"/>
      <c r="AI62" s="31"/>
      <c r="AJ62" s="31"/>
      <c r="AK62" s="31" t="s">
        <v>3557</v>
      </c>
      <c r="AL62" s="31"/>
      <c r="AM62" s="31" t="s">
        <v>3558</v>
      </c>
      <c r="AN62" s="31"/>
      <c r="AO62" s="31"/>
      <c r="AP62" s="31"/>
      <c r="AQ62" s="31"/>
      <c r="AR62" s="31"/>
      <c r="AS62" s="31"/>
      <c r="AT62" s="31" t="s">
        <v>3559</v>
      </c>
      <c r="AU62" s="31"/>
      <c r="AV62" s="31"/>
      <c r="AW62" s="31"/>
      <c r="AX62" s="31"/>
      <c r="AY62" s="31"/>
      <c r="AZ62" s="31"/>
      <c r="BA62" s="31"/>
      <c r="BB62" s="31"/>
      <c r="BC62" s="31"/>
      <c r="BD62" s="31"/>
      <c r="BE62" s="31"/>
      <c r="BF62" s="31"/>
      <c r="BG62" s="31"/>
      <c r="BH62" s="31"/>
      <c r="BI62" s="31"/>
      <c r="BJ62" s="31"/>
      <c r="BK62" s="31"/>
      <c r="BL62" s="31"/>
      <c r="BM62" s="31"/>
      <c r="BN62" s="31" t="s">
        <v>3560</v>
      </c>
      <c r="BO62" s="31"/>
      <c r="BP62" s="31"/>
      <c r="BQ62" s="31"/>
      <c r="BR62" s="31"/>
      <c r="BS62" s="31"/>
      <c r="BT62" s="31"/>
      <c r="BU62" s="32"/>
      <c r="CJ62" s="26" t="s">
        <v>1378</v>
      </c>
      <c r="CK62" s="26" t="s">
        <v>3554</v>
      </c>
      <c r="CL62" s="26" t="str">
        <f t="shared" si="1"/>
        <v>北海道由仁町</v>
      </c>
      <c r="CM62" s="26">
        <v>57</v>
      </c>
      <c r="CN62" s="17" t="str">
        <f t="shared" si="0"/>
        <v>0057</v>
      </c>
      <c r="CO62" s="17" t="str">
        <f t="shared" si="2"/>
        <v>5757由仁町</v>
      </c>
      <c r="CP62" s="17" t="s">
        <v>3561</v>
      </c>
      <c r="CQ62" s="17" t="b">
        <f t="shared" si="3"/>
        <v>1</v>
      </c>
    </row>
    <row r="63" spans="6:95">
      <c r="L63" s="17" t="s">
        <v>3562</v>
      </c>
      <c r="M63" s="17" t="s">
        <v>3563</v>
      </c>
      <c r="N63" s="27" t="s">
        <v>3564</v>
      </c>
      <c r="O63" s="29" t="s">
        <v>1439</v>
      </c>
      <c r="P63" s="29" t="s">
        <v>3565</v>
      </c>
      <c r="Q63" s="29" t="s">
        <v>1439</v>
      </c>
      <c r="R63" s="29" t="s">
        <v>3566</v>
      </c>
      <c r="S63" s="28" t="s">
        <v>1803</v>
      </c>
      <c r="T63" s="28" t="s">
        <v>3567</v>
      </c>
      <c r="U63" s="28" t="s">
        <v>1439</v>
      </c>
      <c r="V63" s="28" t="s">
        <v>1495</v>
      </c>
      <c r="W63" s="28" t="s">
        <v>3568</v>
      </c>
      <c r="X63" s="17">
        <v>1</v>
      </c>
      <c r="AA63" s="35" t="s">
        <v>3567</v>
      </c>
      <c r="AB63" s="36"/>
      <c r="AC63" s="36"/>
      <c r="AD63" s="36"/>
      <c r="AE63" s="36"/>
      <c r="AF63" s="36"/>
      <c r="AG63" s="36" t="s">
        <v>3569</v>
      </c>
      <c r="AH63" s="36"/>
      <c r="AI63" s="36"/>
      <c r="AJ63" s="36"/>
      <c r="AK63" s="36" t="s">
        <v>3570</v>
      </c>
      <c r="AL63" s="36"/>
      <c r="AM63" s="36" t="s">
        <v>3571</v>
      </c>
      <c r="AN63" s="36"/>
      <c r="AO63" s="36"/>
      <c r="AP63" s="36"/>
      <c r="AQ63" s="36"/>
      <c r="AR63" s="36"/>
      <c r="AS63" s="36"/>
      <c r="AT63" s="36" t="s">
        <v>3572</v>
      </c>
      <c r="AU63" s="36"/>
      <c r="AV63" s="36"/>
      <c r="AW63" s="36"/>
      <c r="AX63" s="36"/>
      <c r="AY63" s="36"/>
      <c r="AZ63" s="36"/>
      <c r="BA63" s="36"/>
      <c r="BB63" s="36"/>
      <c r="BC63" s="36"/>
      <c r="BD63" s="36"/>
      <c r="BE63" s="36"/>
      <c r="BF63" s="36"/>
      <c r="BG63" s="36"/>
      <c r="BH63" s="36"/>
      <c r="BI63" s="36"/>
      <c r="BJ63" s="36"/>
      <c r="BK63" s="36"/>
      <c r="BL63" s="36"/>
      <c r="BM63" s="36"/>
      <c r="BN63" s="36" t="s">
        <v>3573</v>
      </c>
      <c r="BO63" s="36"/>
      <c r="BP63" s="36"/>
      <c r="BQ63" s="36"/>
      <c r="BR63" s="36"/>
      <c r="BS63" s="36"/>
      <c r="BT63" s="36"/>
      <c r="BU63" s="37"/>
      <c r="CJ63" s="26" t="s">
        <v>1378</v>
      </c>
      <c r="CK63" s="26" t="s">
        <v>3567</v>
      </c>
      <c r="CL63" s="26" t="str">
        <f t="shared" si="1"/>
        <v>北海道長沼町</v>
      </c>
      <c r="CM63" s="26">
        <v>58</v>
      </c>
      <c r="CN63" s="17" t="str">
        <f t="shared" si="0"/>
        <v>0058</v>
      </c>
      <c r="CO63" s="17" t="str">
        <f t="shared" si="2"/>
        <v>5858長沼町</v>
      </c>
      <c r="CP63" s="17" t="s">
        <v>3574</v>
      </c>
      <c r="CQ63" s="17" t="b">
        <f t="shared" si="3"/>
        <v>1</v>
      </c>
    </row>
    <row r="64" spans="6:95">
      <c r="L64" s="17" t="s">
        <v>3575</v>
      </c>
      <c r="M64" s="17" t="s">
        <v>3576</v>
      </c>
      <c r="N64" s="27" t="s">
        <v>3577</v>
      </c>
      <c r="O64" s="29" t="s">
        <v>1439</v>
      </c>
      <c r="P64" s="29" t="s">
        <v>3578</v>
      </c>
      <c r="Q64" s="29" t="s">
        <v>1439</v>
      </c>
      <c r="R64" s="29" t="s">
        <v>3579</v>
      </c>
      <c r="S64" s="28" t="s">
        <v>1862</v>
      </c>
      <c r="T64" s="28" t="s">
        <v>3580</v>
      </c>
      <c r="U64" s="28" t="s">
        <v>1439</v>
      </c>
      <c r="V64" s="28" t="s">
        <v>1495</v>
      </c>
      <c r="W64" s="28" t="s">
        <v>3578</v>
      </c>
      <c r="X64" s="17">
        <v>1</v>
      </c>
      <c r="AA64" s="30" t="s">
        <v>3580</v>
      </c>
      <c r="AB64" s="31"/>
      <c r="AC64" s="31"/>
      <c r="AD64" s="31"/>
      <c r="AE64" s="31"/>
      <c r="AF64" s="31"/>
      <c r="AG64" s="31" t="s">
        <v>3581</v>
      </c>
      <c r="AH64" s="31"/>
      <c r="AI64" s="31"/>
      <c r="AJ64" s="31"/>
      <c r="AK64" s="31" t="s">
        <v>3582</v>
      </c>
      <c r="AL64" s="31"/>
      <c r="AM64" s="31" t="s">
        <v>3583</v>
      </c>
      <c r="AN64" s="31"/>
      <c r="AO64" s="31"/>
      <c r="AP64" s="31"/>
      <c r="AQ64" s="31"/>
      <c r="AR64" s="31"/>
      <c r="AS64" s="31"/>
      <c r="AT64" s="31" t="s">
        <v>3584</v>
      </c>
      <c r="AU64" s="31"/>
      <c r="AV64" s="31"/>
      <c r="AW64" s="31"/>
      <c r="AX64" s="31"/>
      <c r="AY64" s="31"/>
      <c r="AZ64" s="31"/>
      <c r="BA64" s="31"/>
      <c r="BB64" s="31"/>
      <c r="BC64" s="31"/>
      <c r="BD64" s="31"/>
      <c r="BE64" s="31"/>
      <c r="BF64" s="31"/>
      <c r="BG64" s="31"/>
      <c r="BH64" s="31"/>
      <c r="BI64" s="31"/>
      <c r="BJ64" s="31"/>
      <c r="BK64" s="31"/>
      <c r="BL64" s="31"/>
      <c r="BM64" s="31"/>
      <c r="BN64" s="31" t="s">
        <v>3585</v>
      </c>
      <c r="BO64" s="31"/>
      <c r="BP64" s="31"/>
      <c r="BQ64" s="31"/>
      <c r="BR64" s="31"/>
      <c r="BS64" s="31"/>
      <c r="BT64" s="31"/>
      <c r="BU64" s="32"/>
      <c r="CJ64" s="26" t="s">
        <v>1378</v>
      </c>
      <c r="CK64" s="26" t="s">
        <v>3580</v>
      </c>
      <c r="CL64" s="26" t="str">
        <f t="shared" si="1"/>
        <v>北海道栗山町</v>
      </c>
      <c r="CM64" s="26">
        <v>59</v>
      </c>
      <c r="CN64" s="17" t="str">
        <f t="shared" si="0"/>
        <v>0059</v>
      </c>
      <c r="CO64" s="17" t="str">
        <f t="shared" si="2"/>
        <v>5959栗山町</v>
      </c>
      <c r="CP64" s="17" t="s">
        <v>3586</v>
      </c>
      <c r="CQ64" s="17" t="b">
        <f t="shared" si="3"/>
        <v>1</v>
      </c>
    </row>
    <row r="65" spans="12:95">
      <c r="L65" s="17" t="s">
        <v>3587</v>
      </c>
      <c r="M65" s="17" t="s">
        <v>3588</v>
      </c>
      <c r="N65" s="27" t="s">
        <v>3589</v>
      </c>
      <c r="O65" s="29" t="s">
        <v>1439</v>
      </c>
      <c r="P65" s="29" t="s">
        <v>3590</v>
      </c>
      <c r="Q65" s="29" t="s">
        <v>1439</v>
      </c>
      <c r="R65" s="29" t="s">
        <v>3591</v>
      </c>
      <c r="S65" s="28" t="s">
        <v>1920</v>
      </c>
      <c r="T65" s="28" t="s">
        <v>3592</v>
      </c>
      <c r="U65" s="28" t="s">
        <v>1439</v>
      </c>
      <c r="V65" s="28" t="s">
        <v>1495</v>
      </c>
      <c r="W65" s="28" t="s">
        <v>3593</v>
      </c>
      <c r="X65" s="17">
        <v>1</v>
      </c>
      <c r="AA65" s="35" t="s">
        <v>3592</v>
      </c>
      <c r="AB65" s="36"/>
      <c r="AC65" s="36"/>
      <c r="AD65" s="36"/>
      <c r="AE65" s="36"/>
      <c r="AF65" s="36"/>
      <c r="AG65" s="36"/>
      <c r="AH65" s="36"/>
      <c r="AI65" s="36"/>
      <c r="AJ65" s="36"/>
      <c r="AK65" s="36" t="s">
        <v>3594</v>
      </c>
      <c r="AL65" s="36"/>
      <c r="AM65" s="36" t="s">
        <v>3595</v>
      </c>
      <c r="AN65" s="36"/>
      <c r="AO65" s="36"/>
      <c r="AP65" s="36"/>
      <c r="AQ65" s="36"/>
      <c r="AR65" s="36"/>
      <c r="AS65" s="36"/>
      <c r="AT65" s="36" t="s">
        <v>3596</v>
      </c>
      <c r="AU65" s="36"/>
      <c r="AV65" s="36"/>
      <c r="AW65" s="36"/>
      <c r="AX65" s="36"/>
      <c r="AY65" s="36"/>
      <c r="AZ65" s="36"/>
      <c r="BA65" s="36"/>
      <c r="BB65" s="36"/>
      <c r="BC65" s="36"/>
      <c r="BD65" s="36"/>
      <c r="BE65" s="36"/>
      <c r="BF65" s="36"/>
      <c r="BG65" s="36"/>
      <c r="BH65" s="36"/>
      <c r="BI65" s="36"/>
      <c r="BJ65" s="36"/>
      <c r="BK65" s="36"/>
      <c r="BL65" s="36"/>
      <c r="BM65" s="36"/>
      <c r="BN65" s="36" t="s">
        <v>3597</v>
      </c>
      <c r="BO65" s="36"/>
      <c r="BP65" s="36"/>
      <c r="BQ65" s="36"/>
      <c r="BR65" s="36"/>
      <c r="BS65" s="36"/>
      <c r="BT65" s="36"/>
      <c r="BU65" s="37"/>
      <c r="CJ65" s="26" t="s">
        <v>1378</v>
      </c>
      <c r="CK65" s="26" t="s">
        <v>3592</v>
      </c>
      <c r="CL65" s="26" t="str">
        <f t="shared" si="1"/>
        <v>北海道月形町</v>
      </c>
      <c r="CM65" s="26">
        <v>60</v>
      </c>
      <c r="CN65" s="17" t="str">
        <f t="shared" si="0"/>
        <v>0060</v>
      </c>
      <c r="CO65" s="17" t="str">
        <f t="shared" si="2"/>
        <v>6060月形町</v>
      </c>
      <c r="CP65" s="17" t="s">
        <v>3598</v>
      </c>
      <c r="CQ65" s="17" t="b">
        <f t="shared" si="3"/>
        <v>1</v>
      </c>
    </row>
    <row r="66" spans="12:95">
      <c r="L66" s="17" t="s">
        <v>3599</v>
      </c>
      <c r="M66" s="17" t="s">
        <v>3600</v>
      </c>
      <c r="N66" s="27" t="s">
        <v>3601</v>
      </c>
      <c r="O66" s="29" t="s">
        <v>1439</v>
      </c>
      <c r="P66" s="29" t="s">
        <v>3602</v>
      </c>
      <c r="Q66" s="29" t="s">
        <v>1439</v>
      </c>
      <c r="R66" s="29" t="s">
        <v>3603</v>
      </c>
      <c r="S66" s="28" t="s">
        <v>1803</v>
      </c>
      <c r="T66" s="28" t="s">
        <v>3604</v>
      </c>
      <c r="U66" s="28" t="s">
        <v>1439</v>
      </c>
      <c r="V66" s="28" t="s">
        <v>1495</v>
      </c>
      <c r="W66" s="28" t="s">
        <v>3605</v>
      </c>
      <c r="X66" s="17">
        <v>1</v>
      </c>
      <c r="AA66" s="30" t="s">
        <v>3604</v>
      </c>
      <c r="AB66" s="31"/>
      <c r="AC66" s="31"/>
      <c r="AD66" s="31"/>
      <c r="AE66" s="31"/>
      <c r="AF66" s="31"/>
      <c r="AG66" s="31"/>
      <c r="AH66" s="31"/>
      <c r="AI66" s="31"/>
      <c r="AJ66" s="31"/>
      <c r="AK66" s="31" t="s">
        <v>3606</v>
      </c>
      <c r="AL66" s="31"/>
      <c r="AM66" s="31" t="s">
        <v>3607</v>
      </c>
      <c r="AN66" s="31"/>
      <c r="AO66" s="31"/>
      <c r="AP66" s="31"/>
      <c r="AQ66" s="31"/>
      <c r="AR66" s="31"/>
      <c r="AS66" s="31"/>
      <c r="AT66" s="31" t="s">
        <v>3608</v>
      </c>
      <c r="AU66" s="31"/>
      <c r="AV66" s="31"/>
      <c r="AW66" s="31"/>
      <c r="AX66" s="31"/>
      <c r="AY66" s="31"/>
      <c r="AZ66" s="31"/>
      <c r="BA66" s="31"/>
      <c r="BB66" s="31"/>
      <c r="BC66" s="31"/>
      <c r="BD66" s="31"/>
      <c r="BE66" s="31"/>
      <c r="BF66" s="31"/>
      <c r="BG66" s="31"/>
      <c r="BH66" s="31"/>
      <c r="BI66" s="31"/>
      <c r="BJ66" s="31"/>
      <c r="BK66" s="31"/>
      <c r="BL66" s="31"/>
      <c r="BM66" s="31"/>
      <c r="BN66" s="31" t="s">
        <v>3609</v>
      </c>
      <c r="BO66" s="31"/>
      <c r="BP66" s="31"/>
      <c r="BQ66" s="31"/>
      <c r="BR66" s="31"/>
      <c r="BS66" s="31"/>
      <c r="BT66" s="31"/>
      <c r="BU66" s="32"/>
      <c r="CJ66" s="26" t="s">
        <v>1378</v>
      </c>
      <c r="CK66" s="26" t="s">
        <v>3604</v>
      </c>
      <c r="CL66" s="26" t="str">
        <f t="shared" si="1"/>
        <v>北海道妹背牛町</v>
      </c>
      <c r="CM66" s="26">
        <v>61</v>
      </c>
      <c r="CN66" s="17" t="str">
        <f t="shared" si="0"/>
        <v>0061</v>
      </c>
      <c r="CO66" s="17" t="str">
        <f t="shared" si="2"/>
        <v>6161妹背牛町</v>
      </c>
      <c r="CP66" s="17" t="s">
        <v>3610</v>
      </c>
      <c r="CQ66" s="17" t="b">
        <f t="shared" si="3"/>
        <v>1</v>
      </c>
    </row>
    <row r="67" spans="12:95">
      <c r="L67" s="17" t="s">
        <v>3611</v>
      </c>
      <c r="M67" s="17" t="s">
        <v>3612</v>
      </c>
      <c r="N67" s="27" t="s">
        <v>3613</v>
      </c>
      <c r="O67" s="29" t="s">
        <v>1439</v>
      </c>
      <c r="P67" s="29" t="s">
        <v>3614</v>
      </c>
      <c r="Q67" s="29" t="s">
        <v>1439</v>
      </c>
      <c r="R67" s="29" t="s">
        <v>3615</v>
      </c>
      <c r="S67" s="28" t="s">
        <v>1862</v>
      </c>
      <c r="T67" s="28" t="s">
        <v>3616</v>
      </c>
      <c r="U67" s="28" t="s">
        <v>1439</v>
      </c>
      <c r="V67" s="28" t="s">
        <v>1495</v>
      </c>
      <c r="W67" s="28" t="s">
        <v>3617</v>
      </c>
      <c r="X67" s="17">
        <v>1</v>
      </c>
      <c r="AA67" s="35" t="s">
        <v>3616</v>
      </c>
      <c r="AB67" s="36"/>
      <c r="AC67" s="36"/>
      <c r="AD67" s="36"/>
      <c r="AE67" s="36"/>
      <c r="AF67" s="36"/>
      <c r="AG67" s="36"/>
      <c r="AH67" s="36"/>
      <c r="AI67" s="36"/>
      <c r="AJ67" s="36"/>
      <c r="AK67" s="36" t="s">
        <v>3618</v>
      </c>
      <c r="AL67" s="36"/>
      <c r="AM67" s="36" t="s">
        <v>3619</v>
      </c>
      <c r="AN67" s="36"/>
      <c r="AO67" s="36"/>
      <c r="AP67" s="36"/>
      <c r="AQ67" s="36"/>
      <c r="AR67" s="36"/>
      <c r="AS67" s="36"/>
      <c r="AT67" s="36" t="s">
        <v>3620</v>
      </c>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7"/>
      <c r="CJ67" s="26" t="s">
        <v>1378</v>
      </c>
      <c r="CK67" s="26" t="s">
        <v>3616</v>
      </c>
      <c r="CL67" s="26" t="str">
        <f t="shared" si="1"/>
        <v>北海道秩父別町</v>
      </c>
      <c r="CM67" s="26">
        <v>62</v>
      </c>
      <c r="CN67" s="17" t="str">
        <f t="shared" si="0"/>
        <v>0062</v>
      </c>
      <c r="CO67" s="17" t="str">
        <f t="shared" si="2"/>
        <v>6262秩父別町</v>
      </c>
      <c r="CP67" s="17" t="s">
        <v>3621</v>
      </c>
      <c r="CQ67" s="17" t="b">
        <f t="shared" si="3"/>
        <v>1</v>
      </c>
    </row>
    <row r="68" spans="12:95">
      <c r="L68" s="17" t="s">
        <v>3622</v>
      </c>
      <c r="M68" s="17" t="s">
        <v>3623</v>
      </c>
      <c r="N68" s="27" t="s">
        <v>3624</v>
      </c>
      <c r="O68" s="29" t="s">
        <v>1439</v>
      </c>
      <c r="P68" s="29" t="s">
        <v>3625</v>
      </c>
      <c r="Q68" s="29" t="s">
        <v>1439</v>
      </c>
      <c r="R68" s="29" t="s">
        <v>3626</v>
      </c>
      <c r="S68" s="28" t="s">
        <v>2311</v>
      </c>
      <c r="T68" s="28" t="s">
        <v>3627</v>
      </c>
      <c r="U68" s="28" t="s">
        <v>1439</v>
      </c>
      <c r="V68" s="28" t="s">
        <v>1495</v>
      </c>
      <c r="W68" s="28" t="s">
        <v>3628</v>
      </c>
      <c r="X68" s="17">
        <v>1</v>
      </c>
      <c r="AA68" s="30" t="s">
        <v>3627</v>
      </c>
      <c r="AB68" s="31"/>
      <c r="AC68" s="31"/>
      <c r="AD68" s="31"/>
      <c r="AE68" s="31"/>
      <c r="AF68" s="31"/>
      <c r="AG68" s="31"/>
      <c r="AH68" s="31"/>
      <c r="AI68" s="31"/>
      <c r="AJ68" s="31"/>
      <c r="AK68" s="31" t="s">
        <v>3629</v>
      </c>
      <c r="AL68" s="31"/>
      <c r="AM68" s="31"/>
      <c r="AN68" s="31"/>
      <c r="AO68" s="31"/>
      <c r="AP68" s="31"/>
      <c r="AQ68" s="31"/>
      <c r="AR68" s="31"/>
      <c r="AS68" s="31"/>
      <c r="AT68" s="31" t="s">
        <v>1996</v>
      </c>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2"/>
      <c r="CJ68" s="26" t="s">
        <v>1378</v>
      </c>
      <c r="CK68" s="26" t="s">
        <v>3627</v>
      </c>
      <c r="CL68" s="26" t="str">
        <f t="shared" si="1"/>
        <v>北海道北竜町</v>
      </c>
      <c r="CM68" s="26">
        <v>63</v>
      </c>
      <c r="CN68" s="17" t="str">
        <f t="shared" si="0"/>
        <v>0063</v>
      </c>
      <c r="CO68" s="17" t="str">
        <f t="shared" si="2"/>
        <v>6363北竜町</v>
      </c>
      <c r="CP68" s="17" t="s">
        <v>3630</v>
      </c>
      <c r="CQ68" s="17" t="b">
        <f t="shared" si="3"/>
        <v>1</v>
      </c>
    </row>
    <row r="69" spans="12:95">
      <c r="L69" s="17" t="s">
        <v>3631</v>
      </c>
      <c r="M69" s="17" t="s">
        <v>3632</v>
      </c>
      <c r="N69" s="27" t="s">
        <v>3633</v>
      </c>
      <c r="O69" s="29" t="s">
        <v>1439</v>
      </c>
      <c r="P69" s="29" t="s">
        <v>3634</v>
      </c>
      <c r="Q69" s="29" t="s">
        <v>1439</v>
      </c>
      <c r="R69" s="29" t="s">
        <v>3635</v>
      </c>
      <c r="S69" s="28" t="s">
        <v>1564</v>
      </c>
      <c r="T69" s="28" t="s">
        <v>3636</v>
      </c>
      <c r="U69" s="28" t="s">
        <v>1439</v>
      </c>
      <c r="V69" s="28" t="s">
        <v>1495</v>
      </c>
      <c r="W69" s="28" t="s">
        <v>3637</v>
      </c>
      <c r="X69" s="17">
        <v>1</v>
      </c>
      <c r="AA69" s="35" t="s">
        <v>3636</v>
      </c>
      <c r="AB69" s="36"/>
      <c r="AC69" s="36"/>
      <c r="AD69" s="36"/>
      <c r="AE69" s="36"/>
      <c r="AF69" s="36"/>
      <c r="AG69" s="36"/>
      <c r="AH69" s="36"/>
      <c r="AI69" s="36"/>
      <c r="AJ69" s="36"/>
      <c r="AK69" s="36" t="s">
        <v>3638</v>
      </c>
      <c r="AL69" s="36"/>
      <c r="AM69" s="36"/>
      <c r="AN69" s="36"/>
      <c r="AO69" s="36"/>
      <c r="AP69" s="36"/>
      <c r="AQ69" s="36"/>
      <c r="AR69" s="36"/>
      <c r="AS69" s="36"/>
      <c r="AT69" s="36" t="s">
        <v>3639</v>
      </c>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7"/>
      <c r="CJ69" s="26" t="s">
        <v>1378</v>
      </c>
      <c r="CK69" s="26" t="s">
        <v>3636</v>
      </c>
      <c r="CL69" s="26" t="str">
        <f t="shared" si="1"/>
        <v>北海道沼田町</v>
      </c>
      <c r="CM69" s="26">
        <v>64</v>
      </c>
      <c r="CN69" s="17" t="str">
        <f t="shared" si="0"/>
        <v>0064</v>
      </c>
      <c r="CO69" s="17" t="str">
        <f t="shared" si="2"/>
        <v>6464沼田町</v>
      </c>
      <c r="CP69" s="17" t="s">
        <v>3640</v>
      </c>
      <c r="CQ69" s="17" t="b">
        <f t="shared" si="3"/>
        <v>1</v>
      </c>
    </row>
    <row r="70" spans="12:95">
      <c r="L70" s="17" t="s">
        <v>3641</v>
      </c>
      <c r="M70" s="17" t="s">
        <v>3642</v>
      </c>
      <c r="N70" s="27" t="s">
        <v>3643</v>
      </c>
      <c r="O70" s="29" t="s">
        <v>1439</v>
      </c>
      <c r="P70" s="29" t="s">
        <v>3644</v>
      </c>
      <c r="Q70" s="29" t="s">
        <v>1439</v>
      </c>
      <c r="R70" s="29" t="s">
        <v>3645</v>
      </c>
      <c r="S70" s="28" t="s">
        <v>1626</v>
      </c>
      <c r="T70" s="28" t="s">
        <v>3646</v>
      </c>
      <c r="U70" s="28" t="s">
        <v>1439</v>
      </c>
      <c r="V70" s="28" t="s">
        <v>1495</v>
      </c>
      <c r="W70" s="28" t="s">
        <v>3647</v>
      </c>
      <c r="X70" s="17">
        <v>1</v>
      </c>
      <c r="AA70" s="30" t="s">
        <v>3646</v>
      </c>
      <c r="AB70" s="31"/>
      <c r="AC70" s="31"/>
      <c r="AD70" s="31"/>
      <c r="AE70" s="31"/>
      <c r="AF70" s="31"/>
      <c r="AG70" s="31"/>
      <c r="AH70" s="31"/>
      <c r="AI70" s="31"/>
      <c r="AJ70" s="31"/>
      <c r="AK70" s="31"/>
      <c r="AL70" s="31"/>
      <c r="AM70" s="31"/>
      <c r="AN70" s="31"/>
      <c r="AO70" s="31"/>
      <c r="AP70" s="31"/>
      <c r="AQ70" s="31"/>
      <c r="AR70" s="31"/>
      <c r="AS70" s="31"/>
      <c r="AT70" s="31" t="s">
        <v>3648</v>
      </c>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2"/>
      <c r="CJ70" s="26" t="s">
        <v>1378</v>
      </c>
      <c r="CK70" s="26" t="s">
        <v>3646</v>
      </c>
      <c r="CL70" s="26" t="str">
        <f t="shared" si="1"/>
        <v>北海道幌加内町</v>
      </c>
      <c r="CM70" s="26">
        <v>65</v>
      </c>
      <c r="CN70" s="17" t="str">
        <f t="shared" ref="CN70:CN133" si="4">VLOOKUP(CL70,$M$6:$N$1784,2,FALSE)</f>
        <v>0065</v>
      </c>
      <c r="CO70" s="17" t="str">
        <f t="shared" si="2"/>
        <v>6565幌加内町</v>
      </c>
      <c r="CP70" s="17" t="s">
        <v>3649</v>
      </c>
      <c r="CQ70" s="17" t="b">
        <f t="shared" si="3"/>
        <v>1</v>
      </c>
    </row>
    <row r="71" spans="12:95">
      <c r="L71" s="17" t="s">
        <v>3650</v>
      </c>
      <c r="M71" s="17" t="s">
        <v>3651</v>
      </c>
      <c r="N71" s="27" t="s">
        <v>3652</v>
      </c>
      <c r="O71" s="29" t="s">
        <v>1439</v>
      </c>
      <c r="P71" s="29" t="s">
        <v>3653</v>
      </c>
      <c r="Q71" s="29" t="s">
        <v>1439</v>
      </c>
      <c r="R71" s="29" t="s">
        <v>3654</v>
      </c>
      <c r="S71" s="28" t="s">
        <v>1803</v>
      </c>
      <c r="T71" s="28" t="s">
        <v>3655</v>
      </c>
      <c r="U71" s="28" t="s">
        <v>1439</v>
      </c>
      <c r="V71" s="28" t="s">
        <v>1495</v>
      </c>
      <c r="W71" s="28" t="s">
        <v>3656</v>
      </c>
      <c r="X71" s="17">
        <v>1</v>
      </c>
      <c r="AA71" s="35" t="s">
        <v>3655</v>
      </c>
      <c r="AB71" s="36"/>
      <c r="AC71" s="36"/>
      <c r="AD71" s="36"/>
      <c r="AE71" s="36"/>
      <c r="AF71" s="36"/>
      <c r="AG71" s="36"/>
      <c r="AH71" s="36"/>
      <c r="AI71" s="36"/>
      <c r="AJ71" s="36"/>
      <c r="AK71" s="36"/>
      <c r="AL71" s="36"/>
      <c r="AM71" s="36"/>
      <c r="AN71" s="36"/>
      <c r="AO71" s="36"/>
      <c r="AP71" s="36"/>
      <c r="AQ71" s="36"/>
      <c r="AR71" s="36"/>
      <c r="AS71" s="36"/>
      <c r="AT71" s="36" t="s">
        <v>3657</v>
      </c>
      <c r="AU71" s="36"/>
      <c r="AV71" s="36"/>
      <c r="AW71" s="36"/>
      <c r="AX71" s="36"/>
      <c r="AY71" s="36"/>
      <c r="AZ71" s="36"/>
      <c r="BA71" s="36"/>
      <c r="BB71" s="36"/>
      <c r="BC71" s="36"/>
      <c r="BD71" s="36"/>
      <c r="BE71" s="36"/>
      <c r="BF71" s="36"/>
      <c r="BG71" s="36"/>
      <c r="BH71" s="36"/>
      <c r="BI71" s="36"/>
      <c r="BJ71" s="36"/>
      <c r="BK71" s="36"/>
      <c r="BL71" s="36"/>
      <c r="BM71" s="36"/>
      <c r="BN71" s="36"/>
      <c r="BO71" s="36"/>
      <c r="BP71" s="36"/>
      <c r="BQ71" s="36"/>
      <c r="BR71" s="36"/>
      <c r="BS71" s="36"/>
      <c r="BT71" s="36"/>
      <c r="BU71" s="37"/>
      <c r="CJ71" s="26" t="s">
        <v>1378</v>
      </c>
      <c r="CK71" s="26" t="s">
        <v>3655</v>
      </c>
      <c r="CL71" s="26" t="str">
        <f t="shared" ref="CL71:CL134" si="5">CJ71&amp;CK71</f>
        <v>北海道鷹栖町</v>
      </c>
      <c r="CM71" s="26">
        <v>66</v>
      </c>
      <c r="CN71" s="17" t="str">
        <f t="shared" si="4"/>
        <v>0066</v>
      </c>
      <c r="CO71" s="17" t="str">
        <f t="shared" ref="CO71:CO134" si="6">CM71&amp;TEXT(CN71,0)&amp;CK71</f>
        <v>6666鷹栖町</v>
      </c>
      <c r="CP71" s="17" t="s">
        <v>3658</v>
      </c>
      <c r="CQ71" s="17" t="b">
        <f t="shared" ref="CQ71:CQ134" si="7">CO71=CP71</f>
        <v>1</v>
      </c>
    </row>
    <row r="72" spans="12:95">
      <c r="L72" s="17" t="s">
        <v>3659</v>
      </c>
      <c r="M72" s="17" t="s">
        <v>3660</v>
      </c>
      <c r="N72" s="27" t="s">
        <v>3661</v>
      </c>
      <c r="O72" s="29" t="s">
        <v>1439</v>
      </c>
      <c r="P72" s="29" t="s">
        <v>3662</v>
      </c>
      <c r="Q72" s="29" t="s">
        <v>1439</v>
      </c>
      <c r="R72" s="29" t="s">
        <v>3663</v>
      </c>
      <c r="S72" s="28" t="s">
        <v>1920</v>
      </c>
      <c r="T72" s="28" t="s">
        <v>3664</v>
      </c>
      <c r="U72" s="28" t="s">
        <v>1439</v>
      </c>
      <c r="V72" s="28" t="s">
        <v>1495</v>
      </c>
      <c r="W72" s="28" t="s">
        <v>3665</v>
      </c>
      <c r="X72" s="17">
        <v>1</v>
      </c>
      <c r="AA72" s="30" t="s">
        <v>3664</v>
      </c>
      <c r="AB72" s="31"/>
      <c r="AC72" s="31"/>
      <c r="AD72" s="31"/>
      <c r="AE72" s="31"/>
      <c r="AF72" s="31"/>
      <c r="AG72" s="31"/>
      <c r="AH72" s="31"/>
      <c r="AI72" s="31"/>
      <c r="AJ72" s="31"/>
      <c r="AK72" s="31"/>
      <c r="AL72" s="31"/>
      <c r="AM72" s="31"/>
      <c r="AN72" s="31"/>
      <c r="AO72" s="31"/>
      <c r="AP72" s="31"/>
      <c r="AQ72" s="31"/>
      <c r="AR72" s="31"/>
      <c r="AS72" s="31"/>
      <c r="AT72" s="31" t="s">
        <v>3666</v>
      </c>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2"/>
      <c r="CJ72" s="26" t="s">
        <v>1378</v>
      </c>
      <c r="CK72" s="26" t="s">
        <v>3664</v>
      </c>
      <c r="CL72" s="26" t="str">
        <f t="shared" si="5"/>
        <v>北海道当麻町</v>
      </c>
      <c r="CM72" s="26">
        <v>67</v>
      </c>
      <c r="CN72" s="17" t="str">
        <f t="shared" si="4"/>
        <v>0067</v>
      </c>
      <c r="CO72" s="17" t="str">
        <f t="shared" si="6"/>
        <v>6767当麻町</v>
      </c>
      <c r="CP72" s="17" t="s">
        <v>3667</v>
      </c>
      <c r="CQ72" s="17" t="b">
        <f t="shared" si="7"/>
        <v>1</v>
      </c>
    </row>
    <row r="73" spans="12:95">
      <c r="L73" s="17" t="s">
        <v>3668</v>
      </c>
      <c r="M73" s="17" t="s">
        <v>3669</v>
      </c>
      <c r="N73" s="27" t="s">
        <v>3670</v>
      </c>
      <c r="O73" s="29" t="s">
        <v>1439</v>
      </c>
      <c r="P73" s="29" t="s">
        <v>3671</v>
      </c>
      <c r="Q73" s="29" t="s">
        <v>1439</v>
      </c>
      <c r="R73" s="29" t="s">
        <v>3672</v>
      </c>
      <c r="S73" s="28" t="s">
        <v>2525</v>
      </c>
      <c r="T73" s="28" t="s">
        <v>3673</v>
      </c>
      <c r="U73" s="28" t="s">
        <v>1439</v>
      </c>
      <c r="V73" s="28" t="s">
        <v>1495</v>
      </c>
      <c r="W73" s="28" t="s">
        <v>3674</v>
      </c>
      <c r="X73" s="17">
        <v>1</v>
      </c>
      <c r="AA73" s="35" t="s">
        <v>3673</v>
      </c>
      <c r="AB73" s="36"/>
      <c r="AC73" s="36"/>
      <c r="AD73" s="36"/>
      <c r="AE73" s="36"/>
      <c r="AF73" s="36"/>
      <c r="AG73" s="36"/>
      <c r="AH73" s="36"/>
      <c r="AI73" s="36"/>
      <c r="AJ73" s="36"/>
      <c r="AK73" s="36"/>
      <c r="AL73" s="36"/>
      <c r="AM73" s="36"/>
      <c r="AN73" s="36"/>
      <c r="AO73" s="36"/>
      <c r="AP73" s="36"/>
      <c r="AQ73" s="36"/>
      <c r="AR73" s="36"/>
      <c r="AS73" s="36"/>
      <c r="AT73" s="36" t="s">
        <v>3675</v>
      </c>
      <c r="AU73" s="36"/>
      <c r="AV73" s="36"/>
      <c r="AW73" s="36"/>
      <c r="AX73" s="36"/>
      <c r="AY73" s="36"/>
      <c r="AZ73" s="36"/>
      <c r="BA73" s="36"/>
      <c r="BB73" s="36"/>
      <c r="BC73" s="36"/>
      <c r="BD73" s="36"/>
      <c r="BE73" s="36"/>
      <c r="BF73" s="36"/>
      <c r="BG73" s="36"/>
      <c r="BH73" s="36"/>
      <c r="BI73" s="36"/>
      <c r="BJ73" s="36"/>
      <c r="BK73" s="36"/>
      <c r="BL73" s="36"/>
      <c r="BM73" s="36"/>
      <c r="BN73" s="36"/>
      <c r="BO73" s="36"/>
      <c r="BP73" s="36"/>
      <c r="BQ73" s="36"/>
      <c r="BR73" s="36"/>
      <c r="BS73" s="36"/>
      <c r="BT73" s="36"/>
      <c r="BU73" s="37"/>
      <c r="CJ73" s="26" t="s">
        <v>1378</v>
      </c>
      <c r="CK73" s="26" t="s">
        <v>3673</v>
      </c>
      <c r="CL73" s="26" t="str">
        <f t="shared" si="5"/>
        <v>北海道比布町</v>
      </c>
      <c r="CM73" s="26">
        <v>68</v>
      </c>
      <c r="CN73" s="17" t="str">
        <f t="shared" si="4"/>
        <v>0068</v>
      </c>
      <c r="CO73" s="17" t="str">
        <f t="shared" si="6"/>
        <v>6868比布町</v>
      </c>
      <c r="CP73" s="17" t="s">
        <v>3676</v>
      </c>
      <c r="CQ73" s="17" t="b">
        <f t="shared" si="7"/>
        <v>1</v>
      </c>
    </row>
    <row r="74" spans="12:95">
      <c r="L74" s="17" t="s">
        <v>3677</v>
      </c>
      <c r="M74" s="17" t="s">
        <v>3678</v>
      </c>
      <c r="N74" s="27" t="s">
        <v>3679</v>
      </c>
      <c r="O74" s="29" t="s">
        <v>1439</v>
      </c>
      <c r="P74" s="29" t="s">
        <v>3680</v>
      </c>
      <c r="Q74" s="29" t="s">
        <v>1439</v>
      </c>
      <c r="R74" s="29" t="s">
        <v>3681</v>
      </c>
      <c r="S74" s="28" t="s">
        <v>2311</v>
      </c>
      <c r="T74" s="28" t="s">
        <v>3682</v>
      </c>
      <c r="U74" s="28" t="s">
        <v>1439</v>
      </c>
      <c r="V74" s="28" t="s">
        <v>1495</v>
      </c>
      <c r="W74" s="28" t="s">
        <v>3683</v>
      </c>
      <c r="X74" s="17">
        <v>1</v>
      </c>
      <c r="AA74" s="30" t="s">
        <v>3682</v>
      </c>
      <c r="AB74" s="31"/>
      <c r="AC74" s="31"/>
      <c r="AD74" s="31"/>
      <c r="AE74" s="31"/>
      <c r="AF74" s="31"/>
      <c r="AG74" s="31"/>
      <c r="AH74" s="31"/>
      <c r="AI74" s="31"/>
      <c r="AJ74" s="31"/>
      <c r="AK74" s="31"/>
      <c r="AL74" s="31"/>
      <c r="AM74" s="31"/>
      <c r="AN74" s="31"/>
      <c r="AO74" s="31"/>
      <c r="AP74" s="31"/>
      <c r="AQ74" s="31"/>
      <c r="AR74" s="31"/>
      <c r="AS74" s="31"/>
      <c r="AT74" s="31" t="s">
        <v>3684</v>
      </c>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2"/>
      <c r="CJ74" s="26" t="s">
        <v>1378</v>
      </c>
      <c r="CK74" s="26" t="s">
        <v>3682</v>
      </c>
      <c r="CL74" s="26" t="str">
        <f t="shared" si="5"/>
        <v>北海道愛別町</v>
      </c>
      <c r="CM74" s="26">
        <v>69</v>
      </c>
      <c r="CN74" s="17" t="str">
        <f t="shared" si="4"/>
        <v>0069</v>
      </c>
      <c r="CO74" s="17" t="str">
        <f t="shared" si="6"/>
        <v>6969愛別町</v>
      </c>
      <c r="CP74" s="17" t="s">
        <v>3685</v>
      </c>
      <c r="CQ74" s="17" t="b">
        <f t="shared" si="7"/>
        <v>1</v>
      </c>
    </row>
    <row r="75" spans="12:95">
      <c r="L75" s="17" t="s">
        <v>3686</v>
      </c>
      <c r="M75" s="17" t="s">
        <v>3687</v>
      </c>
      <c r="N75" s="27" t="s">
        <v>3688</v>
      </c>
      <c r="O75" s="29" t="s">
        <v>1439</v>
      </c>
      <c r="P75" s="29" t="s">
        <v>3689</v>
      </c>
      <c r="Q75" s="29" t="s">
        <v>1439</v>
      </c>
      <c r="R75" s="29" t="s">
        <v>3690</v>
      </c>
      <c r="S75" s="28" t="s">
        <v>1564</v>
      </c>
      <c r="T75" s="28" t="s">
        <v>3691</v>
      </c>
      <c r="U75" s="28" t="s">
        <v>1439</v>
      </c>
      <c r="V75" s="28" t="s">
        <v>1495</v>
      </c>
      <c r="W75" s="28" t="s">
        <v>3692</v>
      </c>
      <c r="X75" s="17">
        <v>1</v>
      </c>
      <c r="AA75" s="35" t="s">
        <v>3691</v>
      </c>
      <c r="AB75" s="36"/>
      <c r="AC75" s="36"/>
      <c r="AD75" s="36"/>
      <c r="AE75" s="36"/>
      <c r="AF75" s="36"/>
      <c r="AG75" s="36"/>
      <c r="AH75" s="36"/>
      <c r="AI75" s="36"/>
      <c r="AJ75" s="36"/>
      <c r="AK75" s="36"/>
      <c r="AL75" s="36"/>
      <c r="AM75" s="36"/>
      <c r="AN75" s="36"/>
      <c r="AO75" s="36"/>
      <c r="AP75" s="36"/>
      <c r="AQ75" s="36"/>
      <c r="AR75" s="36"/>
      <c r="AS75" s="36"/>
      <c r="AT75" s="36" t="s">
        <v>3693</v>
      </c>
      <c r="AU75" s="36"/>
      <c r="AV75" s="36"/>
      <c r="AW75" s="36"/>
      <c r="AX75" s="36"/>
      <c r="AY75" s="36"/>
      <c r="AZ75" s="36"/>
      <c r="BA75" s="36"/>
      <c r="BB75" s="36"/>
      <c r="BC75" s="36"/>
      <c r="BD75" s="36"/>
      <c r="BE75" s="36"/>
      <c r="BF75" s="36"/>
      <c r="BG75" s="36"/>
      <c r="BH75" s="36"/>
      <c r="BI75" s="36"/>
      <c r="BJ75" s="36"/>
      <c r="BK75" s="36"/>
      <c r="BL75" s="36"/>
      <c r="BM75" s="36"/>
      <c r="BN75" s="36"/>
      <c r="BO75" s="36"/>
      <c r="BP75" s="36"/>
      <c r="BQ75" s="36"/>
      <c r="BR75" s="36"/>
      <c r="BS75" s="36"/>
      <c r="BT75" s="36"/>
      <c r="BU75" s="37"/>
      <c r="CJ75" s="26" t="s">
        <v>1378</v>
      </c>
      <c r="CK75" s="26" t="s">
        <v>3691</v>
      </c>
      <c r="CL75" s="26" t="str">
        <f t="shared" si="5"/>
        <v>北海道上川町</v>
      </c>
      <c r="CM75" s="26">
        <v>70</v>
      </c>
      <c r="CN75" s="17" t="str">
        <f t="shared" si="4"/>
        <v>0070</v>
      </c>
      <c r="CO75" s="17" t="str">
        <f t="shared" si="6"/>
        <v>7070上川町</v>
      </c>
      <c r="CP75" s="17" t="s">
        <v>3694</v>
      </c>
      <c r="CQ75" s="17" t="b">
        <f t="shared" si="7"/>
        <v>1</v>
      </c>
    </row>
    <row r="76" spans="12:95">
      <c r="L76" s="17" t="s">
        <v>3695</v>
      </c>
      <c r="M76" s="17" t="s">
        <v>3696</v>
      </c>
      <c r="N76" s="27" t="s">
        <v>3697</v>
      </c>
      <c r="O76" s="29" t="s">
        <v>1439</v>
      </c>
      <c r="P76" s="29" t="s">
        <v>3698</v>
      </c>
      <c r="Q76" s="29" t="s">
        <v>1439</v>
      </c>
      <c r="R76" s="29" t="s">
        <v>3699</v>
      </c>
      <c r="S76" s="28" t="s">
        <v>2525</v>
      </c>
      <c r="T76" s="28" t="s">
        <v>3700</v>
      </c>
      <c r="U76" s="28" t="s">
        <v>1439</v>
      </c>
      <c r="V76" s="28" t="s">
        <v>1495</v>
      </c>
      <c r="W76" s="28" t="s">
        <v>3698</v>
      </c>
      <c r="X76" s="17">
        <v>1</v>
      </c>
      <c r="AA76" s="30" t="s">
        <v>3700</v>
      </c>
      <c r="AB76" s="31"/>
      <c r="AC76" s="31"/>
      <c r="AD76" s="31"/>
      <c r="AE76" s="31"/>
      <c r="AF76" s="31"/>
      <c r="AG76" s="31"/>
      <c r="AH76" s="31"/>
      <c r="AI76" s="31"/>
      <c r="AJ76" s="31"/>
      <c r="AK76" s="31"/>
      <c r="AL76" s="31"/>
      <c r="AM76" s="31"/>
      <c r="AN76" s="31"/>
      <c r="AO76" s="31"/>
      <c r="AP76" s="31"/>
      <c r="AQ76" s="31"/>
      <c r="AR76" s="31"/>
      <c r="AS76" s="31"/>
      <c r="AT76" s="31" t="s">
        <v>3701</v>
      </c>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2"/>
      <c r="CJ76" s="26" t="s">
        <v>1378</v>
      </c>
      <c r="CK76" s="26" t="s">
        <v>3700</v>
      </c>
      <c r="CL76" s="26" t="str">
        <f t="shared" si="5"/>
        <v>北海道上富良野町</v>
      </c>
      <c r="CM76" s="26">
        <v>71</v>
      </c>
      <c r="CN76" s="17" t="str">
        <f t="shared" si="4"/>
        <v>0071</v>
      </c>
      <c r="CO76" s="17" t="str">
        <f t="shared" si="6"/>
        <v>7171上富良野町</v>
      </c>
      <c r="CP76" s="17" t="s">
        <v>3702</v>
      </c>
      <c r="CQ76" s="17" t="b">
        <f t="shared" si="7"/>
        <v>1</v>
      </c>
    </row>
    <row r="77" spans="12:95">
      <c r="L77" s="17" t="s">
        <v>3703</v>
      </c>
      <c r="M77" s="17" t="s">
        <v>3704</v>
      </c>
      <c r="N77" s="27" t="s">
        <v>3705</v>
      </c>
      <c r="O77" s="29" t="s">
        <v>1439</v>
      </c>
      <c r="P77" s="29" t="s">
        <v>3706</v>
      </c>
      <c r="Q77" s="29" t="s">
        <v>1439</v>
      </c>
      <c r="R77" s="29" t="s">
        <v>3707</v>
      </c>
      <c r="S77" s="28" t="s">
        <v>2311</v>
      </c>
      <c r="T77" s="28" t="s">
        <v>3708</v>
      </c>
      <c r="U77" s="28" t="s">
        <v>1439</v>
      </c>
      <c r="V77" s="28" t="s">
        <v>1495</v>
      </c>
      <c r="W77" s="28" t="s">
        <v>3706</v>
      </c>
      <c r="X77" s="17">
        <v>1</v>
      </c>
      <c r="AA77" s="35" t="s">
        <v>3708</v>
      </c>
      <c r="AB77" s="36"/>
      <c r="AC77" s="36"/>
      <c r="AD77" s="36"/>
      <c r="AE77" s="36"/>
      <c r="AF77" s="36"/>
      <c r="AG77" s="36"/>
      <c r="AH77" s="36"/>
      <c r="AI77" s="36"/>
      <c r="AJ77" s="36"/>
      <c r="AK77" s="36"/>
      <c r="AL77" s="36"/>
      <c r="AM77" s="36"/>
      <c r="AN77" s="36"/>
      <c r="AO77" s="36"/>
      <c r="AP77" s="36"/>
      <c r="AQ77" s="36"/>
      <c r="AR77" s="36"/>
      <c r="AS77" s="36"/>
      <c r="AT77" s="36" t="s">
        <v>3709</v>
      </c>
      <c r="AU77" s="36"/>
      <c r="AV77" s="36"/>
      <c r="AW77" s="36"/>
      <c r="AX77" s="36"/>
      <c r="AY77" s="36"/>
      <c r="AZ77" s="36"/>
      <c r="BA77" s="36"/>
      <c r="BB77" s="36"/>
      <c r="BC77" s="36"/>
      <c r="BD77" s="36"/>
      <c r="BE77" s="36"/>
      <c r="BF77" s="36"/>
      <c r="BG77" s="36"/>
      <c r="BH77" s="36"/>
      <c r="BI77" s="36"/>
      <c r="BJ77" s="36"/>
      <c r="BK77" s="36"/>
      <c r="BL77" s="36"/>
      <c r="BM77" s="36"/>
      <c r="BN77" s="36"/>
      <c r="BO77" s="36"/>
      <c r="BP77" s="36"/>
      <c r="BQ77" s="36"/>
      <c r="BR77" s="36"/>
      <c r="BS77" s="36"/>
      <c r="BT77" s="36"/>
      <c r="BU77" s="37"/>
      <c r="CJ77" s="26" t="s">
        <v>1378</v>
      </c>
      <c r="CK77" s="26" t="s">
        <v>3708</v>
      </c>
      <c r="CL77" s="26" t="str">
        <f t="shared" si="5"/>
        <v>北海道中富良野町</v>
      </c>
      <c r="CM77" s="26">
        <v>72</v>
      </c>
      <c r="CN77" s="17" t="str">
        <f t="shared" si="4"/>
        <v>0072</v>
      </c>
      <c r="CO77" s="17" t="str">
        <f t="shared" si="6"/>
        <v>7272中富良野町</v>
      </c>
      <c r="CP77" s="17" t="s">
        <v>3710</v>
      </c>
      <c r="CQ77" s="17" t="b">
        <f t="shared" si="7"/>
        <v>1</v>
      </c>
    </row>
    <row r="78" spans="12:95">
      <c r="L78" s="17" t="s">
        <v>3711</v>
      </c>
      <c r="M78" s="17" t="s">
        <v>3712</v>
      </c>
      <c r="N78" s="27" t="s">
        <v>3713</v>
      </c>
      <c r="O78" s="29" t="s">
        <v>1439</v>
      </c>
      <c r="P78" s="29" t="s">
        <v>3714</v>
      </c>
      <c r="Q78" s="29" t="s">
        <v>1439</v>
      </c>
      <c r="R78" s="29" t="s">
        <v>3715</v>
      </c>
      <c r="S78" s="28" t="s">
        <v>1564</v>
      </c>
      <c r="T78" s="28" t="s">
        <v>3716</v>
      </c>
      <c r="U78" s="28" t="s">
        <v>1439</v>
      </c>
      <c r="V78" s="28" t="s">
        <v>1495</v>
      </c>
      <c r="W78" s="28" t="s">
        <v>3714</v>
      </c>
      <c r="X78" s="17">
        <v>1</v>
      </c>
      <c r="AA78" s="30" t="s">
        <v>3716</v>
      </c>
      <c r="AB78" s="31"/>
      <c r="AC78" s="31"/>
      <c r="AD78" s="31"/>
      <c r="AE78" s="31"/>
      <c r="AF78" s="31"/>
      <c r="AG78" s="31"/>
      <c r="AH78" s="31"/>
      <c r="AI78" s="31"/>
      <c r="AJ78" s="31"/>
      <c r="AK78" s="31"/>
      <c r="AL78" s="31"/>
      <c r="AM78" s="31"/>
      <c r="AN78" s="31"/>
      <c r="AO78" s="31"/>
      <c r="AP78" s="31"/>
      <c r="AQ78" s="31"/>
      <c r="AR78" s="31"/>
      <c r="AS78" s="31"/>
      <c r="AT78" s="31" t="s">
        <v>3717</v>
      </c>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2"/>
      <c r="CJ78" s="26" t="s">
        <v>1378</v>
      </c>
      <c r="CK78" s="26" t="s">
        <v>3716</v>
      </c>
      <c r="CL78" s="26" t="str">
        <f t="shared" si="5"/>
        <v>北海道南富良野町</v>
      </c>
      <c r="CM78" s="26">
        <v>73</v>
      </c>
      <c r="CN78" s="17" t="str">
        <f t="shared" si="4"/>
        <v>0073</v>
      </c>
      <c r="CO78" s="17" t="str">
        <f t="shared" si="6"/>
        <v>7373南富良野町</v>
      </c>
      <c r="CP78" s="17" t="s">
        <v>3718</v>
      </c>
      <c r="CQ78" s="17" t="b">
        <f t="shared" si="7"/>
        <v>1</v>
      </c>
    </row>
    <row r="79" spans="12:95">
      <c r="L79" s="17" t="s">
        <v>3719</v>
      </c>
      <c r="M79" s="17" t="s">
        <v>3720</v>
      </c>
      <c r="N79" s="27" t="s">
        <v>3721</v>
      </c>
      <c r="O79" s="29" t="s">
        <v>1439</v>
      </c>
      <c r="P79" s="29" t="s">
        <v>3722</v>
      </c>
      <c r="Q79" s="29" t="s">
        <v>1439</v>
      </c>
      <c r="R79" s="29" t="s">
        <v>3723</v>
      </c>
      <c r="S79" s="28" t="s">
        <v>1626</v>
      </c>
      <c r="T79" s="28" t="s">
        <v>3724</v>
      </c>
      <c r="U79" s="28" t="s">
        <v>1439</v>
      </c>
      <c r="V79" s="28" t="s">
        <v>1495</v>
      </c>
      <c r="W79" s="28" t="s">
        <v>3725</v>
      </c>
      <c r="X79" s="17">
        <v>1</v>
      </c>
      <c r="AA79" s="35" t="s">
        <v>3724</v>
      </c>
      <c r="AB79" s="36"/>
      <c r="AC79" s="36"/>
      <c r="AD79" s="36"/>
      <c r="AE79" s="36"/>
      <c r="AF79" s="36"/>
      <c r="AG79" s="36"/>
      <c r="AH79" s="36"/>
      <c r="AI79" s="36"/>
      <c r="AJ79" s="36"/>
      <c r="AK79" s="36"/>
      <c r="AL79" s="36"/>
      <c r="AM79" s="36"/>
      <c r="AN79" s="36"/>
      <c r="AO79" s="36"/>
      <c r="AP79" s="36"/>
      <c r="AQ79" s="36"/>
      <c r="AR79" s="36"/>
      <c r="AS79" s="36"/>
      <c r="AT79" s="36" t="s">
        <v>3726</v>
      </c>
      <c r="AU79" s="36"/>
      <c r="AV79" s="36"/>
      <c r="AW79" s="36"/>
      <c r="AX79" s="36"/>
      <c r="AY79" s="36"/>
      <c r="AZ79" s="36"/>
      <c r="BA79" s="36"/>
      <c r="BB79" s="36"/>
      <c r="BC79" s="36"/>
      <c r="BD79" s="36"/>
      <c r="BE79" s="36"/>
      <c r="BF79" s="36"/>
      <c r="BG79" s="36"/>
      <c r="BH79" s="36"/>
      <c r="BI79" s="36"/>
      <c r="BJ79" s="36"/>
      <c r="BK79" s="36"/>
      <c r="BL79" s="36"/>
      <c r="BM79" s="36"/>
      <c r="BN79" s="36"/>
      <c r="BO79" s="36"/>
      <c r="BP79" s="36"/>
      <c r="BQ79" s="36"/>
      <c r="BR79" s="36"/>
      <c r="BS79" s="36"/>
      <c r="BT79" s="36"/>
      <c r="BU79" s="37"/>
      <c r="CJ79" s="26" t="s">
        <v>1378</v>
      </c>
      <c r="CK79" s="26" t="s">
        <v>3724</v>
      </c>
      <c r="CL79" s="26" t="str">
        <f t="shared" si="5"/>
        <v>北海道占冠村</v>
      </c>
      <c r="CM79" s="26">
        <v>74</v>
      </c>
      <c r="CN79" s="17" t="str">
        <f t="shared" si="4"/>
        <v>0074</v>
      </c>
      <c r="CO79" s="17" t="str">
        <f t="shared" si="6"/>
        <v>7474占冠村</v>
      </c>
      <c r="CP79" s="17" t="s">
        <v>3727</v>
      </c>
      <c r="CQ79" s="17" t="b">
        <f t="shared" si="7"/>
        <v>1</v>
      </c>
    </row>
    <row r="80" spans="12:95">
      <c r="L80" s="17" t="s">
        <v>3728</v>
      </c>
      <c r="M80" s="17" t="s">
        <v>3729</v>
      </c>
      <c r="N80" s="27" t="s">
        <v>3730</v>
      </c>
      <c r="O80" s="29" t="s">
        <v>1439</v>
      </c>
      <c r="P80" s="29" t="s">
        <v>3731</v>
      </c>
      <c r="Q80" s="29" t="s">
        <v>1439</v>
      </c>
      <c r="R80" s="29" t="s">
        <v>3732</v>
      </c>
      <c r="S80" s="28" t="s">
        <v>1502</v>
      </c>
      <c r="T80" s="28" t="s">
        <v>3733</v>
      </c>
      <c r="U80" s="28" t="s">
        <v>1439</v>
      </c>
      <c r="V80" s="28" t="s">
        <v>1495</v>
      </c>
      <c r="W80" s="28" t="s">
        <v>3734</v>
      </c>
      <c r="X80" s="17">
        <v>1</v>
      </c>
      <c r="AA80" s="30" t="s">
        <v>3733</v>
      </c>
      <c r="AB80" s="31"/>
      <c r="AC80" s="31"/>
      <c r="AD80" s="31"/>
      <c r="AE80" s="31"/>
      <c r="AF80" s="31"/>
      <c r="AG80" s="31"/>
      <c r="AH80" s="31"/>
      <c r="AI80" s="31"/>
      <c r="AJ80" s="31"/>
      <c r="AK80" s="31"/>
      <c r="AL80" s="31"/>
      <c r="AM80" s="31"/>
      <c r="AN80" s="31"/>
      <c r="AO80" s="31"/>
      <c r="AP80" s="31"/>
      <c r="AQ80" s="31"/>
      <c r="AR80" s="31"/>
      <c r="AS80" s="31"/>
      <c r="AT80" s="31" t="s">
        <v>3735</v>
      </c>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2"/>
      <c r="CJ80" s="26" t="s">
        <v>1378</v>
      </c>
      <c r="CK80" s="26" t="s">
        <v>3733</v>
      </c>
      <c r="CL80" s="26" t="str">
        <f t="shared" si="5"/>
        <v>北海道和寒町</v>
      </c>
      <c r="CM80" s="26">
        <v>75</v>
      </c>
      <c r="CN80" s="17" t="str">
        <f t="shared" si="4"/>
        <v>0075</v>
      </c>
      <c r="CO80" s="17" t="str">
        <f t="shared" si="6"/>
        <v>7575和寒町</v>
      </c>
      <c r="CP80" s="17" t="s">
        <v>3736</v>
      </c>
      <c r="CQ80" s="17" t="b">
        <f t="shared" si="7"/>
        <v>1</v>
      </c>
    </row>
    <row r="81" spans="12:95">
      <c r="L81" s="17" t="s">
        <v>3737</v>
      </c>
      <c r="M81" s="17" t="s">
        <v>3738</v>
      </c>
      <c r="N81" s="27" t="s">
        <v>3739</v>
      </c>
      <c r="O81" s="29" t="s">
        <v>1439</v>
      </c>
      <c r="P81" s="29" t="s">
        <v>3740</v>
      </c>
      <c r="Q81" s="29" t="s">
        <v>1439</v>
      </c>
      <c r="R81" s="29" t="s">
        <v>3741</v>
      </c>
      <c r="S81" s="28" t="s">
        <v>1743</v>
      </c>
      <c r="T81" s="28" t="s">
        <v>3742</v>
      </c>
      <c r="U81" s="28" t="s">
        <v>1439</v>
      </c>
      <c r="V81" s="28" t="s">
        <v>1495</v>
      </c>
      <c r="W81" s="28" t="s">
        <v>3743</v>
      </c>
      <c r="X81" s="17">
        <v>1</v>
      </c>
      <c r="AA81" s="35" t="s">
        <v>3742</v>
      </c>
      <c r="AB81" s="36"/>
      <c r="AC81" s="36"/>
      <c r="AD81" s="36"/>
      <c r="AE81" s="36"/>
      <c r="AF81" s="36"/>
      <c r="AG81" s="36"/>
      <c r="AH81" s="36"/>
      <c r="AI81" s="36"/>
      <c r="AJ81" s="36"/>
      <c r="AK81" s="36"/>
      <c r="AL81" s="36"/>
      <c r="AM81" s="36"/>
      <c r="AN81" s="36"/>
      <c r="AO81" s="36"/>
      <c r="AP81" s="36"/>
      <c r="AQ81" s="36"/>
      <c r="AR81" s="36"/>
      <c r="AS81" s="36"/>
      <c r="AT81" s="36" t="s">
        <v>3744</v>
      </c>
      <c r="AU81" s="36"/>
      <c r="AV81" s="36"/>
      <c r="AW81" s="36"/>
      <c r="AX81" s="36"/>
      <c r="AY81" s="36"/>
      <c r="AZ81" s="36"/>
      <c r="BA81" s="36"/>
      <c r="BB81" s="36"/>
      <c r="BC81" s="36"/>
      <c r="BD81" s="36"/>
      <c r="BE81" s="36"/>
      <c r="BF81" s="36"/>
      <c r="BG81" s="36"/>
      <c r="BH81" s="36"/>
      <c r="BI81" s="36"/>
      <c r="BJ81" s="36"/>
      <c r="BK81" s="36"/>
      <c r="BL81" s="36"/>
      <c r="BM81" s="36"/>
      <c r="BN81" s="36"/>
      <c r="BO81" s="36"/>
      <c r="BP81" s="36"/>
      <c r="BQ81" s="36"/>
      <c r="BR81" s="36"/>
      <c r="BS81" s="36"/>
      <c r="BT81" s="36"/>
      <c r="BU81" s="37"/>
      <c r="CJ81" s="26" t="s">
        <v>1378</v>
      </c>
      <c r="CK81" s="26" t="s">
        <v>3742</v>
      </c>
      <c r="CL81" s="26" t="str">
        <f t="shared" si="5"/>
        <v>北海道剣淵町</v>
      </c>
      <c r="CM81" s="26">
        <v>76</v>
      </c>
      <c r="CN81" s="17" t="str">
        <f t="shared" si="4"/>
        <v>0076</v>
      </c>
      <c r="CO81" s="17" t="str">
        <f t="shared" si="6"/>
        <v>7676剣淵町</v>
      </c>
      <c r="CP81" s="17" t="s">
        <v>3745</v>
      </c>
      <c r="CQ81" s="17" t="b">
        <f t="shared" si="7"/>
        <v>1</v>
      </c>
    </row>
    <row r="82" spans="12:95">
      <c r="L82" s="17" t="s">
        <v>3746</v>
      </c>
      <c r="M82" s="17" t="s">
        <v>3747</v>
      </c>
      <c r="N82" s="27" t="s">
        <v>3748</v>
      </c>
      <c r="O82" s="29" t="s">
        <v>1439</v>
      </c>
      <c r="P82" s="29" t="s">
        <v>3749</v>
      </c>
      <c r="Q82" s="29" t="s">
        <v>1439</v>
      </c>
      <c r="R82" s="29" t="s">
        <v>3750</v>
      </c>
      <c r="S82" s="28" t="s">
        <v>1920</v>
      </c>
      <c r="T82" s="28" t="s">
        <v>3751</v>
      </c>
      <c r="U82" s="28" t="s">
        <v>1439</v>
      </c>
      <c r="V82" s="28" t="s">
        <v>1495</v>
      </c>
      <c r="W82" s="28" t="s">
        <v>3752</v>
      </c>
      <c r="X82" s="17">
        <v>1</v>
      </c>
      <c r="AA82" s="30" t="s">
        <v>3751</v>
      </c>
      <c r="AB82" s="31"/>
      <c r="AC82" s="31"/>
      <c r="AD82" s="31"/>
      <c r="AE82" s="31"/>
      <c r="AF82" s="31"/>
      <c r="AG82" s="31"/>
      <c r="AH82" s="31"/>
      <c r="AI82" s="31"/>
      <c r="AJ82" s="31"/>
      <c r="AK82" s="31"/>
      <c r="AL82" s="31"/>
      <c r="AM82" s="31"/>
      <c r="AN82" s="31"/>
      <c r="AO82" s="31"/>
      <c r="AP82" s="31"/>
      <c r="AQ82" s="31"/>
      <c r="AR82" s="31"/>
      <c r="AS82" s="31"/>
      <c r="AT82" s="31" t="s">
        <v>3753</v>
      </c>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2"/>
      <c r="CJ82" s="26" t="s">
        <v>1378</v>
      </c>
      <c r="CK82" s="26" t="s">
        <v>3751</v>
      </c>
      <c r="CL82" s="26" t="str">
        <f t="shared" si="5"/>
        <v>北海道下川町</v>
      </c>
      <c r="CM82" s="26">
        <v>77</v>
      </c>
      <c r="CN82" s="17" t="str">
        <f t="shared" si="4"/>
        <v>0077</v>
      </c>
      <c r="CO82" s="17" t="str">
        <f t="shared" si="6"/>
        <v>7777下川町</v>
      </c>
      <c r="CP82" s="17" t="s">
        <v>3754</v>
      </c>
      <c r="CQ82" s="17" t="b">
        <f t="shared" si="7"/>
        <v>1</v>
      </c>
    </row>
    <row r="83" spans="12:95">
      <c r="L83" s="17" t="s">
        <v>3755</v>
      </c>
      <c r="M83" s="17" t="s">
        <v>3756</v>
      </c>
      <c r="N83" s="27" t="s">
        <v>3757</v>
      </c>
      <c r="O83" s="29" t="s">
        <v>1439</v>
      </c>
      <c r="P83" s="29" t="s">
        <v>3758</v>
      </c>
      <c r="Q83" s="29" t="s">
        <v>1439</v>
      </c>
      <c r="R83" s="29" t="s">
        <v>3759</v>
      </c>
      <c r="S83" s="28" t="s">
        <v>1977</v>
      </c>
      <c r="T83" s="28" t="s">
        <v>3760</v>
      </c>
      <c r="U83" s="28" t="s">
        <v>1439</v>
      </c>
      <c r="V83" s="28" t="s">
        <v>1495</v>
      </c>
      <c r="W83" s="28" t="s">
        <v>3761</v>
      </c>
      <c r="X83" s="17">
        <v>1</v>
      </c>
      <c r="AA83" s="35" t="s">
        <v>3760</v>
      </c>
      <c r="AB83" s="36"/>
      <c r="AC83" s="36"/>
      <c r="AD83" s="36"/>
      <c r="AE83" s="36"/>
      <c r="AF83" s="36"/>
      <c r="AG83" s="36"/>
      <c r="AH83" s="36"/>
      <c r="AI83" s="36"/>
      <c r="AJ83" s="36"/>
      <c r="AK83" s="36"/>
      <c r="AL83" s="36"/>
      <c r="AM83" s="36"/>
      <c r="AN83" s="36"/>
      <c r="AO83" s="36"/>
      <c r="AP83" s="36"/>
      <c r="AQ83" s="36"/>
      <c r="AR83" s="36"/>
      <c r="AS83" s="36"/>
      <c r="AT83" s="36" t="s">
        <v>3762</v>
      </c>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7"/>
      <c r="CJ83" s="26" t="s">
        <v>1378</v>
      </c>
      <c r="CK83" s="26" t="s">
        <v>3760</v>
      </c>
      <c r="CL83" s="26" t="str">
        <f t="shared" si="5"/>
        <v>北海道美深町</v>
      </c>
      <c r="CM83" s="26">
        <v>78</v>
      </c>
      <c r="CN83" s="17" t="str">
        <f t="shared" si="4"/>
        <v>0078</v>
      </c>
      <c r="CO83" s="17" t="str">
        <f t="shared" si="6"/>
        <v>7878美深町</v>
      </c>
      <c r="CP83" s="17" t="s">
        <v>3763</v>
      </c>
      <c r="CQ83" s="17" t="b">
        <f t="shared" si="7"/>
        <v>1</v>
      </c>
    </row>
    <row r="84" spans="12:95">
      <c r="L84" s="17" t="s">
        <v>3764</v>
      </c>
      <c r="M84" s="17" t="s">
        <v>3765</v>
      </c>
      <c r="N84" s="27" t="s">
        <v>3766</v>
      </c>
      <c r="O84" s="29" t="s">
        <v>1439</v>
      </c>
      <c r="P84" s="29" t="s">
        <v>3767</v>
      </c>
      <c r="Q84" s="29" t="s">
        <v>1439</v>
      </c>
      <c r="R84" s="29" t="s">
        <v>3768</v>
      </c>
      <c r="S84" s="28" t="s">
        <v>1743</v>
      </c>
      <c r="T84" s="28" t="s">
        <v>3769</v>
      </c>
      <c r="U84" s="28" t="s">
        <v>1439</v>
      </c>
      <c r="V84" s="28" t="s">
        <v>1495</v>
      </c>
      <c r="W84" s="28" t="s">
        <v>3770</v>
      </c>
      <c r="X84" s="17">
        <v>1</v>
      </c>
      <c r="AA84" s="30" t="s">
        <v>3769</v>
      </c>
      <c r="AB84" s="31"/>
      <c r="AC84" s="31"/>
      <c r="AD84" s="31"/>
      <c r="AE84" s="31"/>
      <c r="AF84" s="31"/>
      <c r="AG84" s="31"/>
      <c r="AH84" s="31"/>
      <c r="AI84" s="31"/>
      <c r="AJ84" s="31"/>
      <c r="AK84" s="31"/>
      <c r="AL84" s="31"/>
      <c r="AM84" s="31"/>
      <c r="AN84" s="31"/>
      <c r="AO84" s="31"/>
      <c r="AP84" s="31"/>
      <c r="AQ84" s="31"/>
      <c r="AR84" s="31"/>
      <c r="AS84" s="31"/>
      <c r="AT84" s="31" t="s">
        <v>3771</v>
      </c>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2"/>
      <c r="CJ84" s="26" t="s">
        <v>1378</v>
      </c>
      <c r="CK84" s="26" t="s">
        <v>3769</v>
      </c>
      <c r="CL84" s="26" t="str">
        <f t="shared" si="5"/>
        <v>北海道音威子府村</v>
      </c>
      <c r="CM84" s="26">
        <v>79</v>
      </c>
      <c r="CN84" s="17" t="str">
        <f t="shared" si="4"/>
        <v>0079</v>
      </c>
      <c r="CO84" s="17" t="str">
        <f t="shared" si="6"/>
        <v>7979音威子府村</v>
      </c>
      <c r="CP84" s="17" t="s">
        <v>3772</v>
      </c>
      <c r="CQ84" s="17" t="b">
        <f t="shared" si="7"/>
        <v>1</v>
      </c>
    </row>
    <row r="85" spans="12:95">
      <c r="L85" s="17" t="s">
        <v>3773</v>
      </c>
      <c r="M85" s="17" t="s">
        <v>3774</v>
      </c>
      <c r="N85" s="27" t="s">
        <v>3775</v>
      </c>
      <c r="O85" s="29" t="s">
        <v>1439</v>
      </c>
      <c r="P85" s="29" t="s">
        <v>3776</v>
      </c>
      <c r="Q85" s="29" t="s">
        <v>1439</v>
      </c>
      <c r="R85" s="29" t="s">
        <v>3777</v>
      </c>
      <c r="S85" s="28" t="s">
        <v>1803</v>
      </c>
      <c r="T85" s="28" t="s">
        <v>3778</v>
      </c>
      <c r="U85" s="28" t="s">
        <v>1439</v>
      </c>
      <c r="V85" s="28" t="s">
        <v>1495</v>
      </c>
      <c r="W85" s="28" t="s">
        <v>3779</v>
      </c>
      <c r="X85" s="17">
        <v>1</v>
      </c>
      <c r="AA85" s="35" t="s">
        <v>3778</v>
      </c>
      <c r="AB85" s="36"/>
      <c r="AC85" s="36"/>
      <c r="AD85" s="36"/>
      <c r="AE85" s="36"/>
      <c r="AF85" s="36"/>
      <c r="AG85" s="36"/>
      <c r="AH85" s="36"/>
      <c r="AI85" s="36"/>
      <c r="AJ85" s="36"/>
      <c r="AK85" s="36"/>
      <c r="AL85" s="36"/>
      <c r="AM85" s="36"/>
      <c r="AN85" s="36"/>
      <c r="AO85" s="36"/>
      <c r="AP85" s="36"/>
      <c r="AQ85" s="36"/>
      <c r="AR85" s="36"/>
      <c r="AS85" s="36"/>
      <c r="AT85" s="36" t="s">
        <v>3780</v>
      </c>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7"/>
      <c r="CJ85" s="26" t="s">
        <v>1378</v>
      </c>
      <c r="CK85" s="26" t="s">
        <v>3778</v>
      </c>
      <c r="CL85" s="26" t="str">
        <f t="shared" si="5"/>
        <v>北海道中川町</v>
      </c>
      <c r="CM85" s="26">
        <v>80</v>
      </c>
      <c r="CN85" s="17" t="str">
        <f t="shared" si="4"/>
        <v>0080</v>
      </c>
      <c r="CO85" s="17" t="str">
        <f t="shared" si="6"/>
        <v>8080中川町</v>
      </c>
      <c r="CP85" s="17" t="s">
        <v>3781</v>
      </c>
      <c r="CQ85" s="17" t="b">
        <f t="shared" si="7"/>
        <v>1</v>
      </c>
    </row>
    <row r="86" spans="12:95">
      <c r="L86" s="17" t="s">
        <v>3782</v>
      </c>
      <c r="M86" s="17" t="s">
        <v>3783</v>
      </c>
      <c r="N86" s="27" t="s">
        <v>3784</v>
      </c>
      <c r="O86" s="29" t="s">
        <v>1439</v>
      </c>
      <c r="P86" s="29" t="s">
        <v>3785</v>
      </c>
      <c r="Q86" s="29" t="s">
        <v>1439</v>
      </c>
      <c r="R86" s="29" t="s">
        <v>3786</v>
      </c>
      <c r="S86" s="28" t="s">
        <v>1564</v>
      </c>
      <c r="T86" s="28" t="s">
        <v>3787</v>
      </c>
      <c r="U86" s="28" t="s">
        <v>1439</v>
      </c>
      <c r="V86" s="28" t="s">
        <v>1495</v>
      </c>
      <c r="W86" s="28" t="s">
        <v>3788</v>
      </c>
      <c r="X86" s="17">
        <v>1</v>
      </c>
      <c r="AA86" s="30" t="s">
        <v>3787</v>
      </c>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2"/>
      <c r="CJ86" s="26" t="s">
        <v>1378</v>
      </c>
      <c r="CK86" s="26" t="s">
        <v>3787</v>
      </c>
      <c r="CL86" s="26" t="str">
        <f t="shared" si="5"/>
        <v>北海道増毛町</v>
      </c>
      <c r="CM86" s="26">
        <v>81</v>
      </c>
      <c r="CN86" s="17" t="str">
        <f t="shared" si="4"/>
        <v>0081</v>
      </c>
      <c r="CO86" s="17" t="str">
        <f t="shared" si="6"/>
        <v>8181増毛町</v>
      </c>
      <c r="CP86" s="17" t="s">
        <v>3789</v>
      </c>
      <c r="CQ86" s="17" t="b">
        <f t="shared" si="7"/>
        <v>1</v>
      </c>
    </row>
    <row r="87" spans="12:95">
      <c r="L87" s="17" t="s">
        <v>3790</v>
      </c>
      <c r="M87" s="17" t="s">
        <v>3791</v>
      </c>
      <c r="N87" s="27" t="s">
        <v>3792</v>
      </c>
      <c r="O87" s="29" t="s">
        <v>1439</v>
      </c>
      <c r="P87" s="29" t="s">
        <v>3793</v>
      </c>
      <c r="Q87" s="29" t="s">
        <v>1439</v>
      </c>
      <c r="R87" s="29" t="s">
        <v>3794</v>
      </c>
      <c r="S87" s="28" t="s">
        <v>1626</v>
      </c>
      <c r="T87" s="28" t="s">
        <v>3795</v>
      </c>
      <c r="U87" s="28" t="s">
        <v>1439</v>
      </c>
      <c r="V87" s="28" t="s">
        <v>1495</v>
      </c>
      <c r="W87" s="28" t="s">
        <v>3796</v>
      </c>
      <c r="X87" s="17">
        <v>1</v>
      </c>
      <c r="AA87" s="35" t="s">
        <v>3795</v>
      </c>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7"/>
      <c r="CJ87" s="26" t="s">
        <v>1378</v>
      </c>
      <c r="CK87" s="26" t="s">
        <v>3795</v>
      </c>
      <c r="CL87" s="26" t="str">
        <f t="shared" si="5"/>
        <v>北海道小平町</v>
      </c>
      <c r="CM87" s="26">
        <v>82</v>
      </c>
      <c r="CN87" s="17" t="str">
        <f t="shared" si="4"/>
        <v>0082</v>
      </c>
      <c r="CO87" s="17" t="str">
        <f t="shared" si="6"/>
        <v>8282小平町</v>
      </c>
      <c r="CP87" s="17" t="s">
        <v>3797</v>
      </c>
      <c r="CQ87" s="17" t="b">
        <f t="shared" si="7"/>
        <v>1</v>
      </c>
    </row>
    <row r="88" spans="12:95">
      <c r="L88" s="17" t="s">
        <v>3798</v>
      </c>
      <c r="M88" s="17" t="s">
        <v>3799</v>
      </c>
      <c r="N88" s="27" t="s">
        <v>3800</v>
      </c>
      <c r="O88" s="29" t="s">
        <v>1439</v>
      </c>
      <c r="P88" s="29" t="s">
        <v>3801</v>
      </c>
      <c r="Q88" s="29" t="s">
        <v>1439</v>
      </c>
      <c r="R88" s="29" t="s">
        <v>3802</v>
      </c>
      <c r="S88" s="28" t="s">
        <v>1502</v>
      </c>
      <c r="T88" s="28" t="s">
        <v>3803</v>
      </c>
      <c r="U88" s="28" t="s">
        <v>1439</v>
      </c>
      <c r="V88" s="28" t="s">
        <v>1495</v>
      </c>
      <c r="W88" s="28" t="s">
        <v>3804</v>
      </c>
      <c r="X88" s="17">
        <v>1</v>
      </c>
      <c r="AA88" s="30" t="s">
        <v>3803</v>
      </c>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2"/>
      <c r="CJ88" s="26" t="s">
        <v>1378</v>
      </c>
      <c r="CK88" s="26" t="s">
        <v>3803</v>
      </c>
      <c r="CL88" s="26" t="str">
        <f t="shared" si="5"/>
        <v>北海道苫前町</v>
      </c>
      <c r="CM88" s="26">
        <v>83</v>
      </c>
      <c r="CN88" s="17" t="str">
        <f t="shared" si="4"/>
        <v>0083</v>
      </c>
      <c r="CO88" s="17" t="str">
        <f t="shared" si="6"/>
        <v>8383苫前町</v>
      </c>
      <c r="CP88" s="17" t="s">
        <v>3805</v>
      </c>
      <c r="CQ88" s="17" t="b">
        <f t="shared" si="7"/>
        <v>1</v>
      </c>
    </row>
    <row r="89" spans="12:95">
      <c r="L89" s="17" t="s">
        <v>3806</v>
      </c>
      <c r="M89" s="17" t="s">
        <v>3807</v>
      </c>
      <c r="N89" s="27" t="s">
        <v>3808</v>
      </c>
      <c r="O89" s="29" t="s">
        <v>1439</v>
      </c>
      <c r="P89" s="29" t="s">
        <v>3809</v>
      </c>
      <c r="Q89" s="29" t="s">
        <v>1439</v>
      </c>
      <c r="R89" s="29" t="s">
        <v>3810</v>
      </c>
      <c r="S89" s="28" t="s">
        <v>2525</v>
      </c>
      <c r="T89" s="28" t="s">
        <v>3811</v>
      </c>
      <c r="U89" s="28" t="s">
        <v>1439</v>
      </c>
      <c r="V89" s="28" t="s">
        <v>1495</v>
      </c>
      <c r="W89" s="28" t="s">
        <v>3812</v>
      </c>
      <c r="X89" s="17">
        <v>1</v>
      </c>
      <c r="AA89" s="35" t="s">
        <v>3811</v>
      </c>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7"/>
      <c r="CJ89" s="26" t="s">
        <v>1378</v>
      </c>
      <c r="CK89" s="26" t="s">
        <v>3811</v>
      </c>
      <c r="CL89" s="26" t="str">
        <f t="shared" si="5"/>
        <v>北海道羽幌町</v>
      </c>
      <c r="CM89" s="26">
        <v>84</v>
      </c>
      <c r="CN89" s="17" t="str">
        <f t="shared" si="4"/>
        <v>0084</v>
      </c>
      <c r="CO89" s="17" t="str">
        <f t="shared" si="6"/>
        <v>8484羽幌町</v>
      </c>
      <c r="CP89" s="17" t="s">
        <v>3813</v>
      </c>
      <c r="CQ89" s="17" t="b">
        <f t="shared" si="7"/>
        <v>1</v>
      </c>
    </row>
    <row r="90" spans="12:95">
      <c r="L90" s="17" t="s">
        <v>3814</v>
      </c>
      <c r="M90" s="17" t="s">
        <v>3815</v>
      </c>
      <c r="N90" s="27" t="s">
        <v>3816</v>
      </c>
      <c r="O90" s="29" t="s">
        <v>1439</v>
      </c>
      <c r="P90" s="29" t="s">
        <v>3817</v>
      </c>
      <c r="Q90" s="29" t="s">
        <v>1439</v>
      </c>
      <c r="R90" s="29" t="s">
        <v>3818</v>
      </c>
      <c r="S90" s="28" t="s">
        <v>1803</v>
      </c>
      <c r="T90" s="28" t="s">
        <v>3819</v>
      </c>
      <c r="U90" s="28" t="s">
        <v>1439</v>
      </c>
      <c r="V90" s="28" t="s">
        <v>1495</v>
      </c>
      <c r="W90" s="28" t="s">
        <v>3820</v>
      </c>
      <c r="X90" s="17">
        <v>1</v>
      </c>
      <c r="AA90" s="30" t="s">
        <v>3819</v>
      </c>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1"/>
      <c r="BU90" s="32"/>
      <c r="CJ90" s="26" t="s">
        <v>1378</v>
      </c>
      <c r="CK90" s="26" t="s">
        <v>3819</v>
      </c>
      <c r="CL90" s="26" t="str">
        <f t="shared" si="5"/>
        <v>北海道初山別村</v>
      </c>
      <c r="CM90" s="26">
        <v>85</v>
      </c>
      <c r="CN90" s="17" t="str">
        <f t="shared" si="4"/>
        <v>0085</v>
      </c>
      <c r="CO90" s="17" t="str">
        <f t="shared" si="6"/>
        <v>8585初山別村</v>
      </c>
      <c r="CP90" s="17" t="s">
        <v>3821</v>
      </c>
      <c r="CQ90" s="17" t="b">
        <f t="shared" si="7"/>
        <v>1</v>
      </c>
    </row>
    <row r="91" spans="12:95">
      <c r="L91" s="17" t="s">
        <v>3822</v>
      </c>
      <c r="M91" s="17" t="s">
        <v>3823</v>
      </c>
      <c r="N91" s="27" t="s">
        <v>3824</v>
      </c>
      <c r="O91" s="29" t="s">
        <v>1439</v>
      </c>
      <c r="P91" s="29" t="s">
        <v>3825</v>
      </c>
      <c r="Q91" s="29" t="s">
        <v>1439</v>
      </c>
      <c r="R91" s="29" t="s">
        <v>3826</v>
      </c>
      <c r="S91" s="28" t="s">
        <v>1862</v>
      </c>
      <c r="T91" s="28" t="s">
        <v>3827</v>
      </c>
      <c r="U91" s="28" t="s">
        <v>1439</v>
      </c>
      <c r="V91" s="28" t="s">
        <v>1495</v>
      </c>
      <c r="W91" s="28" t="s">
        <v>3828</v>
      </c>
      <c r="X91" s="17">
        <v>1</v>
      </c>
      <c r="AA91" s="35" t="s">
        <v>3827</v>
      </c>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c r="BK91" s="36"/>
      <c r="BL91" s="36"/>
      <c r="BM91" s="36"/>
      <c r="BN91" s="36"/>
      <c r="BO91" s="36"/>
      <c r="BP91" s="36"/>
      <c r="BQ91" s="36"/>
      <c r="BR91" s="36"/>
      <c r="BS91" s="36"/>
      <c r="BT91" s="36"/>
      <c r="BU91" s="37"/>
      <c r="CJ91" s="26" t="s">
        <v>1378</v>
      </c>
      <c r="CK91" s="26" t="s">
        <v>3827</v>
      </c>
      <c r="CL91" s="26" t="str">
        <f t="shared" si="5"/>
        <v>北海道遠別町</v>
      </c>
      <c r="CM91" s="26">
        <v>86</v>
      </c>
      <c r="CN91" s="17" t="str">
        <f t="shared" si="4"/>
        <v>0086</v>
      </c>
      <c r="CO91" s="17" t="str">
        <f t="shared" si="6"/>
        <v>8686遠別町</v>
      </c>
      <c r="CP91" s="17" t="s">
        <v>3829</v>
      </c>
      <c r="CQ91" s="17" t="b">
        <f t="shared" si="7"/>
        <v>1</v>
      </c>
    </row>
    <row r="92" spans="12:95">
      <c r="L92" s="17" t="s">
        <v>3830</v>
      </c>
      <c r="M92" s="17" t="s">
        <v>3831</v>
      </c>
      <c r="N92" s="27" t="s">
        <v>3832</v>
      </c>
      <c r="O92" s="29" t="s">
        <v>1439</v>
      </c>
      <c r="P92" s="29" t="s">
        <v>3833</v>
      </c>
      <c r="Q92" s="29" t="s">
        <v>1439</v>
      </c>
      <c r="R92" s="29" t="s">
        <v>3834</v>
      </c>
      <c r="S92" s="28" t="s">
        <v>1920</v>
      </c>
      <c r="T92" s="28" t="s">
        <v>3835</v>
      </c>
      <c r="U92" s="28" t="s">
        <v>1439</v>
      </c>
      <c r="V92" s="28" t="s">
        <v>1495</v>
      </c>
      <c r="W92" s="28" t="s">
        <v>3836</v>
      </c>
      <c r="X92" s="17">
        <v>1</v>
      </c>
      <c r="AA92" s="30" t="s">
        <v>3835</v>
      </c>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c r="BO92" s="31"/>
      <c r="BP92" s="31"/>
      <c r="BQ92" s="31"/>
      <c r="BR92" s="31"/>
      <c r="BS92" s="31"/>
      <c r="BT92" s="31"/>
      <c r="BU92" s="32"/>
      <c r="CJ92" s="26" t="s">
        <v>1378</v>
      </c>
      <c r="CK92" s="26" t="s">
        <v>3835</v>
      </c>
      <c r="CL92" s="26" t="str">
        <f t="shared" si="5"/>
        <v>北海道天塩町</v>
      </c>
      <c r="CM92" s="26">
        <v>87</v>
      </c>
      <c r="CN92" s="17" t="str">
        <f t="shared" si="4"/>
        <v>0087</v>
      </c>
      <c r="CO92" s="17" t="str">
        <f t="shared" si="6"/>
        <v>8787天塩町</v>
      </c>
      <c r="CP92" s="17" t="s">
        <v>3837</v>
      </c>
      <c r="CQ92" s="17" t="b">
        <f t="shared" si="7"/>
        <v>1</v>
      </c>
    </row>
    <row r="93" spans="12:95">
      <c r="L93" s="17" t="s">
        <v>3838</v>
      </c>
      <c r="M93" s="17" t="s">
        <v>3839</v>
      </c>
      <c r="N93" s="27" t="s">
        <v>3840</v>
      </c>
      <c r="O93" s="29" t="s">
        <v>1439</v>
      </c>
      <c r="P93" s="29" t="s">
        <v>3841</v>
      </c>
      <c r="Q93" s="29" t="s">
        <v>1439</v>
      </c>
      <c r="R93" s="29" t="s">
        <v>3842</v>
      </c>
      <c r="S93" s="28" t="s">
        <v>2525</v>
      </c>
      <c r="T93" s="28" t="s">
        <v>3843</v>
      </c>
      <c r="U93" s="28" t="s">
        <v>1439</v>
      </c>
      <c r="V93" s="28" t="s">
        <v>1495</v>
      </c>
      <c r="W93" s="28" t="s">
        <v>3844</v>
      </c>
      <c r="X93" s="17">
        <v>1</v>
      </c>
      <c r="AA93" s="35" t="s">
        <v>3843</v>
      </c>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c r="BK93" s="36"/>
      <c r="BL93" s="36"/>
      <c r="BM93" s="36"/>
      <c r="BN93" s="36"/>
      <c r="BO93" s="36"/>
      <c r="BP93" s="36"/>
      <c r="BQ93" s="36"/>
      <c r="BR93" s="36"/>
      <c r="BS93" s="36"/>
      <c r="BT93" s="36"/>
      <c r="BU93" s="37"/>
      <c r="CJ93" s="26" t="s">
        <v>1378</v>
      </c>
      <c r="CK93" s="26" t="s">
        <v>3843</v>
      </c>
      <c r="CL93" s="26" t="str">
        <f t="shared" si="5"/>
        <v>北海道猿払村</v>
      </c>
      <c r="CM93" s="26">
        <v>88</v>
      </c>
      <c r="CN93" s="17" t="str">
        <f t="shared" si="4"/>
        <v>0088</v>
      </c>
      <c r="CO93" s="17" t="str">
        <f t="shared" si="6"/>
        <v>8888猿払村</v>
      </c>
      <c r="CP93" s="17" t="s">
        <v>3845</v>
      </c>
      <c r="CQ93" s="17" t="b">
        <f t="shared" si="7"/>
        <v>1</v>
      </c>
    </row>
    <row r="94" spans="12:95">
      <c r="L94" s="17" t="s">
        <v>3846</v>
      </c>
      <c r="M94" s="17" t="s">
        <v>3847</v>
      </c>
      <c r="N94" s="27" t="s">
        <v>3848</v>
      </c>
      <c r="O94" s="29" t="s">
        <v>1439</v>
      </c>
      <c r="P94" s="29" t="s">
        <v>3849</v>
      </c>
      <c r="Q94" s="29" t="s">
        <v>1439</v>
      </c>
      <c r="R94" s="29" t="s">
        <v>3850</v>
      </c>
      <c r="S94" s="28" t="s">
        <v>2311</v>
      </c>
      <c r="T94" s="28" t="s">
        <v>3851</v>
      </c>
      <c r="U94" s="28" t="s">
        <v>1439</v>
      </c>
      <c r="V94" s="28" t="s">
        <v>1495</v>
      </c>
      <c r="W94" s="28" t="s">
        <v>3852</v>
      </c>
      <c r="X94" s="17">
        <v>1</v>
      </c>
      <c r="AA94" s="30" t="s">
        <v>3851</v>
      </c>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c r="BU94" s="32"/>
      <c r="CJ94" s="26" t="s">
        <v>1378</v>
      </c>
      <c r="CK94" s="26" t="s">
        <v>3851</v>
      </c>
      <c r="CL94" s="26" t="str">
        <f t="shared" si="5"/>
        <v>北海道浜頓別町</v>
      </c>
      <c r="CM94" s="26">
        <v>89</v>
      </c>
      <c r="CN94" s="17" t="str">
        <f t="shared" si="4"/>
        <v>0089</v>
      </c>
      <c r="CO94" s="17" t="str">
        <f t="shared" si="6"/>
        <v>8989浜頓別町</v>
      </c>
      <c r="CP94" s="17" t="s">
        <v>3853</v>
      </c>
      <c r="CQ94" s="17" t="b">
        <f t="shared" si="7"/>
        <v>1</v>
      </c>
    </row>
    <row r="95" spans="12:95">
      <c r="L95" s="17" t="s">
        <v>3854</v>
      </c>
      <c r="M95" s="17" t="s">
        <v>3855</v>
      </c>
      <c r="N95" s="27" t="s">
        <v>3856</v>
      </c>
      <c r="O95" s="29" t="s">
        <v>1439</v>
      </c>
      <c r="P95" s="29" t="s">
        <v>3857</v>
      </c>
      <c r="Q95" s="29" t="s">
        <v>1439</v>
      </c>
      <c r="R95" s="29" t="s">
        <v>3858</v>
      </c>
      <c r="S95" s="28" t="s">
        <v>1564</v>
      </c>
      <c r="T95" s="28" t="s">
        <v>3859</v>
      </c>
      <c r="U95" s="28" t="s">
        <v>1439</v>
      </c>
      <c r="V95" s="28" t="s">
        <v>1495</v>
      </c>
      <c r="W95" s="28" t="s">
        <v>3860</v>
      </c>
      <c r="X95" s="17">
        <v>1</v>
      </c>
      <c r="AA95" s="35" t="s">
        <v>3859</v>
      </c>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c r="BK95" s="36"/>
      <c r="BL95" s="36"/>
      <c r="BM95" s="36"/>
      <c r="BN95" s="36"/>
      <c r="BO95" s="36"/>
      <c r="BP95" s="36"/>
      <c r="BQ95" s="36"/>
      <c r="BR95" s="36"/>
      <c r="BS95" s="36"/>
      <c r="BT95" s="36"/>
      <c r="BU95" s="37"/>
      <c r="CJ95" s="26" t="s">
        <v>1378</v>
      </c>
      <c r="CK95" s="26" t="s">
        <v>3859</v>
      </c>
      <c r="CL95" s="26" t="str">
        <f t="shared" si="5"/>
        <v>北海道中頓別町</v>
      </c>
      <c r="CM95" s="26">
        <v>90</v>
      </c>
      <c r="CN95" s="17" t="str">
        <f t="shared" si="4"/>
        <v>0090</v>
      </c>
      <c r="CO95" s="17" t="str">
        <f t="shared" si="6"/>
        <v>9090中頓別町</v>
      </c>
      <c r="CP95" s="17" t="s">
        <v>3861</v>
      </c>
      <c r="CQ95" s="17" t="b">
        <f t="shared" si="7"/>
        <v>1</v>
      </c>
    </row>
    <row r="96" spans="12:95">
      <c r="L96" s="17" t="s">
        <v>3862</v>
      </c>
      <c r="M96" s="17" t="s">
        <v>3863</v>
      </c>
      <c r="N96" s="27" t="s">
        <v>3864</v>
      </c>
      <c r="O96" s="29" t="s">
        <v>1439</v>
      </c>
      <c r="P96" s="29" t="s">
        <v>3865</v>
      </c>
      <c r="Q96" s="29" t="s">
        <v>1439</v>
      </c>
      <c r="R96" s="29" t="s">
        <v>3866</v>
      </c>
      <c r="S96" s="28" t="s">
        <v>1626</v>
      </c>
      <c r="T96" s="28" t="s">
        <v>3867</v>
      </c>
      <c r="U96" s="28" t="s">
        <v>1439</v>
      </c>
      <c r="V96" s="28" t="s">
        <v>1495</v>
      </c>
      <c r="W96" s="28" t="s">
        <v>3868</v>
      </c>
      <c r="X96" s="17">
        <v>1</v>
      </c>
      <c r="AA96" s="30" t="s">
        <v>3867</v>
      </c>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c r="BU96" s="32"/>
      <c r="CJ96" s="26" t="s">
        <v>1378</v>
      </c>
      <c r="CK96" s="26" t="s">
        <v>3867</v>
      </c>
      <c r="CL96" s="26" t="str">
        <f t="shared" si="5"/>
        <v>北海道枝幸町</v>
      </c>
      <c r="CM96" s="26">
        <v>91</v>
      </c>
      <c r="CN96" s="17" t="str">
        <f t="shared" si="4"/>
        <v>0091</v>
      </c>
      <c r="CO96" s="17" t="str">
        <f t="shared" si="6"/>
        <v>9191枝幸町</v>
      </c>
      <c r="CP96" s="17" t="s">
        <v>3869</v>
      </c>
      <c r="CQ96" s="17" t="b">
        <f t="shared" si="7"/>
        <v>1</v>
      </c>
    </row>
    <row r="97" spans="12:95">
      <c r="L97" s="17" t="s">
        <v>3870</v>
      </c>
      <c r="M97" s="17" t="s">
        <v>3871</v>
      </c>
      <c r="N97" s="27" t="s">
        <v>3872</v>
      </c>
      <c r="O97" s="29" t="s">
        <v>1439</v>
      </c>
      <c r="P97" s="29" t="s">
        <v>3873</v>
      </c>
      <c r="Q97" s="29" t="s">
        <v>1439</v>
      </c>
      <c r="R97" s="29" t="s">
        <v>3874</v>
      </c>
      <c r="S97" s="28" t="s">
        <v>1743</v>
      </c>
      <c r="T97" s="28" t="s">
        <v>3875</v>
      </c>
      <c r="U97" s="28" t="s">
        <v>1439</v>
      </c>
      <c r="V97" s="28" t="s">
        <v>1495</v>
      </c>
      <c r="W97" s="28" t="s">
        <v>3873</v>
      </c>
      <c r="X97" s="17">
        <v>1</v>
      </c>
      <c r="AA97" s="35" t="s">
        <v>3875</v>
      </c>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7"/>
      <c r="CJ97" s="26" t="s">
        <v>1378</v>
      </c>
      <c r="CK97" s="26" t="s">
        <v>3875</v>
      </c>
      <c r="CL97" s="26" t="str">
        <f t="shared" si="5"/>
        <v>北海道豊富町</v>
      </c>
      <c r="CM97" s="26">
        <v>92</v>
      </c>
      <c r="CN97" s="17" t="str">
        <f t="shared" si="4"/>
        <v>0092</v>
      </c>
      <c r="CO97" s="17" t="str">
        <f t="shared" si="6"/>
        <v>9292豊富町</v>
      </c>
      <c r="CP97" s="17" t="s">
        <v>3876</v>
      </c>
      <c r="CQ97" s="17" t="b">
        <f t="shared" si="7"/>
        <v>1</v>
      </c>
    </row>
    <row r="98" spans="12:95">
      <c r="L98" s="17" t="s">
        <v>3877</v>
      </c>
      <c r="M98" s="17" t="s">
        <v>3878</v>
      </c>
      <c r="N98" s="27" t="s">
        <v>3879</v>
      </c>
      <c r="O98" s="29" t="s">
        <v>1439</v>
      </c>
      <c r="P98" s="29" t="s">
        <v>3880</v>
      </c>
      <c r="Q98" s="29" t="s">
        <v>1439</v>
      </c>
      <c r="R98" s="29" t="s">
        <v>3881</v>
      </c>
      <c r="S98" s="28" t="s">
        <v>1803</v>
      </c>
      <c r="T98" s="28" t="s">
        <v>3882</v>
      </c>
      <c r="U98" s="28" t="s">
        <v>1439</v>
      </c>
      <c r="V98" s="28" t="s">
        <v>1495</v>
      </c>
      <c r="W98" s="28" t="s">
        <v>3880</v>
      </c>
      <c r="X98" s="17">
        <v>1</v>
      </c>
      <c r="AA98" s="30" t="s">
        <v>3882</v>
      </c>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c r="BU98" s="32"/>
      <c r="CJ98" s="26" t="s">
        <v>1378</v>
      </c>
      <c r="CK98" s="26" t="s">
        <v>3882</v>
      </c>
      <c r="CL98" s="26" t="str">
        <f t="shared" si="5"/>
        <v>北海道礼文町</v>
      </c>
      <c r="CM98" s="26">
        <v>93</v>
      </c>
      <c r="CN98" s="17" t="str">
        <f t="shared" si="4"/>
        <v>0093</v>
      </c>
      <c r="CO98" s="17" t="str">
        <f t="shared" si="6"/>
        <v>9393礼文町</v>
      </c>
      <c r="CP98" s="17" t="s">
        <v>3883</v>
      </c>
      <c r="CQ98" s="17" t="b">
        <f t="shared" si="7"/>
        <v>1</v>
      </c>
    </row>
    <row r="99" spans="12:95">
      <c r="L99" s="17" t="s">
        <v>3884</v>
      </c>
      <c r="M99" s="17" t="s">
        <v>3885</v>
      </c>
      <c r="N99" s="27" t="s">
        <v>3886</v>
      </c>
      <c r="O99" s="29" t="s">
        <v>1439</v>
      </c>
      <c r="P99" s="29" t="s">
        <v>3887</v>
      </c>
      <c r="Q99" s="29" t="s">
        <v>1439</v>
      </c>
      <c r="R99" s="29" t="s">
        <v>3888</v>
      </c>
      <c r="S99" s="28" t="s">
        <v>1862</v>
      </c>
      <c r="T99" s="28" t="s">
        <v>3889</v>
      </c>
      <c r="U99" s="28" t="s">
        <v>1439</v>
      </c>
      <c r="V99" s="28" t="s">
        <v>1495</v>
      </c>
      <c r="W99" s="28" t="s">
        <v>3890</v>
      </c>
      <c r="X99" s="17">
        <v>1</v>
      </c>
      <c r="AA99" s="35" t="s">
        <v>3889</v>
      </c>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7"/>
      <c r="CJ99" s="26" t="s">
        <v>1378</v>
      </c>
      <c r="CK99" s="26" t="s">
        <v>3889</v>
      </c>
      <c r="CL99" s="26" t="str">
        <f t="shared" si="5"/>
        <v>北海道利尻町</v>
      </c>
      <c r="CM99" s="26">
        <v>94</v>
      </c>
      <c r="CN99" s="17" t="str">
        <f t="shared" si="4"/>
        <v>0094</v>
      </c>
      <c r="CO99" s="17" t="str">
        <f t="shared" si="6"/>
        <v>9494利尻町</v>
      </c>
      <c r="CP99" s="17" t="s">
        <v>3891</v>
      </c>
      <c r="CQ99" s="17" t="b">
        <f t="shared" si="7"/>
        <v>1</v>
      </c>
    </row>
    <row r="100" spans="12:95">
      <c r="L100" s="17" t="s">
        <v>3892</v>
      </c>
      <c r="M100" s="17" t="s">
        <v>3893</v>
      </c>
      <c r="N100" s="27" t="s">
        <v>3894</v>
      </c>
      <c r="O100" s="29" t="s">
        <v>1439</v>
      </c>
      <c r="P100" s="29" t="s">
        <v>3895</v>
      </c>
      <c r="Q100" s="29" t="s">
        <v>1439</v>
      </c>
      <c r="R100" s="29" t="s">
        <v>3896</v>
      </c>
      <c r="S100" s="28" t="s">
        <v>1920</v>
      </c>
      <c r="T100" s="28" t="s">
        <v>3897</v>
      </c>
      <c r="U100" s="28" t="s">
        <v>1439</v>
      </c>
      <c r="V100" s="28" t="s">
        <v>1495</v>
      </c>
      <c r="W100" s="28" t="s">
        <v>3898</v>
      </c>
      <c r="X100" s="17">
        <v>1</v>
      </c>
      <c r="AA100" s="30" t="s">
        <v>3897</v>
      </c>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2"/>
      <c r="CJ100" s="26" t="s">
        <v>1378</v>
      </c>
      <c r="CK100" s="26" t="s">
        <v>3897</v>
      </c>
      <c r="CL100" s="26" t="str">
        <f t="shared" si="5"/>
        <v>北海道利尻富士町</v>
      </c>
      <c r="CM100" s="26">
        <v>95</v>
      </c>
      <c r="CN100" s="17" t="str">
        <f t="shared" si="4"/>
        <v>0095</v>
      </c>
      <c r="CO100" s="17" t="str">
        <f t="shared" si="6"/>
        <v>9595利尻富士町</v>
      </c>
      <c r="CP100" s="17" t="s">
        <v>3899</v>
      </c>
      <c r="CQ100" s="17" t="b">
        <f t="shared" si="7"/>
        <v>1</v>
      </c>
    </row>
    <row r="101" spans="12:95">
      <c r="L101" s="17" t="s">
        <v>3900</v>
      </c>
      <c r="M101" s="17" t="s">
        <v>3901</v>
      </c>
      <c r="N101" s="27" t="s">
        <v>3902</v>
      </c>
      <c r="O101" s="29" t="s">
        <v>1439</v>
      </c>
      <c r="P101" s="29" t="s">
        <v>3903</v>
      </c>
      <c r="Q101" s="29" t="s">
        <v>1439</v>
      </c>
      <c r="R101" s="29" t="s">
        <v>3904</v>
      </c>
      <c r="S101" s="28" t="s">
        <v>1977</v>
      </c>
      <c r="T101" s="28" t="s">
        <v>3905</v>
      </c>
      <c r="U101" s="28" t="s">
        <v>1439</v>
      </c>
      <c r="V101" s="28" t="s">
        <v>1495</v>
      </c>
      <c r="W101" s="28" t="s">
        <v>3906</v>
      </c>
      <c r="X101" s="17">
        <v>1</v>
      </c>
      <c r="AA101" s="35" t="s">
        <v>3905</v>
      </c>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36"/>
      <c r="BJ101" s="36"/>
      <c r="BK101" s="36"/>
      <c r="BL101" s="36"/>
      <c r="BM101" s="36"/>
      <c r="BN101" s="36"/>
      <c r="BO101" s="36"/>
      <c r="BP101" s="36"/>
      <c r="BQ101" s="36"/>
      <c r="BR101" s="36"/>
      <c r="BS101" s="36"/>
      <c r="BT101" s="36"/>
      <c r="BU101" s="37"/>
      <c r="CJ101" s="26" t="s">
        <v>1378</v>
      </c>
      <c r="CK101" s="26" t="s">
        <v>3905</v>
      </c>
      <c r="CL101" s="26" t="str">
        <f t="shared" si="5"/>
        <v>北海道幌延町</v>
      </c>
      <c r="CM101" s="26">
        <v>96</v>
      </c>
      <c r="CN101" s="17" t="str">
        <f t="shared" si="4"/>
        <v>0096</v>
      </c>
      <c r="CO101" s="17" t="str">
        <f t="shared" si="6"/>
        <v>9696幌延町</v>
      </c>
      <c r="CP101" s="17" t="s">
        <v>3907</v>
      </c>
      <c r="CQ101" s="17" t="b">
        <f t="shared" si="7"/>
        <v>1</v>
      </c>
    </row>
    <row r="102" spans="12:95">
      <c r="L102" s="17" t="s">
        <v>3908</v>
      </c>
      <c r="M102" s="17" t="s">
        <v>3909</v>
      </c>
      <c r="N102" s="27" t="s">
        <v>3910</v>
      </c>
      <c r="O102" s="29" t="s">
        <v>1439</v>
      </c>
      <c r="P102" s="29" t="s">
        <v>3911</v>
      </c>
      <c r="Q102" s="29" t="s">
        <v>1439</v>
      </c>
      <c r="R102" s="29" t="s">
        <v>3912</v>
      </c>
      <c r="S102" s="28" t="s">
        <v>1920</v>
      </c>
      <c r="T102" s="28" t="s">
        <v>3913</v>
      </c>
      <c r="U102" s="28" t="s">
        <v>1439</v>
      </c>
      <c r="V102" s="28" t="s">
        <v>1495</v>
      </c>
      <c r="W102" s="28" t="s">
        <v>3914</v>
      </c>
      <c r="X102" s="17">
        <v>1</v>
      </c>
      <c r="AA102" s="30" t="s">
        <v>3913</v>
      </c>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2"/>
      <c r="CJ102" s="26" t="s">
        <v>1378</v>
      </c>
      <c r="CK102" s="26" t="s">
        <v>3913</v>
      </c>
      <c r="CL102" s="26" t="str">
        <f t="shared" si="5"/>
        <v>北海道美幌町</v>
      </c>
      <c r="CM102" s="26">
        <v>97</v>
      </c>
      <c r="CN102" s="17" t="str">
        <f t="shared" si="4"/>
        <v>0097</v>
      </c>
      <c r="CO102" s="17" t="str">
        <f t="shared" si="6"/>
        <v>9797美幌町</v>
      </c>
      <c r="CP102" s="17" t="s">
        <v>3915</v>
      </c>
      <c r="CQ102" s="17" t="b">
        <f t="shared" si="7"/>
        <v>1</v>
      </c>
    </row>
    <row r="103" spans="12:95">
      <c r="L103" s="17" t="s">
        <v>3916</v>
      </c>
      <c r="M103" s="17" t="s">
        <v>3917</v>
      </c>
      <c r="N103" s="27" t="s">
        <v>3918</v>
      </c>
      <c r="O103" s="29" t="s">
        <v>1439</v>
      </c>
      <c r="P103" s="29" t="s">
        <v>3919</v>
      </c>
      <c r="Q103" s="29" t="s">
        <v>1439</v>
      </c>
      <c r="R103" s="29" t="s">
        <v>3920</v>
      </c>
      <c r="S103" s="28" t="s">
        <v>1977</v>
      </c>
      <c r="T103" s="28" t="s">
        <v>3921</v>
      </c>
      <c r="U103" s="28" t="s">
        <v>1439</v>
      </c>
      <c r="V103" s="28" t="s">
        <v>1495</v>
      </c>
      <c r="W103" s="28" t="s">
        <v>3922</v>
      </c>
      <c r="X103" s="17">
        <v>1</v>
      </c>
      <c r="AA103" s="35" t="s">
        <v>3921</v>
      </c>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c r="BK103" s="36"/>
      <c r="BL103" s="36"/>
      <c r="BM103" s="36"/>
      <c r="BN103" s="36"/>
      <c r="BO103" s="36"/>
      <c r="BP103" s="36"/>
      <c r="BQ103" s="36"/>
      <c r="BR103" s="36"/>
      <c r="BS103" s="36"/>
      <c r="BT103" s="36"/>
      <c r="BU103" s="37"/>
      <c r="CJ103" s="26" t="s">
        <v>1378</v>
      </c>
      <c r="CK103" s="26" t="s">
        <v>3921</v>
      </c>
      <c r="CL103" s="26" t="str">
        <f t="shared" si="5"/>
        <v>北海道津別町</v>
      </c>
      <c r="CM103" s="26">
        <v>98</v>
      </c>
      <c r="CN103" s="17" t="str">
        <f t="shared" si="4"/>
        <v>0098</v>
      </c>
      <c r="CO103" s="17" t="str">
        <f t="shared" si="6"/>
        <v>9898津別町</v>
      </c>
      <c r="CP103" s="17" t="s">
        <v>3923</v>
      </c>
      <c r="CQ103" s="17" t="b">
        <f t="shared" si="7"/>
        <v>1</v>
      </c>
    </row>
    <row r="104" spans="12:95">
      <c r="L104" s="17" t="s">
        <v>3924</v>
      </c>
      <c r="M104" s="17" t="s">
        <v>3925</v>
      </c>
      <c r="N104" s="27" t="s">
        <v>3926</v>
      </c>
      <c r="O104" s="29" t="s">
        <v>1439</v>
      </c>
      <c r="P104" s="29" t="s">
        <v>3927</v>
      </c>
      <c r="Q104" s="29" t="s">
        <v>1439</v>
      </c>
      <c r="R104" s="29" t="s">
        <v>3928</v>
      </c>
      <c r="S104" s="28" t="s">
        <v>2311</v>
      </c>
      <c r="T104" s="28" t="s">
        <v>3929</v>
      </c>
      <c r="U104" s="28" t="s">
        <v>1439</v>
      </c>
      <c r="V104" s="28" t="s">
        <v>1495</v>
      </c>
      <c r="W104" s="28" t="s">
        <v>3930</v>
      </c>
      <c r="X104" s="17">
        <v>1</v>
      </c>
      <c r="AA104" s="30" t="s">
        <v>3929</v>
      </c>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2"/>
      <c r="CJ104" s="26" t="s">
        <v>1378</v>
      </c>
      <c r="CK104" s="26" t="s">
        <v>3929</v>
      </c>
      <c r="CL104" s="26" t="str">
        <f t="shared" si="5"/>
        <v>北海道斜里町</v>
      </c>
      <c r="CM104" s="26">
        <v>99</v>
      </c>
      <c r="CN104" s="17" t="str">
        <f t="shared" si="4"/>
        <v>0099</v>
      </c>
      <c r="CO104" s="17" t="str">
        <f t="shared" si="6"/>
        <v>9999斜里町</v>
      </c>
      <c r="CP104" s="17" t="s">
        <v>3931</v>
      </c>
      <c r="CQ104" s="17" t="b">
        <f t="shared" si="7"/>
        <v>1</v>
      </c>
    </row>
    <row r="105" spans="12:95">
      <c r="L105" s="17" t="s">
        <v>3932</v>
      </c>
      <c r="M105" s="17" t="s">
        <v>3933</v>
      </c>
      <c r="N105" s="27" t="s">
        <v>3934</v>
      </c>
      <c r="O105" s="29" t="s">
        <v>1439</v>
      </c>
      <c r="P105" s="29" t="s">
        <v>3935</v>
      </c>
      <c r="Q105" s="29" t="s">
        <v>1439</v>
      </c>
      <c r="R105" s="29" t="s">
        <v>3936</v>
      </c>
      <c r="S105" s="28" t="s">
        <v>1564</v>
      </c>
      <c r="T105" s="28" t="s">
        <v>3937</v>
      </c>
      <c r="U105" s="28" t="s">
        <v>1439</v>
      </c>
      <c r="V105" s="28" t="s">
        <v>1495</v>
      </c>
      <c r="W105" s="28" t="s">
        <v>3938</v>
      </c>
      <c r="X105" s="17">
        <v>1</v>
      </c>
      <c r="AA105" s="35" t="s">
        <v>3937</v>
      </c>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c r="BD105" s="36"/>
      <c r="BE105" s="36"/>
      <c r="BF105" s="36"/>
      <c r="BG105" s="36"/>
      <c r="BH105" s="36"/>
      <c r="BI105" s="36"/>
      <c r="BJ105" s="36"/>
      <c r="BK105" s="36"/>
      <c r="BL105" s="36"/>
      <c r="BM105" s="36"/>
      <c r="BN105" s="36"/>
      <c r="BO105" s="36"/>
      <c r="BP105" s="36"/>
      <c r="BQ105" s="36"/>
      <c r="BR105" s="36"/>
      <c r="BS105" s="36"/>
      <c r="BT105" s="36"/>
      <c r="BU105" s="37"/>
      <c r="CJ105" s="26" t="s">
        <v>1378</v>
      </c>
      <c r="CK105" s="26" t="s">
        <v>3937</v>
      </c>
      <c r="CL105" s="26" t="str">
        <f t="shared" si="5"/>
        <v>北海道清里町</v>
      </c>
      <c r="CM105" s="26">
        <v>100</v>
      </c>
      <c r="CN105" s="17" t="str">
        <f t="shared" si="4"/>
        <v>0100</v>
      </c>
      <c r="CO105" s="17" t="str">
        <f t="shared" si="6"/>
        <v>100100清里町</v>
      </c>
      <c r="CP105" s="17" t="s">
        <v>3939</v>
      </c>
      <c r="CQ105" s="17" t="b">
        <f t="shared" si="7"/>
        <v>1</v>
      </c>
    </row>
    <row r="106" spans="12:95">
      <c r="L106" s="17" t="s">
        <v>3940</v>
      </c>
      <c r="M106" s="17" t="s">
        <v>3941</v>
      </c>
      <c r="N106" s="27" t="s">
        <v>3942</v>
      </c>
      <c r="O106" s="29" t="s">
        <v>1439</v>
      </c>
      <c r="P106" s="29" t="s">
        <v>3943</v>
      </c>
      <c r="Q106" s="29" t="s">
        <v>1439</v>
      </c>
      <c r="R106" s="29" t="s">
        <v>3944</v>
      </c>
      <c r="S106" s="28" t="s">
        <v>1626</v>
      </c>
      <c r="T106" s="28" t="s">
        <v>3945</v>
      </c>
      <c r="U106" s="28" t="s">
        <v>1439</v>
      </c>
      <c r="V106" s="28" t="s">
        <v>1495</v>
      </c>
      <c r="W106" s="28" t="s">
        <v>3946</v>
      </c>
      <c r="X106" s="17">
        <v>1</v>
      </c>
      <c r="AA106" s="30" t="s">
        <v>3945</v>
      </c>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2"/>
      <c r="CJ106" s="26" t="s">
        <v>1378</v>
      </c>
      <c r="CK106" s="26" t="s">
        <v>3945</v>
      </c>
      <c r="CL106" s="26" t="str">
        <f t="shared" si="5"/>
        <v>北海道小清水町</v>
      </c>
      <c r="CM106" s="26">
        <v>101</v>
      </c>
      <c r="CN106" s="17" t="str">
        <f t="shared" si="4"/>
        <v>0101</v>
      </c>
      <c r="CO106" s="17" t="str">
        <f t="shared" si="6"/>
        <v>101101小清水町</v>
      </c>
      <c r="CP106" s="17" t="s">
        <v>3947</v>
      </c>
      <c r="CQ106" s="17" t="b">
        <f t="shared" si="7"/>
        <v>1</v>
      </c>
    </row>
    <row r="107" spans="12:95">
      <c r="L107" s="17" t="s">
        <v>3948</v>
      </c>
      <c r="M107" s="17" t="s">
        <v>3949</v>
      </c>
      <c r="N107" s="27" t="s">
        <v>3950</v>
      </c>
      <c r="O107" s="29" t="s">
        <v>1439</v>
      </c>
      <c r="P107" s="29" t="s">
        <v>3951</v>
      </c>
      <c r="Q107" s="29" t="s">
        <v>1439</v>
      </c>
      <c r="R107" s="29" t="s">
        <v>3952</v>
      </c>
      <c r="S107" s="28" t="s">
        <v>2525</v>
      </c>
      <c r="T107" s="28" t="s">
        <v>3953</v>
      </c>
      <c r="U107" s="28" t="s">
        <v>1439</v>
      </c>
      <c r="V107" s="28" t="s">
        <v>1495</v>
      </c>
      <c r="W107" s="28" t="s">
        <v>3954</v>
      </c>
      <c r="X107" s="17">
        <v>1</v>
      </c>
      <c r="AA107" s="35" t="s">
        <v>3953</v>
      </c>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c r="BK107" s="36"/>
      <c r="BL107" s="36"/>
      <c r="BM107" s="36"/>
      <c r="BN107" s="36"/>
      <c r="BO107" s="36"/>
      <c r="BP107" s="36"/>
      <c r="BQ107" s="36"/>
      <c r="BR107" s="36"/>
      <c r="BS107" s="36"/>
      <c r="BT107" s="36"/>
      <c r="BU107" s="37"/>
      <c r="CJ107" s="26" t="s">
        <v>1378</v>
      </c>
      <c r="CK107" s="26" t="s">
        <v>3953</v>
      </c>
      <c r="CL107" s="26" t="str">
        <f t="shared" si="5"/>
        <v>北海道訓子府町</v>
      </c>
      <c r="CM107" s="26">
        <v>102</v>
      </c>
      <c r="CN107" s="17" t="str">
        <f t="shared" si="4"/>
        <v>0102</v>
      </c>
      <c r="CO107" s="17" t="str">
        <f t="shared" si="6"/>
        <v>102102訓子府町</v>
      </c>
      <c r="CP107" s="17" t="s">
        <v>3955</v>
      </c>
      <c r="CQ107" s="17" t="b">
        <f t="shared" si="7"/>
        <v>1</v>
      </c>
    </row>
    <row r="108" spans="12:95">
      <c r="L108" s="17" t="s">
        <v>3956</v>
      </c>
      <c r="M108" s="17" t="s">
        <v>3957</v>
      </c>
      <c r="N108" s="27" t="s">
        <v>3958</v>
      </c>
      <c r="O108" s="29" t="s">
        <v>1439</v>
      </c>
      <c r="P108" s="29" t="s">
        <v>3959</v>
      </c>
      <c r="Q108" s="29" t="s">
        <v>1439</v>
      </c>
      <c r="R108" s="29" t="s">
        <v>3960</v>
      </c>
      <c r="S108" s="28" t="s">
        <v>2311</v>
      </c>
      <c r="T108" s="28" t="s">
        <v>3961</v>
      </c>
      <c r="U108" s="28" t="s">
        <v>1439</v>
      </c>
      <c r="V108" s="28" t="s">
        <v>1495</v>
      </c>
      <c r="W108" s="28" t="s">
        <v>3962</v>
      </c>
      <c r="X108" s="17">
        <v>1</v>
      </c>
      <c r="AA108" s="30" t="s">
        <v>3961</v>
      </c>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2"/>
      <c r="CJ108" s="26" t="s">
        <v>1378</v>
      </c>
      <c r="CK108" s="26" t="s">
        <v>3961</v>
      </c>
      <c r="CL108" s="26" t="str">
        <f t="shared" si="5"/>
        <v>北海道置戸町</v>
      </c>
      <c r="CM108" s="26">
        <v>103</v>
      </c>
      <c r="CN108" s="17" t="str">
        <f t="shared" si="4"/>
        <v>0103</v>
      </c>
      <c r="CO108" s="17" t="str">
        <f t="shared" si="6"/>
        <v>103103置戸町</v>
      </c>
      <c r="CP108" s="17" t="s">
        <v>3963</v>
      </c>
      <c r="CQ108" s="17" t="b">
        <f t="shared" si="7"/>
        <v>1</v>
      </c>
    </row>
    <row r="109" spans="12:95">
      <c r="L109" s="17" t="s">
        <v>3964</v>
      </c>
      <c r="M109" s="17" t="s">
        <v>3965</v>
      </c>
      <c r="N109" s="27" t="s">
        <v>3966</v>
      </c>
      <c r="O109" s="29" t="s">
        <v>1439</v>
      </c>
      <c r="P109" s="29" t="s">
        <v>3967</v>
      </c>
      <c r="Q109" s="29" t="s">
        <v>1439</v>
      </c>
      <c r="R109" s="29" t="s">
        <v>3968</v>
      </c>
      <c r="S109" s="28" t="s">
        <v>1626</v>
      </c>
      <c r="T109" s="28" t="s">
        <v>3969</v>
      </c>
      <c r="U109" s="28" t="s">
        <v>1439</v>
      </c>
      <c r="V109" s="28" t="s">
        <v>1495</v>
      </c>
      <c r="W109" s="28" t="s">
        <v>3970</v>
      </c>
      <c r="X109" s="17">
        <v>1</v>
      </c>
      <c r="AA109" s="35" t="s">
        <v>3969</v>
      </c>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36"/>
      <c r="BK109" s="36"/>
      <c r="BL109" s="36"/>
      <c r="BM109" s="36"/>
      <c r="BN109" s="36"/>
      <c r="BO109" s="36"/>
      <c r="BP109" s="36"/>
      <c r="BQ109" s="36"/>
      <c r="BR109" s="36"/>
      <c r="BS109" s="36"/>
      <c r="BT109" s="36"/>
      <c r="BU109" s="37"/>
      <c r="CJ109" s="26" t="s">
        <v>1378</v>
      </c>
      <c r="CK109" s="26" t="s">
        <v>3969</v>
      </c>
      <c r="CL109" s="26" t="str">
        <f t="shared" si="5"/>
        <v>北海道佐呂間町</v>
      </c>
      <c r="CM109" s="26">
        <v>104</v>
      </c>
      <c r="CN109" s="17" t="str">
        <f t="shared" si="4"/>
        <v>0104</v>
      </c>
      <c r="CO109" s="17" t="str">
        <f t="shared" si="6"/>
        <v>104104佐呂間町</v>
      </c>
      <c r="CP109" s="17" t="s">
        <v>3971</v>
      </c>
      <c r="CQ109" s="17" t="b">
        <f t="shared" si="7"/>
        <v>1</v>
      </c>
    </row>
    <row r="110" spans="12:95">
      <c r="L110" s="17" t="s">
        <v>3972</v>
      </c>
      <c r="M110" s="17" t="s">
        <v>3973</v>
      </c>
      <c r="N110" s="27" t="s">
        <v>3974</v>
      </c>
      <c r="O110" s="29" t="s">
        <v>1439</v>
      </c>
      <c r="P110" s="29" t="s">
        <v>3975</v>
      </c>
      <c r="Q110" s="29" t="s">
        <v>1439</v>
      </c>
      <c r="R110" s="29" t="s">
        <v>3976</v>
      </c>
      <c r="S110" s="28" t="s">
        <v>1803</v>
      </c>
      <c r="T110" s="28" t="s">
        <v>3977</v>
      </c>
      <c r="U110" s="28" t="s">
        <v>1439</v>
      </c>
      <c r="V110" s="28" t="s">
        <v>1495</v>
      </c>
      <c r="W110" s="28" t="s">
        <v>3978</v>
      </c>
      <c r="X110" s="17">
        <v>1</v>
      </c>
      <c r="AA110" s="30" t="s">
        <v>3977</v>
      </c>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2"/>
      <c r="CJ110" s="26" t="s">
        <v>1378</v>
      </c>
      <c r="CK110" s="26" t="s">
        <v>3977</v>
      </c>
      <c r="CL110" s="26" t="str">
        <f t="shared" si="5"/>
        <v>北海道遠軽町</v>
      </c>
      <c r="CM110" s="26">
        <v>105</v>
      </c>
      <c r="CN110" s="17" t="str">
        <f t="shared" si="4"/>
        <v>0105</v>
      </c>
      <c r="CO110" s="17" t="str">
        <f t="shared" si="6"/>
        <v>105105遠軽町</v>
      </c>
      <c r="CP110" s="17" t="s">
        <v>3979</v>
      </c>
      <c r="CQ110" s="17" t="b">
        <f t="shared" si="7"/>
        <v>1</v>
      </c>
    </row>
    <row r="111" spans="12:95">
      <c r="L111" s="17" t="s">
        <v>3980</v>
      </c>
      <c r="M111" s="17" t="s">
        <v>3981</v>
      </c>
      <c r="N111" s="27" t="s">
        <v>3982</v>
      </c>
      <c r="O111" s="29" t="s">
        <v>1439</v>
      </c>
      <c r="P111" s="29" t="s">
        <v>3983</v>
      </c>
      <c r="Q111" s="29" t="s">
        <v>1439</v>
      </c>
      <c r="R111" s="29" t="s">
        <v>3984</v>
      </c>
      <c r="S111" s="28" t="s">
        <v>1743</v>
      </c>
      <c r="T111" s="28" t="s">
        <v>3985</v>
      </c>
      <c r="U111" s="28" t="s">
        <v>1439</v>
      </c>
      <c r="V111" s="28" t="s">
        <v>1495</v>
      </c>
      <c r="W111" s="28" t="s">
        <v>3986</v>
      </c>
      <c r="X111" s="17">
        <v>1</v>
      </c>
      <c r="AA111" s="35" t="s">
        <v>3985</v>
      </c>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c r="BC111" s="36"/>
      <c r="BD111" s="36"/>
      <c r="BE111" s="36"/>
      <c r="BF111" s="36"/>
      <c r="BG111" s="36"/>
      <c r="BH111" s="36"/>
      <c r="BI111" s="36"/>
      <c r="BJ111" s="36"/>
      <c r="BK111" s="36"/>
      <c r="BL111" s="36"/>
      <c r="BM111" s="36"/>
      <c r="BN111" s="36"/>
      <c r="BO111" s="36"/>
      <c r="BP111" s="36"/>
      <c r="BQ111" s="36"/>
      <c r="BR111" s="36"/>
      <c r="BS111" s="36"/>
      <c r="BT111" s="36"/>
      <c r="BU111" s="37"/>
      <c r="CJ111" s="26" t="s">
        <v>1378</v>
      </c>
      <c r="CK111" s="26" t="s">
        <v>3985</v>
      </c>
      <c r="CL111" s="26" t="str">
        <f t="shared" si="5"/>
        <v>北海道湧別町</v>
      </c>
      <c r="CM111" s="26">
        <v>106</v>
      </c>
      <c r="CN111" s="17" t="str">
        <f t="shared" si="4"/>
        <v>0106</v>
      </c>
      <c r="CO111" s="17" t="str">
        <f t="shared" si="6"/>
        <v>106106湧別町</v>
      </c>
      <c r="CP111" s="17" t="s">
        <v>3987</v>
      </c>
      <c r="CQ111" s="17" t="b">
        <f t="shared" si="7"/>
        <v>1</v>
      </c>
    </row>
    <row r="112" spans="12:95">
      <c r="L112" s="17" t="s">
        <v>3988</v>
      </c>
      <c r="M112" s="17" t="s">
        <v>3989</v>
      </c>
      <c r="N112" s="27" t="s">
        <v>3990</v>
      </c>
      <c r="O112" s="29" t="s">
        <v>1439</v>
      </c>
      <c r="P112" s="29" t="s">
        <v>3991</v>
      </c>
      <c r="Q112" s="29" t="s">
        <v>1439</v>
      </c>
      <c r="R112" s="29" t="s">
        <v>3992</v>
      </c>
      <c r="S112" s="28" t="s">
        <v>1803</v>
      </c>
      <c r="T112" s="28" t="s">
        <v>3993</v>
      </c>
      <c r="U112" s="28" t="s">
        <v>1439</v>
      </c>
      <c r="V112" s="28" t="s">
        <v>1495</v>
      </c>
      <c r="W112" s="28" t="s">
        <v>3994</v>
      </c>
      <c r="X112" s="17">
        <v>1</v>
      </c>
      <c r="AA112" s="30" t="s">
        <v>3993</v>
      </c>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2"/>
      <c r="CJ112" s="26" t="s">
        <v>1378</v>
      </c>
      <c r="CK112" s="26" t="s">
        <v>3993</v>
      </c>
      <c r="CL112" s="26" t="str">
        <f t="shared" si="5"/>
        <v>北海道滝上町</v>
      </c>
      <c r="CM112" s="26">
        <v>107</v>
      </c>
      <c r="CN112" s="17" t="str">
        <f t="shared" si="4"/>
        <v>0107</v>
      </c>
      <c r="CO112" s="17" t="str">
        <f t="shared" si="6"/>
        <v>107107滝上町</v>
      </c>
      <c r="CP112" s="17" t="s">
        <v>3995</v>
      </c>
      <c r="CQ112" s="17" t="b">
        <f t="shared" si="7"/>
        <v>1</v>
      </c>
    </row>
    <row r="113" spans="12:95">
      <c r="L113" s="17" t="s">
        <v>3996</v>
      </c>
      <c r="M113" s="17" t="s">
        <v>3997</v>
      </c>
      <c r="N113" s="27" t="s">
        <v>3998</v>
      </c>
      <c r="O113" s="29" t="s">
        <v>1439</v>
      </c>
      <c r="P113" s="29" t="s">
        <v>3999</v>
      </c>
      <c r="Q113" s="29" t="s">
        <v>1439</v>
      </c>
      <c r="R113" s="29" t="s">
        <v>4000</v>
      </c>
      <c r="S113" s="28" t="s">
        <v>1862</v>
      </c>
      <c r="T113" s="28" t="s">
        <v>4001</v>
      </c>
      <c r="U113" s="28" t="s">
        <v>1439</v>
      </c>
      <c r="V113" s="28" t="s">
        <v>1495</v>
      </c>
      <c r="W113" s="28" t="s">
        <v>3999</v>
      </c>
      <c r="X113" s="17">
        <v>1</v>
      </c>
      <c r="AA113" s="35" t="s">
        <v>4001</v>
      </c>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c r="BD113" s="36"/>
      <c r="BE113" s="36"/>
      <c r="BF113" s="36"/>
      <c r="BG113" s="36"/>
      <c r="BH113" s="36"/>
      <c r="BI113" s="36"/>
      <c r="BJ113" s="36"/>
      <c r="BK113" s="36"/>
      <c r="BL113" s="36"/>
      <c r="BM113" s="36"/>
      <c r="BN113" s="36"/>
      <c r="BO113" s="36"/>
      <c r="BP113" s="36"/>
      <c r="BQ113" s="36"/>
      <c r="BR113" s="36"/>
      <c r="BS113" s="36"/>
      <c r="BT113" s="36"/>
      <c r="BU113" s="37"/>
      <c r="CJ113" s="26" t="s">
        <v>1378</v>
      </c>
      <c r="CK113" s="26" t="s">
        <v>4001</v>
      </c>
      <c r="CL113" s="26" t="str">
        <f t="shared" si="5"/>
        <v>北海道興部町</v>
      </c>
      <c r="CM113" s="26">
        <v>108</v>
      </c>
      <c r="CN113" s="17" t="str">
        <f t="shared" si="4"/>
        <v>0108</v>
      </c>
      <c r="CO113" s="17" t="str">
        <f t="shared" si="6"/>
        <v>108108興部町</v>
      </c>
      <c r="CP113" s="17" t="s">
        <v>4002</v>
      </c>
      <c r="CQ113" s="17" t="b">
        <f t="shared" si="7"/>
        <v>1</v>
      </c>
    </row>
    <row r="114" spans="12:95">
      <c r="L114" s="17" t="s">
        <v>4003</v>
      </c>
      <c r="M114" s="17" t="s">
        <v>4004</v>
      </c>
      <c r="N114" s="27" t="s">
        <v>4005</v>
      </c>
      <c r="O114" s="29" t="s">
        <v>1439</v>
      </c>
      <c r="P114" s="29" t="s">
        <v>4006</v>
      </c>
      <c r="Q114" s="29" t="s">
        <v>1439</v>
      </c>
      <c r="R114" s="29" t="s">
        <v>4007</v>
      </c>
      <c r="S114" s="28" t="s">
        <v>1920</v>
      </c>
      <c r="T114" s="28" t="s">
        <v>4008</v>
      </c>
      <c r="U114" s="28" t="s">
        <v>1439</v>
      </c>
      <c r="V114" s="28" t="s">
        <v>1495</v>
      </c>
      <c r="W114" s="28" t="s">
        <v>4006</v>
      </c>
      <c r="X114" s="17">
        <v>1</v>
      </c>
      <c r="AA114" s="30" t="s">
        <v>4008</v>
      </c>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2"/>
      <c r="CJ114" s="26" t="s">
        <v>1378</v>
      </c>
      <c r="CK114" s="26" t="s">
        <v>4008</v>
      </c>
      <c r="CL114" s="26" t="str">
        <f t="shared" si="5"/>
        <v>北海道西興部村</v>
      </c>
      <c r="CM114" s="26">
        <v>109</v>
      </c>
      <c r="CN114" s="17" t="str">
        <f t="shared" si="4"/>
        <v>0109</v>
      </c>
      <c r="CO114" s="17" t="str">
        <f t="shared" si="6"/>
        <v>109109西興部村</v>
      </c>
      <c r="CP114" s="17" t="s">
        <v>4009</v>
      </c>
      <c r="CQ114" s="17" t="b">
        <f t="shared" si="7"/>
        <v>1</v>
      </c>
    </row>
    <row r="115" spans="12:95">
      <c r="L115" s="17" t="s">
        <v>4010</v>
      </c>
      <c r="M115" s="17" t="s">
        <v>4011</v>
      </c>
      <c r="N115" s="27" t="s">
        <v>4012</v>
      </c>
      <c r="O115" s="29" t="s">
        <v>1439</v>
      </c>
      <c r="P115" s="29" t="s">
        <v>4013</v>
      </c>
      <c r="Q115" s="29" t="s">
        <v>1439</v>
      </c>
      <c r="R115" s="29" t="s">
        <v>4014</v>
      </c>
      <c r="S115" s="28" t="s">
        <v>1977</v>
      </c>
      <c r="T115" s="28" t="s">
        <v>4015</v>
      </c>
      <c r="U115" s="28" t="s">
        <v>1439</v>
      </c>
      <c r="V115" s="28" t="s">
        <v>1495</v>
      </c>
      <c r="W115" s="28" t="s">
        <v>4013</v>
      </c>
      <c r="X115" s="17">
        <v>1</v>
      </c>
      <c r="AA115" s="35" t="s">
        <v>4015</v>
      </c>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36"/>
      <c r="BJ115" s="36"/>
      <c r="BK115" s="36"/>
      <c r="BL115" s="36"/>
      <c r="BM115" s="36"/>
      <c r="BN115" s="36"/>
      <c r="BO115" s="36"/>
      <c r="BP115" s="36"/>
      <c r="BQ115" s="36"/>
      <c r="BR115" s="36"/>
      <c r="BS115" s="36"/>
      <c r="BT115" s="36"/>
      <c r="BU115" s="37"/>
      <c r="CJ115" s="26" t="s">
        <v>1378</v>
      </c>
      <c r="CK115" s="26" t="s">
        <v>4015</v>
      </c>
      <c r="CL115" s="26" t="str">
        <f t="shared" si="5"/>
        <v>北海道雄武町</v>
      </c>
      <c r="CM115" s="26">
        <v>110</v>
      </c>
      <c r="CN115" s="17" t="str">
        <f t="shared" si="4"/>
        <v>0110</v>
      </c>
      <c r="CO115" s="17" t="str">
        <f t="shared" si="6"/>
        <v>110110雄武町</v>
      </c>
      <c r="CP115" s="17" t="s">
        <v>4016</v>
      </c>
      <c r="CQ115" s="17" t="b">
        <f t="shared" si="7"/>
        <v>1</v>
      </c>
    </row>
    <row r="116" spans="12:95">
      <c r="L116" s="17" t="s">
        <v>4017</v>
      </c>
      <c r="M116" s="17" t="s">
        <v>4018</v>
      </c>
      <c r="N116" s="27" t="s">
        <v>4019</v>
      </c>
      <c r="O116" s="29" t="s">
        <v>1439</v>
      </c>
      <c r="P116" s="29" t="s">
        <v>4020</v>
      </c>
      <c r="Q116" s="29" t="s">
        <v>1439</v>
      </c>
      <c r="R116" s="29" t="s">
        <v>4021</v>
      </c>
      <c r="S116" s="28" t="s">
        <v>1743</v>
      </c>
      <c r="T116" s="28" t="s">
        <v>4022</v>
      </c>
      <c r="U116" s="28" t="s">
        <v>1439</v>
      </c>
      <c r="V116" s="28" t="s">
        <v>1495</v>
      </c>
      <c r="W116" s="28" t="s">
        <v>4020</v>
      </c>
      <c r="X116" s="17">
        <v>1</v>
      </c>
      <c r="AA116" s="30" t="s">
        <v>4022</v>
      </c>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2"/>
      <c r="CJ116" s="26" t="s">
        <v>1378</v>
      </c>
      <c r="CK116" s="26" t="s">
        <v>4022</v>
      </c>
      <c r="CL116" s="26" t="str">
        <f t="shared" si="5"/>
        <v>北海道大空町</v>
      </c>
      <c r="CM116" s="26">
        <v>111</v>
      </c>
      <c r="CN116" s="17" t="str">
        <f t="shared" si="4"/>
        <v>0111</v>
      </c>
      <c r="CO116" s="17" t="str">
        <f t="shared" si="6"/>
        <v>111111大空町</v>
      </c>
      <c r="CP116" s="17" t="s">
        <v>4023</v>
      </c>
      <c r="CQ116" s="17" t="b">
        <f t="shared" si="7"/>
        <v>1</v>
      </c>
    </row>
    <row r="117" spans="12:95">
      <c r="L117" s="17" t="s">
        <v>4024</v>
      </c>
      <c r="M117" s="17" t="s">
        <v>4025</v>
      </c>
      <c r="N117" s="27" t="s">
        <v>4026</v>
      </c>
      <c r="O117" s="29" t="s">
        <v>1439</v>
      </c>
      <c r="P117" s="29" t="s">
        <v>4027</v>
      </c>
      <c r="Q117" s="29" t="s">
        <v>1439</v>
      </c>
      <c r="R117" s="29" t="s">
        <v>4028</v>
      </c>
      <c r="S117" s="28" t="s">
        <v>1626</v>
      </c>
      <c r="T117" s="28" t="s">
        <v>4029</v>
      </c>
      <c r="U117" s="28" t="s">
        <v>1439</v>
      </c>
      <c r="V117" s="28" t="s">
        <v>1495</v>
      </c>
      <c r="W117" s="28" t="s">
        <v>4030</v>
      </c>
      <c r="X117" s="17">
        <v>1</v>
      </c>
      <c r="AA117" s="35" t="s">
        <v>4029</v>
      </c>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36"/>
      <c r="BK117" s="36"/>
      <c r="BL117" s="36"/>
      <c r="BM117" s="36"/>
      <c r="BN117" s="36"/>
      <c r="BO117" s="36"/>
      <c r="BP117" s="36"/>
      <c r="BQ117" s="36"/>
      <c r="BR117" s="36"/>
      <c r="BS117" s="36"/>
      <c r="BT117" s="36"/>
      <c r="BU117" s="37"/>
      <c r="CJ117" s="26" t="s">
        <v>1378</v>
      </c>
      <c r="CK117" s="26" t="s">
        <v>4029</v>
      </c>
      <c r="CL117" s="26" t="str">
        <f t="shared" si="5"/>
        <v>北海道豊浦町</v>
      </c>
      <c r="CM117" s="26">
        <v>112</v>
      </c>
      <c r="CN117" s="17" t="str">
        <f t="shared" si="4"/>
        <v>0112</v>
      </c>
      <c r="CO117" s="17" t="str">
        <f t="shared" si="6"/>
        <v>112112豊浦町</v>
      </c>
      <c r="CP117" s="17" t="s">
        <v>4031</v>
      </c>
      <c r="CQ117" s="17" t="b">
        <f t="shared" si="7"/>
        <v>1</v>
      </c>
    </row>
    <row r="118" spans="12:95">
      <c r="L118" s="17" t="s">
        <v>4032</v>
      </c>
      <c r="M118" s="17" t="s">
        <v>4033</v>
      </c>
      <c r="N118" s="27" t="s">
        <v>4034</v>
      </c>
      <c r="O118" s="29" t="s">
        <v>1439</v>
      </c>
      <c r="P118" s="29" t="s">
        <v>4035</v>
      </c>
      <c r="Q118" s="29" t="s">
        <v>1439</v>
      </c>
      <c r="R118" s="29" t="s">
        <v>4036</v>
      </c>
      <c r="S118" s="28" t="s">
        <v>1862</v>
      </c>
      <c r="T118" s="28" t="s">
        <v>4037</v>
      </c>
      <c r="U118" s="28" t="s">
        <v>1439</v>
      </c>
      <c r="V118" s="28" t="s">
        <v>1495</v>
      </c>
      <c r="W118" s="28" t="s">
        <v>4035</v>
      </c>
      <c r="X118" s="17">
        <v>1</v>
      </c>
      <c r="AA118" s="30" t="s">
        <v>4037</v>
      </c>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2"/>
      <c r="CJ118" s="26" t="s">
        <v>1378</v>
      </c>
      <c r="CK118" s="26" t="s">
        <v>4037</v>
      </c>
      <c r="CL118" s="26" t="str">
        <f t="shared" si="5"/>
        <v>北海道壮瞥町</v>
      </c>
      <c r="CM118" s="26">
        <v>113</v>
      </c>
      <c r="CN118" s="17" t="str">
        <f t="shared" si="4"/>
        <v>0113</v>
      </c>
      <c r="CO118" s="17" t="str">
        <f t="shared" si="6"/>
        <v>113113壮瞥町</v>
      </c>
      <c r="CP118" s="17" t="s">
        <v>4038</v>
      </c>
      <c r="CQ118" s="17" t="b">
        <f t="shared" si="7"/>
        <v>1</v>
      </c>
    </row>
    <row r="119" spans="12:95">
      <c r="L119" s="17" t="s">
        <v>4039</v>
      </c>
      <c r="M119" s="17" t="s">
        <v>4040</v>
      </c>
      <c r="N119" s="27" t="s">
        <v>4041</v>
      </c>
      <c r="O119" s="29" t="s">
        <v>1439</v>
      </c>
      <c r="P119" s="29" t="s">
        <v>4042</v>
      </c>
      <c r="Q119" s="29" t="s">
        <v>1439</v>
      </c>
      <c r="R119" s="29" t="s">
        <v>4043</v>
      </c>
      <c r="S119" s="28" t="s">
        <v>1743</v>
      </c>
      <c r="T119" s="28" t="s">
        <v>4044</v>
      </c>
      <c r="U119" s="28" t="s">
        <v>1439</v>
      </c>
      <c r="V119" s="28" t="s">
        <v>1495</v>
      </c>
      <c r="W119" s="28" t="s">
        <v>4042</v>
      </c>
      <c r="X119" s="17">
        <v>1</v>
      </c>
      <c r="AA119" s="35" t="s">
        <v>4044</v>
      </c>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36"/>
      <c r="BJ119" s="36"/>
      <c r="BK119" s="36"/>
      <c r="BL119" s="36"/>
      <c r="BM119" s="36"/>
      <c r="BN119" s="36"/>
      <c r="BO119" s="36"/>
      <c r="BP119" s="36"/>
      <c r="BQ119" s="36"/>
      <c r="BR119" s="36"/>
      <c r="BS119" s="36"/>
      <c r="BT119" s="36"/>
      <c r="BU119" s="37"/>
      <c r="CJ119" s="26" t="s">
        <v>1378</v>
      </c>
      <c r="CK119" s="26" t="s">
        <v>4044</v>
      </c>
      <c r="CL119" s="26" t="str">
        <f t="shared" si="5"/>
        <v>北海道白老町</v>
      </c>
      <c r="CM119" s="26">
        <v>114</v>
      </c>
      <c r="CN119" s="17" t="str">
        <f t="shared" si="4"/>
        <v>0114</v>
      </c>
      <c r="CO119" s="17" t="str">
        <f t="shared" si="6"/>
        <v>114114白老町</v>
      </c>
      <c r="CP119" s="17" t="s">
        <v>4045</v>
      </c>
      <c r="CQ119" s="17" t="b">
        <f t="shared" si="7"/>
        <v>1</v>
      </c>
    </row>
    <row r="120" spans="12:95">
      <c r="L120" s="17" t="s">
        <v>4046</v>
      </c>
      <c r="M120" s="17" t="s">
        <v>4047</v>
      </c>
      <c r="N120" s="27" t="s">
        <v>4048</v>
      </c>
      <c r="O120" s="29" t="s">
        <v>1439</v>
      </c>
      <c r="P120" s="29" t="s">
        <v>4049</v>
      </c>
      <c r="Q120" s="29" t="s">
        <v>1439</v>
      </c>
      <c r="R120" s="29" t="s">
        <v>4050</v>
      </c>
      <c r="S120" s="28" t="s">
        <v>1920</v>
      </c>
      <c r="T120" s="28" t="s">
        <v>4051</v>
      </c>
      <c r="U120" s="28" t="s">
        <v>1439</v>
      </c>
      <c r="V120" s="28" t="s">
        <v>1495</v>
      </c>
      <c r="W120" s="28" t="s">
        <v>4052</v>
      </c>
      <c r="X120" s="17">
        <v>1</v>
      </c>
      <c r="AA120" s="30" t="s">
        <v>4051</v>
      </c>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2"/>
      <c r="CJ120" s="26" t="s">
        <v>1378</v>
      </c>
      <c r="CK120" s="26" t="s">
        <v>4051</v>
      </c>
      <c r="CL120" s="26" t="str">
        <f t="shared" si="5"/>
        <v>北海道厚真町</v>
      </c>
      <c r="CM120" s="26">
        <v>115</v>
      </c>
      <c r="CN120" s="17" t="str">
        <f t="shared" si="4"/>
        <v>0115</v>
      </c>
      <c r="CO120" s="17" t="str">
        <f t="shared" si="6"/>
        <v>115115厚真町</v>
      </c>
      <c r="CP120" s="17" t="s">
        <v>4053</v>
      </c>
      <c r="CQ120" s="17" t="b">
        <f t="shared" si="7"/>
        <v>1</v>
      </c>
    </row>
    <row r="121" spans="12:95">
      <c r="L121" s="17" t="s">
        <v>4054</v>
      </c>
      <c r="M121" s="17" t="s">
        <v>4055</v>
      </c>
      <c r="N121" s="27" t="s">
        <v>4056</v>
      </c>
      <c r="O121" s="29" t="s">
        <v>1439</v>
      </c>
      <c r="P121" s="29" t="s">
        <v>4057</v>
      </c>
      <c r="Q121" s="29" t="s">
        <v>1439</v>
      </c>
      <c r="R121" s="29" t="s">
        <v>4058</v>
      </c>
      <c r="S121" s="28" t="s">
        <v>1803</v>
      </c>
      <c r="T121" s="28" t="s">
        <v>4059</v>
      </c>
      <c r="U121" s="28" t="s">
        <v>1439</v>
      </c>
      <c r="V121" s="28" t="s">
        <v>1495</v>
      </c>
      <c r="W121" s="28" t="s">
        <v>4060</v>
      </c>
      <c r="X121" s="17">
        <v>1</v>
      </c>
      <c r="AA121" s="35" t="s">
        <v>4059</v>
      </c>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7"/>
      <c r="CJ121" s="26" t="s">
        <v>1378</v>
      </c>
      <c r="CK121" s="26" t="s">
        <v>4059</v>
      </c>
      <c r="CL121" s="26" t="str">
        <f t="shared" si="5"/>
        <v>北海道洞爺湖町</v>
      </c>
      <c r="CM121" s="26">
        <v>116</v>
      </c>
      <c r="CN121" s="17" t="str">
        <f t="shared" si="4"/>
        <v>0116</v>
      </c>
      <c r="CO121" s="17" t="str">
        <f t="shared" si="6"/>
        <v>116116洞爺湖町</v>
      </c>
      <c r="CP121" s="17" t="s">
        <v>4061</v>
      </c>
      <c r="CQ121" s="17" t="b">
        <f t="shared" si="7"/>
        <v>1</v>
      </c>
    </row>
    <row r="122" spans="12:95">
      <c r="L122" s="17" t="s">
        <v>4062</v>
      </c>
      <c r="M122" s="17" t="s">
        <v>4063</v>
      </c>
      <c r="N122" s="27" t="s">
        <v>4064</v>
      </c>
      <c r="O122" s="29" t="s">
        <v>1439</v>
      </c>
      <c r="P122" s="29" t="s">
        <v>4065</v>
      </c>
      <c r="Q122" s="29" t="s">
        <v>1439</v>
      </c>
      <c r="R122" s="29" t="s">
        <v>4066</v>
      </c>
      <c r="S122" s="28" t="s">
        <v>1626</v>
      </c>
      <c r="T122" s="28" t="s">
        <v>4067</v>
      </c>
      <c r="U122" s="28" t="s">
        <v>1439</v>
      </c>
      <c r="V122" s="28" t="s">
        <v>1495</v>
      </c>
      <c r="W122" s="28" t="s">
        <v>4068</v>
      </c>
      <c r="X122" s="17">
        <v>1</v>
      </c>
      <c r="AA122" s="30" t="s">
        <v>4067</v>
      </c>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2"/>
      <c r="CJ122" s="43" t="s">
        <v>1378</v>
      </c>
      <c r="CK122" s="43" t="s">
        <v>4067</v>
      </c>
      <c r="CL122" s="26" t="str">
        <f t="shared" si="5"/>
        <v>北海道安平町</v>
      </c>
      <c r="CM122" s="26">
        <v>117</v>
      </c>
      <c r="CN122" s="17" t="str">
        <f t="shared" si="4"/>
        <v>0117</v>
      </c>
      <c r="CO122" s="17" t="str">
        <f t="shared" si="6"/>
        <v>117117安平町</v>
      </c>
      <c r="CP122" s="17" t="s">
        <v>4069</v>
      </c>
      <c r="CQ122" s="17" t="b">
        <f t="shared" si="7"/>
        <v>1</v>
      </c>
    </row>
    <row r="123" spans="12:95">
      <c r="L123" s="17" t="s">
        <v>4070</v>
      </c>
      <c r="M123" s="17" t="s">
        <v>4071</v>
      </c>
      <c r="N123" s="27" t="s">
        <v>4072</v>
      </c>
      <c r="O123" s="29" t="s">
        <v>1439</v>
      </c>
      <c r="P123" s="29" t="s">
        <v>4073</v>
      </c>
      <c r="Q123" s="29" t="s">
        <v>1439</v>
      </c>
      <c r="R123" s="29" t="s">
        <v>4074</v>
      </c>
      <c r="S123" s="28" t="s">
        <v>1502</v>
      </c>
      <c r="T123" s="28" t="s">
        <v>4075</v>
      </c>
      <c r="U123" s="28" t="s">
        <v>1439</v>
      </c>
      <c r="V123" s="28" t="s">
        <v>1495</v>
      </c>
      <c r="W123" s="28" t="s">
        <v>4076</v>
      </c>
      <c r="X123" s="17">
        <v>1</v>
      </c>
      <c r="AA123" s="35" t="s">
        <v>4075</v>
      </c>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7"/>
      <c r="CJ123" s="26" t="s">
        <v>1378</v>
      </c>
      <c r="CK123" s="26" t="s">
        <v>4075</v>
      </c>
      <c r="CL123" s="26" t="str">
        <f t="shared" si="5"/>
        <v>北海道むかわ町</v>
      </c>
      <c r="CM123" s="26">
        <v>118</v>
      </c>
      <c r="CN123" s="17" t="str">
        <f t="shared" si="4"/>
        <v>0118</v>
      </c>
      <c r="CO123" s="17" t="str">
        <f t="shared" si="6"/>
        <v>118118むかわ町</v>
      </c>
      <c r="CP123" s="17" t="s">
        <v>4077</v>
      </c>
      <c r="CQ123" s="17" t="b">
        <f t="shared" si="7"/>
        <v>1</v>
      </c>
    </row>
    <row r="124" spans="12:95">
      <c r="L124" s="17" t="s">
        <v>4078</v>
      </c>
      <c r="M124" s="17" t="s">
        <v>4079</v>
      </c>
      <c r="N124" s="27" t="s">
        <v>4080</v>
      </c>
      <c r="O124" s="29" t="s">
        <v>1439</v>
      </c>
      <c r="P124" s="29" t="s">
        <v>4081</v>
      </c>
      <c r="Q124" s="29" t="s">
        <v>1439</v>
      </c>
      <c r="R124" s="29" t="s">
        <v>4082</v>
      </c>
      <c r="S124" s="28" t="s">
        <v>1743</v>
      </c>
      <c r="T124" s="28" t="s">
        <v>2502</v>
      </c>
      <c r="U124" s="28" t="s">
        <v>1439</v>
      </c>
      <c r="V124" s="28" t="s">
        <v>1495</v>
      </c>
      <c r="W124" s="28" t="s">
        <v>4083</v>
      </c>
      <c r="X124" s="17">
        <v>1</v>
      </c>
      <c r="AA124" s="30" t="s">
        <v>2502</v>
      </c>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2"/>
      <c r="CJ124" s="26" t="s">
        <v>1378</v>
      </c>
      <c r="CK124" s="26" t="s">
        <v>2502</v>
      </c>
      <c r="CL124" s="26" t="str">
        <f t="shared" si="5"/>
        <v>北海道日高町</v>
      </c>
      <c r="CM124" s="26">
        <v>119</v>
      </c>
      <c r="CN124" s="17" t="str">
        <f t="shared" si="4"/>
        <v>0119</v>
      </c>
      <c r="CO124" s="17" t="str">
        <f t="shared" si="6"/>
        <v>119119日高町</v>
      </c>
      <c r="CP124" s="17" t="s">
        <v>4084</v>
      </c>
      <c r="CQ124" s="17" t="b">
        <f t="shared" si="7"/>
        <v>1</v>
      </c>
    </row>
    <row r="125" spans="12:95">
      <c r="L125" s="17" t="s">
        <v>4085</v>
      </c>
      <c r="M125" s="17" t="s">
        <v>4086</v>
      </c>
      <c r="N125" s="27" t="s">
        <v>4087</v>
      </c>
      <c r="O125" s="29" t="s">
        <v>1439</v>
      </c>
      <c r="P125" s="29" t="s">
        <v>4088</v>
      </c>
      <c r="Q125" s="29" t="s">
        <v>1439</v>
      </c>
      <c r="R125" s="29" t="s">
        <v>4089</v>
      </c>
      <c r="S125" s="28" t="s">
        <v>1803</v>
      </c>
      <c r="T125" s="28" t="s">
        <v>4090</v>
      </c>
      <c r="U125" s="28" t="s">
        <v>1439</v>
      </c>
      <c r="V125" s="28" t="s">
        <v>1495</v>
      </c>
      <c r="W125" s="28" t="s">
        <v>4091</v>
      </c>
      <c r="X125" s="17">
        <v>1</v>
      </c>
      <c r="AA125" s="35" t="s">
        <v>4090</v>
      </c>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6"/>
      <c r="BK125" s="36"/>
      <c r="BL125" s="36"/>
      <c r="BM125" s="36"/>
      <c r="BN125" s="36"/>
      <c r="BO125" s="36"/>
      <c r="BP125" s="36"/>
      <c r="BQ125" s="36"/>
      <c r="BR125" s="36"/>
      <c r="BS125" s="36"/>
      <c r="BT125" s="36"/>
      <c r="BU125" s="37"/>
      <c r="CJ125" s="26" t="s">
        <v>1378</v>
      </c>
      <c r="CK125" s="26" t="s">
        <v>4090</v>
      </c>
      <c r="CL125" s="26" t="str">
        <f t="shared" si="5"/>
        <v>北海道平取町</v>
      </c>
      <c r="CM125" s="26">
        <v>120</v>
      </c>
      <c r="CN125" s="17" t="str">
        <f t="shared" si="4"/>
        <v>0120</v>
      </c>
      <c r="CO125" s="17" t="str">
        <f t="shared" si="6"/>
        <v>120120平取町</v>
      </c>
      <c r="CP125" s="17" t="s">
        <v>4092</v>
      </c>
      <c r="CQ125" s="17" t="b">
        <f t="shared" si="7"/>
        <v>1</v>
      </c>
    </row>
    <row r="126" spans="12:95">
      <c r="L126" s="17" t="s">
        <v>4093</v>
      </c>
      <c r="M126" s="17" t="s">
        <v>4094</v>
      </c>
      <c r="N126" s="27" t="s">
        <v>4095</v>
      </c>
      <c r="O126" s="29" t="s">
        <v>1439</v>
      </c>
      <c r="P126" s="29" t="s">
        <v>4096</v>
      </c>
      <c r="Q126" s="29" t="s">
        <v>1439</v>
      </c>
      <c r="R126" s="29" t="s">
        <v>4097</v>
      </c>
      <c r="S126" s="28" t="s">
        <v>1564</v>
      </c>
      <c r="T126" s="28" t="s">
        <v>4098</v>
      </c>
      <c r="U126" s="28" t="s">
        <v>1439</v>
      </c>
      <c r="V126" s="28" t="s">
        <v>1495</v>
      </c>
      <c r="W126" s="28" t="s">
        <v>4096</v>
      </c>
      <c r="X126" s="17">
        <v>1</v>
      </c>
      <c r="AA126" s="30" t="s">
        <v>4098</v>
      </c>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2"/>
      <c r="CJ126" s="26" t="s">
        <v>1378</v>
      </c>
      <c r="CK126" s="26" t="s">
        <v>4098</v>
      </c>
      <c r="CL126" s="26" t="str">
        <f t="shared" si="5"/>
        <v>北海道浦河町</v>
      </c>
      <c r="CM126" s="26">
        <v>121</v>
      </c>
      <c r="CN126" s="17" t="str">
        <f t="shared" si="4"/>
        <v>0121</v>
      </c>
      <c r="CO126" s="17" t="str">
        <f t="shared" si="6"/>
        <v>121121浦河町</v>
      </c>
      <c r="CP126" s="17" t="s">
        <v>4099</v>
      </c>
      <c r="CQ126" s="17" t="b">
        <f t="shared" si="7"/>
        <v>1</v>
      </c>
    </row>
    <row r="127" spans="12:95">
      <c r="L127" s="17" t="s">
        <v>4100</v>
      </c>
      <c r="M127" s="17" t="s">
        <v>4101</v>
      </c>
      <c r="N127" s="27" t="s">
        <v>4102</v>
      </c>
      <c r="O127" s="29" t="s">
        <v>1439</v>
      </c>
      <c r="P127" s="29" t="s">
        <v>4103</v>
      </c>
      <c r="Q127" s="29" t="s">
        <v>1439</v>
      </c>
      <c r="R127" s="29" t="s">
        <v>4104</v>
      </c>
      <c r="S127" s="28" t="s">
        <v>1626</v>
      </c>
      <c r="T127" s="28" t="s">
        <v>4105</v>
      </c>
      <c r="U127" s="28" t="s">
        <v>1439</v>
      </c>
      <c r="V127" s="28" t="s">
        <v>1495</v>
      </c>
      <c r="W127" s="28" t="s">
        <v>4106</v>
      </c>
      <c r="X127" s="17">
        <v>1</v>
      </c>
      <c r="AA127" s="35" t="s">
        <v>4105</v>
      </c>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36"/>
      <c r="BJ127" s="36"/>
      <c r="BK127" s="36"/>
      <c r="BL127" s="36"/>
      <c r="BM127" s="36"/>
      <c r="BN127" s="36"/>
      <c r="BO127" s="36"/>
      <c r="BP127" s="36"/>
      <c r="BQ127" s="36"/>
      <c r="BR127" s="36"/>
      <c r="BS127" s="36"/>
      <c r="BT127" s="36"/>
      <c r="BU127" s="37"/>
      <c r="CJ127" s="26" t="s">
        <v>1378</v>
      </c>
      <c r="CK127" s="26" t="s">
        <v>4105</v>
      </c>
      <c r="CL127" s="26" t="str">
        <f t="shared" si="5"/>
        <v>北海道様似町</v>
      </c>
      <c r="CM127" s="26">
        <v>122</v>
      </c>
      <c r="CN127" s="17" t="str">
        <f t="shared" si="4"/>
        <v>0122</v>
      </c>
      <c r="CO127" s="17" t="str">
        <f t="shared" si="6"/>
        <v>122122様似町</v>
      </c>
      <c r="CP127" s="17" t="s">
        <v>4107</v>
      </c>
      <c r="CQ127" s="17" t="b">
        <f t="shared" si="7"/>
        <v>1</v>
      </c>
    </row>
    <row r="128" spans="12:95">
      <c r="L128" s="17" t="s">
        <v>4108</v>
      </c>
      <c r="M128" s="17" t="s">
        <v>4109</v>
      </c>
      <c r="N128" s="27" t="s">
        <v>4110</v>
      </c>
      <c r="O128" s="29" t="s">
        <v>1439</v>
      </c>
      <c r="P128" s="29" t="s">
        <v>4111</v>
      </c>
      <c r="Q128" s="29" t="s">
        <v>1439</v>
      </c>
      <c r="R128" s="29" t="s">
        <v>4112</v>
      </c>
      <c r="S128" s="28" t="s">
        <v>1502</v>
      </c>
      <c r="T128" s="28" t="s">
        <v>4113</v>
      </c>
      <c r="U128" s="28" t="s">
        <v>1439</v>
      </c>
      <c r="V128" s="28" t="s">
        <v>1495</v>
      </c>
      <c r="W128" s="28" t="s">
        <v>4114</v>
      </c>
      <c r="X128" s="17">
        <v>1</v>
      </c>
      <c r="AA128" s="30" t="s">
        <v>4113</v>
      </c>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2"/>
      <c r="CJ128" s="26" t="s">
        <v>1378</v>
      </c>
      <c r="CK128" s="26" t="s">
        <v>4113</v>
      </c>
      <c r="CL128" s="26" t="str">
        <f t="shared" si="5"/>
        <v>北海道えりも町</v>
      </c>
      <c r="CM128" s="26">
        <v>123</v>
      </c>
      <c r="CN128" s="17" t="str">
        <f t="shared" si="4"/>
        <v>0123</v>
      </c>
      <c r="CO128" s="17" t="str">
        <f t="shared" si="6"/>
        <v>123123えりも町</v>
      </c>
      <c r="CP128" s="17" t="s">
        <v>4115</v>
      </c>
      <c r="CQ128" s="17" t="b">
        <f t="shared" si="7"/>
        <v>1</v>
      </c>
    </row>
    <row r="129" spans="12:95">
      <c r="L129" s="17" t="s">
        <v>4116</v>
      </c>
      <c r="M129" s="17" t="s">
        <v>4117</v>
      </c>
      <c r="N129" s="27" t="s">
        <v>4118</v>
      </c>
      <c r="O129" s="29" t="s">
        <v>1439</v>
      </c>
      <c r="P129" s="29" t="s">
        <v>4119</v>
      </c>
      <c r="Q129" s="29" t="s">
        <v>1439</v>
      </c>
      <c r="R129" s="29" t="s">
        <v>4120</v>
      </c>
      <c r="S129" s="28" t="s">
        <v>1564</v>
      </c>
      <c r="T129" s="28" t="s">
        <v>4121</v>
      </c>
      <c r="U129" s="28" t="s">
        <v>1439</v>
      </c>
      <c r="V129" s="28" t="s">
        <v>1495</v>
      </c>
      <c r="W129" s="28" t="s">
        <v>4122</v>
      </c>
      <c r="X129" s="17">
        <v>1</v>
      </c>
      <c r="AA129" s="35" t="s">
        <v>4121</v>
      </c>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36"/>
      <c r="BJ129" s="36"/>
      <c r="BK129" s="36"/>
      <c r="BL129" s="36"/>
      <c r="BM129" s="36"/>
      <c r="BN129" s="36"/>
      <c r="BO129" s="36"/>
      <c r="BP129" s="36"/>
      <c r="BQ129" s="36"/>
      <c r="BR129" s="36"/>
      <c r="BS129" s="36"/>
      <c r="BT129" s="36"/>
      <c r="BU129" s="37"/>
      <c r="CJ129" s="26" t="s">
        <v>1378</v>
      </c>
      <c r="CK129" s="26" t="s">
        <v>4121</v>
      </c>
      <c r="CL129" s="26" t="str">
        <f t="shared" si="5"/>
        <v>北海道音更町</v>
      </c>
      <c r="CM129" s="26">
        <v>124</v>
      </c>
      <c r="CN129" s="17" t="str">
        <f t="shared" si="4"/>
        <v>0124</v>
      </c>
      <c r="CO129" s="17" t="str">
        <f t="shared" si="6"/>
        <v>124124音更町</v>
      </c>
      <c r="CP129" s="17" t="s">
        <v>4123</v>
      </c>
      <c r="CQ129" s="17" t="b">
        <f t="shared" si="7"/>
        <v>1</v>
      </c>
    </row>
    <row r="130" spans="12:95">
      <c r="L130" s="17" t="s">
        <v>4124</v>
      </c>
      <c r="M130" s="17" t="s">
        <v>4125</v>
      </c>
      <c r="N130" s="27" t="s">
        <v>4126</v>
      </c>
      <c r="O130" s="29" t="s">
        <v>1439</v>
      </c>
      <c r="P130" s="29" t="s">
        <v>4127</v>
      </c>
      <c r="Q130" s="29" t="s">
        <v>1439</v>
      </c>
      <c r="R130" s="29" t="s">
        <v>4128</v>
      </c>
      <c r="S130" s="28" t="s">
        <v>1626</v>
      </c>
      <c r="T130" s="28" t="s">
        <v>4129</v>
      </c>
      <c r="U130" s="28" t="s">
        <v>1439</v>
      </c>
      <c r="V130" s="28" t="s">
        <v>1495</v>
      </c>
      <c r="W130" s="28" t="s">
        <v>4130</v>
      </c>
      <c r="X130" s="17">
        <v>1</v>
      </c>
      <c r="AA130" s="30" t="s">
        <v>4129</v>
      </c>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2"/>
      <c r="CJ130" s="26" t="s">
        <v>1378</v>
      </c>
      <c r="CK130" s="26" t="s">
        <v>4129</v>
      </c>
      <c r="CL130" s="26" t="str">
        <f t="shared" si="5"/>
        <v>北海道士幌町</v>
      </c>
      <c r="CM130" s="26">
        <v>125</v>
      </c>
      <c r="CN130" s="17" t="str">
        <f t="shared" si="4"/>
        <v>0125</v>
      </c>
      <c r="CO130" s="17" t="str">
        <f t="shared" si="6"/>
        <v>125125士幌町</v>
      </c>
      <c r="CP130" s="17" t="s">
        <v>4131</v>
      </c>
      <c r="CQ130" s="17" t="b">
        <f t="shared" si="7"/>
        <v>1</v>
      </c>
    </row>
    <row r="131" spans="12:95">
      <c r="L131" s="17" t="s">
        <v>4132</v>
      </c>
      <c r="M131" s="17" t="s">
        <v>4133</v>
      </c>
      <c r="N131" s="27" t="s">
        <v>4134</v>
      </c>
      <c r="O131" s="29" t="s">
        <v>1439</v>
      </c>
      <c r="P131" s="29" t="s">
        <v>4135</v>
      </c>
      <c r="Q131" s="29" t="s">
        <v>1439</v>
      </c>
      <c r="R131" s="29" t="s">
        <v>4136</v>
      </c>
      <c r="S131" s="28" t="s">
        <v>1502</v>
      </c>
      <c r="T131" s="28" t="s">
        <v>4137</v>
      </c>
      <c r="U131" s="28" t="s">
        <v>1439</v>
      </c>
      <c r="V131" s="28" t="s">
        <v>1495</v>
      </c>
      <c r="W131" s="28" t="s">
        <v>4138</v>
      </c>
      <c r="X131" s="17">
        <v>1</v>
      </c>
      <c r="AA131" s="35" t="s">
        <v>4137</v>
      </c>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c r="BK131" s="36"/>
      <c r="BL131" s="36"/>
      <c r="BM131" s="36"/>
      <c r="BN131" s="36"/>
      <c r="BO131" s="36"/>
      <c r="BP131" s="36"/>
      <c r="BQ131" s="36"/>
      <c r="BR131" s="36"/>
      <c r="BS131" s="36"/>
      <c r="BT131" s="36"/>
      <c r="BU131" s="37"/>
      <c r="CJ131" s="26" t="s">
        <v>1378</v>
      </c>
      <c r="CK131" s="26" t="s">
        <v>4137</v>
      </c>
      <c r="CL131" s="26" t="str">
        <f t="shared" si="5"/>
        <v>北海道上士幌町</v>
      </c>
      <c r="CM131" s="26">
        <v>126</v>
      </c>
      <c r="CN131" s="17" t="str">
        <f t="shared" si="4"/>
        <v>0126</v>
      </c>
      <c r="CO131" s="17" t="str">
        <f t="shared" si="6"/>
        <v>126126上士幌町</v>
      </c>
      <c r="CP131" s="17" t="s">
        <v>4139</v>
      </c>
      <c r="CQ131" s="17" t="b">
        <f t="shared" si="7"/>
        <v>1</v>
      </c>
    </row>
    <row r="132" spans="12:95">
      <c r="L132" s="17" t="s">
        <v>4140</v>
      </c>
      <c r="M132" s="17" t="s">
        <v>4141</v>
      </c>
      <c r="N132" s="27" t="s">
        <v>4142</v>
      </c>
      <c r="O132" s="29" t="s">
        <v>1439</v>
      </c>
      <c r="P132" s="29" t="s">
        <v>4143</v>
      </c>
      <c r="Q132" s="29" t="s">
        <v>1439</v>
      </c>
      <c r="R132" s="29" t="s">
        <v>4144</v>
      </c>
      <c r="S132" s="28" t="s">
        <v>2525</v>
      </c>
      <c r="T132" s="28" t="s">
        <v>4145</v>
      </c>
      <c r="U132" s="28" t="s">
        <v>1439</v>
      </c>
      <c r="V132" s="28" t="s">
        <v>1495</v>
      </c>
      <c r="W132" s="28" t="s">
        <v>4146</v>
      </c>
      <c r="X132" s="17">
        <v>1</v>
      </c>
      <c r="AA132" s="30" t="s">
        <v>4145</v>
      </c>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2"/>
      <c r="CJ132" s="26" t="s">
        <v>1378</v>
      </c>
      <c r="CK132" s="26" t="s">
        <v>4145</v>
      </c>
      <c r="CL132" s="26" t="str">
        <f t="shared" si="5"/>
        <v>北海道鹿追町</v>
      </c>
      <c r="CM132" s="26">
        <v>127</v>
      </c>
      <c r="CN132" s="17" t="str">
        <f t="shared" si="4"/>
        <v>0127</v>
      </c>
      <c r="CO132" s="17" t="str">
        <f t="shared" si="6"/>
        <v>127127鹿追町</v>
      </c>
      <c r="CP132" s="17" t="s">
        <v>4147</v>
      </c>
      <c r="CQ132" s="17" t="b">
        <f t="shared" si="7"/>
        <v>1</v>
      </c>
    </row>
    <row r="133" spans="12:95">
      <c r="L133" s="17" t="s">
        <v>4148</v>
      </c>
      <c r="M133" s="17" t="s">
        <v>4149</v>
      </c>
      <c r="N133" s="27" t="s">
        <v>4150</v>
      </c>
      <c r="O133" s="29" t="s">
        <v>1439</v>
      </c>
      <c r="P133" s="29" t="s">
        <v>4151</v>
      </c>
      <c r="Q133" s="29" t="s">
        <v>1439</v>
      </c>
      <c r="R133" s="29" t="s">
        <v>4152</v>
      </c>
      <c r="S133" s="28" t="s">
        <v>1803</v>
      </c>
      <c r="T133" s="28" t="s">
        <v>4153</v>
      </c>
      <c r="U133" s="28" t="s">
        <v>1439</v>
      </c>
      <c r="V133" s="28" t="s">
        <v>1495</v>
      </c>
      <c r="W133" s="28" t="s">
        <v>4154</v>
      </c>
      <c r="X133" s="17">
        <v>1</v>
      </c>
      <c r="AA133" s="35" t="s">
        <v>4153</v>
      </c>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36"/>
      <c r="BJ133" s="36"/>
      <c r="BK133" s="36"/>
      <c r="BL133" s="36"/>
      <c r="BM133" s="36"/>
      <c r="BN133" s="36"/>
      <c r="BO133" s="36"/>
      <c r="BP133" s="36"/>
      <c r="BQ133" s="36"/>
      <c r="BR133" s="36"/>
      <c r="BS133" s="36"/>
      <c r="BT133" s="36"/>
      <c r="BU133" s="37"/>
      <c r="CJ133" s="26" t="s">
        <v>1378</v>
      </c>
      <c r="CK133" s="26" t="s">
        <v>4153</v>
      </c>
      <c r="CL133" s="26" t="str">
        <f t="shared" si="5"/>
        <v>北海道新得町</v>
      </c>
      <c r="CM133" s="26">
        <v>128</v>
      </c>
      <c r="CN133" s="17" t="str">
        <f t="shared" si="4"/>
        <v>0128</v>
      </c>
      <c r="CO133" s="17" t="str">
        <f t="shared" si="6"/>
        <v>128128新得町</v>
      </c>
      <c r="CP133" s="17" t="s">
        <v>4155</v>
      </c>
      <c r="CQ133" s="17" t="b">
        <f t="shared" si="7"/>
        <v>1</v>
      </c>
    </row>
    <row r="134" spans="12:95">
      <c r="L134" s="17" t="s">
        <v>4156</v>
      </c>
      <c r="M134" s="17" t="s">
        <v>4157</v>
      </c>
      <c r="N134" s="27" t="s">
        <v>4158</v>
      </c>
      <c r="O134" s="29" t="s">
        <v>1439</v>
      </c>
      <c r="P134" s="29" t="s">
        <v>4159</v>
      </c>
      <c r="Q134" s="29" t="s">
        <v>1439</v>
      </c>
      <c r="R134" s="29" t="s">
        <v>4160</v>
      </c>
      <c r="S134" s="28" t="s">
        <v>1862</v>
      </c>
      <c r="T134" s="28" t="s">
        <v>3002</v>
      </c>
      <c r="U134" s="28" t="s">
        <v>1439</v>
      </c>
      <c r="V134" s="28" t="s">
        <v>1495</v>
      </c>
      <c r="W134" s="28" t="s">
        <v>4161</v>
      </c>
      <c r="X134" s="17">
        <v>1</v>
      </c>
      <c r="AA134" s="30" t="s">
        <v>3002</v>
      </c>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2"/>
      <c r="CJ134" s="26" t="s">
        <v>1378</v>
      </c>
      <c r="CK134" s="26" t="s">
        <v>3002</v>
      </c>
      <c r="CL134" s="26" t="str">
        <f t="shared" si="5"/>
        <v>北海道清水町</v>
      </c>
      <c r="CM134" s="26">
        <v>129</v>
      </c>
      <c r="CN134" s="17" t="str">
        <f t="shared" ref="CN134:CN197" si="8">VLOOKUP(CL134,$M$6:$N$1784,2,FALSE)</f>
        <v>0129</v>
      </c>
      <c r="CO134" s="17" t="str">
        <f t="shared" si="6"/>
        <v>129129清水町</v>
      </c>
      <c r="CP134" s="17" t="s">
        <v>4162</v>
      </c>
      <c r="CQ134" s="17" t="b">
        <f t="shared" si="7"/>
        <v>1</v>
      </c>
    </row>
    <row r="135" spans="12:95">
      <c r="L135" s="17" t="s">
        <v>4163</v>
      </c>
      <c r="M135" s="17" t="s">
        <v>4164</v>
      </c>
      <c r="N135" s="27" t="s">
        <v>4165</v>
      </c>
      <c r="O135" s="29" t="s">
        <v>1439</v>
      </c>
      <c r="P135" s="29" t="s">
        <v>4166</v>
      </c>
      <c r="Q135" s="29" t="s">
        <v>1439</v>
      </c>
      <c r="R135" s="29" t="s">
        <v>4167</v>
      </c>
      <c r="S135" s="28" t="s">
        <v>1920</v>
      </c>
      <c r="T135" s="28" t="s">
        <v>4168</v>
      </c>
      <c r="U135" s="28" t="s">
        <v>1439</v>
      </c>
      <c r="V135" s="28" t="s">
        <v>1495</v>
      </c>
      <c r="W135" s="28" t="s">
        <v>4169</v>
      </c>
      <c r="X135" s="17">
        <v>1</v>
      </c>
      <c r="AA135" s="35" t="s">
        <v>4168</v>
      </c>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c r="BK135" s="36"/>
      <c r="BL135" s="36"/>
      <c r="BM135" s="36"/>
      <c r="BN135" s="36"/>
      <c r="BO135" s="36"/>
      <c r="BP135" s="36"/>
      <c r="BQ135" s="36"/>
      <c r="BR135" s="36"/>
      <c r="BS135" s="36"/>
      <c r="BT135" s="36"/>
      <c r="BU135" s="37"/>
      <c r="CJ135" s="26" t="s">
        <v>1378</v>
      </c>
      <c r="CK135" s="26" t="s">
        <v>4168</v>
      </c>
      <c r="CL135" s="26" t="str">
        <f t="shared" ref="CL135:CL198" si="9">CJ135&amp;CK135</f>
        <v>北海道芽室町</v>
      </c>
      <c r="CM135" s="26">
        <v>130</v>
      </c>
      <c r="CN135" s="17" t="str">
        <f t="shared" si="8"/>
        <v>0130</v>
      </c>
      <c r="CO135" s="17" t="str">
        <f t="shared" ref="CO135:CO198" si="10">CM135&amp;TEXT(CN135,0)&amp;CK135</f>
        <v>130130芽室町</v>
      </c>
      <c r="CP135" s="17" t="s">
        <v>4170</v>
      </c>
      <c r="CQ135" s="17" t="b">
        <f t="shared" ref="CQ135:CQ198" si="11">CO135=CP135</f>
        <v>1</v>
      </c>
    </row>
    <row r="136" spans="12:95">
      <c r="L136" s="17" t="s">
        <v>4171</v>
      </c>
      <c r="M136" s="17" t="s">
        <v>4172</v>
      </c>
      <c r="N136" s="27" t="s">
        <v>4173</v>
      </c>
      <c r="O136" s="29" t="s">
        <v>1439</v>
      </c>
      <c r="P136" s="29" t="s">
        <v>4174</v>
      </c>
      <c r="Q136" s="29" t="s">
        <v>1439</v>
      </c>
      <c r="R136" s="29" t="s">
        <v>4175</v>
      </c>
      <c r="S136" s="28" t="s">
        <v>1977</v>
      </c>
      <c r="T136" s="28" t="s">
        <v>4176</v>
      </c>
      <c r="U136" s="28" t="s">
        <v>1439</v>
      </c>
      <c r="V136" s="28" t="s">
        <v>1495</v>
      </c>
      <c r="W136" s="28" t="s">
        <v>4177</v>
      </c>
      <c r="X136" s="17">
        <v>1</v>
      </c>
      <c r="AA136" s="30" t="s">
        <v>4176</v>
      </c>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2"/>
      <c r="CJ136" s="26" t="s">
        <v>1378</v>
      </c>
      <c r="CK136" s="26" t="s">
        <v>4176</v>
      </c>
      <c r="CL136" s="26" t="str">
        <f t="shared" si="9"/>
        <v>北海道中札内村</v>
      </c>
      <c r="CM136" s="26">
        <v>131</v>
      </c>
      <c r="CN136" s="17" t="str">
        <f t="shared" si="8"/>
        <v>0131</v>
      </c>
      <c r="CO136" s="17" t="str">
        <f t="shared" si="10"/>
        <v>131131中札内村</v>
      </c>
      <c r="CP136" s="17" t="s">
        <v>4178</v>
      </c>
      <c r="CQ136" s="17" t="b">
        <f t="shared" si="11"/>
        <v>1</v>
      </c>
    </row>
    <row r="137" spans="12:95">
      <c r="L137" s="17" t="s">
        <v>4179</v>
      </c>
      <c r="M137" s="17" t="s">
        <v>4180</v>
      </c>
      <c r="N137" s="27" t="s">
        <v>4181</v>
      </c>
      <c r="O137" s="29" t="s">
        <v>1439</v>
      </c>
      <c r="P137" s="29" t="s">
        <v>4182</v>
      </c>
      <c r="Q137" s="29" t="s">
        <v>1439</v>
      </c>
      <c r="R137" s="29" t="s">
        <v>4183</v>
      </c>
      <c r="S137" s="28" t="s">
        <v>1743</v>
      </c>
      <c r="T137" s="28" t="s">
        <v>4184</v>
      </c>
      <c r="U137" s="28" t="s">
        <v>1439</v>
      </c>
      <c r="V137" s="28" t="s">
        <v>1495</v>
      </c>
      <c r="W137" s="28" t="s">
        <v>4185</v>
      </c>
      <c r="X137" s="17">
        <v>1</v>
      </c>
      <c r="AA137" s="35" t="s">
        <v>4184</v>
      </c>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36"/>
      <c r="BJ137" s="36"/>
      <c r="BK137" s="36"/>
      <c r="BL137" s="36"/>
      <c r="BM137" s="36"/>
      <c r="BN137" s="36"/>
      <c r="BO137" s="36"/>
      <c r="BP137" s="36"/>
      <c r="BQ137" s="36"/>
      <c r="BR137" s="36"/>
      <c r="BS137" s="36"/>
      <c r="BT137" s="36"/>
      <c r="BU137" s="37"/>
      <c r="CJ137" s="26" t="s">
        <v>1378</v>
      </c>
      <c r="CK137" s="26" t="s">
        <v>4184</v>
      </c>
      <c r="CL137" s="26" t="str">
        <f t="shared" si="9"/>
        <v>北海道更別村</v>
      </c>
      <c r="CM137" s="26">
        <v>132</v>
      </c>
      <c r="CN137" s="17" t="str">
        <f t="shared" si="8"/>
        <v>0132</v>
      </c>
      <c r="CO137" s="17" t="str">
        <f t="shared" si="10"/>
        <v>132132更別村</v>
      </c>
      <c r="CP137" s="17" t="s">
        <v>4186</v>
      </c>
      <c r="CQ137" s="17" t="b">
        <f t="shared" si="11"/>
        <v>1</v>
      </c>
    </row>
    <row r="138" spans="12:95">
      <c r="L138" s="17" t="s">
        <v>4187</v>
      </c>
      <c r="M138" s="17" t="s">
        <v>4188</v>
      </c>
      <c r="N138" s="27" t="s">
        <v>4189</v>
      </c>
      <c r="O138" s="29" t="s">
        <v>1439</v>
      </c>
      <c r="P138" s="29" t="s">
        <v>4190</v>
      </c>
      <c r="Q138" s="29" t="s">
        <v>1439</v>
      </c>
      <c r="R138" s="29" t="s">
        <v>4191</v>
      </c>
      <c r="S138" s="28" t="s">
        <v>1862</v>
      </c>
      <c r="T138" s="28" t="s">
        <v>4192</v>
      </c>
      <c r="U138" s="28" t="s">
        <v>1439</v>
      </c>
      <c r="V138" s="28" t="s">
        <v>1495</v>
      </c>
      <c r="W138" s="28" t="s">
        <v>4193</v>
      </c>
      <c r="X138" s="17">
        <v>1</v>
      </c>
      <c r="AA138" s="30" t="s">
        <v>4192</v>
      </c>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2"/>
      <c r="CJ138" s="26" t="s">
        <v>1378</v>
      </c>
      <c r="CK138" s="26" t="s">
        <v>4192</v>
      </c>
      <c r="CL138" s="26" t="str">
        <f t="shared" si="9"/>
        <v>北海道大樹町</v>
      </c>
      <c r="CM138" s="26">
        <v>133</v>
      </c>
      <c r="CN138" s="17" t="str">
        <f t="shared" si="8"/>
        <v>0133</v>
      </c>
      <c r="CO138" s="17" t="str">
        <f t="shared" si="10"/>
        <v>133133大樹町</v>
      </c>
      <c r="CP138" s="17" t="s">
        <v>4194</v>
      </c>
      <c r="CQ138" s="17" t="b">
        <f t="shared" si="11"/>
        <v>1</v>
      </c>
    </row>
    <row r="139" spans="12:95">
      <c r="L139" s="17" t="s">
        <v>4195</v>
      </c>
      <c r="M139" s="17" t="s">
        <v>4196</v>
      </c>
      <c r="N139" s="27" t="s">
        <v>4197</v>
      </c>
      <c r="O139" s="29" t="s">
        <v>1439</v>
      </c>
      <c r="P139" s="29" t="s">
        <v>4198</v>
      </c>
      <c r="Q139" s="29" t="s">
        <v>1439</v>
      </c>
      <c r="R139" s="29" t="s">
        <v>4199</v>
      </c>
      <c r="S139" s="28" t="s">
        <v>1920</v>
      </c>
      <c r="T139" s="28" t="s">
        <v>4200</v>
      </c>
      <c r="U139" s="28" t="s">
        <v>1439</v>
      </c>
      <c r="V139" s="28" t="s">
        <v>1495</v>
      </c>
      <c r="W139" s="28" t="s">
        <v>4201</v>
      </c>
      <c r="X139" s="17">
        <v>1</v>
      </c>
      <c r="AA139" s="35" t="s">
        <v>4200</v>
      </c>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7"/>
      <c r="CJ139" s="26" t="s">
        <v>1378</v>
      </c>
      <c r="CK139" s="26" t="s">
        <v>4200</v>
      </c>
      <c r="CL139" s="26" t="str">
        <f t="shared" si="9"/>
        <v>北海道広尾町</v>
      </c>
      <c r="CM139" s="26">
        <v>134</v>
      </c>
      <c r="CN139" s="17" t="str">
        <f t="shared" si="8"/>
        <v>0134</v>
      </c>
      <c r="CO139" s="17" t="str">
        <f t="shared" si="10"/>
        <v>134134広尾町</v>
      </c>
      <c r="CP139" s="17" t="s">
        <v>4202</v>
      </c>
      <c r="CQ139" s="17" t="b">
        <f t="shared" si="11"/>
        <v>1</v>
      </c>
    </row>
    <row r="140" spans="12:95">
      <c r="L140" s="17" t="s">
        <v>4203</v>
      </c>
      <c r="M140" s="17" t="s">
        <v>4204</v>
      </c>
      <c r="N140" s="27" t="s">
        <v>4205</v>
      </c>
      <c r="O140" s="29" t="s">
        <v>1439</v>
      </c>
      <c r="P140" s="29" t="s">
        <v>4206</v>
      </c>
      <c r="Q140" s="29" t="s">
        <v>1439</v>
      </c>
      <c r="R140" s="29" t="s">
        <v>4207</v>
      </c>
      <c r="S140" s="28" t="s">
        <v>1977</v>
      </c>
      <c r="T140" s="28" t="s">
        <v>4208</v>
      </c>
      <c r="U140" s="28" t="s">
        <v>1439</v>
      </c>
      <c r="V140" s="28" t="s">
        <v>1495</v>
      </c>
      <c r="W140" s="28" t="s">
        <v>4209</v>
      </c>
      <c r="X140" s="17">
        <v>1</v>
      </c>
      <c r="AA140" s="30" t="s">
        <v>4208</v>
      </c>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2"/>
      <c r="CJ140" s="26" t="s">
        <v>1378</v>
      </c>
      <c r="CK140" s="26" t="s">
        <v>4208</v>
      </c>
      <c r="CL140" s="26" t="str">
        <f t="shared" si="9"/>
        <v>北海道幕別町</v>
      </c>
      <c r="CM140" s="26">
        <v>135</v>
      </c>
      <c r="CN140" s="17" t="str">
        <f t="shared" si="8"/>
        <v>0135</v>
      </c>
      <c r="CO140" s="17" t="str">
        <f t="shared" si="10"/>
        <v>135135幕別町</v>
      </c>
      <c r="CP140" s="17" t="s">
        <v>4210</v>
      </c>
      <c r="CQ140" s="17" t="b">
        <f t="shared" si="11"/>
        <v>1</v>
      </c>
    </row>
    <row r="141" spans="12:95">
      <c r="L141" s="17" t="s">
        <v>4211</v>
      </c>
      <c r="M141" s="17" t="s">
        <v>4212</v>
      </c>
      <c r="N141" s="27" t="s">
        <v>4213</v>
      </c>
      <c r="O141" s="29" t="s">
        <v>1439</v>
      </c>
      <c r="P141" s="29" t="s">
        <v>4214</v>
      </c>
      <c r="Q141" s="29" t="s">
        <v>1439</v>
      </c>
      <c r="R141" s="29" t="s">
        <v>4215</v>
      </c>
      <c r="S141" s="28" t="s">
        <v>1743</v>
      </c>
      <c r="T141" s="28" t="s">
        <v>1996</v>
      </c>
      <c r="U141" s="28" t="s">
        <v>1439</v>
      </c>
      <c r="V141" s="28" t="s">
        <v>1495</v>
      </c>
      <c r="W141" s="28" t="s">
        <v>4216</v>
      </c>
      <c r="X141" s="17">
        <v>1</v>
      </c>
      <c r="AA141" s="35" t="s">
        <v>1996</v>
      </c>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7"/>
      <c r="CJ141" s="26" t="s">
        <v>1378</v>
      </c>
      <c r="CK141" s="26" t="s">
        <v>1996</v>
      </c>
      <c r="CL141" s="26" t="str">
        <f t="shared" si="9"/>
        <v>北海道池田町</v>
      </c>
      <c r="CM141" s="26">
        <v>136</v>
      </c>
      <c r="CN141" s="17" t="str">
        <f t="shared" si="8"/>
        <v>0136</v>
      </c>
      <c r="CO141" s="17" t="str">
        <f t="shared" si="10"/>
        <v>136136池田町</v>
      </c>
      <c r="CP141" s="17" t="s">
        <v>4217</v>
      </c>
      <c r="CQ141" s="17" t="b">
        <f t="shared" si="11"/>
        <v>1</v>
      </c>
    </row>
    <row r="142" spans="12:95">
      <c r="L142" s="17" t="s">
        <v>4218</v>
      </c>
      <c r="M142" s="17" t="s">
        <v>4219</v>
      </c>
      <c r="N142" s="27" t="s">
        <v>4220</v>
      </c>
      <c r="O142" s="29" t="s">
        <v>1439</v>
      </c>
      <c r="P142" s="29" t="s">
        <v>4221</v>
      </c>
      <c r="Q142" s="29" t="s">
        <v>1439</v>
      </c>
      <c r="R142" s="29" t="s">
        <v>4222</v>
      </c>
      <c r="S142" s="28" t="s">
        <v>1564</v>
      </c>
      <c r="T142" s="28" t="s">
        <v>4223</v>
      </c>
      <c r="U142" s="28" t="s">
        <v>1439</v>
      </c>
      <c r="V142" s="28" t="s">
        <v>1495</v>
      </c>
      <c r="W142" s="28" t="s">
        <v>4224</v>
      </c>
      <c r="X142" s="17">
        <v>1</v>
      </c>
      <c r="AA142" s="30" t="s">
        <v>4223</v>
      </c>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2"/>
      <c r="CJ142" s="26" t="s">
        <v>1378</v>
      </c>
      <c r="CK142" s="26" t="s">
        <v>4223</v>
      </c>
      <c r="CL142" s="26" t="str">
        <f t="shared" si="9"/>
        <v>北海道豊頃町</v>
      </c>
      <c r="CM142" s="26">
        <v>137</v>
      </c>
      <c r="CN142" s="17" t="str">
        <f t="shared" si="8"/>
        <v>0137</v>
      </c>
      <c r="CO142" s="17" t="str">
        <f t="shared" si="10"/>
        <v>137137豊頃町</v>
      </c>
      <c r="CP142" s="17" t="s">
        <v>4225</v>
      </c>
      <c r="CQ142" s="17" t="b">
        <f t="shared" si="11"/>
        <v>1</v>
      </c>
    </row>
    <row r="143" spans="12:95">
      <c r="L143" s="17" t="s">
        <v>4226</v>
      </c>
      <c r="M143" s="17" t="s">
        <v>4227</v>
      </c>
      <c r="N143" s="27" t="s">
        <v>4228</v>
      </c>
      <c r="O143" s="29" t="s">
        <v>1439</v>
      </c>
      <c r="P143" s="29" t="s">
        <v>4229</v>
      </c>
      <c r="Q143" s="29" t="s">
        <v>1439</v>
      </c>
      <c r="R143" s="29" t="s">
        <v>4230</v>
      </c>
      <c r="S143" s="28" t="s">
        <v>1626</v>
      </c>
      <c r="T143" s="28" t="s">
        <v>4231</v>
      </c>
      <c r="U143" s="28" t="s">
        <v>1439</v>
      </c>
      <c r="V143" s="28" t="s">
        <v>1495</v>
      </c>
      <c r="W143" s="28" t="s">
        <v>4232</v>
      </c>
      <c r="X143" s="17">
        <v>1</v>
      </c>
      <c r="AA143" s="35" t="s">
        <v>4231</v>
      </c>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7"/>
      <c r="CJ143" s="26" t="s">
        <v>1378</v>
      </c>
      <c r="CK143" s="26" t="s">
        <v>4231</v>
      </c>
      <c r="CL143" s="26" t="str">
        <f t="shared" si="9"/>
        <v>北海道本別町</v>
      </c>
      <c r="CM143" s="26">
        <v>138</v>
      </c>
      <c r="CN143" s="17" t="str">
        <f t="shared" si="8"/>
        <v>0138</v>
      </c>
      <c r="CO143" s="17" t="str">
        <f t="shared" si="10"/>
        <v>138138本別町</v>
      </c>
      <c r="CP143" s="17" t="s">
        <v>4233</v>
      </c>
      <c r="CQ143" s="17" t="b">
        <f t="shared" si="11"/>
        <v>1</v>
      </c>
    </row>
    <row r="144" spans="12:95">
      <c r="L144" s="17" t="s">
        <v>4234</v>
      </c>
      <c r="M144" s="17" t="s">
        <v>4235</v>
      </c>
      <c r="N144" s="27" t="s">
        <v>4236</v>
      </c>
      <c r="O144" s="29" t="s">
        <v>1439</v>
      </c>
      <c r="P144" s="29" t="s">
        <v>4237</v>
      </c>
      <c r="Q144" s="29" t="s">
        <v>1439</v>
      </c>
      <c r="R144" s="29" t="s">
        <v>4238</v>
      </c>
      <c r="S144" s="28" t="s">
        <v>1502</v>
      </c>
      <c r="T144" s="28" t="s">
        <v>4239</v>
      </c>
      <c r="U144" s="28" t="s">
        <v>1439</v>
      </c>
      <c r="V144" s="28" t="s">
        <v>1495</v>
      </c>
      <c r="W144" s="28" t="s">
        <v>4240</v>
      </c>
      <c r="X144" s="17">
        <v>1</v>
      </c>
      <c r="AA144" s="30" t="s">
        <v>4239</v>
      </c>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2"/>
      <c r="CJ144" s="26" t="s">
        <v>1378</v>
      </c>
      <c r="CK144" s="26" t="s">
        <v>4239</v>
      </c>
      <c r="CL144" s="26" t="str">
        <f t="shared" si="9"/>
        <v>北海道足寄町</v>
      </c>
      <c r="CM144" s="26">
        <v>139</v>
      </c>
      <c r="CN144" s="17" t="str">
        <f t="shared" si="8"/>
        <v>0139</v>
      </c>
      <c r="CO144" s="17" t="str">
        <f t="shared" si="10"/>
        <v>139139足寄町</v>
      </c>
      <c r="CP144" s="17" t="s">
        <v>4241</v>
      </c>
      <c r="CQ144" s="17" t="b">
        <f t="shared" si="11"/>
        <v>1</v>
      </c>
    </row>
    <row r="145" spans="12:95">
      <c r="L145" s="17" t="s">
        <v>4242</v>
      </c>
      <c r="M145" s="17" t="s">
        <v>4243</v>
      </c>
      <c r="N145" s="27" t="s">
        <v>4244</v>
      </c>
      <c r="O145" s="29" t="s">
        <v>1439</v>
      </c>
      <c r="P145" s="29" t="s">
        <v>4245</v>
      </c>
      <c r="Q145" s="29" t="s">
        <v>1439</v>
      </c>
      <c r="R145" s="29" t="s">
        <v>4246</v>
      </c>
      <c r="S145" s="28" t="s">
        <v>2525</v>
      </c>
      <c r="T145" s="28" t="s">
        <v>4247</v>
      </c>
      <c r="U145" s="28" t="s">
        <v>1439</v>
      </c>
      <c r="V145" s="28" t="s">
        <v>1495</v>
      </c>
      <c r="W145" s="28" t="s">
        <v>4248</v>
      </c>
      <c r="X145" s="17">
        <v>1</v>
      </c>
      <c r="AA145" s="35" t="s">
        <v>4247</v>
      </c>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7"/>
      <c r="CJ145" s="26" t="s">
        <v>1378</v>
      </c>
      <c r="CK145" s="26" t="s">
        <v>4247</v>
      </c>
      <c r="CL145" s="26" t="str">
        <f t="shared" si="9"/>
        <v>北海道陸別町</v>
      </c>
      <c r="CM145" s="26">
        <v>140</v>
      </c>
      <c r="CN145" s="17" t="str">
        <f t="shared" si="8"/>
        <v>0140</v>
      </c>
      <c r="CO145" s="17" t="str">
        <f t="shared" si="10"/>
        <v>140140陸別町</v>
      </c>
      <c r="CP145" s="17" t="s">
        <v>4249</v>
      </c>
      <c r="CQ145" s="17" t="b">
        <f t="shared" si="11"/>
        <v>1</v>
      </c>
    </row>
    <row r="146" spans="12:95">
      <c r="L146" s="17" t="s">
        <v>4250</v>
      </c>
      <c r="M146" s="17" t="s">
        <v>4251</v>
      </c>
      <c r="N146" s="27" t="s">
        <v>4252</v>
      </c>
      <c r="O146" s="29" t="s">
        <v>1439</v>
      </c>
      <c r="P146" s="29" t="s">
        <v>4253</v>
      </c>
      <c r="Q146" s="29" t="s">
        <v>1439</v>
      </c>
      <c r="R146" s="29" t="s">
        <v>4254</v>
      </c>
      <c r="S146" s="28" t="s">
        <v>2311</v>
      </c>
      <c r="T146" s="28" t="s">
        <v>4255</v>
      </c>
      <c r="U146" s="28" t="s">
        <v>1439</v>
      </c>
      <c r="V146" s="28" t="s">
        <v>1495</v>
      </c>
      <c r="W146" s="28" t="s">
        <v>4256</v>
      </c>
      <c r="X146" s="17">
        <v>1</v>
      </c>
      <c r="AA146" s="30" t="s">
        <v>4255</v>
      </c>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2"/>
      <c r="CJ146" s="26" t="s">
        <v>1378</v>
      </c>
      <c r="CK146" s="26" t="s">
        <v>4255</v>
      </c>
      <c r="CL146" s="26" t="str">
        <f t="shared" si="9"/>
        <v>北海道浦幌町</v>
      </c>
      <c r="CM146" s="26">
        <v>141</v>
      </c>
      <c r="CN146" s="17" t="str">
        <f t="shared" si="8"/>
        <v>0141</v>
      </c>
      <c r="CO146" s="17" t="str">
        <f t="shared" si="10"/>
        <v>141141浦幌町</v>
      </c>
      <c r="CP146" s="17" t="s">
        <v>4257</v>
      </c>
      <c r="CQ146" s="17" t="b">
        <f t="shared" si="11"/>
        <v>1</v>
      </c>
    </row>
    <row r="147" spans="12:95">
      <c r="L147" s="17" t="s">
        <v>4258</v>
      </c>
      <c r="M147" s="17" t="s">
        <v>4259</v>
      </c>
      <c r="N147" s="27" t="s">
        <v>4260</v>
      </c>
      <c r="O147" s="29" t="s">
        <v>1439</v>
      </c>
      <c r="P147" s="29" t="s">
        <v>4261</v>
      </c>
      <c r="Q147" s="29" t="s">
        <v>1439</v>
      </c>
      <c r="R147" s="29" t="s">
        <v>4262</v>
      </c>
      <c r="S147" s="28" t="s">
        <v>1920</v>
      </c>
      <c r="T147" s="28" t="s">
        <v>4263</v>
      </c>
      <c r="U147" s="28" t="s">
        <v>1439</v>
      </c>
      <c r="V147" s="28" t="s">
        <v>1495</v>
      </c>
      <c r="W147" s="28" t="s">
        <v>4264</v>
      </c>
      <c r="X147" s="17">
        <v>1</v>
      </c>
      <c r="AA147" s="35" t="s">
        <v>4263</v>
      </c>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c r="BK147" s="36"/>
      <c r="BL147" s="36"/>
      <c r="BM147" s="36"/>
      <c r="BN147" s="36"/>
      <c r="BO147" s="36"/>
      <c r="BP147" s="36"/>
      <c r="BQ147" s="36"/>
      <c r="BR147" s="36"/>
      <c r="BS147" s="36"/>
      <c r="BT147" s="36"/>
      <c r="BU147" s="37"/>
      <c r="CJ147" s="26" t="s">
        <v>1378</v>
      </c>
      <c r="CK147" s="26" t="s">
        <v>4263</v>
      </c>
      <c r="CL147" s="26" t="str">
        <f t="shared" si="9"/>
        <v>北海道釧路町</v>
      </c>
      <c r="CM147" s="26">
        <v>142</v>
      </c>
      <c r="CN147" s="17" t="str">
        <f t="shared" si="8"/>
        <v>0142</v>
      </c>
      <c r="CO147" s="17" t="str">
        <f t="shared" si="10"/>
        <v>142142釧路町</v>
      </c>
      <c r="CP147" s="17" t="s">
        <v>4265</v>
      </c>
      <c r="CQ147" s="17" t="b">
        <f t="shared" si="11"/>
        <v>1</v>
      </c>
    </row>
    <row r="148" spans="12:95">
      <c r="L148" s="17" t="s">
        <v>4266</v>
      </c>
      <c r="M148" s="17" t="s">
        <v>4267</v>
      </c>
      <c r="N148" s="27" t="s">
        <v>4268</v>
      </c>
      <c r="O148" s="29" t="s">
        <v>1439</v>
      </c>
      <c r="P148" s="29" t="s">
        <v>4269</v>
      </c>
      <c r="Q148" s="29" t="s">
        <v>1439</v>
      </c>
      <c r="R148" s="29" t="s">
        <v>4270</v>
      </c>
      <c r="S148" s="28" t="s">
        <v>1977</v>
      </c>
      <c r="T148" s="28" t="s">
        <v>4271</v>
      </c>
      <c r="U148" s="28" t="s">
        <v>1439</v>
      </c>
      <c r="V148" s="28" t="s">
        <v>1495</v>
      </c>
      <c r="W148" s="28" t="s">
        <v>4272</v>
      </c>
      <c r="X148" s="17">
        <v>1</v>
      </c>
      <c r="AA148" s="30" t="s">
        <v>4271</v>
      </c>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2"/>
      <c r="CJ148" s="26" t="s">
        <v>1378</v>
      </c>
      <c r="CK148" s="26" t="s">
        <v>4271</v>
      </c>
      <c r="CL148" s="26" t="str">
        <f t="shared" si="9"/>
        <v>北海道厚岸町</v>
      </c>
      <c r="CM148" s="26">
        <v>143</v>
      </c>
      <c r="CN148" s="17" t="str">
        <f t="shared" si="8"/>
        <v>0143</v>
      </c>
      <c r="CO148" s="17" t="str">
        <f t="shared" si="10"/>
        <v>143143厚岸町</v>
      </c>
      <c r="CP148" s="17" t="s">
        <v>4273</v>
      </c>
      <c r="CQ148" s="17" t="b">
        <f t="shared" si="11"/>
        <v>1</v>
      </c>
    </row>
    <row r="149" spans="12:95">
      <c r="L149" s="17" t="s">
        <v>4274</v>
      </c>
      <c r="M149" s="17" t="s">
        <v>4275</v>
      </c>
      <c r="N149" s="27" t="s">
        <v>4276</v>
      </c>
      <c r="O149" s="29" t="s">
        <v>1439</v>
      </c>
      <c r="P149" s="29" t="s">
        <v>4277</v>
      </c>
      <c r="Q149" s="29" t="s">
        <v>1439</v>
      </c>
      <c r="R149" s="29" t="s">
        <v>4278</v>
      </c>
      <c r="S149" s="28" t="s">
        <v>1743</v>
      </c>
      <c r="T149" s="28" t="s">
        <v>4279</v>
      </c>
      <c r="U149" s="28" t="s">
        <v>1439</v>
      </c>
      <c r="V149" s="28" t="s">
        <v>1495</v>
      </c>
      <c r="W149" s="28" t="s">
        <v>4280</v>
      </c>
      <c r="X149" s="17">
        <v>1</v>
      </c>
      <c r="AA149" s="35" t="s">
        <v>4279</v>
      </c>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c r="BK149" s="36"/>
      <c r="BL149" s="36"/>
      <c r="BM149" s="36"/>
      <c r="BN149" s="36"/>
      <c r="BO149" s="36"/>
      <c r="BP149" s="36"/>
      <c r="BQ149" s="36"/>
      <c r="BR149" s="36"/>
      <c r="BS149" s="36"/>
      <c r="BT149" s="36"/>
      <c r="BU149" s="37"/>
      <c r="CJ149" s="26" t="s">
        <v>1378</v>
      </c>
      <c r="CK149" s="26" t="s">
        <v>4279</v>
      </c>
      <c r="CL149" s="26" t="str">
        <f t="shared" si="9"/>
        <v>北海道浜中町</v>
      </c>
      <c r="CM149" s="26">
        <v>144</v>
      </c>
      <c r="CN149" s="17" t="str">
        <f t="shared" si="8"/>
        <v>0144</v>
      </c>
      <c r="CO149" s="17" t="str">
        <f t="shared" si="10"/>
        <v>144144浜中町</v>
      </c>
      <c r="CP149" s="17" t="s">
        <v>4281</v>
      </c>
      <c r="CQ149" s="17" t="b">
        <f t="shared" si="11"/>
        <v>1</v>
      </c>
    </row>
    <row r="150" spans="12:95">
      <c r="L150" s="17" t="s">
        <v>4282</v>
      </c>
      <c r="M150" s="17" t="s">
        <v>4283</v>
      </c>
      <c r="N150" s="27" t="s">
        <v>4284</v>
      </c>
      <c r="O150" s="29" t="s">
        <v>1439</v>
      </c>
      <c r="P150" s="29" t="s">
        <v>4285</v>
      </c>
      <c r="Q150" s="29" t="s">
        <v>1439</v>
      </c>
      <c r="R150" s="29" t="s">
        <v>4286</v>
      </c>
      <c r="S150" s="28" t="s">
        <v>1803</v>
      </c>
      <c r="T150" s="28" t="s">
        <v>4287</v>
      </c>
      <c r="U150" s="28" t="s">
        <v>1439</v>
      </c>
      <c r="V150" s="28" t="s">
        <v>1495</v>
      </c>
      <c r="W150" s="28" t="s">
        <v>4288</v>
      </c>
      <c r="X150" s="17">
        <v>1</v>
      </c>
      <c r="AA150" s="30" t="s">
        <v>4287</v>
      </c>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2"/>
      <c r="CJ150" s="26" t="s">
        <v>1378</v>
      </c>
      <c r="CK150" s="26" t="s">
        <v>4287</v>
      </c>
      <c r="CL150" s="26" t="str">
        <f t="shared" si="9"/>
        <v>北海道標茶町</v>
      </c>
      <c r="CM150" s="26">
        <v>145</v>
      </c>
      <c r="CN150" s="17" t="str">
        <f t="shared" si="8"/>
        <v>0145</v>
      </c>
      <c r="CO150" s="17" t="str">
        <f t="shared" si="10"/>
        <v>145145標茶町</v>
      </c>
      <c r="CP150" s="17" t="s">
        <v>4289</v>
      </c>
      <c r="CQ150" s="17" t="b">
        <f t="shared" si="11"/>
        <v>1</v>
      </c>
    </row>
    <row r="151" spans="12:95">
      <c r="L151" s="17" t="s">
        <v>4290</v>
      </c>
      <c r="M151" s="17" t="s">
        <v>4291</v>
      </c>
      <c r="N151" s="27" t="s">
        <v>4292</v>
      </c>
      <c r="O151" s="29" t="s">
        <v>1439</v>
      </c>
      <c r="P151" s="29" t="s">
        <v>4293</v>
      </c>
      <c r="Q151" s="29" t="s">
        <v>1439</v>
      </c>
      <c r="R151" s="29" t="s">
        <v>4294</v>
      </c>
      <c r="S151" s="28" t="s">
        <v>1626</v>
      </c>
      <c r="T151" s="28" t="s">
        <v>4295</v>
      </c>
      <c r="U151" s="28" t="s">
        <v>1439</v>
      </c>
      <c r="V151" s="28" t="s">
        <v>1495</v>
      </c>
      <c r="W151" s="28" t="s">
        <v>4293</v>
      </c>
      <c r="X151" s="17">
        <v>1</v>
      </c>
      <c r="AA151" s="35" t="s">
        <v>4295</v>
      </c>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c r="BK151" s="36"/>
      <c r="BL151" s="36"/>
      <c r="BM151" s="36"/>
      <c r="BN151" s="36"/>
      <c r="BO151" s="36"/>
      <c r="BP151" s="36"/>
      <c r="BQ151" s="36"/>
      <c r="BR151" s="36"/>
      <c r="BS151" s="36"/>
      <c r="BT151" s="36"/>
      <c r="BU151" s="37"/>
      <c r="CJ151" s="26" t="s">
        <v>1378</v>
      </c>
      <c r="CK151" s="26" t="s">
        <v>4295</v>
      </c>
      <c r="CL151" s="26" t="str">
        <f t="shared" si="9"/>
        <v>北海道弟子屈町</v>
      </c>
      <c r="CM151" s="26">
        <v>146</v>
      </c>
      <c r="CN151" s="17" t="str">
        <f t="shared" si="8"/>
        <v>0146</v>
      </c>
      <c r="CO151" s="17" t="str">
        <f t="shared" si="10"/>
        <v>146146弟子屈町</v>
      </c>
      <c r="CP151" s="17" t="s">
        <v>4296</v>
      </c>
      <c r="CQ151" s="17" t="b">
        <f t="shared" si="11"/>
        <v>1</v>
      </c>
    </row>
    <row r="152" spans="12:95">
      <c r="L152" s="17" t="s">
        <v>4297</v>
      </c>
      <c r="M152" s="17" t="s">
        <v>4298</v>
      </c>
      <c r="N152" s="27" t="s">
        <v>4299</v>
      </c>
      <c r="O152" s="29" t="s">
        <v>1439</v>
      </c>
      <c r="P152" s="29" t="s">
        <v>4300</v>
      </c>
      <c r="Q152" s="29" t="s">
        <v>1439</v>
      </c>
      <c r="R152" s="29" t="s">
        <v>4301</v>
      </c>
      <c r="S152" s="28" t="s">
        <v>2525</v>
      </c>
      <c r="T152" s="28" t="s">
        <v>4302</v>
      </c>
      <c r="U152" s="28" t="s">
        <v>1439</v>
      </c>
      <c r="V152" s="28" t="s">
        <v>1495</v>
      </c>
      <c r="W152" s="28" t="s">
        <v>4300</v>
      </c>
      <c r="X152" s="17">
        <v>1</v>
      </c>
      <c r="AA152" s="30" t="s">
        <v>4302</v>
      </c>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2"/>
      <c r="CJ152" s="26" t="s">
        <v>1378</v>
      </c>
      <c r="CK152" s="26" t="s">
        <v>4302</v>
      </c>
      <c r="CL152" s="26" t="str">
        <f t="shared" si="9"/>
        <v>北海道鶴居村</v>
      </c>
      <c r="CM152" s="26">
        <v>147</v>
      </c>
      <c r="CN152" s="17" t="str">
        <f t="shared" si="8"/>
        <v>0147</v>
      </c>
      <c r="CO152" s="17" t="str">
        <f t="shared" si="10"/>
        <v>147147鶴居村</v>
      </c>
      <c r="CP152" s="17" t="s">
        <v>4303</v>
      </c>
      <c r="CQ152" s="17" t="b">
        <f t="shared" si="11"/>
        <v>1</v>
      </c>
    </row>
    <row r="153" spans="12:95">
      <c r="L153" s="17" t="s">
        <v>4304</v>
      </c>
      <c r="M153" s="17" t="s">
        <v>4305</v>
      </c>
      <c r="N153" s="27" t="s">
        <v>4306</v>
      </c>
      <c r="O153" s="29" t="s">
        <v>1439</v>
      </c>
      <c r="P153" s="29" t="s">
        <v>4307</v>
      </c>
      <c r="Q153" s="29" t="s">
        <v>1439</v>
      </c>
      <c r="R153" s="29" t="s">
        <v>4308</v>
      </c>
      <c r="S153" s="28" t="s">
        <v>2311</v>
      </c>
      <c r="T153" s="28" t="s">
        <v>4309</v>
      </c>
      <c r="U153" s="28" t="s">
        <v>1439</v>
      </c>
      <c r="V153" s="28" t="s">
        <v>1495</v>
      </c>
      <c r="W153" s="28" t="s">
        <v>4307</v>
      </c>
      <c r="X153" s="17">
        <v>1</v>
      </c>
      <c r="AA153" s="35" t="s">
        <v>4309</v>
      </c>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c r="BK153" s="36"/>
      <c r="BL153" s="36"/>
      <c r="BM153" s="36"/>
      <c r="BN153" s="36"/>
      <c r="BO153" s="36"/>
      <c r="BP153" s="36"/>
      <c r="BQ153" s="36"/>
      <c r="BR153" s="36"/>
      <c r="BS153" s="36"/>
      <c r="BT153" s="36"/>
      <c r="BU153" s="37"/>
      <c r="CJ153" s="26" t="s">
        <v>1378</v>
      </c>
      <c r="CK153" s="26" t="s">
        <v>4309</v>
      </c>
      <c r="CL153" s="26" t="str">
        <f t="shared" si="9"/>
        <v>北海道白糠町</v>
      </c>
      <c r="CM153" s="26">
        <v>148</v>
      </c>
      <c r="CN153" s="17" t="str">
        <f t="shared" si="8"/>
        <v>0148</v>
      </c>
      <c r="CO153" s="17" t="str">
        <f t="shared" si="10"/>
        <v>148148白糠町</v>
      </c>
      <c r="CP153" s="17" t="s">
        <v>4310</v>
      </c>
      <c r="CQ153" s="17" t="b">
        <f t="shared" si="11"/>
        <v>1</v>
      </c>
    </row>
    <row r="154" spans="12:95">
      <c r="L154" s="17" t="s">
        <v>4311</v>
      </c>
      <c r="M154" s="17" t="s">
        <v>4312</v>
      </c>
      <c r="N154" s="27" t="s">
        <v>4313</v>
      </c>
      <c r="O154" s="29" t="s">
        <v>1439</v>
      </c>
      <c r="P154" s="29" t="s">
        <v>4314</v>
      </c>
      <c r="Q154" s="29" t="s">
        <v>1439</v>
      </c>
      <c r="R154" s="29" t="s">
        <v>4315</v>
      </c>
      <c r="S154" s="28" t="s">
        <v>2525</v>
      </c>
      <c r="T154" s="28" t="s">
        <v>4316</v>
      </c>
      <c r="U154" s="28" t="s">
        <v>1439</v>
      </c>
      <c r="V154" s="28" t="s">
        <v>1495</v>
      </c>
      <c r="W154" s="28" t="s">
        <v>4317</v>
      </c>
      <c r="X154" s="17">
        <v>1</v>
      </c>
      <c r="AA154" s="30" t="s">
        <v>4316</v>
      </c>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2"/>
      <c r="CJ154" s="26" t="s">
        <v>1378</v>
      </c>
      <c r="CK154" s="26" t="s">
        <v>4316</v>
      </c>
      <c r="CL154" s="26" t="str">
        <f t="shared" si="9"/>
        <v>北海道別海町</v>
      </c>
      <c r="CM154" s="26">
        <v>149</v>
      </c>
      <c r="CN154" s="17" t="str">
        <f t="shared" si="8"/>
        <v>0149</v>
      </c>
      <c r="CO154" s="17" t="str">
        <f t="shared" si="10"/>
        <v>149149別海町</v>
      </c>
      <c r="CP154" s="17" t="s">
        <v>4318</v>
      </c>
      <c r="CQ154" s="17" t="b">
        <f t="shared" si="11"/>
        <v>1</v>
      </c>
    </row>
    <row r="155" spans="12:95">
      <c r="L155" s="17" t="s">
        <v>4319</v>
      </c>
      <c r="M155" s="17" t="s">
        <v>4320</v>
      </c>
      <c r="N155" s="27" t="s">
        <v>4321</v>
      </c>
      <c r="O155" s="29" t="s">
        <v>1439</v>
      </c>
      <c r="P155" s="29" t="s">
        <v>4322</v>
      </c>
      <c r="Q155" s="29" t="s">
        <v>1439</v>
      </c>
      <c r="R155" s="29" t="s">
        <v>4323</v>
      </c>
      <c r="S155" s="28" t="s">
        <v>2311</v>
      </c>
      <c r="T155" s="28" t="s">
        <v>4324</v>
      </c>
      <c r="U155" s="28" t="s">
        <v>1439</v>
      </c>
      <c r="V155" s="28" t="s">
        <v>1495</v>
      </c>
      <c r="W155" s="28" t="s">
        <v>4325</v>
      </c>
      <c r="X155" s="17">
        <v>1</v>
      </c>
      <c r="AA155" s="35" t="s">
        <v>4324</v>
      </c>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c r="BK155" s="36"/>
      <c r="BL155" s="36"/>
      <c r="BM155" s="36"/>
      <c r="BN155" s="36"/>
      <c r="BO155" s="36"/>
      <c r="BP155" s="36"/>
      <c r="BQ155" s="36"/>
      <c r="BR155" s="36"/>
      <c r="BS155" s="36"/>
      <c r="BT155" s="36"/>
      <c r="BU155" s="37"/>
      <c r="CJ155" s="26" t="s">
        <v>1378</v>
      </c>
      <c r="CK155" s="26" t="s">
        <v>4324</v>
      </c>
      <c r="CL155" s="26" t="str">
        <f t="shared" si="9"/>
        <v>北海道中標津町</v>
      </c>
      <c r="CM155" s="26">
        <v>150</v>
      </c>
      <c r="CN155" s="17" t="str">
        <f t="shared" si="8"/>
        <v>0150</v>
      </c>
      <c r="CO155" s="17" t="str">
        <f t="shared" si="10"/>
        <v>150150中標津町</v>
      </c>
      <c r="CP155" s="17" t="s">
        <v>4326</v>
      </c>
      <c r="CQ155" s="17" t="b">
        <f t="shared" si="11"/>
        <v>1</v>
      </c>
    </row>
    <row r="156" spans="12:95">
      <c r="L156" s="17" t="s">
        <v>4327</v>
      </c>
      <c r="M156" s="17" t="s">
        <v>4328</v>
      </c>
      <c r="N156" s="27" t="s">
        <v>4329</v>
      </c>
      <c r="O156" s="29" t="s">
        <v>1439</v>
      </c>
      <c r="P156" s="29" t="s">
        <v>4330</v>
      </c>
      <c r="Q156" s="29" t="s">
        <v>1439</v>
      </c>
      <c r="R156" s="29" t="s">
        <v>4331</v>
      </c>
      <c r="S156" s="28" t="s">
        <v>1564</v>
      </c>
      <c r="T156" s="28" t="s">
        <v>4332</v>
      </c>
      <c r="U156" s="28" t="s">
        <v>1439</v>
      </c>
      <c r="V156" s="28" t="s">
        <v>1495</v>
      </c>
      <c r="W156" s="28" t="s">
        <v>4333</v>
      </c>
      <c r="X156" s="17">
        <v>1</v>
      </c>
      <c r="AA156" s="30" t="s">
        <v>4332</v>
      </c>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2"/>
      <c r="CJ156" s="26" t="s">
        <v>1378</v>
      </c>
      <c r="CK156" s="26" t="s">
        <v>4332</v>
      </c>
      <c r="CL156" s="26" t="str">
        <f t="shared" si="9"/>
        <v>北海道標津町</v>
      </c>
      <c r="CM156" s="26">
        <v>151</v>
      </c>
      <c r="CN156" s="17" t="str">
        <f t="shared" si="8"/>
        <v>0151</v>
      </c>
      <c r="CO156" s="17" t="str">
        <f t="shared" si="10"/>
        <v>151151標津町</v>
      </c>
      <c r="CP156" s="17" t="s">
        <v>4334</v>
      </c>
      <c r="CQ156" s="17" t="b">
        <f t="shared" si="11"/>
        <v>1</v>
      </c>
    </row>
    <row r="157" spans="12:95">
      <c r="L157" s="17" t="s">
        <v>4335</v>
      </c>
      <c r="M157" s="17" t="s">
        <v>4336</v>
      </c>
      <c r="N157" s="27" t="s">
        <v>4337</v>
      </c>
      <c r="O157" s="29" t="s">
        <v>1439</v>
      </c>
      <c r="P157" s="29" t="s">
        <v>4338</v>
      </c>
      <c r="Q157" s="29" t="s">
        <v>1439</v>
      </c>
      <c r="R157" s="29" t="s">
        <v>4339</v>
      </c>
      <c r="S157" s="28" t="s">
        <v>1626</v>
      </c>
      <c r="T157" s="28" t="s">
        <v>4340</v>
      </c>
      <c r="U157" s="28" t="s">
        <v>1439</v>
      </c>
      <c r="V157" s="28" t="s">
        <v>1495</v>
      </c>
      <c r="W157" s="28" t="s">
        <v>4341</v>
      </c>
      <c r="X157" s="17">
        <v>1</v>
      </c>
      <c r="AA157" s="35" t="s">
        <v>4340</v>
      </c>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c r="BK157" s="36"/>
      <c r="BL157" s="36"/>
      <c r="BM157" s="36"/>
      <c r="BN157" s="36"/>
      <c r="BO157" s="36"/>
      <c r="BP157" s="36"/>
      <c r="BQ157" s="36"/>
      <c r="BR157" s="36"/>
      <c r="BS157" s="36"/>
      <c r="BT157" s="36"/>
      <c r="BU157" s="37"/>
      <c r="CJ157" s="26" t="s">
        <v>1378</v>
      </c>
      <c r="CK157" s="26" t="s">
        <v>4340</v>
      </c>
      <c r="CL157" s="26" t="str">
        <f t="shared" si="9"/>
        <v>北海道羅臼町</v>
      </c>
      <c r="CM157" s="26">
        <v>152</v>
      </c>
      <c r="CN157" s="17" t="str">
        <f t="shared" si="8"/>
        <v>0152</v>
      </c>
      <c r="CO157" s="17" t="str">
        <f t="shared" si="10"/>
        <v>152152羅臼町</v>
      </c>
      <c r="CP157" s="17" t="s">
        <v>4342</v>
      </c>
      <c r="CQ157" s="17" t="b">
        <f t="shared" si="11"/>
        <v>1</v>
      </c>
    </row>
    <row r="158" spans="12:95">
      <c r="L158" s="17" t="s">
        <v>4343</v>
      </c>
      <c r="M158" s="17" t="s">
        <v>4344</v>
      </c>
      <c r="N158" s="27" t="s">
        <v>4345</v>
      </c>
      <c r="O158" s="29" t="s">
        <v>1439</v>
      </c>
      <c r="P158" s="29" t="s">
        <v>4346</v>
      </c>
      <c r="Q158" s="29" t="s">
        <v>1439</v>
      </c>
      <c r="R158" s="29" t="s">
        <v>4347</v>
      </c>
      <c r="S158" s="28" t="s">
        <v>1862</v>
      </c>
      <c r="T158" s="28" t="s">
        <v>4348</v>
      </c>
      <c r="U158" s="28" t="s">
        <v>1439</v>
      </c>
      <c r="V158" s="28" t="s">
        <v>1495</v>
      </c>
      <c r="W158" s="28" t="s">
        <v>4349</v>
      </c>
      <c r="X158" s="17">
        <v>1</v>
      </c>
      <c r="AA158" s="30" t="s">
        <v>4348</v>
      </c>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2"/>
      <c r="CJ158" s="26" t="s">
        <v>1378</v>
      </c>
      <c r="CK158" s="26" t="s">
        <v>4348</v>
      </c>
      <c r="CL158" s="26" t="str">
        <f t="shared" si="9"/>
        <v>北海道日高中部広域連合</v>
      </c>
      <c r="CM158" s="26">
        <v>153</v>
      </c>
      <c r="CN158" s="17" t="str">
        <f t="shared" si="8"/>
        <v>0153</v>
      </c>
      <c r="CO158" s="17" t="str">
        <f t="shared" si="10"/>
        <v>153153日高中部広域連合</v>
      </c>
      <c r="CP158" s="17" t="s">
        <v>4350</v>
      </c>
      <c r="CQ158" s="17" t="b">
        <f t="shared" si="11"/>
        <v>1</v>
      </c>
    </row>
    <row r="159" spans="12:95">
      <c r="L159" s="17" t="s">
        <v>4351</v>
      </c>
      <c r="M159" s="17" t="s">
        <v>4352</v>
      </c>
      <c r="N159" s="27" t="s">
        <v>4353</v>
      </c>
      <c r="O159" s="29" t="s">
        <v>1439</v>
      </c>
      <c r="P159" s="29" t="s">
        <v>4354</v>
      </c>
      <c r="Q159" s="29" t="s">
        <v>1439</v>
      </c>
      <c r="R159" s="29" t="s">
        <v>4355</v>
      </c>
      <c r="S159" s="28" t="s">
        <v>1920</v>
      </c>
      <c r="T159" s="28" t="s">
        <v>4356</v>
      </c>
      <c r="U159" s="28" t="s">
        <v>1439</v>
      </c>
      <c r="V159" s="28" t="s">
        <v>1495</v>
      </c>
      <c r="W159" s="28" t="s">
        <v>4357</v>
      </c>
      <c r="X159" s="17">
        <v>2</v>
      </c>
      <c r="AA159" s="35" t="s">
        <v>4356</v>
      </c>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c r="BD159" s="36"/>
      <c r="BE159" s="36"/>
      <c r="BF159" s="36"/>
      <c r="BG159" s="36"/>
      <c r="BH159" s="36"/>
      <c r="BI159" s="36"/>
      <c r="BJ159" s="36"/>
      <c r="BK159" s="36"/>
      <c r="BL159" s="36"/>
      <c r="BM159" s="36"/>
      <c r="BN159" s="36"/>
      <c r="BO159" s="36"/>
      <c r="BP159" s="36"/>
      <c r="BQ159" s="36"/>
      <c r="BR159" s="36"/>
      <c r="BS159" s="36"/>
      <c r="BT159" s="36"/>
      <c r="BU159" s="37"/>
      <c r="CJ159" s="26" t="s">
        <v>1378</v>
      </c>
      <c r="CK159" s="26" t="s">
        <v>4358</v>
      </c>
      <c r="CL159" s="26" t="str">
        <f t="shared" si="9"/>
        <v>北海道空知中部広域連合</v>
      </c>
      <c r="CM159" s="26">
        <v>154</v>
      </c>
      <c r="CN159" s="17" t="str">
        <f t="shared" si="8"/>
        <v>0156</v>
      </c>
      <c r="CO159" s="17" t="str">
        <f t="shared" si="10"/>
        <v>154156空知中部広域連合</v>
      </c>
      <c r="CP159" s="17" t="s">
        <v>4359</v>
      </c>
      <c r="CQ159" s="17" t="b">
        <f t="shared" si="11"/>
        <v>1</v>
      </c>
    </row>
    <row r="160" spans="12:95">
      <c r="L160" s="17" t="s">
        <v>4360</v>
      </c>
      <c r="M160" s="17" t="s">
        <v>4361</v>
      </c>
      <c r="N160" s="27" t="s">
        <v>4362</v>
      </c>
      <c r="O160" s="29" t="s">
        <v>1439</v>
      </c>
      <c r="P160" s="29" t="s">
        <v>4363</v>
      </c>
      <c r="Q160" s="29" t="s">
        <v>1439</v>
      </c>
      <c r="R160" s="29" t="s">
        <v>4364</v>
      </c>
      <c r="S160" s="28" t="s">
        <v>2525</v>
      </c>
      <c r="T160" s="28" t="s">
        <v>4365</v>
      </c>
      <c r="U160" s="28" t="s">
        <v>1439</v>
      </c>
      <c r="V160" s="28" t="s">
        <v>1495</v>
      </c>
      <c r="W160" s="28" t="s">
        <v>4366</v>
      </c>
      <c r="X160" s="17">
        <v>3</v>
      </c>
      <c r="AA160" s="30" t="s">
        <v>4365</v>
      </c>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2"/>
      <c r="CJ160" s="26" t="s">
        <v>1378</v>
      </c>
      <c r="CK160" s="26" t="s">
        <v>4367</v>
      </c>
      <c r="CL160" s="26" t="str">
        <f t="shared" si="9"/>
        <v>北海道後志広域連合</v>
      </c>
      <c r="CM160" s="26">
        <v>155</v>
      </c>
      <c r="CN160" s="17" t="str">
        <f t="shared" si="8"/>
        <v>0163</v>
      </c>
      <c r="CO160" s="17" t="str">
        <f t="shared" si="10"/>
        <v>155163後志広域連合</v>
      </c>
      <c r="CP160" s="17" t="s">
        <v>4368</v>
      </c>
      <c r="CQ160" s="17" t="b">
        <f t="shared" si="11"/>
        <v>1</v>
      </c>
    </row>
    <row r="161" spans="12:95">
      <c r="L161" s="17" t="s">
        <v>4369</v>
      </c>
      <c r="M161" s="17" t="s">
        <v>4370</v>
      </c>
      <c r="N161" s="27" t="s">
        <v>4371</v>
      </c>
      <c r="O161" s="29" t="s">
        <v>1439</v>
      </c>
      <c r="P161" s="29" t="s">
        <v>4372</v>
      </c>
      <c r="Q161" s="29" t="s">
        <v>1439</v>
      </c>
      <c r="R161" s="29" t="s">
        <v>4373</v>
      </c>
      <c r="S161" s="28" t="s">
        <v>1502</v>
      </c>
      <c r="T161" s="28" t="s">
        <v>4358</v>
      </c>
      <c r="U161" s="28" t="s">
        <v>1439</v>
      </c>
      <c r="V161" s="28" t="s">
        <v>1495</v>
      </c>
      <c r="W161" s="28" t="s">
        <v>4374</v>
      </c>
      <c r="X161" s="17">
        <v>1</v>
      </c>
      <c r="AA161" s="35" t="s">
        <v>4358</v>
      </c>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c r="BK161" s="36"/>
      <c r="BL161" s="36"/>
      <c r="BM161" s="36"/>
      <c r="BN161" s="36"/>
      <c r="BO161" s="36"/>
      <c r="BP161" s="36"/>
      <c r="BQ161" s="36"/>
      <c r="BR161" s="36"/>
      <c r="BS161" s="36"/>
      <c r="BT161" s="36"/>
      <c r="BU161" s="37"/>
      <c r="CJ161" s="26" t="s">
        <v>1378</v>
      </c>
      <c r="CK161" s="26" t="s">
        <v>4375</v>
      </c>
      <c r="CL161" s="26" t="str">
        <f t="shared" si="9"/>
        <v>北海道大雪地区広域連合</v>
      </c>
      <c r="CM161" s="26">
        <v>156</v>
      </c>
      <c r="CN161" s="17" t="str">
        <f t="shared" si="8"/>
        <v>0180</v>
      </c>
      <c r="CO161" s="17" t="str">
        <f t="shared" si="10"/>
        <v>156180大雪地区広域連合</v>
      </c>
      <c r="CP161" s="17" t="s">
        <v>4376</v>
      </c>
      <c r="CQ161" s="17" t="b">
        <f t="shared" si="11"/>
        <v>1</v>
      </c>
    </row>
    <row r="162" spans="12:95">
      <c r="L162" s="17" t="s">
        <v>4377</v>
      </c>
      <c r="M162" s="17" t="s">
        <v>4378</v>
      </c>
      <c r="N162" s="27" t="s">
        <v>4379</v>
      </c>
      <c r="O162" s="29" t="s">
        <v>1439</v>
      </c>
      <c r="P162" s="29" t="s">
        <v>4380</v>
      </c>
      <c r="Q162" s="29" t="s">
        <v>1439</v>
      </c>
      <c r="R162" s="29" t="s">
        <v>4381</v>
      </c>
      <c r="S162" s="28" t="s">
        <v>1920</v>
      </c>
      <c r="T162" s="28" t="s">
        <v>4382</v>
      </c>
      <c r="U162" s="28" t="s">
        <v>1439</v>
      </c>
      <c r="V162" s="28" t="s">
        <v>1495</v>
      </c>
      <c r="W162" s="28" t="s">
        <v>4383</v>
      </c>
      <c r="X162" s="17">
        <v>2</v>
      </c>
      <c r="AA162" s="44" t="s">
        <v>4382</v>
      </c>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CJ162" s="26" t="s">
        <v>1379</v>
      </c>
      <c r="CK162" s="26" t="s">
        <v>1505</v>
      </c>
      <c r="CL162" s="26" t="str">
        <f t="shared" si="9"/>
        <v>青森県青森市</v>
      </c>
      <c r="CM162" s="26">
        <v>157</v>
      </c>
      <c r="CN162" s="17" t="str">
        <f t="shared" si="8"/>
        <v>0184</v>
      </c>
      <c r="CO162" s="17" t="str">
        <f t="shared" si="10"/>
        <v>157184青森市</v>
      </c>
      <c r="CP162" s="17" t="s">
        <v>4384</v>
      </c>
      <c r="CQ162" s="17" t="b">
        <f t="shared" si="11"/>
        <v>1</v>
      </c>
    </row>
    <row r="163" spans="12:95">
      <c r="L163" s="17" t="s">
        <v>4385</v>
      </c>
      <c r="M163" s="17" t="s">
        <v>4386</v>
      </c>
      <c r="N163" s="27" t="s">
        <v>4387</v>
      </c>
      <c r="O163" s="29" t="s">
        <v>1439</v>
      </c>
      <c r="P163" s="29" t="s">
        <v>4388</v>
      </c>
      <c r="Q163" s="29" t="s">
        <v>1439</v>
      </c>
      <c r="R163" s="29" t="s">
        <v>4389</v>
      </c>
      <c r="S163" s="28" t="s">
        <v>1564</v>
      </c>
      <c r="T163" s="28" t="s">
        <v>4390</v>
      </c>
      <c r="U163" s="28" t="s">
        <v>1439</v>
      </c>
      <c r="V163" s="28" t="s">
        <v>1495</v>
      </c>
      <c r="W163" s="28" t="s">
        <v>4391</v>
      </c>
      <c r="X163" s="17">
        <v>3</v>
      </c>
      <c r="AA163" s="45" t="s">
        <v>4390</v>
      </c>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c r="BA163" s="46"/>
      <c r="BB163" s="46"/>
      <c r="BC163" s="46"/>
      <c r="BD163" s="46"/>
      <c r="BE163" s="46"/>
      <c r="BF163" s="46"/>
      <c r="BG163" s="46"/>
      <c r="BH163" s="46"/>
      <c r="BI163" s="46"/>
      <c r="BJ163" s="46"/>
      <c r="BK163" s="46"/>
      <c r="BL163" s="46"/>
      <c r="BM163" s="46"/>
      <c r="BN163" s="46"/>
      <c r="BO163" s="46"/>
      <c r="BP163" s="46"/>
      <c r="BQ163" s="46"/>
      <c r="BR163" s="46"/>
      <c r="BS163" s="46"/>
      <c r="BT163" s="46"/>
      <c r="BU163" s="46"/>
      <c r="CJ163" s="26" t="s">
        <v>1379</v>
      </c>
      <c r="CK163" s="26" t="s">
        <v>1567</v>
      </c>
      <c r="CL163" s="26" t="str">
        <f t="shared" si="9"/>
        <v>青森県弘前市</v>
      </c>
      <c r="CM163" s="26">
        <v>158</v>
      </c>
      <c r="CN163" s="17" t="str">
        <f t="shared" si="8"/>
        <v>0185</v>
      </c>
      <c r="CO163" s="17" t="str">
        <f t="shared" si="10"/>
        <v>158185弘前市</v>
      </c>
      <c r="CP163" s="17" t="s">
        <v>4392</v>
      </c>
      <c r="CQ163" s="17" t="b">
        <f t="shared" si="11"/>
        <v>1</v>
      </c>
    </row>
    <row r="164" spans="12:95">
      <c r="L164" s="17" t="s">
        <v>4393</v>
      </c>
      <c r="M164" s="17" t="s">
        <v>4394</v>
      </c>
      <c r="N164" s="27" t="s">
        <v>4395</v>
      </c>
      <c r="O164" s="29" t="s">
        <v>1439</v>
      </c>
      <c r="P164" s="29" t="s">
        <v>4396</v>
      </c>
      <c r="Q164" s="29" t="s">
        <v>1439</v>
      </c>
      <c r="R164" s="29" t="s">
        <v>4397</v>
      </c>
      <c r="S164" s="28" t="s">
        <v>1920</v>
      </c>
      <c r="T164" s="28" t="s">
        <v>4398</v>
      </c>
      <c r="U164" s="28" t="s">
        <v>1439</v>
      </c>
      <c r="V164" s="28" t="s">
        <v>1495</v>
      </c>
      <c r="W164" s="28" t="s">
        <v>4399</v>
      </c>
      <c r="X164" s="17">
        <v>4</v>
      </c>
      <c r="AA164" s="47" t="s">
        <v>4398</v>
      </c>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8"/>
      <c r="BK164" s="48"/>
      <c r="BL164" s="48"/>
      <c r="BM164" s="48"/>
      <c r="BN164" s="48"/>
      <c r="BO164" s="48"/>
      <c r="BP164" s="48"/>
      <c r="BQ164" s="48"/>
      <c r="BR164" s="48"/>
      <c r="BS164" s="48"/>
      <c r="BT164" s="48"/>
      <c r="BU164" s="48"/>
      <c r="CJ164" s="26" t="s">
        <v>1379</v>
      </c>
      <c r="CK164" s="26" t="s">
        <v>1629</v>
      </c>
      <c r="CL164" s="26" t="str">
        <f t="shared" si="9"/>
        <v>青森県八戸市</v>
      </c>
      <c r="CM164" s="26">
        <v>159</v>
      </c>
      <c r="CN164" s="17" t="str">
        <f t="shared" si="8"/>
        <v>0186</v>
      </c>
      <c r="CO164" s="17" t="str">
        <f t="shared" si="10"/>
        <v>159186八戸市</v>
      </c>
      <c r="CP164" s="17" t="s">
        <v>4400</v>
      </c>
      <c r="CQ164" s="17" t="b">
        <f t="shared" si="11"/>
        <v>1</v>
      </c>
    </row>
    <row r="165" spans="12:95">
      <c r="L165" s="17" t="s">
        <v>4401</v>
      </c>
      <c r="M165" s="17" t="s">
        <v>4402</v>
      </c>
      <c r="N165" s="27" t="s">
        <v>4403</v>
      </c>
      <c r="O165" s="29" t="s">
        <v>1439</v>
      </c>
      <c r="P165" s="29" t="s">
        <v>4404</v>
      </c>
      <c r="Q165" s="29" t="s">
        <v>1439</v>
      </c>
      <c r="R165" s="29" t="s">
        <v>4405</v>
      </c>
      <c r="S165" s="28" t="s">
        <v>1977</v>
      </c>
      <c r="T165" s="28" t="s">
        <v>4406</v>
      </c>
      <c r="U165" s="28" t="s">
        <v>1439</v>
      </c>
      <c r="V165" s="28" t="s">
        <v>1495</v>
      </c>
      <c r="W165" s="28" t="s">
        <v>4407</v>
      </c>
      <c r="X165" s="17">
        <v>5</v>
      </c>
      <c r="AA165" s="45" t="s">
        <v>4406</v>
      </c>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c r="BD165" s="46"/>
      <c r="BE165" s="46"/>
      <c r="BF165" s="46"/>
      <c r="BG165" s="46"/>
      <c r="BH165" s="46"/>
      <c r="BI165" s="46"/>
      <c r="BJ165" s="46"/>
      <c r="BK165" s="46"/>
      <c r="BL165" s="46"/>
      <c r="BM165" s="46"/>
      <c r="BN165" s="46"/>
      <c r="BO165" s="46"/>
      <c r="BP165" s="46"/>
      <c r="BQ165" s="46"/>
      <c r="BR165" s="46"/>
      <c r="BS165" s="46"/>
      <c r="BT165" s="46"/>
      <c r="BU165" s="46"/>
      <c r="CJ165" s="26" t="s">
        <v>1379</v>
      </c>
      <c r="CK165" s="26" t="s">
        <v>1687</v>
      </c>
      <c r="CL165" s="26" t="str">
        <f t="shared" si="9"/>
        <v>青森県黒石市</v>
      </c>
      <c r="CM165" s="26">
        <v>160</v>
      </c>
      <c r="CN165" s="17" t="str">
        <f t="shared" si="8"/>
        <v>0187</v>
      </c>
      <c r="CO165" s="17" t="str">
        <f t="shared" si="10"/>
        <v>160187黒石市</v>
      </c>
      <c r="CP165" s="17" t="s">
        <v>4408</v>
      </c>
      <c r="CQ165" s="17" t="b">
        <f t="shared" si="11"/>
        <v>1</v>
      </c>
    </row>
    <row r="166" spans="12:95">
      <c r="L166" s="17" t="s">
        <v>4409</v>
      </c>
      <c r="M166" s="17" t="s">
        <v>4410</v>
      </c>
      <c r="N166" s="27" t="s">
        <v>4411</v>
      </c>
      <c r="O166" s="29" t="s">
        <v>1439</v>
      </c>
      <c r="P166" s="29" t="s">
        <v>4412</v>
      </c>
      <c r="Q166" s="29" t="s">
        <v>1439</v>
      </c>
      <c r="R166" s="29" t="s">
        <v>4413</v>
      </c>
      <c r="S166" s="28" t="s">
        <v>1743</v>
      </c>
      <c r="T166" s="28" t="s">
        <v>4414</v>
      </c>
      <c r="U166" s="28" t="s">
        <v>1439</v>
      </c>
      <c r="V166" s="28" t="s">
        <v>1495</v>
      </c>
      <c r="W166" s="28" t="s">
        <v>4415</v>
      </c>
      <c r="X166" s="17">
        <v>6</v>
      </c>
      <c r="AA166" s="47" t="s">
        <v>4414</v>
      </c>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48"/>
      <c r="BJ166" s="48"/>
      <c r="BK166" s="48"/>
      <c r="BL166" s="48"/>
      <c r="BM166" s="48"/>
      <c r="BN166" s="48"/>
      <c r="BO166" s="48"/>
      <c r="BP166" s="48"/>
      <c r="BQ166" s="48"/>
      <c r="BR166" s="48"/>
      <c r="BS166" s="48"/>
      <c r="BT166" s="48"/>
      <c r="BU166" s="48"/>
      <c r="CJ166" s="26" t="s">
        <v>1379</v>
      </c>
      <c r="CK166" s="26" t="s">
        <v>1746</v>
      </c>
      <c r="CL166" s="26" t="str">
        <f t="shared" si="9"/>
        <v>青森県五所川原市</v>
      </c>
      <c r="CM166" s="26">
        <v>161</v>
      </c>
      <c r="CN166" s="17" t="str">
        <f t="shared" si="8"/>
        <v>0188</v>
      </c>
      <c r="CO166" s="17" t="str">
        <f t="shared" si="10"/>
        <v>161188五所川原市</v>
      </c>
      <c r="CP166" s="17" t="s">
        <v>4416</v>
      </c>
      <c r="CQ166" s="17" t="b">
        <f t="shared" si="11"/>
        <v>1</v>
      </c>
    </row>
    <row r="167" spans="12:95">
      <c r="L167" s="17" t="s">
        <v>4417</v>
      </c>
      <c r="M167" s="17" t="s">
        <v>4418</v>
      </c>
      <c r="N167" s="27" t="s">
        <v>4419</v>
      </c>
      <c r="O167" s="29" t="s">
        <v>1439</v>
      </c>
      <c r="P167" s="29" t="s">
        <v>4420</v>
      </c>
      <c r="Q167" s="29" t="s">
        <v>1439</v>
      </c>
      <c r="R167" s="29" t="s">
        <v>4421</v>
      </c>
      <c r="S167" s="28" t="s">
        <v>2525</v>
      </c>
      <c r="T167" s="28" t="s">
        <v>4422</v>
      </c>
      <c r="U167" s="28" t="s">
        <v>1439</v>
      </c>
      <c r="V167" s="28" t="s">
        <v>1495</v>
      </c>
      <c r="W167" s="28" t="s">
        <v>4423</v>
      </c>
      <c r="X167" s="17">
        <v>7</v>
      </c>
      <c r="AA167" s="45" t="s">
        <v>4422</v>
      </c>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46"/>
      <c r="BF167" s="46"/>
      <c r="BG167" s="46"/>
      <c r="BH167" s="46"/>
      <c r="BI167" s="46"/>
      <c r="BJ167" s="46"/>
      <c r="BK167" s="46"/>
      <c r="BL167" s="46"/>
      <c r="BM167" s="46"/>
      <c r="BN167" s="46"/>
      <c r="BO167" s="46"/>
      <c r="BP167" s="46"/>
      <c r="BQ167" s="46"/>
      <c r="BR167" s="46"/>
      <c r="BS167" s="46"/>
      <c r="BT167" s="46"/>
      <c r="BU167" s="46"/>
      <c r="CJ167" s="26" t="s">
        <v>1379</v>
      </c>
      <c r="CK167" s="26" t="s">
        <v>1806</v>
      </c>
      <c r="CL167" s="26" t="str">
        <f t="shared" si="9"/>
        <v>青森県十和田市</v>
      </c>
      <c r="CM167" s="26">
        <v>162</v>
      </c>
      <c r="CN167" s="17" t="str">
        <f t="shared" si="8"/>
        <v>0189</v>
      </c>
      <c r="CO167" s="17" t="str">
        <f t="shared" si="10"/>
        <v>162189十和田市</v>
      </c>
      <c r="CP167" s="17" t="s">
        <v>4424</v>
      </c>
      <c r="CQ167" s="17" t="b">
        <f t="shared" si="11"/>
        <v>1</v>
      </c>
    </row>
    <row r="168" spans="12:95">
      <c r="L168" s="17" t="s">
        <v>4425</v>
      </c>
      <c r="M168" s="17" t="s">
        <v>4426</v>
      </c>
      <c r="N168" s="27" t="s">
        <v>4427</v>
      </c>
      <c r="O168" s="29" t="s">
        <v>1439</v>
      </c>
      <c r="P168" s="29" t="s">
        <v>4428</v>
      </c>
      <c r="Q168" s="29" t="s">
        <v>1439</v>
      </c>
      <c r="R168" s="29" t="s">
        <v>4429</v>
      </c>
      <c r="S168" s="28" t="s">
        <v>1862</v>
      </c>
      <c r="T168" s="28" t="s">
        <v>4367</v>
      </c>
      <c r="U168" s="28" t="s">
        <v>1439</v>
      </c>
      <c r="V168" s="28" t="s">
        <v>1495</v>
      </c>
      <c r="W168" s="28" t="s">
        <v>4430</v>
      </c>
      <c r="X168" s="17">
        <v>1</v>
      </c>
      <c r="AA168" s="47" t="s">
        <v>4367</v>
      </c>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c r="BM168" s="48"/>
      <c r="BN168" s="48"/>
      <c r="BO168" s="48"/>
      <c r="BP168" s="48"/>
      <c r="BQ168" s="48"/>
      <c r="BR168" s="48"/>
      <c r="BS168" s="48"/>
      <c r="BT168" s="48"/>
      <c r="BU168" s="48"/>
      <c r="CJ168" s="26" t="s">
        <v>1379</v>
      </c>
      <c r="CK168" s="26" t="s">
        <v>1865</v>
      </c>
      <c r="CL168" s="26" t="str">
        <f t="shared" si="9"/>
        <v>青森県三沢市</v>
      </c>
      <c r="CM168" s="26">
        <v>163</v>
      </c>
      <c r="CN168" s="17" t="str">
        <f t="shared" si="8"/>
        <v>0190</v>
      </c>
      <c r="CO168" s="17" t="str">
        <f t="shared" si="10"/>
        <v>163190三沢市</v>
      </c>
      <c r="CP168" s="17" t="s">
        <v>4431</v>
      </c>
      <c r="CQ168" s="17" t="b">
        <f t="shared" si="11"/>
        <v>1</v>
      </c>
    </row>
    <row r="169" spans="12:95">
      <c r="L169" s="17" t="s">
        <v>4432</v>
      </c>
      <c r="M169" s="17" t="s">
        <v>4433</v>
      </c>
      <c r="N169" s="27" t="s">
        <v>4434</v>
      </c>
      <c r="O169" s="29" t="s">
        <v>1439</v>
      </c>
      <c r="P169" s="29" t="s">
        <v>4435</v>
      </c>
      <c r="Q169" s="29" t="s">
        <v>1439</v>
      </c>
      <c r="R169" s="29" t="s">
        <v>4436</v>
      </c>
      <c r="S169" s="28" t="s">
        <v>1803</v>
      </c>
      <c r="T169" s="28" t="s">
        <v>4437</v>
      </c>
      <c r="U169" s="28" t="s">
        <v>1439</v>
      </c>
      <c r="V169" s="28" t="s">
        <v>1495</v>
      </c>
      <c r="W169" s="28" t="s">
        <v>4438</v>
      </c>
      <c r="X169" s="17">
        <v>2</v>
      </c>
      <c r="AA169" s="45" t="s">
        <v>4437</v>
      </c>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c r="BF169" s="46"/>
      <c r="BG169" s="46"/>
      <c r="BH169" s="46"/>
      <c r="BI169" s="46"/>
      <c r="BJ169" s="46"/>
      <c r="BK169" s="46"/>
      <c r="BL169" s="46"/>
      <c r="BM169" s="46"/>
      <c r="BN169" s="46"/>
      <c r="BO169" s="46"/>
      <c r="BP169" s="46"/>
      <c r="BQ169" s="46"/>
      <c r="BR169" s="46"/>
      <c r="BS169" s="46"/>
      <c r="BT169" s="46"/>
      <c r="BU169" s="46"/>
      <c r="CJ169" s="26" t="s">
        <v>1379</v>
      </c>
      <c r="CK169" s="26" t="s">
        <v>1923</v>
      </c>
      <c r="CL169" s="26" t="str">
        <f t="shared" si="9"/>
        <v>青森県むつ市</v>
      </c>
      <c r="CM169" s="26">
        <v>164</v>
      </c>
      <c r="CN169" s="17" t="str">
        <f t="shared" si="8"/>
        <v>0191</v>
      </c>
      <c r="CO169" s="17" t="str">
        <f t="shared" si="10"/>
        <v>164191むつ市</v>
      </c>
      <c r="CP169" s="17" t="s">
        <v>4439</v>
      </c>
      <c r="CQ169" s="17" t="b">
        <f t="shared" si="11"/>
        <v>1</v>
      </c>
    </row>
    <row r="170" spans="12:95">
      <c r="L170" s="17" t="s">
        <v>4440</v>
      </c>
      <c r="M170" s="17" t="s">
        <v>4441</v>
      </c>
      <c r="N170" s="27" t="s">
        <v>4442</v>
      </c>
      <c r="O170" s="29" t="s">
        <v>1439</v>
      </c>
      <c r="P170" s="29" t="s">
        <v>4443</v>
      </c>
      <c r="Q170" s="29" t="s">
        <v>1439</v>
      </c>
      <c r="R170" s="29" t="s">
        <v>4444</v>
      </c>
      <c r="S170" s="28" t="s">
        <v>1920</v>
      </c>
      <c r="T170" s="28" t="s">
        <v>4445</v>
      </c>
      <c r="U170" s="28" t="s">
        <v>1439</v>
      </c>
      <c r="V170" s="28" t="s">
        <v>1495</v>
      </c>
      <c r="W170" s="28" t="s">
        <v>4446</v>
      </c>
      <c r="X170" s="17">
        <v>3</v>
      </c>
      <c r="AA170" s="47" t="s">
        <v>4445</v>
      </c>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c r="BI170" s="48"/>
      <c r="BJ170" s="48"/>
      <c r="BK170" s="48"/>
      <c r="BL170" s="48"/>
      <c r="BM170" s="48"/>
      <c r="BN170" s="48"/>
      <c r="BO170" s="48"/>
      <c r="BP170" s="48"/>
      <c r="BQ170" s="48"/>
      <c r="BR170" s="48"/>
      <c r="BS170" s="48"/>
      <c r="BT170" s="48"/>
      <c r="BU170" s="48"/>
      <c r="CJ170" s="26" t="s">
        <v>1379</v>
      </c>
      <c r="CK170" s="26" t="s">
        <v>1980</v>
      </c>
      <c r="CL170" s="26" t="str">
        <f t="shared" si="9"/>
        <v>青森県つがる市</v>
      </c>
      <c r="CM170" s="26">
        <v>165</v>
      </c>
      <c r="CN170" s="17" t="str">
        <f t="shared" si="8"/>
        <v>0192</v>
      </c>
      <c r="CO170" s="17" t="str">
        <f t="shared" si="10"/>
        <v>165192つがる市</v>
      </c>
      <c r="CP170" s="17" t="s">
        <v>4447</v>
      </c>
      <c r="CQ170" s="17" t="b">
        <f t="shared" si="11"/>
        <v>1</v>
      </c>
    </row>
    <row r="171" spans="12:95">
      <c r="L171" s="17" t="s">
        <v>4448</v>
      </c>
      <c r="M171" s="17" t="s">
        <v>4449</v>
      </c>
      <c r="N171" s="27" t="s">
        <v>4450</v>
      </c>
      <c r="O171" s="29" t="s">
        <v>1439</v>
      </c>
      <c r="P171" s="29" t="s">
        <v>4451</v>
      </c>
      <c r="Q171" s="29" t="s">
        <v>1439</v>
      </c>
      <c r="R171" s="29" t="s">
        <v>4452</v>
      </c>
      <c r="S171" s="28" t="s">
        <v>1977</v>
      </c>
      <c r="T171" s="28" t="s">
        <v>4453</v>
      </c>
      <c r="U171" s="28" t="s">
        <v>1439</v>
      </c>
      <c r="V171" s="28" t="s">
        <v>1495</v>
      </c>
      <c r="W171" s="28" t="s">
        <v>4454</v>
      </c>
      <c r="X171" s="17">
        <v>4</v>
      </c>
      <c r="AA171" s="45" t="s">
        <v>4453</v>
      </c>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46"/>
      <c r="BH171" s="46"/>
      <c r="BI171" s="46"/>
      <c r="BJ171" s="46"/>
      <c r="BK171" s="46"/>
      <c r="BL171" s="46"/>
      <c r="BM171" s="46"/>
      <c r="BN171" s="46"/>
      <c r="BO171" s="46"/>
      <c r="BP171" s="46"/>
      <c r="BQ171" s="46"/>
      <c r="BR171" s="46"/>
      <c r="BS171" s="46"/>
      <c r="BT171" s="46"/>
      <c r="BU171" s="46"/>
      <c r="CJ171" s="26" t="s">
        <v>1379</v>
      </c>
      <c r="CK171" s="26" t="s">
        <v>2036</v>
      </c>
      <c r="CL171" s="26" t="str">
        <f t="shared" si="9"/>
        <v>青森県平川市</v>
      </c>
      <c r="CM171" s="26">
        <v>166</v>
      </c>
      <c r="CN171" s="17" t="str">
        <f t="shared" si="8"/>
        <v>0193</v>
      </c>
      <c r="CO171" s="17" t="str">
        <f t="shared" si="10"/>
        <v>166193平川市</v>
      </c>
      <c r="CP171" s="17" t="s">
        <v>4455</v>
      </c>
      <c r="CQ171" s="17" t="b">
        <f t="shared" si="11"/>
        <v>1</v>
      </c>
    </row>
    <row r="172" spans="12:95">
      <c r="L172" s="17" t="s">
        <v>4456</v>
      </c>
      <c r="M172" s="17" t="s">
        <v>4457</v>
      </c>
      <c r="N172" s="27" t="s">
        <v>4458</v>
      </c>
      <c r="O172" s="29" t="s">
        <v>1439</v>
      </c>
      <c r="P172" s="29" t="s">
        <v>4459</v>
      </c>
      <c r="Q172" s="29" t="s">
        <v>1439</v>
      </c>
      <c r="R172" s="29" t="s">
        <v>4460</v>
      </c>
      <c r="S172" s="28" t="s">
        <v>2311</v>
      </c>
      <c r="T172" s="28" t="s">
        <v>4461</v>
      </c>
      <c r="U172" s="28" t="s">
        <v>1439</v>
      </c>
      <c r="V172" s="28" t="s">
        <v>1495</v>
      </c>
      <c r="W172" s="28" t="s">
        <v>4462</v>
      </c>
      <c r="X172" s="17">
        <v>5</v>
      </c>
      <c r="AA172" s="47" t="s">
        <v>4461</v>
      </c>
      <c r="AB172" s="48"/>
      <c r="AC172" s="48"/>
      <c r="AD172" s="48"/>
      <c r="AE172" s="48"/>
      <c r="AF172" s="48"/>
      <c r="AG172" s="48"/>
      <c r="AH172" s="48"/>
      <c r="AI172" s="48"/>
      <c r="AJ172" s="48"/>
      <c r="AK172" s="48"/>
      <c r="AL172" s="48"/>
      <c r="AM172" s="48"/>
      <c r="AN172" s="48"/>
      <c r="AO172" s="48"/>
      <c r="AP172" s="48"/>
      <c r="AQ172" s="48"/>
      <c r="AR172" s="48"/>
      <c r="AS172" s="48"/>
      <c r="AT172" s="48"/>
      <c r="AU172" s="48"/>
      <c r="AV172" s="48"/>
      <c r="AW172" s="48"/>
      <c r="AX172" s="48"/>
      <c r="AY172" s="48"/>
      <c r="AZ172" s="48"/>
      <c r="BA172" s="48"/>
      <c r="BB172" s="48"/>
      <c r="BC172" s="48"/>
      <c r="BD172" s="48"/>
      <c r="BE172" s="48"/>
      <c r="BF172" s="48"/>
      <c r="BG172" s="48"/>
      <c r="BH172" s="48"/>
      <c r="BI172" s="48"/>
      <c r="BJ172" s="48"/>
      <c r="BK172" s="48"/>
      <c r="BL172" s="48"/>
      <c r="BM172" s="48"/>
      <c r="BN172" s="48"/>
      <c r="BO172" s="48"/>
      <c r="BP172" s="48"/>
      <c r="BQ172" s="48"/>
      <c r="BR172" s="48"/>
      <c r="BS172" s="48"/>
      <c r="BT172" s="48"/>
      <c r="BU172" s="48"/>
      <c r="CJ172" s="26" t="s">
        <v>1379</v>
      </c>
      <c r="CK172" s="26" t="s">
        <v>2092</v>
      </c>
      <c r="CL172" s="26" t="str">
        <f t="shared" si="9"/>
        <v>青森県平内町</v>
      </c>
      <c r="CM172" s="26">
        <v>167</v>
      </c>
      <c r="CN172" s="17" t="str">
        <f t="shared" si="8"/>
        <v>0194</v>
      </c>
      <c r="CO172" s="17" t="str">
        <f t="shared" si="10"/>
        <v>167194平内町</v>
      </c>
      <c r="CP172" s="17" t="s">
        <v>4463</v>
      </c>
      <c r="CQ172" s="17" t="b">
        <f t="shared" si="11"/>
        <v>1</v>
      </c>
    </row>
    <row r="173" spans="12:95">
      <c r="L173" s="17" t="s">
        <v>4464</v>
      </c>
      <c r="M173" s="17" t="s">
        <v>4465</v>
      </c>
      <c r="N173" s="27" t="s">
        <v>4466</v>
      </c>
      <c r="O173" s="29" t="s">
        <v>1439</v>
      </c>
      <c r="P173" s="29" t="s">
        <v>4467</v>
      </c>
      <c r="Q173" s="29" t="s">
        <v>1439</v>
      </c>
      <c r="R173" s="29" t="s">
        <v>4468</v>
      </c>
      <c r="S173" s="28" t="s">
        <v>1564</v>
      </c>
      <c r="T173" s="28" t="s">
        <v>4469</v>
      </c>
      <c r="U173" s="28" t="s">
        <v>1439</v>
      </c>
      <c r="V173" s="28" t="s">
        <v>1495</v>
      </c>
      <c r="W173" s="28" t="s">
        <v>4470</v>
      </c>
      <c r="X173" s="17">
        <v>6</v>
      </c>
      <c r="AA173" s="45" t="s">
        <v>4469</v>
      </c>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c r="BF173" s="46"/>
      <c r="BG173" s="46"/>
      <c r="BH173" s="46"/>
      <c r="BI173" s="46"/>
      <c r="BJ173" s="46"/>
      <c r="BK173" s="46"/>
      <c r="BL173" s="46"/>
      <c r="BM173" s="46"/>
      <c r="BN173" s="46"/>
      <c r="BO173" s="46"/>
      <c r="BP173" s="46"/>
      <c r="BQ173" s="46"/>
      <c r="BR173" s="46"/>
      <c r="BS173" s="46"/>
      <c r="BT173" s="46"/>
      <c r="BU173" s="46"/>
      <c r="CJ173" s="26" t="s">
        <v>1379</v>
      </c>
      <c r="CK173" s="26" t="s">
        <v>2148</v>
      </c>
      <c r="CL173" s="26" t="str">
        <f t="shared" si="9"/>
        <v>青森県今別町</v>
      </c>
      <c r="CM173" s="26">
        <v>168</v>
      </c>
      <c r="CN173" s="17" t="str">
        <f t="shared" si="8"/>
        <v>0195</v>
      </c>
      <c r="CO173" s="17" t="str">
        <f t="shared" si="10"/>
        <v>168195今別町</v>
      </c>
      <c r="CP173" s="17" t="s">
        <v>4471</v>
      </c>
      <c r="CQ173" s="17" t="b">
        <f t="shared" si="11"/>
        <v>1</v>
      </c>
    </row>
    <row r="174" spans="12:95">
      <c r="L174" s="17" t="s">
        <v>4472</v>
      </c>
      <c r="M174" s="17" t="s">
        <v>4473</v>
      </c>
      <c r="N174" s="27" t="s">
        <v>4474</v>
      </c>
      <c r="O174" s="29" t="s">
        <v>1439</v>
      </c>
      <c r="P174" s="29" t="s">
        <v>4475</v>
      </c>
      <c r="Q174" s="29" t="s">
        <v>1439</v>
      </c>
      <c r="R174" s="29" t="s">
        <v>4476</v>
      </c>
      <c r="S174" s="28" t="s">
        <v>1626</v>
      </c>
      <c r="T174" s="28" t="s">
        <v>4477</v>
      </c>
      <c r="U174" s="28" t="s">
        <v>1439</v>
      </c>
      <c r="V174" s="28" t="s">
        <v>1495</v>
      </c>
      <c r="W174" s="28" t="s">
        <v>4478</v>
      </c>
      <c r="X174" s="17">
        <v>7</v>
      </c>
      <c r="AA174" s="47" t="s">
        <v>4477</v>
      </c>
      <c r="AB174" s="48"/>
      <c r="AC174" s="48"/>
      <c r="AD174" s="48"/>
      <c r="AE174" s="48"/>
      <c r="AF174" s="48"/>
      <c r="AG174" s="48"/>
      <c r="AH174" s="48"/>
      <c r="AI174" s="48"/>
      <c r="AJ174" s="48"/>
      <c r="AK174" s="48"/>
      <c r="AL174" s="48"/>
      <c r="AM174" s="48"/>
      <c r="AN174" s="48"/>
      <c r="AO174" s="48"/>
      <c r="AP174" s="48"/>
      <c r="AQ174" s="48"/>
      <c r="AR174" s="48"/>
      <c r="AS174" s="48"/>
      <c r="AT174" s="48"/>
      <c r="AU174" s="48"/>
      <c r="AV174" s="48"/>
      <c r="AW174" s="48"/>
      <c r="AX174" s="48"/>
      <c r="AY174" s="48"/>
      <c r="AZ174" s="48"/>
      <c r="BA174" s="48"/>
      <c r="BB174" s="48"/>
      <c r="BC174" s="48"/>
      <c r="BD174" s="48"/>
      <c r="BE174" s="48"/>
      <c r="BF174" s="48"/>
      <c r="BG174" s="48"/>
      <c r="BH174" s="48"/>
      <c r="BI174" s="48"/>
      <c r="BJ174" s="48"/>
      <c r="BK174" s="48"/>
      <c r="BL174" s="48"/>
      <c r="BM174" s="48"/>
      <c r="BN174" s="48"/>
      <c r="BO174" s="48"/>
      <c r="BP174" s="48"/>
      <c r="BQ174" s="48"/>
      <c r="BR174" s="48"/>
      <c r="BS174" s="48"/>
      <c r="BT174" s="48"/>
      <c r="BU174" s="48"/>
      <c r="CJ174" s="26" t="s">
        <v>1379</v>
      </c>
      <c r="CK174" s="26" t="s">
        <v>2203</v>
      </c>
      <c r="CL174" s="26" t="str">
        <f t="shared" si="9"/>
        <v>青森県蓬田村</v>
      </c>
      <c r="CM174" s="26">
        <v>169</v>
      </c>
      <c r="CN174" s="17" t="str">
        <f t="shared" si="8"/>
        <v>0196</v>
      </c>
      <c r="CO174" s="17" t="str">
        <f t="shared" si="10"/>
        <v>169196蓬田村</v>
      </c>
      <c r="CP174" s="17" t="s">
        <v>4479</v>
      </c>
      <c r="CQ174" s="17" t="b">
        <f t="shared" si="11"/>
        <v>1</v>
      </c>
    </row>
    <row r="175" spans="12:95">
      <c r="L175" s="17" t="s">
        <v>4480</v>
      </c>
      <c r="M175" s="17" t="s">
        <v>4481</v>
      </c>
      <c r="N175" s="27" t="s">
        <v>4482</v>
      </c>
      <c r="O175" s="29" t="s">
        <v>1439</v>
      </c>
      <c r="P175" s="29" t="s">
        <v>4483</v>
      </c>
      <c r="Q175" s="29" t="s">
        <v>1439</v>
      </c>
      <c r="R175" s="29" t="s">
        <v>4484</v>
      </c>
      <c r="S175" s="28" t="s">
        <v>1502</v>
      </c>
      <c r="T175" s="28" t="s">
        <v>4485</v>
      </c>
      <c r="U175" s="28" t="s">
        <v>1439</v>
      </c>
      <c r="V175" s="28" t="s">
        <v>1495</v>
      </c>
      <c r="W175" s="28" t="s">
        <v>4486</v>
      </c>
      <c r="X175" s="17">
        <v>8</v>
      </c>
      <c r="AA175" s="45" t="s">
        <v>4485</v>
      </c>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c r="BA175" s="46"/>
      <c r="BB175" s="46"/>
      <c r="BC175" s="46"/>
      <c r="BD175" s="46"/>
      <c r="BE175" s="46"/>
      <c r="BF175" s="46"/>
      <c r="BG175" s="46"/>
      <c r="BH175" s="46"/>
      <c r="BI175" s="46"/>
      <c r="BJ175" s="46"/>
      <c r="BK175" s="46"/>
      <c r="BL175" s="46"/>
      <c r="BM175" s="46"/>
      <c r="BN175" s="46"/>
      <c r="BO175" s="46"/>
      <c r="BP175" s="46"/>
      <c r="BQ175" s="46"/>
      <c r="BR175" s="46"/>
      <c r="BS175" s="46"/>
      <c r="BT175" s="46"/>
      <c r="BU175" s="46"/>
      <c r="CJ175" s="26" t="s">
        <v>1379</v>
      </c>
      <c r="CK175" s="26" t="s">
        <v>2258</v>
      </c>
      <c r="CL175" s="26" t="str">
        <f t="shared" si="9"/>
        <v>青森県外ヶ浜町</v>
      </c>
      <c r="CM175" s="26">
        <v>170</v>
      </c>
      <c r="CN175" s="17" t="str">
        <f t="shared" si="8"/>
        <v>0197</v>
      </c>
      <c r="CO175" s="17" t="str">
        <f t="shared" si="10"/>
        <v>170197外ヶ浜町</v>
      </c>
      <c r="CP175" s="17" t="s">
        <v>4487</v>
      </c>
      <c r="CQ175" s="17" t="b">
        <f t="shared" si="11"/>
        <v>1</v>
      </c>
    </row>
    <row r="176" spans="12:95">
      <c r="L176" s="17" t="s">
        <v>4488</v>
      </c>
      <c r="M176" s="17" t="s">
        <v>4489</v>
      </c>
      <c r="N176" s="27" t="s">
        <v>4490</v>
      </c>
      <c r="O176" s="29" t="s">
        <v>1439</v>
      </c>
      <c r="P176" s="29" t="s">
        <v>4491</v>
      </c>
      <c r="Q176" s="29" t="s">
        <v>1439</v>
      </c>
      <c r="R176" s="29" t="s">
        <v>4492</v>
      </c>
      <c r="S176" s="28" t="s">
        <v>2525</v>
      </c>
      <c r="T176" s="28" t="s">
        <v>4493</v>
      </c>
      <c r="U176" s="28" t="s">
        <v>1439</v>
      </c>
      <c r="V176" s="28" t="s">
        <v>1495</v>
      </c>
      <c r="W176" s="28" t="s">
        <v>4494</v>
      </c>
      <c r="X176" s="17">
        <v>9</v>
      </c>
      <c r="AA176" s="47" t="s">
        <v>4493</v>
      </c>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48"/>
      <c r="BH176" s="48"/>
      <c r="BI176" s="48"/>
      <c r="BJ176" s="48"/>
      <c r="BK176" s="48"/>
      <c r="BL176" s="48"/>
      <c r="BM176" s="48"/>
      <c r="BN176" s="48"/>
      <c r="BO176" s="48"/>
      <c r="BP176" s="48"/>
      <c r="BQ176" s="48"/>
      <c r="BR176" s="48"/>
      <c r="BS176" s="48"/>
      <c r="BT176" s="48"/>
      <c r="BU176" s="48"/>
      <c r="CJ176" s="26" t="s">
        <v>1379</v>
      </c>
      <c r="CK176" s="26" t="s">
        <v>2314</v>
      </c>
      <c r="CL176" s="26" t="str">
        <f t="shared" si="9"/>
        <v>青森県鰺ヶ沢町</v>
      </c>
      <c r="CM176" s="26">
        <v>171</v>
      </c>
      <c r="CN176" s="17" t="str">
        <f t="shared" si="8"/>
        <v>0198</v>
      </c>
      <c r="CO176" s="17" t="str">
        <f t="shared" si="10"/>
        <v>171198鰺ヶ沢町</v>
      </c>
      <c r="CP176" s="17" t="s">
        <v>4495</v>
      </c>
      <c r="CQ176" s="17" t="b">
        <f t="shared" si="11"/>
        <v>1</v>
      </c>
    </row>
    <row r="177" spans="12:95">
      <c r="L177" s="17" t="s">
        <v>4496</v>
      </c>
      <c r="M177" s="17" t="s">
        <v>4497</v>
      </c>
      <c r="N177" s="27" t="s">
        <v>4498</v>
      </c>
      <c r="O177" s="29" t="s">
        <v>1439</v>
      </c>
      <c r="P177" s="29" t="s">
        <v>4499</v>
      </c>
      <c r="Q177" s="29" t="s">
        <v>1439</v>
      </c>
      <c r="R177" s="29" t="s">
        <v>4500</v>
      </c>
      <c r="S177" s="28" t="s">
        <v>1564</v>
      </c>
      <c r="T177" s="28" t="s">
        <v>4501</v>
      </c>
      <c r="U177" s="28" t="s">
        <v>1439</v>
      </c>
      <c r="V177" s="28" t="s">
        <v>1495</v>
      </c>
      <c r="W177" s="28" t="s">
        <v>4499</v>
      </c>
      <c r="X177" s="17">
        <v>10</v>
      </c>
      <c r="AA177" s="45" t="s">
        <v>4501</v>
      </c>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c r="BA177" s="46"/>
      <c r="BB177" s="46"/>
      <c r="BC177" s="46"/>
      <c r="BD177" s="46"/>
      <c r="BE177" s="46"/>
      <c r="BF177" s="46"/>
      <c r="BG177" s="46"/>
      <c r="BH177" s="46"/>
      <c r="BI177" s="46"/>
      <c r="BJ177" s="46"/>
      <c r="BK177" s="46"/>
      <c r="BL177" s="46"/>
      <c r="BM177" s="46"/>
      <c r="BN177" s="46"/>
      <c r="BO177" s="46"/>
      <c r="BP177" s="46"/>
      <c r="BQ177" s="46"/>
      <c r="BR177" s="46"/>
      <c r="BS177" s="46"/>
      <c r="BT177" s="46"/>
      <c r="BU177" s="46"/>
      <c r="CJ177" s="26" t="s">
        <v>1379</v>
      </c>
      <c r="CK177" s="26" t="s">
        <v>2368</v>
      </c>
      <c r="CL177" s="26" t="str">
        <f t="shared" si="9"/>
        <v>青森県深浦町</v>
      </c>
      <c r="CM177" s="26">
        <v>172</v>
      </c>
      <c r="CN177" s="17" t="str">
        <f t="shared" si="8"/>
        <v>0199</v>
      </c>
      <c r="CO177" s="17" t="str">
        <f t="shared" si="10"/>
        <v>172199深浦町</v>
      </c>
      <c r="CP177" s="17" t="s">
        <v>4502</v>
      </c>
      <c r="CQ177" s="17" t="b">
        <f t="shared" si="11"/>
        <v>1</v>
      </c>
    </row>
    <row r="178" spans="12:95">
      <c r="L178" s="17" t="s">
        <v>4503</v>
      </c>
      <c r="M178" s="17" t="s">
        <v>4504</v>
      </c>
      <c r="N178" s="27" t="s">
        <v>4505</v>
      </c>
      <c r="O178" s="29" t="s">
        <v>1439</v>
      </c>
      <c r="P178" s="29" t="s">
        <v>4506</v>
      </c>
      <c r="Q178" s="29" t="s">
        <v>1439</v>
      </c>
      <c r="R178" s="29" t="s">
        <v>4507</v>
      </c>
      <c r="S178" s="28" t="s">
        <v>1626</v>
      </c>
      <c r="T178" s="28" t="s">
        <v>4508</v>
      </c>
      <c r="U178" s="28" t="s">
        <v>1439</v>
      </c>
      <c r="V178" s="28" t="s">
        <v>1495</v>
      </c>
      <c r="W178" s="28" t="s">
        <v>4509</v>
      </c>
      <c r="X178" s="17">
        <v>11</v>
      </c>
      <c r="AA178" s="47" t="s">
        <v>4508</v>
      </c>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48"/>
      <c r="BH178" s="48"/>
      <c r="BI178" s="48"/>
      <c r="BJ178" s="48"/>
      <c r="BK178" s="48"/>
      <c r="BL178" s="48"/>
      <c r="BM178" s="48"/>
      <c r="BN178" s="48"/>
      <c r="BO178" s="48"/>
      <c r="BP178" s="48"/>
      <c r="BQ178" s="48"/>
      <c r="BR178" s="48"/>
      <c r="BS178" s="48"/>
      <c r="BT178" s="48"/>
      <c r="BU178" s="48"/>
      <c r="CJ178" s="26" t="s">
        <v>1379</v>
      </c>
      <c r="CK178" s="26" t="s">
        <v>2423</v>
      </c>
      <c r="CL178" s="26" t="str">
        <f t="shared" si="9"/>
        <v>青森県西目屋村</v>
      </c>
      <c r="CM178" s="26">
        <v>173</v>
      </c>
      <c r="CN178" s="17" t="str">
        <f t="shared" si="8"/>
        <v>0200</v>
      </c>
      <c r="CO178" s="17" t="str">
        <f t="shared" si="10"/>
        <v>173200西目屋村</v>
      </c>
      <c r="CP178" s="17" t="s">
        <v>4510</v>
      </c>
      <c r="CQ178" s="17" t="b">
        <f t="shared" si="11"/>
        <v>1</v>
      </c>
    </row>
    <row r="179" spans="12:95">
      <c r="L179" s="17" t="s">
        <v>4511</v>
      </c>
      <c r="M179" s="17" t="s">
        <v>4512</v>
      </c>
      <c r="N179" s="27" t="s">
        <v>4513</v>
      </c>
      <c r="O179" s="29" t="s">
        <v>1439</v>
      </c>
      <c r="P179" s="29" t="s">
        <v>4514</v>
      </c>
      <c r="Q179" s="29" t="s">
        <v>1439</v>
      </c>
      <c r="R179" s="29" t="s">
        <v>4515</v>
      </c>
      <c r="S179" s="28" t="s">
        <v>2525</v>
      </c>
      <c r="T179" s="28" t="s">
        <v>4516</v>
      </c>
      <c r="U179" s="28" t="s">
        <v>1439</v>
      </c>
      <c r="V179" s="28" t="s">
        <v>1495</v>
      </c>
      <c r="W179" s="28" t="s">
        <v>4517</v>
      </c>
      <c r="X179" s="17">
        <v>12</v>
      </c>
      <c r="AA179" s="45" t="s">
        <v>4516</v>
      </c>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c r="BA179" s="46"/>
      <c r="BB179" s="46"/>
      <c r="BC179" s="46"/>
      <c r="BD179" s="46"/>
      <c r="BE179" s="46"/>
      <c r="BF179" s="46"/>
      <c r="BG179" s="46"/>
      <c r="BH179" s="46"/>
      <c r="BI179" s="46"/>
      <c r="BJ179" s="46"/>
      <c r="BK179" s="46"/>
      <c r="BL179" s="46"/>
      <c r="BM179" s="46"/>
      <c r="BN179" s="46"/>
      <c r="BO179" s="46"/>
      <c r="BP179" s="46"/>
      <c r="BQ179" s="46"/>
      <c r="BR179" s="46"/>
      <c r="BS179" s="46"/>
      <c r="BT179" s="46"/>
      <c r="BU179" s="46"/>
      <c r="CJ179" s="26" t="s">
        <v>1379</v>
      </c>
      <c r="CK179" s="26" t="s">
        <v>2477</v>
      </c>
      <c r="CL179" s="26" t="str">
        <f t="shared" si="9"/>
        <v>青森県藤崎町</v>
      </c>
      <c r="CM179" s="26">
        <v>174</v>
      </c>
      <c r="CN179" s="17" t="str">
        <f t="shared" si="8"/>
        <v>0201</v>
      </c>
      <c r="CO179" s="17" t="str">
        <f t="shared" si="10"/>
        <v>174201藤崎町</v>
      </c>
      <c r="CP179" s="17" t="s">
        <v>4518</v>
      </c>
      <c r="CQ179" s="17" t="b">
        <f t="shared" si="11"/>
        <v>1</v>
      </c>
    </row>
    <row r="180" spans="12:95">
      <c r="L180" s="17" t="s">
        <v>4519</v>
      </c>
      <c r="M180" s="17" t="s">
        <v>4520</v>
      </c>
      <c r="N180" s="27" t="s">
        <v>4521</v>
      </c>
      <c r="O180" s="29" t="s">
        <v>1439</v>
      </c>
      <c r="P180" s="29" t="s">
        <v>4522</v>
      </c>
      <c r="Q180" s="29" t="s">
        <v>1439</v>
      </c>
      <c r="R180" s="29" t="s">
        <v>4523</v>
      </c>
      <c r="S180" s="28" t="s">
        <v>2311</v>
      </c>
      <c r="T180" s="28" t="s">
        <v>4524</v>
      </c>
      <c r="U180" s="28" t="s">
        <v>1439</v>
      </c>
      <c r="V180" s="28" t="s">
        <v>1495</v>
      </c>
      <c r="W180" s="28" t="s">
        <v>4525</v>
      </c>
      <c r="X180" s="17">
        <v>13</v>
      </c>
      <c r="AA180" s="47" t="s">
        <v>4524</v>
      </c>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c r="BI180" s="48"/>
      <c r="BJ180" s="48"/>
      <c r="BK180" s="48"/>
      <c r="BL180" s="48"/>
      <c r="BM180" s="48"/>
      <c r="BN180" s="48"/>
      <c r="BO180" s="48"/>
      <c r="BP180" s="48"/>
      <c r="BQ180" s="48"/>
      <c r="BR180" s="48"/>
      <c r="BS180" s="48"/>
      <c r="BT180" s="48"/>
      <c r="BU180" s="48"/>
      <c r="CJ180" s="26" t="s">
        <v>1379</v>
      </c>
      <c r="CK180" s="26" t="s">
        <v>2528</v>
      </c>
      <c r="CL180" s="26" t="str">
        <f t="shared" si="9"/>
        <v>青森県大鰐町</v>
      </c>
      <c r="CM180" s="26">
        <v>175</v>
      </c>
      <c r="CN180" s="17" t="str">
        <f t="shared" si="8"/>
        <v>0202</v>
      </c>
      <c r="CO180" s="17" t="str">
        <f t="shared" si="10"/>
        <v>175202大鰐町</v>
      </c>
      <c r="CP180" s="17" t="s">
        <v>4526</v>
      </c>
      <c r="CQ180" s="17" t="b">
        <f t="shared" si="11"/>
        <v>1</v>
      </c>
    </row>
    <row r="181" spans="12:95">
      <c r="L181" s="17" t="s">
        <v>4527</v>
      </c>
      <c r="M181" s="17" t="s">
        <v>4528</v>
      </c>
      <c r="N181" s="27" t="s">
        <v>4529</v>
      </c>
      <c r="O181" s="29" t="s">
        <v>1439</v>
      </c>
      <c r="P181" s="29" t="s">
        <v>4530</v>
      </c>
      <c r="Q181" s="29" t="s">
        <v>1439</v>
      </c>
      <c r="R181" s="29" t="s">
        <v>4531</v>
      </c>
      <c r="S181" s="28" t="s">
        <v>1862</v>
      </c>
      <c r="T181" s="28" t="s">
        <v>4532</v>
      </c>
      <c r="U181" s="28" t="s">
        <v>1439</v>
      </c>
      <c r="V181" s="28" t="s">
        <v>1495</v>
      </c>
      <c r="W181" s="28" t="s">
        <v>4533</v>
      </c>
      <c r="X181" s="17">
        <v>14</v>
      </c>
      <c r="AA181" s="45" t="s">
        <v>4532</v>
      </c>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46"/>
      <c r="BB181" s="46"/>
      <c r="BC181" s="46"/>
      <c r="BD181" s="46"/>
      <c r="BE181" s="46"/>
      <c r="BF181" s="46"/>
      <c r="BG181" s="46"/>
      <c r="BH181" s="46"/>
      <c r="BI181" s="46"/>
      <c r="BJ181" s="46"/>
      <c r="BK181" s="46"/>
      <c r="BL181" s="46"/>
      <c r="BM181" s="46"/>
      <c r="BN181" s="46"/>
      <c r="BO181" s="46"/>
      <c r="BP181" s="46"/>
      <c r="BQ181" s="46"/>
      <c r="BR181" s="46"/>
      <c r="BS181" s="46"/>
      <c r="BT181" s="46"/>
      <c r="BU181" s="46"/>
      <c r="CJ181" s="26" t="s">
        <v>1379</v>
      </c>
      <c r="CK181" s="26" t="s">
        <v>2578</v>
      </c>
      <c r="CL181" s="26" t="str">
        <f t="shared" si="9"/>
        <v>青森県田舎館村</v>
      </c>
      <c r="CM181" s="26">
        <v>176</v>
      </c>
      <c r="CN181" s="17" t="str">
        <f t="shared" si="8"/>
        <v>0203</v>
      </c>
      <c r="CO181" s="17" t="str">
        <f t="shared" si="10"/>
        <v>176203田舎館村</v>
      </c>
      <c r="CP181" s="17" t="s">
        <v>4534</v>
      </c>
      <c r="CQ181" s="17" t="b">
        <f t="shared" si="11"/>
        <v>1</v>
      </c>
    </row>
    <row r="182" spans="12:95">
      <c r="L182" s="17" t="s">
        <v>4535</v>
      </c>
      <c r="M182" s="17" t="s">
        <v>4536</v>
      </c>
      <c r="N182" s="27" t="s">
        <v>4537</v>
      </c>
      <c r="O182" s="29" t="s">
        <v>1439</v>
      </c>
      <c r="P182" s="29" t="s">
        <v>4538</v>
      </c>
      <c r="Q182" s="29" t="s">
        <v>1439</v>
      </c>
      <c r="R182" s="29" t="s">
        <v>4539</v>
      </c>
      <c r="S182" s="28" t="s">
        <v>1920</v>
      </c>
      <c r="T182" s="28" t="s">
        <v>4540</v>
      </c>
      <c r="U182" s="28" t="s">
        <v>1439</v>
      </c>
      <c r="V182" s="28" t="s">
        <v>1495</v>
      </c>
      <c r="W182" s="28" t="s">
        <v>4541</v>
      </c>
      <c r="X182" s="17">
        <v>15</v>
      </c>
      <c r="AA182" s="47" t="s">
        <v>4540</v>
      </c>
      <c r="AB182" s="48"/>
      <c r="AC182" s="48"/>
      <c r="AD182" s="48"/>
      <c r="AE182" s="48"/>
      <c r="AF182" s="48"/>
      <c r="AG182" s="48"/>
      <c r="AH182" s="48"/>
      <c r="AI182" s="48"/>
      <c r="AJ182" s="48"/>
      <c r="AK182" s="48"/>
      <c r="AL182" s="48"/>
      <c r="AM182" s="48"/>
      <c r="AN182" s="48"/>
      <c r="AO182" s="48"/>
      <c r="AP182" s="48"/>
      <c r="AQ182" s="48"/>
      <c r="AR182" s="48"/>
      <c r="AS182" s="48"/>
      <c r="AT182" s="48"/>
      <c r="AU182" s="48"/>
      <c r="AV182" s="48"/>
      <c r="AW182" s="48"/>
      <c r="AX182" s="48"/>
      <c r="AY182" s="48"/>
      <c r="AZ182" s="48"/>
      <c r="BA182" s="48"/>
      <c r="BB182" s="48"/>
      <c r="BC182" s="48"/>
      <c r="BD182" s="48"/>
      <c r="BE182" s="48"/>
      <c r="BF182" s="48"/>
      <c r="BG182" s="48"/>
      <c r="BH182" s="48"/>
      <c r="BI182" s="48"/>
      <c r="BJ182" s="48"/>
      <c r="BK182" s="48"/>
      <c r="BL182" s="48"/>
      <c r="BM182" s="48"/>
      <c r="BN182" s="48"/>
      <c r="BO182" s="48"/>
      <c r="BP182" s="48"/>
      <c r="BQ182" s="48"/>
      <c r="BR182" s="48"/>
      <c r="BS182" s="48"/>
      <c r="BT182" s="48"/>
      <c r="BU182" s="48"/>
      <c r="CJ182" s="26" t="s">
        <v>1379</v>
      </c>
      <c r="CK182" s="26" t="s">
        <v>2625</v>
      </c>
      <c r="CL182" s="26" t="str">
        <f t="shared" si="9"/>
        <v>青森県板柳町</v>
      </c>
      <c r="CM182" s="26">
        <v>177</v>
      </c>
      <c r="CN182" s="17" t="str">
        <f t="shared" si="8"/>
        <v>0204</v>
      </c>
      <c r="CO182" s="17" t="str">
        <f t="shared" si="10"/>
        <v>177204板柳町</v>
      </c>
      <c r="CP182" s="17" t="s">
        <v>4542</v>
      </c>
      <c r="CQ182" s="17" t="b">
        <f t="shared" si="11"/>
        <v>1</v>
      </c>
    </row>
    <row r="183" spans="12:95">
      <c r="L183" s="17" t="s">
        <v>4543</v>
      </c>
      <c r="M183" s="17" t="s">
        <v>4544</v>
      </c>
      <c r="N183" s="27" t="s">
        <v>4545</v>
      </c>
      <c r="O183" s="29" t="s">
        <v>1439</v>
      </c>
      <c r="P183" s="29" t="s">
        <v>4546</v>
      </c>
      <c r="Q183" s="29" t="s">
        <v>1439</v>
      </c>
      <c r="R183" s="29" t="s">
        <v>4547</v>
      </c>
      <c r="S183" s="28" t="s">
        <v>1977</v>
      </c>
      <c r="T183" s="28" t="s">
        <v>4548</v>
      </c>
      <c r="U183" s="28" t="s">
        <v>1439</v>
      </c>
      <c r="V183" s="28" t="s">
        <v>1495</v>
      </c>
      <c r="W183" s="28" t="s">
        <v>4549</v>
      </c>
      <c r="X183" s="17">
        <v>16</v>
      </c>
      <c r="AA183" s="45" t="s">
        <v>4548</v>
      </c>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46"/>
      <c r="BE183" s="46"/>
      <c r="BF183" s="46"/>
      <c r="BG183" s="46"/>
      <c r="BH183" s="46"/>
      <c r="BI183" s="46"/>
      <c r="BJ183" s="46"/>
      <c r="BK183" s="46"/>
      <c r="BL183" s="46"/>
      <c r="BM183" s="46"/>
      <c r="BN183" s="46"/>
      <c r="BO183" s="46"/>
      <c r="BP183" s="46"/>
      <c r="BQ183" s="46"/>
      <c r="BR183" s="46"/>
      <c r="BS183" s="46"/>
      <c r="BT183" s="46"/>
      <c r="BU183" s="46"/>
      <c r="CJ183" s="26" t="s">
        <v>1379</v>
      </c>
      <c r="CK183" s="26" t="s">
        <v>2671</v>
      </c>
      <c r="CL183" s="26" t="str">
        <f t="shared" si="9"/>
        <v>青森県鶴田町</v>
      </c>
      <c r="CM183" s="26">
        <v>178</v>
      </c>
      <c r="CN183" s="17" t="str">
        <f t="shared" si="8"/>
        <v>0205</v>
      </c>
      <c r="CO183" s="17" t="str">
        <f t="shared" si="10"/>
        <v>178205鶴田町</v>
      </c>
      <c r="CP183" s="17" t="s">
        <v>4550</v>
      </c>
      <c r="CQ183" s="17" t="b">
        <f t="shared" si="11"/>
        <v>1</v>
      </c>
    </row>
    <row r="184" spans="12:95">
      <c r="L184" s="17" t="s">
        <v>4551</v>
      </c>
      <c r="M184" s="17" t="s">
        <v>4552</v>
      </c>
      <c r="N184" s="27" t="s">
        <v>4553</v>
      </c>
      <c r="O184" s="29" t="s">
        <v>1439</v>
      </c>
      <c r="P184" s="29" t="s">
        <v>4554</v>
      </c>
      <c r="Q184" s="29" t="s">
        <v>1439</v>
      </c>
      <c r="R184" s="29" t="s">
        <v>4555</v>
      </c>
      <c r="S184" s="28" t="s">
        <v>1803</v>
      </c>
      <c r="T184" s="28" t="s">
        <v>4556</v>
      </c>
      <c r="U184" s="28" t="s">
        <v>1439</v>
      </c>
      <c r="V184" s="28" t="s">
        <v>1495</v>
      </c>
      <c r="W184" s="28" t="s">
        <v>4557</v>
      </c>
      <c r="X184" s="17">
        <v>17</v>
      </c>
      <c r="AA184" s="47" t="s">
        <v>4556</v>
      </c>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CJ184" s="26" t="s">
        <v>1379</v>
      </c>
      <c r="CK184" s="26" t="s">
        <v>2717</v>
      </c>
      <c r="CL184" s="26" t="str">
        <f t="shared" si="9"/>
        <v>青森県中泊町</v>
      </c>
      <c r="CM184" s="26">
        <v>179</v>
      </c>
      <c r="CN184" s="17" t="str">
        <f t="shared" si="8"/>
        <v>0206</v>
      </c>
      <c r="CO184" s="17" t="str">
        <f t="shared" si="10"/>
        <v>179206中泊町</v>
      </c>
      <c r="CP184" s="17" t="s">
        <v>4558</v>
      </c>
      <c r="CQ184" s="17" t="b">
        <f t="shared" si="11"/>
        <v>1</v>
      </c>
    </row>
    <row r="185" spans="12:95">
      <c r="L185" s="17" t="s">
        <v>4559</v>
      </c>
      <c r="M185" s="17" t="s">
        <v>4560</v>
      </c>
      <c r="N185" s="27" t="s">
        <v>4561</v>
      </c>
      <c r="O185" s="29" t="s">
        <v>1439</v>
      </c>
      <c r="P185" s="29" t="s">
        <v>4562</v>
      </c>
      <c r="Q185" s="29" t="s">
        <v>1439</v>
      </c>
      <c r="R185" s="29" t="s">
        <v>4563</v>
      </c>
      <c r="S185" s="28" t="s">
        <v>2525</v>
      </c>
      <c r="T185" s="28" t="s">
        <v>4375</v>
      </c>
      <c r="U185" s="28" t="s">
        <v>1439</v>
      </c>
      <c r="V185" s="28" t="s">
        <v>1495</v>
      </c>
      <c r="W185" s="28" t="s">
        <v>4562</v>
      </c>
      <c r="X185" s="17">
        <v>1</v>
      </c>
      <c r="AA185" s="45" t="s">
        <v>4375</v>
      </c>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c r="BA185" s="46"/>
      <c r="BB185" s="46"/>
      <c r="BC185" s="46"/>
      <c r="BD185" s="46"/>
      <c r="BE185" s="46"/>
      <c r="BF185" s="46"/>
      <c r="BG185" s="46"/>
      <c r="BH185" s="46"/>
      <c r="BI185" s="46"/>
      <c r="BJ185" s="46"/>
      <c r="BK185" s="46"/>
      <c r="BL185" s="46"/>
      <c r="BM185" s="46"/>
      <c r="BN185" s="46"/>
      <c r="BO185" s="46"/>
      <c r="BP185" s="46"/>
      <c r="BQ185" s="46"/>
      <c r="BR185" s="46"/>
      <c r="BS185" s="46"/>
      <c r="BT185" s="46"/>
      <c r="BU185" s="46"/>
      <c r="CJ185" s="26" t="s">
        <v>1379</v>
      </c>
      <c r="CK185" s="26" t="s">
        <v>2761</v>
      </c>
      <c r="CL185" s="26" t="str">
        <f t="shared" si="9"/>
        <v>青森県野辺地町</v>
      </c>
      <c r="CM185" s="26">
        <v>180</v>
      </c>
      <c r="CN185" s="17" t="str">
        <f t="shared" si="8"/>
        <v>0207</v>
      </c>
      <c r="CO185" s="17" t="str">
        <f t="shared" si="10"/>
        <v>180207野辺地町</v>
      </c>
      <c r="CP185" s="17" t="s">
        <v>4564</v>
      </c>
      <c r="CQ185" s="17" t="b">
        <f t="shared" si="11"/>
        <v>1</v>
      </c>
    </row>
    <row r="186" spans="12:95">
      <c r="L186" s="17" t="s">
        <v>4565</v>
      </c>
      <c r="M186" s="17" t="s">
        <v>4566</v>
      </c>
      <c r="N186" s="27" t="s">
        <v>4567</v>
      </c>
      <c r="O186" s="29" t="s">
        <v>1439</v>
      </c>
      <c r="P186" s="29" t="s">
        <v>4568</v>
      </c>
      <c r="Q186" s="29" t="s">
        <v>1439</v>
      </c>
      <c r="R186" s="29" t="s">
        <v>4569</v>
      </c>
      <c r="S186" s="28" t="s">
        <v>1626</v>
      </c>
      <c r="T186" s="28" t="s">
        <v>4570</v>
      </c>
      <c r="U186" s="28" t="s">
        <v>1439</v>
      </c>
      <c r="V186" s="28" t="s">
        <v>1495</v>
      </c>
      <c r="W186" s="28" t="s">
        <v>4571</v>
      </c>
      <c r="X186" s="17">
        <v>2</v>
      </c>
      <c r="AA186" s="47" t="s">
        <v>4570</v>
      </c>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CJ186" s="26" t="s">
        <v>1379</v>
      </c>
      <c r="CK186" s="26" t="s">
        <v>2803</v>
      </c>
      <c r="CL186" s="26" t="str">
        <f t="shared" si="9"/>
        <v>青森県七戸町</v>
      </c>
      <c r="CM186" s="26">
        <v>181</v>
      </c>
      <c r="CN186" s="17" t="str">
        <f t="shared" si="8"/>
        <v>0208</v>
      </c>
      <c r="CO186" s="17" t="str">
        <f t="shared" si="10"/>
        <v>181208七戸町</v>
      </c>
      <c r="CP186" s="17" t="s">
        <v>4572</v>
      </c>
      <c r="CQ186" s="17" t="b">
        <f t="shared" si="11"/>
        <v>1</v>
      </c>
    </row>
    <row r="187" spans="12:95">
      <c r="L187" s="17" t="s">
        <v>4573</v>
      </c>
      <c r="M187" s="17" t="s">
        <v>4574</v>
      </c>
      <c r="N187" s="27" t="s">
        <v>4575</v>
      </c>
      <c r="O187" s="29" t="s">
        <v>1439</v>
      </c>
      <c r="P187" s="29" t="s">
        <v>4576</v>
      </c>
      <c r="Q187" s="29" t="s">
        <v>1439</v>
      </c>
      <c r="R187" s="29" t="s">
        <v>4577</v>
      </c>
      <c r="S187" s="28" t="s">
        <v>1502</v>
      </c>
      <c r="T187" s="28" t="s">
        <v>4578</v>
      </c>
      <c r="U187" s="28" t="s">
        <v>1439</v>
      </c>
      <c r="V187" s="28" t="s">
        <v>1495</v>
      </c>
      <c r="W187" s="28" t="s">
        <v>4579</v>
      </c>
      <c r="X187" s="17">
        <v>3</v>
      </c>
      <c r="AA187" s="45" t="s">
        <v>4578</v>
      </c>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c r="BA187" s="46"/>
      <c r="BB187" s="46"/>
      <c r="BC187" s="46"/>
      <c r="BD187" s="46"/>
      <c r="BE187" s="46"/>
      <c r="BF187" s="46"/>
      <c r="BG187" s="46"/>
      <c r="BH187" s="46"/>
      <c r="BI187" s="46"/>
      <c r="BJ187" s="46"/>
      <c r="BK187" s="46"/>
      <c r="BL187" s="46"/>
      <c r="BM187" s="46"/>
      <c r="BN187" s="46"/>
      <c r="BO187" s="46"/>
      <c r="BP187" s="46"/>
      <c r="BQ187" s="46"/>
      <c r="BR187" s="46"/>
      <c r="BS187" s="46"/>
      <c r="BT187" s="46"/>
      <c r="BU187" s="46"/>
      <c r="CJ187" s="26" t="s">
        <v>1379</v>
      </c>
      <c r="CK187" s="26" t="s">
        <v>2845</v>
      </c>
      <c r="CL187" s="26" t="str">
        <f t="shared" si="9"/>
        <v>青森県六戸町</v>
      </c>
      <c r="CM187" s="26">
        <v>182</v>
      </c>
      <c r="CN187" s="17" t="str">
        <f t="shared" si="8"/>
        <v>0209</v>
      </c>
      <c r="CO187" s="17" t="str">
        <f t="shared" si="10"/>
        <v>182209六戸町</v>
      </c>
      <c r="CP187" s="17" t="s">
        <v>4580</v>
      </c>
      <c r="CQ187" s="17" t="b">
        <f t="shared" si="11"/>
        <v>1</v>
      </c>
    </row>
    <row r="188" spans="12:95">
      <c r="L188" s="17" t="s">
        <v>4581</v>
      </c>
      <c r="M188" s="17" t="s">
        <v>4582</v>
      </c>
      <c r="N188" s="27" t="s">
        <v>4583</v>
      </c>
      <c r="O188" s="29" t="s">
        <v>1439</v>
      </c>
      <c r="P188" s="29" t="s">
        <v>4584</v>
      </c>
      <c r="Q188" s="29" t="s">
        <v>1439</v>
      </c>
      <c r="R188" s="29" t="s">
        <v>4585</v>
      </c>
      <c r="S188" s="28" t="s">
        <v>1862</v>
      </c>
      <c r="T188" s="28" t="s">
        <v>4586</v>
      </c>
      <c r="U188" s="28" t="s">
        <v>1439</v>
      </c>
      <c r="V188" s="28" t="s">
        <v>1495</v>
      </c>
      <c r="W188" s="28" t="s">
        <v>4587</v>
      </c>
      <c r="X188" s="17">
        <v>4</v>
      </c>
      <c r="AA188" s="47" t="s">
        <v>4586</v>
      </c>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c r="BS188" s="48"/>
      <c r="BT188" s="48"/>
      <c r="BU188" s="48"/>
      <c r="CJ188" s="26" t="s">
        <v>1379</v>
      </c>
      <c r="CK188" s="26" t="s">
        <v>2884</v>
      </c>
      <c r="CL188" s="26" t="str">
        <f t="shared" si="9"/>
        <v>青森県横浜町</v>
      </c>
      <c r="CM188" s="26">
        <v>183</v>
      </c>
      <c r="CN188" s="17" t="str">
        <f t="shared" si="8"/>
        <v>0210</v>
      </c>
      <c r="CO188" s="17" t="str">
        <f t="shared" si="10"/>
        <v>183210横浜町</v>
      </c>
      <c r="CP188" s="17" t="s">
        <v>4588</v>
      </c>
      <c r="CQ188" s="17" t="b">
        <f t="shared" si="11"/>
        <v>1</v>
      </c>
    </row>
    <row r="189" spans="12:95">
      <c r="L189" s="17" t="s">
        <v>4589</v>
      </c>
      <c r="M189" s="17" t="s">
        <v>4590</v>
      </c>
      <c r="N189" s="27" t="s">
        <v>4591</v>
      </c>
      <c r="O189" s="29" t="s">
        <v>1440</v>
      </c>
      <c r="P189" s="29" t="s">
        <v>4592</v>
      </c>
      <c r="Q189" s="29" t="s">
        <v>1440</v>
      </c>
      <c r="R189" s="29" t="s">
        <v>4593</v>
      </c>
      <c r="S189" s="28" t="s">
        <v>1803</v>
      </c>
      <c r="T189" s="28" t="s">
        <v>1505</v>
      </c>
      <c r="U189" s="28" t="s">
        <v>1440</v>
      </c>
      <c r="V189" s="28" t="s">
        <v>1557</v>
      </c>
      <c r="W189" s="28" t="s">
        <v>4592</v>
      </c>
      <c r="X189" s="17">
        <v>1</v>
      </c>
      <c r="CJ189" s="26" t="s">
        <v>1379</v>
      </c>
      <c r="CK189" s="26" t="s">
        <v>2921</v>
      </c>
      <c r="CL189" s="26" t="str">
        <f t="shared" si="9"/>
        <v>青森県東北町</v>
      </c>
      <c r="CM189" s="26">
        <v>184</v>
      </c>
      <c r="CN189" s="17" t="str">
        <f t="shared" si="8"/>
        <v>0211</v>
      </c>
      <c r="CO189" s="17" t="str">
        <f t="shared" si="10"/>
        <v>184211東北町</v>
      </c>
      <c r="CP189" s="17" t="s">
        <v>4594</v>
      </c>
      <c r="CQ189" s="17" t="b">
        <f t="shared" si="11"/>
        <v>1</v>
      </c>
    </row>
    <row r="190" spans="12:95">
      <c r="L190" s="17" t="s">
        <v>4595</v>
      </c>
      <c r="M190" s="17" t="s">
        <v>4596</v>
      </c>
      <c r="N190" s="27" t="s">
        <v>4597</v>
      </c>
      <c r="O190" s="29" t="s">
        <v>1440</v>
      </c>
      <c r="P190" s="29" t="s">
        <v>4598</v>
      </c>
      <c r="Q190" s="29" t="s">
        <v>1440</v>
      </c>
      <c r="R190" s="29" t="s">
        <v>1563</v>
      </c>
      <c r="S190" s="28" t="s">
        <v>1862</v>
      </c>
      <c r="T190" s="28" t="s">
        <v>1567</v>
      </c>
      <c r="U190" s="28" t="s">
        <v>1440</v>
      </c>
      <c r="V190" s="28" t="s">
        <v>1557</v>
      </c>
      <c r="W190" s="28" t="s">
        <v>4599</v>
      </c>
      <c r="X190" s="17">
        <v>1</v>
      </c>
      <c r="CJ190" s="26" t="s">
        <v>1379</v>
      </c>
      <c r="CK190" s="26" t="s">
        <v>2956</v>
      </c>
      <c r="CL190" s="26" t="str">
        <f t="shared" si="9"/>
        <v>青森県六ヶ所村</v>
      </c>
      <c r="CM190" s="26">
        <v>185</v>
      </c>
      <c r="CN190" s="17" t="str">
        <f t="shared" si="8"/>
        <v>0212</v>
      </c>
      <c r="CO190" s="17" t="str">
        <f t="shared" si="10"/>
        <v>185212六ヶ所村</v>
      </c>
      <c r="CP190" s="17" t="s">
        <v>4600</v>
      </c>
      <c r="CQ190" s="17" t="b">
        <f t="shared" si="11"/>
        <v>1</v>
      </c>
    </row>
    <row r="191" spans="12:95">
      <c r="L191" s="17" t="s">
        <v>4601</v>
      </c>
      <c r="M191" s="17" t="s">
        <v>4602</v>
      </c>
      <c r="N191" s="27" t="s">
        <v>4603</v>
      </c>
      <c r="O191" s="29" t="s">
        <v>1440</v>
      </c>
      <c r="P191" s="29" t="s">
        <v>4604</v>
      </c>
      <c r="Q191" s="29" t="s">
        <v>1440</v>
      </c>
      <c r="R191" s="29" t="s">
        <v>1625</v>
      </c>
      <c r="S191" s="28" t="s">
        <v>1920</v>
      </c>
      <c r="T191" s="28" t="s">
        <v>1629</v>
      </c>
      <c r="U191" s="28" t="s">
        <v>1440</v>
      </c>
      <c r="V191" s="28" t="s">
        <v>1557</v>
      </c>
      <c r="W191" s="28" t="s">
        <v>4605</v>
      </c>
      <c r="X191" s="17">
        <v>1</v>
      </c>
      <c r="CJ191" s="26" t="s">
        <v>1379</v>
      </c>
      <c r="CK191" s="26" t="s">
        <v>2989</v>
      </c>
      <c r="CL191" s="26" t="str">
        <f t="shared" si="9"/>
        <v>青森県おいらせ町</v>
      </c>
      <c r="CM191" s="26">
        <v>186</v>
      </c>
      <c r="CN191" s="17" t="str">
        <f t="shared" si="8"/>
        <v>0213</v>
      </c>
      <c r="CO191" s="17" t="str">
        <f t="shared" si="10"/>
        <v>186213おいらせ町</v>
      </c>
      <c r="CP191" s="17" t="s">
        <v>4606</v>
      </c>
      <c r="CQ191" s="17" t="b">
        <f t="shared" si="11"/>
        <v>1</v>
      </c>
    </row>
    <row r="192" spans="12:95">
      <c r="L192" s="17" t="s">
        <v>4607</v>
      </c>
      <c r="M192" s="17" t="s">
        <v>4608</v>
      </c>
      <c r="N192" s="27" t="s">
        <v>4609</v>
      </c>
      <c r="O192" s="29" t="s">
        <v>1440</v>
      </c>
      <c r="P192" s="29" t="s">
        <v>4610</v>
      </c>
      <c r="Q192" s="29" t="s">
        <v>1440</v>
      </c>
      <c r="R192" s="29" t="s">
        <v>1684</v>
      </c>
      <c r="S192" s="28" t="s">
        <v>1977</v>
      </c>
      <c r="T192" s="28" t="s">
        <v>1687</v>
      </c>
      <c r="U192" s="28" t="s">
        <v>1440</v>
      </c>
      <c r="V192" s="28" t="s">
        <v>1557</v>
      </c>
      <c r="W192" s="28" t="s">
        <v>4611</v>
      </c>
      <c r="X192" s="17">
        <v>1</v>
      </c>
      <c r="CJ192" s="26" t="s">
        <v>1379</v>
      </c>
      <c r="CK192" s="26" t="s">
        <v>3022</v>
      </c>
      <c r="CL192" s="26" t="str">
        <f t="shared" si="9"/>
        <v>青森県大間町</v>
      </c>
      <c r="CM192" s="26">
        <v>187</v>
      </c>
      <c r="CN192" s="17" t="str">
        <f t="shared" si="8"/>
        <v>0214</v>
      </c>
      <c r="CO192" s="17" t="str">
        <f t="shared" si="10"/>
        <v>187214大間町</v>
      </c>
      <c r="CP192" s="17" t="s">
        <v>4612</v>
      </c>
      <c r="CQ192" s="17" t="b">
        <f t="shared" si="11"/>
        <v>1</v>
      </c>
    </row>
    <row r="193" spans="12:95">
      <c r="L193" s="17" t="s">
        <v>4613</v>
      </c>
      <c r="M193" s="17" t="s">
        <v>4614</v>
      </c>
      <c r="N193" s="27" t="s">
        <v>4615</v>
      </c>
      <c r="O193" s="29" t="s">
        <v>1440</v>
      </c>
      <c r="P193" s="29" t="s">
        <v>4616</v>
      </c>
      <c r="Q193" s="29" t="s">
        <v>1440</v>
      </c>
      <c r="R193" s="29" t="s">
        <v>1742</v>
      </c>
      <c r="S193" s="28" t="s">
        <v>2311</v>
      </c>
      <c r="T193" s="28" t="s">
        <v>1746</v>
      </c>
      <c r="U193" s="28" t="s">
        <v>1440</v>
      </c>
      <c r="V193" s="28" t="s">
        <v>1557</v>
      </c>
      <c r="W193" s="28" t="s">
        <v>4617</v>
      </c>
      <c r="X193" s="17">
        <v>1</v>
      </c>
      <c r="CJ193" s="26" t="s">
        <v>1379</v>
      </c>
      <c r="CK193" s="26" t="s">
        <v>3055</v>
      </c>
      <c r="CL193" s="26" t="str">
        <f t="shared" si="9"/>
        <v>青森県東通村</v>
      </c>
      <c r="CM193" s="26">
        <v>188</v>
      </c>
      <c r="CN193" s="17" t="str">
        <f t="shared" si="8"/>
        <v>0215</v>
      </c>
      <c r="CO193" s="17" t="str">
        <f t="shared" si="10"/>
        <v>188215東通村</v>
      </c>
      <c r="CP193" s="17" t="s">
        <v>4618</v>
      </c>
      <c r="CQ193" s="17" t="b">
        <f t="shared" si="11"/>
        <v>1</v>
      </c>
    </row>
    <row r="194" spans="12:95">
      <c r="L194" s="17" t="s">
        <v>4619</v>
      </c>
      <c r="M194" s="17" t="s">
        <v>4620</v>
      </c>
      <c r="N194" s="27" t="s">
        <v>4621</v>
      </c>
      <c r="O194" s="29" t="s">
        <v>1440</v>
      </c>
      <c r="P194" s="29" t="s">
        <v>4622</v>
      </c>
      <c r="Q194" s="29" t="s">
        <v>1440</v>
      </c>
      <c r="R194" s="29" t="s">
        <v>1802</v>
      </c>
      <c r="S194" s="28" t="s">
        <v>1564</v>
      </c>
      <c r="T194" s="28" t="s">
        <v>1806</v>
      </c>
      <c r="U194" s="28" t="s">
        <v>1440</v>
      </c>
      <c r="V194" s="28" t="s">
        <v>1557</v>
      </c>
      <c r="W194" s="28" t="s">
        <v>4623</v>
      </c>
      <c r="X194" s="17">
        <v>1</v>
      </c>
      <c r="CJ194" s="26" t="s">
        <v>1379</v>
      </c>
      <c r="CK194" s="26" t="s">
        <v>3085</v>
      </c>
      <c r="CL194" s="26" t="str">
        <f t="shared" si="9"/>
        <v>青森県風間浦村</v>
      </c>
      <c r="CM194" s="26">
        <v>189</v>
      </c>
      <c r="CN194" s="17" t="str">
        <f t="shared" si="8"/>
        <v>0216</v>
      </c>
      <c r="CO194" s="17" t="str">
        <f t="shared" si="10"/>
        <v>189216風間浦村</v>
      </c>
      <c r="CP194" s="17" t="s">
        <v>4624</v>
      </c>
      <c r="CQ194" s="17" t="b">
        <f t="shared" si="11"/>
        <v>1</v>
      </c>
    </row>
    <row r="195" spans="12:95">
      <c r="L195" s="17" t="s">
        <v>4625</v>
      </c>
      <c r="M195" s="17" t="s">
        <v>4626</v>
      </c>
      <c r="N195" s="27" t="s">
        <v>4627</v>
      </c>
      <c r="O195" s="29" t="s">
        <v>1440</v>
      </c>
      <c r="P195" s="29" t="s">
        <v>4628</v>
      </c>
      <c r="Q195" s="29" t="s">
        <v>1440</v>
      </c>
      <c r="R195" s="29" t="s">
        <v>1861</v>
      </c>
      <c r="S195" s="28" t="s">
        <v>1626</v>
      </c>
      <c r="T195" s="28" t="s">
        <v>1865</v>
      </c>
      <c r="U195" s="28" t="s">
        <v>1440</v>
      </c>
      <c r="V195" s="28" t="s">
        <v>1557</v>
      </c>
      <c r="W195" s="28" t="s">
        <v>4629</v>
      </c>
      <c r="X195" s="17">
        <v>1</v>
      </c>
      <c r="CJ195" s="26" t="s">
        <v>1379</v>
      </c>
      <c r="CK195" s="26" t="s">
        <v>3115</v>
      </c>
      <c r="CL195" s="26" t="str">
        <f t="shared" si="9"/>
        <v>青森県佐井村</v>
      </c>
      <c r="CM195" s="26">
        <v>190</v>
      </c>
      <c r="CN195" s="17" t="str">
        <f t="shared" si="8"/>
        <v>0217</v>
      </c>
      <c r="CO195" s="17" t="str">
        <f t="shared" si="10"/>
        <v>190217佐井村</v>
      </c>
      <c r="CP195" s="17" t="s">
        <v>4630</v>
      </c>
      <c r="CQ195" s="17" t="b">
        <f t="shared" si="11"/>
        <v>1</v>
      </c>
    </row>
    <row r="196" spans="12:95">
      <c r="L196" s="17" t="s">
        <v>4631</v>
      </c>
      <c r="M196" s="17" t="s">
        <v>4632</v>
      </c>
      <c r="N196" s="27" t="s">
        <v>4633</v>
      </c>
      <c r="O196" s="29" t="s">
        <v>1440</v>
      </c>
      <c r="P196" s="29" t="s">
        <v>4634</v>
      </c>
      <c r="Q196" s="29" t="s">
        <v>1440</v>
      </c>
      <c r="R196" s="29" t="s">
        <v>1919</v>
      </c>
      <c r="S196" s="28" t="s">
        <v>1502</v>
      </c>
      <c r="T196" s="28" t="s">
        <v>1923</v>
      </c>
      <c r="U196" s="28" t="s">
        <v>1440</v>
      </c>
      <c r="V196" s="28" t="s">
        <v>1557</v>
      </c>
      <c r="W196" s="28" t="s">
        <v>4635</v>
      </c>
      <c r="X196" s="17">
        <v>1</v>
      </c>
      <c r="CJ196" s="26" t="s">
        <v>1379</v>
      </c>
      <c r="CK196" s="26" t="s">
        <v>3145</v>
      </c>
      <c r="CL196" s="26" t="str">
        <f t="shared" si="9"/>
        <v>青森県三戸町</v>
      </c>
      <c r="CM196" s="26">
        <v>191</v>
      </c>
      <c r="CN196" s="17" t="str">
        <f t="shared" si="8"/>
        <v>0218</v>
      </c>
      <c r="CO196" s="17" t="str">
        <f t="shared" si="10"/>
        <v>191218三戸町</v>
      </c>
      <c r="CP196" s="17" t="s">
        <v>4636</v>
      </c>
      <c r="CQ196" s="17" t="b">
        <f t="shared" si="11"/>
        <v>1</v>
      </c>
    </row>
    <row r="197" spans="12:95">
      <c r="L197" s="17" t="s">
        <v>4637</v>
      </c>
      <c r="M197" s="17" t="s">
        <v>4638</v>
      </c>
      <c r="N197" s="27" t="s">
        <v>4639</v>
      </c>
      <c r="O197" s="29" t="s">
        <v>1440</v>
      </c>
      <c r="P197" s="29" t="s">
        <v>4640</v>
      </c>
      <c r="Q197" s="29" t="s">
        <v>1440</v>
      </c>
      <c r="R197" s="29" t="s">
        <v>1976</v>
      </c>
      <c r="S197" s="28" t="s">
        <v>2525</v>
      </c>
      <c r="T197" s="28" t="s">
        <v>1980</v>
      </c>
      <c r="U197" s="28" t="s">
        <v>1440</v>
      </c>
      <c r="V197" s="28" t="s">
        <v>1557</v>
      </c>
      <c r="W197" s="28" t="s">
        <v>4641</v>
      </c>
      <c r="X197" s="17">
        <v>1</v>
      </c>
      <c r="CJ197" s="26" t="s">
        <v>1379</v>
      </c>
      <c r="CK197" s="26" t="s">
        <v>3176</v>
      </c>
      <c r="CL197" s="26" t="str">
        <f t="shared" si="9"/>
        <v>青森県五戸町</v>
      </c>
      <c r="CM197" s="26">
        <v>192</v>
      </c>
      <c r="CN197" s="17" t="str">
        <f t="shared" si="8"/>
        <v>0219</v>
      </c>
      <c r="CO197" s="17" t="str">
        <f t="shared" si="10"/>
        <v>192219五戸町</v>
      </c>
      <c r="CP197" s="17" t="s">
        <v>4642</v>
      </c>
      <c r="CQ197" s="17" t="b">
        <f t="shared" si="11"/>
        <v>1</v>
      </c>
    </row>
    <row r="198" spans="12:95">
      <c r="L198" s="17" t="s">
        <v>4643</v>
      </c>
      <c r="M198" s="17" t="s">
        <v>4644</v>
      </c>
      <c r="N198" s="27" t="s">
        <v>4645</v>
      </c>
      <c r="O198" s="29" t="s">
        <v>1440</v>
      </c>
      <c r="P198" s="29" t="s">
        <v>4646</v>
      </c>
      <c r="Q198" s="29" t="s">
        <v>1440</v>
      </c>
      <c r="R198" s="29" t="s">
        <v>2033</v>
      </c>
      <c r="S198" s="28" t="s">
        <v>2311</v>
      </c>
      <c r="T198" s="28" t="s">
        <v>2036</v>
      </c>
      <c r="U198" s="28" t="s">
        <v>1440</v>
      </c>
      <c r="V198" s="28" t="s">
        <v>1557</v>
      </c>
      <c r="W198" s="28" t="s">
        <v>4647</v>
      </c>
      <c r="X198" s="17">
        <v>1</v>
      </c>
      <c r="CJ198" s="26" t="s">
        <v>1379</v>
      </c>
      <c r="CK198" s="26" t="s">
        <v>3201</v>
      </c>
      <c r="CL198" s="26" t="str">
        <f t="shared" si="9"/>
        <v>青森県田子町</v>
      </c>
      <c r="CM198" s="26">
        <v>193</v>
      </c>
      <c r="CN198" s="17" t="str">
        <f t="shared" ref="CN198:CN261" si="12">VLOOKUP(CL198,$M$6:$N$1784,2,FALSE)</f>
        <v>0220</v>
      </c>
      <c r="CO198" s="17" t="str">
        <f t="shared" si="10"/>
        <v>193220田子町</v>
      </c>
      <c r="CP198" s="17" t="s">
        <v>4648</v>
      </c>
      <c r="CQ198" s="17" t="b">
        <f t="shared" si="11"/>
        <v>1</v>
      </c>
    </row>
    <row r="199" spans="12:95">
      <c r="L199" s="17" t="s">
        <v>4649</v>
      </c>
      <c r="M199" s="17" t="s">
        <v>4650</v>
      </c>
      <c r="N199" s="27" t="s">
        <v>4651</v>
      </c>
      <c r="O199" s="29" t="s">
        <v>1440</v>
      </c>
      <c r="P199" s="29" t="s">
        <v>4652</v>
      </c>
      <c r="Q199" s="29" t="s">
        <v>1440</v>
      </c>
      <c r="R199" s="29" t="s">
        <v>4653</v>
      </c>
      <c r="S199" s="28" t="s">
        <v>1862</v>
      </c>
      <c r="T199" s="28" t="s">
        <v>2092</v>
      </c>
      <c r="U199" s="28" t="s">
        <v>1440</v>
      </c>
      <c r="V199" s="28" t="s">
        <v>1557</v>
      </c>
      <c r="W199" s="28" t="s">
        <v>4654</v>
      </c>
      <c r="X199" s="17">
        <v>1</v>
      </c>
      <c r="CJ199" s="26" t="s">
        <v>1379</v>
      </c>
      <c r="CK199" s="26" t="s">
        <v>2440</v>
      </c>
      <c r="CL199" s="26" t="str">
        <f t="shared" ref="CL199:CL262" si="13">CJ199&amp;CK199</f>
        <v>青森県南部町</v>
      </c>
      <c r="CM199" s="26">
        <v>194</v>
      </c>
      <c r="CN199" s="17" t="str">
        <f t="shared" si="12"/>
        <v>0221</v>
      </c>
      <c r="CO199" s="17" t="str">
        <f t="shared" ref="CO199:CO262" si="14">CM199&amp;TEXT(CN199,0)&amp;CK199</f>
        <v>194221南部町</v>
      </c>
      <c r="CP199" s="17" t="s">
        <v>4655</v>
      </c>
      <c r="CQ199" s="17" t="b">
        <f t="shared" ref="CQ199:CQ262" si="15">CO199=CP199</f>
        <v>1</v>
      </c>
    </row>
    <row r="200" spans="12:95">
      <c r="L200" s="17" t="s">
        <v>4656</v>
      </c>
      <c r="M200" s="17" t="s">
        <v>4657</v>
      </c>
      <c r="N200" s="27" t="s">
        <v>4658</v>
      </c>
      <c r="O200" s="29" t="s">
        <v>1440</v>
      </c>
      <c r="P200" s="29" t="s">
        <v>4659</v>
      </c>
      <c r="Q200" s="29" t="s">
        <v>1440</v>
      </c>
      <c r="R200" s="29" t="s">
        <v>3142</v>
      </c>
      <c r="S200" s="28" t="s">
        <v>1977</v>
      </c>
      <c r="T200" s="28" t="s">
        <v>2148</v>
      </c>
      <c r="U200" s="28" t="s">
        <v>1440</v>
      </c>
      <c r="V200" s="28" t="s">
        <v>1557</v>
      </c>
      <c r="W200" s="28" t="s">
        <v>4660</v>
      </c>
      <c r="X200" s="17">
        <v>1</v>
      </c>
      <c r="CJ200" s="26" t="s">
        <v>1379</v>
      </c>
      <c r="CK200" s="26" t="s">
        <v>3249</v>
      </c>
      <c r="CL200" s="26" t="str">
        <f t="shared" si="13"/>
        <v>青森県階上町</v>
      </c>
      <c r="CM200" s="26">
        <v>195</v>
      </c>
      <c r="CN200" s="17" t="str">
        <f t="shared" si="12"/>
        <v>0222</v>
      </c>
      <c r="CO200" s="17" t="str">
        <f t="shared" si="14"/>
        <v>195222階上町</v>
      </c>
      <c r="CP200" s="17" t="s">
        <v>4661</v>
      </c>
      <c r="CQ200" s="17" t="b">
        <f t="shared" si="15"/>
        <v>1</v>
      </c>
    </row>
    <row r="201" spans="12:95">
      <c r="L201" s="17" t="s">
        <v>4662</v>
      </c>
      <c r="M201" s="17" t="s">
        <v>4663</v>
      </c>
      <c r="N201" s="27" t="s">
        <v>4664</v>
      </c>
      <c r="O201" s="29" t="s">
        <v>1440</v>
      </c>
      <c r="P201" s="29" t="s">
        <v>4665</v>
      </c>
      <c r="Q201" s="29" t="s">
        <v>1440</v>
      </c>
      <c r="R201" s="29" t="s">
        <v>3173</v>
      </c>
      <c r="S201" s="28" t="s">
        <v>1743</v>
      </c>
      <c r="T201" s="28" t="s">
        <v>2203</v>
      </c>
      <c r="U201" s="28" t="s">
        <v>1440</v>
      </c>
      <c r="V201" s="28" t="s">
        <v>1557</v>
      </c>
      <c r="W201" s="28" t="s">
        <v>4666</v>
      </c>
      <c r="X201" s="17">
        <v>1</v>
      </c>
      <c r="CJ201" s="26" t="s">
        <v>1379</v>
      </c>
      <c r="CK201" s="26" t="s">
        <v>3274</v>
      </c>
      <c r="CL201" s="26" t="str">
        <f t="shared" si="13"/>
        <v>青森県新郷村</v>
      </c>
      <c r="CM201" s="26">
        <v>196</v>
      </c>
      <c r="CN201" s="17" t="str">
        <f t="shared" si="12"/>
        <v>0223</v>
      </c>
      <c r="CO201" s="17" t="str">
        <f t="shared" si="14"/>
        <v>196223新郷村</v>
      </c>
      <c r="CP201" s="17" t="s">
        <v>4667</v>
      </c>
      <c r="CQ201" s="17" t="b">
        <f t="shared" si="15"/>
        <v>1</v>
      </c>
    </row>
    <row r="202" spans="12:95">
      <c r="L202" s="17" t="s">
        <v>4668</v>
      </c>
      <c r="M202" s="17" t="s">
        <v>4669</v>
      </c>
      <c r="N202" s="27" t="s">
        <v>4670</v>
      </c>
      <c r="O202" s="29" t="s">
        <v>1440</v>
      </c>
      <c r="P202" s="29" t="s">
        <v>4671</v>
      </c>
      <c r="Q202" s="29" t="s">
        <v>1440</v>
      </c>
      <c r="R202" s="29" t="s">
        <v>4672</v>
      </c>
      <c r="S202" s="28" t="s">
        <v>1502</v>
      </c>
      <c r="T202" s="28" t="s">
        <v>2258</v>
      </c>
      <c r="U202" s="28" t="s">
        <v>1440</v>
      </c>
      <c r="V202" s="28" t="s">
        <v>1557</v>
      </c>
      <c r="W202" s="28" t="s">
        <v>4673</v>
      </c>
      <c r="X202" s="17">
        <v>1</v>
      </c>
      <c r="CJ202" s="26" t="s">
        <v>1380</v>
      </c>
      <c r="CK202" s="26" t="s">
        <v>1506</v>
      </c>
      <c r="CL202" s="26" t="str">
        <f t="shared" si="13"/>
        <v>岩手県盛岡市</v>
      </c>
      <c r="CM202" s="26">
        <v>197</v>
      </c>
      <c r="CN202" s="17" t="str">
        <f t="shared" si="12"/>
        <v>0224</v>
      </c>
      <c r="CO202" s="17" t="str">
        <f t="shared" si="14"/>
        <v>197224盛岡市</v>
      </c>
      <c r="CP202" s="17" t="s">
        <v>4674</v>
      </c>
      <c r="CQ202" s="17" t="b">
        <f t="shared" si="15"/>
        <v>1</v>
      </c>
    </row>
    <row r="203" spans="12:95">
      <c r="L203" s="17" t="s">
        <v>4675</v>
      </c>
      <c r="M203" s="17" t="s">
        <v>4676</v>
      </c>
      <c r="N203" s="27" t="s">
        <v>4677</v>
      </c>
      <c r="O203" s="29" t="s">
        <v>1440</v>
      </c>
      <c r="P203" s="29" t="s">
        <v>4678</v>
      </c>
      <c r="Q203" s="29" t="s">
        <v>1440</v>
      </c>
      <c r="R203" s="29" t="s">
        <v>4679</v>
      </c>
      <c r="S203" s="28" t="s">
        <v>1920</v>
      </c>
      <c r="T203" s="28" t="s">
        <v>2314</v>
      </c>
      <c r="U203" s="28" t="s">
        <v>1440</v>
      </c>
      <c r="V203" s="28" t="s">
        <v>1557</v>
      </c>
      <c r="W203" s="28" t="s">
        <v>4680</v>
      </c>
      <c r="X203" s="17">
        <v>1</v>
      </c>
      <c r="CJ203" s="26" t="s">
        <v>1380</v>
      </c>
      <c r="CK203" s="26" t="s">
        <v>1568</v>
      </c>
      <c r="CL203" s="26" t="str">
        <f t="shared" si="13"/>
        <v>岩手県宮古市</v>
      </c>
      <c r="CM203" s="26">
        <v>198</v>
      </c>
      <c r="CN203" s="17" t="str">
        <f t="shared" si="12"/>
        <v>0225</v>
      </c>
      <c r="CO203" s="17" t="str">
        <f t="shared" si="14"/>
        <v>198225宮古市</v>
      </c>
      <c r="CP203" s="17" t="s">
        <v>4681</v>
      </c>
      <c r="CQ203" s="17" t="b">
        <f t="shared" si="15"/>
        <v>1</v>
      </c>
    </row>
    <row r="204" spans="12:95">
      <c r="L204" s="17" t="s">
        <v>4682</v>
      </c>
      <c r="M204" s="17" t="s">
        <v>4683</v>
      </c>
      <c r="N204" s="27" t="s">
        <v>4684</v>
      </c>
      <c r="O204" s="29" t="s">
        <v>1440</v>
      </c>
      <c r="P204" s="29" t="s">
        <v>4685</v>
      </c>
      <c r="Q204" s="29" t="s">
        <v>1440</v>
      </c>
      <c r="R204" s="29" t="s">
        <v>4686</v>
      </c>
      <c r="S204" s="28" t="s">
        <v>1743</v>
      </c>
      <c r="T204" s="28" t="s">
        <v>2368</v>
      </c>
      <c r="U204" s="28" t="s">
        <v>1440</v>
      </c>
      <c r="V204" s="28" t="s">
        <v>1557</v>
      </c>
      <c r="W204" s="28" t="s">
        <v>4687</v>
      </c>
      <c r="X204" s="17">
        <v>1</v>
      </c>
      <c r="CJ204" s="26" t="s">
        <v>1380</v>
      </c>
      <c r="CK204" s="26" t="s">
        <v>1630</v>
      </c>
      <c r="CL204" s="26" t="str">
        <f t="shared" si="13"/>
        <v>岩手県大船渡市</v>
      </c>
      <c r="CM204" s="26">
        <v>199</v>
      </c>
      <c r="CN204" s="17" t="str">
        <f t="shared" si="12"/>
        <v>0226</v>
      </c>
      <c r="CO204" s="17" t="str">
        <f t="shared" si="14"/>
        <v>199226大船渡市</v>
      </c>
      <c r="CP204" s="17" t="s">
        <v>4688</v>
      </c>
      <c r="CQ204" s="17" t="b">
        <f t="shared" si="15"/>
        <v>1</v>
      </c>
    </row>
    <row r="205" spans="12:95">
      <c r="L205" s="17" t="s">
        <v>4689</v>
      </c>
      <c r="M205" s="17" t="s">
        <v>4690</v>
      </c>
      <c r="N205" s="27" t="s">
        <v>4691</v>
      </c>
      <c r="O205" s="29" t="s">
        <v>1440</v>
      </c>
      <c r="P205" s="29" t="s">
        <v>4692</v>
      </c>
      <c r="Q205" s="29" t="s">
        <v>1440</v>
      </c>
      <c r="R205" s="29" t="s">
        <v>3316</v>
      </c>
      <c r="S205" s="28" t="s">
        <v>1803</v>
      </c>
      <c r="T205" s="28" t="s">
        <v>2423</v>
      </c>
      <c r="U205" s="28" t="s">
        <v>1440</v>
      </c>
      <c r="V205" s="28" t="s">
        <v>1557</v>
      </c>
      <c r="W205" s="28" t="s">
        <v>4693</v>
      </c>
      <c r="X205" s="17">
        <v>1</v>
      </c>
      <c r="CJ205" s="26" t="s">
        <v>1380</v>
      </c>
      <c r="CK205" s="26" t="s">
        <v>1688</v>
      </c>
      <c r="CL205" s="26" t="str">
        <f t="shared" si="13"/>
        <v>岩手県花巻市</v>
      </c>
      <c r="CM205" s="26">
        <v>200</v>
      </c>
      <c r="CN205" s="17" t="str">
        <f t="shared" si="12"/>
        <v>0227</v>
      </c>
      <c r="CO205" s="17" t="str">
        <f t="shared" si="14"/>
        <v>200227花巻市</v>
      </c>
      <c r="CP205" s="17" t="s">
        <v>4694</v>
      </c>
      <c r="CQ205" s="17" t="b">
        <f t="shared" si="15"/>
        <v>1</v>
      </c>
    </row>
    <row r="206" spans="12:95">
      <c r="L206" s="17" t="s">
        <v>4695</v>
      </c>
      <c r="M206" s="17" t="s">
        <v>4696</v>
      </c>
      <c r="N206" s="27" t="s">
        <v>4697</v>
      </c>
      <c r="O206" s="29" t="s">
        <v>1440</v>
      </c>
      <c r="P206" s="29" t="s">
        <v>4698</v>
      </c>
      <c r="Q206" s="29" t="s">
        <v>1440</v>
      </c>
      <c r="R206" s="29" t="s">
        <v>3395</v>
      </c>
      <c r="S206" s="28" t="s">
        <v>1743</v>
      </c>
      <c r="T206" s="28" t="s">
        <v>2477</v>
      </c>
      <c r="U206" s="28" t="s">
        <v>1440</v>
      </c>
      <c r="V206" s="28" t="s">
        <v>1557</v>
      </c>
      <c r="W206" s="28" t="s">
        <v>4699</v>
      </c>
      <c r="X206" s="17">
        <v>1</v>
      </c>
      <c r="CJ206" s="26" t="s">
        <v>1380</v>
      </c>
      <c r="CK206" s="26" t="s">
        <v>1747</v>
      </c>
      <c r="CL206" s="26" t="str">
        <f t="shared" si="13"/>
        <v>岩手県北上市</v>
      </c>
      <c r="CM206" s="26">
        <v>201</v>
      </c>
      <c r="CN206" s="17" t="str">
        <f t="shared" si="12"/>
        <v>0228</v>
      </c>
      <c r="CO206" s="17" t="str">
        <f t="shared" si="14"/>
        <v>201228北上市</v>
      </c>
      <c r="CP206" s="17" t="s">
        <v>4700</v>
      </c>
      <c r="CQ206" s="17" t="b">
        <f t="shared" si="15"/>
        <v>1</v>
      </c>
    </row>
    <row r="207" spans="12:95">
      <c r="L207" s="17" t="s">
        <v>4701</v>
      </c>
      <c r="M207" s="17" t="s">
        <v>4702</v>
      </c>
      <c r="N207" s="27" t="s">
        <v>4703</v>
      </c>
      <c r="O207" s="29" t="s">
        <v>1440</v>
      </c>
      <c r="P207" s="29" t="s">
        <v>4704</v>
      </c>
      <c r="Q207" s="29" t="s">
        <v>1440</v>
      </c>
      <c r="R207" s="29" t="s">
        <v>3411</v>
      </c>
      <c r="S207" s="28" t="s">
        <v>1803</v>
      </c>
      <c r="T207" s="28" t="s">
        <v>2528</v>
      </c>
      <c r="U207" s="28" t="s">
        <v>1440</v>
      </c>
      <c r="V207" s="28" t="s">
        <v>1557</v>
      </c>
      <c r="W207" s="28" t="s">
        <v>4705</v>
      </c>
      <c r="X207" s="17">
        <v>1</v>
      </c>
      <c r="CJ207" s="26" t="s">
        <v>1380</v>
      </c>
      <c r="CK207" s="26" t="s">
        <v>1807</v>
      </c>
      <c r="CL207" s="26" t="str">
        <f t="shared" si="13"/>
        <v>岩手県遠野市</v>
      </c>
      <c r="CM207" s="26">
        <v>202</v>
      </c>
      <c r="CN207" s="17" t="str">
        <f t="shared" si="12"/>
        <v>0229</v>
      </c>
      <c r="CO207" s="17" t="str">
        <f t="shared" si="14"/>
        <v>202229遠野市</v>
      </c>
      <c r="CP207" s="17" t="s">
        <v>4706</v>
      </c>
      <c r="CQ207" s="17" t="b">
        <f t="shared" si="15"/>
        <v>1</v>
      </c>
    </row>
    <row r="208" spans="12:95">
      <c r="L208" s="17" t="s">
        <v>4707</v>
      </c>
      <c r="M208" s="17" t="s">
        <v>4708</v>
      </c>
      <c r="N208" s="27" t="s">
        <v>4709</v>
      </c>
      <c r="O208" s="29" t="s">
        <v>1440</v>
      </c>
      <c r="P208" s="29" t="s">
        <v>4710</v>
      </c>
      <c r="Q208" s="29" t="s">
        <v>1440</v>
      </c>
      <c r="R208" s="29" t="s">
        <v>3456</v>
      </c>
      <c r="S208" s="28" t="s">
        <v>1564</v>
      </c>
      <c r="T208" s="28" t="s">
        <v>2578</v>
      </c>
      <c r="U208" s="28" t="s">
        <v>1440</v>
      </c>
      <c r="V208" s="28" t="s">
        <v>1557</v>
      </c>
      <c r="W208" s="28" t="s">
        <v>4710</v>
      </c>
      <c r="X208" s="17">
        <v>1</v>
      </c>
      <c r="CJ208" s="26" t="s">
        <v>1380</v>
      </c>
      <c r="CK208" s="26" t="s">
        <v>1866</v>
      </c>
      <c r="CL208" s="26" t="str">
        <f t="shared" si="13"/>
        <v>岩手県陸前高田市</v>
      </c>
      <c r="CM208" s="26">
        <v>203</v>
      </c>
      <c r="CN208" s="17" t="str">
        <f t="shared" si="12"/>
        <v>0230</v>
      </c>
      <c r="CO208" s="17" t="str">
        <f t="shared" si="14"/>
        <v>203230陸前高田市</v>
      </c>
      <c r="CP208" s="17" t="s">
        <v>4711</v>
      </c>
      <c r="CQ208" s="17" t="b">
        <f t="shared" si="15"/>
        <v>1</v>
      </c>
    </row>
    <row r="209" spans="12:95">
      <c r="L209" s="17" t="s">
        <v>4712</v>
      </c>
      <c r="M209" s="17" t="s">
        <v>4713</v>
      </c>
      <c r="N209" s="27" t="s">
        <v>4714</v>
      </c>
      <c r="O209" s="29" t="s">
        <v>1440</v>
      </c>
      <c r="P209" s="29" t="s">
        <v>4715</v>
      </c>
      <c r="Q209" s="29" t="s">
        <v>1440</v>
      </c>
      <c r="R209" s="29" t="s">
        <v>4716</v>
      </c>
      <c r="S209" s="28" t="s">
        <v>1803</v>
      </c>
      <c r="T209" s="28" t="s">
        <v>2625</v>
      </c>
      <c r="U209" s="28" t="s">
        <v>1440</v>
      </c>
      <c r="V209" s="28" t="s">
        <v>1557</v>
      </c>
      <c r="W209" s="28" t="s">
        <v>4717</v>
      </c>
      <c r="X209" s="17">
        <v>1</v>
      </c>
      <c r="CJ209" s="26" t="s">
        <v>1380</v>
      </c>
      <c r="CK209" s="26" t="s">
        <v>1924</v>
      </c>
      <c r="CL209" s="26" t="str">
        <f t="shared" si="13"/>
        <v>岩手県釜石市</v>
      </c>
      <c r="CM209" s="26">
        <v>204</v>
      </c>
      <c r="CN209" s="17" t="str">
        <f t="shared" si="12"/>
        <v>0231</v>
      </c>
      <c r="CO209" s="17" t="str">
        <f t="shared" si="14"/>
        <v>204231釜石市</v>
      </c>
      <c r="CP209" s="17" t="s">
        <v>4718</v>
      </c>
      <c r="CQ209" s="17" t="b">
        <f t="shared" si="15"/>
        <v>1</v>
      </c>
    </row>
    <row r="210" spans="12:95">
      <c r="L210" s="17" t="s">
        <v>4719</v>
      </c>
      <c r="M210" s="17" t="s">
        <v>4720</v>
      </c>
      <c r="N210" s="27" t="s">
        <v>4721</v>
      </c>
      <c r="O210" s="29" t="s">
        <v>1440</v>
      </c>
      <c r="P210" s="29" t="s">
        <v>4722</v>
      </c>
      <c r="Q210" s="29" t="s">
        <v>1440</v>
      </c>
      <c r="R210" s="29" t="s">
        <v>4723</v>
      </c>
      <c r="S210" s="28" t="s">
        <v>1977</v>
      </c>
      <c r="T210" s="28" t="s">
        <v>2671</v>
      </c>
      <c r="U210" s="28" t="s">
        <v>1440</v>
      </c>
      <c r="V210" s="28" t="s">
        <v>1557</v>
      </c>
      <c r="W210" s="28" t="s">
        <v>4724</v>
      </c>
      <c r="X210" s="17">
        <v>1</v>
      </c>
      <c r="CJ210" s="26" t="s">
        <v>1380</v>
      </c>
      <c r="CK210" s="26" t="s">
        <v>1981</v>
      </c>
      <c r="CL210" s="26" t="str">
        <f t="shared" si="13"/>
        <v>岩手県奥州市</v>
      </c>
      <c r="CM210" s="26">
        <v>205</v>
      </c>
      <c r="CN210" s="17" t="str">
        <f t="shared" si="12"/>
        <v>0232</v>
      </c>
      <c r="CO210" s="17" t="str">
        <f t="shared" si="14"/>
        <v>205232奥州市</v>
      </c>
      <c r="CP210" s="17" t="s">
        <v>4725</v>
      </c>
      <c r="CQ210" s="17" t="b">
        <f t="shared" si="15"/>
        <v>1</v>
      </c>
    </row>
    <row r="211" spans="12:95">
      <c r="L211" s="17" t="s">
        <v>4726</v>
      </c>
      <c r="M211" s="17" t="s">
        <v>4727</v>
      </c>
      <c r="N211" s="27" t="s">
        <v>4728</v>
      </c>
      <c r="O211" s="29" t="s">
        <v>1440</v>
      </c>
      <c r="P211" s="29" t="s">
        <v>4729</v>
      </c>
      <c r="Q211" s="29" t="s">
        <v>1440</v>
      </c>
      <c r="R211" s="29" t="s">
        <v>4730</v>
      </c>
      <c r="S211" s="28" t="s">
        <v>1626</v>
      </c>
      <c r="T211" s="28" t="s">
        <v>2717</v>
      </c>
      <c r="U211" s="28" t="s">
        <v>1440</v>
      </c>
      <c r="V211" s="28" t="s">
        <v>1557</v>
      </c>
      <c r="W211" s="28" t="s">
        <v>4731</v>
      </c>
      <c r="X211" s="17">
        <v>1</v>
      </c>
      <c r="CJ211" s="26" t="s">
        <v>1380</v>
      </c>
      <c r="CK211" s="26" t="s">
        <v>2037</v>
      </c>
      <c r="CL211" s="26" t="str">
        <f t="shared" si="13"/>
        <v>岩手県滝沢市</v>
      </c>
      <c r="CM211" s="26">
        <v>206</v>
      </c>
      <c r="CN211" s="17" t="str">
        <f t="shared" si="12"/>
        <v>0233</v>
      </c>
      <c r="CO211" s="17" t="str">
        <f t="shared" si="14"/>
        <v>206233滝沢市</v>
      </c>
      <c r="CP211" s="17" t="s">
        <v>4732</v>
      </c>
      <c r="CQ211" s="17" t="b">
        <f t="shared" si="15"/>
        <v>1</v>
      </c>
    </row>
    <row r="212" spans="12:95">
      <c r="L212" s="17" t="s">
        <v>4733</v>
      </c>
      <c r="M212" s="17" t="s">
        <v>4734</v>
      </c>
      <c r="N212" s="27" t="s">
        <v>4735</v>
      </c>
      <c r="O212" s="29" t="s">
        <v>1440</v>
      </c>
      <c r="P212" s="29" t="s">
        <v>4736</v>
      </c>
      <c r="Q212" s="29" t="s">
        <v>1440</v>
      </c>
      <c r="R212" s="29" t="s">
        <v>4507</v>
      </c>
      <c r="S212" s="28" t="s">
        <v>1920</v>
      </c>
      <c r="T212" s="28" t="s">
        <v>2761</v>
      </c>
      <c r="U212" s="28" t="s">
        <v>1440</v>
      </c>
      <c r="V212" s="28" t="s">
        <v>1557</v>
      </c>
      <c r="W212" s="28" t="s">
        <v>4737</v>
      </c>
      <c r="X212" s="17">
        <v>1</v>
      </c>
      <c r="CJ212" s="26" t="s">
        <v>1380</v>
      </c>
      <c r="CK212" s="26" t="s">
        <v>2093</v>
      </c>
      <c r="CL212" s="26" t="str">
        <f t="shared" si="13"/>
        <v>岩手県雫石町</v>
      </c>
      <c r="CM212" s="26">
        <v>207</v>
      </c>
      <c r="CN212" s="17" t="str">
        <f t="shared" si="12"/>
        <v>0234</v>
      </c>
      <c r="CO212" s="17" t="str">
        <f t="shared" si="14"/>
        <v>207234雫石町</v>
      </c>
      <c r="CP212" s="17" t="s">
        <v>4738</v>
      </c>
      <c r="CQ212" s="17" t="b">
        <f t="shared" si="15"/>
        <v>1</v>
      </c>
    </row>
    <row r="213" spans="12:95">
      <c r="L213" s="17" t="s">
        <v>4739</v>
      </c>
      <c r="M213" s="17" t="s">
        <v>4740</v>
      </c>
      <c r="N213" s="27" t="s">
        <v>4741</v>
      </c>
      <c r="O213" s="29" t="s">
        <v>1440</v>
      </c>
      <c r="P213" s="29" t="s">
        <v>4742</v>
      </c>
      <c r="Q213" s="29" t="s">
        <v>1440</v>
      </c>
      <c r="R213" s="29" t="s">
        <v>3512</v>
      </c>
      <c r="S213" s="28" t="s">
        <v>1977</v>
      </c>
      <c r="T213" s="28" t="s">
        <v>2803</v>
      </c>
      <c r="U213" s="28" t="s">
        <v>1440</v>
      </c>
      <c r="V213" s="28" t="s">
        <v>1557</v>
      </c>
      <c r="W213" s="28" t="s">
        <v>4743</v>
      </c>
      <c r="X213" s="17">
        <v>1</v>
      </c>
      <c r="CJ213" s="26" t="s">
        <v>1380</v>
      </c>
      <c r="CK213" s="26" t="s">
        <v>2149</v>
      </c>
      <c r="CL213" s="26" t="str">
        <f t="shared" si="13"/>
        <v>岩手県紫波町</v>
      </c>
      <c r="CM213" s="26">
        <v>208</v>
      </c>
      <c r="CN213" s="17" t="str">
        <f t="shared" si="12"/>
        <v>0235</v>
      </c>
      <c r="CO213" s="17" t="str">
        <f t="shared" si="14"/>
        <v>208235紫波町</v>
      </c>
      <c r="CP213" s="17" t="s">
        <v>4744</v>
      </c>
      <c r="CQ213" s="17" t="b">
        <f t="shared" si="15"/>
        <v>1</v>
      </c>
    </row>
    <row r="214" spans="12:95">
      <c r="L214" s="17" t="s">
        <v>4745</v>
      </c>
      <c r="M214" s="17" t="s">
        <v>4746</v>
      </c>
      <c r="N214" s="27" t="s">
        <v>4747</v>
      </c>
      <c r="O214" s="29" t="s">
        <v>1440</v>
      </c>
      <c r="P214" s="29" t="s">
        <v>4748</v>
      </c>
      <c r="Q214" s="29" t="s">
        <v>1440</v>
      </c>
      <c r="R214" s="29" t="s">
        <v>4531</v>
      </c>
      <c r="S214" s="28" t="s">
        <v>1626</v>
      </c>
      <c r="T214" s="28" t="s">
        <v>2845</v>
      </c>
      <c r="U214" s="28" t="s">
        <v>1440</v>
      </c>
      <c r="V214" s="28" t="s">
        <v>1557</v>
      </c>
      <c r="W214" s="28" t="s">
        <v>4749</v>
      </c>
      <c r="X214" s="17">
        <v>1</v>
      </c>
      <c r="CJ214" s="26" t="s">
        <v>1380</v>
      </c>
      <c r="CK214" s="26" t="s">
        <v>2204</v>
      </c>
      <c r="CL214" s="26" t="str">
        <f t="shared" si="13"/>
        <v>岩手県矢巾町</v>
      </c>
      <c r="CM214" s="26">
        <v>209</v>
      </c>
      <c r="CN214" s="17" t="str">
        <f t="shared" si="12"/>
        <v>0236</v>
      </c>
      <c r="CO214" s="17" t="str">
        <f t="shared" si="14"/>
        <v>209236矢巾町</v>
      </c>
      <c r="CP214" s="17" t="s">
        <v>4750</v>
      </c>
      <c r="CQ214" s="17" t="b">
        <f t="shared" si="15"/>
        <v>1</v>
      </c>
    </row>
    <row r="215" spans="12:95">
      <c r="L215" s="17" t="s">
        <v>4751</v>
      </c>
      <c r="M215" s="17" t="s">
        <v>4752</v>
      </c>
      <c r="N215" s="27" t="s">
        <v>4753</v>
      </c>
      <c r="O215" s="29" t="s">
        <v>1440</v>
      </c>
      <c r="P215" s="29" t="s">
        <v>4754</v>
      </c>
      <c r="Q215" s="29" t="s">
        <v>1440</v>
      </c>
      <c r="R215" s="29" t="s">
        <v>4539</v>
      </c>
      <c r="S215" s="28" t="s">
        <v>1502</v>
      </c>
      <c r="T215" s="28" t="s">
        <v>2884</v>
      </c>
      <c r="U215" s="28" t="s">
        <v>1440</v>
      </c>
      <c r="V215" s="28" t="s">
        <v>1557</v>
      </c>
      <c r="W215" s="28" t="s">
        <v>4755</v>
      </c>
      <c r="X215" s="17">
        <v>1</v>
      </c>
      <c r="CJ215" s="26" t="s">
        <v>1380</v>
      </c>
      <c r="CK215" s="26" t="s">
        <v>2259</v>
      </c>
      <c r="CL215" s="26" t="str">
        <f t="shared" si="13"/>
        <v>岩手県西和賀町</v>
      </c>
      <c r="CM215" s="26">
        <v>210</v>
      </c>
      <c r="CN215" s="17" t="str">
        <f t="shared" si="12"/>
        <v>0237</v>
      </c>
      <c r="CO215" s="17" t="str">
        <f t="shared" si="14"/>
        <v>210237西和賀町</v>
      </c>
      <c r="CP215" s="17" t="s">
        <v>4756</v>
      </c>
      <c r="CQ215" s="17" t="b">
        <f t="shared" si="15"/>
        <v>1</v>
      </c>
    </row>
    <row r="216" spans="12:95">
      <c r="L216" s="17" t="s">
        <v>4757</v>
      </c>
      <c r="M216" s="17" t="s">
        <v>4758</v>
      </c>
      <c r="N216" s="27" t="s">
        <v>4759</v>
      </c>
      <c r="O216" s="29" t="s">
        <v>1440</v>
      </c>
      <c r="P216" s="29" t="s">
        <v>4760</v>
      </c>
      <c r="Q216" s="29" t="s">
        <v>1440</v>
      </c>
      <c r="R216" s="29" t="s">
        <v>3527</v>
      </c>
      <c r="S216" s="28" t="s">
        <v>2311</v>
      </c>
      <c r="T216" s="28" t="s">
        <v>2921</v>
      </c>
      <c r="U216" s="28" t="s">
        <v>1440</v>
      </c>
      <c r="V216" s="28" t="s">
        <v>1557</v>
      </c>
      <c r="W216" s="28" t="s">
        <v>4761</v>
      </c>
      <c r="X216" s="17">
        <v>1</v>
      </c>
      <c r="CJ216" s="26" t="s">
        <v>1380</v>
      </c>
      <c r="CK216" s="26" t="s">
        <v>2315</v>
      </c>
      <c r="CL216" s="26" t="str">
        <f t="shared" si="13"/>
        <v>岩手県金ケ崎町</v>
      </c>
      <c r="CM216" s="26">
        <v>211</v>
      </c>
      <c r="CN216" s="17" t="str">
        <f t="shared" si="12"/>
        <v>0238</v>
      </c>
      <c r="CO216" s="17" t="str">
        <f t="shared" si="14"/>
        <v>211238金ケ崎町</v>
      </c>
      <c r="CP216" s="17" t="s">
        <v>4762</v>
      </c>
      <c r="CQ216" s="17" t="b">
        <f t="shared" si="15"/>
        <v>1</v>
      </c>
    </row>
    <row r="217" spans="12:95">
      <c r="L217" s="17" t="s">
        <v>4763</v>
      </c>
      <c r="M217" s="17" t="s">
        <v>4764</v>
      </c>
      <c r="N217" s="27" t="s">
        <v>4765</v>
      </c>
      <c r="O217" s="29" t="s">
        <v>1440</v>
      </c>
      <c r="P217" s="29" t="s">
        <v>4766</v>
      </c>
      <c r="Q217" s="29" t="s">
        <v>1440</v>
      </c>
      <c r="R217" s="29" t="s">
        <v>4767</v>
      </c>
      <c r="S217" s="28" t="s">
        <v>1502</v>
      </c>
      <c r="T217" s="28" t="s">
        <v>2956</v>
      </c>
      <c r="U217" s="28" t="s">
        <v>1440</v>
      </c>
      <c r="V217" s="28" t="s">
        <v>1557</v>
      </c>
      <c r="W217" s="28" t="s">
        <v>4768</v>
      </c>
      <c r="X217" s="17">
        <v>1</v>
      </c>
      <c r="CJ217" s="26" t="s">
        <v>1380</v>
      </c>
      <c r="CK217" s="26" t="s">
        <v>2369</v>
      </c>
      <c r="CL217" s="26" t="str">
        <f t="shared" si="13"/>
        <v>岩手県住田町</v>
      </c>
      <c r="CM217" s="26">
        <v>212</v>
      </c>
      <c r="CN217" s="17" t="str">
        <f t="shared" si="12"/>
        <v>0239</v>
      </c>
      <c r="CO217" s="17" t="str">
        <f t="shared" si="14"/>
        <v>212239住田町</v>
      </c>
      <c r="CP217" s="17" t="s">
        <v>4769</v>
      </c>
      <c r="CQ217" s="17" t="b">
        <f t="shared" si="15"/>
        <v>1</v>
      </c>
    </row>
    <row r="218" spans="12:95">
      <c r="L218" s="17" t="s">
        <v>4770</v>
      </c>
      <c r="M218" s="17" t="s">
        <v>4771</v>
      </c>
      <c r="N218" s="27" t="s">
        <v>4772</v>
      </c>
      <c r="O218" s="29" t="s">
        <v>1440</v>
      </c>
      <c r="P218" s="29" t="s">
        <v>4773</v>
      </c>
      <c r="Q218" s="29" t="s">
        <v>1440</v>
      </c>
      <c r="R218" s="29" t="s">
        <v>4774</v>
      </c>
      <c r="S218" s="28" t="s">
        <v>2525</v>
      </c>
      <c r="T218" s="28" t="s">
        <v>2989</v>
      </c>
      <c r="U218" s="28" t="s">
        <v>1440</v>
      </c>
      <c r="V218" s="28" t="s">
        <v>1557</v>
      </c>
      <c r="W218" s="28" t="s">
        <v>4775</v>
      </c>
      <c r="X218" s="17">
        <v>1</v>
      </c>
      <c r="CJ218" s="26" t="s">
        <v>1380</v>
      </c>
      <c r="CK218" s="26" t="s">
        <v>2424</v>
      </c>
      <c r="CL218" s="26" t="str">
        <f t="shared" si="13"/>
        <v>岩手県大槌町</v>
      </c>
      <c r="CM218" s="26">
        <v>213</v>
      </c>
      <c r="CN218" s="17" t="str">
        <f t="shared" si="12"/>
        <v>0240</v>
      </c>
      <c r="CO218" s="17" t="str">
        <f t="shared" si="14"/>
        <v>213240大槌町</v>
      </c>
      <c r="CP218" s="17" t="s">
        <v>4776</v>
      </c>
      <c r="CQ218" s="17" t="b">
        <f t="shared" si="15"/>
        <v>1</v>
      </c>
    </row>
    <row r="219" spans="12:95">
      <c r="L219" s="17" t="s">
        <v>4777</v>
      </c>
      <c r="M219" s="17" t="s">
        <v>4778</v>
      </c>
      <c r="N219" s="27" t="s">
        <v>4779</v>
      </c>
      <c r="O219" s="29" t="s">
        <v>1440</v>
      </c>
      <c r="P219" s="29" t="s">
        <v>4780</v>
      </c>
      <c r="Q219" s="29" t="s">
        <v>1440</v>
      </c>
      <c r="R219" s="29" t="s">
        <v>3539</v>
      </c>
      <c r="S219" s="28" t="s">
        <v>1803</v>
      </c>
      <c r="T219" s="28" t="s">
        <v>3022</v>
      </c>
      <c r="U219" s="28" t="s">
        <v>1440</v>
      </c>
      <c r="V219" s="28" t="s">
        <v>1557</v>
      </c>
      <c r="W219" s="28" t="s">
        <v>4781</v>
      </c>
      <c r="X219" s="17">
        <v>1</v>
      </c>
      <c r="CJ219" s="26" t="s">
        <v>1380</v>
      </c>
      <c r="CK219" s="26" t="s">
        <v>2478</v>
      </c>
      <c r="CL219" s="26" t="str">
        <f t="shared" si="13"/>
        <v>岩手県山田町</v>
      </c>
      <c r="CM219" s="26">
        <v>214</v>
      </c>
      <c r="CN219" s="17" t="str">
        <f t="shared" si="12"/>
        <v>0241</v>
      </c>
      <c r="CO219" s="17" t="str">
        <f t="shared" si="14"/>
        <v>214241山田町</v>
      </c>
      <c r="CP219" s="17" t="s">
        <v>4782</v>
      </c>
      <c r="CQ219" s="17" t="b">
        <f t="shared" si="15"/>
        <v>1</v>
      </c>
    </row>
    <row r="220" spans="12:95">
      <c r="L220" s="17" t="s">
        <v>4783</v>
      </c>
      <c r="M220" s="17" t="s">
        <v>4784</v>
      </c>
      <c r="N220" s="27" t="s">
        <v>4785</v>
      </c>
      <c r="O220" s="29" t="s">
        <v>1440</v>
      </c>
      <c r="P220" s="29" t="s">
        <v>4786</v>
      </c>
      <c r="Q220" s="29" t="s">
        <v>1440</v>
      </c>
      <c r="R220" s="29" t="s">
        <v>4389</v>
      </c>
      <c r="S220" s="28" t="s">
        <v>1862</v>
      </c>
      <c r="T220" s="28" t="s">
        <v>3055</v>
      </c>
      <c r="U220" s="28" t="s">
        <v>1440</v>
      </c>
      <c r="V220" s="28" t="s">
        <v>1557</v>
      </c>
      <c r="W220" s="28" t="s">
        <v>4787</v>
      </c>
      <c r="X220" s="17">
        <v>1</v>
      </c>
      <c r="CJ220" s="26" t="s">
        <v>1380</v>
      </c>
      <c r="CK220" s="26" t="s">
        <v>2529</v>
      </c>
      <c r="CL220" s="26" t="str">
        <f t="shared" si="13"/>
        <v>岩手県岩泉町</v>
      </c>
      <c r="CM220" s="26">
        <v>215</v>
      </c>
      <c r="CN220" s="17" t="str">
        <f t="shared" si="12"/>
        <v>0242</v>
      </c>
      <c r="CO220" s="17" t="str">
        <f t="shared" si="14"/>
        <v>215242岩泉町</v>
      </c>
      <c r="CP220" s="17" t="s">
        <v>4788</v>
      </c>
      <c r="CQ220" s="17" t="b">
        <f t="shared" si="15"/>
        <v>1</v>
      </c>
    </row>
    <row r="221" spans="12:95">
      <c r="L221" s="17" t="s">
        <v>4789</v>
      </c>
      <c r="M221" s="17" t="s">
        <v>4790</v>
      </c>
      <c r="N221" s="27" t="s">
        <v>4791</v>
      </c>
      <c r="O221" s="29" t="s">
        <v>1440</v>
      </c>
      <c r="P221" s="29" t="s">
        <v>4792</v>
      </c>
      <c r="Q221" s="29" t="s">
        <v>1440</v>
      </c>
      <c r="R221" s="29" t="s">
        <v>4397</v>
      </c>
      <c r="S221" s="28" t="s">
        <v>1502</v>
      </c>
      <c r="T221" s="28" t="s">
        <v>3085</v>
      </c>
      <c r="U221" s="28" t="s">
        <v>1440</v>
      </c>
      <c r="V221" s="28" t="s">
        <v>1557</v>
      </c>
      <c r="W221" s="28" t="s">
        <v>4793</v>
      </c>
      <c r="X221" s="17">
        <v>1</v>
      </c>
      <c r="CJ221" s="26" t="s">
        <v>1380</v>
      </c>
      <c r="CK221" s="26" t="s">
        <v>2579</v>
      </c>
      <c r="CL221" s="26" t="str">
        <f t="shared" si="13"/>
        <v>岩手県田野畑村</v>
      </c>
      <c r="CM221" s="26">
        <v>216</v>
      </c>
      <c r="CN221" s="17" t="str">
        <f t="shared" si="12"/>
        <v>0243</v>
      </c>
      <c r="CO221" s="17" t="str">
        <f t="shared" si="14"/>
        <v>216243田野畑村</v>
      </c>
      <c r="CP221" s="17" t="s">
        <v>4794</v>
      </c>
      <c r="CQ221" s="17" t="b">
        <f t="shared" si="15"/>
        <v>1</v>
      </c>
    </row>
    <row r="222" spans="12:95">
      <c r="L222" s="17" t="s">
        <v>4795</v>
      </c>
      <c r="M222" s="17" t="s">
        <v>4796</v>
      </c>
      <c r="N222" s="27" t="s">
        <v>4797</v>
      </c>
      <c r="O222" s="29" t="s">
        <v>1440</v>
      </c>
      <c r="P222" s="29" t="s">
        <v>4798</v>
      </c>
      <c r="Q222" s="29" t="s">
        <v>1440</v>
      </c>
      <c r="R222" s="29" t="s">
        <v>4799</v>
      </c>
      <c r="S222" s="28" t="s">
        <v>2525</v>
      </c>
      <c r="T222" s="28" t="s">
        <v>3115</v>
      </c>
      <c r="U222" s="28" t="s">
        <v>1440</v>
      </c>
      <c r="V222" s="28" t="s">
        <v>1557</v>
      </c>
      <c r="W222" s="28" t="s">
        <v>4800</v>
      </c>
      <c r="X222" s="17">
        <v>1</v>
      </c>
      <c r="CJ222" s="26" t="s">
        <v>1380</v>
      </c>
      <c r="CK222" s="26" t="s">
        <v>2626</v>
      </c>
      <c r="CL222" s="26" t="str">
        <f t="shared" si="13"/>
        <v>岩手県二戸地区広域行政事務組合</v>
      </c>
      <c r="CM222" s="26">
        <v>217</v>
      </c>
      <c r="CN222" s="17" t="str">
        <f t="shared" si="12"/>
        <v>0244</v>
      </c>
      <c r="CO222" s="17" t="str">
        <f t="shared" si="14"/>
        <v>217244二戸地区広域行政事務組合</v>
      </c>
      <c r="CP222" s="17" t="s">
        <v>4801</v>
      </c>
      <c r="CQ222" s="17" t="b">
        <f t="shared" si="15"/>
        <v>1</v>
      </c>
    </row>
    <row r="223" spans="12:95">
      <c r="L223" s="17" t="s">
        <v>4802</v>
      </c>
      <c r="M223" s="17" t="s">
        <v>4803</v>
      </c>
      <c r="N223" s="27" t="s">
        <v>4804</v>
      </c>
      <c r="O223" s="29" t="s">
        <v>1440</v>
      </c>
      <c r="P223" s="29" t="s">
        <v>4805</v>
      </c>
      <c r="Q223" s="29" t="s">
        <v>1440</v>
      </c>
      <c r="R223" s="29" t="s">
        <v>4806</v>
      </c>
      <c r="S223" s="28" t="s">
        <v>1743</v>
      </c>
      <c r="T223" s="28" t="s">
        <v>3145</v>
      </c>
      <c r="U223" s="28" t="s">
        <v>1440</v>
      </c>
      <c r="V223" s="28" t="s">
        <v>1557</v>
      </c>
      <c r="W223" s="28" t="s">
        <v>4805</v>
      </c>
      <c r="X223" s="17">
        <v>1</v>
      </c>
      <c r="CJ223" s="26" t="s">
        <v>1380</v>
      </c>
      <c r="CK223" s="26" t="s">
        <v>2846</v>
      </c>
      <c r="CL223" s="26" t="str">
        <f t="shared" si="13"/>
        <v>岩手県盛岡北部行政事務組合</v>
      </c>
      <c r="CM223" s="26">
        <v>218</v>
      </c>
      <c r="CN223" s="17" t="str">
        <f t="shared" si="12"/>
        <v>0249</v>
      </c>
      <c r="CO223" s="17" t="str">
        <f t="shared" si="14"/>
        <v>218249盛岡北部行政事務組合</v>
      </c>
      <c r="CP223" s="17" t="s">
        <v>4807</v>
      </c>
      <c r="CQ223" s="17" t="b">
        <f t="shared" si="15"/>
        <v>1</v>
      </c>
    </row>
    <row r="224" spans="12:95">
      <c r="L224" s="17" t="s">
        <v>4808</v>
      </c>
      <c r="M224" s="17" t="s">
        <v>4809</v>
      </c>
      <c r="N224" s="27" t="s">
        <v>4810</v>
      </c>
      <c r="O224" s="29" t="s">
        <v>1440</v>
      </c>
      <c r="P224" s="29" t="s">
        <v>4811</v>
      </c>
      <c r="Q224" s="29" t="s">
        <v>1440</v>
      </c>
      <c r="R224" s="29" t="s">
        <v>4812</v>
      </c>
      <c r="S224" s="28" t="s">
        <v>1803</v>
      </c>
      <c r="T224" s="28" t="s">
        <v>3176</v>
      </c>
      <c r="U224" s="28" t="s">
        <v>1440</v>
      </c>
      <c r="V224" s="28" t="s">
        <v>1557</v>
      </c>
      <c r="W224" s="28" t="s">
        <v>4811</v>
      </c>
      <c r="X224" s="17">
        <v>1</v>
      </c>
      <c r="CJ224" s="26" t="s">
        <v>1380</v>
      </c>
      <c r="CK224" s="26" t="s">
        <v>2990</v>
      </c>
      <c r="CL224" s="26" t="str">
        <f t="shared" si="13"/>
        <v>岩手県久慈広域連合</v>
      </c>
      <c r="CM224" s="26">
        <v>219</v>
      </c>
      <c r="CN224" s="17" t="str">
        <f t="shared" si="12"/>
        <v>0253</v>
      </c>
      <c r="CO224" s="17" t="str">
        <f t="shared" si="14"/>
        <v>219253久慈広域連合</v>
      </c>
      <c r="CP224" s="17" t="s">
        <v>4813</v>
      </c>
      <c r="CQ224" s="17" t="b">
        <f t="shared" si="15"/>
        <v>1</v>
      </c>
    </row>
    <row r="225" spans="12:95">
      <c r="L225" s="17" t="s">
        <v>4814</v>
      </c>
      <c r="M225" s="17" t="s">
        <v>4815</v>
      </c>
      <c r="N225" s="27" t="s">
        <v>4816</v>
      </c>
      <c r="O225" s="29" t="s">
        <v>1440</v>
      </c>
      <c r="P225" s="29" t="s">
        <v>4817</v>
      </c>
      <c r="Q225" s="29" t="s">
        <v>1440</v>
      </c>
      <c r="R225" s="29" t="s">
        <v>4818</v>
      </c>
      <c r="S225" s="28" t="s">
        <v>1862</v>
      </c>
      <c r="T225" s="28" t="s">
        <v>3201</v>
      </c>
      <c r="U225" s="28" t="s">
        <v>1440</v>
      </c>
      <c r="V225" s="28" t="s">
        <v>1557</v>
      </c>
      <c r="W225" s="28" t="s">
        <v>4819</v>
      </c>
      <c r="X225" s="17">
        <v>1</v>
      </c>
      <c r="CJ225" s="26" t="s">
        <v>1380</v>
      </c>
      <c r="CK225" s="26" t="s">
        <v>3146</v>
      </c>
      <c r="CL225" s="26" t="str">
        <f t="shared" si="13"/>
        <v>岩手県一関地区広域行政組合</v>
      </c>
      <c r="CM225" s="26">
        <v>220</v>
      </c>
      <c r="CN225" s="17" t="str">
        <f t="shared" si="12"/>
        <v>0258</v>
      </c>
      <c r="CO225" s="17" t="str">
        <f t="shared" si="14"/>
        <v>220258一関地区広域行政組合</v>
      </c>
      <c r="CP225" s="17" t="s">
        <v>4820</v>
      </c>
      <c r="CQ225" s="17" t="b">
        <f t="shared" si="15"/>
        <v>1</v>
      </c>
    </row>
    <row r="226" spans="12:95">
      <c r="L226" s="17" t="s">
        <v>4821</v>
      </c>
      <c r="M226" s="17" t="s">
        <v>4822</v>
      </c>
      <c r="N226" s="27" t="s">
        <v>4823</v>
      </c>
      <c r="O226" s="29" t="s">
        <v>1440</v>
      </c>
      <c r="P226" s="29" t="s">
        <v>4824</v>
      </c>
      <c r="Q226" s="29" t="s">
        <v>1440</v>
      </c>
      <c r="R226" s="29" t="s">
        <v>4825</v>
      </c>
      <c r="S226" s="28" t="s">
        <v>2525</v>
      </c>
      <c r="T226" s="28" t="s">
        <v>2440</v>
      </c>
      <c r="U226" s="28" t="s">
        <v>1440</v>
      </c>
      <c r="V226" s="28" t="s">
        <v>1557</v>
      </c>
      <c r="W226" s="28" t="s">
        <v>4826</v>
      </c>
      <c r="X226" s="17">
        <v>1</v>
      </c>
      <c r="CJ226" s="26" t="s">
        <v>1381</v>
      </c>
      <c r="CK226" s="26" t="s">
        <v>1507</v>
      </c>
      <c r="CL226" s="26" t="str">
        <f t="shared" si="13"/>
        <v>宮城県仙台市</v>
      </c>
      <c r="CM226" s="26">
        <v>221</v>
      </c>
      <c r="CN226" s="17" t="str">
        <f t="shared" si="12"/>
        <v>0261</v>
      </c>
      <c r="CO226" s="17" t="str">
        <f t="shared" si="14"/>
        <v>221261仙台市</v>
      </c>
      <c r="CP226" s="17" t="s">
        <v>4827</v>
      </c>
      <c r="CQ226" s="17" t="b">
        <f t="shared" si="15"/>
        <v>1</v>
      </c>
    </row>
    <row r="227" spans="12:95">
      <c r="L227" s="17" t="s">
        <v>4828</v>
      </c>
      <c r="M227" s="17" t="s">
        <v>4829</v>
      </c>
      <c r="N227" s="27" t="s">
        <v>4830</v>
      </c>
      <c r="O227" s="29" t="s">
        <v>1440</v>
      </c>
      <c r="P227" s="29" t="s">
        <v>4831</v>
      </c>
      <c r="Q227" s="29" t="s">
        <v>1440</v>
      </c>
      <c r="R227" s="29" t="s">
        <v>4832</v>
      </c>
      <c r="S227" s="28" t="s">
        <v>2311</v>
      </c>
      <c r="T227" s="28" t="s">
        <v>3249</v>
      </c>
      <c r="U227" s="28" t="s">
        <v>1440</v>
      </c>
      <c r="V227" s="28" t="s">
        <v>1557</v>
      </c>
      <c r="W227" s="28" t="s">
        <v>4833</v>
      </c>
      <c r="X227" s="17">
        <v>1</v>
      </c>
      <c r="CJ227" s="26" t="s">
        <v>1381</v>
      </c>
      <c r="CK227" s="26" t="s">
        <v>1569</v>
      </c>
      <c r="CL227" s="26" t="str">
        <f t="shared" si="13"/>
        <v>宮城県石巻市</v>
      </c>
      <c r="CM227" s="26">
        <v>222</v>
      </c>
      <c r="CN227" s="17" t="str">
        <f t="shared" si="12"/>
        <v>0262</v>
      </c>
      <c r="CO227" s="17" t="str">
        <f t="shared" si="14"/>
        <v>222262石巻市</v>
      </c>
      <c r="CP227" s="17" t="s">
        <v>4834</v>
      </c>
      <c r="CQ227" s="17" t="b">
        <f t="shared" si="15"/>
        <v>1</v>
      </c>
    </row>
    <row r="228" spans="12:95">
      <c r="L228" s="17" t="s">
        <v>4835</v>
      </c>
      <c r="M228" s="17" t="s">
        <v>4836</v>
      </c>
      <c r="N228" s="27" t="s">
        <v>4837</v>
      </c>
      <c r="O228" s="29" t="s">
        <v>1440</v>
      </c>
      <c r="P228" s="29" t="s">
        <v>4838</v>
      </c>
      <c r="Q228" s="29" t="s">
        <v>1440</v>
      </c>
      <c r="R228" s="29" t="s">
        <v>4839</v>
      </c>
      <c r="S228" s="28" t="s">
        <v>2525</v>
      </c>
      <c r="T228" s="28" t="s">
        <v>3274</v>
      </c>
      <c r="U228" s="28" t="s">
        <v>1440</v>
      </c>
      <c r="V228" s="28" t="s">
        <v>1557</v>
      </c>
      <c r="W228" s="28" t="s">
        <v>4840</v>
      </c>
      <c r="X228" s="17">
        <v>1</v>
      </c>
      <c r="CJ228" s="26" t="s">
        <v>1381</v>
      </c>
      <c r="CK228" s="26" t="s">
        <v>1631</v>
      </c>
      <c r="CL228" s="26" t="str">
        <f t="shared" si="13"/>
        <v>宮城県塩竈市</v>
      </c>
      <c r="CM228" s="26">
        <v>223</v>
      </c>
      <c r="CN228" s="17" t="str">
        <f t="shared" si="12"/>
        <v>0263</v>
      </c>
      <c r="CO228" s="17" t="str">
        <f t="shared" si="14"/>
        <v>223263塩竈市</v>
      </c>
      <c r="CP228" s="17" t="s">
        <v>4841</v>
      </c>
      <c r="CQ228" s="17" t="b">
        <f t="shared" si="15"/>
        <v>1</v>
      </c>
    </row>
    <row r="229" spans="12:95">
      <c r="L229" s="17" t="s">
        <v>4842</v>
      </c>
      <c r="M229" s="17" t="s">
        <v>4843</v>
      </c>
      <c r="N229" s="27" t="s">
        <v>4844</v>
      </c>
      <c r="O229" s="29" t="s">
        <v>1441</v>
      </c>
      <c r="P229" s="29" t="s">
        <v>4845</v>
      </c>
      <c r="Q229" s="29" t="s">
        <v>1441</v>
      </c>
      <c r="R229" s="29" t="s">
        <v>4593</v>
      </c>
      <c r="S229" s="28" t="s">
        <v>1564</v>
      </c>
      <c r="T229" s="28" t="s">
        <v>1506</v>
      </c>
      <c r="U229" s="28" t="s">
        <v>1440</v>
      </c>
      <c r="V229" s="28" t="s">
        <v>1557</v>
      </c>
      <c r="W229" s="28" t="s">
        <v>4846</v>
      </c>
      <c r="X229" s="17">
        <v>1</v>
      </c>
      <c r="CJ229" s="26" t="s">
        <v>1381</v>
      </c>
      <c r="CK229" s="26" t="s">
        <v>1689</v>
      </c>
      <c r="CL229" s="26" t="str">
        <f t="shared" si="13"/>
        <v>宮城県気仙沼市</v>
      </c>
      <c r="CM229" s="26">
        <v>224</v>
      </c>
      <c r="CN229" s="17" t="str">
        <f t="shared" si="12"/>
        <v>0264</v>
      </c>
      <c r="CO229" s="17" t="str">
        <f t="shared" si="14"/>
        <v>224264気仙沼市</v>
      </c>
      <c r="CP229" s="17" t="s">
        <v>4847</v>
      </c>
      <c r="CQ229" s="17" t="b">
        <f t="shared" si="15"/>
        <v>1</v>
      </c>
    </row>
    <row r="230" spans="12:95">
      <c r="L230" s="17" t="s">
        <v>4848</v>
      </c>
      <c r="M230" s="17" t="s">
        <v>4849</v>
      </c>
      <c r="N230" s="27" t="s">
        <v>4850</v>
      </c>
      <c r="O230" s="29" t="s">
        <v>1441</v>
      </c>
      <c r="P230" s="29" t="s">
        <v>4851</v>
      </c>
      <c r="Q230" s="29" t="s">
        <v>1441</v>
      </c>
      <c r="R230" s="29" t="s">
        <v>1563</v>
      </c>
      <c r="S230" s="28" t="s">
        <v>1626</v>
      </c>
      <c r="T230" s="28" t="s">
        <v>1568</v>
      </c>
      <c r="U230" s="28" t="s">
        <v>1440</v>
      </c>
      <c r="V230" s="28" t="s">
        <v>1557</v>
      </c>
      <c r="W230" s="28" t="s">
        <v>4852</v>
      </c>
      <c r="X230" s="17">
        <v>1</v>
      </c>
      <c r="CJ230" s="26" t="s">
        <v>1381</v>
      </c>
      <c r="CK230" s="26" t="s">
        <v>1748</v>
      </c>
      <c r="CL230" s="26" t="str">
        <f t="shared" si="13"/>
        <v>宮城県白石市</v>
      </c>
      <c r="CM230" s="26">
        <v>225</v>
      </c>
      <c r="CN230" s="17" t="str">
        <f t="shared" si="12"/>
        <v>0265</v>
      </c>
      <c r="CO230" s="17" t="str">
        <f t="shared" si="14"/>
        <v>225265白石市</v>
      </c>
      <c r="CP230" s="17" t="s">
        <v>4853</v>
      </c>
      <c r="CQ230" s="17" t="b">
        <f t="shared" si="15"/>
        <v>1</v>
      </c>
    </row>
    <row r="231" spans="12:95">
      <c r="L231" s="17" t="s">
        <v>4854</v>
      </c>
      <c r="M231" s="17" t="s">
        <v>4855</v>
      </c>
      <c r="N231" s="27" t="s">
        <v>4856</v>
      </c>
      <c r="O231" s="29" t="s">
        <v>1441</v>
      </c>
      <c r="P231" s="29" t="s">
        <v>4857</v>
      </c>
      <c r="Q231" s="29" t="s">
        <v>1441</v>
      </c>
      <c r="R231" s="29" t="s">
        <v>1625</v>
      </c>
      <c r="S231" s="28" t="s">
        <v>1502</v>
      </c>
      <c r="T231" s="28" t="s">
        <v>1630</v>
      </c>
      <c r="U231" s="28" t="s">
        <v>1440</v>
      </c>
      <c r="V231" s="28" t="s">
        <v>1557</v>
      </c>
      <c r="W231" s="28" t="s">
        <v>4858</v>
      </c>
      <c r="X231" s="17">
        <v>1</v>
      </c>
      <c r="CJ231" s="26" t="s">
        <v>1381</v>
      </c>
      <c r="CK231" s="26" t="s">
        <v>1808</v>
      </c>
      <c r="CL231" s="26" t="str">
        <f t="shared" si="13"/>
        <v>宮城県名取市</v>
      </c>
      <c r="CM231" s="26">
        <v>226</v>
      </c>
      <c r="CN231" s="17" t="str">
        <f t="shared" si="12"/>
        <v>0266</v>
      </c>
      <c r="CO231" s="17" t="str">
        <f t="shared" si="14"/>
        <v>226266名取市</v>
      </c>
      <c r="CP231" s="17" t="s">
        <v>4859</v>
      </c>
      <c r="CQ231" s="17" t="b">
        <f t="shared" si="15"/>
        <v>1</v>
      </c>
    </row>
    <row r="232" spans="12:95">
      <c r="L232" s="17" t="s">
        <v>4860</v>
      </c>
      <c r="M232" s="17" t="s">
        <v>4861</v>
      </c>
      <c r="N232" s="27" t="s">
        <v>4862</v>
      </c>
      <c r="O232" s="29" t="s">
        <v>1441</v>
      </c>
      <c r="P232" s="29" t="s">
        <v>4863</v>
      </c>
      <c r="Q232" s="29" t="s">
        <v>1441</v>
      </c>
      <c r="R232" s="29" t="s">
        <v>1742</v>
      </c>
      <c r="S232" s="28" t="s">
        <v>1803</v>
      </c>
      <c r="T232" s="28" t="s">
        <v>1688</v>
      </c>
      <c r="U232" s="28" t="s">
        <v>1440</v>
      </c>
      <c r="V232" s="28" t="s">
        <v>1557</v>
      </c>
      <c r="W232" s="28" t="s">
        <v>4864</v>
      </c>
      <c r="X232" s="17">
        <v>1</v>
      </c>
      <c r="CJ232" s="26" t="s">
        <v>1381</v>
      </c>
      <c r="CK232" s="26" t="s">
        <v>1867</v>
      </c>
      <c r="CL232" s="26" t="str">
        <f t="shared" si="13"/>
        <v>宮城県角田市</v>
      </c>
      <c r="CM232" s="26">
        <v>227</v>
      </c>
      <c r="CN232" s="17" t="str">
        <f t="shared" si="12"/>
        <v>0267</v>
      </c>
      <c r="CO232" s="17" t="str">
        <f t="shared" si="14"/>
        <v>227267角田市</v>
      </c>
      <c r="CP232" s="17" t="s">
        <v>4865</v>
      </c>
      <c r="CQ232" s="17" t="b">
        <f t="shared" si="15"/>
        <v>1</v>
      </c>
    </row>
    <row r="233" spans="12:95">
      <c r="L233" s="17" t="s">
        <v>4866</v>
      </c>
      <c r="M233" s="17" t="s">
        <v>4867</v>
      </c>
      <c r="N233" s="27" t="s">
        <v>4868</v>
      </c>
      <c r="O233" s="29" t="s">
        <v>1441</v>
      </c>
      <c r="P233" s="29" t="s">
        <v>4869</v>
      </c>
      <c r="Q233" s="29" t="s">
        <v>1441</v>
      </c>
      <c r="R233" s="29" t="s">
        <v>1802</v>
      </c>
      <c r="S233" s="28" t="s">
        <v>1862</v>
      </c>
      <c r="T233" s="28" t="s">
        <v>1747</v>
      </c>
      <c r="U233" s="28" t="s">
        <v>1440</v>
      </c>
      <c r="V233" s="28" t="s">
        <v>1557</v>
      </c>
      <c r="W233" s="28" t="s">
        <v>4870</v>
      </c>
      <c r="X233" s="17">
        <v>1</v>
      </c>
      <c r="CJ233" s="26" t="s">
        <v>1381</v>
      </c>
      <c r="CK233" s="26" t="s">
        <v>1925</v>
      </c>
      <c r="CL233" s="26" t="str">
        <f t="shared" si="13"/>
        <v>宮城県多賀城市</v>
      </c>
      <c r="CM233" s="26">
        <v>228</v>
      </c>
      <c r="CN233" s="17" t="str">
        <f t="shared" si="12"/>
        <v>0268</v>
      </c>
      <c r="CO233" s="17" t="str">
        <f t="shared" si="14"/>
        <v>228268多賀城市</v>
      </c>
      <c r="CP233" s="17" t="s">
        <v>4871</v>
      </c>
      <c r="CQ233" s="17" t="b">
        <f t="shared" si="15"/>
        <v>1</v>
      </c>
    </row>
    <row r="234" spans="12:95">
      <c r="L234" s="17" t="s">
        <v>4872</v>
      </c>
      <c r="M234" s="17" t="s">
        <v>4873</v>
      </c>
      <c r="N234" s="27" t="s">
        <v>4874</v>
      </c>
      <c r="O234" s="29" t="s">
        <v>1441</v>
      </c>
      <c r="P234" s="29" t="s">
        <v>4875</v>
      </c>
      <c r="Q234" s="29" t="s">
        <v>1441</v>
      </c>
      <c r="R234" s="29" t="s">
        <v>1919</v>
      </c>
      <c r="S234" s="28" t="s">
        <v>1977</v>
      </c>
      <c r="T234" s="28" t="s">
        <v>1807</v>
      </c>
      <c r="U234" s="28" t="s">
        <v>1440</v>
      </c>
      <c r="V234" s="28" t="s">
        <v>1557</v>
      </c>
      <c r="W234" s="28" t="s">
        <v>4876</v>
      </c>
      <c r="X234" s="17">
        <v>1</v>
      </c>
      <c r="CJ234" s="26" t="s">
        <v>1381</v>
      </c>
      <c r="CK234" s="26" t="s">
        <v>1982</v>
      </c>
      <c r="CL234" s="26" t="str">
        <f t="shared" si="13"/>
        <v>宮城県岩沼市</v>
      </c>
      <c r="CM234" s="26">
        <v>229</v>
      </c>
      <c r="CN234" s="17" t="str">
        <f t="shared" si="12"/>
        <v>0269</v>
      </c>
      <c r="CO234" s="17" t="str">
        <f t="shared" si="14"/>
        <v>229269岩沼市</v>
      </c>
      <c r="CP234" s="17" t="s">
        <v>4877</v>
      </c>
      <c r="CQ234" s="17" t="b">
        <f t="shared" si="15"/>
        <v>1</v>
      </c>
    </row>
    <row r="235" spans="12:95">
      <c r="L235" s="17" t="s">
        <v>4878</v>
      </c>
      <c r="M235" s="17" t="s">
        <v>4879</v>
      </c>
      <c r="N235" s="27" t="s">
        <v>4880</v>
      </c>
      <c r="O235" s="29" t="s">
        <v>1441</v>
      </c>
      <c r="P235" s="29" t="s">
        <v>4881</v>
      </c>
      <c r="Q235" s="29" t="s">
        <v>1441</v>
      </c>
      <c r="R235" s="29" t="s">
        <v>2033</v>
      </c>
      <c r="S235" s="28" t="s">
        <v>1803</v>
      </c>
      <c r="T235" s="28" t="s">
        <v>1866</v>
      </c>
      <c r="U235" s="28" t="s">
        <v>1440</v>
      </c>
      <c r="V235" s="28" t="s">
        <v>1557</v>
      </c>
      <c r="W235" s="28" t="s">
        <v>4882</v>
      </c>
      <c r="X235" s="17">
        <v>1</v>
      </c>
      <c r="CJ235" s="26" t="s">
        <v>1381</v>
      </c>
      <c r="CK235" s="26" t="s">
        <v>2038</v>
      </c>
      <c r="CL235" s="26" t="str">
        <f t="shared" si="13"/>
        <v>宮城県登米市</v>
      </c>
      <c r="CM235" s="26">
        <v>230</v>
      </c>
      <c r="CN235" s="17" t="str">
        <f t="shared" si="12"/>
        <v>0270</v>
      </c>
      <c r="CO235" s="17" t="str">
        <f t="shared" si="14"/>
        <v>230270登米市</v>
      </c>
      <c r="CP235" s="17" t="s">
        <v>4883</v>
      </c>
      <c r="CQ235" s="17" t="b">
        <f t="shared" si="15"/>
        <v>1</v>
      </c>
    </row>
    <row r="236" spans="12:95">
      <c r="L236" s="17" t="s">
        <v>4884</v>
      </c>
      <c r="M236" s="17" t="s">
        <v>4885</v>
      </c>
      <c r="N236" s="27" t="s">
        <v>4886</v>
      </c>
      <c r="O236" s="29" t="s">
        <v>1441</v>
      </c>
      <c r="P236" s="29" t="s">
        <v>4887</v>
      </c>
      <c r="Q236" s="29" t="s">
        <v>1441</v>
      </c>
      <c r="R236" s="29" t="s">
        <v>2089</v>
      </c>
      <c r="S236" s="28" t="s">
        <v>1862</v>
      </c>
      <c r="T236" s="28" t="s">
        <v>1924</v>
      </c>
      <c r="U236" s="28" t="s">
        <v>1440</v>
      </c>
      <c r="V236" s="28" t="s">
        <v>1557</v>
      </c>
      <c r="W236" s="28" t="s">
        <v>4888</v>
      </c>
      <c r="X236" s="17">
        <v>1</v>
      </c>
      <c r="CJ236" s="26" t="s">
        <v>1381</v>
      </c>
      <c r="CK236" s="26" t="s">
        <v>2094</v>
      </c>
      <c r="CL236" s="26" t="str">
        <f t="shared" si="13"/>
        <v>宮城県栗原市</v>
      </c>
      <c r="CM236" s="26">
        <v>231</v>
      </c>
      <c r="CN236" s="17" t="str">
        <f t="shared" si="12"/>
        <v>0271</v>
      </c>
      <c r="CO236" s="17" t="str">
        <f t="shared" si="14"/>
        <v>231271栗原市</v>
      </c>
      <c r="CP236" s="17" t="s">
        <v>4889</v>
      </c>
      <c r="CQ236" s="17" t="b">
        <f t="shared" si="15"/>
        <v>1</v>
      </c>
    </row>
    <row r="237" spans="12:95">
      <c r="L237" s="17" t="s">
        <v>4890</v>
      </c>
      <c r="M237" s="17" t="s">
        <v>4891</v>
      </c>
      <c r="N237" s="27" t="s">
        <v>4892</v>
      </c>
      <c r="O237" s="29" t="s">
        <v>1441</v>
      </c>
      <c r="P237" s="29" t="s">
        <v>4893</v>
      </c>
      <c r="Q237" s="29" t="s">
        <v>1441</v>
      </c>
      <c r="R237" s="29" t="s">
        <v>2310</v>
      </c>
      <c r="S237" s="28" t="s">
        <v>1564</v>
      </c>
      <c r="T237" s="28" t="s">
        <v>1981</v>
      </c>
      <c r="U237" s="28" t="s">
        <v>1440</v>
      </c>
      <c r="V237" s="28" t="s">
        <v>1557</v>
      </c>
      <c r="W237" s="28" t="s">
        <v>4894</v>
      </c>
      <c r="X237" s="17">
        <v>1</v>
      </c>
      <c r="CJ237" s="26" t="s">
        <v>1381</v>
      </c>
      <c r="CK237" s="26" t="s">
        <v>2150</v>
      </c>
      <c r="CL237" s="26" t="str">
        <f t="shared" si="13"/>
        <v>宮城県東松島市</v>
      </c>
      <c r="CM237" s="26">
        <v>232</v>
      </c>
      <c r="CN237" s="17" t="str">
        <f t="shared" si="12"/>
        <v>0272</v>
      </c>
      <c r="CO237" s="17" t="str">
        <f t="shared" si="14"/>
        <v>232272東松島市</v>
      </c>
      <c r="CP237" s="17" t="s">
        <v>4895</v>
      </c>
      <c r="CQ237" s="17" t="b">
        <f t="shared" si="15"/>
        <v>1</v>
      </c>
    </row>
    <row r="238" spans="12:95">
      <c r="L238" s="17" t="s">
        <v>4896</v>
      </c>
      <c r="M238" s="17" t="s">
        <v>4897</v>
      </c>
      <c r="N238" s="27" t="s">
        <v>4898</v>
      </c>
      <c r="O238" s="29" t="s">
        <v>1441</v>
      </c>
      <c r="P238" s="29" t="s">
        <v>4899</v>
      </c>
      <c r="Q238" s="29" t="s">
        <v>1441</v>
      </c>
      <c r="R238" s="29" t="s">
        <v>2365</v>
      </c>
      <c r="S238" s="28" t="s">
        <v>1626</v>
      </c>
      <c r="T238" s="28" t="s">
        <v>2037</v>
      </c>
      <c r="U238" s="28" t="s">
        <v>1440</v>
      </c>
      <c r="V238" s="28" t="s">
        <v>1557</v>
      </c>
      <c r="W238" s="28" t="s">
        <v>4900</v>
      </c>
      <c r="X238" s="17">
        <v>1</v>
      </c>
      <c r="CJ238" s="26" t="s">
        <v>1381</v>
      </c>
      <c r="CK238" s="26" t="s">
        <v>2205</v>
      </c>
      <c r="CL238" s="26" t="str">
        <f t="shared" si="13"/>
        <v>宮城県大崎市</v>
      </c>
      <c r="CM238" s="26">
        <v>233</v>
      </c>
      <c r="CN238" s="17" t="str">
        <f t="shared" si="12"/>
        <v>0273</v>
      </c>
      <c r="CO238" s="17" t="str">
        <f t="shared" si="14"/>
        <v>233273大崎市</v>
      </c>
      <c r="CP238" s="17" t="s">
        <v>4901</v>
      </c>
      <c r="CQ238" s="17" t="b">
        <f t="shared" si="15"/>
        <v>1</v>
      </c>
    </row>
    <row r="239" spans="12:95">
      <c r="L239" s="17" t="s">
        <v>4902</v>
      </c>
      <c r="M239" s="17" t="s">
        <v>4903</v>
      </c>
      <c r="N239" s="27" t="s">
        <v>4904</v>
      </c>
      <c r="O239" s="29" t="s">
        <v>1441</v>
      </c>
      <c r="P239" s="29" t="s">
        <v>4905</v>
      </c>
      <c r="Q239" s="29" t="s">
        <v>1441</v>
      </c>
      <c r="R239" s="29" t="s">
        <v>4653</v>
      </c>
      <c r="S239" s="28" t="s">
        <v>1626</v>
      </c>
      <c r="T239" s="28" t="s">
        <v>2093</v>
      </c>
      <c r="U239" s="28" t="s">
        <v>1440</v>
      </c>
      <c r="V239" s="28" t="s">
        <v>1557</v>
      </c>
      <c r="W239" s="28" t="s">
        <v>4906</v>
      </c>
      <c r="X239" s="17">
        <v>1</v>
      </c>
      <c r="CJ239" s="26" t="s">
        <v>1381</v>
      </c>
      <c r="CK239" s="26" t="s">
        <v>2260</v>
      </c>
      <c r="CL239" s="26" t="str">
        <f t="shared" si="13"/>
        <v>宮城県富谷市</v>
      </c>
      <c r="CM239" s="26">
        <v>234</v>
      </c>
      <c r="CN239" s="17" t="str">
        <f t="shared" si="12"/>
        <v>0274</v>
      </c>
      <c r="CO239" s="17" t="str">
        <f t="shared" si="14"/>
        <v>234274富谷市</v>
      </c>
      <c r="CP239" s="17" t="s">
        <v>4907</v>
      </c>
      <c r="CQ239" s="17" t="b">
        <f t="shared" si="15"/>
        <v>1</v>
      </c>
    </row>
    <row r="240" spans="12:95">
      <c r="L240" s="17" t="s">
        <v>4908</v>
      </c>
      <c r="M240" s="17" t="s">
        <v>4909</v>
      </c>
      <c r="N240" s="27" t="s">
        <v>4910</v>
      </c>
      <c r="O240" s="29" t="s">
        <v>1441</v>
      </c>
      <c r="P240" s="29" t="s">
        <v>4911</v>
      </c>
      <c r="Q240" s="29" t="s">
        <v>1441</v>
      </c>
      <c r="R240" s="29" t="s">
        <v>4679</v>
      </c>
      <c r="S240" s="28" t="s">
        <v>1502</v>
      </c>
      <c r="T240" s="28" t="s">
        <v>2149</v>
      </c>
      <c r="U240" s="28" t="s">
        <v>1440</v>
      </c>
      <c r="V240" s="28" t="s">
        <v>1557</v>
      </c>
      <c r="W240" s="28" t="s">
        <v>4912</v>
      </c>
      <c r="X240" s="17">
        <v>1</v>
      </c>
      <c r="CJ240" s="26" t="s">
        <v>1381</v>
      </c>
      <c r="CK240" s="26" t="s">
        <v>2316</v>
      </c>
      <c r="CL240" s="26" t="str">
        <f t="shared" si="13"/>
        <v>宮城県蔵王町</v>
      </c>
      <c r="CM240" s="26">
        <v>235</v>
      </c>
      <c r="CN240" s="17" t="str">
        <f t="shared" si="12"/>
        <v>0275</v>
      </c>
      <c r="CO240" s="17" t="str">
        <f t="shared" si="14"/>
        <v>235275蔵王町</v>
      </c>
      <c r="CP240" s="17" t="s">
        <v>4913</v>
      </c>
      <c r="CQ240" s="17" t="b">
        <f t="shared" si="15"/>
        <v>1</v>
      </c>
    </row>
    <row r="241" spans="12:95">
      <c r="L241" s="17" t="s">
        <v>4914</v>
      </c>
      <c r="M241" s="17" t="s">
        <v>4915</v>
      </c>
      <c r="N241" s="27" t="s">
        <v>4916</v>
      </c>
      <c r="O241" s="29" t="s">
        <v>1441</v>
      </c>
      <c r="P241" s="29" t="s">
        <v>4917</v>
      </c>
      <c r="Q241" s="29" t="s">
        <v>1441</v>
      </c>
      <c r="R241" s="29" t="s">
        <v>4918</v>
      </c>
      <c r="S241" s="28" t="s">
        <v>2525</v>
      </c>
      <c r="T241" s="28" t="s">
        <v>2204</v>
      </c>
      <c r="U241" s="28" t="s">
        <v>1440</v>
      </c>
      <c r="V241" s="28" t="s">
        <v>1557</v>
      </c>
      <c r="W241" s="28" t="s">
        <v>4919</v>
      </c>
      <c r="X241" s="17">
        <v>1</v>
      </c>
      <c r="CJ241" s="26" t="s">
        <v>1381</v>
      </c>
      <c r="CK241" s="26" t="s">
        <v>2370</v>
      </c>
      <c r="CL241" s="26" t="str">
        <f t="shared" si="13"/>
        <v>宮城県七ヶ宿町</v>
      </c>
      <c r="CM241" s="26">
        <v>236</v>
      </c>
      <c r="CN241" s="17" t="str">
        <f t="shared" si="12"/>
        <v>0276</v>
      </c>
      <c r="CO241" s="17" t="str">
        <f t="shared" si="14"/>
        <v>236276七ヶ宿町</v>
      </c>
      <c r="CP241" s="17" t="s">
        <v>4920</v>
      </c>
      <c r="CQ241" s="17" t="b">
        <f t="shared" si="15"/>
        <v>1</v>
      </c>
    </row>
    <row r="242" spans="12:95">
      <c r="L242" s="17" t="s">
        <v>4921</v>
      </c>
      <c r="M242" s="17" t="s">
        <v>4922</v>
      </c>
      <c r="N242" s="27" t="s">
        <v>4923</v>
      </c>
      <c r="O242" s="29" t="s">
        <v>1441</v>
      </c>
      <c r="P242" s="29" t="s">
        <v>4924</v>
      </c>
      <c r="Q242" s="29" t="s">
        <v>1441</v>
      </c>
      <c r="R242" s="29" t="s">
        <v>4925</v>
      </c>
      <c r="S242" s="28" t="s">
        <v>1803</v>
      </c>
      <c r="T242" s="28" t="s">
        <v>2259</v>
      </c>
      <c r="U242" s="28" t="s">
        <v>1440</v>
      </c>
      <c r="V242" s="28" t="s">
        <v>1557</v>
      </c>
      <c r="W242" s="28" t="s">
        <v>4926</v>
      </c>
      <c r="X242" s="17">
        <v>1</v>
      </c>
      <c r="CJ242" s="26" t="s">
        <v>1381</v>
      </c>
      <c r="CK242" s="26" t="s">
        <v>2425</v>
      </c>
      <c r="CL242" s="26" t="str">
        <f t="shared" si="13"/>
        <v>宮城県大河原町</v>
      </c>
      <c r="CM242" s="26">
        <v>237</v>
      </c>
      <c r="CN242" s="17" t="str">
        <f t="shared" si="12"/>
        <v>0277</v>
      </c>
      <c r="CO242" s="17" t="str">
        <f t="shared" si="14"/>
        <v>237277大河原町</v>
      </c>
      <c r="CP242" s="17" t="s">
        <v>4927</v>
      </c>
      <c r="CQ242" s="17" t="b">
        <f t="shared" si="15"/>
        <v>1</v>
      </c>
    </row>
    <row r="243" spans="12:95">
      <c r="L243" s="17" t="s">
        <v>4928</v>
      </c>
      <c r="M243" s="17" t="s">
        <v>4929</v>
      </c>
      <c r="N243" s="27" t="s">
        <v>4930</v>
      </c>
      <c r="O243" s="29" t="s">
        <v>1441</v>
      </c>
      <c r="P243" s="29" t="s">
        <v>4931</v>
      </c>
      <c r="Q243" s="29" t="s">
        <v>1441</v>
      </c>
      <c r="R243" s="29" t="s">
        <v>4716</v>
      </c>
      <c r="S243" s="28" t="s">
        <v>1564</v>
      </c>
      <c r="T243" s="28" t="s">
        <v>2315</v>
      </c>
      <c r="U243" s="28" t="s">
        <v>1440</v>
      </c>
      <c r="V243" s="28" t="s">
        <v>1557</v>
      </c>
      <c r="W243" s="28" t="s">
        <v>4932</v>
      </c>
      <c r="X243" s="17">
        <v>1</v>
      </c>
      <c r="CJ243" s="26" t="s">
        <v>1381</v>
      </c>
      <c r="CK243" s="26" t="s">
        <v>2479</v>
      </c>
      <c r="CL243" s="26" t="str">
        <f t="shared" si="13"/>
        <v>宮城県村田町</v>
      </c>
      <c r="CM243" s="26">
        <v>238</v>
      </c>
      <c r="CN243" s="17" t="str">
        <f t="shared" si="12"/>
        <v>0278</v>
      </c>
      <c r="CO243" s="17" t="str">
        <f t="shared" si="14"/>
        <v>238278村田町</v>
      </c>
      <c r="CP243" s="17" t="s">
        <v>4933</v>
      </c>
      <c r="CQ243" s="17" t="b">
        <f t="shared" si="15"/>
        <v>1</v>
      </c>
    </row>
    <row r="244" spans="12:95">
      <c r="L244" s="17" t="s">
        <v>4934</v>
      </c>
      <c r="M244" s="17" t="s">
        <v>4935</v>
      </c>
      <c r="N244" s="27" t="s">
        <v>4936</v>
      </c>
      <c r="O244" s="29" t="s">
        <v>1441</v>
      </c>
      <c r="P244" s="29" t="s">
        <v>4937</v>
      </c>
      <c r="Q244" s="29" t="s">
        <v>1441</v>
      </c>
      <c r="R244" s="29" t="s">
        <v>4806</v>
      </c>
      <c r="S244" s="28" t="s">
        <v>2311</v>
      </c>
      <c r="T244" s="28" t="s">
        <v>2369</v>
      </c>
      <c r="U244" s="28" t="s">
        <v>1440</v>
      </c>
      <c r="V244" s="28" t="s">
        <v>1557</v>
      </c>
      <c r="W244" s="28" t="s">
        <v>4938</v>
      </c>
      <c r="X244" s="17">
        <v>1</v>
      </c>
      <c r="CJ244" s="26" t="s">
        <v>1381</v>
      </c>
      <c r="CK244" s="26" t="s">
        <v>2530</v>
      </c>
      <c r="CL244" s="26" t="str">
        <f t="shared" si="13"/>
        <v>宮城県柴田町</v>
      </c>
      <c r="CM244" s="26">
        <v>239</v>
      </c>
      <c r="CN244" s="17" t="str">
        <f t="shared" si="12"/>
        <v>0279</v>
      </c>
      <c r="CO244" s="17" t="str">
        <f t="shared" si="14"/>
        <v>239279柴田町</v>
      </c>
      <c r="CP244" s="17" t="s">
        <v>4939</v>
      </c>
      <c r="CQ244" s="17" t="b">
        <f t="shared" si="15"/>
        <v>1</v>
      </c>
    </row>
    <row r="245" spans="12:95">
      <c r="L245" s="17" t="s">
        <v>4940</v>
      </c>
      <c r="M245" s="17" t="s">
        <v>4941</v>
      </c>
      <c r="N245" s="27" t="s">
        <v>4942</v>
      </c>
      <c r="O245" s="29" t="s">
        <v>1441</v>
      </c>
      <c r="P245" s="29" t="s">
        <v>4943</v>
      </c>
      <c r="Q245" s="29" t="s">
        <v>1441</v>
      </c>
      <c r="R245" s="29" t="s">
        <v>3707</v>
      </c>
      <c r="S245" s="28" t="s">
        <v>1564</v>
      </c>
      <c r="T245" s="28" t="s">
        <v>2424</v>
      </c>
      <c r="U245" s="28" t="s">
        <v>1440</v>
      </c>
      <c r="V245" s="28" t="s">
        <v>1557</v>
      </c>
      <c r="W245" s="28" t="s">
        <v>4944</v>
      </c>
      <c r="X245" s="17">
        <v>1</v>
      </c>
      <c r="CJ245" s="26" t="s">
        <v>1381</v>
      </c>
      <c r="CK245" s="26" t="s">
        <v>2580</v>
      </c>
      <c r="CL245" s="26" t="str">
        <f t="shared" si="13"/>
        <v>宮城県川崎町</v>
      </c>
      <c r="CM245" s="26">
        <v>240</v>
      </c>
      <c r="CN245" s="17" t="str">
        <f t="shared" si="12"/>
        <v>0280</v>
      </c>
      <c r="CO245" s="17" t="str">
        <f t="shared" si="14"/>
        <v>240280川崎町</v>
      </c>
      <c r="CP245" s="17" t="s">
        <v>4945</v>
      </c>
      <c r="CQ245" s="17" t="b">
        <f t="shared" si="15"/>
        <v>1</v>
      </c>
    </row>
    <row r="246" spans="12:95">
      <c r="L246" s="17" t="s">
        <v>4946</v>
      </c>
      <c r="M246" s="17" t="s">
        <v>4947</v>
      </c>
      <c r="N246" s="27" t="s">
        <v>4948</v>
      </c>
      <c r="O246" s="29" t="s">
        <v>1441</v>
      </c>
      <c r="P246" s="29" t="s">
        <v>4949</v>
      </c>
      <c r="Q246" s="29" t="s">
        <v>1441</v>
      </c>
      <c r="R246" s="29" t="s">
        <v>3794</v>
      </c>
      <c r="S246" s="28" t="s">
        <v>1502</v>
      </c>
      <c r="T246" s="28" t="s">
        <v>2478</v>
      </c>
      <c r="U246" s="28" t="s">
        <v>1440</v>
      </c>
      <c r="V246" s="28" t="s">
        <v>1557</v>
      </c>
      <c r="W246" s="28" t="s">
        <v>4949</v>
      </c>
      <c r="X246" s="17">
        <v>1</v>
      </c>
      <c r="CJ246" s="26" t="s">
        <v>1381</v>
      </c>
      <c r="CK246" s="26" t="s">
        <v>2627</v>
      </c>
      <c r="CL246" s="26" t="str">
        <f t="shared" si="13"/>
        <v>宮城県丸森町</v>
      </c>
      <c r="CM246" s="26">
        <v>241</v>
      </c>
      <c r="CN246" s="17" t="str">
        <f t="shared" si="12"/>
        <v>0281</v>
      </c>
      <c r="CO246" s="17" t="str">
        <f t="shared" si="14"/>
        <v>241281丸森町</v>
      </c>
      <c r="CP246" s="17" t="s">
        <v>4950</v>
      </c>
      <c r="CQ246" s="17" t="b">
        <f t="shared" si="15"/>
        <v>1</v>
      </c>
    </row>
    <row r="247" spans="12:95">
      <c r="L247" s="17" t="s">
        <v>4951</v>
      </c>
      <c r="M247" s="17" t="s">
        <v>4952</v>
      </c>
      <c r="N247" s="27" t="s">
        <v>4953</v>
      </c>
      <c r="O247" s="29" t="s">
        <v>1441</v>
      </c>
      <c r="P247" s="29" t="s">
        <v>4954</v>
      </c>
      <c r="Q247" s="29" t="s">
        <v>1441</v>
      </c>
      <c r="R247" s="29" t="s">
        <v>3802</v>
      </c>
      <c r="S247" s="28" t="s">
        <v>2525</v>
      </c>
      <c r="T247" s="28" t="s">
        <v>2529</v>
      </c>
      <c r="U247" s="28" t="s">
        <v>1440</v>
      </c>
      <c r="V247" s="28" t="s">
        <v>1557</v>
      </c>
      <c r="W247" s="28" t="s">
        <v>4954</v>
      </c>
      <c r="X247" s="17">
        <v>1</v>
      </c>
      <c r="CJ247" s="26" t="s">
        <v>1381</v>
      </c>
      <c r="CK247" s="26" t="s">
        <v>2673</v>
      </c>
      <c r="CL247" s="26" t="str">
        <f t="shared" si="13"/>
        <v>宮城県亘理町</v>
      </c>
      <c r="CM247" s="26">
        <v>242</v>
      </c>
      <c r="CN247" s="17" t="str">
        <f t="shared" si="12"/>
        <v>0282</v>
      </c>
      <c r="CO247" s="17" t="str">
        <f t="shared" si="14"/>
        <v>242282亘理町</v>
      </c>
      <c r="CP247" s="17" t="s">
        <v>4955</v>
      </c>
      <c r="CQ247" s="17" t="b">
        <f t="shared" si="15"/>
        <v>1</v>
      </c>
    </row>
    <row r="248" spans="12:95">
      <c r="L248" s="17" t="s">
        <v>4956</v>
      </c>
      <c r="M248" s="17" t="s">
        <v>4957</v>
      </c>
      <c r="N248" s="27" t="s">
        <v>4958</v>
      </c>
      <c r="O248" s="29" t="s">
        <v>1441</v>
      </c>
      <c r="P248" s="29" t="s">
        <v>4959</v>
      </c>
      <c r="Q248" s="29" t="s">
        <v>1441</v>
      </c>
      <c r="R248" s="29" t="s">
        <v>3810</v>
      </c>
      <c r="S248" s="28" t="s">
        <v>2311</v>
      </c>
      <c r="T248" s="28" t="s">
        <v>2579</v>
      </c>
      <c r="U248" s="28" t="s">
        <v>1440</v>
      </c>
      <c r="V248" s="28" t="s">
        <v>1557</v>
      </c>
      <c r="W248" s="28" t="s">
        <v>4959</v>
      </c>
      <c r="X248" s="17">
        <v>1</v>
      </c>
      <c r="CJ248" s="26" t="s">
        <v>1381</v>
      </c>
      <c r="CK248" s="26" t="s">
        <v>2719</v>
      </c>
      <c r="CL248" s="26" t="str">
        <f t="shared" si="13"/>
        <v>宮城県山元町</v>
      </c>
      <c r="CM248" s="26">
        <v>243</v>
      </c>
      <c r="CN248" s="17" t="str">
        <f t="shared" si="12"/>
        <v>0283</v>
      </c>
      <c r="CO248" s="17" t="str">
        <f t="shared" si="14"/>
        <v>243283山元町</v>
      </c>
      <c r="CP248" s="17" t="s">
        <v>4960</v>
      </c>
      <c r="CQ248" s="17" t="b">
        <f t="shared" si="15"/>
        <v>1</v>
      </c>
    </row>
    <row r="249" spans="12:95">
      <c r="L249" s="17" t="s">
        <v>4961</v>
      </c>
      <c r="M249" s="17" t="s">
        <v>4962</v>
      </c>
      <c r="N249" s="27" t="s">
        <v>4963</v>
      </c>
      <c r="O249" s="29" t="s">
        <v>1441</v>
      </c>
      <c r="P249" s="29" t="s">
        <v>4964</v>
      </c>
      <c r="Q249" s="29" t="s">
        <v>1441</v>
      </c>
      <c r="R249" s="29" t="s">
        <v>4965</v>
      </c>
      <c r="S249" s="28" t="s">
        <v>1564</v>
      </c>
      <c r="T249" s="28" t="s">
        <v>2626</v>
      </c>
      <c r="U249" s="28" t="s">
        <v>1440</v>
      </c>
      <c r="V249" s="28" t="s">
        <v>1557</v>
      </c>
      <c r="W249" s="28" t="s">
        <v>4966</v>
      </c>
      <c r="X249" s="17">
        <v>1</v>
      </c>
      <c r="CJ249" s="26" t="s">
        <v>1381</v>
      </c>
      <c r="CK249" s="26" t="s">
        <v>2763</v>
      </c>
      <c r="CL249" s="26" t="str">
        <f t="shared" si="13"/>
        <v>宮城県松島町</v>
      </c>
      <c r="CM249" s="26">
        <v>244</v>
      </c>
      <c r="CN249" s="17" t="str">
        <f t="shared" si="12"/>
        <v>0284</v>
      </c>
      <c r="CO249" s="17" t="str">
        <f t="shared" si="14"/>
        <v>244284松島町</v>
      </c>
      <c r="CP249" s="17" t="s">
        <v>4967</v>
      </c>
      <c r="CQ249" s="17" t="b">
        <f t="shared" si="15"/>
        <v>1</v>
      </c>
    </row>
    <row r="250" spans="12:95">
      <c r="L250" s="17" t="s">
        <v>4968</v>
      </c>
      <c r="M250" s="17" t="s">
        <v>4969</v>
      </c>
      <c r="N250" s="27" t="s">
        <v>4970</v>
      </c>
      <c r="O250" s="29" t="s">
        <v>1441</v>
      </c>
      <c r="P250" s="29" t="s">
        <v>4971</v>
      </c>
      <c r="Q250" s="29" t="s">
        <v>1441</v>
      </c>
      <c r="R250" s="29" t="s">
        <v>2200</v>
      </c>
      <c r="S250" s="28" t="s">
        <v>1977</v>
      </c>
      <c r="T250" s="28" t="s">
        <v>2672</v>
      </c>
      <c r="U250" s="28" t="s">
        <v>1440</v>
      </c>
      <c r="V250" s="28" t="s">
        <v>1557</v>
      </c>
      <c r="W250" s="28" t="s">
        <v>4972</v>
      </c>
      <c r="X250" s="17">
        <v>2</v>
      </c>
      <c r="CJ250" s="26" t="s">
        <v>1381</v>
      </c>
      <c r="CK250" s="26" t="s">
        <v>2805</v>
      </c>
      <c r="CL250" s="26" t="str">
        <f t="shared" si="13"/>
        <v>宮城県七ヶ浜町</v>
      </c>
      <c r="CM250" s="26">
        <v>245</v>
      </c>
      <c r="CN250" s="17" t="str">
        <f t="shared" si="12"/>
        <v>0285</v>
      </c>
      <c r="CO250" s="17" t="str">
        <f t="shared" si="14"/>
        <v>245285七ヶ浜町</v>
      </c>
      <c r="CP250" s="17" t="s">
        <v>4973</v>
      </c>
      <c r="CQ250" s="17" t="b">
        <f t="shared" si="15"/>
        <v>1</v>
      </c>
    </row>
    <row r="251" spans="12:95">
      <c r="L251" s="17" t="s">
        <v>4974</v>
      </c>
      <c r="M251" s="17" t="s">
        <v>4975</v>
      </c>
      <c r="N251" s="27" t="s">
        <v>4976</v>
      </c>
      <c r="O251" s="29" t="s">
        <v>1441</v>
      </c>
      <c r="P251" s="29" t="s">
        <v>4977</v>
      </c>
      <c r="Q251" s="29" t="s">
        <v>1441</v>
      </c>
      <c r="R251" s="29" t="s">
        <v>4978</v>
      </c>
      <c r="S251" s="28" t="s">
        <v>1977</v>
      </c>
      <c r="T251" s="28" t="s">
        <v>2718</v>
      </c>
      <c r="U251" s="28" t="s">
        <v>1440</v>
      </c>
      <c r="V251" s="28" t="s">
        <v>1557</v>
      </c>
      <c r="W251" s="28" t="s">
        <v>4977</v>
      </c>
      <c r="X251" s="17">
        <v>3</v>
      </c>
      <c r="CJ251" s="26" t="s">
        <v>1381</v>
      </c>
      <c r="CK251" s="26" t="s">
        <v>2847</v>
      </c>
      <c r="CL251" s="26" t="str">
        <f t="shared" si="13"/>
        <v>宮城県利府町</v>
      </c>
      <c r="CM251" s="26">
        <v>246</v>
      </c>
      <c r="CN251" s="17" t="str">
        <f t="shared" si="12"/>
        <v>0286</v>
      </c>
      <c r="CO251" s="17" t="str">
        <f t="shared" si="14"/>
        <v>246286利府町</v>
      </c>
      <c r="CP251" s="17" t="s">
        <v>4979</v>
      </c>
      <c r="CQ251" s="17" t="b">
        <f t="shared" si="15"/>
        <v>1</v>
      </c>
    </row>
    <row r="252" spans="12:95">
      <c r="L252" s="17" t="s">
        <v>4980</v>
      </c>
      <c r="M252" s="17" t="s">
        <v>4981</v>
      </c>
      <c r="N252" s="27" t="s">
        <v>4982</v>
      </c>
      <c r="O252" s="29" t="s">
        <v>1441</v>
      </c>
      <c r="P252" s="29" t="s">
        <v>4983</v>
      </c>
      <c r="Q252" s="29" t="s">
        <v>1441</v>
      </c>
      <c r="R252" s="29" t="s">
        <v>4984</v>
      </c>
      <c r="S252" s="28" t="s">
        <v>1743</v>
      </c>
      <c r="T252" s="28" t="s">
        <v>2762</v>
      </c>
      <c r="U252" s="28" t="s">
        <v>1440</v>
      </c>
      <c r="V252" s="28" t="s">
        <v>1557</v>
      </c>
      <c r="W252" s="28" t="s">
        <v>4985</v>
      </c>
      <c r="X252" s="17">
        <v>4</v>
      </c>
      <c r="CJ252" s="26" t="s">
        <v>1381</v>
      </c>
      <c r="CK252" s="26" t="s">
        <v>2886</v>
      </c>
      <c r="CL252" s="26" t="str">
        <f t="shared" si="13"/>
        <v>宮城県大和町</v>
      </c>
      <c r="CM252" s="26">
        <v>247</v>
      </c>
      <c r="CN252" s="17" t="str">
        <f t="shared" si="12"/>
        <v>0287</v>
      </c>
      <c r="CO252" s="17" t="str">
        <f t="shared" si="14"/>
        <v>247287大和町</v>
      </c>
      <c r="CP252" s="17" t="s">
        <v>4986</v>
      </c>
      <c r="CQ252" s="17" t="b">
        <f t="shared" si="15"/>
        <v>1</v>
      </c>
    </row>
    <row r="253" spans="12:95">
      <c r="L253" s="17" t="s">
        <v>4987</v>
      </c>
      <c r="M253" s="17" t="s">
        <v>4988</v>
      </c>
      <c r="N253" s="27" t="s">
        <v>4989</v>
      </c>
      <c r="O253" s="29" t="s">
        <v>1441</v>
      </c>
      <c r="P253" s="29" t="s">
        <v>4990</v>
      </c>
      <c r="Q253" s="29" t="s">
        <v>1441</v>
      </c>
      <c r="R253" s="29" t="s">
        <v>4991</v>
      </c>
      <c r="S253" s="28" t="s">
        <v>2311</v>
      </c>
      <c r="T253" s="28" t="s">
        <v>2804</v>
      </c>
      <c r="U253" s="28" t="s">
        <v>1440</v>
      </c>
      <c r="V253" s="28" t="s">
        <v>1557</v>
      </c>
      <c r="W253" s="28" t="s">
        <v>4992</v>
      </c>
      <c r="X253" s="17">
        <v>5</v>
      </c>
      <c r="CJ253" s="26" t="s">
        <v>1381</v>
      </c>
      <c r="CK253" s="26" t="s">
        <v>2923</v>
      </c>
      <c r="CL253" s="26" t="str">
        <f t="shared" si="13"/>
        <v>宮城県大郷町</v>
      </c>
      <c r="CM253" s="26">
        <v>248</v>
      </c>
      <c r="CN253" s="17" t="str">
        <f t="shared" si="12"/>
        <v>0288</v>
      </c>
      <c r="CO253" s="17" t="str">
        <f t="shared" si="14"/>
        <v>248288大郷町</v>
      </c>
      <c r="CP253" s="17" t="s">
        <v>4993</v>
      </c>
      <c r="CQ253" s="17" t="b">
        <f t="shared" si="15"/>
        <v>1</v>
      </c>
    </row>
    <row r="254" spans="12:95">
      <c r="L254" s="17" t="s">
        <v>4994</v>
      </c>
      <c r="M254" s="17" t="s">
        <v>4995</v>
      </c>
      <c r="N254" s="27" t="s">
        <v>4996</v>
      </c>
      <c r="O254" s="29" t="s">
        <v>1441</v>
      </c>
      <c r="P254" s="29" t="s">
        <v>4997</v>
      </c>
      <c r="Q254" s="29" t="s">
        <v>1441</v>
      </c>
      <c r="R254" s="29" t="s">
        <v>4998</v>
      </c>
      <c r="S254" s="28" t="s">
        <v>1626</v>
      </c>
      <c r="T254" s="28" t="s">
        <v>2846</v>
      </c>
      <c r="U254" s="28" t="s">
        <v>1440</v>
      </c>
      <c r="V254" s="28" t="s">
        <v>1557</v>
      </c>
      <c r="W254" s="28" t="s">
        <v>4999</v>
      </c>
      <c r="X254" s="17">
        <v>1</v>
      </c>
      <c r="CJ254" s="26" t="s">
        <v>1381</v>
      </c>
      <c r="CK254" s="26" t="s">
        <v>2958</v>
      </c>
      <c r="CL254" s="26" t="str">
        <f t="shared" si="13"/>
        <v>宮城県大衡村</v>
      </c>
      <c r="CM254" s="26">
        <v>249</v>
      </c>
      <c r="CN254" s="17" t="str">
        <f t="shared" si="12"/>
        <v>0289</v>
      </c>
      <c r="CO254" s="17" t="str">
        <f t="shared" si="14"/>
        <v>249289大衡村</v>
      </c>
      <c r="CP254" s="17" t="s">
        <v>5000</v>
      </c>
      <c r="CQ254" s="17" t="b">
        <f t="shared" si="15"/>
        <v>1</v>
      </c>
    </row>
    <row r="255" spans="12:95">
      <c r="L255" s="17" t="s">
        <v>5001</v>
      </c>
      <c r="M255" s="17" t="s">
        <v>5002</v>
      </c>
      <c r="N255" s="27" t="s">
        <v>5003</v>
      </c>
      <c r="O255" s="29" t="s">
        <v>1441</v>
      </c>
      <c r="P255" s="29" t="s">
        <v>5004</v>
      </c>
      <c r="Q255" s="29" t="s">
        <v>1441</v>
      </c>
      <c r="R255" s="29" t="s">
        <v>2255</v>
      </c>
      <c r="S255" s="28" t="s">
        <v>1743</v>
      </c>
      <c r="T255" s="28" t="s">
        <v>2885</v>
      </c>
      <c r="U255" s="28" t="s">
        <v>1440</v>
      </c>
      <c r="V255" s="28" t="s">
        <v>1557</v>
      </c>
      <c r="W255" s="28" t="s">
        <v>5005</v>
      </c>
      <c r="X255" s="17">
        <v>2</v>
      </c>
      <c r="CJ255" s="26" t="s">
        <v>1381</v>
      </c>
      <c r="CK255" s="26" t="s">
        <v>2991</v>
      </c>
      <c r="CL255" s="26" t="str">
        <f t="shared" si="13"/>
        <v>宮城県色麻町</v>
      </c>
      <c r="CM255" s="26">
        <v>250</v>
      </c>
      <c r="CN255" s="17" t="str">
        <f t="shared" si="12"/>
        <v>0290</v>
      </c>
      <c r="CO255" s="17" t="str">
        <f t="shared" si="14"/>
        <v>250290色麻町</v>
      </c>
      <c r="CP255" s="17" t="s">
        <v>5006</v>
      </c>
      <c r="CQ255" s="17" t="b">
        <f t="shared" si="15"/>
        <v>1</v>
      </c>
    </row>
    <row r="256" spans="12:95">
      <c r="L256" s="17" t="s">
        <v>5007</v>
      </c>
      <c r="M256" s="17" t="s">
        <v>5008</v>
      </c>
      <c r="N256" s="27" t="s">
        <v>5009</v>
      </c>
      <c r="O256" s="29" t="s">
        <v>1441</v>
      </c>
      <c r="P256" s="29" t="s">
        <v>5010</v>
      </c>
      <c r="Q256" s="29" t="s">
        <v>1441</v>
      </c>
      <c r="R256" s="29" t="s">
        <v>3142</v>
      </c>
      <c r="S256" s="28" t="s">
        <v>2525</v>
      </c>
      <c r="T256" s="28" t="s">
        <v>2922</v>
      </c>
      <c r="U256" s="28" t="s">
        <v>1440</v>
      </c>
      <c r="V256" s="28" t="s">
        <v>1557</v>
      </c>
      <c r="W256" s="28" t="s">
        <v>5011</v>
      </c>
      <c r="X256" s="17">
        <v>3</v>
      </c>
      <c r="CJ256" s="26" t="s">
        <v>1381</v>
      </c>
      <c r="CK256" s="26" t="s">
        <v>3024</v>
      </c>
      <c r="CL256" s="26" t="str">
        <f t="shared" si="13"/>
        <v>宮城県加美町</v>
      </c>
      <c r="CM256" s="26">
        <v>251</v>
      </c>
      <c r="CN256" s="17" t="str">
        <f t="shared" si="12"/>
        <v>0291</v>
      </c>
      <c r="CO256" s="17" t="str">
        <f t="shared" si="14"/>
        <v>251291加美町</v>
      </c>
      <c r="CP256" s="17" t="s">
        <v>5012</v>
      </c>
      <c r="CQ256" s="17" t="b">
        <f t="shared" si="15"/>
        <v>1</v>
      </c>
    </row>
    <row r="257" spans="12:95">
      <c r="L257" s="17" t="s">
        <v>5013</v>
      </c>
      <c r="M257" s="17" t="s">
        <v>5014</v>
      </c>
      <c r="N257" s="27" t="s">
        <v>5015</v>
      </c>
      <c r="O257" s="29" t="s">
        <v>1441</v>
      </c>
      <c r="P257" s="29" t="s">
        <v>5016</v>
      </c>
      <c r="Q257" s="29" t="s">
        <v>1441</v>
      </c>
      <c r="R257" s="29" t="s">
        <v>5017</v>
      </c>
      <c r="S257" s="28" t="s">
        <v>1502</v>
      </c>
      <c r="T257" s="28" t="s">
        <v>2957</v>
      </c>
      <c r="U257" s="28" t="s">
        <v>1440</v>
      </c>
      <c r="V257" s="28" t="s">
        <v>1557</v>
      </c>
      <c r="W257" s="28" t="s">
        <v>5018</v>
      </c>
      <c r="X257" s="17">
        <v>4</v>
      </c>
      <c r="CJ257" s="26" t="s">
        <v>1381</v>
      </c>
      <c r="CK257" s="26" t="s">
        <v>3057</v>
      </c>
      <c r="CL257" s="26" t="str">
        <f t="shared" si="13"/>
        <v>宮城県涌谷町</v>
      </c>
      <c r="CM257" s="26">
        <v>252</v>
      </c>
      <c r="CN257" s="17" t="str">
        <f t="shared" si="12"/>
        <v>0292</v>
      </c>
      <c r="CO257" s="17" t="str">
        <f t="shared" si="14"/>
        <v>252292涌谷町</v>
      </c>
      <c r="CP257" s="17" t="s">
        <v>5019</v>
      </c>
      <c r="CQ257" s="17" t="b">
        <f t="shared" si="15"/>
        <v>1</v>
      </c>
    </row>
    <row r="258" spans="12:95">
      <c r="L258" s="17" t="s">
        <v>5020</v>
      </c>
      <c r="M258" s="17" t="s">
        <v>5021</v>
      </c>
      <c r="N258" s="27" t="s">
        <v>5022</v>
      </c>
      <c r="O258" s="29" t="s">
        <v>1441</v>
      </c>
      <c r="P258" s="29" t="s">
        <v>5023</v>
      </c>
      <c r="Q258" s="29" t="s">
        <v>1441</v>
      </c>
      <c r="R258" s="29" t="s">
        <v>5024</v>
      </c>
      <c r="S258" s="28" t="s">
        <v>1803</v>
      </c>
      <c r="T258" s="28" t="s">
        <v>2990</v>
      </c>
      <c r="U258" s="28" t="s">
        <v>1440</v>
      </c>
      <c r="V258" s="28" t="s">
        <v>1557</v>
      </c>
      <c r="W258" s="28" t="s">
        <v>5025</v>
      </c>
      <c r="X258" s="17">
        <v>1</v>
      </c>
      <c r="CJ258" s="26" t="s">
        <v>1381</v>
      </c>
      <c r="CK258" s="26" t="s">
        <v>2354</v>
      </c>
      <c r="CL258" s="26" t="str">
        <f t="shared" si="13"/>
        <v>宮城県美里町</v>
      </c>
      <c r="CM258" s="26">
        <v>253</v>
      </c>
      <c r="CN258" s="17" t="str">
        <f t="shared" si="12"/>
        <v>0293</v>
      </c>
      <c r="CO258" s="17" t="str">
        <f t="shared" si="14"/>
        <v>253293美里町</v>
      </c>
      <c r="CP258" s="17" t="s">
        <v>5026</v>
      </c>
      <c r="CQ258" s="17" t="b">
        <f t="shared" si="15"/>
        <v>1</v>
      </c>
    </row>
    <row r="259" spans="12:95">
      <c r="L259" s="17" t="s">
        <v>5027</v>
      </c>
      <c r="M259" s="17" t="s">
        <v>5028</v>
      </c>
      <c r="N259" s="27" t="s">
        <v>5029</v>
      </c>
      <c r="O259" s="29" t="s">
        <v>1441</v>
      </c>
      <c r="P259" s="29" t="s">
        <v>5030</v>
      </c>
      <c r="Q259" s="29" t="s">
        <v>1441</v>
      </c>
      <c r="R259" s="29" t="s">
        <v>1861</v>
      </c>
      <c r="S259" s="28" t="s">
        <v>1920</v>
      </c>
      <c r="T259" s="28" t="s">
        <v>3023</v>
      </c>
      <c r="U259" s="28" t="s">
        <v>1440</v>
      </c>
      <c r="V259" s="28" t="s">
        <v>1557</v>
      </c>
      <c r="W259" s="28" t="s">
        <v>5031</v>
      </c>
      <c r="X259" s="17">
        <v>2</v>
      </c>
      <c r="CJ259" s="26" t="s">
        <v>1381</v>
      </c>
      <c r="CK259" s="26" t="s">
        <v>3117</v>
      </c>
      <c r="CL259" s="26" t="str">
        <f t="shared" si="13"/>
        <v>宮城県女川町</v>
      </c>
      <c r="CM259" s="26">
        <v>254</v>
      </c>
      <c r="CN259" s="17" t="str">
        <f t="shared" si="12"/>
        <v>0294</v>
      </c>
      <c r="CO259" s="17" t="str">
        <f t="shared" si="14"/>
        <v>254294女川町</v>
      </c>
      <c r="CP259" s="17" t="s">
        <v>5032</v>
      </c>
      <c r="CQ259" s="17" t="b">
        <f t="shared" si="15"/>
        <v>1</v>
      </c>
    </row>
    <row r="260" spans="12:95">
      <c r="L260" s="17" t="s">
        <v>5033</v>
      </c>
      <c r="M260" s="17" t="s">
        <v>5034</v>
      </c>
      <c r="N260" s="27" t="s">
        <v>5035</v>
      </c>
      <c r="O260" s="29" t="s">
        <v>1441</v>
      </c>
      <c r="P260" s="29" t="s">
        <v>5036</v>
      </c>
      <c r="Q260" s="29" t="s">
        <v>1441</v>
      </c>
      <c r="R260" s="29" t="s">
        <v>5037</v>
      </c>
      <c r="S260" s="28" t="s">
        <v>1564</v>
      </c>
      <c r="T260" s="28" t="s">
        <v>3056</v>
      </c>
      <c r="U260" s="28" t="s">
        <v>1440</v>
      </c>
      <c r="V260" s="28" t="s">
        <v>1557</v>
      </c>
      <c r="W260" s="28" t="s">
        <v>5038</v>
      </c>
      <c r="X260" s="17">
        <v>3</v>
      </c>
      <c r="CJ260" s="26" t="s">
        <v>1381</v>
      </c>
      <c r="CK260" s="26" t="s">
        <v>3147</v>
      </c>
      <c r="CL260" s="26" t="str">
        <f t="shared" si="13"/>
        <v>宮城県南三陸町</v>
      </c>
      <c r="CM260" s="26">
        <v>255</v>
      </c>
      <c r="CN260" s="17" t="str">
        <f t="shared" si="12"/>
        <v>0295</v>
      </c>
      <c r="CO260" s="17" t="str">
        <f t="shared" si="14"/>
        <v>255295南三陸町</v>
      </c>
      <c r="CP260" s="17" t="s">
        <v>5039</v>
      </c>
      <c r="CQ260" s="17" t="b">
        <f t="shared" si="15"/>
        <v>1</v>
      </c>
    </row>
    <row r="261" spans="12:95">
      <c r="L261" s="17" t="s">
        <v>5040</v>
      </c>
      <c r="M261" s="17" t="s">
        <v>5041</v>
      </c>
      <c r="N261" s="27" t="s">
        <v>5042</v>
      </c>
      <c r="O261" s="29" t="s">
        <v>1441</v>
      </c>
      <c r="P261" s="29" t="s">
        <v>5043</v>
      </c>
      <c r="Q261" s="29" t="s">
        <v>1441</v>
      </c>
      <c r="R261" s="29" t="s">
        <v>5044</v>
      </c>
      <c r="S261" s="28" t="s">
        <v>1862</v>
      </c>
      <c r="T261" s="28" t="s">
        <v>3086</v>
      </c>
      <c r="U261" s="28" t="s">
        <v>1440</v>
      </c>
      <c r="V261" s="28" t="s">
        <v>1557</v>
      </c>
      <c r="W261" s="28" t="s">
        <v>5045</v>
      </c>
      <c r="X261" s="17">
        <v>4</v>
      </c>
      <c r="CJ261" s="26" t="s">
        <v>1382</v>
      </c>
      <c r="CK261" s="26" t="s">
        <v>1508</v>
      </c>
      <c r="CL261" s="26" t="str">
        <f t="shared" si="13"/>
        <v>秋田県秋田市</v>
      </c>
      <c r="CM261" s="26">
        <v>256</v>
      </c>
      <c r="CN261" s="17" t="str">
        <f t="shared" si="12"/>
        <v>0296</v>
      </c>
      <c r="CO261" s="17" t="str">
        <f t="shared" si="14"/>
        <v>256296秋田市</v>
      </c>
      <c r="CP261" s="17" t="s">
        <v>5046</v>
      </c>
      <c r="CQ261" s="17" t="b">
        <f t="shared" si="15"/>
        <v>1</v>
      </c>
    </row>
    <row r="262" spans="12:95">
      <c r="L262" s="17" t="s">
        <v>5047</v>
      </c>
      <c r="M262" s="17" t="s">
        <v>5048</v>
      </c>
      <c r="N262" s="27" t="s">
        <v>5049</v>
      </c>
      <c r="O262" s="29" t="s">
        <v>1441</v>
      </c>
      <c r="P262" s="29" t="s">
        <v>5050</v>
      </c>
      <c r="Q262" s="29" t="s">
        <v>1441</v>
      </c>
      <c r="R262" s="29" t="s">
        <v>3818</v>
      </c>
      <c r="S262" s="28" t="s">
        <v>1862</v>
      </c>
      <c r="T262" s="28" t="s">
        <v>3116</v>
      </c>
      <c r="U262" s="28" t="s">
        <v>1440</v>
      </c>
      <c r="V262" s="28" t="s">
        <v>1557</v>
      </c>
      <c r="W262" s="28" t="s">
        <v>5051</v>
      </c>
      <c r="X262" s="17">
        <v>5</v>
      </c>
      <c r="CJ262" s="26" t="s">
        <v>1382</v>
      </c>
      <c r="CK262" s="26" t="s">
        <v>1570</v>
      </c>
      <c r="CL262" s="26" t="str">
        <f t="shared" si="13"/>
        <v>秋田県能代市</v>
      </c>
      <c r="CM262" s="26">
        <v>257</v>
      </c>
      <c r="CN262" s="17" t="str">
        <f t="shared" ref="CN262:CN325" si="16">VLOOKUP(CL262,$M$6:$N$1784,2,FALSE)</f>
        <v>0297</v>
      </c>
      <c r="CO262" s="17" t="str">
        <f t="shared" si="14"/>
        <v>257297能代市</v>
      </c>
      <c r="CP262" s="17" t="s">
        <v>5052</v>
      </c>
      <c r="CQ262" s="17" t="b">
        <f t="shared" si="15"/>
        <v>1</v>
      </c>
    </row>
    <row r="263" spans="12:95">
      <c r="L263" s="17" t="s">
        <v>5053</v>
      </c>
      <c r="M263" s="17" t="s">
        <v>5054</v>
      </c>
      <c r="N263" s="27" t="s">
        <v>5055</v>
      </c>
      <c r="O263" s="29" t="s">
        <v>1441</v>
      </c>
      <c r="P263" s="29" t="s">
        <v>5056</v>
      </c>
      <c r="Q263" s="29" t="s">
        <v>1441</v>
      </c>
      <c r="R263" s="29" t="s">
        <v>5057</v>
      </c>
      <c r="S263" s="28" t="s">
        <v>1920</v>
      </c>
      <c r="T263" s="28" t="s">
        <v>3146</v>
      </c>
      <c r="U263" s="28" t="s">
        <v>1440</v>
      </c>
      <c r="V263" s="28" t="s">
        <v>1557</v>
      </c>
      <c r="W263" s="28" t="s">
        <v>5058</v>
      </c>
      <c r="X263" s="17">
        <v>1</v>
      </c>
      <c r="CJ263" s="26" t="s">
        <v>1382</v>
      </c>
      <c r="CK263" s="26" t="s">
        <v>1632</v>
      </c>
      <c r="CL263" s="26" t="str">
        <f t="shared" ref="CL263:CL327" si="17">CJ263&amp;CK263</f>
        <v>秋田県横手市</v>
      </c>
      <c r="CM263" s="26">
        <v>258</v>
      </c>
      <c r="CN263" s="17" t="str">
        <f t="shared" si="16"/>
        <v>0298</v>
      </c>
      <c r="CO263" s="17" t="str">
        <f t="shared" ref="CO263:CO327" si="18">CM263&amp;TEXT(CN263,0)&amp;CK263</f>
        <v>258298横手市</v>
      </c>
      <c r="CP263" s="17" t="s">
        <v>5059</v>
      </c>
      <c r="CQ263" s="17" t="b">
        <f t="shared" ref="CQ263:CQ327" si="19">CO263=CP263</f>
        <v>1</v>
      </c>
    </row>
    <row r="264" spans="12:95">
      <c r="L264" s="17" t="s">
        <v>5060</v>
      </c>
      <c r="M264" s="17" t="s">
        <v>5061</v>
      </c>
      <c r="N264" s="27" t="s">
        <v>5062</v>
      </c>
      <c r="O264" s="29" t="s">
        <v>1441</v>
      </c>
      <c r="P264" s="29" t="s">
        <v>5063</v>
      </c>
      <c r="Q264" s="29" t="s">
        <v>1441</v>
      </c>
      <c r="R264" s="29" t="s">
        <v>1976</v>
      </c>
      <c r="S264" s="28" t="s">
        <v>1743</v>
      </c>
      <c r="T264" s="28" t="s">
        <v>3177</v>
      </c>
      <c r="U264" s="28" t="s">
        <v>1440</v>
      </c>
      <c r="V264" s="28" t="s">
        <v>1557</v>
      </c>
      <c r="W264" s="28" t="s">
        <v>5064</v>
      </c>
      <c r="X264" s="17">
        <v>2</v>
      </c>
      <c r="CJ264" s="26" t="s">
        <v>1382</v>
      </c>
      <c r="CK264" s="26" t="s">
        <v>1690</v>
      </c>
      <c r="CL264" s="26" t="str">
        <f t="shared" si="17"/>
        <v>秋田県大館市</v>
      </c>
      <c r="CM264" s="26">
        <v>259</v>
      </c>
      <c r="CN264" s="17" t="str">
        <f t="shared" si="16"/>
        <v>0299</v>
      </c>
      <c r="CO264" s="17" t="str">
        <f t="shared" si="18"/>
        <v>259299大館市</v>
      </c>
      <c r="CP264" s="17" t="s">
        <v>5065</v>
      </c>
      <c r="CQ264" s="17" t="b">
        <f t="shared" si="19"/>
        <v>1</v>
      </c>
    </row>
    <row r="265" spans="12:95">
      <c r="L265" s="17" t="s">
        <v>5066</v>
      </c>
      <c r="M265" s="17" t="s">
        <v>5067</v>
      </c>
      <c r="N265" s="27" t="s">
        <v>5068</v>
      </c>
      <c r="O265" s="29" t="s">
        <v>1441</v>
      </c>
      <c r="P265" s="29" t="s">
        <v>5069</v>
      </c>
      <c r="Q265" s="29" t="s">
        <v>1441</v>
      </c>
      <c r="R265" s="29" t="s">
        <v>3512</v>
      </c>
      <c r="S265" s="28" t="s">
        <v>2525</v>
      </c>
      <c r="T265" s="28" t="s">
        <v>3202</v>
      </c>
      <c r="U265" s="28" t="s">
        <v>1440</v>
      </c>
      <c r="V265" s="28" t="s">
        <v>1557</v>
      </c>
      <c r="W265" s="28" t="s">
        <v>5070</v>
      </c>
      <c r="X265" s="17">
        <v>3</v>
      </c>
      <c r="CJ265" s="26" t="s">
        <v>1382</v>
      </c>
      <c r="CK265" s="26" t="s">
        <v>1749</v>
      </c>
      <c r="CL265" s="26" t="str">
        <f t="shared" si="17"/>
        <v>秋田県男鹿市</v>
      </c>
      <c r="CM265" s="26">
        <v>260</v>
      </c>
      <c r="CN265" s="17" t="str">
        <f t="shared" si="16"/>
        <v>0300</v>
      </c>
      <c r="CO265" s="17" t="str">
        <f t="shared" si="18"/>
        <v>260300男鹿市</v>
      </c>
      <c r="CP265" s="17" t="s">
        <v>5071</v>
      </c>
      <c r="CQ265" s="17" t="b">
        <f t="shared" si="19"/>
        <v>1</v>
      </c>
    </row>
    <row r="266" spans="12:95">
      <c r="L266" s="17" t="s">
        <v>5072</v>
      </c>
      <c r="M266" s="17" t="s">
        <v>5073</v>
      </c>
      <c r="N266" s="27" t="s">
        <v>5074</v>
      </c>
      <c r="O266" s="29" t="s">
        <v>1442</v>
      </c>
      <c r="P266" s="29" t="s">
        <v>5075</v>
      </c>
      <c r="Q266" s="29" t="s">
        <v>1442</v>
      </c>
      <c r="R266" s="29" t="s">
        <v>1501</v>
      </c>
      <c r="S266" s="28" t="s">
        <v>1743</v>
      </c>
      <c r="T266" s="28" t="s">
        <v>1507</v>
      </c>
      <c r="U266" s="28" t="s">
        <v>1440</v>
      </c>
      <c r="V266" s="28" t="s">
        <v>1557</v>
      </c>
      <c r="W266" s="28" t="s">
        <v>5076</v>
      </c>
      <c r="X266" s="17">
        <v>1</v>
      </c>
      <c r="CJ266" s="26" t="s">
        <v>1382</v>
      </c>
      <c r="CK266" s="26" t="s">
        <v>1809</v>
      </c>
      <c r="CL266" s="26" t="str">
        <f t="shared" si="17"/>
        <v>秋田県湯沢市</v>
      </c>
      <c r="CM266" s="26">
        <v>261</v>
      </c>
      <c r="CN266" s="17" t="str">
        <f t="shared" si="16"/>
        <v>0301</v>
      </c>
      <c r="CO266" s="17" t="str">
        <f t="shared" si="18"/>
        <v>261301湯沢市</v>
      </c>
      <c r="CP266" s="17" t="s">
        <v>5077</v>
      </c>
      <c r="CQ266" s="17" t="b">
        <f t="shared" si="19"/>
        <v>1</v>
      </c>
    </row>
    <row r="267" spans="12:95">
      <c r="L267" s="17" t="s">
        <v>5078</v>
      </c>
      <c r="M267" s="17" t="s">
        <v>5079</v>
      </c>
      <c r="N267" s="27" t="s">
        <v>5080</v>
      </c>
      <c r="O267" s="29" t="s">
        <v>1442</v>
      </c>
      <c r="P267" s="29" t="s">
        <v>5081</v>
      </c>
      <c r="Q267" s="29" t="s">
        <v>1442</v>
      </c>
      <c r="R267" s="29" t="s">
        <v>1563</v>
      </c>
      <c r="S267" s="28" t="s">
        <v>1920</v>
      </c>
      <c r="T267" s="28" t="s">
        <v>1569</v>
      </c>
      <c r="U267" s="28" t="s">
        <v>1440</v>
      </c>
      <c r="V267" s="28" t="s">
        <v>1557</v>
      </c>
      <c r="W267" s="28" t="s">
        <v>5082</v>
      </c>
      <c r="X267" s="17">
        <v>1</v>
      </c>
      <c r="CJ267" s="26" t="s">
        <v>1382</v>
      </c>
      <c r="CK267" s="26" t="s">
        <v>1868</v>
      </c>
      <c r="CL267" s="26" t="str">
        <f t="shared" si="17"/>
        <v>秋田県鹿角市</v>
      </c>
      <c r="CM267" s="26">
        <v>262</v>
      </c>
      <c r="CN267" s="17" t="str">
        <f t="shared" si="16"/>
        <v>0302</v>
      </c>
      <c r="CO267" s="17" t="str">
        <f t="shared" si="18"/>
        <v>262302鹿角市</v>
      </c>
      <c r="CP267" s="17" t="s">
        <v>5083</v>
      </c>
      <c r="CQ267" s="17" t="b">
        <f t="shared" si="19"/>
        <v>1</v>
      </c>
    </row>
    <row r="268" spans="12:95">
      <c r="L268" s="17" t="s">
        <v>5084</v>
      </c>
      <c r="M268" s="17" t="s">
        <v>5085</v>
      </c>
      <c r="N268" s="27" t="s">
        <v>5086</v>
      </c>
      <c r="O268" s="29" t="s">
        <v>1442</v>
      </c>
      <c r="P268" s="29" t="s">
        <v>5087</v>
      </c>
      <c r="Q268" s="29" t="s">
        <v>1442</v>
      </c>
      <c r="R268" s="29" t="s">
        <v>1625</v>
      </c>
      <c r="S268" s="28" t="s">
        <v>1977</v>
      </c>
      <c r="T268" s="28" t="s">
        <v>1631</v>
      </c>
      <c r="U268" s="28" t="s">
        <v>1440</v>
      </c>
      <c r="V268" s="28" t="s">
        <v>1557</v>
      </c>
      <c r="W268" s="28" t="s">
        <v>5088</v>
      </c>
      <c r="X268" s="17">
        <v>1</v>
      </c>
      <c r="CJ268" s="26" t="s">
        <v>1382</v>
      </c>
      <c r="CK268" s="26" t="s">
        <v>1926</v>
      </c>
      <c r="CL268" s="26" t="str">
        <f t="shared" si="17"/>
        <v>秋田県潟上市</v>
      </c>
      <c r="CM268" s="26">
        <v>263</v>
      </c>
      <c r="CN268" s="17" t="str">
        <f t="shared" si="16"/>
        <v>0303</v>
      </c>
      <c r="CO268" s="17" t="str">
        <f t="shared" si="18"/>
        <v>263303潟上市</v>
      </c>
      <c r="CP268" s="17" t="s">
        <v>5089</v>
      </c>
      <c r="CQ268" s="17" t="b">
        <f t="shared" si="19"/>
        <v>1</v>
      </c>
    </row>
    <row r="269" spans="12:95">
      <c r="L269" s="17" t="s">
        <v>5090</v>
      </c>
      <c r="M269" s="17" t="s">
        <v>5091</v>
      </c>
      <c r="N269" s="27" t="s">
        <v>5092</v>
      </c>
      <c r="O269" s="29" t="s">
        <v>1442</v>
      </c>
      <c r="P269" s="29" t="s">
        <v>5093</v>
      </c>
      <c r="Q269" s="29" t="s">
        <v>1442</v>
      </c>
      <c r="R269" s="29" t="s">
        <v>1742</v>
      </c>
      <c r="S269" s="28" t="s">
        <v>1564</v>
      </c>
      <c r="T269" s="28" t="s">
        <v>1689</v>
      </c>
      <c r="U269" s="28" t="s">
        <v>1440</v>
      </c>
      <c r="V269" s="28" t="s">
        <v>1557</v>
      </c>
      <c r="W269" s="28" t="s">
        <v>5094</v>
      </c>
      <c r="X269" s="17">
        <v>1</v>
      </c>
      <c r="CJ269" s="26" t="s">
        <v>1382</v>
      </c>
      <c r="CK269" s="26" t="s">
        <v>1983</v>
      </c>
      <c r="CL269" s="26" t="str">
        <f t="shared" si="17"/>
        <v>秋田県北秋田市</v>
      </c>
      <c r="CM269" s="26">
        <v>264</v>
      </c>
      <c r="CN269" s="17" t="str">
        <f t="shared" si="16"/>
        <v>0304</v>
      </c>
      <c r="CO269" s="17" t="str">
        <f t="shared" si="18"/>
        <v>264304北秋田市</v>
      </c>
      <c r="CP269" s="17" t="s">
        <v>5095</v>
      </c>
      <c r="CQ269" s="17" t="b">
        <f t="shared" si="19"/>
        <v>1</v>
      </c>
    </row>
    <row r="270" spans="12:95">
      <c r="L270" s="17" t="s">
        <v>5096</v>
      </c>
      <c r="M270" s="17" t="s">
        <v>5097</v>
      </c>
      <c r="N270" s="27" t="s">
        <v>5098</v>
      </c>
      <c r="O270" s="29" t="s">
        <v>1442</v>
      </c>
      <c r="P270" s="29" t="s">
        <v>5099</v>
      </c>
      <c r="Q270" s="29" t="s">
        <v>1442</v>
      </c>
      <c r="R270" s="29" t="s">
        <v>1802</v>
      </c>
      <c r="S270" s="28" t="s">
        <v>1626</v>
      </c>
      <c r="T270" s="28" t="s">
        <v>1748</v>
      </c>
      <c r="U270" s="28" t="s">
        <v>1440</v>
      </c>
      <c r="V270" s="28" t="s">
        <v>1557</v>
      </c>
      <c r="W270" s="28" t="s">
        <v>5100</v>
      </c>
      <c r="X270" s="17">
        <v>1</v>
      </c>
      <c r="CJ270" s="26" t="s">
        <v>1382</v>
      </c>
      <c r="CK270" s="26" t="s">
        <v>2039</v>
      </c>
      <c r="CL270" s="26" t="str">
        <f t="shared" si="17"/>
        <v>秋田県小坂町</v>
      </c>
      <c r="CM270" s="26">
        <v>265</v>
      </c>
      <c r="CN270" s="17" t="str">
        <f t="shared" si="16"/>
        <v>0305</v>
      </c>
      <c r="CO270" s="17" t="str">
        <f t="shared" si="18"/>
        <v>265305小坂町</v>
      </c>
      <c r="CP270" s="17" t="s">
        <v>5101</v>
      </c>
      <c r="CQ270" s="17" t="b">
        <f t="shared" si="19"/>
        <v>1</v>
      </c>
    </row>
    <row r="271" spans="12:95">
      <c r="L271" s="17" t="s">
        <v>5102</v>
      </c>
      <c r="M271" s="17" t="s">
        <v>5103</v>
      </c>
      <c r="N271" s="27" t="s">
        <v>5104</v>
      </c>
      <c r="O271" s="29" t="s">
        <v>1442</v>
      </c>
      <c r="P271" s="29" t="s">
        <v>5105</v>
      </c>
      <c r="Q271" s="29" t="s">
        <v>1442</v>
      </c>
      <c r="R271" s="29" t="s">
        <v>1861</v>
      </c>
      <c r="S271" s="28" t="s">
        <v>1502</v>
      </c>
      <c r="T271" s="28" t="s">
        <v>1808</v>
      </c>
      <c r="U271" s="28" t="s">
        <v>1440</v>
      </c>
      <c r="V271" s="28" t="s">
        <v>1557</v>
      </c>
      <c r="W271" s="28" t="s">
        <v>5106</v>
      </c>
      <c r="X271" s="17">
        <v>1</v>
      </c>
      <c r="CJ271" s="26" t="s">
        <v>1382</v>
      </c>
      <c r="CK271" s="26" t="s">
        <v>2095</v>
      </c>
      <c r="CL271" s="26" t="str">
        <f t="shared" si="17"/>
        <v>秋田県上小阿仁村</v>
      </c>
      <c r="CM271" s="26">
        <v>266</v>
      </c>
      <c r="CN271" s="17" t="str">
        <f t="shared" si="16"/>
        <v>0306</v>
      </c>
      <c r="CO271" s="17" t="str">
        <f t="shared" si="18"/>
        <v>266306上小阿仁村</v>
      </c>
      <c r="CP271" s="17" t="s">
        <v>5107</v>
      </c>
      <c r="CQ271" s="17" t="b">
        <f t="shared" si="19"/>
        <v>1</v>
      </c>
    </row>
    <row r="272" spans="12:95">
      <c r="L272" s="17" t="s">
        <v>5108</v>
      </c>
      <c r="M272" s="17" t="s">
        <v>5109</v>
      </c>
      <c r="N272" s="27" t="s">
        <v>5110</v>
      </c>
      <c r="O272" s="29" t="s">
        <v>1442</v>
      </c>
      <c r="P272" s="29" t="s">
        <v>5111</v>
      </c>
      <c r="Q272" s="29" t="s">
        <v>1442</v>
      </c>
      <c r="R272" s="29" t="s">
        <v>1919</v>
      </c>
      <c r="S272" s="28" t="s">
        <v>2525</v>
      </c>
      <c r="T272" s="28" t="s">
        <v>1867</v>
      </c>
      <c r="U272" s="28" t="s">
        <v>1440</v>
      </c>
      <c r="V272" s="28" t="s">
        <v>1557</v>
      </c>
      <c r="W272" s="28" t="s">
        <v>5112</v>
      </c>
      <c r="X272" s="17">
        <v>1</v>
      </c>
      <c r="CJ272" s="26" t="s">
        <v>1382</v>
      </c>
      <c r="CK272" s="26" t="s">
        <v>2151</v>
      </c>
      <c r="CL272" s="26" t="str">
        <f t="shared" si="17"/>
        <v>秋田県藤里町</v>
      </c>
      <c r="CM272" s="26">
        <v>267</v>
      </c>
      <c r="CN272" s="17" t="str">
        <f t="shared" si="16"/>
        <v>0307</v>
      </c>
      <c r="CO272" s="17" t="str">
        <f t="shared" si="18"/>
        <v>267307藤里町</v>
      </c>
      <c r="CP272" s="17" t="s">
        <v>5113</v>
      </c>
      <c r="CQ272" s="17" t="b">
        <f t="shared" si="19"/>
        <v>1</v>
      </c>
    </row>
    <row r="273" spans="12:95">
      <c r="L273" s="17" t="s">
        <v>5114</v>
      </c>
      <c r="M273" s="17" t="s">
        <v>5115</v>
      </c>
      <c r="N273" s="27" t="s">
        <v>5116</v>
      </c>
      <c r="O273" s="29" t="s">
        <v>1442</v>
      </c>
      <c r="P273" s="29" t="s">
        <v>5117</v>
      </c>
      <c r="Q273" s="29" t="s">
        <v>1442</v>
      </c>
      <c r="R273" s="29" t="s">
        <v>1976</v>
      </c>
      <c r="S273" s="28" t="s">
        <v>2311</v>
      </c>
      <c r="T273" s="28" t="s">
        <v>1925</v>
      </c>
      <c r="U273" s="28" t="s">
        <v>1440</v>
      </c>
      <c r="V273" s="28" t="s">
        <v>1557</v>
      </c>
      <c r="W273" s="28" t="s">
        <v>5118</v>
      </c>
      <c r="X273" s="17">
        <v>1</v>
      </c>
      <c r="CJ273" s="26" t="s">
        <v>1382</v>
      </c>
      <c r="CK273" s="26" t="s">
        <v>2206</v>
      </c>
      <c r="CL273" s="26" t="str">
        <f t="shared" si="17"/>
        <v>秋田県三種町</v>
      </c>
      <c r="CM273" s="26">
        <v>268</v>
      </c>
      <c r="CN273" s="17" t="str">
        <f t="shared" si="16"/>
        <v>0308</v>
      </c>
      <c r="CO273" s="17" t="str">
        <f t="shared" si="18"/>
        <v>268308三種町</v>
      </c>
      <c r="CP273" s="17" t="s">
        <v>5119</v>
      </c>
      <c r="CQ273" s="17" t="b">
        <f t="shared" si="19"/>
        <v>1</v>
      </c>
    </row>
    <row r="274" spans="12:95">
      <c r="L274" s="17" t="s">
        <v>5120</v>
      </c>
      <c r="M274" s="17" t="s">
        <v>5121</v>
      </c>
      <c r="N274" s="27" t="s">
        <v>5122</v>
      </c>
      <c r="O274" s="29" t="s">
        <v>1442</v>
      </c>
      <c r="P274" s="29" t="s">
        <v>5123</v>
      </c>
      <c r="Q274" s="29" t="s">
        <v>1442</v>
      </c>
      <c r="R274" s="29" t="s">
        <v>2089</v>
      </c>
      <c r="S274" s="28" t="s">
        <v>1626</v>
      </c>
      <c r="T274" s="28" t="s">
        <v>1982</v>
      </c>
      <c r="U274" s="28" t="s">
        <v>1440</v>
      </c>
      <c r="V274" s="28" t="s">
        <v>1557</v>
      </c>
      <c r="W274" s="28" t="s">
        <v>5124</v>
      </c>
      <c r="X274" s="17">
        <v>1</v>
      </c>
      <c r="CJ274" s="26" t="s">
        <v>1382</v>
      </c>
      <c r="CK274" s="26" t="s">
        <v>2261</v>
      </c>
      <c r="CL274" s="26" t="str">
        <f t="shared" si="17"/>
        <v>秋田県八峰町</v>
      </c>
      <c r="CM274" s="26">
        <v>269</v>
      </c>
      <c r="CN274" s="17" t="str">
        <f t="shared" si="16"/>
        <v>0309</v>
      </c>
      <c r="CO274" s="17" t="str">
        <f t="shared" si="18"/>
        <v>269309八峰町</v>
      </c>
      <c r="CP274" s="17" t="s">
        <v>5125</v>
      </c>
      <c r="CQ274" s="17" t="b">
        <f t="shared" si="19"/>
        <v>1</v>
      </c>
    </row>
    <row r="275" spans="12:95">
      <c r="L275" s="17" t="s">
        <v>5126</v>
      </c>
      <c r="M275" s="17" t="s">
        <v>5127</v>
      </c>
      <c r="N275" s="27" t="s">
        <v>5128</v>
      </c>
      <c r="O275" s="29" t="s">
        <v>1442</v>
      </c>
      <c r="P275" s="29" t="s">
        <v>5129</v>
      </c>
      <c r="Q275" s="29" t="s">
        <v>1442</v>
      </c>
      <c r="R275" s="29" t="s">
        <v>2145</v>
      </c>
      <c r="S275" s="28" t="s">
        <v>1502</v>
      </c>
      <c r="T275" s="28" t="s">
        <v>2038</v>
      </c>
      <c r="U275" s="28" t="s">
        <v>1440</v>
      </c>
      <c r="V275" s="28" t="s">
        <v>1557</v>
      </c>
      <c r="W275" s="28" t="s">
        <v>5130</v>
      </c>
      <c r="X275" s="17">
        <v>1</v>
      </c>
      <c r="CJ275" s="26" t="s">
        <v>1382</v>
      </c>
      <c r="CK275" s="26" t="s">
        <v>2317</v>
      </c>
      <c r="CL275" s="26" t="str">
        <f t="shared" si="17"/>
        <v>秋田県五城目町</v>
      </c>
      <c r="CM275" s="26">
        <v>270</v>
      </c>
      <c r="CN275" s="17" t="str">
        <f t="shared" si="16"/>
        <v>0310</v>
      </c>
      <c r="CO275" s="17" t="str">
        <f t="shared" si="18"/>
        <v>270310五城目町</v>
      </c>
      <c r="CP275" s="17" t="s">
        <v>5131</v>
      </c>
      <c r="CQ275" s="17" t="b">
        <f t="shared" si="19"/>
        <v>1</v>
      </c>
    </row>
    <row r="276" spans="12:95">
      <c r="L276" s="17" t="s">
        <v>5132</v>
      </c>
      <c r="M276" s="17" t="s">
        <v>5133</v>
      </c>
      <c r="N276" s="27" t="s">
        <v>5134</v>
      </c>
      <c r="O276" s="29" t="s">
        <v>1442</v>
      </c>
      <c r="P276" s="29" t="s">
        <v>5135</v>
      </c>
      <c r="Q276" s="29" t="s">
        <v>1442</v>
      </c>
      <c r="R276" s="29" t="s">
        <v>2200</v>
      </c>
      <c r="S276" s="28" t="s">
        <v>2525</v>
      </c>
      <c r="T276" s="28" t="s">
        <v>2094</v>
      </c>
      <c r="U276" s="28" t="s">
        <v>1440</v>
      </c>
      <c r="V276" s="28" t="s">
        <v>1557</v>
      </c>
      <c r="W276" s="28" t="s">
        <v>5136</v>
      </c>
      <c r="X276" s="17">
        <v>1</v>
      </c>
      <c r="CJ276" s="26" t="s">
        <v>1382</v>
      </c>
      <c r="CK276" s="26" t="s">
        <v>2371</v>
      </c>
      <c r="CL276" s="26" t="str">
        <f t="shared" si="17"/>
        <v>秋田県八郎潟町</v>
      </c>
      <c r="CM276" s="26">
        <v>271</v>
      </c>
      <c r="CN276" s="17" t="str">
        <f t="shared" si="16"/>
        <v>0311</v>
      </c>
      <c r="CO276" s="17" t="str">
        <f t="shared" si="18"/>
        <v>271311八郎潟町</v>
      </c>
      <c r="CP276" s="17" t="s">
        <v>5137</v>
      </c>
      <c r="CQ276" s="17" t="b">
        <f t="shared" si="19"/>
        <v>1</v>
      </c>
    </row>
    <row r="277" spans="12:95">
      <c r="L277" s="17" t="s">
        <v>5138</v>
      </c>
      <c r="M277" s="17" t="s">
        <v>5139</v>
      </c>
      <c r="N277" s="27" t="s">
        <v>5140</v>
      </c>
      <c r="O277" s="29" t="s">
        <v>1442</v>
      </c>
      <c r="P277" s="29" t="s">
        <v>5141</v>
      </c>
      <c r="Q277" s="29" t="s">
        <v>1442</v>
      </c>
      <c r="R277" s="29" t="s">
        <v>2255</v>
      </c>
      <c r="S277" s="28" t="s">
        <v>2311</v>
      </c>
      <c r="T277" s="28" t="s">
        <v>2150</v>
      </c>
      <c r="U277" s="28" t="s">
        <v>1440</v>
      </c>
      <c r="V277" s="28" t="s">
        <v>1557</v>
      </c>
      <c r="W277" s="28" t="s">
        <v>5142</v>
      </c>
      <c r="X277" s="17">
        <v>1</v>
      </c>
      <c r="CJ277" s="26" t="s">
        <v>1382</v>
      </c>
      <c r="CK277" s="26" t="s">
        <v>2426</v>
      </c>
      <c r="CL277" s="26" t="str">
        <f t="shared" si="17"/>
        <v>秋田県井川町</v>
      </c>
      <c r="CM277" s="26">
        <v>272</v>
      </c>
      <c r="CN277" s="17" t="str">
        <f t="shared" si="16"/>
        <v>0312</v>
      </c>
      <c r="CO277" s="17" t="str">
        <f t="shared" si="18"/>
        <v>272312井川町</v>
      </c>
      <c r="CP277" s="17" t="s">
        <v>5143</v>
      </c>
      <c r="CQ277" s="17" t="b">
        <f t="shared" si="19"/>
        <v>1</v>
      </c>
    </row>
    <row r="278" spans="12:95">
      <c r="L278" s="17" t="s">
        <v>5144</v>
      </c>
      <c r="M278" s="17" t="s">
        <v>5145</v>
      </c>
      <c r="N278" s="27" t="s">
        <v>5146</v>
      </c>
      <c r="O278" s="29" t="s">
        <v>1442</v>
      </c>
      <c r="P278" s="29" t="s">
        <v>5147</v>
      </c>
      <c r="Q278" s="29" t="s">
        <v>1442</v>
      </c>
      <c r="R278" s="29" t="s">
        <v>2310</v>
      </c>
      <c r="S278" s="28" t="s">
        <v>1862</v>
      </c>
      <c r="T278" s="28" t="s">
        <v>2205</v>
      </c>
      <c r="U278" s="28" t="s">
        <v>1440</v>
      </c>
      <c r="V278" s="28" t="s">
        <v>1557</v>
      </c>
      <c r="W278" s="28" t="s">
        <v>5148</v>
      </c>
      <c r="X278" s="17">
        <v>1</v>
      </c>
      <c r="CJ278" s="26" t="s">
        <v>1382</v>
      </c>
      <c r="CK278" s="26" t="s">
        <v>2480</v>
      </c>
      <c r="CL278" s="26" t="str">
        <f t="shared" si="17"/>
        <v>秋田県大潟村</v>
      </c>
      <c r="CM278" s="26">
        <v>273</v>
      </c>
      <c r="CN278" s="17" t="str">
        <f t="shared" si="16"/>
        <v>0313</v>
      </c>
      <c r="CO278" s="17" t="str">
        <f t="shared" si="18"/>
        <v>273313大潟村</v>
      </c>
      <c r="CP278" s="17" t="s">
        <v>5149</v>
      </c>
      <c r="CQ278" s="17" t="b">
        <f t="shared" si="19"/>
        <v>1</v>
      </c>
    </row>
    <row r="279" spans="12:95">
      <c r="L279" s="17" t="s">
        <v>5150</v>
      </c>
      <c r="M279" s="17" t="s">
        <v>5151</v>
      </c>
      <c r="N279" s="27" t="s">
        <v>5152</v>
      </c>
      <c r="O279" s="29" t="s">
        <v>1442</v>
      </c>
      <c r="P279" s="29" t="s">
        <v>5153</v>
      </c>
      <c r="Q279" s="29" t="s">
        <v>1442</v>
      </c>
      <c r="R279" s="29" t="s">
        <v>2365</v>
      </c>
      <c r="S279" s="28" t="s">
        <v>1920</v>
      </c>
      <c r="T279" s="28" t="s">
        <v>2260</v>
      </c>
      <c r="U279" s="28" t="s">
        <v>1440</v>
      </c>
      <c r="V279" s="28" t="s">
        <v>1557</v>
      </c>
      <c r="W279" s="28" t="s">
        <v>5154</v>
      </c>
      <c r="X279" s="17">
        <v>1</v>
      </c>
      <c r="CJ279" s="26" t="s">
        <v>1382</v>
      </c>
      <c r="CK279" s="26" t="s">
        <v>2531</v>
      </c>
      <c r="CL279" s="26" t="str">
        <f t="shared" si="17"/>
        <v>秋田県羽後町</v>
      </c>
      <c r="CM279" s="26">
        <v>274</v>
      </c>
      <c r="CN279" s="17" t="str">
        <f t="shared" si="16"/>
        <v>0314</v>
      </c>
      <c r="CO279" s="17" t="str">
        <f t="shared" si="18"/>
        <v>274314羽後町</v>
      </c>
      <c r="CP279" s="17" t="s">
        <v>5155</v>
      </c>
      <c r="CQ279" s="17" t="b">
        <f t="shared" si="19"/>
        <v>1</v>
      </c>
    </row>
    <row r="280" spans="12:95">
      <c r="L280" s="17" t="s">
        <v>5156</v>
      </c>
      <c r="M280" s="17" t="s">
        <v>5157</v>
      </c>
      <c r="N280" s="27" t="s">
        <v>5158</v>
      </c>
      <c r="O280" s="29" t="s">
        <v>1442</v>
      </c>
      <c r="P280" s="29" t="s">
        <v>5159</v>
      </c>
      <c r="Q280" s="29" t="s">
        <v>1442</v>
      </c>
      <c r="R280" s="29" t="s">
        <v>4653</v>
      </c>
      <c r="S280" s="28" t="s">
        <v>1920</v>
      </c>
      <c r="T280" s="28" t="s">
        <v>2316</v>
      </c>
      <c r="U280" s="28" t="s">
        <v>1440</v>
      </c>
      <c r="V280" s="28" t="s">
        <v>1557</v>
      </c>
      <c r="W280" s="28" t="s">
        <v>5160</v>
      </c>
      <c r="X280" s="17">
        <v>1</v>
      </c>
      <c r="CJ280" s="26" t="s">
        <v>1382</v>
      </c>
      <c r="CK280" s="26" t="s">
        <v>2581</v>
      </c>
      <c r="CL280" s="26" t="str">
        <f t="shared" si="17"/>
        <v>秋田県東成瀬村</v>
      </c>
      <c r="CM280" s="26">
        <v>275</v>
      </c>
      <c r="CN280" s="17" t="str">
        <f t="shared" si="16"/>
        <v>0315</v>
      </c>
      <c r="CO280" s="17" t="str">
        <f t="shared" si="18"/>
        <v>275315東成瀬村</v>
      </c>
      <c r="CP280" s="17" t="s">
        <v>5161</v>
      </c>
      <c r="CQ280" s="17" t="b">
        <f t="shared" si="19"/>
        <v>1</v>
      </c>
    </row>
    <row r="281" spans="12:95">
      <c r="L281" s="17" t="s">
        <v>5162</v>
      </c>
      <c r="M281" s="17" t="s">
        <v>5163</v>
      </c>
      <c r="N281" s="27" t="s">
        <v>5164</v>
      </c>
      <c r="O281" s="29" t="s">
        <v>1442</v>
      </c>
      <c r="P281" s="29" t="s">
        <v>5165</v>
      </c>
      <c r="Q281" s="29" t="s">
        <v>1442</v>
      </c>
      <c r="R281" s="29" t="s">
        <v>5017</v>
      </c>
      <c r="S281" s="28" t="s">
        <v>1977</v>
      </c>
      <c r="T281" s="28" t="s">
        <v>2370</v>
      </c>
      <c r="U281" s="28" t="s">
        <v>1440</v>
      </c>
      <c r="V281" s="28" t="s">
        <v>1557</v>
      </c>
      <c r="W281" s="28" t="s">
        <v>5166</v>
      </c>
      <c r="X281" s="17">
        <v>1</v>
      </c>
      <c r="CJ281" s="49" t="s">
        <v>1382</v>
      </c>
      <c r="CK281" s="49" t="s">
        <v>2628</v>
      </c>
      <c r="CL281" s="49" t="str">
        <f t="shared" si="17"/>
        <v>秋田県由利本荘市</v>
      </c>
      <c r="CM281" s="49">
        <v>276</v>
      </c>
      <c r="CN281" s="17" t="str">
        <f t="shared" si="16"/>
        <v>0316</v>
      </c>
      <c r="CO281" s="17" t="str">
        <f t="shared" si="18"/>
        <v>276316由利本荘市</v>
      </c>
      <c r="CP281" s="17" t="s">
        <v>5167</v>
      </c>
      <c r="CQ281" s="17" t="b">
        <f t="shared" si="19"/>
        <v>1</v>
      </c>
    </row>
    <row r="282" spans="12:95">
      <c r="L282" s="17" t="s">
        <v>5168</v>
      </c>
      <c r="M282" s="17" t="s">
        <v>5169</v>
      </c>
      <c r="N282" s="27" t="s">
        <v>5170</v>
      </c>
      <c r="O282" s="29" t="s">
        <v>1442</v>
      </c>
      <c r="P282" s="29" t="s">
        <v>5171</v>
      </c>
      <c r="Q282" s="29" t="s">
        <v>1442</v>
      </c>
      <c r="R282" s="29" t="s">
        <v>4679</v>
      </c>
      <c r="S282" s="28" t="s">
        <v>1977</v>
      </c>
      <c r="T282" s="28" t="s">
        <v>2425</v>
      </c>
      <c r="U282" s="28" t="s">
        <v>1440</v>
      </c>
      <c r="V282" s="28" t="s">
        <v>1557</v>
      </c>
      <c r="W282" s="28" t="s">
        <v>5172</v>
      </c>
      <c r="X282" s="17">
        <v>1</v>
      </c>
      <c r="CJ282" s="49" t="s">
        <v>1382</v>
      </c>
      <c r="CK282" s="49" t="s">
        <v>2674</v>
      </c>
      <c r="CL282" s="49" t="str">
        <f t="shared" si="17"/>
        <v>秋田県にかほ市</v>
      </c>
      <c r="CM282" s="49">
        <v>277</v>
      </c>
      <c r="CN282" s="17" t="str">
        <f t="shared" si="16"/>
        <v>0317</v>
      </c>
      <c r="CO282" s="17" t="str">
        <f t="shared" si="18"/>
        <v>277317にかほ市</v>
      </c>
      <c r="CP282" s="17" t="s">
        <v>5173</v>
      </c>
      <c r="CQ282" s="17" t="b">
        <f t="shared" si="19"/>
        <v>1</v>
      </c>
    </row>
    <row r="283" spans="12:95">
      <c r="L283" s="17" t="s">
        <v>5174</v>
      </c>
      <c r="M283" s="17" t="s">
        <v>5175</v>
      </c>
      <c r="N283" s="27" t="s">
        <v>5176</v>
      </c>
      <c r="O283" s="29" t="s">
        <v>1442</v>
      </c>
      <c r="P283" s="29" t="s">
        <v>5177</v>
      </c>
      <c r="Q283" s="29" t="s">
        <v>1442</v>
      </c>
      <c r="R283" s="29" t="s">
        <v>4918</v>
      </c>
      <c r="S283" s="28" t="s">
        <v>1743</v>
      </c>
      <c r="T283" s="28" t="s">
        <v>2479</v>
      </c>
      <c r="U283" s="28" t="s">
        <v>1440</v>
      </c>
      <c r="V283" s="28" t="s">
        <v>1557</v>
      </c>
      <c r="W283" s="28" t="s">
        <v>5178</v>
      </c>
      <c r="X283" s="17">
        <v>1</v>
      </c>
      <c r="CJ283" s="26" t="s">
        <v>1382</v>
      </c>
      <c r="CK283" s="26" t="s">
        <v>2720</v>
      </c>
      <c r="CL283" s="26" t="str">
        <f t="shared" si="17"/>
        <v>秋田県大曲仙北広域市町村圏組合</v>
      </c>
      <c r="CM283" s="49">
        <v>278</v>
      </c>
      <c r="CN283" s="17" t="str">
        <f t="shared" si="16"/>
        <v>0318</v>
      </c>
      <c r="CO283" s="17" t="str">
        <f t="shared" si="18"/>
        <v>278318大曲仙北広域市町村圏組合</v>
      </c>
      <c r="CP283" s="17" t="s">
        <v>5179</v>
      </c>
      <c r="CQ283" s="17" t="b">
        <f t="shared" si="19"/>
        <v>1</v>
      </c>
    </row>
    <row r="284" spans="12:95">
      <c r="L284" s="17" t="s">
        <v>5180</v>
      </c>
      <c r="M284" s="17" t="s">
        <v>5181</v>
      </c>
      <c r="N284" s="27" t="s">
        <v>5182</v>
      </c>
      <c r="O284" s="29" t="s">
        <v>1442</v>
      </c>
      <c r="P284" s="29" t="s">
        <v>5183</v>
      </c>
      <c r="Q284" s="29" t="s">
        <v>1442</v>
      </c>
      <c r="R284" s="29" t="s">
        <v>4686</v>
      </c>
      <c r="S284" s="28" t="s">
        <v>1803</v>
      </c>
      <c r="T284" s="28" t="s">
        <v>2530</v>
      </c>
      <c r="U284" s="28" t="s">
        <v>1440</v>
      </c>
      <c r="V284" s="28" t="s">
        <v>1557</v>
      </c>
      <c r="W284" s="28" t="s">
        <v>5184</v>
      </c>
      <c r="X284" s="17">
        <v>1</v>
      </c>
      <c r="CJ284" s="26" t="s">
        <v>1383</v>
      </c>
      <c r="CK284" s="26" t="s">
        <v>1509</v>
      </c>
      <c r="CL284" s="26" t="str">
        <f t="shared" si="17"/>
        <v>山形県山形市</v>
      </c>
      <c r="CM284" s="49">
        <v>279</v>
      </c>
      <c r="CN284" s="17" t="str">
        <f t="shared" si="16"/>
        <v>0322</v>
      </c>
      <c r="CO284" s="17" t="str">
        <f t="shared" si="18"/>
        <v>279322山形市</v>
      </c>
      <c r="CP284" s="17" t="s">
        <v>5185</v>
      </c>
      <c r="CQ284" s="17" t="b">
        <f t="shared" si="19"/>
        <v>1</v>
      </c>
    </row>
    <row r="285" spans="12:95">
      <c r="L285" s="17" t="s">
        <v>5186</v>
      </c>
      <c r="M285" s="17" t="s">
        <v>5187</v>
      </c>
      <c r="N285" s="27" t="s">
        <v>5188</v>
      </c>
      <c r="O285" s="29" t="s">
        <v>1442</v>
      </c>
      <c r="P285" s="29" t="s">
        <v>5189</v>
      </c>
      <c r="Q285" s="29" t="s">
        <v>1442</v>
      </c>
      <c r="R285" s="29" t="s">
        <v>5190</v>
      </c>
      <c r="S285" s="28" t="s">
        <v>1862</v>
      </c>
      <c r="T285" s="28" t="s">
        <v>2580</v>
      </c>
      <c r="U285" s="28" t="s">
        <v>1440</v>
      </c>
      <c r="V285" s="28" t="s">
        <v>1557</v>
      </c>
      <c r="W285" s="28" t="s">
        <v>5191</v>
      </c>
      <c r="X285" s="17">
        <v>1</v>
      </c>
      <c r="CJ285" s="26" t="s">
        <v>1383</v>
      </c>
      <c r="CK285" s="26" t="s">
        <v>1571</v>
      </c>
      <c r="CL285" s="26" t="str">
        <f t="shared" si="17"/>
        <v>山形県米沢市</v>
      </c>
      <c r="CM285" s="49">
        <v>280</v>
      </c>
      <c r="CN285" s="17" t="str">
        <f t="shared" si="16"/>
        <v>0323</v>
      </c>
      <c r="CO285" s="17" t="str">
        <f t="shared" si="18"/>
        <v>280323米沢市</v>
      </c>
      <c r="CP285" s="17" t="s">
        <v>5192</v>
      </c>
      <c r="CQ285" s="17" t="b">
        <f t="shared" si="19"/>
        <v>1</v>
      </c>
    </row>
    <row r="286" spans="12:95">
      <c r="L286" s="17" t="s">
        <v>5193</v>
      </c>
      <c r="M286" s="17" t="s">
        <v>5194</v>
      </c>
      <c r="N286" s="27" t="s">
        <v>5195</v>
      </c>
      <c r="O286" s="29" t="s">
        <v>1442</v>
      </c>
      <c r="P286" s="29" t="s">
        <v>5196</v>
      </c>
      <c r="Q286" s="29" t="s">
        <v>1442</v>
      </c>
      <c r="R286" s="29" t="s">
        <v>5197</v>
      </c>
      <c r="S286" s="28" t="s">
        <v>1743</v>
      </c>
      <c r="T286" s="28" t="s">
        <v>2627</v>
      </c>
      <c r="U286" s="28" t="s">
        <v>1440</v>
      </c>
      <c r="V286" s="28" t="s">
        <v>1557</v>
      </c>
      <c r="W286" s="28" t="s">
        <v>5198</v>
      </c>
      <c r="X286" s="17">
        <v>1</v>
      </c>
      <c r="CJ286" s="26" t="s">
        <v>1383</v>
      </c>
      <c r="CK286" s="26" t="s">
        <v>1633</v>
      </c>
      <c r="CL286" s="26" t="str">
        <f t="shared" si="17"/>
        <v>山形県鶴岡市</v>
      </c>
      <c r="CM286" s="49">
        <v>281</v>
      </c>
      <c r="CN286" s="17" t="str">
        <f t="shared" si="16"/>
        <v>0324</v>
      </c>
      <c r="CO286" s="17" t="str">
        <f t="shared" si="18"/>
        <v>281324鶴岡市</v>
      </c>
      <c r="CP286" s="17" t="s">
        <v>5199</v>
      </c>
      <c r="CQ286" s="17" t="b">
        <f t="shared" si="19"/>
        <v>1</v>
      </c>
    </row>
    <row r="287" spans="12:95">
      <c r="L287" s="17" t="s">
        <v>5200</v>
      </c>
      <c r="M287" s="17" t="s">
        <v>5201</v>
      </c>
      <c r="N287" s="27" t="s">
        <v>5202</v>
      </c>
      <c r="O287" s="29" t="s">
        <v>1442</v>
      </c>
      <c r="P287" s="29" t="s">
        <v>5203</v>
      </c>
      <c r="Q287" s="29" t="s">
        <v>1442</v>
      </c>
      <c r="R287" s="29" t="s">
        <v>3395</v>
      </c>
      <c r="S287" s="28" t="s">
        <v>1803</v>
      </c>
      <c r="T287" s="28" t="s">
        <v>2673</v>
      </c>
      <c r="U287" s="28" t="s">
        <v>1440</v>
      </c>
      <c r="V287" s="28" t="s">
        <v>1557</v>
      </c>
      <c r="W287" s="28" t="s">
        <v>5204</v>
      </c>
      <c r="X287" s="17">
        <v>1</v>
      </c>
      <c r="CJ287" s="26" t="s">
        <v>1383</v>
      </c>
      <c r="CK287" s="26" t="s">
        <v>1691</v>
      </c>
      <c r="CL287" s="26" t="str">
        <f t="shared" si="17"/>
        <v>山形県酒田市</v>
      </c>
      <c r="CM287" s="49">
        <v>282</v>
      </c>
      <c r="CN287" s="17" t="str">
        <f t="shared" si="16"/>
        <v>0325</v>
      </c>
      <c r="CO287" s="17" t="str">
        <f t="shared" si="18"/>
        <v>282325酒田市</v>
      </c>
      <c r="CP287" s="17" t="s">
        <v>5205</v>
      </c>
      <c r="CQ287" s="17" t="b">
        <f t="shared" si="19"/>
        <v>1</v>
      </c>
    </row>
    <row r="288" spans="12:95">
      <c r="L288" s="17" t="s">
        <v>5206</v>
      </c>
      <c r="M288" s="17" t="s">
        <v>5207</v>
      </c>
      <c r="N288" s="27" t="s">
        <v>5208</v>
      </c>
      <c r="O288" s="29" t="s">
        <v>1442</v>
      </c>
      <c r="P288" s="29" t="s">
        <v>5209</v>
      </c>
      <c r="Q288" s="29" t="s">
        <v>1442</v>
      </c>
      <c r="R288" s="29" t="s">
        <v>3411</v>
      </c>
      <c r="S288" s="28" t="s">
        <v>1862</v>
      </c>
      <c r="T288" s="28" t="s">
        <v>2719</v>
      </c>
      <c r="U288" s="28" t="s">
        <v>1440</v>
      </c>
      <c r="V288" s="28" t="s">
        <v>1557</v>
      </c>
      <c r="W288" s="28" t="s">
        <v>5210</v>
      </c>
      <c r="X288" s="17">
        <v>1</v>
      </c>
      <c r="CJ288" s="26" t="s">
        <v>1383</v>
      </c>
      <c r="CK288" s="26" t="s">
        <v>1750</v>
      </c>
      <c r="CL288" s="26" t="str">
        <f t="shared" si="17"/>
        <v>山形県新庄市</v>
      </c>
      <c r="CM288" s="49">
        <v>283</v>
      </c>
      <c r="CN288" s="17" t="str">
        <f t="shared" si="16"/>
        <v>0326</v>
      </c>
      <c r="CO288" s="17" t="str">
        <f t="shared" si="18"/>
        <v>283326新庄市</v>
      </c>
      <c r="CP288" s="17" t="s">
        <v>5211</v>
      </c>
      <c r="CQ288" s="17" t="b">
        <f t="shared" si="19"/>
        <v>1</v>
      </c>
    </row>
    <row r="289" spans="12:95">
      <c r="L289" s="17" t="s">
        <v>5212</v>
      </c>
      <c r="M289" s="17" t="s">
        <v>5213</v>
      </c>
      <c r="N289" s="27" t="s">
        <v>5214</v>
      </c>
      <c r="O289" s="29" t="s">
        <v>1442</v>
      </c>
      <c r="P289" s="29" t="s">
        <v>5215</v>
      </c>
      <c r="Q289" s="29" t="s">
        <v>1442</v>
      </c>
      <c r="R289" s="29" t="s">
        <v>4507</v>
      </c>
      <c r="S289" s="28" t="s">
        <v>1977</v>
      </c>
      <c r="T289" s="28" t="s">
        <v>2763</v>
      </c>
      <c r="U289" s="28" t="s">
        <v>1440</v>
      </c>
      <c r="V289" s="28" t="s">
        <v>1557</v>
      </c>
      <c r="W289" s="28" t="s">
        <v>5215</v>
      </c>
      <c r="X289" s="17">
        <v>1</v>
      </c>
      <c r="CJ289" s="26" t="s">
        <v>1383</v>
      </c>
      <c r="CK289" s="26" t="s">
        <v>1810</v>
      </c>
      <c r="CL289" s="26" t="str">
        <f t="shared" si="17"/>
        <v>山形県寒河江市</v>
      </c>
      <c r="CM289" s="49">
        <v>284</v>
      </c>
      <c r="CN289" s="17" t="str">
        <f t="shared" si="16"/>
        <v>0327</v>
      </c>
      <c r="CO289" s="17" t="str">
        <f t="shared" si="18"/>
        <v>284327寒河江市</v>
      </c>
      <c r="CP289" s="17" t="s">
        <v>5216</v>
      </c>
      <c r="CQ289" s="17" t="b">
        <f t="shared" si="19"/>
        <v>1</v>
      </c>
    </row>
    <row r="290" spans="12:95">
      <c r="L290" s="17" t="s">
        <v>5217</v>
      </c>
      <c r="M290" s="17" t="s">
        <v>5218</v>
      </c>
      <c r="N290" s="27" t="s">
        <v>5219</v>
      </c>
      <c r="O290" s="29" t="s">
        <v>1442</v>
      </c>
      <c r="P290" s="29" t="s">
        <v>5220</v>
      </c>
      <c r="Q290" s="29" t="s">
        <v>1442</v>
      </c>
      <c r="R290" s="29" t="s">
        <v>4523</v>
      </c>
      <c r="S290" s="28" t="s">
        <v>1862</v>
      </c>
      <c r="T290" s="28" t="s">
        <v>2805</v>
      </c>
      <c r="U290" s="28" t="s">
        <v>1440</v>
      </c>
      <c r="V290" s="28" t="s">
        <v>1557</v>
      </c>
      <c r="W290" s="28" t="s">
        <v>5221</v>
      </c>
      <c r="X290" s="17">
        <v>1</v>
      </c>
      <c r="CJ290" s="26" t="s">
        <v>1383</v>
      </c>
      <c r="CK290" s="26" t="s">
        <v>1869</v>
      </c>
      <c r="CL290" s="26" t="str">
        <f t="shared" si="17"/>
        <v>山形県上山市</v>
      </c>
      <c r="CM290" s="49">
        <v>285</v>
      </c>
      <c r="CN290" s="17" t="str">
        <f t="shared" si="16"/>
        <v>0328</v>
      </c>
      <c r="CO290" s="17" t="str">
        <f t="shared" si="18"/>
        <v>285328上山市</v>
      </c>
      <c r="CP290" s="17" t="s">
        <v>5222</v>
      </c>
      <c r="CQ290" s="17" t="b">
        <f t="shared" si="19"/>
        <v>1</v>
      </c>
    </row>
    <row r="291" spans="12:95">
      <c r="L291" s="17" t="s">
        <v>5223</v>
      </c>
      <c r="M291" s="17" t="s">
        <v>5224</v>
      </c>
      <c r="N291" s="27" t="s">
        <v>5225</v>
      </c>
      <c r="O291" s="29" t="s">
        <v>1442</v>
      </c>
      <c r="P291" s="29" t="s">
        <v>5226</v>
      </c>
      <c r="Q291" s="29" t="s">
        <v>1442</v>
      </c>
      <c r="R291" s="29" t="s">
        <v>4539</v>
      </c>
      <c r="S291" s="28" t="s">
        <v>2525</v>
      </c>
      <c r="T291" s="28" t="s">
        <v>2847</v>
      </c>
      <c r="U291" s="28" t="s">
        <v>1440</v>
      </c>
      <c r="V291" s="28" t="s">
        <v>1557</v>
      </c>
      <c r="W291" s="28" t="s">
        <v>5227</v>
      </c>
      <c r="X291" s="17">
        <v>1</v>
      </c>
      <c r="CJ291" s="26" t="s">
        <v>1383</v>
      </c>
      <c r="CK291" s="26" t="s">
        <v>1927</v>
      </c>
      <c r="CL291" s="26" t="str">
        <f t="shared" si="17"/>
        <v>山形県村山市</v>
      </c>
      <c r="CM291" s="49">
        <v>286</v>
      </c>
      <c r="CN291" s="17" t="str">
        <f t="shared" si="16"/>
        <v>0329</v>
      </c>
      <c r="CO291" s="17" t="str">
        <f t="shared" si="18"/>
        <v>286329村山市</v>
      </c>
      <c r="CP291" s="17" t="s">
        <v>5228</v>
      </c>
      <c r="CQ291" s="17" t="b">
        <f t="shared" si="19"/>
        <v>1</v>
      </c>
    </row>
    <row r="292" spans="12:95">
      <c r="L292" s="17" t="s">
        <v>5229</v>
      </c>
      <c r="M292" s="17" t="s">
        <v>5230</v>
      </c>
      <c r="N292" s="27" t="s">
        <v>5231</v>
      </c>
      <c r="O292" s="29" t="s">
        <v>1442</v>
      </c>
      <c r="P292" s="29" t="s">
        <v>5232</v>
      </c>
      <c r="Q292" s="29" t="s">
        <v>1442</v>
      </c>
      <c r="R292" s="29" t="s">
        <v>5233</v>
      </c>
      <c r="S292" s="28" t="s">
        <v>1743</v>
      </c>
      <c r="T292" s="28" t="s">
        <v>2886</v>
      </c>
      <c r="U292" s="28" t="s">
        <v>1440</v>
      </c>
      <c r="V292" s="28" t="s">
        <v>1557</v>
      </c>
      <c r="W292" s="28" t="s">
        <v>5234</v>
      </c>
      <c r="X292" s="17">
        <v>1</v>
      </c>
      <c r="CJ292" s="26" t="s">
        <v>1383</v>
      </c>
      <c r="CK292" s="26" t="s">
        <v>1984</v>
      </c>
      <c r="CL292" s="26" t="str">
        <f t="shared" si="17"/>
        <v>山形県長井市</v>
      </c>
      <c r="CM292" s="49">
        <v>287</v>
      </c>
      <c r="CN292" s="17" t="str">
        <f t="shared" si="16"/>
        <v>0330</v>
      </c>
      <c r="CO292" s="17" t="str">
        <f t="shared" si="18"/>
        <v>287330長井市</v>
      </c>
      <c r="CP292" s="17" t="s">
        <v>5235</v>
      </c>
      <c r="CQ292" s="17" t="b">
        <f t="shared" si="19"/>
        <v>1</v>
      </c>
    </row>
    <row r="293" spans="12:95">
      <c r="L293" s="17" t="s">
        <v>5236</v>
      </c>
      <c r="M293" s="17" t="s">
        <v>5237</v>
      </c>
      <c r="N293" s="27" t="s">
        <v>5238</v>
      </c>
      <c r="O293" s="29" t="s">
        <v>1442</v>
      </c>
      <c r="P293" s="29" t="s">
        <v>5239</v>
      </c>
      <c r="Q293" s="29" t="s">
        <v>1442</v>
      </c>
      <c r="R293" s="29" t="s">
        <v>5240</v>
      </c>
      <c r="S293" s="28" t="s">
        <v>1803</v>
      </c>
      <c r="T293" s="28" t="s">
        <v>2923</v>
      </c>
      <c r="U293" s="28" t="s">
        <v>1440</v>
      </c>
      <c r="V293" s="28" t="s">
        <v>1557</v>
      </c>
      <c r="W293" s="28" t="s">
        <v>5241</v>
      </c>
      <c r="X293" s="17">
        <v>1</v>
      </c>
      <c r="CJ293" s="26" t="s">
        <v>1383</v>
      </c>
      <c r="CK293" s="26" t="s">
        <v>2040</v>
      </c>
      <c r="CL293" s="26" t="str">
        <f t="shared" si="17"/>
        <v>山形県天童市</v>
      </c>
      <c r="CM293" s="49">
        <v>288</v>
      </c>
      <c r="CN293" s="17" t="str">
        <f t="shared" si="16"/>
        <v>0331</v>
      </c>
      <c r="CO293" s="17" t="str">
        <f t="shared" si="18"/>
        <v>288331天童市</v>
      </c>
      <c r="CP293" s="17" t="s">
        <v>5242</v>
      </c>
      <c r="CQ293" s="17" t="b">
        <f t="shared" si="19"/>
        <v>1</v>
      </c>
    </row>
    <row r="294" spans="12:95">
      <c r="L294" s="17" t="s">
        <v>5243</v>
      </c>
      <c r="M294" s="17" t="s">
        <v>5244</v>
      </c>
      <c r="N294" s="27" t="s">
        <v>5245</v>
      </c>
      <c r="O294" s="29" t="s">
        <v>1442</v>
      </c>
      <c r="P294" s="29" t="s">
        <v>5246</v>
      </c>
      <c r="Q294" s="29" t="s">
        <v>1442</v>
      </c>
      <c r="R294" s="29" t="s">
        <v>4389</v>
      </c>
      <c r="S294" s="28" t="s">
        <v>1920</v>
      </c>
      <c r="T294" s="28" t="s">
        <v>2958</v>
      </c>
      <c r="U294" s="28" t="s">
        <v>1440</v>
      </c>
      <c r="V294" s="28" t="s">
        <v>1557</v>
      </c>
      <c r="W294" s="28" t="s">
        <v>5247</v>
      </c>
      <c r="X294" s="17">
        <v>1</v>
      </c>
      <c r="CJ294" s="26" t="s">
        <v>1383</v>
      </c>
      <c r="CK294" s="26" t="s">
        <v>2096</v>
      </c>
      <c r="CL294" s="26" t="str">
        <f t="shared" si="17"/>
        <v>山形県東根市</v>
      </c>
      <c r="CM294" s="49">
        <v>289</v>
      </c>
      <c r="CN294" s="17" t="str">
        <f t="shared" si="16"/>
        <v>0332</v>
      </c>
      <c r="CO294" s="17" t="str">
        <f t="shared" si="18"/>
        <v>289332東根市</v>
      </c>
      <c r="CP294" s="17" t="s">
        <v>5248</v>
      </c>
      <c r="CQ294" s="17" t="b">
        <f t="shared" si="19"/>
        <v>1</v>
      </c>
    </row>
    <row r="295" spans="12:95">
      <c r="L295" s="17" t="s">
        <v>5249</v>
      </c>
      <c r="M295" s="17" t="s">
        <v>5250</v>
      </c>
      <c r="N295" s="27" t="s">
        <v>5251</v>
      </c>
      <c r="O295" s="29" t="s">
        <v>1442</v>
      </c>
      <c r="P295" s="29" t="s">
        <v>5252</v>
      </c>
      <c r="Q295" s="29" t="s">
        <v>1442</v>
      </c>
      <c r="R295" s="29" t="s">
        <v>5253</v>
      </c>
      <c r="S295" s="28" t="s">
        <v>1977</v>
      </c>
      <c r="T295" s="28" t="s">
        <v>2991</v>
      </c>
      <c r="U295" s="28" t="s">
        <v>1440</v>
      </c>
      <c r="V295" s="28" t="s">
        <v>1557</v>
      </c>
      <c r="W295" s="28" t="s">
        <v>5254</v>
      </c>
      <c r="X295" s="17">
        <v>1</v>
      </c>
      <c r="CJ295" s="26" t="s">
        <v>1383</v>
      </c>
      <c r="CK295" s="26" t="s">
        <v>2152</v>
      </c>
      <c r="CL295" s="26" t="str">
        <f t="shared" si="17"/>
        <v>山形県尾花沢市</v>
      </c>
      <c r="CM295" s="49">
        <v>290</v>
      </c>
      <c r="CN295" s="17" t="str">
        <f t="shared" si="16"/>
        <v>0333</v>
      </c>
      <c r="CO295" s="17" t="str">
        <f t="shared" si="18"/>
        <v>290333尾花沢市</v>
      </c>
      <c r="CP295" s="17" t="s">
        <v>5255</v>
      </c>
      <c r="CQ295" s="17" t="b">
        <f t="shared" si="19"/>
        <v>1</v>
      </c>
    </row>
    <row r="296" spans="12:95">
      <c r="L296" s="17" t="s">
        <v>5256</v>
      </c>
      <c r="M296" s="17" t="s">
        <v>5257</v>
      </c>
      <c r="N296" s="27" t="s">
        <v>5258</v>
      </c>
      <c r="O296" s="29" t="s">
        <v>1442</v>
      </c>
      <c r="P296" s="29" t="s">
        <v>5259</v>
      </c>
      <c r="Q296" s="29" t="s">
        <v>1442</v>
      </c>
      <c r="R296" s="29" t="s">
        <v>4825</v>
      </c>
      <c r="S296" s="28" t="s">
        <v>2311</v>
      </c>
      <c r="T296" s="28" t="s">
        <v>3024</v>
      </c>
      <c r="U296" s="28" t="s">
        <v>1440</v>
      </c>
      <c r="V296" s="28" t="s">
        <v>1557</v>
      </c>
      <c r="W296" s="28" t="s">
        <v>5260</v>
      </c>
      <c r="X296" s="17">
        <v>1</v>
      </c>
      <c r="CJ296" s="26" t="s">
        <v>1383</v>
      </c>
      <c r="CK296" s="26" t="s">
        <v>2207</v>
      </c>
      <c r="CL296" s="26" t="str">
        <f t="shared" si="17"/>
        <v>山形県南陽市</v>
      </c>
      <c r="CM296" s="49">
        <v>291</v>
      </c>
      <c r="CN296" s="17" t="str">
        <f t="shared" si="16"/>
        <v>0334</v>
      </c>
      <c r="CO296" s="17" t="str">
        <f t="shared" si="18"/>
        <v>291334南陽市</v>
      </c>
      <c r="CP296" s="17" t="s">
        <v>5261</v>
      </c>
      <c r="CQ296" s="17" t="b">
        <f t="shared" si="19"/>
        <v>1</v>
      </c>
    </row>
    <row r="297" spans="12:95">
      <c r="L297" s="17" t="s">
        <v>5262</v>
      </c>
      <c r="M297" s="17" t="s">
        <v>5263</v>
      </c>
      <c r="N297" s="27" t="s">
        <v>5264</v>
      </c>
      <c r="O297" s="29" t="s">
        <v>1442</v>
      </c>
      <c r="P297" s="29" t="s">
        <v>5265</v>
      </c>
      <c r="Q297" s="29" t="s">
        <v>1442</v>
      </c>
      <c r="R297" s="29" t="s">
        <v>4984</v>
      </c>
      <c r="S297" s="28" t="s">
        <v>2311</v>
      </c>
      <c r="T297" s="28" t="s">
        <v>3057</v>
      </c>
      <c r="U297" s="28" t="s">
        <v>1440</v>
      </c>
      <c r="V297" s="28" t="s">
        <v>1557</v>
      </c>
      <c r="W297" s="28" t="s">
        <v>5266</v>
      </c>
      <c r="X297" s="17">
        <v>1</v>
      </c>
      <c r="CJ297" s="26" t="s">
        <v>1383</v>
      </c>
      <c r="CK297" s="26" t="s">
        <v>2262</v>
      </c>
      <c r="CL297" s="26" t="str">
        <f t="shared" si="17"/>
        <v>山形県山辺町</v>
      </c>
      <c r="CM297" s="49">
        <v>292</v>
      </c>
      <c r="CN297" s="17" t="str">
        <f t="shared" si="16"/>
        <v>0335</v>
      </c>
      <c r="CO297" s="17" t="str">
        <f t="shared" si="18"/>
        <v>292335山辺町</v>
      </c>
      <c r="CP297" s="17" t="s">
        <v>5267</v>
      </c>
      <c r="CQ297" s="17" t="b">
        <f t="shared" si="19"/>
        <v>1</v>
      </c>
    </row>
    <row r="298" spans="12:95">
      <c r="L298" s="17" t="s">
        <v>5268</v>
      </c>
      <c r="M298" s="17" t="s">
        <v>5269</v>
      </c>
      <c r="N298" s="27" t="s">
        <v>5270</v>
      </c>
      <c r="O298" s="29" t="s">
        <v>1442</v>
      </c>
      <c r="P298" s="29" t="s">
        <v>5271</v>
      </c>
      <c r="Q298" s="29" t="s">
        <v>1442</v>
      </c>
      <c r="R298" s="29" t="s">
        <v>5272</v>
      </c>
      <c r="S298" s="28" t="s">
        <v>1743</v>
      </c>
      <c r="T298" s="28" t="s">
        <v>2354</v>
      </c>
      <c r="U298" s="28" t="s">
        <v>1440</v>
      </c>
      <c r="V298" s="28" t="s">
        <v>1557</v>
      </c>
      <c r="W298" s="28" t="s">
        <v>5273</v>
      </c>
      <c r="X298" s="17">
        <v>1</v>
      </c>
      <c r="CJ298" s="26" t="s">
        <v>1383</v>
      </c>
      <c r="CK298" s="26" t="s">
        <v>2318</v>
      </c>
      <c r="CL298" s="26" t="str">
        <f t="shared" si="17"/>
        <v>山形県中山町</v>
      </c>
      <c r="CM298" s="49">
        <v>293</v>
      </c>
      <c r="CN298" s="17" t="str">
        <f t="shared" si="16"/>
        <v>0336</v>
      </c>
      <c r="CO298" s="17" t="str">
        <f t="shared" si="18"/>
        <v>293336中山町</v>
      </c>
      <c r="CP298" s="17" t="s">
        <v>5274</v>
      </c>
      <c r="CQ298" s="17" t="b">
        <f t="shared" si="19"/>
        <v>1</v>
      </c>
    </row>
    <row r="299" spans="12:95">
      <c r="L299" s="17" t="s">
        <v>5275</v>
      </c>
      <c r="M299" s="17" t="s">
        <v>5276</v>
      </c>
      <c r="N299" s="27" t="s">
        <v>5277</v>
      </c>
      <c r="O299" s="29" t="s">
        <v>1442</v>
      </c>
      <c r="P299" s="29" t="s">
        <v>5278</v>
      </c>
      <c r="Q299" s="29" t="s">
        <v>1442</v>
      </c>
      <c r="R299" s="29" t="s">
        <v>4050</v>
      </c>
      <c r="S299" s="28" t="s">
        <v>2525</v>
      </c>
      <c r="T299" s="28" t="s">
        <v>3117</v>
      </c>
      <c r="U299" s="28" t="s">
        <v>1440</v>
      </c>
      <c r="V299" s="28" t="s">
        <v>1557</v>
      </c>
      <c r="W299" s="28" t="s">
        <v>5279</v>
      </c>
      <c r="X299" s="17">
        <v>1</v>
      </c>
      <c r="CJ299" s="26" t="s">
        <v>1383</v>
      </c>
      <c r="CK299" s="26" t="s">
        <v>2372</v>
      </c>
      <c r="CL299" s="26" t="str">
        <f t="shared" si="17"/>
        <v>山形県河北町</v>
      </c>
      <c r="CM299" s="49">
        <v>294</v>
      </c>
      <c r="CN299" s="17" t="str">
        <f t="shared" si="16"/>
        <v>0337</v>
      </c>
      <c r="CO299" s="17" t="str">
        <f t="shared" si="18"/>
        <v>294337河北町</v>
      </c>
      <c r="CP299" s="17" t="s">
        <v>5280</v>
      </c>
      <c r="CQ299" s="17" t="b">
        <f t="shared" si="19"/>
        <v>1</v>
      </c>
    </row>
    <row r="300" spans="12:95">
      <c r="L300" s="17" t="s">
        <v>5281</v>
      </c>
      <c r="M300" s="17" t="s">
        <v>5282</v>
      </c>
      <c r="N300" s="27" t="s">
        <v>5283</v>
      </c>
      <c r="O300" s="29" t="s">
        <v>1442</v>
      </c>
      <c r="P300" s="29" t="s">
        <v>5284</v>
      </c>
      <c r="Q300" s="29" t="s">
        <v>1442</v>
      </c>
      <c r="R300" s="29" t="s">
        <v>5285</v>
      </c>
      <c r="S300" s="28" t="s">
        <v>1862</v>
      </c>
      <c r="T300" s="28" t="s">
        <v>3147</v>
      </c>
      <c r="U300" s="28" t="s">
        <v>1440</v>
      </c>
      <c r="V300" s="28" t="s">
        <v>1557</v>
      </c>
      <c r="W300" s="28" t="s">
        <v>5284</v>
      </c>
      <c r="X300" s="17">
        <v>1</v>
      </c>
      <c r="CJ300" s="26" t="s">
        <v>1383</v>
      </c>
      <c r="CK300" s="26" t="s">
        <v>2427</v>
      </c>
      <c r="CL300" s="26" t="str">
        <f t="shared" si="17"/>
        <v>山形県西川町</v>
      </c>
      <c r="CM300" s="49">
        <v>295</v>
      </c>
      <c r="CN300" s="17" t="str">
        <f t="shared" si="16"/>
        <v>0338</v>
      </c>
      <c r="CO300" s="17" t="str">
        <f t="shared" si="18"/>
        <v>295338西川町</v>
      </c>
      <c r="CP300" s="17" t="s">
        <v>5286</v>
      </c>
      <c r="CQ300" s="17" t="b">
        <f t="shared" si="19"/>
        <v>1</v>
      </c>
    </row>
    <row r="301" spans="12:95">
      <c r="L301" s="17" t="s">
        <v>5287</v>
      </c>
      <c r="M301" s="17" t="s">
        <v>5288</v>
      </c>
      <c r="N301" s="27" t="s">
        <v>5289</v>
      </c>
      <c r="O301" s="29" t="s">
        <v>1443</v>
      </c>
      <c r="P301" s="29" t="s">
        <v>5290</v>
      </c>
      <c r="Q301" s="29" t="s">
        <v>1443</v>
      </c>
      <c r="R301" s="29" t="s">
        <v>4593</v>
      </c>
      <c r="S301" s="28" t="s">
        <v>1626</v>
      </c>
      <c r="T301" s="28" t="s">
        <v>1508</v>
      </c>
      <c r="U301" s="28" t="s">
        <v>1440</v>
      </c>
      <c r="V301" s="28" t="s">
        <v>1557</v>
      </c>
      <c r="W301" s="28" t="s">
        <v>5290</v>
      </c>
      <c r="X301" s="17">
        <v>1</v>
      </c>
      <c r="CJ301" s="26" t="s">
        <v>1383</v>
      </c>
      <c r="CK301" s="26" t="s">
        <v>2280</v>
      </c>
      <c r="CL301" s="26" t="str">
        <f t="shared" si="17"/>
        <v>山形県朝日町</v>
      </c>
      <c r="CM301" s="49">
        <v>296</v>
      </c>
      <c r="CN301" s="17" t="str">
        <f t="shared" si="16"/>
        <v>0339</v>
      </c>
      <c r="CO301" s="17" t="str">
        <f t="shared" si="18"/>
        <v>296339朝日町</v>
      </c>
      <c r="CP301" s="17" t="s">
        <v>5291</v>
      </c>
      <c r="CQ301" s="17" t="b">
        <f t="shared" si="19"/>
        <v>1</v>
      </c>
    </row>
    <row r="302" spans="12:95">
      <c r="L302" s="17" t="s">
        <v>5292</v>
      </c>
      <c r="M302" s="17" t="s">
        <v>5293</v>
      </c>
      <c r="N302" s="27" t="s">
        <v>5294</v>
      </c>
      <c r="O302" s="29" t="s">
        <v>1443</v>
      </c>
      <c r="P302" s="29" t="s">
        <v>5295</v>
      </c>
      <c r="Q302" s="29" t="s">
        <v>1443</v>
      </c>
      <c r="R302" s="29" t="s">
        <v>1563</v>
      </c>
      <c r="S302" s="28" t="s">
        <v>1502</v>
      </c>
      <c r="T302" s="28" t="s">
        <v>1570</v>
      </c>
      <c r="U302" s="28" t="s">
        <v>1440</v>
      </c>
      <c r="V302" s="28" t="s">
        <v>1557</v>
      </c>
      <c r="W302" s="28" t="s">
        <v>5295</v>
      </c>
      <c r="X302" s="17">
        <v>1</v>
      </c>
      <c r="CJ302" s="26" t="s">
        <v>1383</v>
      </c>
      <c r="CK302" s="26" t="s">
        <v>2532</v>
      </c>
      <c r="CL302" s="26" t="str">
        <f t="shared" si="17"/>
        <v>山形県大江町</v>
      </c>
      <c r="CM302" s="49">
        <v>297</v>
      </c>
      <c r="CN302" s="17" t="str">
        <f t="shared" si="16"/>
        <v>0340</v>
      </c>
      <c r="CO302" s="17" t="str">
        <f t="shared" si="18"/>
        <v>297340大江町</v>
      </c>
      <c r="CP302" s="17" t="s">
        <v>5296</v>
      </c>
      <c r="CQ302" s="17" t="b">
        <f t="shared" si="19"/>
        <v>1</v>
      </c>
    </row>
    <row r="303" spans="12:95">
      <c r="L303" s="17" t="s">
        <v>5297</v>
      </c>
      <c r="M303" s="17" t="s">
        <v>5298</v>
      </c>
      <c r="N303" s="27" t="s">
        <v>5299</v>
      </c>
      <c r="O303" s="29" t="s">
        <v>1443</v>
      </c>
      <c r="P303" s="29" t="s">
        <v>5300</v>
      </c>
      <c r="Q303" s="29" t="s">
        <v>1443</v>
      </c>
      <c r="R303" s="29" t="s">
        <v>1625</v>
      </c>
      <c r="S303" s="28" t="s">
        <v>2525</v>
      </c>
      <c r="T303" s="28" t="s">
        <v>1632</v>
      </c>
      <c r="U303" s="28" t="s">
        <v>1440</v>
      </c>
      <c r="V303" s="28" t="s">
        <v>1557</v>
      </c>
      <c r="W303" s="28" t="s">
        <v>5300</v>
      </c>
      <c r="X303" s="17">
        <v>1</v>
      </c>
      <c r="CJ303" s="26" t="s">
        <v>1383</v>
      </c>
      <c r="CK303" s="26" t="s">
        <v>2582</v>
      </c>
      <c r="CL303" s="26" t="str">
        <f t="shared" si="17"/>
        <v>山形県大石田町</v>
      </c>
      <c r="CM303" s="49">
        <v>298</v>
      </c>
      <c r="CN303" s="17" t="str">
        <f t="shared" si="16"/>
        <v>0341</v>
      </c>
      <c r="CO303" s="17" t="str">
        <f t="shared" si="18"/>
        <v>298341大石田町</v>
      </c>
      <c r="CP303" s="17" t="s">
        <v>5301</v>
      </c>
      <c r="CQ303" s="17" t="b">
        <f t="shared" si="19"/>
        <v>1</v>
      </c>
    </row>
    <row r="304" spans="12:95">
      <c r="L304" s="17" t="s">
        <v>5302</v>
      </c>
      <c r="M304" s="17" t="s">
        <v>5303</v>
      </c>
      <c r="N304" s="27" t="s">
        <v>5304</v>
      </c>
      <c r="O304" s="29" t="s">
        <v>1443</v>
      </c>
      <c r="P304" s="29" t="s">
        <v>5305</v>
      </c>
      <c r="Q304" s="29" t="s">
        <v>1443</v>
      </c>
      <c r="R304" s="29" t="s">
        <v>1684</v>
      </c>
      <c r="S304" s="28" t="s">
        <v>2311</v>
      </c>
      <c r="T304" s="28" t="s">
        <v>1690</v>
      </c>
      <c r="U304" s="28" t="s">
        <v>1440</v>
      </c>
      <c r="V304" s="28" t="s">
        <v>1557</v>
      </c>
      <c r="W304" s="28" t="s">
        <v>5305</v>
      </c>
      <c r="X304" s="17">
        <v>1</v>
      </c>
      <c r="CJ304" s="26" t="s">
        <v>1383</v>
      </c>
      <c r="CK304" s="26" t="s">
        <v>2629</v>
      </c>
      <c r="CL304" s="26" t="str">
        <f t="shared" si="17"/>
        <v>山形県金山町</v>
      </c>
      <c r="CM304" s="49">
        <v>299</v>
      </c>
      <c r="CN304" s="17" t="str">
        <f t="shared" si="16"/>
        <v>0342</v>
      </c>
      <c r="CO304" s="17" t="str">
        <f t="shared" si="18"/>
        <v>299342金山町</v>
      </c>
      <c r="CP304" s="17" t="s">
        <v>5306</v>
      </c>
      <c r="CQ304" s="17" t="b">
        <f t="shared" si="19"/>
        <v>1</v>
      </c>
    </row>
    <row r="305" spans="12:95">
      <c r="L305" s="17" t="s">
        <v>5307</v>
      </c>
      <c r="M305" s="17" t="s">
        <v>5308</v>
      </c>
      <c r="N305" s="27" t="s">
        <v>5309</v>
      </c>
      <c r="O305" s="29" t="s">
        <v>1443</v>
      </c>
      <c r="P305" s="29" t="s">
        <v>5310</v>
      </c>
      <c r="Q305" s="29" t="s">
        <v>1443</v>
      </c>
      <c r="R305" s="29" t="s">
        <v>1802</v>
      </c>
      <c r="S305" s="28" t="s">
        <v>1920</v>
      </c>
      <c r="T305" s="28" t="s">
        <v>1749</v>
      </c>
      <c r="U305" s="28" t="s">
        <v>1440</v>
      </c>
      <c r="V305" s="28" t="s">
        <v>1557</v>
      </c>
      <c r="W305" s="28" t="s">
        <v>5311</v>
      </c>
      <c r="X305" s="17">
        <v>1</v>
      </c>
      <c r="CJ305" s="26" t="s">
        <v>1383</v>
      </c>
      <c r="CK305" s="26" t="s">
        <v>2675</v>
      </c>
      <c r="CL305" s="26" t="str">
        <f t="shared" si="17"/>
        <v>山形県最上町</v>
      </c>
      <c r="CM305" s="49">
        <v>300</v>
      </c>
      <c r="CN305" s="17" t="str">
        <f t="shared" si="16"/>
        <v>0343</v>
      </c>
      <c r="CO305" s="17" t="str">
        <f t="shared" si="18"/>
        <v>300343最上町</v>
      </c>
      <c r="CP305" s="17" t="s">
        <v>5312</v>
      </c>
      <c r="CQ305" s="17" t="b">
        <f t="shared" si="19"/>
        <v>1</v>
      </c>
    </row>
    <row r="306" spans="12:95">
      <c r="L306" s="17" t="s">
        <v>5313</v>
      </c>
      <c r="M306" s="17" t="s">
        <v>5314</v>
      </c>
      <c r="N306" s="27" t="s">
        <v>5315</v>
      </c>
      <c r="O306" s="29" t="s">
        <v>1443</v>
      </c>
      <c r="P306" s="29" t="s">
        <v>5316</v>
      </c>
      <c r="Q306" s="29" t="s">
        <v>1443</v>
      </c>
      <c r="R306" s="29" t="s">
        <v>1861</v>
      </c>
      <c r="S306" s="28" t="s">
        <v>1977</v>
      </c>
      <c r="T306" s="28" t="s">
        <v>1809</v>
      </c>
      <c r="U306" s="28" t="s">
        <v>1440</v>
      </c>
      <c r="V306" s="28" t="s">
        <v>1557</v>
      </c>
      <c r="W306" s="28" t="s">
        <v>5317</v>
      </c>
      <c r="X306" s="17">
        <v>1</v>
      </c>
      <c r="CJ306" s="26" t="s">
        <v>1383</v>
      </c>
      <c r="CK306" s="26" t="s">
        <v>2721</v>
      </c>
      <c r="CL306" s="26" t="str">
        <f t="shared" si="17"/>
        <v>山形県舟形町</v>
      </c>
      <c r="CM306" s="49">
        <v>301</v>
      </c>
      <c r="CN306" s="17" t="str">
        <f t="shared" si="16"/>
        <v>0344</v>
      </c>
      <c r="CO306" s="17" t="str">
        <f t="shared" si="18"/>
        <v>301344舟形町</v>
      </c>
      <c r="CP306" s="17" t="s">
        <v>5318</v>
      </c>
      <c r="CQ306" s="17" t="b">
        <f t="shared" si="19"/>
        <v>1</v>
      </c>
    </row>
    <row r="307" spans="12:95">
      <c r="L307" s="17" t="s">
        <v>5319</v>
      </c>
      <c r="M307" s="17" t="s">
        <v>5320</v>
      </c>
      <c r="N307" s="27" t="s">
        <v>5321</v>
      </c>
      <c r="O307" s="29" t="s">
        <v>1443</v>
      </c>
      <c r="P307" s="29" t="s">
        <v>5322</v>
      </c>
      <c r="Q307" s="29" t="s">
        <v>1443</v>
      </c>
      <c r="R307" s="29" t="s">
        <v>1976</v>
      </c>
      <c r="S307" s="28" t="s">
        <v>1803</v>
      </c>
      <c r="T307" s="28" t="s">
        <v>1868</v>
      </c>
      <c r="U307" s="28" t="s">
        <v>1440</v>
      </c>
      <c r="V307" s="28" t="s">
        <v>1557</v>
      </c>
      <c r="W307" s="28" t="s">
        <v>5323</v>
      </c>
      <c r="X307" s="17">
        <v>1</v>
      </c>
      <c r="CJ307" s="26" t="s">
        <v>1383</v>
      </c>
      <c r="CK307" s="26" t="s">
        <v>2765</v>
      </c>
      <c r="CL307" s="26" t="str">
        <f t="shared" si="17"/>
        <v>山形県真室川町</v>
      </c>
      <c r="CM307" s="49">
        <v>302</v>
      </c>
      <c r="CN307" s="17" t="str">
        <f t="shared" si="16"/>
        <v>0345</v>
      </c>
      <c r="CO307" s="17" t="str">
        <f t="shared" si="18"/>
        <v>302345真室川町</v>
      </c>
      <c r="CP307" s="17" t="s">
        <v>5324</v>
      </c>
      <c r="CQ307" s="17" t="b">
        <f t="shared" si="19"/>
        <v>1</v>
      </c>
    </row>
    <row r="308" spans="12:95">
      <c r="L308" s="17" t="s">
        <v>5325</v>
      </c>
      <c r="M308" s="17" t="s">
        <v>5326</v>
      </c>
      <c r="N308" s="27" t="s">
        <v>5327</v>
      </c>
      <c r="O308" s="29" t="s">
        <v>1443</v>
      </c>
      <c r="P308" s="29" t="s">
        <v>5328</v>
      </c>
      <c r="Q308" s="29" t="s">
        <v>1443</v>
      </c>
      <c r="R308" s="29" t="s">
        <v>2089</v>
      </c>
      <c r="S308" s="28" t="s">
        <v>1920</v>
      </c>
      <c r="T308" s="28" t="s">
        <v>1926</v>
      </c>
      <c r="U308" s="28" t="s">
        <v>1440</v>
      </c>
      <c r="V308" s="28" t="s">
        <v>1557</v>
      </c>
      <c r="W308" s="28" t="s">
        <v>5329</v>
      </c>
      <c r="X308" s="17">
        <v>1</v>
      </c>
      <c r="CJ308" s="26" t="s">
        <v>1383</v>
      </c>
      <c r="CK308" s="26" t="s">
        <v>2807</v>
      </c>
      <c r="CL308" s="26" t="str">
        <f t="shared" si="17"/>
        <v>山形県大蔵村</v>
      </c>
      <c r="CM308" s="49">
        <v>303</v>
      </c>
      <c r="CN308" s="17" t="str">
        <f t="shared" si="16"/>
        <v>0346</v>
      </c>
      <c r="CO308" s="17" t="str">
        <f t="shared" si="18"/>
        <v>303346大蔵村</v>
      </c>
      <c r="CP308" s="17" t="s">
        <v>5330</v>
      </c>
      <c r="CQ308" s="17" t="b">
        <f t="shared" si="19"/>
        <v>1</v>
      </c>
    </row>
    <row r="309" spans="12:95">
      <c r="L309" s="17" t="s">
        <v>5331</v>
      </c>
      <c r="M309" s="17" t="s">
        <v>5332</v>
      </c>
      <c r="N309" s="27" t="s">
        <v>5333</v>
      </c>
      <c r="O309" s="29" t="s">
        <v>1443</v>
      </c>
      <c r="P309" s="29" t="s">
        <v>5334</v>
      </c>
      <c r="Q309" s="29" t="s">
        <v>1443</v>
      </c>
      <c r="R309" s="29" t="s">
        <v>2200</v>
      </c>
      <c r="S309" s="28" t="s">
        <v>1743</v>
      </c>
      <c r="T309" s="28" t="s">
        <v>1983</v>
      </c>
      <c r="U309" s="28" t="s">
        <v>1440</v>
      </c>
      <c r="V309" s="28" t="s">
        <v>1557</v>
      </c>
      <c r="W309" s="28" t="s">
        <v>5335</v>
      </c>
      <c r="X309" s="17">
        <v>1</v>
      </c>
      <c r="CJ309" s="26" t="s">
        <v>1383</v>
      </c>
      <c r="CK309" s="26" t="s">
        <v>2848</v>
      </c>
      <c r="CL309" s="26" t="str">
        <f t="shared" si="17"/>
        <v>山形県鮭川村</v>
      </c>
      <c r="CM309" s="49">
        <v>304</v>
      </c>
      <c r="CN309" s="17" t="str">
        <f t="shared" si="16"/>
        <v>0347</v>
      </c>
      <c r="CO309" s="17" t="str">
        <f t="shared" si="18"/>
        <v>304347鮭川村</v>
      </c>
      <c r="CP309" s="17" t="s">
        <v>5336</v>
      </c>
      <c r="CQ309" s="17" t="b">
        <f t="shared" si="19"/>
        <v>1</v>
      </c>
    </row>
    <row r="310" spans="12:95">
      <c r="L310" s="17" t="s">
        <v>5337</v>
      </c>
      <c r="M310" s="17" t="s">
        <v>5338</v>
      </c>
      <c r="N310" s="27" t="s">
        <v>5339</v>
      </c>
      <c r="O310" s="29" t="s">
        <v>1443</v>
      </c>
      <c r="P310" s="29" t="s">
        <v>5340</v>
      </c>
      <c r="Q310" s="29" t="s">
        <v>1443</v>
      </c>
      <c r="R310" s="29" t="s">
        <v>3142</v>
      </c>
      <c r="S310" s="28" t="s">
        <v>2311</v>
      </c>
      <c r="T310" s="28" t="s">
        <v>2039</v>
      </c>
      <c r="U310" s="28" t="s">
        <v>1440</v>
      </c>
      <c r="V310" s="28" t="s">
        <v>1557</v>
      </c>
      <c r="W310" s="28" t="s">
        <v>5341</v>
      </c>
      <c r="X310" s="17">
        <v>1</v>
      </c>
      <c r="CJ310" s="26" t="s">
        <v>1383</v>
      </c>
      <c r="CK310" s="26" t="s">
        <v>2887</v>
      </c>
      <c r="CL310" s="26" t="str">
        <f t="shared" si="17"/>
        <v>山形県戸沢村</v>
      </c>
      <c r="CM310" s="49">
        <v>305</v>
      </c>
      <c r="CN310" s="17" t="str">
        <f t="shared" si="16"/>
        <v>0348</v>
      </c>
      <c r="CO310" s="17" t="str">
        <f t="shared" si="18"/>
        <v>305348戸沢村</v>
      </c>
      <c r="CP310" s="17" t="s">
        <v>5342</v>
      </c>
      <c r="CQ310" s="17" t="b">
        <f t="shared" si="19"/>
        <v>1</v>
      </c>
    </row>
    <row r="311" spans="12:95">
      <c r="L311" s="17" t="s">
        <v>5343</v>
      </c>
      <c r="M311" s="17" t="s">
        <v>5344</v>
      </c>
      <c r="N311" s="27" t="s">
        <v>5345</v>
      </c>
      <c r="O311" s="29" t="s">
        <v>1443</v>
      </c>
      <c r="P311" s="29" t="s">
        <v>5346</v>
      </c>
      <c r="Q311" s="29" t="s">
        <v>1443</v>
      </c>
      <c r="R311" s="29" t="s">
        <v>5347</v>
      </c>
      <c r="S311" s="28" t="s">
        <v>1803</v>
      </c>
      <c r="T311" s="28" t="s">
        <v>2095</v>
      </c>
      <c r="U311" s="28" t="s">
        <v>1440</v>
      </c>
      <c r="V311" s="28" t="s">
        <v>1557</v>
      </c>
      <c r="W311" s="28" t="s">
        <v>5348</v>
      </c>
      <c r="X311" s="17">
        <v>1</v>
      </c>
      <c r="CJ311" s="26" t="s">
        <v>1383</v>
      </c>
      <c r="CK311" s="26" t="s">
        <v>2924</v>
      </c>
      <c r="CL311" s="26" t="str">
        <f t="shared" si="17"/>
        <v>山形県高畠町</v>
      </c>
      <c r="CM311" s="49">
        <v>306</v>
      </c>
      <c r="CN311" s="17" t="str">
        <f t="shared" si="16"/>
        <v>0349</v>
      </c>
      <c r="CO311" s="17" t="str">
        <f t="shared" si="18"/>
        <v>306349高畠町</v>
      </c>
      <c r="CP311" s="17" t="s">
        <v>5349</v>
      </c>
      <c r="CQ311" s="17" t="b">
        <f t="shared" si="19"/>
        <v>1</v>
      </c>
    </row>
    <row r="312" spans="12:95">
      <c r="L312" s="17" t="s">
        <v>5350</v>
      </c>
      <c r="M312" s="17" t="s">
        <v>5351</v>
      </c>
      <c r="N312" s="27" t="s">
        <v>5352</v>
      </c>
      <c r="O312" s="29" t="s">
        <v>1443</v>
      </c>
      <c r="P312" s="29" t="s">
        <v>5353</v>
      </c>
      <c r="Q312" s="29" t="s">
        <v>1443</v>
      </c>
      <c r="R312" s="29" t="s">
        <v>3358</v>
      </c>
      <c r="S312" s="28" t="s">
        <v>1803</v>
      </c>
      <c r="T312" s="28" t="s">
        <v>2151</v>
      </c>
      <c r="U312" s="28" t="s">
        <v>1440</v>
      </c>
      <c r="V312" s="28" t="s">
        <v>1557</v>
      </c>
      <c r="W312" s="28" t="s">
        <v>5354</v>
      </c>
      <c r="X312" s="17">
        <v>1</v>
      </c>
      <c r="CJ312" s="26" t="s">
        <v>1383</v>
      </c>
      <c r="CK312" s="26" t="s">
        <v>2501</v>
      </c>
      <c r="CL312" s="26" t="str">
        <f t="shared" si="17"/>
        <v>山形県川西町</v>
      </c>
      <c r="CM312" s="49">
        <v>307</v>
      </c>
      <c r="CN312" s="17" t="str">
        <f t="shared" si="16"/>
        <v>0350</v>
      </c>
      <c r="CO312" s="17" t="str">
        <f t="shared" si="18"/>
        <v>307350川西町</v>
      </c>
      <c r="CP312" s="17" t="s">
        <v>5355</v>
      </c>
      <c r="CQ312" s="17" t="b">
        <f t="shared" si="19"/>
        <v>1</v>
      </c>
    </row>
    <row r="313" spans="12:95">
      <c r="L313" s="17" t="s">
        <v>5356</v>
      </c>
      <c r="M313" s="17" t="s">
        <v>5357</v>
      </c>
      <c r="N313" s="27" t="s">
        <v>5358</v>
      </c>
      <c r="O313" s="29" t="s">
        <v>1443</v>
      </c>
      <c r="P313" s="29" t="s">
        <v>5359</v>
      </c>
      <c r="Q313" s="29" t="s">
        <v>1443</v>
      </c>
      <c r="R313" s="29" t="s">
        <v>5360</v>
      </c>
      <c r="S313" s="28" t="s">
        <v>1920</v>
      </c>
      <c r="T313" s="28" t="s">
        <v>2206</v>
      </c>
      <c r="U313" s="28" t="s">
        <v>1440</v>
      </c>
      <c r="V313" s="28" t="s">
        <v>1557</v>
      </c>
      <c r="W313" s="28" t="s">
        <v>5361</v>
      </c>
      <c r="X313" s="17">
        <v>1</v>
      </c>
      <c r="CJ313" s="26" t="s">
        <v>1383</v>
      </c>
      <c r="CK313" s="26" t="s">
        <v>2749</v>
      </c>
      <c r="CL313" s="26" t="str">
        <f t="shared" si="17"/>
        <v>山形県小国町</v>
      </c>
      <c r="CM313" s="49">
        <v>308</v>
      </c>
      <c r="CN313" s="17" t="str">
        <f t="shared" si="16"/>
        <v>0351</v>
      </c>
      <c r="CO313" s="17" t="str">
        <f t="shared" si="18"/>
        <v>308351小国町</v>
      </c>
      <c r="CP313" s="17" t="s">
        <v>5362</v>
      </c>
      <c r="CQ313" s="17" t="b">
        <f t="shared" si="19"/>
        <v>1</v>
      </c>
    </row>
    <row r="314" spans="12:95">
      <c r="L314" s="17" t="s">
        <v>5363</v>
      </c>
      <c r="M314" s="17" t="s">
        <v>5364</v>
      </c>
      <c r="N314" s="27" t="s">
        <v>5365</v>
      </c>
      <c r="O314" s="29" t="s">
        <v>1443</v>
      </c>
      <c r="P314" s="29" t="s">
        <v>5366</v>
      </c>
      <c r="Q314" s="29" t="s">
        <v>1443</v>
      </c>
      <c r="R314" s="29" t="s">
        <v>5367</v>
      </c>
      <c r="S314" s="28" t="s">
        <v>1977</v>
      </c>
      <c r="T314" s="28" t="s">
        <v>2261</v>
      </c>
      <c r="U314" s="28" t="s">
        <v>1440</v>
      </c>
      <c r="V314" s="28" t="s">
        <v>1557</v>
      </c>
      <c r="W314" s="28" t="s">
        <v>5368</v>
      </c>
      <c r="X314" s="17">
        <v>1</v>
      </c>
      <c r="CJ314" s="26" t="s">
        <v>1383</v>
      </c>
      <c r="CK314" s="26" t="s">
        <v>3025</v>
      </c>
      <c r="CL314" s="26" t="str">
        <f t="shared" si="17"/>
        <v>山形県白鷹町</v>
      </c>
      <c r="CM314" s="49">
        <v>309</v>
      </c>
      <c r="CN314" s="17" t="str">
        <f t="shared" si="16"/>
        <v>0352</v>
      </c>
      <c r="CO314" s="17" t="str">
        <f t="shared" si="18"/>
        <v>309352白鷹町</v>
      </c>
      <c r="CP314" s="17" t="s">
        <v>5369</v>
      </c>
      <c r="CQ314" s="17" t="b">
        <f t="shared" si="19"/>
        <v>1</v>
      </c>
    </row>
    <row r="315" spans="12:95">
      <c r="L315" s="17" t="s">
        <v>5370</v>
      </c>
      <c r="M315" s="17" t="s">
        <v>5371</v>
      </c>
      <c r="N315" s="27" t="s">
        <v>5372</v>
      </c>
      <c r="O315" s="29" t="s">
        <v>1443</v>
      </c>
      <c r="P315" s="29" t="s">
        <v>5373</v>
      </c>
      <c r="Q315" s="29" t="s">
        <v>1443</v>
      </c>
      <c r="R315" s="29" t="s">
        <v>3395</v>
      </c>
      <c r="S315" s="28" t="s">
        <v>1564</v>
      </c>
      <c r="T315" s="28" t="s">
        <v>2317</v>
      </c>
      <c r="U315" s="28" t="s">
        <v>1440</v>
      </c>
      <c r="V315" s="28" t="s">
        <v>1557</v>
      </c>
      <c r="W315" s="28" t="s">
        <v>5374</v>
      </c>
      <c r="X315" s="17">
        <v>1</v>
      </c>
      <c r="CJ315" s="26" t="s">
        <v>1383</v>
      </c>
      <c r="CK315" s="26" t="s">
        <v>3058</v>
      </c>
      <c r="CL315" s="26" t="str">
        <f t="shared" si="17"/>
        <v>山形県飯豊町</v>
      </c>
      <c r="CM315" s="49">
        <v>310</v>
      </c>
      <c r="CN315" s="17" t="str">
        <f t="shared" si="16"/>
        <v>0353</v>
      </c>
      <c r="CO315" s="17" t="str">
        <f t="shared" si="18"/>
        <v>310353飯豊町</v>
      </c>
      <c r="CP315" s="17" t="s">
        <v>5375</v>
      </c>
      <c r="CQ315" s="17" t="b">
        <f t="shared" si="19"/>
        <v>1</v>
      </c>
    </row>
    <row r="316" spans="12:95">
      <c r="L316" s="17" t="s">
        <v>5376</v>
      </c>
      <c r="M316" s="17" t="s">
        <v>5377</v>
      </c>
      <c r="N316" s="27" t="s">
        <v>5378</v>
      </c>
      <c r="O316" s="29" t="s">
        <v>1443</v>
      </c>
      <c r="P316" s="29" t="s">
        <v>5379</v>
      </c>
      <c r="Q316" s="29" t="s">
        <v>1443</v>
      </c>
      <c r="R316" s="29" t="s">
        <v>3426</v>
      </c>
      <c r="S316" s="28" t="s">
        <v>1502</v>
      </c>
      <c r="T316" s="28" t="s">
        <v>2371</v>
      </c>
      <c r="U316" s="28" t="s">
        <v>1440</v>
      </c>
      <c r="V316" s="28" t="s">
        <v>1557</v>
      </c>
      <c r="W316" s="28" t="s">
        <v>5380</v>
      </c>
      <c r="X316" s="17">
        <v>1</v>
      </c>
      <c r="CJ316" s="26" t="s">
        <v>1383</v>
      </c>
      <c r="CK316" s="26" t="s">
        <v>3087</v>
      </c>
      <c r="CL316" s="26" t="str">
        <f t="shared" si="17"/>
        <v>山形県三川町</v>
      </c>
      <c r="CM316" s="49">
        <v>311</v>
      </c>
      <c r="CN316" s="17" t="str">
        <f t="shared" si="16"/>
        <v>0354</v>
      </c>
      <c r="CO316" s="17" t="str">
        <f t="shared" si="18"/>
        <v>311354三川町</v>
      </c>
      <c r="CP316" s="17" t="s">
        <v>5381</v>
      </c>
      <c r="CQ316" s="17" t="b">
        <f t="shared" si="19"/>
        <v>1</v>
      </c>
    </row>
    <row r="317" spans="12:95">
      <c r="L317" s="17" t="s">
        <v>5382</v>
      </c>
      <c r="M317" s="17" t="s">
        <v>5383</v>
      </c>
      <c r="N317" s="27" t="s">
        <v>5384</v>
      </c>
      <c r="O317" s="29" t="s">
        <v>1443</v>
      </c>
      <c r="P317" s="29" t="s">
        <v>5385</v>
      </c>
      <c r="Q317" s="29" t="s">
        <v>1443</v>
      </c>
      <c r="R317" s="29" t="s">
        <v>4925</v>
      </c>
      <c r="S317" s="28" t="s">
        <v>1862</v>
      </c>
      <c r="T317" s="28" t="s">
        <v>2426</v>
      </c>
      <c r="U317" s="28" t="s">
        <v>1440</v>
      </c>
      <c r="V317" s="28" t="s">
        <v>1557</v>
      </c>
      <c r="W317" s="28" t="s">
        <v>5385</v>
      </c>
      <c r="X317" s="17">
        <v>1</v>
      </c>
      <c r="CJ317" s="26" t="s">
        <v>1383</v>
      </c>
      <c r="CK317" s="26" t="s">
        <v>3118</v>
      </c>
      <c r="CL317" s="26" t="str">
        <f t="shared" si="17"/>
        <v>山形県庄内町</v>
      </c>
      <c r="CM317" s="49">
        <v>312</v>
      </c>
      <c r="CN317" s="17" t="str">
        <f t="shared" si="16"/>
        <v>0355</v>
      </c>
      <c r="CO317" s="17" t="str">
        <f t="shared" si="18"/>
        <v>312355庄内町</v>
      </c>
      <c r="CP317" s="17" t="s">
        <v>5386</v>
      </c>
      <c r="CQ317" s="17" t="b">
        <f t="shared" si="19"/>
        <v>1</v>
      </c>
    </row>
    <row r="318" spans="12:95">
      <c r="L318" s="17" t="s">
        <v>5387</v>
      </c>
      <c r="M318" s="17" t="s">
        <v>5388</v>
      </c>
      <c r="N318" s="27" t="s">
        <v>5389</v>
      </c>
      <c r="O318" s="29" t="s">
        <v>1443</v>
      </c>
      <c r="P318" s="29" t="s">
        <v>5390</v>
      </c>
      <c r="Q318" s="29" t="s">
        <v>1443</v>
      </c>
      <c r="R318" s="29" t="s">
        <v>5391</v>
      </c>
      <c r="S318" s="28" t="s">
        <v>1977</v>
      </c>
      <c r="T318" s="28" t="s">
        <v>2480</v>
      </c>
      <c r="U318" s="28" t="s">
        <v>1440</v>
      </c>
      <c r="V318" s="28" t="s">
        <v>1557</v>
      </c>
      <c r="W318" s="28" t="s">
        <v>5390</v>
      </c>
      <c r="X318" s="17">
        <v>1</v>
      </c>
      <c r="CJ318" s="26" t="s">
        <v>1383</v>
      </c>
      <c r="CK318" s="26" t="s">
        <v>3148</v>
      </c>
      <c r="CL318" s="26" t="str">
        <f t="shared" si="17"/>
        <v>山形県遊佐町</v>
      </c>
      <c r="CM318" s="49">
        <v>313</v>
      </c>
      <c r="CN318" s="17" t="str">
        <f t="shared" si="16"/>
        <v>0356</v>
      </c>
      <c r="CO318" s="17" t="str">
        <f t="shared" si="18"/>
        <v>313356遊佐町</v>
      </c>
      <c r="CP318" s="17" t="s">
        <v>5392</v>
      </c>
      <c r="CQ318" s="17" t="b">
        <f t="shared" si="19"/>
        <v>1</v>
      </c>
    </row>
    <row r="319" spans="12:95">
      <c r="L319" s="17" t="s">
        <v>5393</v>
      </c>
      <c r="M319" s="17" t="s">
        <v>5394</v>
      </c>
      <c r="N319" s="27" t="s">
        <v>5395</v>
      </c>
      <c r="O319" s="29" t="s">
        <v>1443</v>
      </c>
      <c r="P319" s="29" t="s">
        <v>5396</v>
      </c>
      <c r="Q319" s="29" t="s">
        <v>1443</v>
      </c>
      <c r="R319" s="29" t="s">
        <v>3723</v>
      </c>
      <c r="S319" s="28" t="s">
        <v>2525</v>
      </c>
      <c r="T319" s="28" t="s">
        <v>2531</v>
      </c>
      <c r="U319" s="28" t="s">
        <v>1440</v>
      </c>
      <c r="V319" s="28" t="s">
        <v>1557</v>
      </c>
      <c r="W319" s="28" t="s">
        <v>5397</v>
      </c>
      <c r="X319" s="17">
        <v>1</v>
      </c>
      <c r="CJ319" s="26" t="s">
        <v>1384</v>
      </c>
      <c r="CK319" s="26" t="s">
        <v>1510</v>
      </c>
      <c r="CL319" s="26" t="str">
        <f t="shared" si="17"/>
        <v>福島県福島市</v>
      </c>
      <c r="CM319" s="49">
        <v>314</v>
      </c>
      <c r="CN319" s="17" t="str">
        <f t="shared" si="16"/>
        <v>0357</v>
      </c>
      <c r="CO319" s="17" t="str">
        <f t="shared" si="18"/>
        <v>314357福島市</v>
      </c>
      <c r="CP319" s="17" t="s">
        <v>5398</v>
      </c>
      <c r="CQ319" s="17" t="b">
        <f t="shared" si="19"/>
        <v>1</v>
      </c>
    </row>
    <row r="320" spans="12:95">
      <c r="L320" s="17" t="s">
        <v>5399</v>
      </c>
      <c r="M320" s="17" t="s">
        <v>5400</v>
      </c>
      <c r="N320" s="27" t="s">
        <v>5401</v>
      </c>
      <c r="O320" s="29" t="s">
        <v>1443</v>
      </c>
      <c r="P320" s="29" t="s">
        <v>5402</v>
      </c>
      <c r="Q320" s="29" t="s">
        <v>1443</v>
      </c>
      <c r="R320" s="29" t="s">
        <v>3732</v>
      </c>
      <c r="S320" s="28" t="s">
        <v>2311</v>
      </c>
      <c r="T320" s="28" t="s">
        <v>2581</v>
      </c>
      <c r="U320" s="28" t="s">
        <v>1440</v>
      </c>
      <c r="V320" s="28" t="s">
        <v>1557</v>
      </c>
      <c r="W320" s="28" t="s">
        <v>5403</v>
      </c>
      <c r="X320" s="17">
        <v>1</v>
      </c>
      <c r="CJ320" s="26" t="s">
        <v>1384</v>
      </c>
      <c r="CK320" s="26" t="s">
        <v>1572</v>
      </c>
      <c r="CL320" s="26" t="str">
        <f t="shared" si="17"/>
        <v>福島県会津若松市</v>
      </c>
      <c r="CM320" s="49">
        <v>315</v>
      </c>
      <c r="CN320" s="17" t="str">
        <f t="shared" si="16"/>
        <v>0358</v>
      </c>
      <c r="CO320" s="17" t="str">
        <f t="shared" si="18"/>
        <v>315358会津若松市</v>
      </c>
      <c r="CP320" s="17" t="s">
        <v>5404</v>
      </c>
      <c r="CQ320" s="17" t="b">
        <f t="shared" si="19"/>
        <v>1</v>
      </c>
    </row>
    <row r="321" spans="6:95">
      <c r="L321" s="50" t="s">
        <v>5405</v>
      </c>
      <c r="M321" s="17" t="s">
        <v>5406</v>
      </c>
      <c r="N321" s="51" t="s">
        <v>5407</v>
      </c>
      <c r="O321" s="29" t="s">
        <v>1443</v>
      </c>
      <c r="P321" s="29" t="s">
        <v>5408</v>
      </c>
      <c r="Q321" s="29" t="s">
        <v>1443</v>
      </c>
      <c r="R321" s="29" t="s">
        <v>2033</v>
      </c>
      <c r="S321" s="28" t="s">
        <v>1862</v>
      </c>
      <c r="T321" s="28" t="s">
        <v>2628</v>
      </c>
      <c r="U321" s="28" t="s">
        <v>1440</v>
      </c>
      <c r="V321" s="28" t="s">
        <v>1557</v>
      </c>
      <c r="W321" s="28" t="s">
        <v>5409</v>
      </c>
      <c r="X321" s="50">
        <v>1</v>
      </c>
      <c r="CJ321" s="26" t="s">
        <v>1384</v>
      </c>
      <c r="CK321" s="26" t="s">
        <v>1634</v>
      </c>
      <c r="CL321" s="26" t="str">
        <f t="shared" si="17"/>
        <v>福島県郡山市</v>
      </c>
      <c r="CM321" s="49">
        <v>316</v>
      </c>
      <c r="CN321" s="17" t="str">
        <f t="shared" si="16"/>
        <v>0359</v>
      </c>
      <c r="CO321" s="17" t="str">
        <f t="shared" si="18"/>
        <v>316359郡山市</v>
      </c>
      <c r="CP321" s="17" t="s">
        <v>5410</v>
      </c>
      <c r="CQ321" s="17" t="b">
        <f t="shared" si="19"/>
        <v>1</v>
      </c>
    </row>
    <row r="322" spans="6:95">
      <c r="L322" s="50" t="s">
        <v>5411</v>
      </c>
      <c r="M322" s="17" t="s">
        <v>5412</v>
      </c>
      <c r="N322" s="51" t="s">
        <v>5413</v>
      </c>
      <c r="O322" s="29" t="s">
        <v>1443</v>
      </c>
      <c r="P322" s="29" t="s">
        <v>5414</v>
      </c>
      <c r="Q322" s="29" t="s">
        <v>1443</v>
      </c>
      <c r="R322" s="29" t="s">
        <v>2255</v>
      </c>
      <c r="S322" s="28" t="s">
        <v>1803</v>
      </c>
      <c r="T322" s="28" t="s">
        <v>2674</v>
      </c>
      <c r="U322" s="28" t="s">
        <v>1440</v>
      </c>
      <c r="V322" s="28" t="s">
        <v>1557</v>
      </c>
      <c r="W322" s="28" t="s">
        <v>5415</v>
      </c>
      <c r="X322" s="50">
        <v>1</v>
      </c>
      <c r="CJ322" s="26" t="s">
        <v>1384</v>
      </c>
      <c r="CK322" s="26" t="s">
        <v>1692</v>
      </c>
      <c r="CL322" s="26" t="str">
        <f t="shared" si="17"/>
        <v>福島県いわき市</v>
      </c>
      <c r="CM322" s="49">
        <v>317</v>
      </c>
      <c r="CN322" s="17" t="str">
        <f t="shared" si="16"/>
        <v>0360</v>
      </c>
      <c r="CO322" s="17" t="str">
        <f t="shared" si="18"/>
        <v>317360いわき市</v>
      </c>
      <c r="CP322" s="17" t="s">
        <v>5416</v>
      </c>
      <c r="CQ322" s="17" t="b">
        <f t="shared" si="19"/>
        <v>1</v>
      </c>
    </row>
    <row r="323" spans="6:95">
      <c r="L323" s="50" t="s">
        <v>5417</v>
      </c>
      <c r="M323" s="17" t="s">
        <v>5418</v>
      </c>
      <c r="N323" s="51" t="s">
        <v>5419</v>
      </c>
      <c r="O323" s="29" t="s">
        <v>1443</v>
      </c>
      <c r="P323" s="29" t="s">
        <v>5420</v>
      </c>
      <c r="Q323" s="29" t="s">
        <v>1443</v>
      </c>
      <c r="R323" s="29" t="s">
        <v>5421</v>
      </c>
      <c r="S323" s="28" t="s">
        <v>1920</v>
      </c>
      <c r="T323" s="28" t="s">
        <v>2720</v>
      </c>
      <c r="U323" s="28" t="s">
        <v>1440</v>
      </c>
      <c r="V323" s="28" t="s">
        <v>1557</v>
      </c>
      <c r="W323" s="28" t="s">
        <v>5422</v>
      </c>
      <c r="X323" s="17">
        <v>1</v>
      </c>
      <c r="CJ323" s="26" t="s">
        <v>1384</v>
      </c>
      <c r="CK323" s="26" t="s">
        <v>1751</v>
      </c>
      <c r="CL323" s="26" t="str">
        <f t="shared" si="17"/>
        <v>福島県白河市</v>
      </c>
      <c r="CM323" s="49">
        <v>318</v>
      </c>
      <c r="CN323" s="17" t="str">
        <f t="shared" si="16"/>
        <v>0361</v>
      </c>
      <c r="CO323" s="17" t="str">
        <f t="shared" si="18"/>
        <v>318361白河市</v>
      </c>
      <c r="CP323" s="17" t="s">
        <v>5423</v>
      </c>
      <c r="CQ323" s="17" t="b">
        <f t="shared" si="19"/>
        <v>1</v>
      </c>
    </row>
    <row r="324" spans="6:95">
      <c r="F324" s="23"/>
      <c r="I324" s="23"/>
      <c r="L324" s="50" t="s">
        <v>5424</v>
      </c>
      <c r="M324" s="17" t="s">
        <v>5425</v>
      </c>
      <c r="N324" s="51" t="s">
        <v>5426</v>
      </c>
      <c r="O324" s="29" t="s">
        <v>1443</v>
      </c>
      <c r="P324" s="29" t="s">
        <v>5427</v>
      </c>
      <c r="Q324" s="29" t="s">
        <v>1443</v>
      </c>
      <c r="R324" s="29" t="s">
        <v>2145</v>
      </c>
      <c r="S324" s="28" t="s">
        <v>1977</v>
      </c>
      <c r="T324" s="28" t="s">
        <v>2764</v>
      </c>
      <c r="U324" s="28" t="s">
        <v>1440</v>
      </c>
      <c r="V324" s="28" t="s">
        <v>1557</v>
      </c>
      <c r="W324" s="28" t="s">
        <v>5428</v>
      </c>
      <c r="X324" s="17">
        <v>2</v>
      </c>
      <c r="CJ324" s="26" t="s">
        <v>1384</v>
      </c>
      <c r="CK324" s="26" t="s">
        <v>1811</v>
      </c>
      <c r="CL324" s="26" t="str">
        <f t="shared" si="17"/>
        <v>福島県須賀川市</v>
      </c>
      <c r="CM324" s="49">
        <v>319</v>
      </c>
      <c r="CN324" s="17" t="str">
        <f t="shared" si="16"/>
        <v>0362</v>
      </c>
      <c r="CO324" s="17" t="str">
        <f t="shared" si="18"/>
        <v>319362須賀川市</v>
      </c>
      <c r="CP324" s="17" t="s">
        <v>5429</v>
      </c>
      <c r="CQ324" s="17" t="b">
        <f t="shared" si="19"/>
        <v>1</v>
      </c>
    </row>
    <row r="325" spans="6:95">
      <c r="F325" s="23"/>
      <c r="I325" s="23"/>
      <c r="L325" s="50" t="s">
        <v>5430</v>
      </c>
      <c r="M325" s="17" t="s">
        <v>5431</v>
      </c>
      <c r="N325" s="51" t="s">
        <v>5432</v>
      </c>
      <c r="O325" s="29" t="s">
        <v>1443</v>
      </c>
      <c r="P325" s="29" t="s">
        <v>5433</v>
      </c>
      <c r="Q325" s="29" t="s">
        <v>1443</v>
      </c>
      <c r="R325" s="29" t="s">
        <v>2310</v>
      </c>
      <c r="S325" s="28" t="s">
        <v>1626</v>
      </c>
      <c r="T325" s="28" t="s">
        <v>2806</v>
      </c>
      <c r="U325" s="28" t="s">
        <v>1440</v>
      </c>
      <c r="V325" s="28" t="s">
        <v>1557</v>
      </c>
      <c r="W325" s="28" t="s">
        <v>5433</v>
      </c>
      <c r="X325" s="17">
        <v>3</v>
      </c>
      <c r="CJ325" s="26" t="s">
        <v>1384</v>
      </c>
      <c r="CK325" s="26" t="s">
        <v>1870</v>
      </c>
      <c r="CL325" s="26" t="str">
        <f t="shared" si="17"/>
        <v>福島県喜多方市</v>
      </c>
      <c r="CM325" s="49">
        <v>320</v>
      </c>
      <c r="CN325" s="17" t="str">
        <f t="shared" si="16"/>
        <v>0363</v>
      </c>
      <c r="CO325" s="17" t="str">
        <f t="shared" si="18"/>
        <v>320363喜多方市</v>
      </c>
      <c r="CP325" s="17" t="s">
        <v>5434</v>
      </c>
      <c r="CQ325" s="17" t="b">
        <f t="shared" si="19"/>
        <v>1</v>
      </c>
    </row>
    <row r="326" spans="6:95">
      <c r="F326" s="23"/>
      <c r="I326" s="23"/>
      <c r="L326" s="50" t="s">
        <v>5435</v>
      </c>
      <c r="M326" s="17" t="s">
        <v>5436</v>
      </c>
      <c r="N326" s="51" t="s">
        <v>5437</v>
      </c>
      <c r="O326" s="29" t="s">
        <v>1443</v>
      </c>
      <c r="P326" s="29" t="s">
        <v>5438</v>
      </c>
      <c r="Q326" s="29" t="s">
        <v>1443</v>
      </c>
      <c r="R326" s="29" t="s">
        <v>3615</v>
      </c>
      <c r="S326" s="28" t="s">
        <v>1977</v>
      </c>
      <c r="T326" s="28" t="s">
        <v>2066</v>
      </c>
      <c r="U326" s="28" t="s">
        <v>1440</v>
      </c>
      <c r="V326" s="28" t="s">
        <v>1557</v>
      </c>
      <c r="W326" s="28" t="s">
        <v>5439</v>
      </c>
      <c r="X326" s="17">
        <v>4</v>
      </c>
      <c r="CJ326" s="26" t="s">
        <v>1384</v>
      </c>
      <c r="CK326" s="26" t="s">
        <v>1928</v>
      </c>
      <c r="CL326" s="26" t="str">
        <f t="shared" si="17"/>
        <v>福島県相馬市</v>
      </c>
      <c r="CM326" s="49">
        <v>321</v>
      </c>
      <c r="CN326" s="17" t="str">
        <f t="shared" ref="CN326:CN389" si="20">VLOOKUP(CL326,$M$6:$N$1784,2,FALSE)</f>
        <v>0364</v>
      </c>
      <c r="CO326" s="17" t="str">
        <f t="shared" si="18"/>
        <v>321364相馬市</v>
      </c>
      <c r="CP326" s="17" t="s">
        <v>5440</v>
      </c>
      <c r="CQ326" s="17" t="b">
        <f t="shared" si="19"/>
        <v>1</v>
      </c>
    </row>
    <row r="327" spans="6:95">
      <c r="F327" s="23"/>
      <c r="I327" s="23"/>
      <c r="L327" s="50" t="s">
        <v>5441</v>
      </c>
      <c r="M327" s="17" t="s">
        <v>5442</v>
      </c>
      <c r="N327" s="51" t="s">
        <v>5443</v>
      </c>
      <c r="O327" s="29" t="s">
        <v>1444</v>
      </c>
      <c r="P327" s="29" t="s">
        <v>5444</v>
      </c>
      <c r="Q327" s="29" t="s">
        <v>1444</v>
      </c>
      <c r="R327" s="29" t="s">
        <v>4593</v>
      </c>
      <c r="S327" s="28" t="s">
        <v>1920</v>
      </c>
      <c r="T327" s="28" t="s">
        <v>1509</v>
      </c>
      <c r="U327" s="28" t="s">
        <v>1440</v>
      </c>
      <c r="V327" s="28" t="s">
        <v>1557</v>
      </c>
      <c r="W327" s="28" t="s">
        <v>5445</v>
      </c>
      <c r="X327" s="17">
        <v>1</v>
      </c>
      <c r="CJ327" s="26" t="s">
        <v>1384</v>
      </c>
      <c r="CK327" s="26" t="s">
        <v>1985</v>
      </c>
      <c r="CL327" s="26" t="str">
        <f t="shared" si="17"/>
        <v>福島県二本松市</v>
      </c>
      <c r="CM327" s="49">
        <v>322</v>
      </c>
      <c r="CN327" s="17" t="str">
        <f t="shared" si="20"/>
        <v>0365</v>
      </c>
      <c r="CO327" s="17" t="str">
        <f t="shared" si="18"/>
        <v>322365二本松市</v>
      </c>
      <c r="CP327" s="17" t="s">
        <v>5446</v>
      </c>
      <c r="CQ327" s="17" t="b">
        <f t="shared" si="19"/>
        <v>1</v>
      </c>
    </row>
    <row r="328" spans="6:95">
      <c r="F328" s="23"/>
      <c r="I328" s="23"/>
      <c r="L328" s="50" t="s">
        <v>5447</v>
      </c>
      <c r="M328" s="17" t="s">
        <v>5448</v>
      </c>
      <c r="N328" s="51" t="s">
        <v>5449</v>
      </c>
      <c r="O328" s="29" t="s">
        <v>1444</v>
      </c>
      <c r="P328" s="29" t="s">
        <v>5450</v>
      </c>
      <c r="Q328" s="29" t="s">
        <v>1444</v>
      </c>
      <c r="R328" s="29" t="s">
        <v>1563</v>
      </c>
      <c r="S328" s="28" t="s">
        <v>1977</v>
      </c>
      <c r="T328" s="28" t="s">
        <v>1571</v>
      </c>
      <c r="U328" s="28" t="s">
        <v>1440</v>
      </c>
      <c r="V328" s="28" t="s">
        <v>1557</v>
      </c>
      <c r="W328" s="28" t="s">
        <v>5451</v>
      </c>
      <c r="X328" s="17">
        <v>1</v>
      </c>
      <c r="CJ328" s="26" t="s">
        <v>1384</v>
      </c>
      <c r="CK328" s="26" t="s">
        <v>2041</v>
      </c>
      <c r="CL328" s="26" t="str">
        <f t="shared" ref="CL328:CL391" si="21">CJ328&amp;CK328</f>
        <v>福島県田村市</v>
      </c>
      <c r="CM328" s="49">
        <v>323</v>
      </c>
      <c r="CN328" s="17" t="str">
        <f t="shared" si="20"/>
        <v>0366</v>
      </c>
      <c r="CO328" s="17" t="str">
        <f t="shared" ref="CO328:CO391" si="22">CM328&amp;TEXT(CN328,0)&amp;CK328</f>
        <v>323366田村市</v>
      </c>
      <c r="CP328" s="17" t="s">
        <v>5452</v>
      </c>
      <c r="CQ328" s="17" t="b">
        <f t="shared" ref="CQ328:CQ391" si="23">CO328=CP328</f>
        <v>1</v>
      </c>
    </row>
    <row r="329" spans="6:95">
      <c r="F329" s="23"/>
      <c r="I329" s="23"/>
      <c r="L329" s="50" t="s">
        <v>5453</v>
      </c>
      <c r="M329" s="17" t="s">
        <v>5454</v>
      </c>
      <c r="N329" s="51" t="s">
        <v>5455</v>
      </c>
      <c r="O329" s="29" t="s">
        <v>1444</v>
      </c>
      <c r="P329" s="29" t="s">
        <v>5456</v>
      </c>
      <c r="Q329" s="29" t="s">
        <v>1444</v>
      </c>
      <c r="R329" s="29" t="s">
        <v>1625</v>
      </c>
      <c r="S329" s="28" t="s">
        <v>1743</v>
      </c>
      <c r="T329" s="28" t="s">
        <v>1633</v>
      </c>
      <c r="U329" s="28" t="s">
        <v>1440</v>
      </c>
      <c r="V329" s="28" t="s">
        <v>1557</v>
      </c>
      <c r="W329" s="28" t="s">
        <v>5457</v>
      </c>
      <c r="X329" s="17">
        <v>1</v>
      </c>
      <c r="CJ329" s="26" t="s">
        <v>1384</v>
      </c>
      <c r="CK329" s="26" t="s">
        <v>2097</v>
      </c>
      <c r="CL329" s="26" t="str">
        <f t="shared" si="21"/>
        <v>福島県南相馬市</v>
      </c>
      <c r="CM329" s="49">
        <v>324</v>
      </c>
      <c r="CN329" s="17" t="str">
        <f t="shared" si="20"/>
        <v>0367</v>
      </c>
      <c r="CO329" s="17" t="str">
        <f t="shared" si="22"/>
        <v>324367南相馬市</v>
      </c>
      <c r="CP329" s="17" t="s">
        <v>5458</v>
      </c>
      <c r="CQ329" s="17" t="b">
        <f t="shared" si="23"/>
        <v>1</v>
      </c>
    </row>
    <row r="330" spans="6:95">
      <c r="F330" s="23"/>
      <c r="I330" s="23"/>
      <c r="L330" s="50" t="s">
        <v>5459</v>
      </c>
      <c r="M330" s="17" t="s">
        <v>5460</v>
      </c>
      <c r="N330" s="51" t="s">
        <v>5461</v>
      </c>
      <c r="O330" s="29" t="s">
        <v>1444</v>
      </c>
      <c r="P330" s="29" t="s">
        <v>5462</v>
      </c>
      <c r="Q330" s="29" t="s">
        <v>1444</v>
      </c>
      <c r="R330" s="29" t="s">
        <v>1684</v>
      </c>
      <c r="S330" s="28" t="s">
        <v>1803</v>
      </c>
      <c r="T330" s="28" t="s">
        <v>1691</v>
      </c>
      <c r="U330" s="28" t="s">
        <v>1440</v>
      </c>
      <c r="V330" s="28" t="s">
        <v>1557</v>
      </c>
      <c r="W330" s="28" t="s">
        <v>5463</v>
      </c>
      <c r="X330" s="17">
        <v>1</v>
      </c>
      <c r="CJ330" s="26" t="s">
        <v>1384</v>
      </c>
      <c r="CK330" s="26" t="s">
        <v>2153</v>
      </c>
      <c r="CL330" s="26" t="str">
        <f t="shared" si="21"/>
        <v>福島県伊達市</v>
      </c>
      <c r="CM330" s="49">
        <v>325</v>
      </c>
      <c r="CN330" s="17" t="str">
        <f t="shared" si="20"/>
        <v>0368</v>
      </c>
      <c r="CO330" s="17" t="str">
        <f t="shared" si="22"/>
        <v>325368伊達市</v>
      </c>
      <c r="CP330" s="17" t="s">
        <v>5464</v>
      </c>
      <c r="CQ330" s="17" t="b">
        <f t="shared" si="23"/>
        <v>1</v>
      </c>
    </row>
    <row r="331" spans="6:95">
      <c r="F331" s="23"/>
      <c r="I331" s="23"/>
      <c r="L331" s="50" t="s">
        <v>5465</v>
      </c>
      <c r="M331" s="17" t="s">
        <v>5466</v>
      </c>
      <c r="N331" s="51" t="s">
        <v>5467</v>
      </c>
      <c r="O331" s="29" t="s">
        <v>1444</v>
      </c>
      <c r="P331" s="29" t="s">
        <v>5468</v>
      </c>
      <c r="Q331" s="29" t="s">
        <v>1444</v>
      </c>
      <c r="R331" s="29" t="s">
        <v>1742</v>
      </c>
      <c r="S331" s="28" t="s">
        <v>1626</v>
      </c>
      <c r="T331" s="28" t="s">
        <v>1750</v>
      </c>
      <c r="U331" s="28" t="s">
        <v>1440</v>
      </c>
      <c r="V331" s="28" t="s">
        <v>1557</v>
      </c>
      <c r="W331" s="28" t="s">
        <v>5469</v>
      </c>
      <c r="X331" s="17">
        <v>1</v>
      </c>
      <c r="CJ331" s="26" t="s">
        <v>1384</v>
      </c>
      <c r="CK331" s="26" t="s">
        <v>2208</v>
      </c>
      <c r="CL331" s="26" t="str">
        <f t="shared" si="21"/>
        <v>福島県本宮市</v>
      </c>
      <c r="CM331" s="49">
        <v>326</v>
      </c>
      <c r="CN331" s="17" t="str">
        <f t="shared" si="20"/>
        <v>0369</v>
      </c>
      <c r="CO331" s="17" t="str">
        <f t="shared" si="22"/>
        <v>326369本宮市</v>
      </c>
      <c r="CP331" s="17" t="s">
        <v>5470</v>
      </c>
      <c r="CQ331" s="17" t="b">
        <f t="shared" si="23"/>
        <v>1</v>
      </c>
    </row>
    <row r="332" spans="6:95">
      <c r="F332" s="23"/>
      <c r="I332" s="23"/>
      <c r="L332" s="50" t="s">
        <v>5471</v>
      </c>
      <c r="M332" s="17" t="s">
        <v>5472</v>
      </c>
      <c r="N332" s="51" t="s">
        <v>5473</v>
      </c>
      <c r="O332" s="29" t="s">
        <v>1444</v>
      </c>
      <c r="P332" s="29" t="s">
        <v>5474</v>
      </c>
      <c r="Q332" s="29" t="s">
        <v>1444</v>
      </c>
      <c r="R332" s="29" t="s">
        <v>1802</v>
      </c>
      <c r="S332" s="28" t="s">
        <v>1502</v>
      </c>
      <c r="T332" s="28" t="s">
        <v>1810</v>
      </c>
      <c r="U332" s="28" t="s">
        <v>1440</v>
      </c>
      <c r="V332" s="28" t="s">
        <v>1557</v>
      </c>
      <c r="W332" s="28" t="s">
        <v>5475</v>
      </c>
      <c r="X332" s="17">
        <v>1</v>
      </c>
      <c r="CJ332" s="26" t="s">
        <v>1384</v>
      </c>
      <c r="CK332" s="26" t="s">
        <v>2263</v>
      </c>
      <c r="CL332" s="26" t="str">
        <f t="shared" si="21"/>
        <v>福島県桑折町</v>
      </c>
      <c r="CM332" s="49">
        <v>327</v>
      </c>
      <c r="CN332" s="17" t="str">
        <f t="shared" si="20"/>
        <v>0370</v>
      </c>
      <c r="CO332" s="17" t="str">
        <f t="shared" si="22"/>
        <v>327370桑折町</v>
      </c>
      <c r="CP332" s="17" t="s">
        <v>5476</v>
      </c>
      <c r="CQ332" s="17" t="b">
        <f t="shared" si="23"/>
        <v>1</v>
      </c>
    </row>
    <row r="333" spans="6:95">
      <c r="F333" s="23"/>
      <c r="I333" s="23"/>
      <c r="L333" s="50" t="s">
        <v>5477</v>
      </c>
      <c r="M333" s="17" t="s">
        <v>5478</v>
      </c>
      <c r="N333" s="51" t="s">
        <v>5479</v>
      </c>
      <c r="O333" s="29" t="s">
        <v>1444</v>
      </c>
      <c r="P333" s="29" t="s">
        <v>5480</v>
      </c>
      <c r="Q333" s="29" t="s">
        <v>1444</v>
      </c>
      <c r="R333" s="29" t="s">
        <v>1861</v>
      </c>
      <c r="S333" s="28" t="s">
        <v>2525</v>
      </c>
      <c r="T333" s="28" t="s">
        <v>1869</v>
      </c>
      <c r="U333" s="28" t="s">
        <v>1440</v>
      </c>
      <c r="V333" s="28" t="s">
        <v>1557</v>
      </c>
      <c r="W333" s="28" t="s">
        <v>5481</v>
      </c>
      <c r="X333" s="17">
        <v>1</v>
      </c>
      <c r="CJ333" s="26" t="s">
        <v>1384</v>
      </c>
      <c r="CK333" s="26" t="s">
        <v>2319</v>
      </c>
      <c r="CL333" s="26" t="str">
        <f t="shared" si="21"/>
        <v>福島県国見町</v>
      </c>
      <c r="CM333" s="49">
        <v>328</v>
      </c>
      <c r="CN333" s="17" t="str">
        <f t="shared" si="20"/>
        <v>0371</v>
      </c>
      <c r="CO333" s="17" t="str">
        <f t="shared" si="22"/>
        <v>328371国見町</v>
      </c>
      <c r="CP333" s="17" t="s">
        <v>5482</v>
      </c>
      <c r="CQ333" s="17" t="b">
        <f t="shared" si="23"/>
        <v>1</v>
      </c>
    </row>
    <row r="334" spans="6:95">
      <c r="F334" s="23"/>
      <c r="I334" s="23"/>
      <c r="L334" s="50" t="s">
        <v>5483</v>
      </c>
      <c r="M334" s="17" t="s">
        <v>5484</v>
      </c>
      <c r="N334" s="51" t="s">
        <v>5485</v>
      </c>
      <c r="O334" s="29" t="s">
        <v>1444</v>
      </c>
      <c r="P334" s="29" t="s">
        <v>5486</v>
      </c>
      <c r="Q334" s="29" t="s">
        <v>1444</v>
      </c>
      <c r="R334" s="29" t="s">
        <v>1919</v>
      </c>
      <c r="S334" s="28" t="s">
        <v>2311</v>
      </c>
      <c r="T334" s="28" t="s">
        <v>1927</v>
      </c>
      <c r="U334" s="28" t="s">
        <v>1440</v>
      </c>
      <c r="V334" s="28" t="s">
        <v>1557</v>
      </c>
      <c r="W334" s="28" t="s">
        <v>5487</v>
      </c>
      <c r="X334" s="17">
        <v>1</v>
      </c>
      <c r="CJ334" s="26" t="s">
        <v>1384</v>
      </c>
      <c r="CK334" s="26" t="s">
        <v>2373</v>
      </c>
      <c r="CL334" s="26" t="str">
        <f t="shared" si="21"/>
        <v>福島県川俣町</v>
      </c>
      <c r="CM334" s="49">
        <v>329</v>
      </c>
      <c r="CN334" s="17" t="str">
        <f t="shared" si="20"/>
        <v>0372</v>
      </c>
      <c r="CO334" s="17" t="str">
        <f t="shared" si="22"/>
        <v>329372川俣町</v>
      </c>
      <c r="CP334" s="17" t="s">
        <v>5488</v>
      </c>
      <c r="CQ334" s="17" t="b">
        <f t="shared" si="23"/>
        <v>1</v>
      </c>
    </row>
    <row r="335" spans="6:95">
      <c r="F335" s="23"/>
      <c r="I335" s="23"/>
      <c r="L335" s="50" t="s">
        <v>5489</v>
      </c>
      <c r="M335" s="17" t="s">
        <v>5490</v>
      </c>
      <c r="N335" s="51" t="s">
        <v>5491</v>
      </c>
      <c r="O335" s="29" t="s">
        <v>1444</v>
      </c>
      <c r="P335" s="29" t="s">
        <v>5492</v>
      </c>
      <c r="Q335" s="29" t="s">
        <v>1444</v>
      </c>
      <c r="R335" s="29" t="s">
        <v>1976</v>
      </c>
      <c r="S335" s="28" t="s">
        <v>1564</v>
      </c>
      <c r="T335" s="28" t="s">
        <v>1984</v>
      </c>
      <c r="U335" s="28" t="s">
        <v>1440</v>
      </c>
      <c r="V335" s="28" t="s">
        <v>1557</v>
      </c>
      <c r="W335" s="28" t="s">
        <v>5493</v>
      </c>
      <c r="X335" s="17">
        <v>1</v>
      </c>
      <c r="CJ335" s="26" t="s">
        <v>1384</v>
      </c>
      <c r="CK335" s="26" t="s">
        <v>2428</v>
      </c>
      <c r="CL335" s="26" t="str">
        <f t="shared" si="21"/>
        <v>福島県大玉村</v>
      </c>
      <c r="CM335" s="49">
        <v>330</v>
      </c>
      <c r="CN335" s="17" t="str">
        <f t="shared" si="20"/>
        <v>0373</v>
      </c>
      <c r="CO335" s="17" t="str">
        <f t="shared" si="22"/>
        <v>330373大玉村</v>
      </c>
      <c r="CP335" s="17" t="s">
        <v>5494</v>
      </c>
      <c r="CQ335" s="17" t="b">
        <f t="shared" si="23"/>
        <v>1</v>
      </c>
    </row>
    <row r="336" spans="6:95">
      <c r="F336" s="23"/>
      <c r="I336" s="23"/>
      <c r="L336" s="50" t="s">
        <v>5495</v>
      </c>
      <c r="M336" s="17" t="s">
        <v>5496</v>
      </c>
      <c r="N336" s="51" t="s">
        <v>5497</v>
      </c>
      <c r="O336" s="29" t="s">
        <v>1444</v>
      </c>
      <c r="P336" s="29" t="s">
        <v>5498</v>
      </c>
      <c r="Q336" s="29" t="s">
        <v>1444</v>
      </c>
      <c r="R336" s="29" t="s">
        <v>2033</v>
      </c>
      <c r="S336" s="28" t="s">
        <v>1626</v>
      </c>
      <c r="T336" s="28" t="s">
        <v>2040</v>
      </c>
      <c r="U336" s="28" t="s">
        <v>1440</v>
      </c>
      <c r="V336" s="28" t="s">
        <v>1557</v>
      </c>
      <c r="W336" s="28" t="s">
        <v>5499</v>
      </c>
      <c r="X336" s="17">
        <v>1</v>
      </c>
      <c r="CJ336" s="26" t="s">
        <v>1384</v>
      </c>
      <c r="CK336" s="26" t="s">
        <v>2481</v>
      </c>
      <c r="CL336" s="26" t="str">
        <f t="shared" si="21"/>
        <v>福島県鏡石町</v>
      </c>
      <c r="CM336" s="49">
        <v>331</v>
      </c>
      <c r="CN336" s="17" t="str">
        <f t="shared" si="20"/>
        <v>0374</v>
      </c>
      <c r="CO336" s="17" t="str">
        <f t="shared" si="22"/>
        <v>331374鏡石町</v>
      </c>
      <c r="CP336" s="17" t="s">
        <v>5500</v>
      </c>
      <c r="CQ336" s="17" t="b">
        <f t="shared" si="23"/>
        <v>1</v>
      </c>
    </row>
    <row r="337" spans="6:95">
      <c r="F337" s="23"/>
      <c r="I337" s="23"/>
      <c r="L337" s="50" t="s">
        <v>5501</v>
      </c>
      <c r="M337" s="17" t="s">
        <v>5502</v>
      </c>
      <c r="N337" s="51" t="s">
        <v>5503</v>
      </c>
      <c r="O337" s="29" t="s">
        <v>1444</v>
      </c>
      <c r="P337" s="29" t="s">
        <v>5504</v>
      </c>
      <c r="Q337" s="29" t="s">
        <v>1444</v>
      </c>
      <c r="R337" s="29" t="s">
        <v>2089</v>
      </c>
      <c r="S337" s="28" t="s">
        <v>1502</v>
      </c>
      <c r="T337" s="28" t="s">
        <v>2096</v>
      </c>
      <c r="U337" s="28" t="s">
        <v>1440</v>
      </c>
      <c r="V337" s="28" t="s">
        <v>1557</v>
      </c>
      <c r="W337" s="28" t="s">
        <v>5505</v>
      </c>
      <c r="X337" s="17">
        <v>1</v>
      </c>
      <c r="CJ337" s="26" t="s">
        <v>1384</v>
      </c>
      <c r="CK337" s="26" t="s">
        <v>2533</v>
      </c>
      <c r="CL337" s="26" t="str">
        <f t="shared" si="21"/>
        <v>福島県天栄村</v>
      </c>
      <c r="CM337" s="49">
        <v>332</v>
      </c>
      <c r="CN337" s="17" t="str">
        <f t="shared" si="20"/>
        <v>0375</v>
      </c>
      <c r="CO337" s="17" t="str">
        <f t="shared" si="22"/>
        <v>332375天栄村</v>
      </c>
      <c r="CP337" s="17" t="s">
        <v>5506</v>
      </c>
      <c r="CQ337" s="17" t="b">
        <f t="shared" si="23"/>
        <v>1</v>
      </c>
    </row>
    <row r="338" spans="6:95">
      <c r="F338" s="23"/>
      <c r="I338" s="23"/>
      <c r="L338" s="50" t="s">
        <v>5507</v>
      </c>
      <c r="M338" s="17" t="s">
        <v>5508</v>
      </c>
      <c r="N338" s="51" t="s">
        <v>5509</v>
      </c>
      <c r="O338" s="29" t="s">
        <v>1444</v>
      </c>
      <c r="P338" s="29" t="s">
        <v>5510</v>
      </c>
      <c r="Q338" s="29" t="s">
        <v>1444</v>
      </c>
      <c r="R338" s="29" t="s">
        <v>2145</v>
      </c>
      <c r="S338" s="28" t="s">
        <v>2525</v>
      </c>
      <c r="T338" s="28" t="s">
        <v>2152</v>
      </c>
      <c r="U338" s="28" t="s">
        <v>1440</v>
      </c>
      <c r="V338" s="28" t="s">
        <v>1557</v>
      </c>
      <c r="W338" s="28" t="s">
        <v>5511</v>
      </c>
      <c r="X338" s="17">
        <v>1</v>
      </c>
      <c r="CJ338" s="26" t="s">
        <v>1384</v>
      </c>
      <c r="CK338" s="26" t="s">
        <v>2583</v>
      </c>
      <c r="CL338" s="26" t="str">
        <f t="shared" si="21"/>
        <v>福島県下郷町</v>
      </c>
      <c r="CM338" s="49">
        <v>333</v>
      </c>
      <c r="CN338" s="17" t="str">
        <f t="shared" si="20"/>
        <v>0376</v>
      </c>
      <c r="CO338" s="17" t="str">
        <f t="shared" si="22"/>
        <v>333376下郷町</v>
      </c>
      <c r="CP338" s="17" t="s">
        <v>5512</v>
      </c>
      <c r="CQ338" s="17" t="b">
        <f t="shared" si="23"/>
        <v>1</v>
      </c>
    </row>
    <row r="339" spans="6:95">
      <c r="F339" s="23"/>
      <c r="I339" s="23"/>
      <c r="L339" s="50" t="s">
        <v>5513</v>
      </c>
      <c r="M339" s="17" t="s">
        <v>5514</v>
      </c>
      <c r="N339" s="51" t="s">
        <v>5515</v>
      </c>
      <c r="O339" s="29" t="s">
        <v>1444</v>
      </c>
      <c r="P339" s="29" t="s">
        <v>5516</v>
      </c>
      <c r="Q339" s="29" t="s">
        <v>1444</v>
      </c>
      <c r="R339" s="29" t="s">
        <v>2200</v>
      </c>
      <c r="S339" s="28" t="s">
        <v>2311</v>
      </c>
      <c r="T339" s="28" t="s">
        <v>2207</v>
      </c>
      <c r="U339" s="28" t="s">
        <v>1440</v>
      </c>
      <c r="V339" s="28" t="s">
        <v>1557</v>
      </c>
      <c r="W339" s="28" t="s">
        <v>5517</v>
      </c>
      <c r="X339" s="17">
        <v>1</v>
      </c>
      <c r="CJ339" s="26" t="s">
        <v>1384</v>
      </c>
      <c r="CK339" s="26" t="s">
        <v>2630</v>
      </c>
      <c r="CL339" s="26" t="str">
        <f t="shared" si="21"/>
        <v>福島県檜枝岐村</v>
      </c>
      <c r="CM339" s="49">
        <v>334</v>
      </c>
      <c r="CN339" s="17" t="str">
        <f t="shared" si="20"/>
        <v>0377</v>
      </c>
      <c r="CO339" s="17" t="str">
        <f t="shared" si="22"/>
        <v>334377檜枝岐村</v>
      </c>
      <c r="CP339" s="17" t="s">
        <v>5518</v>
      </c>
      <c r="CQ339" s="17" t="b">
        <f t="shared" si="23"/>
        <v>1</v>
      </c>
    </row>
    <row r="340" spans="6:95">
      <c r="F340" s="23"/>
      <c r="I340" s="23"/>
      <c r="L340" s="50" t="s">
        <v>5519</v>
      </c>
      <c r="M340" s="17" t="s">
        <v>5520</v>
      </c>
      <c r="N340" s="51" t="s">
        <v>5521</v>
      </c>
      <c r="O340" s="29" t="s">
        <v>1444</v>
      </c>
      <c r="P340" s="29" t="s">
        <v>5522</v>
      </c>
      <c r="Q340" s="29" t="s">
        <v>1444</v>
      </c>
      <c r="R340" s="29" t="s">
        <v>4653</v>
      </c>
      <c r="S340" s="28" t="s">
        <v>1977</v>
      </c>
      <c r="T340" s="28" t="s">
        <v>2262</v>
      </c>
      <c r="U340" s="28" t="s">
        <v>1440</v>
      </c>
      <c r="V340" s="28" t="s">
        <v>1557</v>
      </c>
      <c r="W340" s="28" t="s">
        <v>5523</v>
      </c>
      <c r="X340" s="17">
        <v>1</v>
      </c>
      <c r="CJ340" s="26" t="s">
        <v>1384</v>
      </c>
      <c r="CK340" s="26" t="s">
        <v>2676</v>
      </c>
      <c r="CL340" s="26" t="str">
        <f t="shared" si="21"/>
        <v>福島県只見町</v>
      </c>
      <c r="CM340" s="49">
        <v>335</v>
      </c>
      <c r="CN340" s="17" t="str">
        <f t="shared" si="20"/>
        <v>0378</v>
      </c>
      <c r="CO340" s="17" t="str">
        <f t="shared" si="22"/>
        <v>335378只見町</v>
      </c>
      <c r="CP340" s="17" t="s">
        <v>5524</v>
      </c>
      <c r="CQ340" s="17" t="b">
        <f t="shared" si="23"/>
        <v>1</v>
      </c>
    </row>
    <row r="341" spans="6:95">
      <c r="F341" s="23"/>
      <c r="I341" s="23"/>
      <c r="L341" s="50" t="s">
        <v>5525</v>
      </c>
      <c r="M341" s="17" t="s">
        <v>5526</v>
      </c>
      <c r="N341" s="51" t="s">
        <v>5527</v>
      </c>
      <c r="O341" s="29" t="s">
        <v>1444</v>
      </c>
      <c r="P341" s="29" t="s">
        <v>5528</v>
      </c>
      <c r="Q341" s="29" t="s">
        <v>1444</v>
      </c>
      <c r="R341" s="29" t="s">
        <v>5017</v>
      </c>
      <c r="S341" s="28" t="s">
        <v>1743</v>
      </c>
      <c r="T341" s="28" t="s">
        <v>2318</v>
      </c>
      <c r="U341" s="28" t="s">
        <v>1440</v>
      </c>
      <c r="V341" s="28" t="s">
        <v>1557</v>
      </c>
      <c r="W341" s="28" t="s">
        <v>5529</v>
      </c>
      <c r="X341" s="17">
        <v>1</v>
      </c>
      <c r="CJ341" s="26" t="s">
        <v>1384</v>
      </c>
      <c r="CK341" s="26" t="s">
        <v>2722</v>
      </c>
      <c r="CL341" s="26" t="str">
        <f t="shared" si="21"/>
        <v>福島県南会津町</v>
      </c>
      <c r="CM341" s="49">
        <v>336</v>
      </c>
      <c r="CN341" s="17" t="str">
        <f t="shared" si="20"/>
        <v>0379</v>
      </c>
      <c r="CO341" s="17" t="str">
        <f t="shared" si="22"/>
        <v>336379南会津町</v>
      </c>
      <c r="CP341" s="17" t="s">
        <v>5530</v>
      </c>
      <c r="CQ341" s="17" t="b">
        <f t="shared" si="23"/>
        <v>1</v>
      </c>
    </row>
    <row r="342" spans="6:95">
      <c r="F342" s="23"/>
      <c r="I342" s="23"/>
      <c r="L342" s="50" t="s">
        <v>5531</v>
      </c>
      <c r="M342" s="17" t="s">
        <v>5532</v>
      </c>
      <c r="N342" s="51" t="s">
        <v>5533</v>
      </c>
      <c r="O342" s="29" t="s">
        <v>1444</v>
      </c>
      <c r="P342" s="29" t="s">
        <v>5534</v>
      </c>
      <c r="Q342" s="29" t="s">
        <v>1444</v>
      </c>
      <c r="R342" s="29" t="s">
        <v>4679</v>
      </c>
      <c r="S342" s="28" t="s">
        <v>1743</v>
      </c>
      <c r="T342" s="28" t="s">
        <v>2372</v>
      </c>
      <c r="U342" s="28" t="s">
        <v>1440</v>
      </c>
      <c r="V342" s="28" t="s">
        <v>1557</v>
      </c>
      <c r="W342" s="28" t="s">
        <v>5535</v>
      </c>
      <c r="X342" s="17">
        <v>1</v>
      </c>
      <c r="CJ342" s="26" t="s">
        <v>1384</v>
      </c>
      <c r="CK342" s="26" t="s">
        <v>2766</v>
      </c>
      <c r="CL342" s="26" t="str">
        <f t="shared" si="21"/>
        <v>福島県北塩原村</v>
      </c>
      <c r="CM342" s="49">
        <v>337</v>
      </c>
      <c r="CN342" s="17" t="str">
        <f t="shared" si="20"/>
        <v>0380</v>
      </c>
      <c r="CO342" s="17" t="str">
        <f t="shared" si="22"/>
        <v>337380北塩原村</v>
      </c>
      <c r="CP342" s="17" t="s">
        <v>5536</v>
      </c>
      <c r="CQ342" s="17" t="b">
        <f t="shared" si="23"/>
        <v>1</v>
      </c>
    </row>
    <row r="343" spans="6:95">
      <c r="F343" s="23"/>
      <c r="I343" s="23"/>
      <c r="L343" s="50" t="s">
        <v>5537</v>
      </c>
      <c r="M343" s="17" t="s">
        <v>5538</v>
      </c>
      <c r="N343" s="51" t="s">
        <v>5539</v>
      </c>
      <c r="O343" s="29" t="s">
        <v>1444</v>
      </c>
      <c r="P343" s="29" t="s">
        <v>5540</v>
      </c>
      <c r="Q343" s="29" t="s">
        <v>1444</v>
      </c>
      <c r="R343" s="29" t="s">
        <v>4918</v>
      </c>
      <c r="S343" s="28" t="s">
        <v>1803</v>
      </c>
      <c r="T343" s="28" t="s">
        <v>2427</v>
      </c>
      <c r="U343" s="28" t="s">
        <v>1440</v>
      </c>
      <c r="V343" s="28" t="s">
        <v>1557</v>
      </c>
      <c r="W343" s="28" t="s">
        <v>5541</v>
      </c>
      <c r="X343" s="17">
        <v>1</v>
      </c>
      <c r="CJ343" s="26" t="s">
        <v>1384</v>
      </c>
      <c r="CK343" s="26" t="s">
        <v>2808</v>
      </c>
      <c r="CL343" s="26" t="str">
        <f t="shared" si="21"/>
        <v>福島県西会津町</v>
      </c>
      <c r="CM343" s="49">
        <v>338</v>
      </c>
      <c r="CN343" s="17" t="str">
        <f t="shared" si="20"/>
        <v>0381</v>
      </c>
      <c r="CO343" s="17" t="str">
        <f t="shared" si="22"/>
        <v>338381西会津町</v>
      </c>
      <c r="CP343" s="17" t="s">
        <v>5542</v>
      </c>
      <c r="CQ343" s="17" t="b">
        <f t="shared" si="23"/>
        <v>1</v>
      </c>
    </row>
    <row r="344" spans="6:95">
      <c r="F344" s="23"/>
      <c r="I344" s="23"/>
      <c r="L344" s="50" t="s">
        <v>5543</v>
      </c>
      <c r="M344" s="17" t="s">
        <v>5544</v>
      </c>
      <c r="N344" s="51" t="s">
        <v>5545</v>
      </c>
      <c r="O344" s="29" t="s">
        <v>1444</v>
      </c>
      <c r="P344" s="29" t="s">
        <v>5546</v>
      </c>
      <c r="Q344" s="29" t="s">
        <v>1444</v>
      </c>
      <c r="R344" s="29" t="s">
        <v>4686</v>
      </c>
      <c r="S344" s="28" t="s">
        <v>1862</v>
      </c>
      <c r="T344" s="28" t="s">
        <v>2280</v>
      </c>
      <c r="U344" s="28" t="s">
        <v>1440</v>
      </c>
      <c r="V344" s="28" t="s">
        <v>1557</v>
      </c>
      <c r="W344" s="28" t="s">
        <v>5547</v>
      </c>
      <c r="X344" s="17">
        <v>1</v>
      </c>
      <c r="CJ344" s="26" t="s">
        <v>1384</v>
      </c>
      <c r="CK344" s="26" t="s">
        <v>2849</v>
      </c>
      <c r="CL344" s="26" t="str">
        <f t="shared" si="21"/>
        <v>福島県磐梯町</v>
      </c>
      <c r="CM344" s="49">
        <v>339</v>
      </c>
      <c r="CN344" s="17" t="str">
        <f t="shared" si="20"/>
        <v>0382</v>
      </c>
      <c r="CO344" s="17" t="str">
        <f t="shared" si="22"/>
        <v>339382磐梯町</v>
      </c>
      <c r="CP344" s="17" t="s">
        <v>5548</v>
      </c>
      <c r="CQ344" s="17" t="b">
        <f t="shared" si="23"/>
        <v>1</v>
      </c>
    </row>
    <row r="345" spans="6:95">
      <c r="F345" s="23"/>
      <c r="I345" s="23"/>
      <c r="L345" s="50" t="s">
        <v>5549</v>
      </c>
      <c r="M345" s="17" t="s">
        <v>5550</v>
      </c>
      <c r="N345" s="51" t="s">
        <v>5551</v>
      </c>
      <c r="O345" s="29" t="s">
        <v>1444</v>
      </c>
      <c r="P345" s="29" t="s">
        <v>5552</v>
      </c>
      <c r="Q345" s="29" t="s">
        <v>1444</v>
      </c>
      <c r="R345" s="29" t="s">
        <v>5190</v>
      </c>
      <c r="S345" s="28" t="s">
        <v>1920</v>
      </c>
      <c r="T345" s="28" t="s">
        <v>2532</v>
      </c>
      <c r="U345" s="28" t="s">
        <v>1440</v>
      </c>
      <c r="V345" s="28" t="s">
        <v>1557</v>
      </c>
      <c r="W345" s="28" t="s">
        <v>5553</v>
      </c>
      <c r="X345" s="17">
        <v>1</v>
      </c>
      <c r="CJ345" s="26" t="s">
        <v>1384</v>
      </c>
      <c r="CK345" s="26" t="s">
        <v>2888</v>
      </c>
      <c r="CL345" s="26" t="str">
        <f t="shared" si="21"/>
        <v>福島県猪苗代町</v>
      </c>
      <c r="CM345" s="49">
        <v>340</v>
      </c>
      <c r="CN345" s="17" t="str">
        <f t="shared" si="20"/>
        <v>0383</v>
      </c>
      <c r="CO345" s="17" t="str">
        <f t="shared" si="22"/>
        <v>340383猪苗代町</v>
      </c>
      <c r="CP345" s="17" t="s">
        <v>5554</v>
      </c>
      <c r="CQ345" s="17" t="b">
        <f t="shared" si="23"/>
        <v>1</v>
      </c>
    </row>
    <row r="346" spans="6:95">
      <c r="F346" s="23"/>
      <c r="I346" s="23"/>
      <c r="L346" s="50" t="s">
        <v>5555</v>
      </c>
      <c r="M346" s="17" t="s">
        <v>5556</v>
      </c>
      <c r="N346" s="51" t="s">
        <v>5557</v>
      </c>
      <c r="O346" s="29" t="s">
        <v>1444</v>
      </c>
      <c r="P346" s="29" t="s">
        <v>5558</v>
      </c>
      <c r="Q346" s="29" t="s">
        <v>1444</v>
      </c>
      <c r="R346" s="29" t="s">
        <v>5197</v>
      </c>
      <c r="S346" s="28" t="s">
        <v>1803</v>
      </c>
      <c r="T346" s="28" t="s">
        <v>2582</v>
      </c>
      <c r="U346" s="28" t="s">
        <v>1440</v>
      </c>
      <c r="V346" s="28" t="s">
        <v>1557</v>
      </c>
      <c r="W346" s="28" t="s">
        <v>5559</v>
      </c>
      <c r="X346" s="17">
        <v>1</v>
      </c>
      <c r="CJ346" s="26" t="s">
        <v>1384</v>
      </c>
      <c r="CK346" s="26" t="s">
        <v>2925</v>
      </c>
      <c r="CL346" s="26" t="str">
        <f t="shared" si="21"/>
        <v>福島県会津坂下町</v>
      </c>
      <c r="CM346" s="49">
        <v>341</v>
      </c>
      <c r="CN346" s="17" t="str">
        <f t="shared" si="20"/>
        <v>0384</v>
      </c>
      <c r="CO346" s="17" t="str">
        <f t="shared" si="22"/>
        <v>341384会津坂下町</v>
      </c>
      <c r="CP346" s="17" t="s">
        <v>5560</v>
      </c>
      <c r="CQ346" s="17" t="b">
        <f t="shared" si="23"/>
        <v>1</v>
      </c>
    </row>
    <row r="347" spans="6:95">
      <c r="F347" s="23"/>
      <c r="I347" s="23"/>
      <c r="L347" s="50" t="s">
        <v>5561</v>
      </c>
      <c r="M347" s="17" t="s">
        <v>5562</v>
      </c>
      <c r="N347" s="51" t="s">
        <v>5563</v>
      </c>
      <c r="O347" s="29" t="s">
        <v>1444</v>
      </c>
      <c r="P347" s="29" t="s">
        <v>5564</v>
      </c>
      <c r="Q347" s="29" t="s">
        <v>1444</v>
      </c>
      <c r="R347" s="29" t="s">
        <v>3395</v>
      </c>
      <c r="S347" s="28" t="s">
        <v>1862</v>
      </c>
      <c r="T347" s="28" t="s">
        <v>2629</v>
      </c>
      <c r="U347" s="28" t="s">
        <v>1440</v>
      </c>
      <c r="V347" s="28" t="s">
        <v>1557</v>
      </c>
      <c r="W347" s="28" t="s">
        <v>5565</v>
      </c>
      <c r="X347" s="17">
        <v>1</v>
      </c>
      <c r="CJ347" s="26" t="s">
        <v>1384</v>
      </c>
      <c r="CK347" s="26" t="s">
        <v>2959</v>
      </c>
      <c r="CL347" s="26" t="str">
        <f t="shared" si="21"/>
        <v>福島県湯川村</v>
      </c>
      <c r="CM347" s="49">
        <v>342</v>
      </c>
      <c r="CN347" s="17" t="str">
        <f t="shared" si="20"/>
        <v>0385</v>
      </c>
      <c r="CO347" s="17" t="str">
        <f t="shared" si="22"/>
        <v>342385湯川村</v>
      </c>
      <c r="CP347" s="17" t="s">
        <v>5566</v>
      </c>
      <c r="CQ347" s="17" t="b">
        <f t="shared" si="23"/>
        <v>1</v>
      </c>
    </row>
    <row r="348" spans="6:95">
      <c r="F348" s="23"/>
      <c r="I348" s="23"/>
      <c r="L348" s="50" t="s">
        <v>5567</v>
      </c>
      <c r="M348" s="17" t="s">
        <v>5568</v>
      </c>
      <c r="N348" s="51" t="s">
        <v>5569</v>
      </c>
      <c r="O348" s="29" t="s">
        <v>1444</v>
      </c>
      <c r="P348" s="29" t="s">
        <v>5570</v>
      </c>
      <c r="Q348" s="29" t="s">
        <v>1444</v>
      </c>
      <c r="R348" s="29" t="s">
        <v>3411</v>
      </c>
      <c r="S348" s="28" t="s">
        <v>1920</v>
      </c>
      <c r="T348" s="28" t="s">
        <v>2675</v>
      </c>
      <c r="U348" s="28" t="s">
        <v>1440</v>
      </c>
      <c r="V348" s="28" t="s">
        <v>1557</v>
      </c>
      <c r="W348" s="28" t="s">
        <v>5571</v>
      </c>
      <c r="X348" s="17">
        <v>1</v>
      </c>
      <c r="CJ348" s="26" t="s">
        <v>1384</v>
      </c>
      <c r="CK348" s="26" t="s">
        <v>2992</v>
      </c>
      <c r="CL348" s="26" t="str">
        <f t="shared" si="21"/>
        <v>福島県柳津町</v>
      </c>
      <c r="CM348" s="49">
        <v>343</v>
      </c>
      <c r="CN348" s="17" t="str">
        <f t="shared" si="20"/>
        <v>0386</v>
      </c>
      <c r="CO348" s="17" t="str">
        <f t="shared" si="22"/>
        <v>343386柳津町</v>
      </c>
      <c r="CP348" s="17" t="s">
        <v>5572</v>
      </c>
      <c r="CQ348" s="17" t="b">
        <f t="shared" si="23"/>
        <v>1</v>
      </c>
    </row>
    <row r="349" spans="6:95">
      <c r="F349" s="23"/>
      <c r="I349" s="23"/>
      <c r="L349" s="50" t="s">
        <v>5573</v>
      </c>
      <c r="M349" s="17" t="s">
        <v>5574</v>
      </c>
      <c r="N349" s="51" t="s">
        <v>5575</v>
      </c>
      <c r="O349" s="29" t="s">
        <v>1444</v>
      </c>
      <c r="P349" s="29" t="s">
        <v>5576</v>
      </c>
      <c r="Q349" s="29" t="s">
        <v>1444</v>
      </c>
      <c r="R349" s="29" t="s">
        <v>3426</v>
      </c>
      <c r="S349" s="28" t="s">
        <v>1977</v>
      </c>
      <c r="T349" s="28" t="s">
        <v>2721</v>
      </c>
      <c r="U349" s="28" t="s">
        <v>1440</v>
      </c>
      <c r="V349" s="28" t="s">
        <v>1557</v>
      </c>
      <c r="W349" s="28" t="s">
        <v>5577</v>
      </c>
      <c r="X349" s="17">
        <v>1</v>
      </c>
      <c r="CJ349" s="26" t="s">
        <v>1384</v>
      </c>
      <c r="CK349" s="26" t="s">
        <v>3026</v>
      </c>
      <c r="CL349" s="26" t="str">
        <f t="shared" si="21"/>
        <v>福島県三島町</v>
      </c>
      <c r="CM349" s="49">
        <v>344</v>
      </c>
      <c r="CN349" s="17" t="str">
        <f t="shared" si="20"/>
        <v>0387</v>
      </c>
      <c r="CO349" s="17" t="str">
        <f t="shared" si="22"/>
        <v>344387三島町</v>
      </c>
      <c r="CP349" s="17" t="s">
        <v>5578</v>
      </c>
      <c r="CQ349" s="17" t="b">
        <f t="shared" si="23"/>
        <v>1</v>
      </c>
    </row>
    <row r="350" spans="6:95">
      <c r="F350" s="23"/>
      <c r="I350" s="23"/>
      <c r="L350" s="50" t="s">
        <v>5579</v>
      </c>
      <c r="M350" s="17" t="s">
        <v>5580</v>
      </c>
      <c r="N350" s="51" t="s">
        <v>5581</v>
      </c>
      <c r="O350" s="29" t="s">
        <v>1444</v>
      </c>
      <c r="P350" s="29" t="s">
        <v>5582</v>
      </c>
      <c r="Q350" s="29" t="s">
        <v>1444</v>
      </c>
      <c r="R350" s="29" t="s">
        <v>3441</v>
      </c>
      <c r="S350" s="28" t="s">
        <v>1743</v>
      </c>
      <c r="T350" s="28" t="s">
        <v>2765</v>
      </c>
      <c r="U350" s="28" t="s">
        <v>1440</v>
      </c>
      <c r="V350" s="28" t="s">
        <v>1557</v>
      </c>
      <c r="W350" s="28" t="s">
        <v>5583</v>
      </c>
      <c r="X350" s="17">
        <v>1</v>
      </c>
      <c r="CJ350" s="26" t="s">
        <v>1384</v>
      </c>
      <c r="CK350" s="26" t="s">
        <v>2629</v>
      </c>
      <c r="CL350" s="26" t="str">
        <f t="shared" si="21"/>
        <v>福島県金山町</v>
      </c>
      <c r="CM350" s="49">
        <v>345</v>
      </c>
      <c r="CN350" s="17" t="str">
        <f t="shared" si="20"/>
        <v>0388</v>
      </c>
      <c r="CO350" s="17" t="str">
        <f t="shared" si="22"/>
        <v>345388金山町</v>
      </c>
      <c r="CP350" s="17" t="s">
        <v>5584</v>
      </c>
      <c r="CQ350" s="17" t="b">
        <f t="shared" si="23"/>
        <v>1</v>
      </c>
    </row>
    <row r="351" spans="6:95">
      <c r="F351" s="23"/>
      <c r="I351" s="23"/>
      <c r="L351" s="50" t="s">
        <v>5585</v>
      </c>
      <c r="M351" s="17" t="s">
        <v>5586</v>
      </c>
      <c r="N351" s="51" t="s">
        <v>5587</v>
      </c>
      <c r="O351" s="29" t="s">
        <v>1444</v>
      </c>
      <c r="P351" s="29" t="s">
        <v>5588</v>
      </c>
      <c r="Q351" s="29" t="s">
        <v>1444</v>
      </c>
      <c r="R351" s="29" t="s">
        <v>5589</v>
      </c>
      <c r="S351" s="28" t="s">
        <v>1564</v>
      </c>
      <c r="T351" s="28" t="s">
        <v>2807</v>
      </c>
      <c r="U351" s="28" t="s">
        <v>1440</v>
      </c>
      <c r="V351" s="28" t="s">
        <v>1557</v>
      </c>
      <c r="W351" s="28" t="s">
        <v>5590</v>
      </c>
      <c r="X351" s="17">
        <v>1</v>
      </c>
      <c r="CJ351" s="26" t="s">
        <v>1384</v>
      </c>
      <c r="CK351" s="26" t="s">
        <v>2927</v>
      </c>
      <c r="CL351" s="26" t="str">
        <f t="shared" si="21"/>
        <v>福島県昭和村</v>
      </c>
      <c r="CM351" s="49">
        <v>346</v>
      </c>
      <c r="CN351" s="17" t="str">
        <f t="shared" si="20"/>
        <v>0389</v>
      </c>
      <c r="CO351" s="17" t="str">
        <f t="shared" si="22"/>
        <v>346389昭和村</v>
      </c>
      <c r="CP351" s="17" t="s">
        <v>5591</v>
      </c>
      <c r="CQ351" s="17" t="b">
        <f t="shared" si="23"/>
        <v>1</v>
      </c>
    </row>
    <row r="352" spans="6:95">
      <c r="F352" s="23"/>
      <c r="I352" s="23"/>
      <c r="L352" s="50" t="s">
        <v>5592</v>
      </c>
      <c r="M352" s="17" t="s">
        <v>5593</v>
      </c>
      <c r="N352" s="51" t="s">
        <v>5594</v>
      </c>
      <c r="O352" s="29" t="s">
        <v>1444</v>
      </c>
      <c r="P352" s="29" t="s">
        <v>5595</v>
      </c>
      <c r="Q352" s="29" t="s">
        <v>1444</v>
      </c>
      <c r="R352" s="29" t="s">
        <v>4925</v>
      </c>
      <c r="S352" s="28" t="s">
        <v>1626</v>
      </c>
      <c r="T352" s="28" t="s">
        <v>2848</v>
      </c>
      <c r="U352" s="28" t="s">
        <v>1440</v>
      </c>
      <c r="V352" s="28" t="s">
        <v>1557</v>
      </c>
      <c r="W352" s="28" t="s">
        <v>5596</v>
      </c>
      <c r="X352" s="17">
        <v>1</v>
      </c>
      <c r="CJ352" s="26" t="s">
        <v>1384</v>
      </c>
      <c r="CK352" s="26" t="s">
        <v>3119</v>
      </c>
      <c r="CL352" s="26" t="str">
        <f t="shared" si="21"/>
        <v>福島県会津美里町</v>
      </c>
      <c r="CM352" s="49">
        <v>347</v>
      </c>
      <c r="CN352" s="17" t="str">
        <f t="shared" si="20"/>
        <v>0390</v>
      </c>
      <c r="CO352" s="17" t="str">
        <f t="shared" si="22"/>
        <v>347390会津美里町</v>
      </c>
      <c r="CP352" s="17" t="s">
        <v>5597</v>
      </c>
      <c r="CQ352" s="17" t="b">
        <f t="shared" si="23"/>
        <v>1</v>
      </c>
    </row>
    <row r="353" spans="6:95">
      <c r="F353" s="23"/>
      <c r="I353" s="23"/>
      <c r="L353" s="50" t="s">
        <v>5598</v>
      </c>
      <c r="M353" s="17" t="s">
        <v>5599</v>
      </c>
      <c r="N353" s="51" t="s">
        <v>5600</v>
      </c>
      <c r="O353" s="29" t="s">
        <v>1444</v>
      </c>
      <c r="P353" s="29" t="s">
        <v>5601</v>
      </c>
      <c r="Q353" s="29" t="s">
        <v>1444</v>
      </c>
      <c r="R353" s="29" t="s">
        <v>3456</v>
      </c>
      <c r="S353" s="28" t="s">
        <v>1502</v>
      </c>
      <c r="T353" s="28" t="s">
        <v>2887</v>
      </c>
      <c r="U353" s="28" t="s">
        <v>1440</v>
      </c>
      <c r="V353" s="28" t="s">
        <v>1557</v>
      </c>
      <c r="W353" s="28" t="s">
        <v>5602</v>
      </c>
      <c r="X353" s="17">
        <v>1</v>
      </c>
      <c r="CJ353" s="26" t="s">
        <v>1384</v>
      </c>
      <c r="CK353" s="26" t="s">
        <v>3149</v>
      </c>
      <c r="CL353" s="26" t="str">
        <f t="shared" si="21"/>
        <v>福島県西郷村</v>
      </c>
      <c r="CM353" s="49">
        <v>348</v>
      </c>
      <c r="CN353" s="17" t="str">
        <f t="shared" si="20"/>
        <v>0391</v>
      </c>
      <c r="CO353" s="17" t="str">
        <f t="shared" si="22"/>
        <v>348391西郷村</v>
      </c>
      <c r="CP353" s="17" t="s">
        <v>5603</v>
      </c>
      <c r="CQ353" s="17" t="b">
        <f t="shared" si="23"/>
        <v>1</v>
      </c>
    </row>
    <row r="354" spans="6:95">
      <c r="F354" s="23"/>
      <c r="I354" s="23"/>
      <c r="L354" s="50" t="s">
        <v>5604</v>
      </c>
      <c r="M354" s="17" t="s">
        <v>5605</v>
      </c>
      <c r="N354" s="51" t="s">
        <v>5606</v>
      </c>
      <c r="O354" s="29" t="s">
        <v>1444</v>
      </c>
      <c r="P354" s="29" t="s">
        <v>5607</v>
      </c>
      <c r="Q354" s="29" t="s">
        <v>1444</v>
      </c>
      <c r="R354" s="29" t="s">
        <v>4716</v>
      </c>
      <c r="S354" s="28" t="s">
        <v>1920</v>
      </c>
      <c r="T354" s="28" t="s">
        <v>2924</v>
      </c>
      <c r="U354" s="28" t="s">
        <v>1440</v>
      </c>
      <c r="V354" s="28" t="s">
        <v>1557</v>
      </c>
      <c r="W354" s="28" t="s">
        <v>5608</v>
      </c>
      <c r="X354" s="17">
        <v>1</v>
      </c>
      <c r="CJ354" s="26" t="s">
        <v>1384</v>
      </c>
      <c r="CK354" s="26" t="s">
        <v>3178</v>
      </c>
      <c r="CL354" s="26" t="str">
        <f t="shared" si="21"/>
        <v>福島県泉崎村</v>
      </c>
      <c r="CM354" s="49">
        <v>349</v>
      </c>
      <c r="CN354" s="17" t="str">
        <f t="shared" si="20"/>
        <v>0392</v>
      </c>
      <c r="CO354" s="17" t="str">
        <f t="shared" si="22"/>
        <v>349392泉崎村</v>
      </c>
      <c r="CP354" s="17" t="s">
        <v>5609</v>
      </c>
      <c r="CQ354" s="17" t="b">
        <f t="shared" si="23"/>
        <v>1</v>
      </c>
    </row>
    <row r="355" spans="6:95">
      <c r="F355" s="23"/>
      <c r="I355" s="23"/>
      <c r="L355" s="50" t="s">
        <v>5610</v>
      </c>
      <c r="M355" s="17" t="s">
        <v>5611</v>
      </c>
      <c r="N355" s="51" t="s">
        <v>5612</v>
      </c>
      <c r="O355" s="29" t="s">
        <v>1444</v>
      </c>
      <c r="P355" s="29" t="s">
        <v>5613</v>
      </c>
      <c r="Q355" s="29" t="s">
        <v>1444</v>
      </c>
      <c r="R355" s="29" t="s">
        <v>5614</v>
      </c>
      <c r="S355" s="28" t="s">
        <v>1977</v>
      </c>
      <c r="T355" s="28" t="s">
        <v>2501</v>
      </c>
      <c r="U355" s="28" t="s">
        <v>1440</v>
      </c>
      <c r="V355" s="28" t="s">
        <v>1557</v>
      </c>
      <c r="W355" s="28" t="s">
        <v>5615</v>
      </c>
      <c r="X355" s="17">
        <v>1</v>
      </c>
      <c r="CJ355" s="26" t="s">
        <v>1384</v>
      </c>
      <c r="CK355" s="26" t="s">
        <v>3203</v>
      </c>
      <c r="CL355" s="26" t="str">
        <f t="shared" si="21"/>
        <v>福島県中島村</v>
      </c>
      <c r="CM355" s="49">
        <v>350</v>
      </c>
      <c r="CN355" s="17" t="str">
        <f t="shared" si="20"/>
        <v>0393</v>
      </c>
      <c r="CO355" s="17" t="str">
        <f t="shared" si="22"/>
        <v>350393中島村</v>
      </c>
      <c r="CP355" s="17" t="s">
        <v>5616</v>
      </c>
      <c r="CQ355" s="17" t="b">
        <f t="shared" si="23"/>
        <v>1</v>
      </c>
    </row>
    <row r="356" spans="6:95">
      <c r="F356" s="23"/>
      <c r="I356" s="23"/>
      <c r="L356" s="50" t="s">
        <v>5617</v>
      </c>
      <c r="M356" s="17" t="s">
        <v>5618</v>
      </c>
      <c r="N356" s="51" t="s">
        <v>5619</v>
      </c>
      <c r="O356" s="29" t="s">
        <v>1444</v>
      </c>
      <c r="P356" s="29" t="s">
        <v>5620</v>
      </c>
      <c r="Q356" s="29" t="s">
        <v>1444</v>
      </c>
      <c r="R356" s="29" t="s">
        <v>4507</v>
      </c>
      <c r="S356" s="28" t="s">
        <v>1743</v>
      </c>
      <c r="T356" s="28" t="s">
        <v>2749</v>
      </c>
      <c r="U356" s="28" t="s">
        <v>1440</v>
      </c>
      <c r="V356" s="28" t="s">
        <v>1557</v>
      </c>
      <c r="W356" s="28" t="s">
        <v>5621</v>
      </c>
      <c r="X356" s="17">
        <v>1</v>
      </c>
      <c r="CJ356" s="26" t="s">
        <v>1384</v>
      </c>
      <c r="CK356" s="26" t="s">
        <v>3227</v>
      </c>
      <c r="CL356" s="26" t="str">
        <f t="shared" si="21"/>
        <v>福島県矢吹町</v>
      </c>
      <c r="CM356" s="49">
        <v>351</v>
      </c>
      <c r="CN356" s="17" t="str">
        <f t="shared" si="20"/>
        <v>0394</v>
      </c>
      <c r="CO356" s="17" t="str">
        <f t="shared" si="22"/>
        <v>351394矢吹町</v>
      </c>
      <c r="CP356" s="17" t="s">
        <v>5622</v>
      </c>
      <c r="CQ356" s="17" t="b">
        <f t="shared" si="23"/>
        <v>1</v>
      </c>
    </row>
    <row r="357" spans="6:95">
      <c r="F357" s="23"/>
      <c r="I357" s="23"/>
      <c r="L357" s="50" t="s">
        <v>5623</v>
      </c>
      <c r="M357" s="17" t="s">
        <v>5624</v>
      </c>
      <c r="N357" s="51" t="s">
        <v>5625</v>
      </c>
      <c r="O357" s="29" t="s">
        <v>1444</v>
      </c>
      <c r="P357" s="29" t="s">
        <v>5626</v>
      </c>
      <c r="Q357" s="29" t="s">
        <v>1444</v>
      </c>
      <c r="R357" s="29" t="s">
        <v>3512</v>
      </c>
      <c r="S357" s="28" t="s">
        <v>1803</v>
      </c>
      <c r="T357" s="28" t="s">
        <v>3025</v>
      </c>
      <c r="U357" s="28" t="s">
        <v>1440</v>
      </c>
      <c r="V357" s="28" t="s">
        <v>1557</v>
      </c>
      <c r="W357" s="28" t="s">
        <v>5627</v>
      </c>
      <c r="X357" s="17">
        <v>1</v>
      </c>
      <c r="CJ357" s="26" t="s">
        <v>1384</v>
      </c>
      <c r="CK357" s="26" t="s">
        <v>3250</v>
      </c>
      <c r="CL357" s="26" t="str">
        <f t="shared" si="21"/>
        <v>福島県棚倉町</v>
      </c>
      <c r="CM357" s="49">
        <v>352</v>
      </c>
      <c r="CN357" s="17" t="str">
        <f t="shared" si="20"/>
        <v>0395</v>
      </c>
      <c r="CO357" s="17" t="str">
        <f t="shared" si="22"/>
        <v>352395棚倉町</v>
      </c>
      <c r="CP357" s="17" t="s">
        <v>5628</v>
      </c>
      <c r="CQ357" s="17" t="b">
        <f t="shared" si="23"/>
        <v>1</v>
      </c>
    </row>
    <row r="358" spans="6:95">
      <c r="F358" s="23"/>
      <c r="I358" s="23"/>
      <c r="L358" s="50" t="s">
        <v>5629</v>
      </c>
      <c r="M358" s="17" t="s">
        <v>5630</v>
      </c>
      <c r="N358" s="51" t="s">
        <v>5631</v>
      </c>
      <c r="O358" s="29" t="s">
        <v>1444</v>
      </c>
      <c r="P358" s="29" t="s">
        <v>5632</v>
      </c>
      <c r="Q358" s="29" t="s">
        <v>1444</v>
      </c>
      <c r="R358" s="29" t="s">
        <v>4515</v>
      </c>
      <c r="S358" s="28" t="s">
        <v>1862</v>
      </c>
      <c r="T358" s="28" t="s">
        <v>3058</v>
      </c>
      <c r="U358" s="28" t="s">
        <v>1440</v>
      </c>
      <c r="V358" s="28" t="s">
        <v>1557</v>
      </c>
      <c r="W358" s="28" t="s">
        <v>5633</v>
      </c>
      <c r="X358" s="17">
        <v>1</v>
      </c>
      <c r="CJ358" s="26" t="s">
        <v>1384</v>
      </c>
      <c r="CK358" s="26" t="s">
        <v>3275</v>
      </c>
      <c r="CL358" s="26" t="str">
        <f t="shared" si="21"/>
        <v>福島県矢祭町</v>
      </c>
      <c r="CM358" s="49">
        <v>353</v>
      </c>
      <c r="CN358" s="17" t="str">
        <f t="shared" si="20"/>
        <v>0396</v>
      </c>
      <c r="CO358" s="17" t="str">
        <f t="shared" si="22"/>
        <v>353396矢祭町</v>
      </c>
      <c r="CP358" s="17" t="s">
        <v>5634</v>
      </c>
      <c r="CQ358" s="17" t="b">
        <f t="shared" si="23"/>
        <v>1</v>
      </c>
    </row>
    <row r="359" spans="6:95">
      <c r="F359" s="23"/>
      <c r="I359" s="23"/>
      <c r="L359" s="50" t="s">
        <v>5635</v>
      </c>
      <c r="M359" s="17" t="s">
        <v>5636</v>
      </c>
      <c r="N359" s="51" t="s">
        <v>5637</v>
      </c>
      <c r="O359" s="29" t="s">
        <v>1444</v>
      </c>
      <c r="P359" s="29" t="s">
        <v>5638</v>
      </c>
      <c r="Q359" s="29" t="s">
        <v>1444</v>
      </c>
      <c r="R359" s="29" t="s">
        <v>4799</v>
      </c>
      <c r="S359" s="28" t="s">
        <v>1564</v>
      </c>
      <c r="T359" s="28" t="s">
        <v>3087</v>
      </c>
      <c r="U359" s="28" t="s">
        <v>1440</v>
      </c>
      <c r="V359" s="28" t="s">
        <v>1557</v>
      </c>
      <c r="W359" s="28" t="s">
        <v>5639</v>
      </c>
      <c r="X359" s="17">
        <v>1</v>
      </c>
      <c r="CJ359" s="26" t="s">
        <v>1384</v>
      </c>
      <c r="CK359" s="26" t="s">
        <v>3297</v>
      </c>
      <c r="CL359" s="26" t="str">
        <f t="shared" si="21"/>
        <v>福島県塙町</v>
      </c>
      <c r="CM359" s="49">
        <v>354</v>
      </c>
      <c r="CN359" s="17" t="str">
        <f t="shared" si="20"/>
        <v>0397</v>
      </c>
      <c r="CO359" s="17" t="str">
        <f t="shared" si="22"/>
        <v>354397塙町</v>
      </c>
      <c r="CP359" s="17" t="s">
        <v>5640</v>
      </c>
      <c r="CQ359" s="17" t="b">
        <f t="shared" si="23"/>
        <v>1</v>
      </c>
    </row>
    <row r="360" spans="6:95">
      <c r="F360" s="23"/>
      <c r="I360" s="23"/>
      <c r="L360" s="50" t="s">
        <v>5641</v>
      </c>
      <c r="M360" s="17" t="s">
        <v>5642</v>
      </c>
      <c r="N360" s="51" t="s">
        <v>5643</v>
      </c>
      <c r="O360" s="29" t="s">
        <v>1444</v>
      </c>
      <c r="P360" s="29" t="s">
        <v>5644</v>
      </c>
      <c r="Q360" s="29" t="s">
        <v>1444</v>
      </c>
      <c r="R360" s="29" t="s">
        <v>3566</v>
      </c>
      <c r="S360" s="28" t="s">
        <v>1502</v>
      </c>
      <c r="T360" s="28" t="s">
        <v>3118</v>
      </c>
      <c r="U360" s="28" t="s">
        <v>1440</v>
      </c>
      <c r="V360" s="28" t="s">
        <v>1557</v>
      </c>
      <c r="W360" s="28" t="s">
        <v>5645</v>
      </c>
      <c r="X360" s="17">
        <v>1</v>
      </c>
      <c r="CJ360" s="26" t="s">
        <v>1384</v>
      </c>
      <c r="CK360" s="26" t="s">
        <v>3319</v>
      </c>
      <c r="CL360" s="26" t="str">
        <f t="shared" si="21"/>
        <v>福島県鮫川村</v>
      </c>
      <c r="CM360" s="49">
        <v>355</v>
      </c>
      <c r="CN360" s="17" t="str">
        <f t="shared" si="20"/>
        <v>0398</v>
      </c>
      <c r="CO360" s="17" t="str">
        <f t="shared" si="22"/>
        <v>355398鮫川村</v>
      </c>
      <c r="CP360" s="17" t="s">
        <v>5646</v>
      </c>
      <c r="CQ360" s="17" t="b">
        <f t="shared" si="23"/>
        <v>1</v>
      </c>
    </row>
    <row r="361" spans="6:95">
      <c r="F361" s="23"/>
      <c r="I361" s="23"/>
      <c r="L361" s="50" t="s">
        <v>5647</v>
      </c>
      <c r="M361" s="17" t="s">
        <v>5648</v>
      </c>
      <c r="N361" s="51" t="s">
        <v>5649</v>
      </c>
      <c r="O361" s="29" t="s">
        <v>1444</v>
      </c>
      <c r="P361" s="29" t="s">
        <v>5650</v>
      </c>
      <c r="Q361" s="29" t="s">
        <v>1444</v>
      </c>
      <c r="R361" s="29" t="s">
        <v>3707</v>
      </c>
      <c r="S361" s="28" t="s">
        <v>1920</v>
      </c>
      <c r="T361" s="28" t="s">
        <v>3148</v>
      </c>
      <c r="U361" s="28" t="s">
        <v>1440</v>
      </c>
      <c r="V361" s="28" t="s">
        <v>1557</v>
      </c>
      <c r="W361" s="28" t="s">
        <v>5651</v>
      </c>
      <c r="X361" s="17">
        <v>1</v>
      </c>
      <c r="CJ361" s="26" t="s">
        <v>1384</v>
      </c>
      <c r="CK361" s="26" t="s">
        <v>3340</v>
      </c>
      <c r="CL361" s="26" t="str">
        <f t="shared" si="21"/>
        <v>福島県石川町</v>
      </c>
      <c r="CM361" s="49">
        <v>356</v>
      </c>
      <c r="CN361" s="17" t="str">
        <f t="shared" si="20"/>
        <v>0399</v>
      </c>
      <c r="CO361" s="17" t="str">
        <f t="shared" si="22"/>
        <v>356399石川町</v>
      </c>
      <c r="CP361" s="17" t="s">
        <v>5652</v>
      </c>
      <c r="CQ361" s="17" t="b">
        <f t="shared" si="23"/>
        <v>1</v>
      </c>
    </row>
    <row r="362" spans="6:95">
      <c r="F362" s="23"/>
      <c r="I362" s="23"/>
      <c r="L362" s="50" t="s">
        <v>5653</v>
      </c>
      <c r="M362" s="17" t="s">
        <v>5654</v>
      </c>
      <c r="N362" s="51" t="s">
        <v>5655</v>
      </c>
      <c r="O362" s="29" t="s">
        <v>1445</v>
      </c>
      <c r="P362" s="29" t="s">
        <v>5656</v>
      </c>
      <c r="Q362" s="29" t="s">
        <v>1445</v>
      </c>
      <c r="R362" s="29" t="s">
        <v>4593</v>
      </c>
      <c r="S362" s="28" t="s">
        <v>1502</v>
      </c>
      <c r="T362" s="28" t="s">
        <v>1510</v>
      </c>
      <c r="U362" s="28" t="s">
        <v>1440</v>
      </c>
      <c r="V362" s="28" t="s">
        <v>1557</v>
      </c>
      <c r="W362" s="28" t="s">
        <v>5657</v>
      </c>
      <c r="X362" s="17">
        <v>1</v>
      </c>
      <c r="CJ362" s="26" t="s">
        <v>1384</v>
      </c>
      <c r="CK362" s="26" t="s">
        <v>3361</v>
      </c>
      <c r="CL362" s="26" t="str">
        <f t="shared" si="21"/>
        <v>福島県玉川村</v>
      </c>
      <c r="CM362" s="49">
        <v>357</v>
      </c>
      <c r="CN362" s="17" t="str">
        <f t="shared" si="20"/>
        <v>0400</v>
      </c>
      <c r="CO362" s="17" t="str">
        <f t="shared" si="22"/>
        <v>357400玉川村</v>
      </c>
      <c r="CP362" s="17" t="s">
        <v>5658</v>
      </c>
      <c r="CQ362" s="17" t="b">
        <f t="shared" si="23"/>
        <v>1</v>
      </c>
    </row>
    <row r="363" spans="6:95">
      <c r="F363" s="23"/>
      <c r="I363" s="23"/>
      <c r="L363" s="50" t="s">
        <v>5659</v>
      </c>
      <c r="M363" s="17" t="s">
        <v>5660</v>
      </c>
      <c r="N363" s="51" t="s">
        <v>5661</v>
      </c>
      <c r="O363" s="29" t="s">
        <v>1445</v>
      </c>
      <c r="P363" s="29" t="s">
        <v>5662</v>
      </c>
      <c r="Q363" s="29" t="s">
        <v>1445</v>
      </c>
      <c r="R363" s="29" t="s">
        <v>1563</v>
      </c>
      <c r="S363" s="28" t="s">
        <v>2525</v>
      </c>
      <c r="T363" s="28" t="s">
        <v>1572</v>
      </c>
      <c r="U363" s="28" t="s">
        <v>1440</v>
      </c>
      <c r="V363" s="28" t="s">
        <v>1557</v>
      </c>
      <c r="W363" s="28" t="s">
        <v>5663</v>
      </c>
      <c r="X363" s="17">
        <v>1</v>
      </c>
      <c r="CJ363" s="26" t="s">
        <v>1384</v>
      </c>
      <c r="CK363" s="26" t="s">
        <v>3380</v>
      </c>
      <c r="CL363" s="26" t="str">
        <f t="shared" si="21"/>
        <v>福島県平田村</v>
      </c>
      <c r="CM363" s="49">
        <v>358</v>
      </c>
      <c r="CN363" s="17" t="str">
        <f t="shared" si="20"/>
        <v>0401</v>
      </c>
      <c r="CO363" s="17" t="str">
        <f t="shared" si="22"/>
        <v>358401平田村</v>
      </c>
      <c r="CP363" s="17" t="s">
        <v>5664</v>
      </c>
      <c r="CQ363" s="17" t="b">
        <f t="shared" si="23"/>
        <v>1</v>
      </c>
    </row>
    <row r="364" spans="6:95">
      <c r="F364" s="23"/>
      <c r="I364" s="23"/>
      <c r="L364" s="50" t="s">
        <v>5665</v>
      </c>
      <c r="M364" s="17" t="s">
        <v>5666</v>
      </c>
      <c r="N364" s="51" t="s">
        <v>5667</v>
      </c>
      <c r="O364" s="29" t="s">
        <v>1445</v>
      </c>
      <c r="P364" s="29" t="s">
        <v>5668</v>
      </c>
      <c r="Q364" s="29" t="s">
        <v>1445</v>
      </c>
      <c r="R364" s="29" t="s">
        <v>1625</v>
      </c>
      <c r="S364" s="28" t="s">
        <v>2311</v>
      </c>
      <c r="T364" s="28" t="s">
        <v>1634</v>
      </c>
      <c r="U364" s="28" t="s">
        <v>1440</v>
      </c>
      <c r="V364" s="28" t="s">
        <v>1557</v>
      </c>
      <c r="W364" s="28" t="s">
        <v>5669</v>
      </c>
      <c r="X364" s="17">
        <v>1</v>
      </c>
      <c r="CJ364" s="26" t="s">
        <v>1384</v>
      </c>
      <c r="CK364" s="26" t="s">
        <v>3398</v>
      </c>
      <c r="CL364" s="26" t="str">
        <f t="shared" si="21"/>
        <v>福島県浅川町</v>
      </c>
      <c r="CM364" s="49">
        <v>359</v>
      </c>
      <c r="CN364" s="17" t="str">
        <f t="shared" si="20"/>
        <v>0402</v>
      </c>
      <c r="CO364" s="17" t="str">
        <f t="shared" si="22"/>
        <v>359402浅川町</v>
      </c>
      <c r="CP364" s="17" t="s">
        <v>5670</v>
      </c>
      <c r="CQ364" s="17" t="b">
        <f t="shared" si="23"/>
        <v>1</v>
      </c>
    </row>
    <row r="365" spans="6:95">
      <c r="F365" s="23"/>
      <c r="I365" s="23"/>
      <c r="L365" s="50" t="s">
        <v>5671</v>
      </c>
      <c r="M365" s="17" t="s">
        <v>5672</v>
      </c>
      <c r="N365" s="51" t="s">
        <v>5673</v>
      </c>
      <c r="O365" s="29" t="s">
        <v>1445</v>
      </c>
      <c r="P365" s="29" t="s">
        <v>5674</v>
      </c>
      <c r="Q365" s="29" t="s">
        <v>1445</v>
      </c>
      <c r="R365" s="29" t="s">
        <v>1684</v>
      </c>
      <c r="S365" s="28" t="s">
        <v>1564</v>
      </c>
      <c r="T365" s="28" t="s">
        <v>1692</v>
      </c>
      <c r="U365" s="28" t="s">
        <v>1440</v>
      </c>
      <c r="V365" s="28" t="s">
        <v>1557</v>
      </c>
      <c r="W365" s="28" t="s">
        <v>5675</v>
      </c>
      <c r="X365" s="17">
        <v>1</v>
      </c>
      <c r="CJ365" s="26" t="s">
        <v>1384</v>
      </c>
      <c r="CK365" s="26" t="s">
        <v>3414</v>
      </c>
      <c r="CL365" s="26" t="str">
        <f t="shared" si="21"/>
        <v>福島県古殿町</v>
      </c>
      <c r="CM365" s="49">
        <v>360</v>
      </c>
      <c r="CN365" s="17" t="str">
        <f t="shared" si="20"/>
        <v>0403</v>
      </c>
      <c r="CO365" s="17" t="str">
        <f t="shared" si="22"/>
        <v>360403古殿町</v>
      </c>
      <c r="CP365" s="17" t="s">
        <v>5676</v>
      </c>
      <c r="CQ365" s="17" t="b">
        <f t="shared" si="23"/>
        <v>1</v>
      </c>
    </row>
    <row r="366" spans="6:95">
      <c r="F366" s="23"/>
      <c r="I366" s="23"/>
      <c r="L366" s="50" t="s">
        <v>5677</v>
      </c>
      <c r="M366" s="17" t="s">
        <v>5678</v>
      </c>
      <c r="N366" s="51" t="s">
        <v>5679</v>
      </c>
      <c r="O366" s="29" t="s">
        <v>1445</v>
      </c>
      <c r="P366" s="29" t="s">
        <v>5680</v>
      </c>
      <c r="Q366" s="29" t="s">
        <v>1445</v>
      </c>
      <c r="R366" s="29" t="s">
        <v>1742</v>
      </c>
      <c r="S366" s="28" t="s">
        <v>1920</v>
      </c>
      <c r="T366" s="28" t="s">
        <v>1751</v>
      </c>
      <c r="U366" s="28" t="s">
        <v>1440</v>
      </c>
      <c r="V366" s="28" t="s">
        <v>1557</v>
      </c>
      <c r="W366" s="28" t="s">
        <v>5681</v>
      </c>
      <c r="X366" s="17">
        <v>1</v>
      </c>
      <c r="CJ366" s="26" t="s">
        <v>1384</v>
      </c>
      <c r="CK366" s="26" t="s">
        <v>3429</v>
      </c>
      <c r="CL366" s="26" t="str">
        <f t="shared" si="21"/>
        <v>福島県三春町</v>
      </c>
      <c r="CM366" s="49">
        <v>361</v>
      </c>
      <c r="CN366" s="17" t="str">
        <f t="shared" si="20"/>
        <v>0404</v>
      </c>
      <c r="CO366" s="17" t="str">
        <f t="shared" si="22"/>
        <v>361404三春町</v>
      </c>
      <c r="CP366" s="17" t="s">
        <v>5682</v>
      </c>
      <c r="CQ366" s="17" t="b">
        <f t="shared" si="23"/>
        <v>1</v>
      </c>
    </row>
    <row r="367" spans="6:95">
      <c r="F367" s="23"/>
      <c r="I367" s="23"/>
      <c r="L367" s="50" t="s">
        <v>5683</v>
      </c>
      <c r="M367" s="17" t="s">
        <v>5684</v>
      </c>
      <c r="N367" s="51" t="s">
        <v>5685</v>
      </c>
      <c r="O367" s="29" t="s">
        <v>1445</v>
      </c>
      <c r="P367" s="29" t="s">
        <v>5686</v>
      </c>
      <c r="Q367" s="29" t="s">
        <v>1445</v>
      </c>
      <c r="R367" s="29" t="s">
        <v>1861</v>
      </c>
      <c r="S367" s="28" t="s">
        <v>1743</v>
      </c>
      <c r="T367" s="28" t="s">
        <v>1811</v>
      </c>
      <c r="U367" s="28" t="s">
        <v>1440</v>
      </c>
      <c r="V367" s="28" t="s">
        <v>1557</v>
      </c>
      <c r="W367" s="28" t="s">
        <v>5687</v>
      </c>
      <c r="X367" s="17">
        <v>1</v>
      </c>
      <c r="CJ367" s="26" t="s">
        <v>1384</v>
      </c>
      <c r="CK367" s="26" t="s">
        <v>3444</v>
      </c>
      <c r="CL367" s="26" t="str">
        <f t="shared" si="21"/>
        <v>福島県小野町</v>
      </c>
      <c r="CM367" s="49">
        <v>362</v>
      </c>
      <c r="CN367" s="17" t="str">
        <f t="shared" si="20"/>
        <v>0405</v>
      </c>
      <c r="CO367" s="17" t="str">
        <f t="shared" si="22"/>
        <v>362405小野町</v>
      </c>
      <c r="CP367" s="17" t="s">
        <v>5688</v>
      </c>
      <c r="CQ367" s="17" t="b">
        <f t="shared" si="23"/>
        <v>1</v>
      </c>
    </row>
    <row r="368" spans="6:95">
      <c r="F368" s="23"/>
      <c r="I368" s="23"/>
      <c r="L368" s="50" t="s">
        <v>5689</v>
      </c>
      <c r="M368" s="17" t="s">
        <v>5690</v>
      </c>
      <c r="N368" s="51" t="s">
        <v>5691</v>
      </c>
      <c r="O368" s="29" t="s">
        <v>1445</v>
      </c>
      <c r="P368" s="29" t="s">
        <v>5692</v>
      </c>
      <c r="Q368" s="29" t="s">
        <v>1445</v>
      </c>
      <c r="R368" s="29" t="s">
        <v>1919</v>
      </c>
      <c r="S368" s="28" t="s">
        <v>1803</v>
      </c>
      <c r="T368" s="28" t="s">
        <v>1870</v>
      </c>
      <c r="U368" s="28" t="s">
        <v>1440</v>
      </c>
      <c r="V368" s="28" t="s">
        <v>1557</v>
      </c>
      <c r="W368" s="28" t="s">
        <v>5693</v>
      </c>
      <c r="X368" s="17">
        <v>1</v>
      </c>
      <c r="CJ368" s="26" t="s">
        <v>1384</v>
      </c>
      <c r="CK368" s="26" t="s">
        <v>3459</v>
      </c>
      <c r="CL368" s="26" t="str">
        <f t="shared" si="21"/>
        <v>福島県広野町</v>
      </c>
      <c r="CM368" s="49">
        <v>363</v>
      </c>
      <c r="CN368" s="17" t="str">
        <f t="shared" si="20"/>
        <v>0406</v>
      </c>
      <c r="CO368" s="17" t="str">
        <f t="shared" si="22"/>
        <v>363406広野町</v>
      </c>
      <c r="CP368" s="17" t="s">
        <v>5694</v>
      </c>
      <c r="CQ368" s="17" t="b">
        <f t="shared" si="23"/>
        <v>1</v>
      </c>
    </row>
    <row r="369" spans="6:95">
      <c r="F369" s="23"/>
      <c r="I369" s="23"/>
      <c r="L369" s="50" t="s">
        <v>5695</v>
      </c>
      <c r="M369" s="17" t="s">
        <v>5696</v>
      </c>
      <c r="N369" s="51" t="s">
        <v>5697</v>
      </c>
      <c r="O369" s="29" t="s">
        <v>1445</v>
      </c>
      <c r="P369" s="29" t="s">
        <v>5698</v>
      </c>
      <c r="Q369" s="29" t="s">
        <v>1445</v>
      </c>
      <c r="R369" s="29" t="s">
        <v>1976</v>
      </c>
      <c r="S369" s="28" t="s">
        <v>1862</v>
      </c>
      <c r="T369" s="28" t="s">
        <v>1928</v>
      </c>
      <c r="U369" s="28" t="s">
        <v>1440</v>
      </c>
      <c r="V369" s="28" t="s">
        <v>1557</v>
      </c>
      <c r="W369" s="28" t="s">
        <v>5699</v>
      </c>
      <c r="X369" s="17">
        <v>1</v>
      </c>
      <c r="CJ369" s="26" t="s">
        <v>1384</v>
      </c>
      <c r="CK369" s="26" t="s">
        <v>3472</v>
      </c>
      <c r="CL369" s="26" t="str">
        <f t="shared" si="21"/>
        <v>福島県楢葉町</v>
      </c>
      <c r="CM369" s="49">
        <v>364</v>
      </c>
      <c r="CN369" s="17" t="str">
        <f t="shared" si="20"/>
        <v>0407</v>
      </c>
      <c r="CO369" s="17" t="str">
        <f t="shared" si="22"/>
        <v>364407楢葉町</v>
      </c>
      <c r="CP369" s="17" t="s">
        <v>5700</v>
      </c>
      <c r="CQ369" s="17" t="b">
        <f t="shared" si="23"/>
        <v>1</v>
      </c>
    </row>
    <row r="370" spans="6:95">
      <c r="F370" s="23"/>
      <c r="I370" s="23"/>
      <c r="L370" s="50" t="s">
        <v>5701</v>
      </c>
      <c r="M370" s="17" t="s">
        <v>5702</v>
      </c>
      <c r="N370" s="51" t="s">
        <v>5703</v>
      </c>
      <c r="O370" s="29" t="s">
        <v>1445</v>
      </c>
      <c r="P370" s="29" t="s">
        <v>5704</v>
      </c>
      <c r="Q370" s="29" t="s">
        <v>1445</v>
      </c>
      <c r="R370" s="29" t="s">
        <v>2033</v>
      </c>
      <c r="S370" s="28" t="s">
        <v>1920</v>
      </c>
      <c r="T370" s="28" t="s">
        <v>1985</v>
      </c>
      <c r="U370" s="28" t="s">
        <v>1440</v>
      </c>
      <c r="V370" s="28" t="s">
        <v>1557</v>
      </c>
      <c r="W370" s="28" t="s">
        <v>5705</v>
      </c>
      <c r="X370" s="17">
        <v>1</v>
      </c>
      <c r="CJ370" s="26" t="s">
        <v>1384</v>
      </c>
      <c r="CK370" s="26" t="s">
        <v>3486</v>
      </c>
      <c r="CL370" s="26" t="str">
        <f t="shared" si="21"/>
        <v>福島県富岡町</v>
      </c>
      <c r="CM370" s="49">
        <v>365</v>
      </c>
      <c r="CN370" s="17" t="str">
        <f t="shared" si="20"/>
        <v>0408</v>
      </c>
      <c r="CO370" s="17" t="str">
        <f t="shared" si="22"/>
        <v>365408富岡町</v>
      </c>
      <c r="CP370" s="17" t="s">
        <v>5706</v>
      </c>
      <c r="CQ370" s="17" t="b">
        <f t="shared" si="23"/>
        <v>1</v>
      </c>
    </row>
    <row r="371" spans="6:95">
      <c r="F371" s="23"/>
      <c r="I371" s="23"/>
      <c r="L371" s="50" t="s">
        <v>5707</v>
      </c>
      <c r="M371" s="17" t="s">
        <v>5708</v>
      </c>
      <c r="N371" s="51" t="s">
        <v>5709</v>
      </c>
      <c r="O371" s="29" t="s">
        <v>1445</v>
      </c>
      <c r="P371" s="29" t="s">
        <v>5710</v>
      </c>
      <c r="Q371" s="29" t="s">
        <v>1445</v>
      </c>
      <c r="R371" s="29" t="s">
        <v>2089</v>
      </c>
      <c r="S371" s="28" t="s">
        <v>1977</v>
      </c>
      <c r="T371" s="28" t="s">
        <v>2041</v>
      </c>
      <c r="U371" s="28" t="s">
        <v>1440</v>
      </c>
      <c r="V371" s="28" t="s">
        <v>1557</v>
      </c>
      <c r="W371" s="28" t="s">
        <v>5711</v>
      </c>
      <c r="X371" s="17">
        <v>1</v>
      </c>
      <c r="CJ371" s="26" t="s">
        <v>1384</v>
      </c>
      <c r="CK371" s="26" t="s">
        <v>3501</v>
      </c>
      <c r="CL371" s="26" t="str">
        <f t="shared" si="21"/>
        <v>福島県川内村</v>
      </c>
      <c r="CM371" s="49">
        <v>366</v>
      </c>
      <c r="CN371" s="17" t="str">
        <f t="shared" si="20"/>
        <v>0409</v>
      </c>
      <c r="CO371" s="17" t="str">
        <f t="shared" si="22"/>
        <v>366409川内村</v>
      </c>
      <c r="CP371" s="17" t="s">
        <v>5712</v>
      </c>
      <c r="CQ371" s="17" t="b">
        <f t="shared" si="23"/>
        <v>1</v>
      </c>
    </row>
    <row r="372" spans="6:95">
      <c r="F372" s="23"/>
      <c r="I372" s="23"/>
      <c r="L372" s="50" t="s">
        <v>5713</v>
      </c>
      <c r="M372" s="17" t="s">
        <v>5714</v>
      </c>
      <c r="N372" s="51" t="s">
        <v>5715</v>
      </c>
      <c r="O372" s="29" t="s">
        <v>1445</v>
      </c>
      <c r="P372" s="29" t="s">
        <v>5716</v>
      </c>
      <c r="Q372" s="29" t="s">
        <v>1445</v>
      </c>
      <c r="R372" s="29" t="s">
        <v>2145</v>
      </c>
      <c r="S372" s="28" t="s">
        <v>1743</v>
      </c>
      <c r="T372" s="28" t="s">
        <v>2097</v>
      </c>
      <c r="U372" s="28" t="s">
        <v>1440</v>
      </c>
      <c r="V372" s="28" t="s">
        <v>1557</v>
      </c>
      <c r="W372" s="28" t="s">
        <v>5717</v>
      </c>
      <c r="X372" s="17">
        <v>1</v>
      </c>
      <c r="CJ372" s="26" t="s">
        <v>1384</v>
      </c>
      <c r="CK372" s="26" t="s">
        <v>3515</v>
      </c>
      <c r="CL372" s="26" t="str">
        <f t="shared" si="21"/>
        <v>福島県大熊町</v>
      </c>
      <c r="CM372" s="49">
        <v>367</v>
      </c>
      <c r="CN372" s="17" t="str">
        <f t="shared" si="20"/>
        <v>0410</v>
      </c>
      <c r="CO372" s="17" t="str">
        <f t="shared" si="22"/>
        <v>367410大熊町</v>
      </c>
      <c r="CP372" s="17" t="s">
        <v>5718</v>
      </c>
      <c r="CQ372" s="17" t="b">
        <f t="shared" si="23"/>
        <v>1</v>
      </c>
    </row>
    <row r="373" spans="6:95">
      <c r="F373" s="23"/>
      <c r="I373" s="23"/>
      <c r="L373" s="50" t="s">
        <v>5719</v>
      </c>
      <c r="M373" s="17" t="s">
        <v>5720</v>
      </c>
      <c r="N373" s="51" t="s">
        <v>5721</v>
      </c>
      <c r="O373" s="29" t="s">
        <v>1445</v>
      </c>
      <c r="P373" s="29" t="s">
        <v>5722</v>
      </c>
      <c r="Q373" s="29" t="s">
        <v>1445</v>
      </c>
      <c r="R373" s="29" t="s">
        <v>2200</v>
      </c>
      <c r="S373" s="28" t="s">
        <v>1803</v>
      </c>
      <c r="T373" s="28" t="s">
        <v>2153</v>
      </c>
      <c r="U373" s="28" t="s">
        <v>1440</v>
      </c>
      <c r="V373" s="28" t="s">
        <v>1557</v>
      </c>
      <c r="W373" s="28" t="s">
        <v>5723</v>
      </c>
      <c r="X373" s="17">
        <v>1</v>
      </c>
      <c r="CJ373" s="26" t="s">
        <v>1384</v>
      </c>
      <c r="CK373" s="26" t="s">
        <v>3530</v>
      </c>
      <c r="CL373" s="26" t="str">
        <f t="shared" si="21"/>
        <v>福島県双葉町</v>
      </c>
      <c r="CM373" s="49">
        <v>368</v>
      </c>
      <c r="CN373" s="17" t="str">
        <f t="shared" si="20"/>
        <v>0411</v>
      </c>
      <c r="CO373" s="17" t="str">
        <f t="shared" si="22"/>
        <v>368411双葉町</v>
      </c>
      <c r="CP373" s="17" t="s">
        <v>5724</v>
      </c>
      <c r="CQ373" s="17" t="b">
        <f t="shared" si="23"/>
        <v>1</v>
      </c>
    </row>
    <row r="374" spans="6:95">
      <c r="F374" s="23"/>
      <c r="I374" s="23"/>
      <c r="L374" s="50" t="s">
        <v>5725</v>
      </c>
      <c r="M374" s="17" t="s">
        <v>5726</v>
      </c>
      <c r="N374" s="51" t="s">
        <v>5727</v>
      </c>
      <c r="O374" s="29" t="s">
        <v>1445</v>
      </c>
      <c r="P374" s="29" t="s">
        <v>5728</v>
      </c>
      <c r="Q374" s="29" t="s">
        <v>1445</v>
      </c>
      <c r="R374" s="29" t="s">
        <v>2255</v>
      </c>
      <c r="S374" s="28" t="s">
        <v>1862</v>
      </c>
      <c r="T374" s="28" t="s">
        <v>2208</v>
      </c>
      <c r="U374" s="28" t="s">
        <v>1440</v>
      </c>
      <c r="V374" s="28" t="s">
        <v>1557</v>
      </c>
      <c r="W374" s="28" t="s">
        <v>5729</v>
      </c>
      <c r="X374" s="17">
        <v>1</v>
      </c>
      <c r="CJ374" s="26" t="s">
        <v>1384</v>
      </c>
      <c r="CK374" s="26" t="s">
        <v>3542</v>
      </c>
      <c r="CL374" s="26" t="str">
        <f t="shared" si="21"/>
        <v>福島県浪江町</v>
      </c>
      <c r="CM374" s="49">
        <v>369</v>
      </c>
      <c r="CN374" s="17" t="str">
        <f t="shared" si="20"/>
        <v>0412</v>
      </c>
      <c r="CO374" s="17" t="str">
        <f t="shared" si="22"/>
        <v>369412浪江町</v>
      </c>
      <c r="CP374" s="17" t="s">
        <v>5730</v>
      </c>
      <c r="CQ374" s="17" t="b">
        <f t="shared" si="23"/>
        <v>1</v>
      </c>
    </row>
    <row r="375" spans="6:95">
      <c r="F375" s="23"/>
      <c r="I375" s="23"/>
      <c r="L375" s="50" t="s">
        <v>5731</v>
      </c>
      <c r="M375" s="17" t="s">
        <v>5732</v>
      </c>
      <c r="N375" s="51" t="s">
        <v>5733</v>
      </c>
      <c r="O375" s="29" t="s">
        <v>1445</v>
      </c>
      <c r="P375" s="29" t="s">
        <v>5734</v>
      </c>
      <c r="Q375" s="29" t="s">
        <v>1445</v>
      </c>
      <c r="R375" s="29" t="s">
        <v>4653</v>
      </c>
      <c r="S375" s="28" t="s">
        <v>2525</v>
      </c>
      <c r="T375" s="28" t="s">
        <v>2263</v>
      </c>
      <c r="U375" s="28" t="s">
        <v>1440</v>
      </c>
      <c r="V375" s="28" t="s">
        <v>1557</v>
      </c>
      <c r="W375" s="28" t="s">
        <v>5735</v>
      </c>
      <c r="X375" s="17">
        <v>1</v>
      </c>
      <c r="CJ375" s="26" t="s">
        <v>1384</v>
      </c>
      <c r="CK375" s="26" t="s">
        <v>3556</v>
      </c>
      <c r="CL375" s="26" t="str">
        <f t="shared" si="21"/>
        <v>福島県葛尾村</v>
      </c>
      <c r="CM375" s="49">
        <v>370</v>
      </c>
      <c r="CN375" s="17" t="str">
        <f t="shared" si="20"/>
        <v>0413</v>
      </c>
      <c r="CO375" s="17" t="str">
        <f t="shared" si="22"/>
        <v>370413葛尾村</v>
      </c>
      <c r="CP375" s="17" t="s">
        <v>5736</v>
      </c>
      <c r="CQ375" s="17" t="b">
        <f t="shared" si="23"/>
        <v>1</v>
      </c>
    </row>
    <row r="376" spans="6:95">
      <c r="F376" s="23"/>
      <c r="I376" s="23"/>
      <c r="L376" s="50" t="s">
        <v>5737</v>
      </c>
      <c r="M376" s="17" t="s">
        <v>5738</v>
      </c>
      <c r="N376" s="51" t="s">
        <v>5739</v>
      </c>
      <c r="O376" s="29" t="s">
        <v>1445</v>
      </c>
      <c r="P376" s="29" t="s">
        <v>5740</v>
      </c>
      <c r="Q376" s="29" t="s">
        <v>1445</v>
      </c>
      <c r="R376" s="29" t="s">
        <v>3142</v>
      </c>
      <c r="S376" s="28" t="s">
        <v>1564</v>
      </c>
      <c r="T376" s="28" t="s">
        <v>2319</v>
      </c>
      <c r="U376" s="28" t="s">
        <v>1440</v>
      </c>
      <c r="V376" s="28" t="s">
        <v>1557</v>
      </c>
      <c r="W376" s="28" t="s">
        <v>5741</v>
      </c>
      <c r="X376" s="17">
        <v>1</v>
      </c>
      <c r="CJ376" s="26" t="s">
        <v>1384</v>
      </c>
      <c r="CK376" s="26" t="s">
        <v>3569</v>
      </c>
      <c r="CL376" s="26" t="str">
        <f t="shared" si="21"/>
        <v>福島県新地町</v>
      </c>
      <c r="CM376" s="49">
        <v>371</v>
      </c>
      <c r="CN376" s="17" t="str">
        <f t="shared" si="20"/>
        <v>0414</v>
      </c>
      <c r="CO376" s="17" t="str">
        <f t="shared" si="22"/>
        <v>371414新地町</v>
      </c>
      <c r="CP376" s="17" t="s">
        <v>5742</v>
      </c>
      <c r="CQ376" s="17" t="b">
        <f t="shared" si="23"/>
        <v>1</v>
      </c>
    </row>
    <row r="377" spans="6:95">
      <c r="F377" s="23"/>
      <c r="I377" s="23"/>
      <c r="L377" s="50" t="s">
        <v>5743</v>
      </c>
      <c r="M377" s="17" t="s">
        <v>5744</v>
      </c>
      <c r="N377" s="51" t="s">
        <v>5745</v>
      </c>
      <c r="O377" s="29" t="s">
        <v>1445</v>
      </c>
      <c r="P377" s="29" t="s">
        <v>5746</v>
      </c>
      <c r="Q377" s="29" t="s">
        <v>1445</v>
      </c>
      <c r="R377" s="29" t="s">
        <v>5747</v>
      </c>
      <c r="S377" s="28" t="s">
        <v>1862</v>
      </c>
      <c r="T377" s="28" t="s">
        <v>2373</v>
      </c>
      <c r="U377" s="28" t="s">
        <v>1440</v>
      </c>
      <c r="V377" s="28" t="s">
        <v>1557</v>
      </c>
      <c r="W377" s="28" t="s">
        <v>5748</v>
      </c>
      <c r="X377" s="17">
        <v>1</v>
      </c>
      <c r="CJ377" s="26" t="s">
        <v>1384</v>
      </c>
      <c r="CK377" s="26" t="s">
        <v>3581</v>
      </c>
      <c r="CL377" s="26" t="str">
        <f t="shared" si="21"/>
        <v>福島県飯舘村</v>
      </c>
      <c r="CM377" s="49">
        <v>372</v>
      </c>
      <c r="CN377" s="17" t="str">
        <f t="shared" si="20"/>
        <v>0415</v>
      </c>
      <c r="CO377" s="17" t="str">
        <f t="shared" si="22"/>
        <v>372415飯舘村</v>
      </c>
      <c r="CP377" s="17" t="s">
        <v>5749</v>
      </c>
      <c r="CQ377" s="17" t="b">
        <f t="shared" si="23"/>
        <v>1</v>
      </c>
    </row>
    <row r="378" spans="6:95">
      <c r="F378" s="23"/>
      <c r="I378" s="23"/>
      <c r="L378" s="50" t="s">
        <v>5750</v>
      </c>
      <c r="M378" s="17" t="s">
        <v>5751</v>
      </c>
      <c r="N378" s="51" t="s">
        <v>5752</v>
      </c>
      <c r="O378" s="29" t="s">
        <v>1445</v>
      </c>
      <c r="P378" s="29" t="s">
        <v>5753</v>
      </c>
      <c r="Q378" s="29" t="s">
        <v>1445</v>
      </c>
      <c r="R378" s="29" t="s">
        <v>4918</v>
      </c>
      <c r="S378" s="28" t="s">
        <v>1564</v>
      </c>
      <c r="T378" s="28" t="s">
        <v>2428</v>
      </c>
      <c r="U378" s="28" t="s">
        <v>1440</v>
      </c>
      <c r="V378" s="28" t="s">
        <v>1557</v>
      </c>
      <c r="W378" s="28" t="s">
        <v>5754</v>
      </c>
      <c r="X378" s="17">
        <v>1</v>
      </c>
      <c r="CJ378" s="26" t="s">
        <v>1385</v>
      </c>
      <c r="CK378" s="26" t="s">
        <v>1511</v>
      </c>
      <c r="CL378" s="26" t="str">
        <f t="shared" si="21"/>
        <v>茨城県水戸市</v>
      </c>
      <c r="CM378" s="49">
        <v>373</v>
      </c>
      <c r="CN378" s="17" t="str">
        <f t="shared" si="20"/>
        <v>0416</v>
      </c>
      <c r="CO378" s="17" t="str">
        <f t="shared" si="22"/>
        <v>373416水戸市</v>
      </c>
      <c r="CP378" s="17" t="s">
        <v>5755</v>
      </c>
      <c r="CQ378" s="17" t="b">
        <f t="shared" si="23"/>
        <v>1</v>
      </c>
    </row>
    <row r="379" spans="6:95">
      <c r="F379" s="23"/>
      <c r="I379" s="23"/>
      <c r="L379" s="50" t="s">
        <v>5756</v>
      </c>
      <c r="M379" s="17" t="s">
        <v>5757</v>
      </c>
      <c r="N379" s="51" t="s">
        <v>5758</v>
      </c>
      <c r="O379" s="29" t="s">
        <v>1445</v>
      </c>
      <c r="P379" s="29" t="s">
        <v>5759</v>
      </c>
      <c r="Q379" s="29" t="s">
        <v>1445</v>
      </c>
      <c r="R379" s="29" t="s">
        <v>5760</v>
      </c>
      <c r="S379" s="28" t="s">
        <v>1626</v>
      </c>
      <c r="T379" s="28" t="s">
        <v>2481</v>
      </c>
      <c r="U379" s="28" t="s">
        <v>1440</v>
      </c>
      <c r="V379" s="28" t="s">
        <v>1557</v>
      </c>
      <c r="W379" s="28" t="s">
        <v>5761</v>
      </c>
      <c r="X379" s="17">
        <v>1</v>
      </c>
      <c r="CJ379" s="26" t="s">
        <v>1385</v>
      </c>
      <c r="CK379" s="26" t="s">
        <v>1573</v>
      </c>
      <c r="CL379" s="26" t="str">
        <f t="shared" si="21"/>
        <v>茨城県日立市</v>
      </c>
      <c r="CM379" s="49">
        <v>374</v>
      </c>
      <c r="CN379" s="17" t="str">
        <f t="shared" si="20"/>
        <v>0417</v>
      </c>
      <c r="CO379" s="17" t="str">
        <f t="shared" si="22"/>
        <v>374417日立市</v>
      </c>
      <c r="CP379" s="17" t="s">
        <v>5762</v>
      </c>
      <c r="CQ379" s="17" t="b">
        <f t="shared" si="23"/>
        <v>1</v>
      </c>
    </row>
    <row r="380" spans="6:95">
      <c r="F380" s="23"/>
      <c r="I380" s="23"/>
      <c r="L380" s="50" t="s">
        <v>5763</v>
      </c>
      <c r="M380" s="17" t="s">
        <v>5764</v>
      </c>
      <c r="N380" s="51" t="s">
        <v>5765</v>
      </c>
      <c r="O380" s="29" t="s">
        <v>1445</v>
      </c>
      <c r="P380" s="29" t="s">
        <v>5766</v>
      </c>
      <c r="Q380" s="29" t="s">
        <v>1445</v>
      </c>
      <c r="R380" s="29" t="s">
        <v>5767</v>
      </c>
      <c r="S380" s="28" t="s">
        <v>2525</v>
      </c>
      <c r="T380" s="28" t="s">
        <v>2533</v>
      </c>
      <c r="U380" s="28" t="s">
        <v>1440</v>
      </c>
      <c r="V380" s="28" t="s">
        <v>1557</v>
      </c>
      <c r="W380" s="28" t="s">
        <v>5768</v>
      </c>
      <c r="X380" s="17">
        <v>1</v>
      </c>
      <c r="CJ380" s="26" t="s">
        <v>1385</v>
      </c>
      <c r="CK380" s="26" t="s">
        <v>1635</v>
      </c>
      <c r="CL380" s="26" t="str">
        <f t="shared" si="21"/>
        <v>茨城県土浦市</v>
      </c>
      <c r="CM380" s="49">
        <v>375</v>
      </c>
      <c r="CN380" s="17" t="str">
        <f t="shared" si="20"/>
        <v>0418</v>
      </c>
      <c r="CO380" s="17" t="str">
        <f t="shared" si="22"/>
        <v>375418土浦市</v>
      </c>
      <c r="CP380" s="17" t="s">
        <v>5769</v>
      </c>
      <c r="CQ380" s="17" t="b">
        <f t="shared" si="23"/>
        <v>1</v>
      </c>
    </row>
    <row r="381" spans="6:95">
      <c r="F381" s="23"/>
      <c r="I381" s="23"/>
      <c r="L381" s="50" t="s">
        <v>5770</v>
      </c>
      <c r="M381" s="17" t="s">
        <v>5771</v>
      </c>
      <c r="N381" s="51" t="s">
        <v>5772</v>
      </c>
      <c r="O381" s="29" t="s">
        <v>1445</v>
      </c>
      <c r="P381" s="29" t="s">
        <v>5773</v>
      </c>
      <c r="Q381" s="29" t="s">
        <v>1445</v>
      </c>
      <c r="R381" s="29" t="s">
        <v>3411</v>
      </c>
      <c r="S381" s="28" t="s">
        <v>1502</v>
      </c>
      <c r="T381" s="28" t="s">
        <v>2583</v>
      </c>
      <c r="U381" s="28" t="s">
        <v>1440</v>
      </c>
      <c r="V381" s="28" t="s">
        <v>1557</v>
      </c>
      <c r="W381" s="28" t="s">
        <v>5774</v>
      </c>
      <c r="X381" s="17">
        <v>1</v>
      </c>
      <c r="CJ381" s="26" t="s">
        <v>1385</v>
      </c>
      <c r="CK381" s="26" t="s">
        <v>1693</v>
      </c>
      <c r="CL381" s="26" t="str">
        <f t="shared" si="21"/>
        <v>茨城県古河市</v>
      </c>
      <c r="CM381" s="49">
        <v>376</v>
      </c>
      <c r="CN381" s="17" t="str">
        <f t="shared" si="20"/>
        <v>0419</v>
      </c>
      <c r="CO381" s="17" t="str">
        <f t="shared" si="22"/>
        <v>376419古河市</v>
      </c>
      <c r="CP381" s="17" t="s">
        <v>5775</v>
      </c>
      <c r="CQ381" s="17" t="b">
        <f t="shared" si="23"/>
        <v>1</v>
      </c>
    </row>
    <row r="382" spans="6:95">
      <c r="F382" s="23"/>
      <c r="I382" s="23"/>
      <c r="L382" s="50" t="s">
        <v>5776</v>
      </c>
      <c r="M382" s="17" t="s">
        <v>5777</v>
      </c>
      <c r="N382" s="51" t="s">
        <v>5778</v>
      </c>
      <c r="O382" s="29" t="s">
        <v>1445</v>
      </c>
      <c r="P382" s="29" t="s">
        <v>5779</v>
      </c>
      <c r="Q382" s="29" t="s">
        <v>1445</v>
      </c>
      <c r="R382" s="29" t="s">
        <v>3441</v>
      </c>
      <c r="S382" s="28" t="s">
        <v>2311</v>
      </c>
      <c r="T382" s="28" t="s">
        <v>2630</v>
      </c>
      <c r="U382" s="28" t="s">
        <v>1440</v>
      </c>
      <c r="V382" s="28" t="s">
        <v>1557</v>
      </c>
      <c r="W382" s="28" t="s">
        <v>5780</v>
      </c>
      <c r="X382" s="17">
        <v>1</v>
      </c>
      <c r="CJ382" s="26" t="s">
        <v>1385</v>
      </c>
      <c r="CK382" s="26" t="s">
        <v>1752</v>
      </c>
      <c r="CL382" s="26" t="str">
        <f t="shared" si="21"/>
        <v>茨城県石岡市</v>
      </c>
      <c r="CM382" s="49">
        <v>377</v>
      </c>
      <c r="CN382" s="17" t="str">
        <f t="shared" si="20"/>
        <v>0420</v>
      </c>
      <c r="CO382" s="17" t="str">
        <f t="shared" si="22"/>
        <v>377420石岡市</v>
      </c>
      <c r="CP382" s="17" t="s">
        <v>5781</v>
      </c>
      <c r="CQ382" s="17" t="b">
        <f t="shared" si="23"/>
        <v>1</v>
      </c>
    </row>
    <row r="383" spans="6:95">
      <c r="F383" s="23"/>
      <c r="I383" s="23"/>
      <c r="L383" s="50" t="s">
        <v>5782</v>
      </c>
      <c r="M383" s="17" t="s">
        <v>5783</v>
      </c>
      <c r="N383" s="51" t="s">
        <v>5784</v>
      </c>
      <c r="O383" s="29" t="s">
        <v>1445</v>
      </c>
      <c r="P383" s="29" t="s">
        <v>5785</v>
      </c>
      <c r="Q383" s="29" t="s">
        <v>1445</v>
      </c>
      <c r="R383" s="29" t="s">
        <v>3456</v>
      </c>
      <c r="S383" s="28" t="s">
        <v>1977</v>
      </c>
      <c r="T383" s="28" t="s">
        <v>2676</v>
      </c>
      <c r="U383" s="28" t="s">
        <v>1440</v>
      </c>
      <c r="V383" s="28" t="s">
        <v>1557</v>
      </c>
      <c r="W383" s="28" t="s">
        <v>5786</v>
      </c>
      <c r="X383" s="17">
        <v>1</v>
      </c>
      <c r="CJ383" s="26" t="s">
        <v>1385</v>
      </c>
      <c r="CK383" s="26" t="s">
        <v>1812</v>
      </c>
      <c r="CL383" s="26" t="str">
        <f t="shared" si="21"/>
        <v>茨城県結城市</v>
      </c>
      <c r="CM383" s="49">
        <v>378</v>
      </c>
      <c r="CN383" s="17" t="str">
        <f t="shared" si="20"/>
        <v>0421</v>
      </c>
      <c r="CO383" s="17" t="str">
        <f t="shared" si="22"/>
        <v>378421結城市</v>
      </c>
      <c r="CP383" s="17" t="s">
        <v>5787</v>
      </c>
      <c r="CQ383" s="17" t="b">
        <f t="shared" si="23"/>
        <v>1</v>
      </c>
    </row>
    <row r="384" spans="6:95">
      <c r="F384" s="23"/>
      <c r="I384" s="23"/>
      <c r="L384" s="50" t="s">
        <v>5788</v>
      </c>
      <c r="M384" s="17" t="s">
        <v>5789</v>
      </c>
      <c r="N384" s="51" t="s">
        <v>5790</v>
      </c>
      <c r="O384" s="29" t="s">
        <v>1445</v>
      </c>
      <c r="P384" s="29" t="s">
        <v>5791</v>
      </c>
      <c r="Q384" s="29" t="s">
        <v>1445</v>
      </c>
      <c r="R384" s="29" t="s">
        <v>5391</v>
      </c>
      <c r="S384" s="28" t="s">
        <v>1743</v>
      </c>
      <c r="T384" s="28" t="s">
        <v>2722</v>
      </c>
      <c r="U384" s="28" t="s">
        <v>1440</v>
      </c>
      <c r="V384" s="28" t="s">
        <v>1557</v>
      </c>
      <c r="W384" s="28" t="s">
        <v>5792</v>
      </c>
      <c r="X384" s="17">
        <v>1</v>
      </c>
      <c r="CJ384" s="26" t="s">
        <v>1385</v>
      </c>
      <c r="CK384" s="26" t="s">
        <v>1871</v>
      </c>
      <c r="CL384" s="26" t="str">
        <f t="shared" si="21"/>
        <v>茨城県龍ケ崎市</v>
      </c>
      <c r="CM384" s="49">
        <v>379</v>
      </c>
      <c r="CN384" s="17" t="str">
        <f t="shared" si="20"/>
        <v>0422</v>
      </c>
      <c r="CO384" s="17" t="str">
        <f t="shared" si="22"/>
        <v>379422龍ケ崎市</v>
      </c>
      <c r="CP384" s="17" t="s">
        <v>5793</v>
      </c>
      <c r="CQ384" s="17" t="b">
        <f t="shared" si="23"/>
        <v>1</v>
      </c>
    </row>
    <row r="385" spans="6:95">
      <c r="F385" s="23"/>
      <c r="I385" s="23"/>
      <c r="L385" s="50" t="s">
        <v>5794</v>
      </c>
      <c r="M385" s="17" t="s">
        <v>5795</v>
      </c>
      <c r="N385" s="51" t="s">
        <v>5796</v>
      </c>
      <c r="O385" s="29" t="s">
        <v>1445</v>
      </c>
      <c r="P385" s="29" t="s">
        <v>5797</v>
      </c>
      <c r="Q385" s="29" t="s">
        <v>1445</v>
      </c>
      <c r="R385" s="29" t="s">
        <v>3512</v>
      </c>
      <c r="S385" s="28" t="s">
        <v>1564</v>
      </c>
      <c r="T385" s="28" t="s">
        <v>2766</v>
      </c>
      <c r="U385" s="28" t="s">
        <v>1440</v>
      </c>
      <c r="V385" s="28" t="s">
        <v>1557</v>
      </c>
      <c r="W385" s="28" t="s">
        <v>5797</v>
      </c>
      <c r="X385" s="17">
        <v>1</v>
      </c>
      <c r="CJ385" s="26" t="s">
        <v>1385</v>
      </c>
      <c r="CK385" s="26" t="s">
        <v>1929</v>
      </c>
      <c r="CL385" s="26" t="str">
        <f t="shared" si="21"/>
        <v>茨城県下妻市</v>
      </c>
      <c r="CM385" s="49">
        <v>380</v>
      </c>
      <c r="CN385" s="17" t="str">
        <f t="shared" si="20"/>
        <v>0423</v>
      </c>
      <c r="CO385" s="17" t="str">
        <f t="shared" si="22"/>
        <v>380423下妻市</v>
      </c>
      <c r="CP385" s="17" t="s">
        <v>5798</v>
      </c>
      <c r="CQ385" s="17" t="b">
        <f t="shared" si="23"/>
        <v>1</v>
      </c>
    </row>
    <row r="386" spans="6:95">
      <c r="F386" s="23"/>
      <c r="I386" s="23"/>
      <c r="L386" s="50" t="s">
        <v>5799</v>
      </c>
      <c r="M386" s="17" t="s">
        <v>5800</v>
      </c>
      <c r="N386" s="51" t="s">
        <v>5801</v>
      </c>
      <c r="O386" s="29" t="s">
        <v>1445</v>
      </c>
      <c r="P386" s="29" t="s">
        <v>5802</v>
      </c>
      <c r="Q386" s="29" t="s">
        <v>1445</v>
      </c>
      <c r="R386" s="29" t="s">
        <v>4531</v>
      </c>
      <c r="S386" s="28" t="s">
        <v>1743</v>
      </c>
      <c r="T386" s="28" t="s">
        <v>2808</v>
      </c>
      <c r="U386" s="28" t="s">
        <v>1440</v>
      </c>
      <c r="V386" s="28" t="s">
        <v>1557</v>
      </c>
      <c r="W386" s="28" t="s">
        <v>5803</v>
      </c>
      <c r="X386" s="17">
        <v>1</v>
      </c>
      <c r="CJ386" s="26" t="s">
        <v>1385</v>
      </c>
      <c r="CK386" s="26" t="s">
        <v>1986</v>
      </c>
      <c r="CL386" s="26" t="str">
        <f t="shared" si="21"/>
        <v>茨城県常総市</v>
      </c>
      <c r="CM386" s="49">
        <v>381</v>
      </c>
      <c r="CN386" s="17" t="str">
        <f t="shared" si="20"/>
        <v>0424</v>
      </c>
      <c r="CO386" s="17" t="str">
        <f t="shared" si="22"/>
        <v>381424常総市</v>
      </c>
      <c r="CP386" s="17" t="s">
        <v>5804</v>
      </c>
      <c r="CQ386" s="17" t="b">
        <f t="shared" si="23"/>
        <v>1</v>
      </c>
    </row>
    <row r="387" spans="6:95">
      <c r="F387" s="23"/>
      <c r="I387" s="23"/>
      <c r="L387" s="50" t="s">
        <v>5805</v>
      </c>
      <c r="M387" s="17" t="s">
        <v>5806</v>
      </c>
      <c r="N387" s="51" t="s">
        <v>5807</v>
      </c>
      <c r="O387" s="29" t="s">
        <v>1445</v>
      </c>
      <c r="P387" s="29" t="s">
        <v>5808</v>
      </c>
      <c r="Q387" s="29" t="s">
        <v>1445</v>
      </c>
      <c r="R387" s="29" t="s">
        <v>4547</v>
      </c>
      <c r="S387" s="28" t="s">
        <v>1862</v>
      </c>
      <c r="T387" s="28" t="s">
        <v>2849</v>
      </c>
      <c r="U387" s="28" t="s">
        <v>1440</v>
      </c>
      <c r="V387" s="28" t="s">
        <v>1557</v>
      </c>
      <c r="W387" s="28" t="s">
        <v>5809</v>
      </c>
      <c r="X387" s="17">
        <v>1</v>
      </c>
      <c r="CJ387" s="26" t="s">
        <v>1385</v>
      </c>
      <c r="CK387" s="26" t="s">
        <v>2042</v>
      </c>
      <c r="CL387" s="26" t="str">
        <f t="shared" si="21"/>
        <v>茨城県常陸太田市</v>
      </c>
      <c r="CM387" s="49">
        <v>382</v>
      </c>
      <c r="CN387" s="17" t="str">
        <f t="shared" si="20"/>
        <v>0425</v>
      </c>
      <c r="CO387" s="17" t="str">
        <f t="shared" si="22"/>
        <v>382425常陸太田市</v>
      </c>
      <c r="CP387" s="17" t="s">
        <v>5810</v>
      </c>
      <c r="CQ387" s="17" t="b">
        <f t="shared" si="23"/>
        <v>1</v>
      </c>
    </row>
    <row r="388" spans="6:95">
      <c r="F388" s="23"/>
      <c r="I388" s="23"/>
      <c r="L388" s="50" t="s">
        <v>5811</v>
      </c>
      <c r="M388" s="17" t="s">
        <v>5812</v>
      </c>
      <c r="N388" s="51" t="s">
        <v>5813</v>
      </c>
      <c r="O388" s="29" t="s">
        <v>1445</v>
      </c>
      <c r="P388" s="29" t="s">
        <v>5814</v>
      </c>
      <c r="Q388" s="29" t="s">
        <v>1445</v>
      </c>
      <c r="R388" s="29" t="s">
        <v>3527</v>
      </c>
      <c r="S388" s="28" t="s">
        <v>1920</v>
      </c>
      <c r="T388" s="28" t="s">
        <v>2888</v>
      </c>
      <c r="U388" s="28" t="s">
        <v>1440</v>
      </c>
      <c r="V388" s="28" t="s">
        <v>1557</v>
      </c>
      <c r="W388" s="28" t="s">
        <v>5815</v>
      </c>
      <c r="X388" s="17">
        <v>1</v>
      </c>
      <c r="CJ388" s="26" t="s">
        <v>1385</v>
      </c>
      <c r="CK388" s="26" t="s">
        <v>2098</v>
      </c>
      <c r="CL388" s="26" t="str">
        <f t="shared" si="21"/>
        <v>茨城県高萩市</v>
      </c>
      <c r="CM388" s="49">
        <v>383</v>
      </c>
      <c r="CN388" s="17" t="str">
        <f t="shared" si="20"/>
        <v>0426</v>
      </c>
      <c r="CO388" s="17" t="str">
        <f t="shared" si="22"/>
        <v>383426高萩市</v>
      </c>
      <c r="CP388" s="17" t="s">
        <v>5816</v>
      </c>
      <c r="CQ388" s="17" t="b">
        <f t="shared" si="23"/>
        <v>1</v>
      </c>
    </row>
    <row r="389" spans="6:95">
      <c r="F389" s="23"/>
      <c r="I389" s="23"/>
      <c r="L389" s="50" t="s">
        <v>5817</v>
      </c>
      <c r="M389" s="17" t="s">
        <v>5818</v>
      </c>
      <c r="N389" s="51" t="s">
        <v>5819</v>
      </c>
      <c r="O389" s="29" t="s">
        <v>1445</v>
      </c>
      <c r="P389" s="29" t="s">
        <v>5820</v>
      </c>
      <c r="Q389" s="29" t="s">
        <v>1445</v>
      </c>
      <c r="R389" s="29" t="s">
        <v>5233</v>
      </c>
      <c r="S389" s="28" t="s">
        <v>1564</v>
      </c>
      <c r="T389" s="28" t="s">
        <v>2925</v>
      </c>
      <c r="U389" s="28" t="s">
        <v>1440</v>
      </c>
      <c r="V389" s="28" t="s">
        <v>1557</v>
      </c>
      <c r="W389" s="28" t="s">
        <v>5821</v>
      </c>
      <c r="X389" s="17">
        <v>1</v>
      </c>
      <c r="CJ389" s="26" t="s">
        <v>1385</v>
      </c>
      <c r="CK389" s="26" t="s">
        <v>2154</v>
      </c>
      <c r="CL389" s="26" t="str">
        <f t="shared" si="21"/>
        <v>茨城県北茨城市</v>
      </c>
      <c r="CM389" s="49">
        <v>384</v>
      </c>
      <c r="CN389" s="17" t="str">
        <f t="shared" si="20"/>
        <v>0427</v>
      </c>
      <c r="CO389" s="17" t="str">
        <f t="shared" si="22"/>
        <v>384427北茨城市</v>
      </c>
      <c r="CP389" s="17" t="s">
        <v>5822</v>
      </c>
      <c r="CQ389" s="17" t="b">
        <f t="shared" si="23"/>
        <v>1</v>
      </c>
    </row>
    <row r="390" spans="6:95">
      <c r="F390" s="23"/>
      <c r="I390" s="23"/>
      <c r="L390" s="50" t="s">
        <v>5823</v>
      </c>
      <c r="M390" s="17" t="s">
        <v>5824</v>
      </c>
      <c r="N390" s="51" t="s">
        <v>5825</v>
      </c>
      <c r="O390" s="29" t="s">
        <v>1445</v>
      </c>
      <c r="P390" s="29" t="s">
        <v>5826</v>
      </c>
      <c r="Q390" s="29" t="s">
        <v>1445</v>
      </c>
      <c r="R390" s="29" t="s">
        <v>5240</v>
      </c>
      <c r="S390" s="28" t="s">
        <v>1626</v>
      </c>
      <c r="T390" s="28" t="s">
        <v>2959</v>
      </c>
      <c r="U390" s="28" t="s">
        <v>1440</v>
      </c>
      <c r="V390" s="28" t="s">
        <v>1557</v>
      </c>
      <c r="W390" s="28" t="s">
        <v>5827</v>
      </c>
      <c r="X390" s="17">
        <v>1</v>
      </c>
      <c r="CJ390" s="26" t="s">
        <v>1385</v>
      </c>
      <c r="CK390" s="26" t="s">
        <v>2209</v>
      </c>
      <c r="CL390" s="26" t="str">
        <f t="shared" si="21"/>
        <v>茨城県笠間市</v>
      </c>
      <c r="CM390" s="49">
        <v>385</v>
      </c>
      <c r="CN390" s="17" t="str">
        <f t="shared" ref="CN390:CN453" si="24">VLOOKUP(CL390,$M$6:$N$1784,2,FALSE)</f>
        <v>0428</v>
      </c>
      <c r="CO390" s="17" t="str">
        <f t="shared" si="22"/>
        <v>385428笠間市</v>
      </c>
      <c r="CP390" s="17" t="s">
        <v>5828</v>
      </c>
      <c r="CQ390" s="17" t="b">
        <f t="shared" si="23"/>
        <v>1</v>
      </c>
    </row>
    <row r="391" spans="6:95">
      <c r="F391" s="23"/>
      <c r="I391" s="23"/>
      <c r="L391" s="50" t="s">
        <v>5829</v>
      </c>
      <c r="M391" s="17" t="s">
        <v>5830</v>
      </c>
      <c r="N391" s="51" t="s">
        <v>5831</v>
      </c>
      <c r="O391" s="29" t="s">
        <v>1445</v>
      </c>
      <c r="P391" s="29" t="s">
        <v>5832</v>
      </c>
      <c r="Q391" s="29" t="s">
        <v>1445</v>
      </c>
      <c r="R391" s="29" t="s">
        <v>3539</v>
      </c>
      <c r="S391" s="28" t="s">
        <v>1502</v>
      </c>
      <c r="T391" s="28" t="s">
        <v>2992</v>
      </c>
      <c r="U391" s="28" t="s">
        <v>1440</v>
      </c>
      <c r="V391" s="28" t="s">
        <v>1557</v>
      </c>
      <c r="W391" s="28" t="s">
        <v>5833</v>
      </c>
      <c r="X391" s="17">
        <v>1</v>
      </c>
      <c r="CJ391" s="26" t="s">
        <v>1385</v>
      </c>
      <c r="CK391" s="26" t="s">
        <v>2264</v>
      </c>
      <c r="CL391" s="26" t="str">
        <f t="shared" si="21"/>
        <v>茨城県取手市</v>
      </c>
      <c r="CM391" s="49">
        <v>386</v>
      </c>
      <c r="CN391" s="17" t="str">
        <f t="shared" si="24"/>
        <v>0429</v>
      </c>
      <c r="CO391" s="17" t="str">
        <f t="shared" si="22"/>
        <v>386429取手市</v>
      </c>
      <c r="CP391" s="17" t="s">
        <v>5834</v>
      </c>
      <c r="CQ391" s="17" t="b">
        <f t="shared" si="23"/>
        <v>1</v>
      </c>
    </row>
    <row r="392" spans="6:95">
      <c r="F392" s="23"/>
      <c r="I392" s="23"/>
      <c r="L392" s="50" t="s">
        <v>5835</v>
      </c>
      <c r="M392" s="17" t="s">
        <v>5836</v>
      </c>
      <c r="N392" s="51" t="s">
        <v>5837</v>
      </c>
      <c r="O392" s="29" t="s">
        <v>1445</v>
      </c>
      <c r="P392" s="29" t="s">
        <v>5838</v>
      </c>
      <c r="Q392" s="29" t="s">
        <v>1445</v>
      </c>
      <c r="R392" s="29" t="s">
        <v>5253</v>
      </c>
      <c r="S392" s="28" t="s">
        <v>2311</v>
      </c>
      <c r="T392" s="28" t="s">
        <v>3026</v>
      </c>
      <c r="U392" s="28" t="s">
        <v>1440</v>
      </c>
      <c r="V392" s="28" t="s">
        <v>1557</v>
      </c>
      <c r="W392" s="28" t="s">
        <v>5839</v>
      </c>
      <c r="X392" s="17">
        <v>1</v>
      </c>
      <c r="CJ392" s="26" t="s">
        <v>1385</v>
      </c>
      <c r="CK392" s="26" t="s">
        <v>2320</v>
      </c>
      <c r="CL392" s="26" t="str">
        <f t="shared" ref="CL392:CL455" si="25">CJ392&amp;CK392</f>
        <v>茨城県牛久市</v>
      </c>
      <c r="CM392" s="49">
        <v>387</v>
      </c>
      <c r="CN392" s="17" t="str">
        <f t="shared" si="24"/>
        <v>0430</v>
      </c>
      <c r="CO392" s="17" t="str">
        <f t="shared" ref="CO392:CO455" si="26">CM392&amp;TEXT(CN392,0)&amp;CK392</f>
        <v>387430牛久市</v>
      </c>
      <c r="CP392" s="17" t="s">
        <v>5840</v>
      </c>
      <c r="CQ392" s="17" t="b">
        <f t="shared" ref="CQ392:CQ455" si="27">CO392=CP392</f>
        <v>1</v>
      </c>
    </row>
    <row r="393" spans="6:95">
      <c r="F393" s="23"/>
      <c r="I393" s="23"/>
      <c r="L393" s="50" t="s">
        <v>5841</v>
      </c>
      <c r="M393" s="17" t="s">
        <v>5842</v>
      </c>
      <c r="N393" s="51" t="s">
        <v>5843</v>
      </c>
      <c r="O393" s="29" t="s">
        <v>1445</v>
      </c>
      <c r="P393" s="29" t="s">
        <v>5844</v>
      </c>
      <c r="Q393" s="29" t="s">
        <v>1445</v>
      </c>
      <c r="R393" s="29" t="s">
        <v>4825</v>
      </c>
      <c r="S393" s="28" t="s">
        <v>1862</v>
      </c>
      <c r="T393" s="28" t="s">
        <v>2629</v>
      </c>
      <c r="U393" s="28" t="s">
        <v>1440</v>
      </c>
      <c r="V393" s="28" t="s">
        <v>1557</v>
      </c>
      <c r="W393" s="28" t="s">
        <v>5845</v>
      </c>
      <c r="X393" s="17">
        <v>1</v>
      </c>
      <c r="CJ393" s="26" t="s">
        <v>1385</v>
      </c>
      <c r="CK393" s="26" t="s">
        <v>2374</v>
      </c>
      <c r="CL393" s="26" t="str">
        <f t="shared" si="25"/>
        <v>茨城県つくば市</v>
      </c>
      <c r="CM393" s="49">
        <v>388</v>
      </c>
      <c r="CN393" s="17" t="str">
        <f t="shared" si="24"/>
        <v>0431</v>
      </c>
      <c r="CO393" s="17" t="str">
        <f t="shared" si="26"/>
        <v>388431つくば市</v>
      </c>
      <c r="CP393" s="17" t="s">
        <v>5846</v>
      </c>
      <c r="CQ393" s="17" t="b">
        <f t="shared" si="27"/>
        <v>1</v>
      </c>
    </row>
    <row r="394" spans="6:95">
      <c r="F394" s="23"/>
      <c r="I394" s="23"/>
      <c r="L394" s="50" t="s">
        <v>5847</v>
      </c>
      <c r="M394" s="17" t="s">
        <v>5848</v>
      </c>
      <c r="N394" s="51" t="s">
        <v>5849</v>
      </c>
      <c r="O394" s="29" t="s">
        <v>1445</v>
      </c>
      <c r="P394" s="29" t="s">
        <v>5850</v>
      </c>
      <c r="Q394" s="29" t="s">
        <v>1445</v>
      </c>
      <c r="R394" s="29" t="s">
        <v>4832</v>
      </c>
      <c r="S394" s="28" t="s">
        <v>1920</v>
      </c>
      <c r="T394" s="28" t="s">
        <v>2927</v>
      </c>
      <c r="U394" s="28" t="s">
        <v>1440</v>
      </c>
      <c r="V394" s="28" t="s">
        <v>1557</v>
      </c>
      <c r="W394" s="28" t="s">
        <v>5851</v>
      </c>
      <c r="X394" s="17">
        <v>1</v>
      </c>
      <c r="CJ394" s="26" t="s">
        <v>1385</v>
      </c>
      <c r="CK394" s="26" t="s">
        <v>2429</v>
      </c>
      <c r="CL394" s="26" t="str">
        <f t="shared" si="25"/>
        <v>茨城県ひたちなか市</v>
      </c>
      <c r="CM394" s="49">
        <v>389</v>
      </c>
      <c r="CN394" s="17" t="str">
        <f t="shared" si="24"/>
        <v>0432</v>
      </c>
      <c r="CO394" s="17" t="str">
        <f t="shared" si="26"/>
        <v>389432ひたちなか市</v>
      </c>
      <c r="CP394" s="17" t="s">
        <v>5852</v>
      </c>
      <c r="CQ394" s="17" t="b">
        <f t="shared" si="27"/>
        <v>1</v>
      </c>
    </row>
    <row r="395" spans="6:95">
      <c r="F395" s="23"/>
      <c r="I395" s="23"/>
      <c r="L395" s="50" t="s">
        <v>5853</v>
      </c>
      <c r="M395" s="17" t="s">
        <v>5854</v>
      </c>
      <c r="N395" s="51" t="s">
        <v>5855</v>
      </c>
      <c r="O395" s="29" t="s">
        <v>1445</v>
      </c>
      <c r="P395" s="29" t="s">
        <v>5856</v>
      </c>
      <c r="Q395" s="29" t="s">
        <v>1445</v>
      </c>
      <c r="R395" s="29" t="s">
        <v>5857</v>
      </c>
      <c r="S395" s="28" t="s">
        <v>1977</v>
      </c>
      <c r="T395" s="28" t="s">
        <v>3119</v>
      </c>
      <c r="U395" s="28" t="s">
        <v>1440</v>
      </c>
      <c r="V395" s="28" t="s">
        <v>1557</v>
      </c>
      <c r="W395" s="28" t="s">
        <v>5858</v>
      </c>
      <c r="X395" s="17">
        <v>1</v>
      </c>
      <c r="CJ395" s="26" t="s">
        <v>1385</v>
      </c>
      <c r="CK395" s="26" t="s">
        <v>2482</v>
      </c>
      <c r="CL395" s="26" t="str">
        <f t="shared" si="25"/>
        <v>茨城県鹿嶋市</v>
      </c>
      <c r="CM395" s="49">
        <v>390</v>
      </c>
      <c r="CN395" s="17" t="str">
        <f t="shared" si="24"/>
        <v>0433</v>
      </c>
      <c r="CO395" s="17" t="str">
        <f t="shared" si="26"/>
        <v>390433鹿嶋市</v>
      </c>
      <c r="CP395" s="17" t="s">
        <v>5859</v>
      </c>
      <c r="CQ395" s="17" t="b">
        <f t="shared" si="27"/>
        <v>1</v>
      </c>
    </row>
    <row r="396" spans="6:95">
      <c r="F396" s="23"/>
      <c r="I396" s="23"/>
      <c r="L396" s="50" t="s">
        <v>5860</v>
      </c>
      <c r="M396" s="17" t="s">
        <v>5861</v>
      </c>
      <c r="N396" s="51" t="s">
        <v>5862</v>
      </c>
      <c r="O396" s="29" t="s">
        <v>1445</v>
      </c>
      <c r="P396" s="29" t="s">
        <v>5863</v>
      </c>
      <c r="Q396" s="29" t="s">
        <v>1445</v>
      </c>
      <c r="R396" s="29" t="s">
        <v>3707</v>
      </c>
      <c r="S396" s="28" t="s">
        <v>1502</v>
      </c>
      <c r="T396" s="28" t="s">
        <v>3149</v>
      </c>
      <c r="U396" s="28" t="s">
        <v>1440</v>
      </c>
      <c r="V396" s="28" t="s">
        <v>1557</v>
      </c>
      <c r="W396" s="28" t="s">
        <v>5864</v>
      </c>
      <c r="X396" s="17">
        <v>1</v>
      </c>
      <c r="CJ396" s="26" t="s">
        <v>1385</v>
      </c>
      <c r="CK396" s="26" t="s">
        <v>2534</v>
      </c>
      <c r="CL396" s="26" t="str">
        <f t="shared" si="25"/>
        <v>茨城県潮来市</v>
      </c>
      <c r="CM396" s="49">
        <v>391</v>
      </c>
      <c r="CN396" s="17" t="str">
        <f t="shared" si="24"/>
        <v>0434</v>
      </c>
      <c r="CO396" s="17" t="str">
        <f t="shared" si="26"/>
        <v>391434潮来市</v>
      </c>
      <c r="CP396" s="17" t="s">
        <v>5865</v>
      </c>
      <c r="CQ396" s="17" t="b">
        <f t="shared" si="27"/>
        <v>1</v>
      </c>
    </row>
    <row r="397" spans="6:95">
      <c r="F397" s="23"/>
      <c r="I397" s="23"/>
      <c r="L397" s="50" t="s">
        <v>5866</v>
      </c>
      <c r="M397" s="17" t="s">
        <v>5867</v>
      </c>
      <c r="N397" s="51" t="s">
        <v>5868</v>
      </c>
      <c r="O397" s="29" t="s">
        <v>1445</v>
      </c>
      <c r="P397" s="29" t="s">
        <v>5869</v>
      </c>
      <c r="Q397" s="29" t="s">
        <v>1445</v>
      </c>
      <c r="R397" s="29" t="s">
        <v>3732</v>
      </c>
      <c r="S397" s="28" t="s">
        <v>1564</v>
      </c>
      <c r="T397" s="28" t="s">
        <v>3178</v>
      </c>
      <c r="U397" s="28" t="s">
        <v>1440</v>
      </c>
      <c r="V397" s="28" t="s">
        <v>1557</v>
      </c>
      <c r="W397" s="28" t="s">
        <v>5869</v>
      </c>
      <c r="X397" s="17">
        <v>1</v>
      </c>
      <c r="CJ397" s="26" t="s">
        <v>1385</v>
      </c>
      <c r="CK397" s="26" t="s">
        <v>2584</v>
      </c>
      <c r="CL397" s="26" t="str">
        <f t="shared" si="25"/>
        <v>茨城県守谷市</v>
      </c>
      <c r="CM397" s="49">
        <v>392</v>
      </c>
      <c r="CN397" s="17" t="str">
        <f t="shared" si="24"/>
        <v>0435</v>
      </c>
      <c r="CO397" s="17" t="str">
        <f t="shared" si="26"/>
        <v>392435守谷市</v>
      </c>
      <c r="CP397" s="17" t="s">
        <v>5870</v>
      </c>
      <c r="CQ397" s="17" t="b">
        <f t="shared" si="27"/>
        <v>1</v>
      </c>
    </row>
    <row r="398" spans="6:95">
      <c r="F398" s="23"/>
      <c r="I398" s="23"/>
      <c r="L398" s="50" t="s">
        <v>5871</v>
      </c>
      <c r="M398" s="17" t="s">
        <v>5872</v>
      </c>
      <c r="N398" s="51" t="s">
        <v>5873</v>
      </c>
      <c r="O398" s="29" t="s">
        <v>1445</v>
      </c>
      <c r="P398" s="29" t="s">
        <v>5874</v>
      </c>
      <c r="Q398" s="29" t="s">
        <v>1445</v>
      </c>
      <c r="R398" s="29" t="s">
        <v>3741</v>
      </c>
      <c r="S398" s="28" t="s">
        <v>1920</v>
      </c>
      <c r="T398" s="28" t="s">
        <v>3203</v>
      </c>
      <c r="U398" s="28" t="s">
        <v>1440</v>
      </c>
      <c r="V398" s="28" t="s">
        <v>1557</v>
      </c>
      <c r="W398" s="28" t="s">
        <v>5875</v>
      </c>
      <c r="X398" s="17">
        <v>1</v>
      </c>
      <c r="CJ398" s="26" t="s">
        <v>1385</v>
      </c>
      <c r="CK398" s="26" t="s">
        <v>2631</v>
      </c>
      <c r="CL398" s="26" t="str">
        <f t="shared" si="25"/>
        <v>茨城県常陸大宮市</v>
      </c>
      <c r="CM398" s="49">
        <v>393</v>
      </c>
      <c r="CN398" s="17" t="str">
        <f t="shared" si="24"/>
        <v>0436</v>
      </c>
      <c r="CO398" s="17" t="str">
        <f t="shared" si="26"/>
        <v>393436常陸大宮市</v>
      </c>
      <c r="CP398" s="17" t="s">
        <v>5876</v>
      </c>
      <c r="CQ398" s="17" t="b">
        <f t="shared" si="27"/>
        <v>1</v>
      </c>
    </row>
    <row r="399" spans="6:95">
      <c r="F399" s="23"/>
      <c r="I399" s="23"/>
      <c r="L399" s="50" t="s">
        <v>5877</v>
      </c>
      <c r="M399" s="17" t="s">
        <v>5878</v>
      </c>
      <c r="N399" s="51" t="s">
        <v>5879</v>
      </c>
      <c r="O399" s="29" t="s">
        <v>1445</v>
      </c>
      <c r="P399" s="29" t="s">
        <v>5880</v>
      </c>
      <c r="Q399" s="29" t="s">
        <v>1445</v>
      </c>
      <c r="R399" s="29" t="s">
        <v>5881</v>
      </c>
      <c r="S399" s="28" t="s">
        <v>1977</v>
      </c>
      <c r="T399" s="28" t="s">
        <v>3227</v>
      </c>
      <c r="U399" s="28" t="s">
        <v>1440</v>
      </c>
      <c r="V399" s="28" t="s">
        <v>1557</v>
      </c>
      <c r="W399" s="28" t="s">
        <v>5882</v>
      </c>
      <c r="X399" s="17">
        <v>1</v>
      </c>
      <c r="CJ399" s="26" t="s">
        <v>1385</v>
      </c>
      <c r="CK399" s="26" t="s">
        <v>2677</v>
      </c>
      <c r="CL399" s="26" t="str">
        <f t="shared" si="25"/>
        <v>茨城県那珂市</v>
      </c>
      <c r="CM399" s="49">
        <v>394</v>
      </c>
      <c r="CN399" s="17" t="str">
        <f t="shared" si="24"/>
        <v>0437</v>
      </c>
      <c r="CO399" s="17" t="str">
        <f t="shared" si="26"/>
        <v>394437那珂市</v>
      </c>
      <c r="CP399" s="17" t="s">
        <v>5883</v>
      </c>
      <c r="CQ399" s="17" t="b">
        <f t="shared" si="27"/>
        <v>1</v>
      </c>
    </row>
    <row r="400" spans="6:95">
      <c r="F400" s="23"/>
      <c r="I400" s="23"/>
      <c r="L400" s="50" t="s">
        <v>5884</v>
      </c>
      <c r="M400" s="17" t="s">
        <v>5885</v>
      </c>
      <c r="N400" s="51" t="s">
        <v>5886</v>
      </c>
      <c r="O400" s="29" t="s">
        <v>1445</v>
      </c>
      <c r="P400" s="29" t="s">
        <v>5887</v>
      </c>
      <c r="Q400" s="29" t="s">
        <v>1445</v>
      </c>
      <c r="R400" s="29" t="s">
        <v>3786</v>
      </c>
      <c r="S400" s="28" t="s">
        <v>2525</v>
      </c>
      <c r="T400" s="28" t="s">
        <v>3250</v>
      </c>
      <c r="U400" s="28" t="s">
        <v>1440</v>
      </c>
      <c r="V400" s="28" t="s">
        <v>1557</v>
      </c>
      <c r="W400" s="28" t="s">
        <v>5888</v>
      </c>
      <c r="X400" s="17">
        <v>1</v>
      </c>
      <c r="CJ400" s="26" t="s">
        <v>1385</v>
      </c>
      <c r="CK400" s="26" t="s">
        <v>2723</v>
      </c>
      <c r="CL400" s="26" t="str">
        <f t="shared" si="25"/>
        <v>茨城県筑西市</v>
      </c>
      <c r="CM400" s="49">
        <v>395</v>
      </c>
      <c r="CN400" s="17" t="str">
        <f t="shared" si="24"/>
        <v>0438</v>
      </c>
      <c r="CO400" s="17" t="str">
        <f t="shared" si="26"/>
        <v>395438筑西市</v>
      </c>
      <c r="CP400" s="17" t="s">
        <v>5889</v>
      </c>
      <c r="CQ400" s="17" t="b">
        <f t="shared" si="27"/>
        <v>1</v>
      </c>
    </row>
    <row r="401" spans="6:95">
      <c r="F401" s="23"/>
      <c r="I401" s="23"/>
      <c r="L401" s="50" t="s">
        <v>5890</v>
      </c>
      <c r="M401" s="17" t="s">
        <v>5891</v>
      </c>
      <c r="N401" s="51" t="s">
        <v>5892</v>
      </c>
      <c r="O401" s="29" t="s">
        <v>1445</v>
      </c>
      <c r="P401" s="29" t="s">
        <v>5893</v>
      </c>
      <c r="Q401" s="29" t="s">
        <v>1445</v>
      </c>
      <c r="R401" s="29" t="s">
        <v>3794</v>
      </c>
      <c r="S401" s="28" t="s">
        <v>2311</v>
      </c>
      <c r="T401" s="28" t="s">
        <v>3275</v>
      </c>
      <c r="U401" s="28" t="s">
        <v>1440</v>
      </c>
      <c r="V401" s="28" t="s">
        <v>1557</v>
      </c>
      <c r="W401" s="28" t="s">
        <v>5894</v>
      </c>
      <c r="X401" s="17">
        <v>1</v>
      </c>
      <c r="CJ401" s="26" t="s">
        <v>1385</v>
      </c>
      <c r="CK401" s="26" t="s">
        <v>2767</v>
      </c>
      <c r="CL401" s="26" t="str">
        <f t="shared" si="25"/>
        <v>茨城県坂東市</v>
      </c>
      <c r="CM401" s="49">
        <v>396</v>
      </c>
      <c r="CN401" s="17" t="str">
        <f t="shared" si="24"/>
        <v>0439</v>
      </c>
      <c r="CO401" s="17" t="str">
        <f t="shared" si="26"/>
        <v>396439坂東市</v>
      </c>
      <c r="CP401" s="17" t="s">
        <v>5895</v>
      </c>
      <c r="CQ401" s="17" t="b">
        <f t="shared" si="27"/>
        <v>1</v>
      </c>
    </row>
    <row r="402" spans="6:95">
      <c r="F402" s="23"/>
      <c r="I402" s="23"/>
      <c r="L402" s="50" t="s">
        <v>5896</v>
      </c>
      <c r="M402" s="17" t="s">
        <v>5897</v>
      </c>
      <c r="N402" s="51" t="s">
        <v>5898</v>
      </c>
      <c r="O402" s="29" t="s">
        <v>1445</v>
      </c>
      <c r="P402" s="29" t="s">
        <v>5899</v>
      </c>
      <c r="Q402" s="29" t="s">
        <v>1445</v>
      </c>
      <c r="R402" s="29" t="s">
        <v>3802</v>
      </c>
      <c r="S402" s="28" t="s">
        <v>1564</v>
      </c>
      <c r="T402" s="28" t="s">
        <v>3297</v>
      </c>
      <c r="U402" s="28" t="s">
        <v>1440</v>
      </c>
      <c r="V402" s="28" t="s">
        <v>1557</v>
      </c>
      <c r="W402" s="28" t="s">
        <v>5900</v>
      </c>
      <c r="X402" s="17">
        <v>1</v>
      </c>
      <c r="CJ402" s="26" t="s">
        <v>1385</v>
      </c>
      <c r="CK402" s="26" t="s">
        <v>2809</v>
      </c>
      <c r="CL402" s="26" t="str">
        <f t="shared" si="25"/>
        <v>茨城県稲敷市</v>
      </c>
      <c r="CM402" s="49">
        <v>397</v>
      </c>
      <c r="CN402" s="17" t="str">
        <f t="shared" si="24"/>
        <v>0440</v>
      </c>
      <c r="CO402" s="17" t="str">
        <f t="shared" si="26"/>
        <v>397440稲敷市</v>
      </c>
      <c r="CP402" s="17" t="s">
        <v>5901</v>
      </c>
      <c r="CQ402" s="17" t="b">
        <f t="shared" si="27"/>
        <v>1</v>
      </c>
    </row>
    <row r="403" spans="6:95">
      <c r="F403" s="23"/>
      <c r="I403" s="23"/>
      <c r="L403" s="50" t="s">
        <v>5902</v>
      </c>
      <c r="M403" s="17" t="s">
        <v>5903</v>
      </c>
      <c r="N403" s="51" t="s">
        <v>5904</v>
      </c>
      <c r="O403" s="29" t="s">
        <v>1445</v>
      </c>
      <c r="P403" s="29" t="s">
        <v>5905</v>
      </c>
      <c r="Q403" s="29" t="s">
        <v>1445</v>
      </c>
      <c r="R403" s="29" t="s">
        <v>3810</v>
      </c>
      <c r="S403" s="28" t="s">
        <v>1626</v>
      </c>
      <c r="T403" s="28" t="s">
        <v>3319</v>
      </c>
      <c r="U403" s="28" t="s">
        <v>1440</v>
      </c>
      <c r="V403" s="28" t="s">
        <v>1557</v>
      </c>
      <c r="W403" s="28" t="s">
        <v>5906</v>
      </c>
      <c r="X403" s="17">
        <v>1</v>
      </c>
      <c r="CJ403" s="26" t="s">
        <v>1385</v>
      </c>
      <c r="CK403" s="26" t="s">
        <v>2850</v>
      </c>
      <c r="CL403" s="26" t="str">
        <f t="shared" si="25"/>
        <v>茨城県かすみがうら市</v>
      </c>
      <c r="CM403" s="49">
        <v>398</v>
      </c>
      <c r="CN403" s="17" t="str">
        <f t="shared" si="24"/>
        <v>0441</v>
      </c>
      <c r="CO403" s="17" t="str">
        <f t="shared" si="26"/>
        <v>398441かすみがうら市</v>
      </c>
      <c r="CP403" s="17" t="s">
        <v>5907</v>
      </c>
      <c r="CQ403" s="17" t="b">
        <f t="shared" si="27"/>
        <v>1</v>
      </c>
    </row>
    <row r="404" spans="6:95">
      <c r="F404" s="23"/>
      <c r="I404" s="23"/>
      <c r="L404" s="50" t="s">
        <v>5908</v>
      </c>
      <c r="M404" s="17" t="s">
        <v>5909</v>
      </c>
      <c r="N404" s="51" t="s">
        <v>5910</v>
      </c>
      <c r="O404" s="29" t="s">
        <v>1445</v>
      </c>
      <c r="P404" s="29" t="s">
        <v>5911</v>
      </c>
      <c r="Q404" s="29" t="s">
        <v>1445</v>
      </c>
      <c r="R404" s="29" t="s">
        <v>4984</v>
      </c>
      <c r="S404" s="28" t="s">
        <v>1862</v>
      </c>
      <c r="T404" s="28" t="s">
        <v>3340</v>
      </c>
      <c r="U404" s="28" t="s">
        <v>1440</v>
      </c>
      <c r="V404" s="28" t="s">
        <v>1557</v>
      </c>
      <c r="W404" s="28" t="s">
        <v>5912</v>
      </c>
      <c r="X404" s="17">
        <v>1</v>
      </c>
      <c r="CJ404" s="26" t="s">
        <v>1385</v>
      </c>
      <c r="CK404" s="26" t="s">
        <v>2889</v>
      </c>
      <c r="CL404" s="26" t="str">
        <f t="shared" si="25"/>
        <v>茨城県桜川市</v>
      </c>
      <c r="CM404" s="49">
        <v>399</v>
      </c>
      <c r="CN404" s="17" t="str">
        <f t="shared" si="24"/>
        <v>0442</v>
      </c>
      <c r="CO404" s="17" t="str">
        <f t="shared" si="26"/>
        <v>399442桜川市</v>
      </c>
      <c r="CP404" s="17" t="s">
        <v>5913</v>
      </c>
      <c r="CQ404" s="17" t="b">
        <f t="shared" si="27"/>
        <v>1</v>
      </c>
    </row>
    <row r="405" spans="6:95">
      <c r="F405" s="23"/>
      <c r="I405" s="23"/>
      <c r="L405" s="50" t="s">
        <v>5914</v>
      </c>
      <c r="M405" s="17" t="s">
        <v>5915</v>
      </c>
      <c r="N405" s="51" t="s">
        <v>5916</v>
      </c>
      <c r="O405" s="29" t="s">
        <v>1445</v>
      </c>
      <c r="P405" s="29" t="s">
        <v>5917</v>
      </c>
      <c r="Q405" s="29" t="s">
        <v>1445</v>
      </c>
      <c r="R405" s="29" t="s">
        <v>5918</v>
      </c>
      <c r="S405" s="28" t="s">
        <v>1920</v>
      </c>
      <c r="T405" s="28" t="s">
        <v>3361</v>
      </c>
      <c r="U405" s="28" t="s">
        <v>1440</v>
      </c>
      <c r="V405" s="28" t="s">
        <v>1557</v>
      </c>
      <c r="W405" s="28" t="s">
        <v>5919</v>
      </c>
      <c r="X405" s="17">
        <v>1</v>
      </c>
      <c r="CJ405" s="26" t="s">
        <v>1385</v>
      </c>
      <c r="CK405" s="26" t="s">
        <v>2926</v>
      </c>
      <c r="CL405" s="26" t="str">
        <f t="shared" si="25"/>
        <v>茨城県神栖市</v>
      </c>
      <c r="CM405" s="49">
        <v>400</v>
      </c>
      <c r="CN405" s="17" t="str">
        <f t="shared" si="24"/>
        <v>0443</v>
      </c>
      <c r="CO405" s="17" t="str">
        <f t="shared" si="26"/>
        <v>400443神栖市</v>
      </c>
      <c r="CP405" s="17" t="s">
        <v>5920</v>
      </c>
      <c r="CQ405" s="17" t="b">
        <f t="shared" si="27"/>
        <v>1</v>
      </c>
    </row>
    <row r="406" spans="6:95">
      <c r="F406" s="23"/>
      <c r="I406" s="23"/>
      <c r="L406" s="50" t="s">
        <v>5921</v>
      </c>
      <c r="M406" s="17" t="s">
        <v>5922</v>
      </c>
      <c r="N406" s="51" t="s">
        <v>5923</v>
      </c>
      <c r="O406" s="29" t="s">
        <v>1445</v>
      </c>
      <c r="P406" s="29" t="s">
        <v>5924</v>
      </c>
      <c r="Q406" s="29" t="s">
        <v>1445</v>
      </c>
      <c r="R406" s="29" t="s">
        <v>5044</v>
      </c>
      <c r="S406" s="28" t="s">
        <v>1977</v>
      </c>
      <c r="T406" s="28" t="s">
        <v>3380</v>
      </c>
      <c r="U406" s="28" t="s">
        <v>1440</v>
      </c>
      <c r="V406" s="28" t="s">
        <v>1557</v>
      </c>
      <c r="W406" s="28" t="s">
        <v>5925</v>
      </c>
      <c r="X406" s="17">
        <v>1</v>
      </c>
      <c r="CJ406" s="26" t="s">
        <v>1385</v>
      </c>
      <c r="CK406" s="26" t="s">
        <v>2960</v>
      </c>
      <c r="CL406" s="26" t="str">
        <f t="shared" si="25"/>
        <v>茨城県行方市</v>
      </c>
      <c r="CM406" s="49">
        <v>401</v>
      </c>
      <c r="CN406" s="17" t="str">
        <f t="shared" si="24"/>
        <v>0444</v>
      </c>
      <c r="CO406" s="17" t="str">
        <f t="shared" si="26"/>
        <v>401444行方市</v>
      </c>
      <c r="CP406" s="17" t="s">
        <v>5926</v>
      </c>
      <c r="CQ406" s="17" t="b">
        <f t="shared" si="27"/>
        <v>1</v>
      </c>
    </row>
    <row r="407" spans="6:95">
      <c r="F407" s="23"/>
      <c r="I407" s="23"/>
      <c r="L407" s="50" t="s">
        <v>5927</v>
      </c>
      <c r="M407" s="17" t="s">
        <v>5928</v>
      </c>
      <c r="N407" s="51" t="s">
        <v>5929</v>
      </c>
      <c r="O407" s="29" t="s">
        <v>1445</v>
      </c>
      <c r="P407" s="29" t="s">
        <v>5930</v>
      </c>
      <c r="Q407" s="29" t="s">
        <v>1445</v>
      </c>
      <c r="R407" s="29" t="s">
        <v>5931</v>
      </c>
      <c r="S407" s="28" t="s">
        <v>1743</v>
      </c>
      <c r="T407" s="28" t="s">
        <v>3398</v>
      </c>
      <c r="U407" s="28" t="s">
        <v>1440</v>
      </c>
      <c r="V407" s="28" t="s">
        <v>1557</v>
      </c>
      <c r="W407" s="28" t="s">
        <v>5932</v>
      </c>
      <c r="X407" s="17">
        <v>1</v>
      </c>
      <c r="CJ407" s="26" t="s">
        <v>1385</v>
      </c>
      <c r="CK407" s="26" t="s">
        <v>2993</v>
      </c>
      <c r="CL407" s="26" t="str">
        <f t="shared" si="25"/>
        <v>茨城県鉾田市</v>
      </c>
      <c r="CM407" s="49">
        <v>402</v>
      </c>
      <c r="CN407" s="17" t="str">
        <f t="shared" si="24"/>
        <v>0445</v>
      </c>
      <c r="CO407" s="17" t="str">
        <f t="shared" si="26"/>
        <v>402445鉾田市</v>
      </c>
      <c r="CP407" s="17" t="s">
        <v>5933</v>
      </c>
      <c r="CQ407" s="17" t="b">
        <f t="shared" si="27"/>
        <v>1</v>
      </c>
    </row>
    <row r="408" spans="6:95">
      <c r="F408" s="23"/>
      <c r="I408" s="23"/>
      <c r="L408" s="50" t="s">
        <v>5934</v>
      </c>
      <c r="M408" s="17" t="s">
        <v>5935</v>
      </c>
      <c r="N408" s="51" t="s">
        <v>5936</v>
      </c>
      <c r="O408" s="29" t="s">
        <v>1445</v>
      </c>
      <c r="P408" s="29" t="s">
        <v>5937</v>
      </c>
      <c r="Q408" s="29" t="s">
        <v>1445</v>
      </c>
      <c r="R408" s="29" t="s">
        <v>5272</v>
      </c>
      <c r="S408" s="28" t="s">
        <v>1564</v>
      </c>
      <c r="T408" s="28" t="s">
        <v>3414</v>
      </c>
      <c r="U408" s="28" t="s">
        <v>1440</v>
      </c>
      <c r="V408" s="28" t="s">
        <v>1557</v>
      </c>
      <c r="W408" s="28" t="s">
        <v>5937</v>
      </c>
      <c r="X408" s="17">
        <v>1</v>
      </c>
      <c r="CJ408" s="26" t="s">
        <v>1385</v>
      </c>
      <c r="CK408" s="26" t="s">
        <v>3027</v>
      </c>
      <c r="CL408" s="26" t="str">
        <f t="shared" si="25"/>
        <v>茨城県つくばみらい市</v>
      </c>
      <c r="CM408" s="49">
        <v>403</v>
      </c>
      <c r="CN408" s="17" t="str">
        <f t="shared" si="24"/>
        <v>0446</v>
      </c>
      <c r="CO408" s="17" t="str">
        <f t="shared" si="26"/>
        <v>403446つくばみらい市</v>
      </c>
      <c r="CP408" s="17" t="s">
        <v>5938</v>
      </c>
      <c r="CQ408" s="17" t="b">
        <f t="shared" si="27"/>
        <v>1</v>
      </c>
    </row>
    <row r="409" spans="6:95">
      <c r="F409" s="23"/>
      <c r="I409" s="23"/>
      <c r="L409" s="50" t="s">
        <v>5939</v>
      </c>
      <c r="M409" s="17" t="s">
        <v>5940</v>
      </c>
      <c r="N409" s="51" t="s">
        <v>5941</v>
      </c>
      <c r="O409" s="29" t="s">
        <v>1445</v>
      </c>
      <c r="P409" s="29" t="s">
        <v>5942</v>
      </c>
      <c r="Q409" s="29" t="s">
        <v>1445</v>
      </c>
      <c r="R409" s="29" t="s">
        <v>5943</v>
      </c>
      <c r="S409" s="28" t="s">
        <v>1920</v>
      </c>
      <c r="T409" s="28" t="s">
        <v>3429</v>
      </c>
      <c r="U409" s="28" t="s">
        <v>1440</v>
      </c>
      <c r="V409" s="28" t="s">
        <v>1557</v>
      </c>
      <c r="W409" s="28" t="s">
        <v>5944</v>
      </c>
      <c r="X409" s="17">
        <v>1</v>
      </c>
      <c r="CJ409" s="26" t="s">
        <v>1385</v>
      </c>
      <c r="CK409" s="26" t="s">
        <v>3059</v>
      </c>
      <c r="CL409" s="26" t="str">
        <f t="shared" si="25"/>
        <v>茨城県小美玉市</v>
      </c>
      <c r="CM409" s="49">
        <v>404</v>
      </c>
      <c r="CN409" s="17" t="str">
        <f t="shared" si="24"/>
        <v>0447</v>
      </c>
      <c r="CO409" s="17" t="str">
        <f t="shared" si="26"/>
        <v>404447小美玉市</v>
      </c>
      <c r="CP409" s="17" t="s">
        <v>5945</v>
      </c>
      <c r="CQ409" s="17" t="b">
        <f t="shared" si="27"/>
        <v>1</v>
      </c>
    </row>
    <row r="410" spans="6:95">
      <c r="F410" s="23"/>
      <c r="I410" s="23"/>
      <c r="L410" s="50" t="s">
        <v>5946</v>
      </c>
      <c r="M410" s="17" t="s">
        <v>5947</v>
      </c>
      <c r="N410" s="51" t="s">
        <v>5948</v>
      </c>
      <c r="O410" s="29" t="s">
        <v>1445</v>
      </c>
      <c r="P410" s="29" t="s">
        <v>5949</v>
      </c>
      <c r="Q410" s="29" t="s">
        <v>1445</v>
      </c>
      <c r="R410" s="29" t="s">
        <v>5950</v>
      </c>
      <c r="S410" s="28" t="s">
        <v>1977</v>
      </c>
      <c r="T410" s="28" t="s">
        <v>3444</v>
      </c>
      <c r="U410" s="28" t="s">
        <v>1440</v>
      </c>
      <c r="V410" s="28" t="s">
        <v>1557</v>
      </c>
      <c r="W410" s="28" t="s">
        <v>5951</v>
      </c>
      <c r="X410" s="17">
        <v>1</v>
      </c>
      <c r="CJ410" s="26" t="s">
        <v>1385</v>
      </c>
      <c r="CK410" s="26" t="s">
        <v>3088</v>
      </c>
      <c r="CL410" s="26" t="str">
        <f t="shared" si="25"/>
        <v>茨城県茨城町</v>
      </c>
      <c r="CM410" s="49">
        <v>405</v>
      </c>
      <c r="CN410" s="17" t="str">
        <f t="shared" si="24"/>
        <v>0448</v>
      </c>
      <c r="CO410" s="17" t="str">
        <f t="shared" si="26"/>
        <v>405448茨城町</v>
      </c>
      <c r="CP410" s="17" t="s">
        <v>5952</v>
      </c>
      <c r="CQ410" s="17" t="b">
        <f t="shared" si="27"/>
        <v>1</v>
      </c>
    </row>
    <row r="411" spans="6:95">
      <c r="F411" s="23"/>
      <c r="I411" s="23"/>
      <c r="L411" s="50" t="s">
        <v>5953</v>
      </c>
      <c r="M411" s="17" t="s">
        <v>5954</v>
      </c>
      <c r="N411" s="51" t="s">
        <v>5955</v>
      </c>
      <c r="O411" s="29" t="s">
        <v>1445</v>
      </c>
      <c r="P411" s="29" t="s">
        <v>5956</v>
      </c>
      <c r="Q411" s="29" t="s">
        <v>1445</v>
      </c>
      <c r="R411" s="29" t="s">
        <v>5957</v>
      </c>
      <c r="S411" s="28" t="s">
        <v>1977</v>
      </c>
      <c r="T411" s="28" t="s">
        <v>3459</v>
      </c>
      <c r="U411" s="28" t="s">
        <v>1440</v>
      </c>
      <c r="V411" s="28" t="s">
        <v>1557</v>
      </c>
      <c r="W411" s="28" t="s">
        <v>5958</v>
      </c>
      <c r="X411" s="17">
        <v>1</v>
      </c>
      <c r="CJ411" s="26" t="s">
        <v>1385</v>
      </c>
      <c r="CK411" s="26" t="s">
        <v>3120</v>
      </c>
      <c r="CL411" s="26" t="str">
        <f t="shared" si="25"/>
        <v>茨城県大洗町</v>
      </c>
      <c r="CM411" s="49">
        <v>406</v>
      </c>
      <c r="CN411" s="17" t="str">
        <f t="shared" si="24"/>
        <v>0449</v>
      </c>
      <c r="CO411" s="17" t="str">
        <f t="shared" si="26"/>
        <v>406449大洗町</v>
      </c>
      <c r="CP411" s="17" t="s">
        <v>5959</v>
      </c>
      <c r="CQ411" s="17" t="b">
        <f t="shared" si="27"/>
        <v>1</v>
      </c>
    </row>
    <row r="412" spans="6:95">
      <c r="F412" s="23"/>
      <c r="I412" s="23"/>
      <c r="L412" s="50" t="s">
        <v>5960</v>
      </c>
      <c r="M412" s="17" t="s">
        <v>5961</v>
      </c>
      <c r="N412" s="51" t="s">
        <v>5962</v>
      </c>
      <c r="O412" s="29" t="s">
        <v>1445</v>
      </c>
      <c r="P412" s="29" t="s">
        <v>5963</v>
      </c>
      <c r="Q412" s="29" t="s">
        <v>1445</v>
      </c>
      <c r="R412" s="29" t="s">
        <v>5964</v>
      </c>
      <c r="S412" s="28" t="s">
        <v>1743</v>
      </c>
      <c r="T412" s="28" t="s">
        <v>3472</v>
      </c>
      <c r="U412" s="28" t="s">
        <v>1440</v>
      </c>
      <c r="V412" s="28" t="s">
        <v>1557</v>
      </c>
      <c r="W412" s="28" t="s">
        <v>5965</v>
      </c>
      <c r="X412" s="17">
        <v>1</v>
      </c>
      <c r="CJ412" s="26" t="s">
        <v>1385</v>
      </c>
      <c r="CK412" s="26" t="s">
        <v>3150</v>
      </c>
      <c r="CL412" s="26" t="str">
        <f t="shared" si="25"/>
        <v>茨城県城里町</v>
      </c>
      <c r="CM412" s="49">
        <v>407</v>
      </c>
      <c r="CN412" s="17" t="str">
        <f t="shared" si="24"/>
        <v>0450</v>
      </c>
      <c r="CO412" s="17" t="str">
        <f t="shared" si="26"/>
        <v>407450城里町</v>
      </c>
      <c r="CP412" s="17" t="s">
        <v>5966</v>
      </c>
      <c r="CQ412" s="17" t="b">
        <f t="shared" si="27"/>
        <v>1</v>
      </c>
    </row>
    <row r="413" spans="6:95">
      <c r="F413" s="23"/>
      <c r="I413" s="23"/>
      <c r="L413" s="50" t="s">
        <v>5967</v>
      </c>
      <c r="M413" s="17" t="s">
        <v>5968</v>
      </c>
      <c r="N413" s="51" t="s">
        <v>5969</v>
      </c>
      <c r="O413" s="29" t="s">
        <v>1445</v>
      </c>
      <c r="P413" s="29" t="s">
        <v>5970</v>
      </c>
      <c r="Q413" s="29" t="s">
        <v>1445</v>
      </c>
      <c r="R413" s="29" t="s">
        <v>3912</v>
      </c>
      <c r="S413" s="28" t="s">
        <v>1803</v>
      </c>
      <c r="T413" s="28" t="s">
        <v>3486</v>
      </c>
      <c r="U413" s="28" t="s">
        <v>1440</v>
      </c>
      <c r="V413" s="28" t="s">
        <v>1557</v>
      </c>
      <c r="W413" s="28" t="s">
        <v>5971</v>
      </c>
      <c r="X413" s="17">
        <v>1</v>
      </c>
      <c r="CJ413" s="26" t="s">
        <v>1385</v>
      </c>
      <c r="CK413" s="26" t="s">
        <v>3179</v>
      </c>
      <c r="CL413" s="26" t="str">
        <f t="shared" si="25"/>
        <v>茨城県東海村</v>
      </c>
      <c r="CM413" s="49">
        <v>408</v>
      </c>
      <c r="CN413" s="17" t="str">
        <f t="shared" si="24"/>
        <v>0451</v>
      </c>
      <c r="CO413" s="17" t="str">
        <f t="shared" si="26"/>
        <v>408451東海村</v>
      </c>
      <c r="CP413" s="17" t="s">
        <v>5972</v>
      </c>
      <c r="CQ413" s="17" t="b">
        <f t="shared" si="27"/>
        <v>1</v>
      </c>
    </row>
    <row r="414" spans="6:95">
      <c r="F414" s="23"/>
      <c r="I414" s="23"/>
      <c r="L414" s="50" t="s">
        <v>5973</v>
      </c>
      <c r="M414" s="17" t="s">
        <v>5974</v>
      </c>
      <c r="N414" s="51" t="s">
        <v>5975</v>
      </c>
      <c r="O414" s="29" t="s">
        <v>1445</v>
      </c>
      <c r="P414" s="29" t="s">
        <v>5976</v>
      </c>
      <c r="Q414" s="29" t="s">
        <v>1445</v>
      </c>
      <c r="R414" s="29" t="s">
        <v>3920</v>
      </c>
      <c r="S414" s="28" t="s">
        <v>1862</v>
      </c>
      <c r="T414" s="28" t="s">
        <v>3501</v>
      </c>
      <c r="U414" s="28" t="s">
        <v>1440</v>
      </c>
      <c r="V414" s="28" t="s">
        <v>1557</v>
      </c>
      <c r="W414" s="28" t="s">
        <v>5977</v>
      </c>
      <c r="X414" s="17">
        <v>1</v>
      </c>
      <c r="CJ414" s="26" t="s">
        <v>1385</v>
      </c>
      <c r="CK414" s="26" t="s">
        <v>3204</v>
      </c>
      <c r="CL414" s="26" t="str">
        <f t="shared" si="25"/>
        <v>茨城県大子町</v>
      </c>
      <c r="CM414" s="49">
        <v>409</v>
      </c>
      <c r="CN414" s="17" t="str">
        <f t="shared" si="24"/>
        <v>0452</v>
      </c>
      <c r="CO414" s="17" t="str">
        <f t="shared" si="26"/>
        <v>409452大子町</v>
      </c>
      <c r="CP414" s="17" t="s">
        <v>5978</v>
      </c>
      <c r="CQ414" s="17" t="b">
        <f t="shared" si="27"/>
        <v>1</v>
      </c>
    </row>
    <row r="415" spans="6:95">
      <c r="F415" s="23"/>
      <c r="I415" s="23"/>
      <c r="L415" s="50" t="s">
        <v>5979</v>
      </c>
      <c r="M415" s="17" t="s">
        <v>5980</v>
      </c>
      <c r="N415" s="51" t="s">
        <v>5981</v>
      </c>
      <c r="O415" s="29" t="s">
        <v>1445</v>
      </c>
      <c r="P415" s="29" t="s">
        <v>5982</v>
      </c>
      <c r="Q415" s="29" t="s">
        <v>1445</v>
      </c>
      <c r="R415" s="29" t="s">
        <v>3928</v>
      </c>
      <c r="S415" s="28" t="s">
        <v>1502</v>
      </c>
      <c r="T415" s="28" t="s">
        <v>3515</v>
      </c>
      <c r="U415" s="28" t="s">
        <v>1440</v>
      </c>
      <c r="V415" s="28" t="s">
        <v>1557</v>
      </c>
      <c r="W415" s="28" t="s">
        <v>5983</v>
      </c>
      <c r="X415" s="17">
        <v>1</v>
      </c>
      <c r="CJ415" s="26" t="s">
        <v>1385</v>
      </c>
      <c r="CK415" s="26" t="s">
        <v>3228</v>
      </c>
      <c r="CL415" s="26" t="str">
        <f t="shared" si="25"/>
        <v>茨城県美浦村</v>
      </c>
      <c r="CM415" s="49">
        <v>410</v>
      </c>
      <c r="CN415" s="17" t="str">
        <f t="shared" si="24"/>
        <v>0453</v>
      </c>
      <c r="CO415" s="17" t="str">
        <f t="shared" si="26"/>
        <v>410453美浦村</v>
      </c>
      <c r="CP415" s="17" t="s">
        <v>5984</v>
      </c>
      <c r="CQ415" s="17" t="b">
        <f t="shared" si="27"/>
        <v>1</v>
      </c>
    </row>
    <row r="416" spans="6:95">
      <c r="F416" s="23"/>
      <c r="I416" s="23"/>
      <c r="L416" s="50" t="s">
        <v>5985</v>
      </c>
      <c r="M416" s="17" t="s">
        <v>5986</v>
      </c>
      <c r="N416" s="51" t="s">
        <v>5987</v>
      </c>
      <c r="O416" s="29" t="s">
        <v>1445</v>
      </c>
      <c r="P416" s="29" t="s">
        <v>5988</v>
      </c>
      <c r="Q416" s="29" t="s">
        <v>1445</v>
      </c>
      <c r="R416" s="29" t="s">
        <v>3936</v>
      </c>
      <c r="S416" s="28" t="s">
        <v>2525</v>
      </c>
      <c r="T416" s="28" t="s">
        <v>3530</v>
      </c>
      <c r="U416" s="28" t="s">
        <v>1440</v>
      </c>
      <c r="V416" s="28" t="s">
        <v>1557</v>
      </c>
      <c r="W416" s="28" t="s">
        <v>5989</v>
      </c>
      <c r="X416" s="17">
        <v>1</v>
      </c>
      <c r="CJ416" s="26" t="s">
        <v>1385</v>
      </c>
      <c r="CK416" s="26" t="s">
        <v>3251</v>
      </c>
      <c r="CL416" s="26" t="str">
        <f t="shared" si="25"/>
        <v>茨城県阿見町</v>
      </c>
      <c r="CM416" s="49">
        <v>411</v>
      </c>
      <c r="CN416" s="17" t="str">
        <f t="shared" si="24"/>
        <v>0454</v>
      </c>
      <c r="CO416" s="17" t="str">
        <f t="shared" si="26"/>
        <v>411454阿見町</v>
      </c>
      <c r="CP416" s="17" t="s">
        <v>5990</v>
      </c>
      <c r="CQ416" s="17" t="b">
        <f t="shared" si="27"/>
        <v>1</v>
      </c>
    </row>
    <row r="417" spans="6:95">
      <c r="F417" s="23"/>
      <c r="I417" s="23"/>
      <c r="L417" s="50" t="s">
        <v>5991</v>
      </c>
      <c r="M417" s="17" t="s">
        <v>5992</v>
      </c>
      <c r="N417" s="51" t="s">
        <v>5993</v>
      </c>
      <c r="O417" s="29" t="s">
        <v>1445</v>
      </c>
      <c r="P417" s="29" t="s">
        <v>5994</v>
      </c>
      <c r="Q417" s="29" t="s">
        <v>1445</v>
      </c>
      <c r="R417" s="29" t="s">
        <v>3944</v>
      </c>
      <c r="S417" s="28" t="s">
        <v>2311</v>
      </c>
      <c r="T417" s="28" t="s">
        <v>3542</v>
      </c>
      <c r="U417" s="28" t="s">
        <v>1440</v>
      </c>
      <c r="V417" s="28" t="s">
        <v>1557</v>
      </c>
      <c r="W417" s="28" t="s">
        <v>5995</v>
      </c>
      <c r="X417" s="17">
        <v>1</v>
      </c>
      <c r="CJ417" s="26" t="s">
        <v>1385</v>
      </c>
      <c r="CK417" s="26" t="s">
        <v>3276</v>
      </c>
      <c r="CL417" s="26" t="str">
        <f t="shared" si="25"/>
        <v>茨城県河内町</v>
      </c>
      <c r="CM417" s="49">
        <v>412</v>
      </c>
      <c r="CN417" s="17" t="str">
        <f t="shared" si="24"/>
        <v>0455</v>
      </c>
      <c r="CO417" s="17" t="str">
        <f t="shared" si="26"/>
        <v>412455河内町</v>
      </c>
      <c r="CP417" s="17" t="s">
        <v>5996</v>
      </c>
      <c r="CQ417" s="17" t="b">
        <f t="shared" si="27"/>
        <v>1</v>
      </c>
    </row>
    <row r="418" spans="6:95">
      <c r="F418" s="23"/>
      <c r="I418" s="23"/>
      <c r="L418" s="50" t="s">
        <v>5997</v>
      </c>
      <c r="M418" s="17" t="s">
        <v>5998</v>
      </c>
      <c r="N418" s="51" t="s">
        <v>5999</v>
      </c>
      <c r="O418" s="29" t="s">
        <v>1445</v>
      </c>
      <c r="P418" s="29" t="s">
        <v>6000</v>
      </c>
      <c r="Q418" s="29" t="s">
        <v>1445</v>
      </c>
      <c r="R418" s="29" t="s">
        <v>6001</v>
      </c>
      <c r="S418" s="28" t="s">
        <v>1564</v>
      </c>
      <c r="T418" s="28" t="s">
        <v>3556</v>
      </c>
      <c r="U418" s="28" t="s">
        <v>1440</v>
      </c>
      <c r="V418" s="28" t="s">
        <v>1557</v>
      </c>
      <c r="W418" s="28" t="s">
        <v>6002</v>
      </c>
      <c r="X418" s="17">
        <v>1</v>
      </c>
      <c r="CJ418" s="26" t="s">
        <v>1385</v>
      </c>
      <c r="CK418" s="26" t="s">
        <v>3298</v>
      </c>
      <c r="CL418" s="26" t="str">
        <f t="shared" si="25"/>
        <v>茨城県八千代町</v>
      </c>
      <c r="CM418" s="49">
        <v>413</v>
      </c>
      <c r="CN418" s="17" t="str">
        <f t="shared" si="24"/>
        <v>0456</v>
      </c>
      <c r="CO418" s="17" t="str">
        <f t="shared" si="26"/>
        <v>413456八千代町</v>
      </c>
      <c r="CP418" s="17" t="s">
        <v>6003</v>
      </c>
      <c r="CQ418" s="17" t="b">
        <f t="shared" si="27"/>
        <v>1</v>
      </c>
    </row>
    <row r="419" spans="6:95">
      <c r="F419" s="23"/>
      <c r="I419" s="23"/>
      <c r="L419" s="50" t="s">
        <v>6004</v>
      </c>
      <c r="M419" s="17" t="s">
        <v>6005</v>
      </c>
      <c r="N419" s="51" t="s">
        <v>6006</v>
      </c>
      <c r="O419" s="29" t="s">
        <v>1445</v>
      </c>
      <c r="P419" s="29" t="s">
        <v>6007</v>
      </c>
      <c r="Q419" s="29" t="s">
        <v>1445</v>
      </c>
      <c r="R419" s="29" t="s">
        <v>4000</v>
      </c>
      <c r="S419" s="28" t="s">
        <v>1743</v>
      </c>
      <c r="T419" s="28" t="s">
        <v>3569</v>
      </c>
      <c r="U419" s="28" t="s">
        <v>1440</v>
      </c>
      <c r="V419" s="28" t="s">
        <v>1557</v>
      </c>
      <c r="W419" s="28" t="s">
        <v>6008</v>
      </c>
      <c r="X419" s="17">
        <v>1</v>
      </c>
      <c r="CJ419" s="26" t="s">
        <v>1385</v>
      </c>
      <c r="CK419" s="26" t="s">
        <v>3320</v>
      </c>
      <c r="CL419" s="26" t="str">
        <f t="shared" si="25"/>
        <v>茨城県五霞町</v>
      </c>
      <c r="CM419" s="49">
        <v>414</v>
      </c>
      <c r="CN419" s="17" t="str">
        <f t="shared" si="24"/>
        <v>0457</v>
      </c>
      <c r="CO419" s="17" t="str">
        <f t="shared" si="26"/>
        <v>414457五霞町</v>
      </c>
      <c r="CP419" s="17" t="s">
        <v>6009</v>
      </c>
      <c r="CQ419" s="17" t="b">
        <f t="shared" si="27"/>
        <v>1</v>
      </c>
    </row>
    <row r="420" spans="6:95">
      <c r="F420" s="23"/>
      <c r="I420" s="23"/>
      <c r="L420" s="50" t="s">
        <v>6010</v>
      </c>
      <c r="M420" s="17" t="s">
        <v>6011</v>
      </c>
      <c r="N420" s="51" t="s">
        <v>6012</v>
      </c>
      <c r="O420" s="29" t="s">
        <v>1445</v>
      </c>
      <c r="P420" s="29" t="s">
        <v>6013</v>
      </c>
      <c r="Q420" s="29" t="s">
        <v>1445</v>
      </c>
      <c r="R420" s="29" t="s">
        <v>4021</v>
      </c>
      <c r="S420" s="28" t="s">
        <v>1920</v>
      </c>
      <c r="T420" s="28" t="s">
        <v>3581</v>
      </c>
      <c r="U420" s="28" t="s">
        <v>1440</v>
      </c>
      <c r="V420" s="28" t="s">
        <v>1557</v>
      </c>
      <c r="W420" s="28" t="s">
        <v>6014</v>
      </c>
      <c r="X420" s="17">
        <v>1</v>
      </c>
      <c r="CJ420" s="26" t="s">
        <v>1385</v>
      </c>
      <c r="CK420" s="26" t="s">
        <v>3341</v>
      </c>
      <c r="CL420" s="26" t="str">
        <f t="shared" si="25"/>
        <v>茨城県境町</v>
      </c>
      <c r="CM420" s="49">
        <v>415</v>
      </c>
      <c r="CN420" s="17" t="str">
        <f t="shared" si="24"/>
        <v>0458</v>
      </c>
      <c r="CO420" s="17" t="str">
        <f t="shared" si="26"/>
        <v>415458境町</v>
      </c>
      <c r="CP420" s="17" t="s">
        <v>6015</v>
      </c>
      <c r="CQ420" s="17" t="b">
        <f t="shared" si="27"/>
        <v>1</v>
      </c>
    </row>
    <row r="421" spans="6:95">
      <c r="F421" s="23"/>
      <c r="I421" s="23"/>
      <c r="L421" s="50" t="s">
        <v>6016</v>
      </c>
      <c r="M421" s="17" t="s">
        <v>6017</v>
      </c>
      <c r="N421" s="51" t="s">
        <v>6018</v>
      </c>
      <c r="O421" s="29" t="s">
        <v>1446</v>
      </c>
      <c r="P421" s="29" t="s">
        <v>6019</v>
      </c>
      <c r="Q421" s="29" t="s">
        <v>1446</v>
      </c>
      <c r="R421" s="29" t="s">
        <v>4593</v>
      </c>
      <c r="S421" s="28" t="s">
        <v>1977</v>
      </c>
      <c r="T421" s="28" t="s">
        <v>1511</v>
      </c>
      <c r="U421" s="28" t="s">
        <v>1441</v>
      </c>
      <c r="V421" s="28" t="s">
        <v>1619</v>
      </c>
      <c r="W421" s="28" t="s">
        <v>6020</v>
      </c>
      <c r="X421" s="17">
        <v>1</v>
      </c>
      <c r="CJ421" s="26" t="s">
        <v>1385</v>
      </c>
      <c r="CK421" s="26" t="s">
        <v>3362</v>
      </c>
      <c r="CL421" s="26" t="str">
        <f t="shared" si="25"/>
        <v>茨城県利根町</v>
      </c>
      <c r="CM421" s="49">
        <v>416</v>
      </c>
      <c r="CN421" s="17" t="str">
        <f t="shared" si="24"/>
        <v>0459</v>
      </c>
      <c r="CO421" s="17" t="str">
        <f t="shared" si="26"/>
        <v>416459利根町</v>
      </c>
      <c r="CP421" s="17" t="s">
        <v>6021</v>
      </c>
      <c r="CQ421" s="17" t="b">
        <f t="shared" si="27"/>
        <v>1</v>
      </c>
    </row>
    <row r="422" spans="6:95">
      <c r="F422" s="23"/>
      <c r="I422" s="23"/>
      <c r="L422" s="50" t="s">
        <v>6022</v>
      </c>
      <c r="M422" s="17" t="s">
        <v>6023</v>
      </c>
      <c r="N422" s="51" t="s">
        <v>6024</v>
      </c>
      <c r="O422" s="29" t="s">
        <v>1446</v>
      </c>
      <c r="P422" s="29" t="s">
        <v>6025</v>
      </c>
      <c r="Q422" s="29" t="s">
        <v>1446</v>
      </c>
      <c r="R422" s="29" t="s">
        <v>1563</v>
      </c>
      <c r="S422" s="28" t="s">
        <v>1743</v>
      </c>
      <c r="T422" s="28" t="s">
        <v>1573</v>
      </c>
      <c r="U422" s="28" t="s">
        <v>1441</v>
      </c>
      <c r="V422" s="28" t="s">
        <v>1619</v>
      </c>
      <c r="W422" s="28" t="s">
        <v>6026</v>
      </c>
      <c r="X422" s="17">
        <v>1</v>
      </c>
      <c r="CJ422" s="26" t="s">
        <v>1386</v>
      </c>
      <c r="CK422" s="26" t="s">
        <v>1512</v>
      </c>
      <c r="CL422" s="26" t="str">
        <f t="shared" si="25"/>
        <v>栃木県宇都宮市</v>
      </c>
      <c r="CM422" s="49">
        <v>417</v>
      </c>
      <c r="CN422" s="17" t="str">
        <f t="shared" si="24"/>
        <v>0460</v>
      </c>
      <c r="CO422" s="17" t="str">
        <f t="shared" si="26"/>
        <v>417460宇都宮市</v>
      </c>
      <c r="CP422" s="17" t="s">
        <v>6027</v>
      </c>
      <c r="CQ422" s="17" t="b">
        <f t="shared" si="27"/>
        <v>1</v>
      </c>
    </row>
    <row r="423" spans="6:95">
      <c r="F423" s="23"/>
      <c r="I423" s="23"/>
      <c r="L423" s="50" t="s">
        <v>6028</v>
      </c>
      <c r="M423" s="17" t="s">
        <v>6029</v>
      </c>
      <c r="N423" s="51" t="s">
        <v>6030</v>
      </c>
      <c r="O423" s="29" t="s">
        <v>1446</v>
      </c>
      <c r="P423" s="29" t="s">
        <v>6031</v>
      </c>
      <c r="Q423" s="29" t="s">
        <v>1446</v>
      </c>
      <c r="R423" s="29" t="s">
        <v>1625</v>
      </c>
      <c r="S423" s="28" t="s">
        <v>1803</v>
      </c>
      <c r="T423" s="28" t="s">
        <v>1635</v>
      </c>
      <c r="U423" s="28" t="s">
        <v>1441</v>
      </c>
      <c r="V423" s="28" t="s">
        <v>1619</v>
      </c>
      <c r="W423" s="28" t="s">
        <v>6032</v>
      </c>
      <c r="X423" s="17">
        <v>1</v>
      </c>
      <c r="CJ423" s="26" t="s">
        <v>1386</v>
      </c>
      <c r="CK423" s="26" t="s">
        <v>1574</v>
      </c>
      <c r="CL423" s="26" t="str">
        <f t="shared" si="25"/>
        <v>栃木県足利市</v>
      </c>
      <c r="CM423" s="49">
        <v>418</v>
      </c>
      <c r="CN423" s="17" t="str">
        <f t="shared" si="24"/>
        <v>0461</v>
      </c>
      <c r="CO423" s="17" t="str">
        <f t="shared" si="26"/>
        <v>418461足利市</v>
      </c>
      <c r="CP423" s="17" t="s">
        <v>6033</v>
      </c>
      <c r="CQ423" s="17" t="b">
        <f t="shared" si="27"/>
        <v>1</v>
      </c>
    </row>
    <row r="424" spans="6:95">
      <c r="F424" s="23"/>
      <c r="I424" s="23"/>
      <c r="L424" s="50" t="s">
        <v>6034</v>
      </c>
      <c r="M424" s="17" t="s">
        <v>6035</v>
      </c>
      <c r="N424" s="51" t="s">
        <v>6036</v>
      </c>
      <c r="O424" s="29" t="s">
        <v>1446</v>
      </c>
      <c r="P424" s="29" t="s">
        <v>6037</v>
      </c>
      <c r="Q424" s="29" t="s">
        <v>1446</v>
      </c>
      <c r="R424" s="29" t="s">
        <v>1684</v>
      </c>
      <c r="S424" s="28" t="s">
        <v>1862</v>
      </c>
      <c r="T424" s="28" t="s">
        <v>1693</v>
      </c>
      <c r="U424" s="28" t="s">
        <v>1441</v>
      </c>
      <c r="V424" s="28" t="s">
        <v>1619</v>
      </c>
      <c r="W424" s="28" t="s">
        <v>6037</v>
      </c>
      <c r="X424" s="17">
        <v>1</v>
      </c>
      <c r="CJ424" s="26" t="s">
        <v>1386</v>
      </c>
      <c r="CK424" s="26" t="s">
        <v>1636</v>
      </c>
      <c r="CL424" s="26" t="str">
        <f t="shared" si="25"/>
        <v>栃木県栃木市</v>
      </c>
      <c r="CM424" s="49">
        <v>419</v>
      </c>
      <c r="CN424" s="17" t="str">
        <f t="shared" si="24"/>
        <v>0462</v>
      </c>
      <c r="CO424" s="17" t="str">
        <f t="shared" si="26"/>
        <v>419462栃木市</v>
      </c>
      <c r="CP424" s="17" t="s">
        <v>6038</v>
      </c>
      <c r="CQ424" s="17" t="b">
        <f t="shared" si="27"/>
        <v>1</v>
      </c>
    </row>
    <row r="425" spans="6:95">
      <c r="F425" s="23"/>
      <c r="I425" s="23"/>
      <c r="L425" s="50" t="s">
        <v>6039</v>
      </c>
      <c r="M425" s="17" t="s">
        <v>6040</v>
      </c>
      <c r="N425" s="51" t="s">
        <v>6041</v>
      </c>
      <c r="O425" s="29" t="s">
        <v>1446</v>
      </c>
      <c r="P425" s="29" t="s">
        <v>6042</v>
      </c>
      <c r="Q425" s="29" t="s">
        <v>1446</v>
      </c>
      <c r="R425" s="29" t="s">
        <v>1742</v>
      </c>
      <c r="S425" s="28" t="s">
        <v>1502</v>
      </c>
      <c r="T425" s="28" t="s">
        <v>1752</v>
      </c>
      <c r="U425" s="28" t="s">
        <v>1441</v>
      </c>
      <c r="V425" s="28" t="s">
        <v>1619</v>
      </c>
      <c r="W425" s="28" t="s">
        <v>6043</v>
      </c>
      <c r="X425" s="17">
        <v>1</v>
      </c>
      <c r="CJ425" s="26" t="s">
        <v>1386</v>
      </c>
      <c r="CK425" s="26" t="s">
        <v>1694</v>
      </c>
      <c r="CL425" s="26" t="str">
        <f t="shared" si="25"/>
        <v>栃木県佐野市</v>
      </c>
      <c r="CM425" s="49">
        <v>420</v>
      </c>
      <c r="CN425" s="17" t="str">
        <f t="shared" si="24"/>
        <v>0463</v>
      </c>
      <c r="CO425" s="17" t="str">
        <f t="shared" si="26"/>
        <v>420463佐野市</v>
      </c>
      <c r="CP425" s="17" t="s">
        <v>6044</v>
      </c>
      <c r="CQ425" s="17" t="b">
        <f t="shared" si="27"/>
        <v>1</v>
      </c>
    </row>
    <row r="426" spans="6:95">
      <c r="F426" s="23"/>
      <c r="I426" s="23"/>
      <c r="L426" s="50" t="s">
        <v>6045</v>
      </c>
      <c r="M426" s="17" t="s">
        <v>6046</v>
      </c>
      <c r="N426" s="51" t="s">
        <v>6047</v>
      </c>
      <c r="O426" s="29" t="s">
        <v>1446</v>
      </c>
      <c r="P426" s="29" t="s">
        <v>6048</v>
      </c>
      <c r="Q426" s="29" t="s">
        <v>1446</v>
      </c>
      <c r="R426" s="29" t="s">
        <v>1861</v>
      </c>
      <c r="S426" s="28" t="s">
        <v>2311</v>
      </c>
      <c r="T426" s="28" t="s">
        <v>1812</v>
      </c>
      <c r="U426" s="28" t="s">
        <v>1441</v>
      </c>
      <c r="V426" s="28" t="s">
        <v>1619</v>
      </c>
      <c r="W426" s="28" t="s">
        <v>6049</v>
      </c>
      <c r="X426" s="17">
        <v>1</v>
      </c>
      <c r="CJ426" s="26" t="s">
        <v>1386</v>
      </c>
      <c r="CK426" s="26" t="s">
        <v>1753</v>
      </c>
      <c r="CL426" s="26" t="str">
        <f t="shared" si="25"/>
        <v>栃木県鹿沼市</v>
      </c>
      <c r="CM426" s="49">
        <v>421</v>
      </c>
      <c r="CN426" s="17" t="str">
        <f t="shared" si="24"/>
        <v>0464</v>
      </c>
      <c r="CO426" s="17" t="str">
        <f t="shared" si="26"/>
        <v>421464鹿沼市</v>
      </c>
      <c r="CP426" s="17" t="s">
        <v>6050</v>
      </c>
      <c r="CQ426" s="17" t="b">
        <f t="shared" si="27"/>
        <v>1</v>
      </c>
    </row>
    <row r="427" spans="6:95">
      <c r="F427" s="23"/>
      <c r="I427" s="23"/>
      <c r="L427" s="50" t="s">
        <v>6051</v>
      </c>
      <c r="M427" s="17" t="s">
        <v>6052</v>
      </c>
      <c r="N427" s="51" t="s">
        <v>6053</v>
      </c>
      <c r="O427" s="29" t="s">
        <v>1446</v>
      </c>
      <c r="P427" s="29" t="s">
        <v>6054</v>
      </c>
      <c r="Q427" s="29" t="s">
        <v>1446</v>
      </c>
      <c r="R427" s="29" t="s">
        <v>1919</v>
      </c>
      <c r="S427" s="28" t="s">
        <v>1564</v>
      </c>
      <c r="T427" s="28" t="s">
        <v>1871</v>
      </c>
      <c r="U427" s="28" t="s">
        <v>1441</v>
      </c>
      <c r="V427" s="28" t="s">
        <v>1619</v>
      </c>
      <c r="W427" s="28" t="s">
        <v>6055</v>
      </c>
      <c r="X427" s="17">
        <v>1</v>
      </c>
      <c r="CJ427" s="26" t="s">
        <v>1386</v>
      </c>
      <c r="CK427" s="26" t="s">
        <v>1813</v>
      </c>
      <c r="CL427" s="26" t="str">
        <f t="shared" si="25"/>
        <v>栃木県日光市</v>
      </c>
      <c r="CM427" s="49">
        <v>422</v>
      </c>
      <c r="CN427" s="17" t="str">
        <f t="shared" si="24"/>
        <v>0465</v>
      </c>
      <c r="CO427" s="17" t="str">
        <f t="shared" si="26"/>
        <v>422465日光市</v>
      </c>
      <c r="CP427" s="17" t="s">
        <v>6056</v>
      </c>
      <c r="CQ427" s="17" t="b">
        <f t="shared" si="27"/>
        <v>1</v>
      </c>
    </row>
    <row r="428" spans="6:95">
      <c r="F428" s="23"/>
      <c r="I428" s="23"/>
      <c r="L428" s="50" t="s">
        <v>6057</v>
      </c>
      <c r="M428" s="17" t="s">
        <v>6058</v>
      </c>
      <c r="N428" s="51" t="s">
        <v>6059</v>
      </c>
      <c r="O428" s="29" t="s">
        <v>1446</v>
      </c>
      <c r="P428" s="29" t="s">
        <v>6060</v>
      </c>
      <c r="Q428" s="29" t="s">
        <v>1446</v>
      </c>
      <c r="R428" s="29" t="s">
        <v>2033</v>
      </c>
      <c r="S428" s="28" t="s">
        <v>1502</v>
      </c>
      <c r="T428" s="28" t="s">
        <v>1929</v>
      </c>
      <c r="U428" s="28" t="s">
        <v>1441</v>
      </c>
      <c r="V428" s="28" t="s">
        <v>1619</v>
      </c>
      <c r="W428" s="28" t="s">
        <v>6061</v>
      </c>
      <c r="X428" s="17">
        <v>1</v>
      </c>
      <c r="CJ428" s="26" t="s">
        <v>1386</v>
      </c>
      <c r="CK428" s="26" t="s">
        <v>1872</v>
      </c>
      <c r="CL428" s="26" t="str">
        <f t="shared" si="25"/>
        <v>栃木県小山市</v>
      </c>
      <c r="CM428" s="49">
        <v>423</v>
      </c>
      <c r="CN428" s="17" t="str">
        <f t="shared" si="24"/>
        <v>0466</v>
      </c>
      <c r="CO428" s="17" t="str">
        <f t="shared" si="26"/>
        <v>423466小山市</v>
      </c>
      <c r="CP428" s="17" t="s">
        <v>6062</v>
      </c>
      <c r="CQ428" s="17" t="b">
        <f t="shared" si="27"/>
        <v>1</v>
      </c>
    </row>
    <row r="429" spans="6:95">
      <c r="F429" s="23"/>
      <c r="I429" s="23"/>
      <c r="L429" s="50" t="s">
        <v>6063</v>
      </c>
      <c r="M429" s="17" t="s">
        <v>6064</v>
      </c>
      <c r="N429" s="51" t="s">
        <v>6065</v>
      </c>
      <c r="O429" s="29" t="s">
        <v>1446</v>
      </c>
      <c r="P429" s="29" t="s">
        <v>6066</v>
      </c>
      <c r="Q429" s="29" t="s">
        <v>1446</v>
      </c>
      <c r="R429" s="29" t="s">
        <v>2089</v>
      </c>
      <c r="S429" s="28" t="s">
        <v>2525</v>
      </c>
      <c r="T429" s="28" t="s">
        <v>1986</v>
      </c>
      <c r="U429" s="28" t="s">
        <v>1441</v>
      </c>
      <c r="V429" s="28" t="s">
        <v>1619</v>
      </c>
      <c r="W429" s="28" t="s">
        <v>6067</v>
      </c>
      <c r="X429" s="17">
        <v>1</v>
      </c>
      <c r="CJ429" s="26" t="s">
        <v>1386</v>
      </c>
      <c r="CK429" s="26" t="s">
        <v>1930</v>
      </c>
      <c r="CL429" s="26" t="str">
        <f t="shared" si="25"/>
        <v>栃木県真岡市</v>
      </c>
      <c r="CM429" s="49">
        <v>424</v>
      </c>
      <c r="CN429" s="17" t="str">
        <f t="shared" si="24"/>
        <v>0467</v>
      </c>
      <c r="CO429" s="17" t="str">
        <f t="shared" si="26"/>
        <v>424467真岡市</v>
      </c>
      <c r="CP429" s="17" t="s">
        <v>6068</v>
      </c>
      <c r="CQ429" s="17" t="b">
        <f t="shared" si="27"/>
        <v>1</v>
      </c>
    </row>
    <row r="430" spans="6:95">
      <c r="F430" s="23"/>
      <c r="I430" s="23"/>
      <c r="L430" s="50" t="s">
        <v>6069</v>
      </c>
      <c r="M430" s="17" t="s">
        <v>6070</v>
      </c>
      <c r="N430" s="51" t="s">
        <v>6071</v>
      </c>
      <c r="O430" s="29" t="s">
        <v>1446</v>
      </c>
      <c r="P430" s="29" t="s">
        <v>6072</v>
      </c>
      <c r="Q430" s="29" t="s">
        <v>1446</v>
      </c>
      <c r="R430" s="29" t="s">
        <v>2145</v>
      </c>
      <c r="S430" s="28" t="s">
        <v>2311</v>
      </c>
      <c r="T430" s="28" t="s">
        <v>2042</v>
      </c>
      <c r="U430" s="28" t="s">
        <v>1441</v>
      </c>
      <c r="V430" s="28" t="s">
        <v>1619</v>
      </c>
      <c r="W430" s="28" t="s">
        <v>6073</v>
      </c>
      <c r="X430" s="17">
        <v>1</v>
      </c>
      <c r="CJ430" s="26" t="s">
        <v>1386</v>
      </c>
      <c r="CK430" s="26" t="s">
        <v>1987</v>
      </c>
      <c r="CL430" s="26" t="str">
        <f t="shared" si="25"/>
        <v>栃木県大田原市</v>
      </c>
      <c r="CM430" s="49">
        <v>425</v>
      </c>
      <c r="CN430" s="17" t="str">
        <f t="shared" si="24"/>
        <v>0468</v>
      </c>
      <c r="CO430" s="17" t="str">
        <f t="shared" si="26"/>
        <v>425468大田原市</v>
      </c>
      <c r="CP430" s="17" t="s">
        <v>6074</v>
      </c>
      <c r="CQ430" s="17" t="b">
        <f t="shared" si="27"/>
        <v>1</v>
      </c>
    </row>
    <row r="431" spans="6:95">
      <c r="F431" s="23"/>
      <c r="I431" s="23"/>
      <c r="L431" s="50" t="s">
        <v>6075</v>
      </c>
      <c r="M431" s="17" t="s">
        <v>6076</v>
      </c>
      <c r="N431" s="51" t="s">
        <v>6077</v>
      </c>
      <c r="O431" s="29" t="s">
        <v>1446</v>
      </c>
      <c r="P431" s="29" t="s">
        <v>6078</v>
      </c>
      <c r="Q431" s="29" t="s">
        <v>1446</v>
      </c>
      <c r="R431" s="29" t="s">
        <v>2255</v>
      </c>
      <c r="S431" s="28" t="s">
        <v>1626</v>
      </c>
      <c r="T431" s="28" t="s">
        <v>2098</v>
      </c>
      <c r="U431" s="28" t="s">
        <v>1441</v>
      </c>
      <c r="V431" s="28" t="s">
        <v>1619</v>
      </c>
      <c r="W431" s="28" t="s">
        <v>6079</v>
      </c>
      <c r="X431" s="17">
        <v>1</v>
      </c>
      <c r="CJ431" s="26" t="s">
        <v>1386</v>
      </c>
      <c r="CK431" s="26" t="s">
        <v>2043</v>
      </c>
      <c r="CL431" s="26" t="str">
        <f t="shared" si="25"/>
        <v>栃木県矢板市</v>
      </c>
      <c r="CM431" s="49">
        <v>426</v>
      </c>
      <c r="CN431" s="17" t="str">
        <f t="shared" si="24"/>
        <v>0469</v>
      </c>
      <c r="CO431" s="17" t="str">
        <f t="shared" si="26"/>
        <v>426469矢板市</v>
      </c>
      <c r="CP431" s="17" t="s">
        <v>6080</v>
      </c>
      <c r="CQ431" s="17" t="b">
        <f t="shared" si="27"/>
        <v>1</v>
      </c>
    </row>
    <row r="432" spans="6:95">
      <c r="F432" s="23"/>
      <c r="I432" s="23"/>
      <c r="L432" s="50" t="s">
        <v>6081</v>
      </c>
      <c r="M432" s="17" t="s">
        <v>6082</v>
      </c>
      <c r="N432" s="51" t="s">
        <v>6083</v>
      </c>
      <c r="O432" s="29" t="s">
        <v>1446</v>
      </c>
      <c r="P432" s="29" t="s">
        <v>6084</v>
      </c>
      <c r="Q432" s="29" t="s">
        <v>1446</v>
      </c>
      <c r="R432" s="29" t="s">
        <v>2310</v>
      </c>
      <c r="S432" s="28" t="s">
        <v>1977</v>
      </c>
      <c r="T432" s="28" t="s">
        <v>2154</v>
      </c>
      <c r="U432" s="28" t="s">
        <v>1441</v>
      </c>
      <c r="V432" s="28" t="s">
        <v>1619</v>
      </c>
      <c r="W432" s="28" t="s">
        <v>6085</v>
      </c>
      <c r="X432" s="17">
        <v>1</v>
      </c>
      <c r="CJ432" s="26" t="s">
        <v>1386</v>
      </c>
      <c r="CK432" s="26" t="s">
        <v>2099</v>
      </c>
      <c r="CL432" s="26" t="str">
        <f t="shared" si="25"/>
        <v>栃木県那須塩原市</v>
      </c>
      <c r="CM432" s="49">
        <v>427</v>
      </c>
      <c r="CN432" s="17" t="str">
        <f t="shared" si="24"/>
        <v>0470</v>
      </c>
      <c r="CO432" s="17" t="str">
        <f t="shared" si="26"/>
        <v>427470那須塩原市</v>
      </c>
      <c r="CP432" s="17" t="s">
        <v>6086</v>
      </c>
      <c r="CQ432" s="17" t="b">
        <f t="shared" si="27"/>
        <v>1</v>
      </c>
    </row>
    <row r="433" spans="6:95">
      <c r="F433" s="23"/>
      <c r="I433" s="23"/>
      <c r="L433" s="50" t="s">
        <v>6087</v>
      </c>
      <c r="M433" s="17" t="s">
        <v>6088</v>
      </c>
      <c r="N433" s="51" t="s">
        <v>6089</v>
      </c>
      <c r="O433" s="29" t="s">
        <v>1446</v>
      </c>
      <c r="P433" s="29" t="s">
        <v>6090</v>
      </c>
      <c r="Q433" s="29" t="s">
        <v>1446</v>
      </c>
      <c r="R433" s="29" t="s">
        <v>2365</v>
      </c>
      <c r="S433" s="28" t="s">
        <v>1743</v>
      </c>
      <c r="T433" s="28" t="s">
        <v>2209</v>
      </c>
      <c r="U433" s="28" t="s">
        <v>1441</v>
      </c>
      <c r="V433" s="28" t="s">
        <v>1619</v>
      </c>
      <c r="W433" s="28" t="s">
        <v>6091</v>
      </c>
      <c r="X433" s="17">
        <v>1</v>
      </c>
      <c r="CJ433" s="26" t="s">
        <v>1386</v>
      </c>
      <c r="CK433" s="26" t="s">
        <v>2155</v>
      </c>
      <c r="CL433" s="26" t="str">
        <f t="shared" si="25"/>
        <v>栃木県さくら市</v>
      </c>
      <c r="CM433" s="49">
        <v>428</v>
      </c>
      <c r="CN433" s="17" t="str">
        <f t="shared" si="24"/>
        <v>0471</v>
      </c>
      <c r="CO433" s="17" t="str">
        <f t="shared" si="26"/>
        <v>428471さくら市</v>
      </c>
      <c r="CP433" s="17" t="s">
        <v>6092</v>
      </c>
      <c r="CQ433" s="17" t="b">
        <f t="shared" si="27"/>
        <v>1</v>
      </c>
    </row>
    <row r="434" spans="6:95">
      <c r="F434" s="23"/>
      <c r="I434" s="23"/>
      <c r="L434" s="50" t="s">
        <v>6093</v>
      </c>
      <c r="M434" s="17" t="s">
        <v>6094</v>
      </c>
      <c r="N434" s="51" t="s">
        <v>6095</v>
      </c>
      <c r="O434" s="29" t="s">
        <v>1446</v>
      </c>
      <c r="P434" s="29" t="s">
        <v>6096</v>
      </c>
      <c r="Q434" s="29" t="s">
        <v>1446</v>
      </c>
      <c r="R434" s="29" t="s">
        <v>2420</v>
      </c>
      <c r="S434" s="28" t="s">
        <v>1803</v>
      </c>
      <c r="T434" s="28" t="s">
        <v>2264</v>
      </c>
      <c r="U434" s="28" t="s">
        <v>1441</v>
      </c>
      <c r="V434" s="28" t="s">
        <v>1619</v>
      </c>
      <c r="W434" s="28" t="s">
        <v>6097</v>
      </c>
      <c r="X434" s="17">
        <v>1</v>
      </c>
      <c r="CJ434" s="26" t="s">
        <v>1386</v>
      </c>
      <c r="CK434" s="26" t="s">
        <v>2210</v>
      </c>
      <c r="CL434" s="26" t="str">
        <f t="shared" si="25"/>
        <v>栃木県那須烏山市</v>
      </c>
      <c r="CM434" s="49">
        <v>429</v>
      </c>
      <c r="CN434" s="17" t="str">
        <f t="shared" si="24"/>
        <v>0472</v>
      </c>
      <c r="CO434" s="17" t="str">
        <f t="shared" si="26"/>
        <v>429472那須烏山市</v>
      </c>
      <c r="CP434" s="17" t="s">
        <v>6098</v>
      </c>
      <c r="CQ434" s="17" t="b">
        <f t="shared" si="27"/>
        <v>1</v>
      </c>
    </row>
    <row r="435" spans="6:95">
      <c r="F435" s="23"/>
      <c r="I435" s="23"/>
      <c r="L435" s="50" t="s">
        <v>6099</v>
      </c>
      <c r="M435" s="17" t="s">
        <v>6100</v>
      </c>
      <c r="N435" s="51" t="s">
        <v>6101</v>
      </c>
      <c r="O435" s="29" t="s">
        <v>1446</v>
      </c>
      <c r="P435" s="29" t="s">
        <v>6102</v>
      </c>
      <c r="Q435" s="29" t="s">
        <v>1446</v>
      </c>
      <c r="R435" s="29" t="s">
        <v>2524</v>
      </c>
      <c r="S435" s="28" t="s">
        <v>1920</v>
      </c>
      <c r="T435" s="28" t="s">
        <v>2320</v>
      </c>
      <c r="U435" s="28" t="s">
        <v>1441</v>
      </c>
      <c r="V435" s="28" t="s">
        <v>1619</v>
      </c>
      <c r="W435" s="28" t="s">
        <v>6102</v>
      </c>
      <c r="X435" s="17">
        <v>1</v>
      </c>
      <c r="CJ435" s="26" t="s">
        <v>1386</v>
      </c>
      <c r="CK435" s="26" t="s">
        <v>2265</v>
      </c>
      <c r="CL435" s="26" t="str">
        <f t="shared" si="25"/>
        <v>栃木県下野市</v>
      </c>
      <c r="CM435" s="49">
        <v>430</v>
      </c>
      <c r="CN435" s="17" t="str">
        <f t="shared" si="24"/>
        <v>0473</v>
      </c>
      <c r="CO435" s="17" t="str">
        <f t="shared" si="26"/>
        <v>430473下野市</v>
      </c>
      <c r="CP435" s="17" t="s">
        <v>6103</v>
      </c>
      <c r="CQ435" s="17" t="b">
        <f t="shared" si="27"/>
        <v>1</v>
      </c>
    </row>
    <row r="436" spans="6:95">
      <c r="F436" s="23"/>
      <c r="I436" s="23"/>
      <c r="L436" s="50" t="s">
        <v>6104</v>
      </c>
      <c r="M436" s="17" t="s">
        <v>6105</v>
      </c>
      <c r="N436" s="51" t="s">
        <v>6106</v>
      </c>
      <c r="O436" s="29" t="s">
        <v>1446</v>
      </c>
      <c r="P436" s="29" t="s">
        <v>6107</v>
      </c>
      <c r="Q436" s="29" t="s">
        <v>1446</v>
      </c>
      <c r="R436" s="29" t="s">
        <v>2576</v>
      </c>
      <c r="S436" s="28" t="s">
        <v>1977</v>
      </c>
      <c r="T436" s="28" t="s">
        <v>2374</v>
      </c>
      <c r="U436" s="28" t="s">
        <v>1441</v>
      </c>
      <c r="V436" s="28" t="s">
        <v>1619</v>
      </c>
      <c r="W436" s="28" t="s">
        <v>6108</v>
      </c>
      <c r="X436" s="17">
        <v>1</v>
      </c>
      <c r="CJ436" s="26" t="s">
        <v>1386</v>
      </c>
      <c r="CK436" s="26" t="s">
        <v>2321</v>
      </c>
      <c r="CL436" s="26" t="str">
        <f t="shared" si="25"/>
        <v>栃木県上三川町</v>
      </c>
      <c r="CM436" s="49">
        <v>431</v>
      </c>
      <c r="CN436" s="17" t="str">
        <f t="shared" si="24"/>
        <v>0474</v>
      </c>
      <c r="CO436" s="17" t="str">
        <f t="shared" si="26"/>
        <v>431474上三川町</v>
      </c>
      <c r="CP436" s="17" t="s">
        <v>6109</v>
      </c>
      <c r="CQ436" s="17" t="b">
        <f t="shared" si="27"/>
        <v>1</v>
      </c>
    </row>
    <row r="437" spans="6:95">
      <c r="F437" s="23"/>
      <c r="I437" s="23"/>
      <c r="L437" s="50" t="s">
        <v>6110</v>
      </c>
      <c r="M437" s="17" t="s">
        <v>6111</v>
      </c>
      <c r="N437" s="51" t="s">
        <v>6112</v>
      </c>
      <c r="O437" s="29" t="s">
        <v>1446</v>
      </c>
      <c r="P437" s="29" t="s">
        <v>6113</v>
      </c>
      <c r="Q437" s="29" t="s">
        <v>1446</v>
      </c>
      <c r="R437" s="29" t="s">
        <v>2623</v>
      </c>
      <c r="S437" s="28" t="s">
        <v>1743</v>
      </c>
      <c r="T437" s="28" t="s">
        <v>2429</v>
      </c>
      <c r="U437" s="28" t="s">
        <v>1441</v>
      </c>
      <c r="V437" s="28" t="s">
        <v>1619</v>
      </c>
      <c r="W437" s="28" t="s">
        <v>6114</v>
      </c>
      <c r="X437" s="17">
        <v>1</v>
      </c>
      <c r="CJ437" s="26" t="s">
        <v>1386</v>
      </c>
      <c r="CK437" s="26" t="s">
        <v>2375</v>
      </c>
      <c r="CL437" s="26" t="str">
        <f t="shared" si="25"/>
        <v>栃木県益子町</v>
      </c>
      <c r="CM437" s="49">
        <v>432</v>
      </c>
      <c r="CN437" s="17" t="str">
        <f t="shared" si="24"/>
        <v>0475</v>
      </c>
      <c r="CO437" s="17" t="str">
        <f t="shared" si="26"/>
        <v>432475益子町</v>
      </c>
      <c r="CP437" s="17" t="s">
        <v>6115</v>
      </c>
      <c r="CQ437" s="17" t="b">
        <f t="shared" si="27"/>
        <v>1</v>
      </c>
    </row>
    <row r="438" spans="6:95">
      <c r="F438" s="23"/>
      <c r="I438" s="23"/>
      <c r="L438" s="50" t="s">
        <v>6116</v>
      </c>
      <c r="M438" s="17" t="s">
        <v>6117</v>
      </c>
      <c r="N438" s="51" t="s">
        <v>6118</v>
      </c>
      <c r="O438" s="29" t="s">
        <v>1446</v>
      </c>
      <c r="P438" s="29" t="s">
        <v>6119</v>
      </c>
      <c r="Q438" s="29" t="s">
        <v>1446</v>
      </c>
      <c r="R438" s="29" t="s">
        <v>2668</v>
      </c>
      <c r="S438" s="28" t="s">
        <v>1803</v>
      </c>
      <c r="T438" s="28" t="s">
        <v>2482</v>
      </c>
      <c r="U438" s="28" t="s">
        <v>1441</v>
      </c>
      <c r="V438" s="28" t="s">
        <v>1619</v>
      </c>
      <c r="W438" s="28" t="s">
        <v>6120</v>
      </c>
      <c r="X438" s="17">
        <v>1</v>
      </c>
      <c r="CJ438" s="26" t="s">
        <v>1386</v>
      </c>
      <c r="CK438" s="26" t="s">
        <v>2430</v>
      </c>
      <c r="CL438" s="26" t="str">
        <f t="shared" si="25"/>
        <v>栃木県茂木町</v>
      </c>
      <c r="CM438" s="49">
        <v>433</v>
      </c>
      <c r="CN438" s="17" t="str">
        <f t="shared" si="24"/>
        <v>0476</v>
      </c>
      <c r="CO438" s="17" t="str">
        <f t="shared" si="26"/>
        <v>433476茂木町</v>
      </c>
      <c r="CP438" s="17" t="s">
        <v>6121</v>
      </c>
      <c r="CQ438" s="17" t="b">
        <f t="shared" si="27"/>
        <v>1</v>
      </c>
    </row>
    <row r="439" spans="6:95">
      <c r="F439" s="23"/>
      <c r="I439" s="23"/>
      <c r="L439" s="50" t="s">
        <v>6122</v>
      </c>
      <c r="M439" s="17" t="s">
        <v>6123</v>
      </c>
      <c r="N439" s="51" t="s">
        <v>6124</v>
      </c>
      <c r="O439" s="29" t="s">
        <v>1446</v>
      </c>
      <c r="P439" s="29" t="s">
        <v>6125</v>
      </c>
      <c r="Q439" s="29" t="s">
        <v>1446</v>
      </c>
      <c r="R439" s="29" t="s">
        <v>2714</v>
      </c>
      <c r="S439" s="28" t="s">
        <v>1862</v>
      </c>
      <c r="T439" s="28" t="s">
        <v>2534</v>
      </c>
      <c r="U439" s="28" t="s">
        <v>1441</v>
      </c>
      <c r="V439" s="28" t="s">
        <v>1619</v>
      </c>
      <c r="W439" s="28" t="s">
        <v>6126</v>
      </c>
      <c r="X439" s="17">
        <v>1</v>
      </c>
      <c r="CJ439" s="26" t="s">
        <v>1386</v>
      </c>
      <c r="CK439" s="26" t="s">
        <v>2483</v>
      </c>
      <c r="CL439" s="26" t="str">
        <f t="shared" si="25"/>
        <v>栃木県市貝町</v>
      </c>
      <c r="CM439" s="49">
        <v>434</v>
      </c>
      <c r="CN439" s="17" t="str">
        <f t="shared" si="24"/>
        <v>0477</v>
      </c>
      <c r="CO439" s="17" t="str">
        <f t="shared" si="26"/>
        <v>434477市貝町</v>
      </c>
      <c r="CP439" s="17" t="s">
        <v>6127</v>
      </c>
      <c r="CQ439" s="17" t="b">
        <f t="shared" si="27"/>
        <v>1</v>
      </c>
    </row>
    <row r="440" spans="6:95">
      <c r="F440" s="23"/>
      <c r="I440" s="23"/>
      <c r="L440" s="50" t="s">
        <v>6128</v>
      </c>
      <c r="M440" s="17" t="s">
        <v>6129</v>
      </c>
      <c r="N440" s="51" t="s">
        <v>6130</v>
      </c>
      <c r="O440" s="29" t="s">
        <v>1446</v>
      </c>
      <c r="P440" s="29" t="s">
        <v>6131</v>
      </c>
      <c r="Q440" s="29" t="s">
        <v>1446</v>
      </c>
      <c r="R440" s="29" t="s">
        <v>2758</v>
      </c>
      <c r="S440" s="28" t="s">
        <v>1920</v>
      </c>
      <c r="T440" s="28" t="s">
        <v>2584</v>
      </c>
      <c r="U440" s="28" t="s">
        <v>1441</v>
      </c>
      <c r="V440" s="28" t="s">
        <v>1619</v>
      </c>
      <c r="W440" s="28" t="s">
        <v>6132</v>
      </c>
      <c r="X440" s="17">
        <v>1</v>
      </c>
      <c r="CJ440" s="26" t="s">
        <v>1386</v>
      </c>
      <c r="CK440" s="26" t="s">
        <v>2535</v>
      </c>
      <c r="CL440" s="26" t="str">
        <f t="shared" si="25"/>
        <v>栃木県芳賀町</v>
      </c>
      <c r="CM440" s="49">
        <v>435</v>
      </c>
      <c r="CN440" s="17" t="str">
        <f t="shared" si="24"/>
        <v>0478</v>
      </c>
      <c r="CO440" s="17" t="str">
        <f t="shared" si="26"/>
        <v>435478芳賀町</v>
      </c>
      <c r="CP440" s="17" t="s">
        <v>6133</v>
      </c>
      <c r="CQ440" s="17" t="b">
        <f t="shared" si="27"/>
        <v>1</v>
      </c>
    </row>
    <row r="441" spans="6:95">
      <c r="F441" s="23"/>
      <c r="I441" s="23"/>
      <c r="L441" s="50" t="s">
        <v>6134</v>
      </c>
      <c r="M441" s="17" t="s">
        <v>6135</v>
      </c>
      <c r="N441" s="51" t="s">
        <v>6136</v>
      </c>
      <c r="O441" s="29" t="s">
        <v>1446</v>
      </c>
      <c r="P441" s="29" t="s">
        <v>6137</v>
      </c>
      <c r="Q441" s="29" t="s">
        <v>1446</v>
      </c>
      <c r="R441" s="29" t="s">
        <v>2800</v>
      </c>
      <c r="S441" s="28" t="s">
        <v>2525</v>
      </c>
      <c r="T441" s="28" t="s">
        <v>2631</v>
      </c>
      <c r="U441" s="28" t="s">
        <v>1441</v>
      </c>
      <c r="V441" s="28" t="s">
        <v>1619</v>
      </c>
      <c r="W441" s="28" t="s">
        <v>6138</v>
      </c>
      <c r="X441" s="17">
        <v>1</v>
      </c>
      <c r="CJ441" s="26" t="s">
        <v>1386</v>
      </c>
      <c r="CK441" s="26" t="s">
        <v>2585</v>
      </c>
      <c r="CL441" s="26" t="str">
        <f t="shared" si="25"/>
        <v>栃木県壬生町</v>
      </c>
      <c r="CM441" s="49">
        <v>436</v>
      </c>
      <c r="CN441" s="17" t="str">
        <f t="shared" si="24"/>
        <v>0479</v>
      </c>
      <c r="CO441" s="17" t="str">
        <f t="shared" si="26"/>
        <v>436479壬生町</v>
      </c>
      <c r="CP441" s="17" t="s">
        <v>6139</v>
      </c>
      <c r="CQ441" s="17" t="b">
        <f t="shared" si="27"/>
        <v>1</v>
      </c>
    </row>
    <row r="442" spans="6:95">
      <c r="F442" s="23"/>
      <c r="I442" s="23"/>
      <c r="L442" s="50" t="s">
        <v>6140</v>
      </c>
      <c r="M442" s="17" t="s">
        <v>6141</v>
      </c>
      <c r="N442" s="51" t="s">
        <v>6142</v>
      </c>
      <c r="O442" s="29" t="s">
        <v>1446</v>
      </c>
      <c r="P442" s="29" t="s">
        <v>6143</v>
      </c>
      <c r="Q442" s="29" t="s">
        <v>1446</v>
      </c>
      <c r="R442" s="29" t="s">
        <v>2842</v>
      </c>
      <c r="S442" s="28" t="s">
        <v>2311</v>
      </c>
      <c r="T442" s="28" t="s">
        <v>2677</v>
      </c>
      <c r="U442" s="28" t="s">
        <v>1441</v>
      </c>
      <c r="V442" s="28" t="s">
        <v>1619</v>
      </c>
      <c r="W442" s="28" t="s">
        <v>6144</v>
      </c>
      <c r="X442" s="17">
        <v>1</v>
      </c>
      <c r="CJ442" s="26" t="s">
        <v>1386</v>
      </c>
      <c r="CK442" s="26" t="s">
        <v>2632</v>
      </c>
      <c r="CL442" s="26" t="str">
        <f t="shared" si="25"/>
        <v>栃木県野木町</v>
      </c>
      <c r="CM442" s="49">
        <v>437</v>
      </c>
      <c r="CN442" s="17" t="str">
        <f t="shared" si="24"/>
        <v>0480</v>
      </c>
      <c r="CO442" s="17" t="str">
        <f t="shared" si="26"/>
        <v>437480野木町</v>
      </c>
      <c r="CP442" s="17" t="s">
        <v>6145</v>
      </c>
      <c r="CQ442" s="17" t="b">
        <f t="shared" si="27"/>
        <v>1</v>
      </c>
    </row>
    <row r="443" spans="6:95">
      <c r="F443" s="23"/>
      <c r="I443" s="23"/>
      <c r="L443" s="50" t="s">
        <v>6146</v>
      </c>
      <c r="M443" s="17" t="s">
        <v>6147</v>
      </c>
      <c r="N443" s="51" t="s">
        <v>6148</v>
      </c>
      <c r="O443" s="29" t="s">
        <v>1446</v>
      </c>
      <c r="P443" s="29" t="s">
        <v>6149</v>
      </c>
      <c r="Q443" s="29" t="s">
        <v>1446</v>
      </c>
      <c r="R443" s="29" t="s">
        <v>4381</v>
      </c>
      <c r="S443" s="28" t="s">
        <v>1564</v>
      </c>
      <c r="T443" s="28" t="s">
        <v>2723</v>
      </c>
      <c r="U443" s="28" t="s">
        <v>1441</v>
      </c>
      <c r="V443" s="28" t="s">
        <v>1619</v>
      </c>
      <c r="W443" s="28" t="s">
        <v>6150</v>
      </c>
      <c r="X443" s="17">
        <v>1</v>
      </c>
      <c r="CJ443" s="26" t="s">
        <v>1386</v>
      </c>
      <c r="CK443" s="26" t="s">
        <v>2678</v>
      </c>
      <c r="CL443" s="26" t="str">
        <f t="shared" si="25"/>
        <v>栃木県塩谷町</v>
      </c>
      <c r="CM443" s="49">
        <v>438</v>
      </c>
      <c r="CN443" s="17" t="str">
        <f t="shared" si="24"/>
        <v>0481</v>
      </c>
      <c r="CO443" s="17" t="str">
        <f t="shared" si="26"/>
        <v>438481塩谷町</v>
      </c>
      <c r="CP443" s="17" t="s">
        <v>6151</v>
      </c>
      <c r="CQ443" s="17" t="b">
        <f t="shared" si="27"/>
        <v>1</v>
      </c>
    </row>
    <row r="444" spans="6:95">
      <c r="F444" s="23"/>
      <c r="I444" s="23"/>
      <c r="L444" s="50" t="s">
        <v>6152</v>
      </c>
      <c r="M444" s="17" t="s">
        <v>6153</v>
      </c>
      <c r="N444" s="51" t="s">
        <v>6154</v>
      </c>
      <c r="O444" s="29" t="s">
        <v>1446</v>
      </c>
      <c r="P444" s="29" t="s">
        <v>6155</v>
      </c>
      <c r="Q444" s="29" t="s">
        <v>1446</v>
      </c>
      <c r="R444" s="29" t="s">
        <v>2881</v>
      </c>
      <c r="S444" s="28" t="s">
        <v>1626</v>
      </c>
      <c r="T444" s="28" t="s">
        <v>2767</v>
      </c>
      <c r="U444" s="28" t="s">
        <v>1441</v>
      </c>
      <c r="V444" s="28" t="s">
        <v>1619</v>
      </c>
      <c r="W444" s="28" t="s">
        <v>6156</v>
      </c>
      <c r="X444" s="17">
        <v>1</v>
      </c>
      <c r="CJ444" s="26" t="s">
        <v>1386</v>
      </c>
      <c r="CK444" s="26" t="s">
        <v>2724</v>
      </c>
      <c r="CL444" s="26" t="str">
        <f t="shared" si="25"/>
        <v>栃木県高根沢町</v>
      </c>
      <c r="CM444" s="49">
        <v>439</v>
      </c>
      <c r="CN444" s="17" t="str">
        <f t="shared" si="24"/>
        <v>0482</v>
      </c>
      <c r="CO444" s="17" t="str">
        <f t="shared" si="26"/>
        <v>439482高根沢町</v>
      </c>
      <c r="CP444" s="17" t="s">
        <v>6157</v>
      </c>
      <c r="CQ444" s="17" t="b">
        <f t="shared" si="27"/>
        <v>1</v>
      </c>
    </row>
    <row r="445" spans="6:95">
      <c r="F445" s="23"/>
      <c r="I445" s="23"/>
      <c r="L445" s="50" t="s">
        <v>6158</v>
      </c>
      <c r="M445" s="17" t="s">
        <v>6159</v>
      </c>
      <c r="N445" s="51" t="s">
        <v>6160</v>
      </c>
      <c r="O445" s="29" t="s">
        <v>1446</v>
      </c>
      <c r="P445" s="29" t="s">
        <v>6161</v>
      </c>
      <c r="Q445" s="29" t="s">
        <v>1446</v>
      </c>
      <c r="R445" s="29" t="s">
        <v>2918</v>
      </c>
      <c r="S445" s="28" t="s">
        <v>1502</v>
      </c>
      <c r="T445" s="28" t="s">
        <v>2809</v>
      </c>
      <c r="U445" s="28" t="s">
        <v>1441</v>
      </c>
      <c r="V445" s="28" t="s">
        <v>1619</v>
      </c>
      <c r="W445" s="28" t="s">
        <v>6162</v>
      </c>
      <c r="X445" s="17">
        <v>1</v>
      </c>
      <c r="CJ445" s="26" t="s">
        <v>1386</v>
      </c>
      <c r="CK445" s="26" t="s">
        <v>2768</v>
      </c>
      <c r="CL445" s="26" t="str">
        <f t="shared" si="25"/>
        <v>栃木県那須町</v>
      </c>
      <c r="CM445" s="49">
        <v>440</v>
      </c>
      <c r="CN445" s="17" t="str">
        <f t="shared" si="24"/>
        <v>0483</v>
      </c>
      <c r="CO445" s="17" t="str">
        <f t="shared" si="26"/>
        <v>440483那須町</v>
      </c>
      <c r="CP445" s="17" t="s">
        <v>6163</v>
      </c>
      <c r="CQ445" s="17" t="b">
        <f t="shared" si="27"/>
        <v>1</v>
      </c>
    </row>
    <row r="446" spans="6:95">
      <c r="F446" s="23"/>
      <c r="I446" s="23"/>
      <c r="L446" s="50" t="s">
        <v>6164</v>
      </c>
      <c r="M446" s="17" t="s">
        <v>6165</v>
      </c>
      <c r="N446" s="51" t="s">
        <v>6166</v>
      </c>
      <c r="O446" s="29" t="s">
        <v>1446</v>
      </c>
      <c r="P446" s="29" t="s">
        <v>6167</v>
      </c>
      <c r="Q446" s="29" t="s">
        <v>1446</v>
      </c>
      <c r="R446" s="29" t="s">
        <v>2953</v>
      </c>
      <c r="S446" s="28" t="s">
        <v>2525</v>
      </c>
      <c r="T446" s="28" t="s">
        <v>2850</v>
      </c>
      <c r="U446" s="28" t="s">
        <v>1441</v>
      </c>
      <c r="V446" s="28" t="s">
        <v>1619</v>
      </c>
      <c r="W446" s="28" t="s">
        <v>6168</v>
      </c>
      <c r="X446" s="17">
        <v>1</v>
      </c>
      <c r="CJ446" s="26" t="s">
        <v>1386</v>
      </c>
      <c r="CK446" s="26" t="s">
        <v>2810</v>
      </c>
      <c r="CL446" s="26" t="str">
        <f t="shared" si="25"/>
        <v>栃木県那珂川町</v>
      </c>
      <c r="CM446" s="49">
        <v>441</v>
      </c>
      <c r="CN446" s="17" t="str">
        <f t="shared" si="24"/>
        <v>0484</v>
      </c>
      <c r="CO446" s="17" t="str">
        <f t="shared" si="26"/>
        <v>441484那珂川町</v>
      </c>
      <c r="CP446" s="17" t="s">
        <v>6169</v>
      </c>
      <c r="CQ446" s="17" t="b">
        <f t="shared" si="27"/>
        <v>1</v>
      </c>
    </row>
    <row r="447" spans="6:95">
      <c r="F447" s="23"/>
      <c r="I447" s="23"/>
      <c r="L447" s="50" t="s">
        <v>6170</v>
      </c>
      <c r="M447" s="17" t="s">
        <v>6171</v>
      </c>
      <c r="N447" s="51" t="s">
        <v>6172</v>
      </c>
      <c r="O447" s="29" t="s">
        <v>1446</v>
      </c>
      <c r="P447" s="29" t="s">
        <v>6173</v>
      </c>
      <c r="Q447" s="29" t="s">
        <v>1446</v>
      </c>
      <c r="R447" s="29" t="s">
        <v>2986</v>
      </c>
      <c r="S447" s="28" t="s">
        <v>2311</v>
      </c>
      <c r="T447" s="28" t="s">
        <v>2889</v>
      </c>
      <c r="U447" s="28" t="s">
        <v>1441</v>
      </c>
      <c r="V447" s="28" t="s">
        <v>1619</v>
      </c>
      <c r="W447" s="28" t="s">
        <v>6174</v>
      </c>
      <c r="X447" s="17">
        <v>1</v>
      </c>
      <c r="CJ447" s="26" t="s">
        <v>1387</v>
      </c>
      <c r="CK447" s="26" t="s">
        <v>1513</v>
      </c>
      <c r="CL447" s="26" t="str">
        <f t="shared" si="25"/>
        <v>群馬県前橋市</v>
      </c>
      <c r="CM447" s="49">
        <v>442</v>
      </c>
      <c r="CN447" s="17" t="str">
        <f t="shared" si="24"/>
        <v>0485</v>
      </c>
      <c r="CO447" s="17" t="str">
        <f t="shared" si="26"/>
        <v>442485前橋市</v>
      </c>
      <c r="CP447" s="17" t="s">
        <v>6175</v>
      </c>
      <c r="CQ447" s="17" t="b">
        <f t="shared" si="27"/>
        <v>1</v>
      </c>
    </row>
    <row r="448" spans="6:95">
      <c r="F448" s="23"/>
      <c r="I448" s="23"/>
      <c r="L448" s="50" t="s">
        <v>6176</v>
      </c>
      <c r="M448" s="17" t="s">
        <v>6177</v>
      </c>
      <c r="N448" s="51" t="s">
        <v>6178</v>
      </c>
      <c r="O448" s="29" t="s">
        <v>1446</v>
      </c>
      <c r="P448" s="29" t="s">
        <v>6179</v>
      </c>
      <c r="Q448" s="29" t="s">
        <v>1446</v>
      </c>
      <c r="R448" s="29" t="s">
        <v>6180</v>
      </c>
      <c r="S448" s="28" t="s">
        <v>1564</v>
      </c>
      <c r="T448" s="28" t="s">
        <v>2926</v>
      </c>
      <c r="U448" s="28" t="s">
        <v>1441</v>
      </c>
      <c r="V448" s="28" t="s">
        <v>1619</v>
      </c>
      <c r="W448" s="28" t="s">
        <v>6181</v>
      </c>
      <c r="X448" s="17">
        <v>1</v>
      </c>
      <c r="CJ448" s="26" t="s">
        <v>1387</v>
      </c>
      <c r="CK448" s="26" t="s">
        <v>1575</v>
      </c>
      <c r="CL448" s="26" t="str">
        <f t="shared" si="25"/>
        <v>群馬県高崎市</v>
      </c>
      <c r="CM448" s="49">
        <v>443</v>
      </c>
      <c r="CN448" s="17" t="str">
        <f t="shared" si="24"/>
        <v>0486</v>
      </c>
      <c r="CO448" s="17" t="str">
        <f t="shared" si="26"/>
        <v>443486高崎市</v>
      </c>
      <c r="CP448" s="17" t="s">
        <v>6182</v>
      </c>
      <c r="CQ448" s="17" t="b">
        <f t="shared" si="27"/>
        <v>1</v>
      </c>
    </row>
    <row r="449" spans="6:95">
      <c r="F449" s="23"/>
      <c r="I449" s="23"/>
      <c r="L449" s="50" t="s">
        <v>6183</v>
      </c>
      <c r="M449" s="17" t="s">
        <v>6184</v>
      </c>
      <c r="N449" s="51" t="s">
        <v>6185</v>
      </c>
      <c r="O449" s="29" t="s">
        <v>1446</v>
      </c>
      <c r="P449" s="29" t="s">
        <v>6186</v>
      </c>
      <c r="Q449" s="29" t="s">
        <v>1446</v>
      </c>
      <c r="R449" s="29" t="s">
        <v>3020</v>
      </c>
      <c r="S449" s="28" t="s">
        <v>1626</v>
      </c>
      <c r="T449" s="28" t="s">
        <v>2960</v>
      </c>
      <c r="U449" s="28" t="s">
        <v>1441</v>
      </c>
      <c r="V449" s="28" t="s">
        <v>1619</v>
      </c>
      <c r="W449" s="28" t="s">
        <v>6187</v>
      </c>
      <c r="X449" s="17">
        <v>1</v>
      </c>
      <c r="CJ449" s="26" t="s">
        <v>1387</v>
      </c>
      <c r="CK449" s="26" t="s">
        <v>1637</v>
      </c>
      <c r="CL449" s="26" t="str">
        <f t="shared" si="25"/>
        <v>群馬県桐生市</v>
      </c>
      <c r="CM449" s="49">
        <v>444</v>
      </c>
      <c r="CN449" s="17" t="str">
        <f t="shared" si="24"/>
        <v>0487</v>
      </c>
      <c r="CO449" s="17" t="str">
        <f t="shared" si="26"/>
        <v>444487桐生市</v>
      </c>
      <c r="CP449" s="17" t="s">
        <v>6188</v>
      </c>
      <c r="CQ449" s="17" t="b">
        <f t="shared" si="27"/>
        <v>1</v>
      </c>
    </row>
    <row r="450" spans="6:95">
      <c r="F450" s="23"/>
      <c r="I450" s="23"/>
      <c r="L450" s="50" t="s">
        <v>6189</v>
      </c>
      <c r="M450" s="17" t="s">
        <v>6190</v>
      </c>
      <c r="N450" s="51" t="s">
        <v>6191</v>
      </c>
      <c r="O450" s="29" t="s">
        <v>1446</v>
      </c>
      <c r="P450" s="29" t="s">
        <v>6192</v>
      </c>
      <c r="Q450" s="29" t="s">
        <v>1446</v>
      </c>
      <c r="R450" s="29" t="s">
        <v>3052</v>
      </c>
      <c r="S450" s="28" t="s">
        <v>1502</v>
      </c>
      <c r="T450" s="28" t="s">
        <v>2993</v>
      </c>
      <c r="U450" s="28" t="s">
        <v>1441</v>
      </c>
      <c r="V450" s="28" t="s">
        <v>1619</v>
      </c>
      <c r="W450" s="28" t="s">
        <v>6193</v>
      </c>
      <c r="X450" s="17">
        <v>1</v>
      </c>
      <c r="CJ450" s="26" t="s">
        <v>1387</v>
      </c>
      <c r="CK450" s="26" t="s">
        <v>1695</v>
      </c>
      <c r="CL450" s="26" t="str">
        <f t="shared" si="25"/>
        <v>群馬県伊勢崎市</v>
      </c>
      <c r="CM450" s="49">
        <v>445</v>
      </c>
      <c r="CN450" s="17" t="str">
        <f t="shared" si="24"/>
        <v>0488</v>
      </c>
      <c r="CO450" s="17" t="str">
        <f t="shared" si="26"/>
        <v>445488伊勢崎市</v>
      </c>
      <c r="CP450" s="17" t="s">
        <v>6194</v>
      </c>
      <c r="CQ450" s="17" t="b">
        <f t="shared" si="27"/>
        <v>1</v>
      </c>
    </row>
    <row r="451" spans="6:95">
      <c r="F451" s="23"/>
      <c r="I451" s="23"/>
      <c r="L451" s="50" t="s">
        <v>6195</v>
      </c>
      <c r="M451" s="17" t="s">
        <v>6196</v>
      </c>
      <c r="N451" s="51" t="s">
        <v>6197</v>
      </c>
      <c r="O451" s="29" t="s">
        <v>1446</v>
      </c>
      <c r="P451" s="29" t="s">
        <v>6198</v>
      </c>
      <c r="Q451" s="29" t="s">
        <v>1446</v>
      </c>
      <c r="R451" s="29" t="s">
        <v>3083</v>
      </c>
      <c r="S451" s="28" t="s">
        <v>1743</v>
      </c>
      <c r="T451" s="28" t="s">
        <v>3027</v>
      </c>
      <c r="U451" s="28" t="s">
        <v>1441</v>
      </c>
      <c r="V451" s="28" t="s">
        <v>1619</v>
      </c>
      <c r="W451" s="28" t="s">
        <v>6199</v>
      </c>
      <c r="X451" s="17">
        <v>1</v>
      </c>
      <c r="CJ451" s="26" t="s">
        <v>1387</v>
      </c>
      <c r="CK451" s="26" t="s">
        <v>1754</v>
      </c>
      <c r="CL451" s="26" t="str">
        <f t="shared" si="25"/>
        <v>群馬県太田市</v>
      </c>
      <c r="CM451" s="49">
        <v>446</v>
      </c>
      <c r="CN451" s="17" t="str">
        <f t="shared" si="24"/>
        <v>0489</v>
      </c>
      <c r="CO451" s="17" t="str">
        <f t="shared" si="26"/>
        <v>446489太田市</v>
      </c>
      <c r="CP451" s="17" t="s">
        <v>6200</v>
      </c>
      <c r="CQ451" s="17" t="b">
        <f t="shared" si="27"/>
        <v>1</v>
      </c>
    </row>
    <row r="452" spans="6:95">
      <c r="F452" s="23"/>
      <c r="I452" s="23"/>
      <c r="L452" s="50" t="s">
        <v>6201</v>
      </c>
      <c r="M452" s="17" t="s">
        <v>6202</v>
      </c>
      <c r="N452" s="51" t="s">
        <v>6203</v>
      </c>
      <c r="O452" s="29" t="s">
        <v>1446</v>
      </c>
      <c r="P452" s="29" t="s">
        <v>6204</v>
      </c>
      <c r="Q452" s="29" t="s">
        <v>1446</v>
      </c>
      <c r="R452" s="29" t="s">
        <v>3112</v>
      </c>
      <c r="S452" s="28" t="s">
        <v>1803</v>
      </c>
      <c r="T452" s="28" t="s">
        <v>3059</v>
      </c>
      <c r="U452" s="28" t="s">
        <v>1441</v>
      </c>
      <c r="V452" s="28" t="s">
        <v>1619</v>
      </c>
      <c r="W452" s="28" t="s">
        <v>6205</v>
      </c>
      <c r="X452" s="17">
        <v>1</v>
      </c>
      <c r="CJ452" s="26" t="s">
        <v>1387</v>
      </c>
      <c r="CK452" s="26" t="s">
        <v>1814</v>
      </c>
      <c r="CL452" s="26" t="str">
        <f t="shared" si="25"/>
        <v>群馬県沼田市</v>
      </c>
      <c r="CM452" s="49">
        <v>447</v>
      </c>
      <c r="CN452" s="17" t="str">
        <f t="shared" si="24"/>
        <v>0490</v>
      </c>
      <c r="CO452" s="17" t="str">
        <f t="shared" si="26"/>
        <v>447490沼田市</v>
      </c>
      <c r="CP452" s="17" t="s">
        <v>6206</v>
      </c>
      <c r="CQ452" s="17" t="b">
        <f t="shared" si="27"/>
        <v>1</v>
      </c>
    </row>
    <row r="453" spans="6:95">
      <c r="F453" s="23"/>
      <c r="I453" s="23"/>
      <c r="L453" s="50" t="s">
        <v>6207</v>
      </c>
      <c r="M453" s="17" t="s">
        <v>6208</v>
      </c>
      <c r="N453" s="51" t="s">
        <v>6209</v>
      </c>
      <c r="O453" s="29" t="s">
        <v>1446</v>
      </c>
      <c r="P453" s="29" t="s">
        <v>6210</v>
      </c>
      <c r="Q453" s="29" t="s">
        <v>1446</v>
      </c>
      <c r="R453" s="29" t="s">
        <v>5017</v>
      </c>
      <c r="S453" s="28" t="s">
        <v>1803</v>
      </c>
      <c r="T453" s="28" t="s">
        <v>3088</v>
      </c>
      <c r="U453" s="28" t="s">
        <v>1441</v>
      </c>
      <c r="V453" s="28" t="s">
        <v>1619</v>
      </c>
      <c r="W453" s="28" t="s">
        <v>6211</v>
      </c>
      <c r="X453" s="17">
        <v>1</v>
      </c>
      <c r="CJ453" s="26" t="s">
        <v>1387</v>
      </c>
      <c r="CK453" s="26" t="s">
        <v>1873</v>
      </c>
      <c r="CL453" s="26" t="str">
        <f t="shared" si="25"/>
        <v>群馬県館林市</v>
      </c>
      <c r="CM453" s="49">
        <v>448</v>
      </c>
      <c r="CN453" s="17" t="str">
        <f t="shared" si="24"/>
        <v>0491</v>
      </c>
      <c r="CO453" s="17" t="str">
        <f t="shared" si="26"/>
        <v>448491館林市</v>
      </c>
      <c r="CP453" s="17" t="s">
        <v>6212</v>
      </c>
      <c r="CQ453" s="17" t="b">
        <f t="shared" si="27"/>
        <v>1</v>
      </c>
    </row>
    <row r="454" spans="6:95">
      <c r="F454" s="23"/>
      <c r="I454" s="23"/>
      <c r="L454" s="50" t="s">
        <v>6213</v>
      </c>
      <c r="M454" s="17" t="s">
        <v>6214</v>
      </c>
      <c r="N454" s="51" t="s">
        <v>6215</v>
      </c>
      <c r="O454" s="29" t="s">
        <v>1446</v>
      </c>
      <c r="P454" s="29" t="s">
        <v>6216</v>
      </c>
      <c r="Q454" s="29" t="s">
        <v>1446</v>
      </c>
      <c r="R454" s="29" t="s">
        <v>6217</v>
      </c>
      <c r="S454" s="28" t="s">
        <v>1502</v>
      </c>
      <c r="T454" s="28" t="s">
        <v>3120</v>
      </c>
      <c r="U454" s="28" t="s">
        <v>1441</v>
      </c>
      <c r="V454" s="28" t="s">
        <v>1619</v>
      </c>
      <c r="W454" s="28" t="s">
        <v>6216</v>
      </c>
      <c r="X454" s="17">
        <v>1</v>
      </c>
      <c r="CJ454" s="26" t="s">
        <v>1387</v>
      </c>
      <c r="CK454" s="26" t="s">
        <v>1931</v>
      </c>
      <c r="CL454" s="26" t="str">
        <f t="shared" si="25"/>
        <v>群馬県渋川市</v>
      </c>
      <c r="CM454" s="49">
        <v>449</v>
      </c>
      <c r="CN454" s="17" t="str">
        <f t="shared" ref="CN454:CN517" si="28">VLOOKUP(CL454,$M$6:$N$1784,2,FALSE)</f>
        <v>0492</v>
      </c>
      <c r="CO454" s="17" t="str">
        <f t="shared" si="26"/>
        <v>449492渋川市</v>
      </c>
      <c r="CP454" s="17" t="s">
        <v>6218</v>
      </c>
      <c r="CQ454" s="17" t="b">
        <f t="shared" si="27"/>
        <v>1</v>
      </c>
    </row>
    <row r="455" spans="6:95">
      <c r="F455" s="23"/>
      <c r="I455" s="23"/>
      <c r="L455" s="50" t="s">
        <v>6219</v>
      </c>
      <c r="M455" s="17" t="s">
        <v>6220</v>
      </c>
      <c r="N455" s="51" t="s">
        <v>6221</v>
      </c>
      <c r="O455" s="29" t="s">
        <v>1446</v>
      </c>
      <c r="P455" s="29" t="s">
        <v>6222</v>
      </c>
      <c r="Q455" s="29" t="s">
        <v>1446</v>
      </c>
      <c r="R455" s="29" t="s">
        <v>6223</v>
      </c>
      <c r="S455" s="28" t="s">
        <v>2525</v>
      </c>
      <c r="T455" s="28" t="s">
        <v>3150</v>
      </c>
      <c r="U455" s="28" t="s">
        <v>1441</v>
      </c>
      <c r="V455" s="28" t="s">
        <v>1619</v>
      </c>
      <c r="W455" s="28" t="s">
        <v>6224</v>
      </c>
      <c r="X455" s="17">
        <v>1</v>
      </c>
      <c r="CJ455" s="26" t="s">
        <v>1387</v>
      </c>
      <c r="CK455" s="26" t="s">
        <v>1988</v>
      </c>
      <c r="CL455" s="26" t="str">
        <f t="shared" si="25"/>
        <v>群馬県藤岡市</v>
      </c>
      <c r="CM455" s="49">
        <v>450</v>
      </c>
      <c r="CN455" s="17" t="str">
        <f t="shared" si="28"/>
        <v>0493</v>
      </c>
      <c r="CO455" s="17" t="str">
        <f t="shared" si="26"/>
        <v>450493藤岡市</v>
      </c>
      <c r="CP455" s="17" t="s">
        <v>6225</v>
      </c>
      <c r="CQ455" s="17" t="b">
        <f t="shared" si="27"/>
        <v>1</v>
      </c>
    </row>
    <row r="456" spans="6:95">
      <c r="F456" s="23"/>
      <c r="I456" s="23"/>
      <c r="L456" s="50" t="s">
        <v>6226</v>
      </c>
      <c r="M456" s="17" t="s">
        <v>6227</v>
      </c>
      <c r="N456" s="51" t="s">
        <v>6228</v>
      </c>
      <c r="O456" s="29" t="s">
        <v>1446</v>
      </c>
      <c r="P456" s="29" t="s">
        <v>6229</v>
      </c>
      <c r="Q456" s="29" t="s">
        <v>1446</v>
      </c>
      <c r="R456" s="29" t="s">
        <v>5197</v>
      </c>
      <c r="S456" s="28" t="s">
        <v>1862</v>
      </c>
      <c r="T456" s="28" t="s">
        <v>3179</v>
      </c>
      <c r="U456" s="28" t="s">
        <v>1441</v>
      </c>
      <c r="V456" s="28" t="s">
        <v>1619</v>
      </c>
      <c r="W456" s="28" t="s">
        <v>6230</v>
      </c>
      <c r="X456" s="17">
        <v>1</v>
      </c>
      <c r="CJ456" s="26" t="s">
        <v>1387</v>
      </c>
      <c r="CK456" s="26" t="s">
        <v>2044</v>
      </c>
      <c r="CL456" s="26" t="str">
        <f t="shared" ref="CL456:CL519" si="29">CJ456&amp;CK456</f>
        <v>群馬県富岡市</v>
      </c>
      <c r="CM456" s="49">
        <v>451</v>
      </c>
      <c r="CN456" s="17" t="str">
        <f t="shared" si="28"/>
        <v>0494</v>
      </c>
      <c r="CO456" s="17" t="str">
        <f t="shared" ref="CO456:CO519" si="30">CM456&amp;TEXT(CN456,0)&amp;CK456</f>
        <v>451494富岡市</v>
      </c>
      <c r="CP456" s="17" t="s">
        <v>6231</v>
      </c>
      <c r="CQ456" s="17" t="b">
        <f t="shared" ref="CQ456:CQ519" si="31">CO456=CP456</f>
        <v>1</v>
      </c>
    </row>
    <row r="457" spans="6:95">
      <c r="F457" s="23"/>
      <c r="I457" s="23"/>
      <c r="L457" s="50" t="s">
        <v>6232</v>
      </c>
      <c r="M457" s="17" t="s">
        <v>6233</v>
      </c>
      <c r="N457" s="51" t="s">
        <v>6234</v>
      </c>
      <c r="O457" s="29" t="s">
        <v>1446</v>
      </c>
      <c r="P457" s="29" t="s">
        <v>6235</v>
      </c>
      <c r="Q457" s="29" t="s">
        <v>1446</v>
      </c>
      <c r="R457" s="29" t="s">
        <v>3441</v>
      </c>
      <c r="S457" s="28" t="s">
        <v>1803</v>
      </c>
      <c r="T457" s="28" t="s">
        <v>3204</v>
      </c>
      <c r="U457" s="28" t="s">
        <v>1441</v>
      </c>
      <c r="V457" s="28" t="s">
        <v>1619</v>
      </c>
      <c r="W457" s="28" t="s">
        <v>6236</v>
      </c>
      <c r="X457" s="17">
        <v>1</v>
      </c>
      <c r="CJ457" s="26" t="s">
        <v>1387</v>
      </c>
      <c r="CK457" s="26" t="s">
        <v>2100</v>
      </c>
      <c r="CL457" s="26" t="str">
        <f t="shared" si="29"/>
        <v>群馬県安中市</v>
      </c>
      <c r="CM457" s="49">
        <v>452</v>
      </c>
      <c r="CN457" s="17" t="str">
        <f t="shared" si="28"/>
        <v>0495</v>
      </c>
      <c r="CO457" s="17" t="str">
        <f t="shared" si="30"/>
        <v>452495安中市</v>
      </c>
      <c r="CP457" s="17" t="s">
        <v>6237</v>
      </c>
      <c r="CQ457" s="17" t="b">
        <f t="shared" si="31"/>
        <v>1</v>
      </c>
    </row>
    <row r="458" spans="6:95">
      <c r="F458" s="23"/>
      <c r="I458" s="23"/>
      <c r="L458" s="50" t="s">
        <v>6238</v>
      </c>
      <c r="M458" s="17" t="s">
        <v>6239</v>
      </c>
      <c r="N458" s="51" t="s">
        <v>6240</v>
      </c>
      <c r="O458" s="29" t="s">
        <v>1446</v>
      </c>
      <c r="P458" s="29" t="s">
        <v>6241</v>
      </c>
      <c r="Q458" s="29" t="s">
        <v>1446</v>
      </c>
      <c r="R458" s="29" t="s">
        <v>4812</v>
      </c>
      <c r="S458" s="28" t="s">
        <v>1977</v>
      </c>
      <c r="T458" s="28" t="s">
        <v>3228</v>
      </c>
      <c r="U458" s="28" t="s">
        <v>1441</v>
      </c>
      <c r="V458" s="28" t="s">
        <v>1619</v>
      </c>
      <c r="W458" s="28" t="s">
        <v>6242</v>
      </c>
      <c r="X458" s="17">
        <v>1</v>
      </c>
      <c r="CJ458" s="26" t="s">
        <v>1387</v>
      </c>
      <c r="CK458" s="26" t="s">
        <v>2156</v>
      </c>
      <c r="CL458" s="26" t="str">
        <f t="shared" si="29"/>
        <v>群馬県みどり市</v>
      </c>
      <c r="CM458" s="49">
        <v>453</v>
      </c>
      <c r="CN458" s="17" t="str">
        <f t="shared" si="28"/>
        <v>0496</v>
      </c>
      <c r="CO458" s="17" t="str">
        <f t="shared" si="30"/>
        <v>453496みどり市</v>
      </c>
      <c r="CP458" s="17" t="s">
        <v>6243</v>
      </c>
      <c r="CQ458" s="17" t="b">
        <f t="shared" si="31"/>
        <v>1</v>
      </c>
    </row>
    <row r="459" spans="6:95">
      <c r="F459" s="23"/>
      <c r="I459" s="23"/>
      <c r="L459" s="50" t="s">
        <v>6244</v>
      </c>
      <c r="M459" s="17" t="s">
        <v>6245</v>
      </c>
      <c r="N459" s="51" t="s">
        <v>6246</v>
      </c>
      <c r="O459" s="29" t="s">
        <v>1446</v>
      </c>
      <c r="P459" s="29" t="s">
        <v>6247</v>
      </c>
      <c r="Q459" s="29" t="s">
        <v>1446</v>
      </c>
      <c r="R459" s="29" t="s">
        <v>4818</v>
      </c>
      <c r="S459" s="28" t="s">
        <v>1743</v>
      </c>
      <c r="T459" s="28" t="s">
        <v>3251</v>
      </c>
      <c r="U459" s="28" t="s">
        <v>1441</v>
      </c>
      <c r="V459" s="28" t="s">
        <v>1619</v>
      </c>
      <c r="W459" s="28" t="s">
        <v>6248</v>
      </c>
      <c r="X459" s="17">
        <v>1</v>
      </c>
      <c r="CJ459" s="26" t="s">
        <v>1387</v>
      </c>
      <c r="CK459" s="26" t="s">
        <v>2211</v>
      </c>
      <c r="CL459" s="26" t="str">
        <f t="shared" si="29"/>
        <v>群馬県榛東村</v>
      </c>
      <c r="CM459" s="49">
        <v>454</v>
      </c>
      <c r="CN459" s="17" t="str">
        <f t="shared" si="28"/>
        <v>0497</v>
      </c>
      <c r="CO459" s="17" t="str">
        <f t="shared" si="30"/>
        <v>454497榛東村</v>
      </c>
      <c r="CP459" s="17" t="s">
        <v>6249</v>
      </c>
      <c r="CQ459" s="17" t="b">
        <f t="shared" si="31"/>
        <v>1</v>
      </c>
    </row>
    <row r="460" spans="6:95">
      <c r="F460" s="23"/>
      <c r="I460" s="23"/>
      <c r="L460" s="50" t="s">
        <v>6250</v>
      </c>
      <c r="M460" s="17" t="s">
        <v>6251</v>
      </c>
      <c r="N460" s="51" t="s">
        <v>6252</v>
      </c>
      <c r="O460" s="29" t="s">
        <v>1446</v>
      </c>
      <c r="P460" s="29" t="s">
        <v>6253</v>
      </c>
      <c r="Q460" s="29" t="s">
        <v>1446</v>
      </c>
      <c r="R460" s="29" t="s">
        <v>5857</v>
      </c>
      <c r="S460" s="28" t="s">
        <v>2525</v>
      </c>
      <c r="T460" s="28" t="s">
        <v>3276</v>
      </c>
      <c r="U460" s="28" t="s">
        <v>1441</v>
      </c>
      <c r="V460" s="28" t="s">
        <v>1619</v>
      </c>
      <c r="W460" s="28" t="s">
        <v>6254</v>
      </c>
      <c r="X460" s="17">
        <v>1</v>
      </c>
      <c r="CJ460" s="26" t="s">
        <v>1387</v>
      </c>
      <c r="CK460" s="26" t="s">
        <v>2266</v>
      </c>
      <c r="CL460" s="26" t="str">
        <f t="shared" si="29"/>
        <v>群馬県吉岡町</v>
      </c>
      <c r="CM460" s="49">
        <v>455</v>
      </c>
      <c r="CN460" s="17" t="str">
        <f t="shared" si="28"/>
        <v>0498</v>
      </c>
      <c r="CO460" s="17" t="str">
        <f t="shared" si="30"/>
        <v>455498吉岡町</v>
      </c>
      <c r="CP460" s="17" t="s">
        <v>6255</v>
      </c>
      <c r="CQ460" s="17" t="b">
        <f t="shared" si="31"/>
        <v>1</v>
      </c>
    </row>
    <row r="461" spans="6:95">
      <c r="F461" s="23"/>
      <c r="I461" s="23"/>
      <c r="L461" s="50" t="s">
        <v>6256</v>
      </c>
      <c r="M461" s="17" t="s">
        <v>6257</v>
      </c>
      <c r="N461" s="51" t="s">
        <v>6258</v>
      </c>
      <c r="O461" s="29" t="s">
        <v>1446</v>
      </c>
      <c r="P461" s="29" t="s">
        <v>6259</v>
      </c>
      <c r="Q461" s="29" t="s">
        <v>1446</v>
      </c>
      <c r="R461" s="29" t="s">
        <v>5943</v>
      </c>
      <c r="S461" s="28" t="s">
        <v>1502</v>
      </c>
      <c r="T461" s="28" t="s">
        <v>3298</v>
      </c>
      <c r="U461" s="28" t="s">
        <v>1441</v>
      </c>
      <c r="V461" s="28" t="s">
        <v>1619</v>
      </c>
      <c r="W461" s="28" t="s">
        <v>6260</v>
      </c>
      <c r="X461" s="17">
        <v>1</v>
      </c>
      <c r="CJ461" s="26" t="s">
        <v>1387</v>
      </c>
      <c r="CK461" s="26" t="s">
        <v>2322</v>
      </c>
      <c r="CL461" s="26" t="str">
        <f t="shared" si="29"/>
        <v>群馬県上野村</v>
      </c>
      <c r="CM461" s="49">
        <v>456</v>
      </c>
      <c r="CN461" s="17" t="str">
        <f t="shared" si="28"/>
        <v>0499</v>
      </c>
      <c r="CO461" s="17" t="str">
        <f t="shared" si="30"/>
        <v>456499上野村</v>
      </c>
      <c r="CP461" s="17" t="s">
        <v>6261</v>
      </c>
      <c r="CQ461" s="17" t="b">
        <f t="shared" si="31"/>
        <v>1</v>
      </c>
    </row>
    <row r="462" spans="6:95">
      <c r="F462" s="23"/>
      <c r="I462" s="23"/>
      <c r="L462" s="50" t="s">
        <v>6262</v>
      </c>
      <c r="M462" s="17" t="s">
        <v>6263</v>
      </c>
      <c r="N462" s="51" t="s">
        <v>6264</v>
      </c>
      <c r="O462" s="29" t="s">
        <v>1446</v>
      </c>
      <c r="P462" s="29" t="s">
        <v>6265</v>
      </c>
      <c r="Q462" s="29" t="s">
        <v>1446</v>
      </c>
      <c r="R462" s="29" t="s">
        <v>5964</v>
      </c>
      <c r="S462" s="28" t="s">
        <v>2311</v>
      </c>
      <c r="T462" s="28" t="s">
        <v>3320</v>
      </c>
      <c r="U462" s="28" t="s">
        <v>1441</v>
      </c>
      <c r="V462" s="28" t="s">
        <v>1619</v>
      </c>
      <c r="W462" s="28" t="s">
        <v>6266</v>
      </c>
      <c r="X462" s="17">
        <v>1</v>
      </c>
      <c r="CJ462" s="26" t="s">
        <v>1387</v>
      </c>
      <c r="CK462" s="26" t="s">
        <v>2376</v>
      </c>
      <c r="CL462" s="26" t="str">
        <f t="shared" si="29"/>
        <v>群馬県神流町</v>
      </c>
      <c r="CM462" s="49">
        <v>457</v>
      </c>
      <c r="CN462" s="17" t="str">
        <f t="shared" si="28"/>
        <v>0500</v>
      </c>
      <c r="CO462" s="17" t="str">
        <f t="shared" si="30"/>
        <v>457500神流町</v>
      </c>
      <c r="CP462" s="17" t="s">
        <v>6267</v>
      </c>
      <c r="CQ462" s="17" t="b">
        <f t="shared" si="31"/>
        <v>1</v>
      </c>
    </row>
    <row r="463" spans="6:95">
      <c r="F463" s="23"/>
      <c r="I463" s="23"/>
      <c r="L463" s="50" t="s">
        <v>6268</v>
      </c>
      <c r="M463" s="17" t="s">
        <v>6269</v>
      </c>
      <c r="N463" s="51" t="s">
        <v>6270</v>
      </c>
      <c r="O463" s="29" t="s">
        <v>1446</v>
      </c>
      <c r="P463" s="29" t="s">
        <v>6271</v>
      </c>
      <c r="Q463" s="29" t="s">
        <v>1446</v>
      </c>
      <c r="R463" s="29" t="s">
        <v>3936</v>
      </c>
      <c r="S463" s="28" t="s">
        <v>1743</v>
      </c>
      <c r="T463" s="28" t="s">
        <v>3341</v>
      </c>
      <c r="U463" s="28" t="s">
        <v>1441</v>
      </c>
      <c r="V463" s="28" t="s">
        <v>1619</v>
      </c>
      <c r="W463" s="28" t="s">
        <v>6271</v>
      </c>
      <c r="X463" s="17">
        <v>1</v>
      </c>
      <c r="CJ463" s="26" t="s">
        <v>1387</v>
      </c>
      <c r="CK463" s="26" t="s">
        <v>2431</v>
      </c>
      <c r="CL463" s="26" t="str">
        <f t="shared" si="29"/>
        <v>群馬県下仁田町</v>
      </c>
      <c r="CM463" s="49">
        <v>458</v>
      </c>
      <c r="CN463" s="17" t="str">
        <f t="shared" si="28"/>
        <v>0501</v>
      </c>
      <c r="CO463" s="17" t="str">
        <f t="shared" si="30"/>
        <v>458501下仁田町</v>
      </c>
      <c r="CP463" s="17" t="s">
        <v>6272</v>
      </c>
      <c r="CQ463" s="17" t="b">
        <f t="shared" si="31"/>
        <v>1</v>
      </c>
    </row>
    <row r="464" spans="6:95">
      <c r="F464" s="23"/>
      <c r="I464" s="23"/>
      <c r="L464" s="50" t="s">
        <v>6273</v>
      </c>
      <c r="M464" s="17" t="s">
        <v>6274</v>
      </c>
      <c r="N464" s="51" t="s">
        <v>6275</v>
      </c>
      <c r="O464" s="29" t="s">
        <v>1446</v>
      </c>
      <c r="P464" s="29" t="s">
        <v>6276</v>
      </c>
      <c r="Q464" s="29" t="s">
        <v>1446</v>
      </c>
      <c r="R464" s="29" t="s">
        <v>4021</v>
      </c>
      <c r="S464" s="28" t="s">
        <v>1502</v>
      </c>
      <c r="T464" s="28" t="s">
        <v>3362</v>
      </c>
      <c r="U464" s="28" t="s">
        <v>1441</v>
      </c>
      <c r="V464" s="28" t="s">
        <v>1619</v>
      </c>
      <c r="W464" s="28" t="s">
        <v>6277</v>
      </c>
      <c r="X464" s="17">
        <v>1</v>
      </c>
      <c r="CJ464" s="26" t="s">
        <v>1387</v>
      </c>
      <c r="CK464" s="26" t="s">
        <v>2484</v>
      </c>
      <c r="CL464" s="26" t="str">
        <f t="shared" si="29"/>
        <v>群馬県南牧村</v>
      </c>
      <c r="CM464" s="49">
        <v>459</v>
      </c>
      <c r="CN464" s="17" t="str">
        <f t="shared" si="28"/>
        <v>0502</v>
      </c>
      <c r="CO464" s="17" t="str">
        <f t="shared" si="30"/>
        <v>459502南牧村</v>
      </c>
      <c r="CP464" s="17" t="s">
        <v>6278</v>
      </c>
      <c r="CQ464" s="17" t="b">
        <f t="shared" si="31"/>
        <v>1</v>
      </c>
    </row>
    <row r="465" spans="6:95">
      <c r="F465" s="23"/>
      <c r="I465" s="23"/>
      <c r="L465" s="50" t="s">
        <v>6279</v>
      </c>
      <c r="M465" s="17" t="s">
        <v>6280</v>
      </c>
      <c r="N465" s="51" t="s">
        <v>6281</v>
      </c>
      <c r="O465" s="29" t="s">
        <v>1447</v>
      </c>
      <c r="P465" s="29" t="s">
        <v>6282</v>
      </c>
      <c r="Q465" s="29" t="s">
        <v>1447</v>
      </c>
      <c r="R465" s="29" t="s">
        <v>4593</v>
      </c>
      <c r="S465" s="28" t="s">
        <v>2525</v>
      </c>
      <c r="T465" s="28" t="s">
        <v>1512</v>
      </c>
      <c r="U465" s="28" t="s">
        <v>1441</v>
      </c>
      <c r="V465" s="28" t="s">
        <v>1619</v>
      </c>
      <c r="W465" s="28" t="s">
        <v>6283</v>
      </c>
      <c r="X465" s="17">
        <v>1</v>
      </c>
      <c r="CJ465" s="26" t="s">
        <v>1387</v>
      </c>
      <c r="CK465" s="26" t="s">
        <v>2536</v>
      </c>
      <c r="CL465" s="26" t="str">
        <f t="shared" si="29"/>
        <v>群馬県甘楽町</v>
      </c>
      <c r="CM465" s="49">
        <v>460</v>
      </c>
      <c r="CN465" s="17" t="str">
        <f t="shared" si="28"/>
        <v>0503</v>
      </c>
      <c r="CO465" s="17" t="str">
        <f t="shared" si="30"/>
        <v>460503甘楽町</v>
      </c>
      <c r="CP465" s="17" t="s">
        <v>6284</v>
      </c>
      <c r="CQ465" s="17" t="b">
        <f t="shared" si="31"/>
        <v>1</v>
      </c>
    </row>
    <row r="466" spans="6:95">
      <c r="F466" s="23"/>
      <c r="I466" s="23"/>
      <c r="L466" s="50" t="s">
        <v>6285</v>
      </c>
      <c r="M466" s="17" t="s">
        <v>6286</v>
      </c>
      <c r="N466" s="51" t="s">
        <v>6287</v>
      </c>
      <c r="O466" s="29" t="s">
        <v>1447</v>
      </c>
      <c r="P466" s="29" t="s">
        <v>6288</v>
      </c>
      <c r="Q466" s="29" t="s">
        <v>1447</v>
      </c>
      <c r="R466" s="29" t="s">
        <v>1563</v>
      </c>
      <c r="S466" s="28" t="s">
        <v>2311</v>
      </c>
      <c r="T466" s="28" t="s">
        <v>1574</v>
      </c>
      <c r="U466" s="28" t="s">
        <v>1441</v>
      </c>
      <c r="V466" s="28" t="s">
        <v>1619</v>
      </c>
      <c r="W466" s="28" t="s">
        <v>6289</v>
      </c>
      <c r="X466" s="17">
        <v>1</v>
      </c>
      <c r="CJ466" s="26" t="s">
        <v>1387</v>
      </c>
      <c r="CK466" s="26" t="s">
        <v>2586</v>
      </c>
      <c r="CL466" s="26" t="str">
        <f t="shared" si="29"/>
        <v>群馬県中之条町</v>
      </c>
      <c r="CM466" s="49">
        <v>461</v>
      </c>
      <c r="CN466" s="17" t="str">
        <f t="shared" si="28"/>
        <v>0504</v>
      </c>
      <c r="CO466" s="17" t="str">
        <f t="shared" si="30"/>
        <v>461504中之条町</v>
      </c>
      <c r="CP466" s="17" t="s">
        <v>6290</v>
      </c>
      <c r="CQ466" s="17" t="b">
        <f t="shared" si="31"/>
        <v>1</v>
      </c>
    </row>
    <row r="467" spans="6:95">
      <c r="F467" s="23"/>
      <c r="I467" s="23"/>
      <c r="L467" s="50" t="s">
        <v>6291</v>
      </c>
      <c r="M467" s="17" t="s">
        <v>6292</v>
      </c>
      <c r="N467" s="51" t="s">
        <v>6293</v>
      </c>
      <c r="O467" s="29" t="s">
        <v>1447</v>
      </c>
      <c r="P467" s="29" t="s">
        <v>6294</v>
      </c>
      <c r="Q467" s="29" t="s">
        <v>1447</v>
      </c>
      <c r="R467" s="29" t="s">
        <v>1625</v>
      </c>
      <c r="S467" s="28" t="s">
        <v>1564</v>
      </c>
      <c r="T467" s="28" t="s">
        <v>1636</v>
      </c>
      <c r="U467" s="28" t="s">
        <v>1441</v>
      </c>
      <c r="V467" s="28" t="s">
        <v>1619</v>
      </c>
      <c r="W467" s="28" t="s">
        <v>6295</v>
      </c>
      <c r="X467" s="17">
        <v>1</v>
      </c>
      <c r="CJ467" s="26" t="s">
        <v>1387</v>
      </c>
      <c r="CK467" s="26" t="s">
        <v>2633</v>
      </c>
      <c r="CL467" s="26" t="str">
        <f t="shared" si="29"/>
        <v>群馬県長野原町</v>
      </c>
      <c r="CM467" s="49">
        <v>462</v>
      </c>
      <c r="CN467" s="17" t="str">
        <f t="shared" si="28"/>
        <v>0505</v>
      </c>
      <c r="CO467" s="17" t="str">
        <f t="shared" si="30"/>
        <v>462505長野原町</v>
      </c>
      <c r="CP467" s="17" t="s">
        <v>6296</v>
      </c>
      <c r="CQ467" s="17" t="b">
        <f t="shared" si="31"/>
        <v>1</v>
      </c>
    </row>
    <row r="468" spans="6:95">
      <c r="F468" s="23"/>
      <c r="I468" s="23"/>
      <c r="L468" s="50" t="s">
        <v>6297</v>
      </c>
      <c r="M468" s="17" t="s">
        <v>6298</v>
      </c>
      <c r="N468" s="51" t="s">
        <v>6299</v>
      </c>
      <c r="O468" s="29" t="s">
        <v>1447</v>
      </c>
      <c r="P468" s="29" t="s">
        <v>6300</v>
      </c>
      <c r="Q468" s="29" t="s">
        <v>1447</v>
      </c>
      <c r="R468" s="29" t="s">
        <v>1684</v>
      </c>
      <c r="S468" s="28" t="s">
        <v>1626</v>
      </c>
      <c r="T468" s="28" t="s">
        <v>1694</v>
      </c>
      <c r="U468" s="28" t="s">
        <v>1441</v>
      </c>
      <c r="V468" s="28" t="s">
        <v>1619</v>
      </c>
      <c r="W468" s="28" t="s">
        <v>6301</v>
      </c>
      <c r="X468" s="17">
        <v>1</v>
      </c>
      <c r="CJ468" s="26" t="s">
        <v>1387</v>
      </c>
      <c r="CK468" s="26" t="s">
        <v>2679</v>
      </c>
      <c r="CL468" s="26" t="str">
        <f t="shared" si="29"/>
        <v>群馬県嬬恋村</v>
      </c>
      <c r="CM468" s="49">
        <v>463</v>
      </c>
      <c r="CN468" s="17" t="str">
        <f t="shared" si="28"/>
        <v>0506</v>
      </c>
      <c r="CO468" s="17" t="str">
        <f t="shared" si="30"/>
        <v>463506嬬恋村</v>
      </c>
      <c r="CP468" s="17" t="s">
        <v>6302</v>
      </c>
      <c r="CQ468" s="17" t="b">
        <f t="shared" si="31"/>
        <v>1</v>
      </c>
    </row>
    <row r="469" spans="6:95">
      <c r="F469" s="23"/>
      <c r="I469" s="23"/>
      <c r="L469" s="50" t="s">
        <v>6303</v>
      </c>
      <c r="M469" s="17" t="s">
        <v>6304</v>
      </c>
      <c r="N469" s="51" t="s">
        <v>6305</v>
      </c>
      <c r="O469" s="29" t="s">
        <v>1447</v>
      </c>
      <c r="P469" s="29" t="s">
        <v>6306</v>
      </c>
      <c r="Q469" s="29" t="s">
        <v>1447</v>
      </c>
      <c r="R469" s="29" t="s">
        <v>1742</v>
      </c>
      <c r="S469" s="28" t="s">
        <v>1977</v>
      </c>
      <c r="T469" s="28" t="s">
        <v>1753</v>
      </c>
      <c r="U469" s="28" t="s">
        <v>1441</v>
      </c>
      <c r="V469" s="28" t="s">
        <v>1619</v>
      </c>
      <c r="W469" s="28" t="s">
        <v>6307</v>
      </c>
      <c r="X469" s="17">
        <v>1</v>
      </c>
      <c r="CJ469" s="26" t="s">
        <v>1387</v>
      </c>
      <c r="CK469" s="26" t="s">
        <v>2725</v>
      </c>
      <c r="CL469" s="26" t="str">
        <f t="shared" si="29"/>
        <v>群馬県草津町</v>
      </c>
      <c r="CM469" s="49">
        <v>464</v>
      </c>
      <c r="CN469" s="17" t="str">
        <f t="shared" si="28"/>
        <v>0507</v>
      </c>
      <c r="CO469" s="17" t="str">
        <f t="shared" si="30"/>
        <v>464507草津町</v>
      </c>
      <c r="CP469" s="17" t="s">
        <v>6308</v>
      </c>
      <c r="CQ469" s="17" t="b">
        <f t="shared" si="31"/>
        <v>1</v>
      </c>
    </row>
    <row r="470" spans="6:95">
      <c r="F470" s="23"/>
      <c r="I470" s="23"/>
      <c r="L470" s="50" t="s">
        <v>6309</v>
      </c>
      <c r="M470" s="17" t="s">
        <v>6310</v>
      </c>
      <c r="N470" s="51" t="s">
        <v>6311</v>
      </c>
      <c r="O470" s="29" t="s">
        <v>1447</v>
      </c>
      <c r="P470" s="29" t="s">
        <v>6312</v>
      </c>
      <c r="Q470" s="29" t="s">
        <v>1447</v>
      </c>
      <c r="R470" s="29" t="s">
        <v>1802</v>
      </c>
      <c r="S470" s="28" t="s">
        <v>1743</v>
      </c>
      <c r="T470" s="28" t="s">
        <v>1813</v>
      </c>
      <c r="U470" s="28" t="s">
        <v>1441</v>
      </c>
      <c r="V470" s="28" t="s">
        <v>1619</v>
      </c>
      <c r="W470" s="28" t="s">
        <v>6313</v>
      </c>
      <c r="X470" s="17">
        <v>1</v>
      </c>
      <c r="CJ470" s="26" t="s">
        <v>1387</v>
      </c>
      <c r="CK470" s="26" t="s">
        <v>2769</v>
      </c>
      <c r="CL470" s="26" t="str">
        <f t="shared" si="29"/>
        <v>群馬県高山村</v>
      </c>
      <c r="CM470" s="49">
        <v>465</v>
      </c>
      <c r="CN470" s="17" t="str">
        <f t="shared" si="28"/>
        <v>0508</v>
      </c>
      <c r="CO470" s="17" t="str">
        <f t="shared" si="30"/>
        <v>465508高山村</v>
      </c>
      <c r="CP470" s="17" t="s">
        <v>6314</v>
      </c>
      <c r="CQ470" s="17" t="b">
        <f t="shared" si="31"/>
        <v>1</v>
      </c>
    </row>
    <row r="471" spans="6:95">
      <c r="F471" s="23"/>
      <c r="I471" s="23"/>
      <c r="L471" s="50" t="s">
        <v>6315</v>
      </c>
      <c r="M471" s="17" t="s">
        <v>6316</v>
      </c>
      <c r="N471" s="51" t="s">
        <v>6317</v>
      </c>
      <c r="O471" s="29" t="s">
        <v>1447</v>
      </c>
      <c r="P471" s="29" t="s">
        <v>6318</v>
      </c>
      <c r="Q471" s="29" t="s">
        <v>1447</v>
      </c>
      <c r="R471" s="29" t="s">
        <v>1919</v>
      </c>
      <c r="S471" s="28" t="s">
        <v>1862</v>
      </c>
      <c r="T471" s="28" t="s">
        <v>1872</v>
      </c>
      <c r="U471" s="28" t="s">
        <v>1441</v>
      </c>
      <c r="V471" s="28" t="s">
        <v>1619</v>
      </c>
      <c r="W471" s="28" t="s">
        <v>6319</v>
      </c>
      <c r="X471" s="17">
        <v>1</v>
      </c>
      <c r="CJ471" s="26" t="s">
        <v>1387</v>
      </c>
      <c r="CK471" s="26" t="s">
        <v>2811</v>
      </c>
      <c r="CL471" s="26" t="str">
        <f t="shared" si="29"/>
        <v>群馬県東吾妻町</v>
      </c>
      <c r="CM471" s="49">
        <v>466</v>
      </c>
      <c r="CN471" s="17" t="str">
        <f t="shared" si="28"/>
        <v>0509</v>
      </c>
      <c r="CO471" s="17" t="str">
        <f t="shared" si="30"/>
        <v>466509東吾妻町</v>
      </c>
      <c r="CP471" s="17" t="s">
        <v>6320</v>
      </c>
      <c r="CQ471" s="17" t="b">
        <f t="shared" si="31"/>
        <v>1</v>
      </c>
    </row>
    <row r="472" spans="6:95">
      <c r="F472" s="23"/>
      <c r="I472" s="23"/>
      <c r="L472" s="50" t="s">
        <v>6321</v>
      </c>
      <c r="M472" s="17" t="s">
        <v>6322</v>
      </c>
      <c r="N472" s="51" t="s">
        <v>6323</v>
      </c>
      <c r="O472" s="29" t="s">
        <v>1447</v>
      </c>
      <c r="P472" s="29" t="s">
        <v>6324</v>
      </c>
      <c r="Q472" s="29" t="s">
        <v>1447</v>
      </c>
      <c r="R472" s="29" t="s">
        <v>1976</v>
      </c>
      <c r="S472" s="28" t="s">
        <v>1920</v>
      </c>
      <c r="T472" s="28" t="s">
        <v>1930</v>
      </c>
      <c r="U472" s="28" t="s">
        <v>1441</v>
      </c>
      <c r="V472" s="28" t="s">
        <v>1619</v>
      </c>
      <c r="W472" s="28" t="s">
        <v>6325</v>
      </c>
      <c r="X472" s="17">
        <v>1</v>
      </c>
      <c r="CJ472" s="26" t="s">
        <v>1387</v>
      </c>
      <c r="CK472" s="26" t="s">
        <v>2851</v>
      </c>
      <c r="CL472" s="26" t="str">
        <f t="shared" si="29"/>
        <v>群馬県片品村</v>
      </c>
      <c r="CM472" s="49">
        <v>467</v>
      </c>
      <c r="CN472" s="17" t="str">
        <f t="shared" si="28"/>
        <v>0510</v>
      </c>
      <c r="CO472" s="17" t="str">
        <f t="shared" si="30"/>
        <v>467510片品村</v>
      </c>
      <c r="CP472" s="17" t="s">
        <v>6326</v>
      </c>
      <c r="CQ472" s="17" t="b">
        <f t="shared" si="31"/>
        <v>1</v>
      </c>
    </row>
    <row r="473" spans="6:95">
      <c r="F473" s="23"/>
      <c r="I473" s="23"/>
      <c r="L473" s="50" t="s">
        <v>6327</v>
      </c>
      <c r="M473" s="17" t="s">
        <v>6328</v>
      </c>
      <c r="N473" s="51" t="s">
        <v>6329</v>
      </c>
      <c r="O473" s="29" t="s">
        <v>1447</v>
      </c>
      <c r="P473" s="29" t="s">
        <v>6330</v>
      </c>
      <c r="Q473" s="29" t="s">
        <v>1447</v>
      </c>
      <c r="R473" s="29" t="s">
        <v>2033</v>
      </c>
      <c r="S473" s="28" t="s">
        <v>1977</v>
      </c>
      <c r="T473" s="28" t="s">
        <v>1987</v>
      </c>
      <c r="U473" s="28" t="s">
        <v>1441</v>
      </c>
      <c r="V473" s="28" t="s">
        <v>1619</v>
      </c>
      <c r="W473" s="28" t="s">
        <v>6331</v>
      </c>
      <c r="X473" s="17">
        <v>1</v>
      </c>
      <c r="CJ473" s="26" t="s">
        <v>1387</v>
      </c>
      <c r="CK473" s="26" t="s">
        <v>2890</v>
      </c>
      <c r="CL473" s="26" t="str">
        <f t="shared" si="29"/>
        <v>群馬県川場村</v>
      </c>
      <c r="CM473" s="49">
        <v>468</v>
      </c>
      <c r="CN473" s="17" t="str">
        <f t="shared" si="28"/>
        <v>0511</v>
      </c>
      <c r="CO473" s="17" t="str">
        <f t="shared" si="30"/>
        <v>468511川場村</v>
      </c>
      <c r="CP473" s="17" t="s">
        <v>6332</v>
      </c>
      <c r="CQ473" s="17" t="b">
        <f t="shared" si="31"/>
        <v>1</v>
      </c>
    </row>
    <row r="474" spans="6:95">
      <c r="F474" s="23"/>
      <c r="I474" s="23"/>
      <c r="L474" s="50" t="s">
        <v>6333</v>
      </c>
      <c r="M474" s="17" t="s">
        <v>6334</v>
      </c>
      <c r="N474" s="51" t="s">
        <v>6335</v>
      </c>
      <c r="O474" s="29" t="s">
        <v>1447</v>
      </c>
      <c r="P474" s="29" t="s">
        <v>6336</v>
      </c>
      <c r="Q474" s="29" t="s">
        <v>1447</v>
      </c>
      <c r="R474" s="29" t="s">
        <v>2089</v>
      </c>
      <c r="S474" s="28" t="s">
        <v>1743</v>
      </c>
      <c r="T474" s="28" t="s">
        <v>2043</v>
      </c>
      <c r="U474" s="28" t="s">
        <v>1441</v>
      </c>
      <c r="V474" s="28" t="s">
        <v>1619</v>
      </c>
      <c r="W474" s="28" t="s">
        <v>6337</v>
      </c>
      <c r="X474" s="17">
        <v>1</v>
      </c>
      <c r="CJ474" s="26" t="s">
        <v>1387</v>
      </c>
      <c r="CK474" s="26" t="s">
        <v>2927</v>
      </c>
      <c r="CL474" s="26" t="str">
        <f t="shared" si="29"/>
        <v>群馬県昭和村</v>
      </c>
      <c r="CM474" s="49">
        <v>469</v>
      </c>
      <c r="CN474" s="17" t="str">
        <f t="shared" si="28"/>
        <v>0512</v>
      </c>
      <c r="CO474" s="17" t="str">
        <f t="shared" si="30"/>
        <v>469512昭和村</v>
      </c>
      <c r="CP474" s="17" t="s">
        <v>6338</v>
      </c>
      <c r="CQ474" s="17" t="b">
        <f t="shared" si="31"/>
        <v>1</v>
      </c>
    </row>
    <row r="475" spans="6:95">
      <c r="F475" s="23"/>
      <c r="I475" s="23"/>
      <c r="L475" s="50" t="s">
        <v>6339</v>
      </c>
      <c r="M475" s="17" t="s">
        <v>6340</v>
      </c>
      <c r="N475" s="51" t="s">
        <v>6341</v>
      </c>
      <c r="O475" s="29" t="s">
        <v>1447</v>
      </c>
      <c r="P475" s="29" t="s">
        <v>6342</v>
      </c>
      <c r="Q475" s="29" t="s">
        <v>1447</v>
      </c>
      <c r="R475" s="29" t="s">
        <v>2200</v>
      </c>
      <c r="S475" s="28" t="s">
        <v>1862</v>
      </c>
      <c r="T475" s="28" t="s">
        <v>2099</v>
      </c>
      <c r="U475" s="28" t="s">
        <v>1441</v>
      </c>
      <c r="V475" s="28" t="s">
        <v>1619</v>
      </c>
      <c r="W475" s="28" t="s">
        <v>6343</v>
      </c>
      <c r="X475" s="17">
        <v>1</v>
      </c>
      <c r="CJ475" s="26" t="s">
        <v>1387</v>
      </c>
      <c r="CK475" s="26" t="s">
        <v>2961</v>
      </c>
      <c r="CL475" s="26" t="str">
        <f t="shared" si="29"/>
        <v>群馬県みなかみ町</v>
      </c>
      <c r="CM475" s="49">
        <v>470</v>
      </c>
      <c r="CN475" s="17" t="str">
        <f t="shared" si="28"/>
        <v>0513</v>
      </c>
      <c r="CO475" s="17" t="str">
        <f t="shared" si="30"/>
        <v>470513みなかみ町</v>
      </c>
      <c r="CP475" s="17" t="s">
        <v>6344</v>
      </c>
      <c r="CQ475" s="17" t="b">
        <f t="shared" si="31"/>
        <v>1</v>
      </c>
    </row>
    <row r="476" spans="6:95">
      <c r="F476" s="23"/>
      <c r="I476" s="23"/>
      <c r="L476" s="50" t="s">
        <v>6345</v>
      </c>
      <c r="M476" s="17" t="s">
        <v>6346</v>
      </c>
      <c r="N476" s="51" t="s">
        <v>6347</v>
      </c>
      <c r="O476" s="29" t="s">
        <v>1447</v>
      </c>
      <c r="P476" s="29" t="s">
        <v>6348</v>
      </c>
      <c r="Q476" s="29" t="s">
        <v>1447</v>
      </c>
      <c r="R476" s="29" t="s">
        <v>2255</v>
      </c>
      <c r="S476" s="28" t="s">
        <v>1920</v>
      </c>
      <c r="T476" s="28" t="s">
        <v>2155</v>
      </c>
      <c r="U476" s="28" t="s">
        <v>1441</v>
      </c>
      <c r="V476" s="28" t="s">
        <v>1619</v>
      </c>
      <c r="W476" s="28" t="s">
        <v>6349</v>
      </c>
      <c r="X476" s="17">
        <v>1</v>
      </c>
      <c r="CJ476" s="26" t="s">
        <v>1387</v>
      </c>
      <c r="CK476" s="26" t="s">
        <v>2994</v>
      </c>
      <c r="CL476" s="26" t="str">
        <f t="shared" si="29"/>
        <v>群馬県玉村町</v>
      </c>
      <c r="CM476" s="49">
        <v>471</v>
      </c>
      <c r="CN476" s="17" t="str">
        <f t="shared" si="28"/>
        <v>0514</v>
      </c>
      <c r="CO476" s="17" t="str">
        <f t="shared" si="30"/>
        <v>471514玉村町</v>
      </c>
      <c r="CP476" s="17" t="s">
        <v>6350</v>
      </c>
      <c r="CQ476" s="17" t="b">
        <f t="shared" si="31"/>
        <v>1</v>
      </c>
    </row>
    <row r="477" spans="6:95">
      <c r="F477" s="23"/>
      <c r="I477" s="23"/>
      <c r="L477" s="50" t="s">
        <v>6351</v>
      </c>
      <c r="M477" s="17" t="s">
        <v>6352</v>
      </c>
      <c r="N477" s="51" t="s">
        <v>6353</v>
      </c>
      <c r="O477" s="29" t="s">
        <v>1447</v>
      </c>
      <c r="P477" s="29" t="s">
        <v>6354</v>
      </c>
      <c r="Q477" s="29" t="s">
        <v>1447</v>
      </c>
      <c r="R477" s="29" t="s">
        <v>2310</v>
      </c>
      <c r="S477" s="28" t="s">
        <v>2525</v>
      </c>
      <c r="T477" s="28" t="s">
        <v>2210</v>
      </c>
      <c r="U477" s="28" t="s">
        <v>1441</v>
      </c>
      <c r="V477" s="28" t="s">
        <v>1619</v>
      </c>
      <c r="W477" s="28" t="s">
        <v>6355</v>
      </c>
      <c r="X477" s="17">
        <v>1</v>
      </c>
      <c r="CJ477" s="26" t="s">
        <v>1387</v>
      </c>
      <c r="CK477" s="26" t="s">
        <v>3028</v>
      </c>
      <c r="CL477" s="26" t="str">
        <f t="shared" si="29"/>
        <v>群馬県板倉町</v>
      </c>
      <c r="CM477" s="49">
        <v>472</v>
      </c>
      <c r="CN477" s="17" t="str">
        <f t="shared" si="28"/>
        <v>0515</v>
      </c>
      <c r="CO477" s="17" t="str">
        <f t="shared" si="30"/>
        <v>472515板倉町</v>
      </c>
      <c r="CP477" s="17" t="s">
        <v>6356</v>
      </c>
      <c r="CQ477" s="17" t="b">
        <f t="shared" si="31"/>
        <v>1</v>
      </c>
    </row>
    <row r="478" spans="6:95">
      <c r="F478" s="23"/>
      <c r="I478" s="23"/>
      <c r="L478" s="50" t="s">
        <v>6357</v>
      </c>
      <c r="M478" s="17" t="s">
        <v>6358</v>
      </c>
      <c r="N478" s="51" t="s">
        <v>6359</v>
      </c>
      <c r="O478" s="29" t="s">
        <v>1447</v>
      </c>
      <c r="P478" s="29" t="s">
        <v>6360</v>
      </c>
      <c r="Q478" s="29" t="s">
        <v>1447</v>
      </c>
      <c r="R478" s="29" t="s">
        <v>2365</v>
      </c>
      <c r="S478" s="28" t="s">
        <v>2311</v>
      </c>
      <c r="T478" s="28" t="s">
        <v>2265</v>
      </c>
      <c r="U478" s="28" t="s">
        <v>1441</v>
      </c>
      <c r="V478" s="28" t="s">
        <v>1619</v>
      </c>
      <c r="W478" s="28" t="s">
        <v>6361</v>
      </c>
      <c r="X478" s="17">
        <v>1</v>
      </c>
      <c r="CJ478" s="26" t="s">
        <v>1387</v>
      </c>
      <c r="CK478" s="26" t="s">
        <v>2445</v>
      </c>
      <c r="CL478" s="26" t="str">
        <f t="shared" si="29"/>
        <v>群馬県明和町</v>
      </c>
      <c r="CM478" s="49">
        <v>473</v>
      </c>
      <c r="CN478" s="17" t="str">
        <f t="shared" si="28"/>
        <v>0516</v>
      </c>
      <c r="CO478" s="17" t="str">
        <f t="shared" si="30"/>
        <v>473516明和町</v>
      </c>
      <c r="CP478" s="17" t="s">
        <v>6362</v>
      </c>
      <c r="CQ478" s="17" t="b">
        <f t="shared" si="31"/>
        <v>1</v>
      </c>
    </row>
    <row r="479" spans="6:95">
      <c r="F479" s="23"/>
      <c r="I479" s="23"/>
      <c r="L479" s="50" t="s">
        <v>6363</v>
      </c>
      <c r="M479" s="17" t="s">
        <v>6364</v>
      </c>
      <c r="N479" s="51" t="s">
        <v>6365</v>
      </c>
      <c r="O479" s="29" t="s">
        <v>1447</v>
      </c>
      <c r="P479" s="29" t="s">
        <v>6366</v>
      </c>
      <c r="Q479" s="29" t="s">
        <v>1447</v>
      </c>
      <c r="R479" s="29" t="s">
        <v>4653</v>
      </c>
      <c r="S479" s="28" t="s">
        <v>2311</v>
      </c>
      <c r="T479" s="28" t="s">
        <v>2321</v>
      </c>
      <c r="U479" s="28" t="s">
        <v>1441</v>
      </c>
      <c r="V479" s="28" t="s">
        <v>1619</v>
      </c>
      <c r="W479" s="28" t="s">
        <v>6367</v>
      </c>
      <c r="X479" s="17">
        <v>1</v>
      </c>
      <c r="CJ479" s="26" t="s">
        <v>1387</v>
      </c>
      <c r="CK479" s="26" t="s">
        <v>3089</v>
      </c>
      <c r="CL479" s="26" t="str">
        <f t="shared" si="29"/>
        <v>群馬県千代田町</v>
      </c>
      <c r="CM479" s="49">
        <v>474</v>
      </c>
      <c r="CN479" s="17" t="str">
        <f t="shared" si="28"/>
        <v>0517</v>
      </c>
      <c r="CO479" s="17" t="str">
        <f t="shared" si="30"/>
        <v>474517千代田町</v>
      </c>
      <c r="CP479" s="17" t="s">
        <v>6368</v>
      </c>
      <c r="CQ479" s="17" t="b">
        <f t="shared" si="31"/>
        <v>1</v>
      </c>
    </row>
    <row r="480" spans="6:95">
      <c r="F480" s="23"/>
      <c r="I480" s="23"/>
      <c r="L480" s="50" t="s">
        <v>6369</v>
      </c>
      <c r="M480" s="17" t="s">
        <v>6370</v>
      </c>
      <c r="N480" s="51" t="s">
        <v>6371</v>
      </c>
      <c r="O480" s="29" t="s">
        <v>1447</v>
      </c>
      <c r="P480" s="29" t="s">
        <v>6372</v>
      </c>
      <c r="Q480" s="29" t="s">
        <v>1447</v>
      </c>
      <c r="R480" s="29" t="s">
        <v>5760</v>
      </c>
      <c r="S480" s="28" t="s">
        <v>1502</v>
      </c>
      <c r="T480" s="28" t="s">
        <v>2375</v>
      </c>
      <c r="U480" s="28" t="s">
        <v>1441</v>
      </c>
      <c r="V480" s="28" t="s">
        <v>1619</v>
      </c>
      <c r="W480" s="28" t="s">
        <v>6373</v>
      </c>
      <c r="X480" s="17">
        <v>1</v>
      </c>
      <c r="CJ480" s="26" t="s">
        <v>1387</v>
      </c>
      <c r="CK480" s="26" t="s">
        <v>3121</v>
      </c>
      <c r="CL480" s="26" t="str">
        <f t="shared" si="29"/>
        <v>群馬県大泉町</v>
      </c>
      <c r="CM480" s="49">
        <v>475</v>
      </c>
      <c r="CN480" s="17" t="str">
        <f t="shared" si="28"/>
        <v>0518</v>
      </c>
      <c r="CO480" s="17" t="str">
        <f t="shared" si="30"/>
        <v>475518大泉町</v>
      </c>
      <c r="CP480" s="17" t="s">
        <v>6374</v>
      </c>
      <c r="CQ480" s="17" t="b">
        <f t="shared" si="31"/>
        <v>1</v>
      </c>
    </row>
    <row r="481" spans="6:95">
      <c r="F481" s="23"/>
      <c r="I481" s="23"/>
      <c r="L481" s="50" t="s">
        <v>6375</v>
      </c>
      <c r="M481" s="17" t="s">
        <v>6376</v>
      </c>
      <c r="N481" s="51" t="s">
        <v>6377</v>
      </c>
      <c r="O481" s="29" t="s">
        <v>1447</v>
      </c>
      <c r="P481" s="29" t="s">
        <v>6378</v>
      </c>
      <c r="Q481" s="29" t="s">
        <v>1447</v>
      </c>
      <c r="R481" s="29" t="s">
        <v>3316</v>
      </c>
      <c r="S481" s="28" t="s">
        <v>2525</v>
      </c>
      <c r="T481" s="28" t="s">
        <v>2430</v>
      </c>
      <c r="U481" s="28" t="s">
        <v>1441</v>
      </c>
      <c r="V481" s="28" t="s">
        <v>1619</v>
      </c>
      <c r="W481" s="28" t="s">
        <v>6379</v>
      </c>
      <c r="X481" s="17">
        <v>1</v>
      </c>
      <c r="CJ481" s="26" t="s">
        <v>1387</v>
      </c>
      <c r="CK481" s="26" t="s">
        <v>3151</v>
      </c>
      <c r="CL481" s="26" t="str">
        <f t="shared" si="29"/>
        <v>群馬県邑楽町</v>
      </c>
      <c r="CM481" s="49">
        <v>476</v>
      </c>
      <c r="CN481" s="17" t="str">
        <f t="shared" si="28"/>
        <v>0519</v>
      </c>
      <c r="CO481" s="17" t="str">
        <f t="shared" si="30"/>
        <v>476519邑楽町</v>
      </c>
      <c r="CP481" s="17" t="s">
        <v>6380</v>
      </c>
      <c r="CQ481" s="17" t="b">
        <f t="shared" si="31"/>
        <v>1</v>
      </c>
    </row>
    <row r="482" spans="6:95">
      <c r="F482" s="23"/>
      <c r="I482" s="23"/>
      <c r="L482" s="50" t="s">
        <v>6381</v>
      </c>
      <c r="M482" s="17" t="s">
        <v>6382</v>
      </c>
      <c r="N482" s="51" t="s">
        <v>6383</v>
      </c>
      <c r="O482" s="29" t="s">
        <v>1447</v>
      </c>
      <c r="P482" s="29" t="s">
        <v>6384</v>
      </c>
      <c r="Q482" s="29" t="s">
        <v>1447</v>
      </c>
      <c r="R482" s="29" t="s">
        <v>5767</v>
      </c>
      <c r="S482" s="28" t="s">
        <v>2311</v>
      </c>
      <c r="T482" s="28" t="s">
        <v>2483</v>
      </c>
      <c r="U482" s="28" t="s">
        <v>1441</v>
      </c>
      <c r="V482" s="28" t="s">
        <v>1619</v>
      </c>
      <c r="W482" s="28" t="s">
        <v>6385</v>
      </c>
      <c r="X482" s="17">
        <v>1</v>
      </c>
      <c r="CJ482" s="26" t="s">
        <v>1388</v>
      </c>
      <c r="CK482" s="26" t="s">
        <v>1514</v>
      </c>
      <c r="CL482" s="26" t="str">
        <f t="shared" si="29"/>
        <v>埼玉県さいたま市</v>
      </c>
      <c r="CM482" s="49">
        <v>477</v>
      </c>
      <c r="CN482" s="17" t="str">
        <f t="shared" si="28"/>
        <v>0520</v>
      </c>
      <c r="CO482" s="17" t="str">
        <f t="shared" si="30"/>
        <v>477520さいたま市</v>
      </c>
      <c r="CP482" s="17" t="s">
        <v>6386</v>
      </c>
      <c r="CQ482" s="17" t="b">
        <f t="shared" si="31"/>
        <v>1</v>
      </c>
    </row>
    <row r="483" spans="6:95">
      <c r="F483" s="23"/>
      <c r="I483" s="23"/>
      <c r="L483" s="50" t="s">
        <v>6387</v>
      </c>
      <c r="M483" s="17" t="s">
        <v>6388</v>
      </c>
      <c r="N483" s="51" t="s">
        <v>6389</v>
      </c>
      <c r="O483" s="29" t="s">
        <v>1447</v>
      </c>
      <c r="P483" s="29" t="s">
        <v>6390</v>
      </c>
      <c r="Q483" s="29" t="s">
        <v>1447</v>
      </c>
      <c r="R483" s="29" t="s">
        <v>3338</v>
      </c>
      <c r="S483" s="28" t="s">
        <v>1862</v>
      </c>
      <c r="T483" s="28" t="s">
        <v>2535</v>
      </c>
      <c r="U483" s="28" t="s">
        <v>1441</v>
      </c>
      <c r="V483" s="28" t="s">
        <v>1619</v>
      </c>
      <c r="W483" s="28" t="s">
        <v>6391</v>
      </c>
      <c r="X483" s="17">
        <v>1</v>
      </c>
      <c r="CJ483" s="26" t="s">
        <v>1388</v>
      </c>
      <c r="CK483" s="26" t="s">
        <v>1576</v>
      </c>
      <c r="CL483" s="26" t="str">
        <f t="shared" si="29"/>
        <v>埼玉県川越市</v>
      </c>
      <c r="CM483" s="49">
        <v>478</v>
      </c>
      <c r="CN483" s="17" t="str">
        <f t="shared" si="28"/>
        <v>0521</v>
      </c>
      <c r="CO483" s="17" t="str">
        <f t="shared" si="30"/>
        <v>478521川越市</v>
      </c>
      <c r="CP483" s="17" t="s">
        <v>6392</v>
      </c>
      <c r="CQ483" s="17" t="b">
        <f t="shared" si="31"/>
        <v>1</v>
      </c>
    </row>
    <row r="484" spans="6:95">
      <c r="F484" s="23"/>
      <c r="I484" s="23"/>
      <c r="L484" s="50" t="s">
        <v>6393</v>
      </c>
      <c r="M484" s="17" t="s">
        <v>6394</v>
      </c>
      <c r="N484" s="51" t="s">
        <v>6395</v>
      </c>
      <c r="O484" s="29" t="s">
        <v>1447</v>
      </c>
      <c r="P484" s="29" t="s">
        <v>6396</v>
      </c>
      <c r="Q484" s="29" t="s">
        <v>1447</v>
      </c>
      <c r="R484" s="29" t="s">
        <v>3395</v>
      </c>
      <c r="S484" s="28" t="s">
        <v>1502</v>
      </c>
      <c r="T484" s="28" t="s">
        <v>2585</v>
      </c>
      <c r="U484" s="28" t="s">
        <v>1441</v>
      </c>
      <c r="V484" s="28" t="s">
        <v>1619</v>
      </c>
      <c r="W484" s="28" t="s">
        <v>6397</v>
      </c>
      <c r="X484" s="17">
        <v>1</v>
      </c>
      <c r="CJ484" s="26" t="s">
        <v>1388</v>
      </c>
      <c r="CK484" s="26" t="s">
        <v>1638</v>
      </c>
      <c r="CL484" s="26" t="str">
        <f t="shared" si="29"/>
        <v>埼玉県川口市</v>
      </c>
      <c r="CM484" s="49">
        <v>479</v>
      </c>
      <c r="CN484" s="17" t="str">
        <f t="shared" si="28"/>
        <v>0522</v>
      </c>
      <c r="CO484" s="17" t="str">
        <f t="shared" si="30"/>
        <v>479522川口市</v>
      </c>
      <c r="CP484" s="17" t="s">
        <v>6398</v>
      </c>
      <c r="CQ484" s="17" t="b">
        <f t="shared" si="31"/>
        <v>1</v>
      </c>
    </row>
    <row r="485" spans="6:95">
      <c r="F485" s="23"/>
      <c r="I485" s="23"/>
      <c r="L485" s="50" t="s">
        <v>6399</v>
      </c>
      <c r="M485" s="17" t="s">
        <v>6400</v>
      </c>
      <c r="N485" s="51" t="s">
        <v>6401</v>
      </c>
      <c r="O485" s="29" t="s">
        <v>1447</v>
      </c>
      <c r="P485" s="29" t="s">
        <v>6402</v>
      </c>
      <c r="Q485" s="29" t="s">
        <v>1447</v>
      </c>
      <c r="R485" s="29" t="s">
        <v>3441</v>
      </c>
      <c r="S485" s="28" t="s">
        <v>1564</v>
      </c>
      <c r="T485" s="28" t="s">
        <v>2632</v>
      </c>
      <c r="U485" s="28" t="s">
        <v>1441</v>
      </c>
      <c r="V485" s="28" t="s">
        <v>1619</v>
      </c>
      <c r="W485" s="28" t="s">
        <v>6403</v>
      </c>
      <c r="X485" s="17">
        <v>1</v>
      </c>
      <c r="CJ485" s="26" t="s">
        <v>1388</v>
      </c>
      <c r="CK485" s="26" t="s">
        <v>1696</v>
      </c>
      <c r="CL485" s="26" t="str">
        <f t="shared" si="29"/>
        <v>埼玉県行田市</v>
      </c>
      <c r="CM485" s="49">
        <v>480</v>
      </c>
      <c r="CN485" s="17" t="str">
        <f t="shared" si="28"/>
        <v>0523</v>
      </c>
      <c r="CO485" s="17" t="str">
        <f t="shared" si="30"/>
        <v>480523行田市</v>
      </c>
      <c r="CP485" s="17" t="s">
        <v>6404</v>
      </c>
      <c r="CQ485" s="17" t="b">
        <f t="shared" si="31"/>
        <v>1</v>
      </c>
    </row>
    <row r="486" spans="6:95">
      <c r="F486" s="23"/>
      <c r="I486" s="23"/>
      <c r="L486" s="50" t="s">
        <v>6405</v>
      </c>
      <c r="M486" s="17" t="s">
        <v>6406</v>
      </c>
      <c r="N486" s="51" t="s">
        <v>6407</v>
      </c>
      <c r="O486" s="29" t="s">
        <v>1447</v>
      </c>
      <c r="P486" s="29" t="s">
        <v>6408</v>
      </c>
      <c r="Q486" s="29" t="s">
        <v>1447</v>
      </c>
      <c r="R486" s="29" t="s">
        <v>4723</v>
      </c>
      <c r="S486" s="28" t="s">
        <v>1626</v>
      </c>
      <c r="T486" s="28" t="s">
        <v>2678</v>
      </c>
      <c r="U486" s="28" t="s">
        <v>1441</v>
      </c>
      <c r="V486" s="28" t="s">
        <v>1619</v>
      </c>
      <c r="W486" s="28" t="s">
        <v>6409</v>
      </c>
      <c r="X486" s="17">
        <v>1</v>
      </c>
      <c r="CJ486" s="26" t="s">
        <v>1388</v>
      </c>
      <c r="CK486" s="26" t="s">
        <v>1755</v>
      </c>
      <c r="CL486" s="26" t="str">
        <f t="shared" si="29"/>
        <v>埼玉県秩父市</v>
      </c>
      <c r="CM486" s="49">
        <v>481</v>
      </c>
      <c r="CN486" s="17" t="str">
        <f t="shared" si="28"/>
        <v>0524</v>
      </c>
      <c r="CO486" s="17" t="str">
        <f t="shared" si="30"/>
        <v>481524秩父市</v>
      </c>
      <c r="CP486" s="17" t="s">
        <v>6410</v>
      </c>
      <c r="CQ486" s="17" t="b">
        <f t="shared" si="31"/>
        <v>1</v>
      </c>
    </row>
    <row r="487" spans="6:95">
      <c r="F487" s="23"/>
      <c r="I487" s="23"/>
      <c r="L487" s="50" t="s">
        <v>6411</v>
      </c>
      <c r="M487" s="17" t="s">
        <v>6412</v>
      </c>
      <c r="N487" s="51" t="s">
        <v>6413</v>
      </c>
      <c r="O487" s="29" t="s">
        <v>1447</v>
      </c>
      <c r="P487" s="29" t="s">
        <v>6414</v>
      </c>
      <c r="Q487" s="29" t="s">
        <v>1447</v>
      </c>
      <c r="R487" s="29" t="s">
        <v>6415</v>
      </c>
      <c r="S487" s="28" t="s">
        <v>1743</v>
      </c>
      <c r="T487" s="28" t="s">
        <v>2724</v>
      </c>
      <c r="U487" s="28" t="s">
        <v>1441</v>
      </c>
      <c r="V487" s="28" t="s">
        <v>1619</v>
      </c>
      <c r="W487" s="28" t="s">
        <v>6416</v>
      </c>
      <c r="X487" s="17">
        <v>1</v>
      </c>
      <c r="CJ487" s="26" t="s">
        <v>1388</v>
      </c>
      <c r="CK487" s="26" t="s">
        <v>1815</v>
      </c>
      <c r="CL487" s="26" t="str">
        <f t="shared" si="29"/>
        <v>埼玉県所沢市</v>
      </c>
      <c r="CM487" s="49">
        <v>482</v>
      </c>
      <c r="CN487" s="17" t="str">
        <f t="shared" si="28"/>
        <v>0525</v>
      </c>
      <c r="CO487" s="17" t="str">
        <f t="shared" si="30"/>
        <v>482525所沢市</v>
      </c>
      <c r="CP487" s="17" t="s">
        <v>6417</v>
      </c>
      <c r="CQ487" s="17" t="b">
        <f t="shared" si="31"/>
        <v>1</v>
      </c>
    </row>
    <row r="488" spans="6:95">
      <c r="F488" s="23"/>
      <c r="I488" s="23"/>
      <c r="L488" s="50" t="s">
        <v>6418</v>
      </c>
      <c r="M488" s="17" t="s">
        <v>6419</v>
      </c>
      <c r="N488" s="51" t="s">
        <v>6420</v>
      </c>
      <c r="O488" s="29" t="s">
        <v>1447</v>
      </c>
      <c r="P488" s="29" t="s">
        <v>6421</v>
      </c>
      <c r="Q488" s="29" t="s">
        <v>1447</v>
      </c>
      <c r="R488" s="29" t="s">
        <v>4547</v>
      </c>
      <c r="S488" s="28" t="s">
        <v>1920</v>
      </c>
      <c r="T488" s="28" t="s">
        <v>2768</v>
      </c>
      <c r="U488" s="28" t="s">
        <v>1441</v>
      </c>
      <c r="V488" s="28" t="s">
        <v>1619</v>
      </c>
      <c r="W488" s="28" t="s">
        <v>6422</v>
      </c>
      <c r="X488" s="17">
        <v>1</v>
      </c>
      <c r="CJ488" s="26" t="s">
        <v>1388</v>
      </c>
      <c r="CK488" s="26" t="s">
        <v>1874</v>
      </c>
      <c r="CL488" s="26" t="str">
        <f t="shared" si="29"/>
        <v>埼玉県飯能市</v>
      </c>
      <c r="CM488" s="49">
        <v>483</v>
      </c>
      <c r="CN488" s="17" t="str">
        <f t="shared" si="28"/>
        <v>0526</v>
      </c>
      <c r="CO488" s="17" t="str">
        <f t="shared" si="30"/>
        <v>483526飯能市</v>
      </c>
      <c r="CP488" s="17" t="s">
        <v>6423</v>
      </c>
      <c r="CQ488" s="17" t="b">
        <f t="shared" si="31"/>
        <v>1</v>
      </c>
    </row>
    <row r="489" spans="6:95">
      <c r="F489" s="23"/>
      <c r="I489" s="23"/>
      <c r="L489" s="50" t="s">
        <v>6424</v>
      </c>
      <c r="M489" s="17" t="s">
        <v>6425</v>
      </c>
      <c r="N489" s="51" t="s">
        <v>6426</v>
      </c>
      <c r="O489" s="29" t="s">
        <v>1447</v>
      </c>
      <c r="P489" s="29" t="s">
        <v>6427</v>
      </c>
      <c r="Q489" s="29" t="s">
        <v>1447</v>
      </c>
      <c r="R489" s="29" t="s">
        <v>4767</v>
      </c>
      <c r="S489" s="28" t="s">
        <v>1862</v>
      </c>
      <c r="T489" s="28" t="s">
        <v>2810</v>
      </c>
      <c r="U489" s="28" t="s">
        <v>1441</v>
      </c>
      <c r="V489" s="28" t="s">
        <v>1619</v>
      </c>
      <c r="W489" s="28" t="s">
        <v>6428</v>
      </c>
      <c r="X489" s="17">
        <v>1</v>
      </c>
      <c r="CJ489" s="26" t="s">
        <v>1388</v>
      </c>
      <c r="CK489" s="26" t="s">
        <v>1932</v>
      </c>
      <c r="CL489" s="26" t="str">
        <f t="shared" si="29"/>
        <v>埼玉県加須市</v>
      </c>
      <c r="CM489" s="49">
        <v>484</v>
      </c>
      <c r="CN489" s="17" t="str">
        <f t="shared" si="28"/>
        <v>0527</v>
      </c>
      <c r="CO489" s="17" t="str">
        <f t="shared" si="30"/>
        <v>484527加須市</v>
      </c>
      <c r="CP489" s="17" t="s">
        <v>6429</v>
      </c>
      <c r="CQ489" s="17" t="b">
        <f t="shared" si="31"/>
        <v>1</v>
      </c>
    </row>
    <row r="490" spans="6:95">
      <c r="F490" s="23"/>
      <c r="I490" s="23"/>
      <c r="L490" s="50" t="s">
        <v>6430</v>
      </c>
      <c r="M490" s="17" t="s">
        <v>6431</v>
      </c>
      <c r="N490" s="51" t="s">
        <v>6432</v>
      </c>
      <c r="O490" s="29" t="s">
        <v>1448</v>
      </c>
      <c r="P490" s="29" t="s">
        <v>6433</v>
      </c>
      <c r="Q490" s="29" t="s">
        <v>1448</v>
      </c>
      <c r="R490" s="29" t="s">
        <v>4593</v>
      </c>
      <c r="S490" s="28" t="s">
        <v>1803</v>
      </c>
      <c r="T490" s="28" t="s">
        <v>1513</v>
      </c>
      <c r="U490" s="28" t="s">
        <v>1441</v>
      </c>
      <c r="V490" s="28" t="s">
        <v>1619</v>
      </c>
      <c r="W490" s="28" t="s">
        <v>6434</v>
      </c>
      <c r="X490" s="17">
        <v>1</v>
      </c>
      <c r="CJ490" s="26" t="s">
        <v>1388</v>
      </c>
      <c r="CK490" s="26" t="s">
        <v>1989</v>
      </c>
      <c r="CL490" s="26" t="str">
        <f t="shared" si="29"/>
        <v>埼玉県本庄市</v>
      </c>
      <c r="CM490" s="49">
        <v>485</v>
      </c>
      <c r="CN490" s="17" t="str">
        <f t="shared" si="28"/>
        <v>0528</v>
      </c>
      <c r="CO490" s="17" t="str">
        <f t="shared" si="30"/>
        <v>485528本庄市</v>
      </c>
      <c r="CP490" s="17" t="s">
        <v>6435</v>
      </c>
      <c r="CQ490" s="17" t="b">
        <f t="shared" si="31"/>
        <v>1</v>
      </c>
    </row>
    <row r="491" spans="6:95">
      <c r="F491" s="23"/>
      <c r="I491" s="23"/>
      <c r="L491" s="50" t="s">
        <v>6436</v>
      </c>
      <c r="M491" s="17" t="s">
        <v>6437</v>
      </c>
      <c r="N491" s="51" t="s">
        <v>6438</v>
      </c>
      <c r="O491" s="29" t="s">
        <v>1448</v>
      </c>
      <c r="P491" s="29" t="s">
        <v>6439</v>
      </c>
      <c r="Q491" s="29" t="s">
        <v>1448</v>
      </c>
      <c r="R491" s="29" t="s">
        <v>1563</v>
      </c>
      <c r="S491" s="28" t="s">
        <v>1862</v>
      </c>
      <c r="T491" s="28" t="s">
        <v>1575</v>
      </c>
      <c r="U491" s="28" t="s">
        <v>1441</v>
      </c>
      <c r="V491" s="28" t="s">
        <v>1619</v>
      </c>
      <c r="W491" s="28" t="s">
        <v>6440</v>
      </c>
      <c r="X491" s="17">
        <v>1</v>
      </c>
      <c r="CJ491" s="26" t="s">
        <v>1388</v>
      </c>
      <c r="CK491" s="26" t="s">
        <v>2045</v>
      </c>
      <c r="CL491" s="26" t="str">
        <f t="shared" si="29"/>
        <v>埼玉県東松山市</v>
      </c>
      <c r="CM491" s="49">
        <v>486</v>
      </c>
      <c r="CN491" s="17" t="str">
        <f t="shared" si="28"/>
        <v>0529</v>
      </c>
      <c r="CO491" s="17" t="str">
        <f t="shared" si="30"/>
        <v>486529東松山市</v>
      </c>
      <c r="CP491" s="17" t="s">
        <v>6441</v>
      </c>
      <c r="CQ491" s="17" t="b">
        <f t="shared" si="31"/>
        <v>1</v>
      </c>
    </row>
    <row r="492" spans="6:95">
      <c r="F492" s="23"/>
      <c r="I492" s="23"/>
      <c r="L492" s="50" t="s">
        <v>6442</v>
      </c>
      <c r="M492" s="17" t="s">
        <v>6443</v>
      </c>
      <c r="N492" s="51" t="s">
        <v>6444</v>
      </c>
      <c r="O492" s="29" t="s">
        <v>1448</v>
      </c>
      <c r="P492" s="29" t="s">
        <v>6445</v>
      </c>
      <c r="Q492" s="29" t="s">
        <v>1448</v>
      </c>
      <c r="R492" s="29" t="s">
        <v>1625</v>
      </c>
      <c r="S492" s="28" t="s">
        <v>1920</v>
      </c>
      <c r="T492" s="28" t="s">
        <v>1637</v>
      </c>
      <c r="U492" s="28" t="s">
        <v>1441</v>
      </c>
      <c r="V492" s="28" t="s">
        <v>1619</v>
      </c>
      <c r="W492" s="28" t="s">
        <v>6446</v>
      </c>
      <c r="X492" s="17">
        <v>1</v>
      </c>
      <c r="CJ492" s="26" t="s">
        <v>1388</v>
      </c>
      <c r="CK492" s="26" t="s">
        <v>2101</v>
      </c>
      <c r="CL492" s="26" t="str">
        <f t="shared" si="29"/>
        <v>埼玉県春日部市</v>
      </c>
      <c r="CM492" s="49">
        <v>487</v>
      </c>
      <c r="CN492" s="17" t="str">
        <f t="shared" si="28"/>
        <v>0530</v>
      </c>
      <c r="CO492" s="17" t="str">
        <f t="shared" si="30"/>
        <v>487530春日部市</v>
      </c>
      <c r="CP492" s="17" t="s">
        <v>6447</v>
      </c>
      <c r="CQ492" s="17" t="b">
        <f t="shared" si="31"/>
        <v>1</v>
      </c>
    </row>
    <row r="493" spans="6:95">
      <c r="F493" s="23"/>
      <c r="I493" s="23"/>
      <c r="L493" s="50" t="s">
        <v>6448</v>
      </c>
      <c r="M493" s="17" t="s">
        <v>6449</v>
      </c>
      <c r="N493" s="51" t="s">
        <v>6450</v>
      </c>
      <c r="O493" s="29" t="s">
        <v>1448</v>
      </c>
      <c r="P493" s="29" t="s">
        <v>6451</v>
      </c>
      <c r="Q493" s="29" t="s">
        <v>1448</v>
      </c>
      <c r="R493" s="29" t="s">
        <v>1684</v>
      </c>
      <c r="S493" s="28" t="s">
        <v>1977</v>
      </c>
      <c r="T493" s="28" t="s">
        <v>1695</v>
      </c>
      <c r="U493" s="28" t="s">
        <v>1441</v>
      </c>
      <c r="V493" s="28" t="s">
        <v>1619</v>
      </c>
      <c r="W493" s="28" t="s">
        <v>6452</v>
      </c>
      <c r="X493" s="17">
        <v>1</v>
      </c>
      <c r="CJ493" s="26" t="s">
        <v>1388</v>
      </c>
      <c r="CK493" s="26" t="s">
        <v>2157</v>
      </c>
      <c r="CL493" s="26" t="str">
        <f t="shared" si="29"/>
        <v>埼玉県狭山市</v>
      </c>
      <c r="CM493" s="49">
        <v>488</v>
      </c>
      <c r="CN493" s="17" t="str">
        <f t="shared" si="28"/>
        <v>0531</v>
      </c>
      <c r="CO493" s="17" t="str">
        <f t="shared" si="30"/>
        <v>488531狭山市</v>
      </c>
      <c r="CP493" s="17" t="s">
        <v>6453</v>
      </c>
      <c r="CQ493" s="17" t="b">
        <f t="shared" si="31"/>
        <v>1</v>
      </c>
    </row>
    <row r="494" spans="6:95">
      <c r="F494" s="23"/>
      <c r="I494" s="23"/>
      <c r="L494" s="50" t="s">
        <v>6454</v>
      </c>
      <c r="M494" s="17" t="s">
        <v>6455</v>
      </c>
      <c r="N494" s="51" t="s">
        <v>6456</v>
      </c>
      <c r="O494" s="29" t="s">
        <v>1448</v>
      </c>
      <c r="P494" s="29" t="s">
        <v>6457</v>
      </c>
      <c r="Q494" s="29" t="s">
        <v>1448</v>
      </c>
      <c r="R494" s="29" t="s">
        <v>1742</v>
      </c>
      <c r="S494" s="28" t="s">
        <v>2311</v>
      </c>
      <c r="T494" s="28" t="s">
        <v>1754</v>
      </c>
      <c r="U494" s="28" t="s">
        <v>1441</v>
      </c>
      <c r="V494" s="28" t="s">
        <v>1619</v>
      </c>
      <c r="W494" s="28" t="s">
        <v>6458</v>
      </c>
      <c r="X494" s="17">
        <v>1</v>
      </c>
      <c r="CJ494" s="26" t="s">
        <v>1388</v>
      </c>
      <c r="CK494" s="26" t="s">
        <v>2212</v>
      </c>
      <c r="CL494" s="26" t="str">
        <f t="shared" si="29"/>
        <v>埼玉県羽生市</v>
      </c>
      <c r="CM494" s="49">
        <v>489</v>
      </c>
      <c r="CN494" s="17" t="str">
        <f t="shared" si="28"/>
        <v>0532</v>
      </c>
      <c r="CO494" s="17" t="str">
        <f t="shared" si="30"/>
        <v>489532羽生市</v>
      </c>
      <c r="CP494" s="17" t="s">
        <v>6459</v>
      </c>
      <c r="CQ494" s="17" t="b">
        <f t="shared" si="31"/>
        <v>1</v>
      </c>
    </row>
    <row r="495" spans="6:95">
      <c r="F495" s="23"/>
      <c r="I495" s="23"/>
      <c r="L495" s="50" t="s">
        <v>6460</v>
      </c>
      <c r="M495" s="17" t="s">
        <v>6461</v>
      </c>
      <c r="N495" s="51" t="s">
        <v>6462</v>
      </c>
      <c r="O495" s="29" t="s">
        <v>1448</v>
      </c>
      <c r="P495" s="29" t="s">
        <v>6463</v>
      </c>
      <c r="Q495" s="29" t="s">
        <v>1448</v>
      </c>
      <c r="R495" s="29" t="s">
        <v>1802</v>
      </c>
      <c r="S495" s="28" t="s">
        <v>1564</v>
      </c>
      <c r="T495" s="28" t="s">
        <v>1814</v>
      </c>
      <c r="U495" s="28" t="s">
        <v>1441</v>
      </c>
      <c r="V495" s="28" t="s">
        <v>1619</v>
      </c>
      <c r="W495" s="28" t="s">
        <v>6464</v>
      </c>
      <c r="X495" s="17">
        <v>1</v>
      </c>
      <c r="CJ495" s="26" t="s">
        <v>1388</v>
      </c>
      <c r="CK495" s="26" t="s">
        <v>2267</v>
      </c>
      <c r="CL495" s="26" t="str">
        <f t="shared" si="29"/>
        <v>埼玉県鴻巣市</v>
      </c>
      <c r="CM495" s="49">
        <v>490</v>
      </c>
      <c r="CN495" s="17" t="str">
        <f t="shared" si="28"/>
        <v>0533</v>
      </c>
      <c r="CO495" s="17" t="str">
        <f t="shared" si="30"/>
        <v>490533鴻巣市</v>
      </c>
      <c r="CP495" s="17" t="s">
        <v>6465</v>
      </c>
      <c r="CQ495" s="17" t="b">
        <f t="shared" si="31"/>
        <v>1</v>
      </c>
    </row>
    <row r="496" spans="6:95">
      <c r="F496" s="23"/>
      <c r="I496" s="23"/>
      <c r="L496" s="50" t="s">
        <v>6466</v>
      </c>
      <c r="M496" s="17" t="s">
        <v>6467</v>
      </c>
      <c r="N496" s="51" t="s">
        <v>6468</v>
      </c>
      <c r="O496" s="29" t="s">
        <v>1448</v>
      </c>
      <c r="P496" s="29" t="s">
        <v>6469</v>
      </c>
      <c r="Q496" s="29" t="s">
        <v>1448</v>
      </c>
      <c r="R496" s="29" t="s">
        <v>1861</v>
      </c>
      <c r="S496" s="28" t="s">
        <v>1626</v>
      </c>
      <c r="T496" s="28" t="s">
        <v>1873</v>
      </c>
      <c r="U496" s="28" t="s">
        <v>1441</v>
      </c>
      <c r="V496" s="28" t="s">
        <v>1619</v>
      </c>
      <c r="W496" s="28" t="s">
        <v>6470</v>
      </c>
      <c r="X496" s="17">
        <v>1</v>
      </c>
      <c r="CJ496" s="26" t="s">
        <v>1388</v>
      </c>
      <c r="CK496" s="26" t="s">
        <v>2323</v>
      </c>
      <c r="CL496" s="26" t="str">
        <f t="shared" si="29"/>
        <v>埼玉県上尾市</v>
      </c>
      <c r="CM496" s="49">
        <v>491</v>
      </c>
      <c r="CN496" s="17" t="str">
        <f t="shared" si="28"/>
        <v>0534</v>
      </c>
      <c r="CO496" s="17" t="str">
        <f t="shared" si="30"/>
        <v>491534上尾市</v>
      </c>
      <c r="CP496" s="17" t="s">
        <v>6471</v>
      </c>
      <c r="CQ496" s="17" t="b">
        <f t="shared" si="31"/>
        <v>1</v>
      </c>
    </row>
    <row r="497" spans="6:95">
      <c r="F497" s="23"/>
      <c r="I497" s="23"/>
      <c r="L497" s="50" t="s">
        <v>6472</v>
      </c>
      <c r="M497" s="17" t="s">
        <v>6473</v>
      </c>
      <c r="N497" s="51" t="s">
        <v>6474</v>
      </c>
      <c r="O497" s="29" t="s">
        <v>1448</v>
      </c>
      <c r="P497" s="29" t="s">
        <v>6475</v>
      </c>
      <c r="Q497" s="29" t="s">
        <v>1448</v>
      </c>
      <c r="R497" s="29" t="s">
        <v>1919</v>
      </c>
      <c r="S497" s="28" t="s">
        <v>1502</v>
      </c>
      <c r="T497" s="28" t="s">
        <v>1931</v>
      </c>
      <c r="U497" s="28" t="s">
        <v>1441</v>
      </c>
      <c r="V497" s="28" t="s">
        <v>1619</v>
      </c>
      <c r="W497" s="28" t="s">
        <v>6476</v>
      </c>
      <c r="X497" s="17">
        <v>1</v>
      </c>
      <c r="CJ497" s="26" t="s">
        <v>1388</v>
      </c>
      <c r="CK497" s="26" t="s">
        <v>2377</v>
      </c>
      <c r="CL497" s="26" t="str">
        <f t="shared" si="29"/>
        <v>埼玉県草加市</v>
      </c>
      <c r="CM497" s="49">
        <v>492</v>
      </c>
      <c r="CN497" s="17" t="str">
        <f t="shared" si="28"/>
        <v>0535</v>
      </c>
      <c r="CO497" s="17" t="str">
        <f t="shared" si="30"/>
        <v>492535草加市</v>
      </c>
      <c r="CP497" s="17" t="s">
        <v>6477</v>
      </c>
      <c r="CQ497" s="17" t="b">
        <f t="shared" si="31"/>
        <v>1</v>
      </c>
    </row>
    <row r="498" spans="6:95">
      <c r="F498" s="23"/>
      <c r="I498" s="23"/>
      <c r="L498" s="50" t="s">
        <v>6478</v>
      </c>
      <c r="M498" s="17" t="s">
        <v>6479</v>
      </c>
      <c r="N498" s="51" t="s">
        <v>6480</v>
      </c>
      <c r="O498" s="29" t="s">
        <v>1448</v>
      </c>
      <c r="P498" s="29" t="s">
        <v>6481</v>
      </c>
      <c r="Q498" s="29" t="s">
        <v>1448</v>
      </c>
      <c r="R498" s="29" t="s">
        <v>1976</v>
      </c>
      <c r="S498" s="28" t="s">
        <v>2525</v>
      </c>
      <c r="T498" s="28" t="s">
        <v>1988</v>
      </c>
      <c r="U498" s="28" t="s">
        <v>1441</v>
      </c>
      <c r="V498" s="28" t="s">
        <v>1619</v>
      </c>
      <c r="W498" s="28" t="s">
        <v>6482</v>
      </c>
      <c r="X498" s="17">
        <v>1</v>
      </c>
      <c r="CJ498" s="26" t="s">
        <v>1388</v>
      </c>
      <c r="CK498" s="26" t="s">
        <v>2432</v>
      </c>
      <c r="CL498" s="26" t="str">
        <f t="shared" si="29"/>
        <v>埼玉県越谷市</v>
      </c>
      <c r="CM498" s="49">
        <v>493</v>
      </c>
      <c r="CN498" s="17" t="str">
        <f t="shared" si="28"/>
        <v>0536</v>
      </c>
      <c r="CO498" s="17" t="str">
        <f t="shared" si="30"/>
        <v>493536越谷市</v>
      </c>
      <c r="CP498" s="17" t="s">
        <v>6483</v>
      </c>
      <c r="CQ498" s="17" t="b">
        <f t="shared" si="31"/>
        <v>1</v>
      </c>
    </row>
    <row r="499" spans="6:95">
      <c r="F499" s="23"/>
      <c r="I499" s="23"/>
      <c r="L499" s="50" t="s">
        <v>6484</v>
      </c>
      <c r="M499" s="17" t="s">
        <v>6485</v>
      </c>
      <c r="N499" s="51" t="s">
        <v>6486</v>
      </c>
      <c r="O499" s="29" t="s">
        <v>1448</v>
      </c>
      <c r="P499" s="29" t="s">
        <v>6487</v>
      </c>
      <c r="Q499" s="29" t="s">
        <v>1448</v>
      </c>
      <c r="R499" s="29" t="s">
        <v>2033</v>
      </c>
      <c r="S499" s="28" t="s">
        <v>2311</v>
      </c>
      <c r="T499" s="28" t="s">
        <v>2044</v>
      </c>
      <c r="U499" s="28" t="s">
        <v>1441</v>
      </c>
      <c r="V499" s="28" t="s">
        <v>1619</v>
      </c>
      <c r="W499" s="28" t="s">
        <v>6488</v>
      </c>
      <c r="X499" s="17">
        <v>1</v>
      </c>
      <c r="CJ499" s="26" t="s">
        <v>1388</v>
      </c>
      <c r="CK499" s="26" t="s">
        <v>2485</v>
      </c>
      <c r="CL499" s="26" t="str">
        <f t="shared" si="29"/>
        <v>埼玉県蕨市</v>
      </c>
      <c r="CM499" s="49">
        <v>494</v>
      </c>
      <c r="CN499" s="17" t="str">
        <f t="shared" si="28"/>
        <v>0537</v>
      </c>
      <c r="CO499" s="17" t="str">
        <f t="shared" si="30"/>
        <v>494537蕨市</v>
      </c>
      <c r="CP499" s="17" t="s">
        <v>6489</v>
      </c>
      <c r="CQ499" s="17" t="b">
        <f t="shared" si="31"/>
        <v>1</v>
      </c>
    </row>
    <row r="500" spans="6:95">
      <c r="F500" s="23"/>
      <c r="I500" s="23"/>
      <c r="L500" s="50" t="s">
        <v>6490</v>
      </c>
      <c r="M500" s="17" t="s">
        <v>6491</v>
      </c>
      <c r="N500" s="51" t="s">
        <v>6492</v>
      </c>
      <c r="O500" s="29" t="s">
        <v>1448</v>
      </c>
      <c r="P500" s="29" t="s">
        <v>6493</v>
      </c>
      <c r="Q500" s="29" t="s">
        <v>1448</v>
      </c>
      <c r="R500" s="29" t="s">
        <v>2089</v>
      </c>
      <c r="S500" s="28" t="s">
        <v>1564</v>
      </c>
      <c r="T500" s="28" t="s">
        <v>2100</v>
      </c>
      <c r="U500" s="28" t="s">
        <v>1441</v>
      </c>
      <c r="V500" s="28" t="s">
        <v>1619</v>
      </c>
      <c r="W500" s="28" t="s">
        <v>6494</v>
      </c>
      <c r="X500" s="17">
        <v>1</v>
      </c>
      <c r="CJ500" s="26" t="s">
        <v>1388</v>
      </c>
      <c r="CK500" s="26" t="s">
        <v>2537</v>
      </c>
      <c r="CL500" s="26" t="str">
        <f t="shared" si="29"/>
        <v>埼玉県戸田市</v>
      </c>
      <c r="CM500" s="49">
        <v>495</v>
      </c>
      <c r="CN500" s="17" t="str">
        <f t="shared" si="28"/>
        <v>0538</v>
      </c>
      <c r="CO500" s="17" t="str">
        <f t="shared" si="30"/>
        <v>495538戸田市</v>
      </c>
      <c r="CP500" s="17" t="s">
        <v>6495</v>
      </c>
      <c r="CQ500" s="17" t="b">
        <f t="shared" si="31"/>
        <v>1</v>
      </c>
    </row>
    <row r="501" spans="6:95">
      <c r="F501" s="23"/>
      <c r="I501" s="23"/>
      <c r="L501" s="50" t="s">
        <v>6496</v>
      </c>
      <c r="M501" s="17" t="s">
        <v>6497</v>
      </c>
      <c r="N501" s="51" t="s">
        <v>6498</v>
      </c>
      <c r="O501" s="29" t="s">
        <v>1448</v>
      </c>
      <c r="P501" s="29" t="s">
        <v>6499</v>
      </c>
      <c r="Q501" s="29" t="s">
        <v>1448</v>
      </c>
      <c r="R501" s="29" t="s">
        <v>2145</v>
      </c>
      <c r="S501" s="28" t="s">
        <v>1626</v>
      </c>
      <c r="T501" s="28" t="s">
        <v>2156</v>
      </c>
      <c r="U501" s="28" t="s">
        <v>1441</v>
      </c>
      <c r="V501" s="28" t="s">
        <v>1619</v>
      </c>
      <c r="W501" s="28" t="s">
        <v>6500</v>
      </c>
      <c r="X501" s="17">
        <v>1</v>
      </c>
      <c r="CJ501" s="26" t="s">
        <v>1388</v>
      </c>
      <c r="CK501" s="26" t="s">
        <v>2587</v>
      </c>
      <c r="CL501" s="26" t="str">
        <f t="shared" si="29"/>
        <v>埼玉県入間市</v>
      </c>
      <c r="CM501" s="49">
        <v>496</v>
      </c>
      <c r="CN501" s="17" t="str">
        <f t="shared" si="28"/>
        <v>0539</v>
      </c>
      <c r="CO501" s="17" t="str">
        <f t="shared" si="30"/>
        <v>496539入間市</v>
      </c>
      <c r="CP501" s="17" t="s">
        <v>6501</v>
      </c>
      <c r="CQ501" s="17" t="b">
        <f t="shared" si="31"/>
        <v>1</v>
      </c>
    </row>
    <row r="502" spans="6:95">
      <c r="F502" s="23"/>
      <c r="I502" s="23"/>
      <c r="L502" s="50" t="s">
        <v>6502</v>
      </c>
      <c r="M502" s="17" t="s">
        <v>6503</v>
      </c>
      <c r="N502" s="51" t="s">
        <v>6504</v>
      </c>
      <c r="O502" s="29" t="s">
        <v>1448</v>
      </c>
      <c r="P502" s="29" t="s">
        <v>6505</v>
      </c>
      <c r="Q502" s="29" t="s">
        <v>1448</v>
      </c>
      <c r="R502" s="29" t="s">
        <v>5767</v>
      </c>
      <c r="S502" s="28" t="s">
        <v>1862</v>
      </c>
      <c r="T502" s="28" t="s">
        <v>2211</v>
      </c>
      <c r="U502" s="28" t="s">
        <v>1441</v>
      </c>
      <c r="V502" s="28" t="s">
        <v>1619</v>
      </c>
      <c r="W502" s="28" t="s">
        <v>6506</v>
      </c>
      <c r="X502" s="17">
        <v>1</v>
      </c>
      <c r="CJ502" s="26" t="s">
        <v>1388</v>
      </c>
      <c r="CK502" s="26" t="s">
        <v>2634</v>
      </c>
      <c r="CL502" s="26" t="str">
        <f t="shared" si="29"/>
        <v>埼玉県朝霞市</v>
      </c>
      <c r="CM502" s="49">
        <v>497</v>
      </c>
      <c r="CN502" s="17" t="str">
        <f t="shared" si="28"/>
        <v>0540</v>
      </c>
      <c r="CO502" s="17" t="str">
        <f t="shared" si="30"/>
        <v>497540朝霞市</v>
      </c>
      <c r="CP502" s="17" t="s">
        <v>6507</v>
      </c>
      <c r="CQ502" s="17" t="b">
        <f t="shared" si="31"/>
        <v>1</v>
      </c>
    </row>
    <row r="503" spans="6:95">
      <c r="F503" s="23"/>
      <c r="I503" s="23"/>
      <c r="L503" s="50" t="s">
        <v>6508</v>
      </c>
      <c r="M503" s="17" t="s">
        <v>6509</v>
      </c>
      <c r="N503" s="51" t="s">
        <v>6510</v>
      </c>
      <c r="O503" s="29" t="s">
        <v>1448</v>
      </c>
      <c r="P503" s="29" t="s">
        <v>6511</v>
      </c>
      <c r="Q503" s="29" t="s">
        <v>1448</v>
      </c>
      <c r="R503" s="29" t="s">
        <v>3338</v>
      </c>
      <c r="S503" s="28" t="s">
        <v>1502</v>
      </c>
      <c r="T503" s="28" t="s">
        <v>2266</v>
      </c>
      <c r="U503" s="28" t="s">
        <v>1441</v>
      </c>
      <c r="V503" s="28" t="s">
        <v>1619</v>
      </c>
      <c r="W503" s="28" t="s">
        <v>6512</v>
      </c>
      <c r="X503" s="17">
        <v>1</v>
      </c>
      <c r="CJ503" s="26" t="s">
        <v>1388</v>
      </c>
      <c r="CK503" s="26" t="s">
        <v>2680</v>
      </c>
      <c r="CL503" s="26" t="str">
        <f t="shared" si="29"/>
        <v>埼玉県志木市</v>
      </c>
      <c r="CM503" s="49">
        <v>498</v>
      </c>
      <c r="CN503" s="17" t="str">
        <f t="shared" si="28"/>
        <v>0541</v>
      </c>
      <c r="CO503" s="17" t="str">
        <f t="shared" si="30"/>
        <v>498541志木市</v>
      </c>
      <c r="CP503" s="17" t="s">
        <v>6513</v>
      </c>
      <c r="CQ503" s="17" t="b">
        <f t="shared" si="31"/>
        <v>1</v>
      </c>
    </row>
    <row r="504" spans="6:95">
      <c r="F504" s="23"/>
      <c r="I504" s="23"/>
      <c r="L504" s="50" t="s">
        <v>6514</v>
      </c>
      <c r="M504" s="17" t="s">
        <v>6515</v>
      </c>
      <c r="N504" s="51" t="s">
        <v>6516</v>
      </c>
      <c r="O504" s="29" t="s">
        <v>1448</v>
      </c>
      <c r="P504" s="29" t="s">
        <v>6517</v>
      </c>
      <c r="Q504" s="29" t="s">
        <v>1448</v>
      </c>
      <c r="R504" s="29" t="s">
        <v>4925</v>
      </c>
      <c r="S504" s="28" t="s">
        <v>2311</v>
      </c>
      <c r="T504" s="28" t="s">
        <v>2322</v>
      </c>
      <c r="U504" s="28" t="s">
        <v>1441</v>
      </c>
      <c r="V504" s="28" t="s">
        <v>1619</v>
      </c>
      <c r="W504" s="28" t="s">
        <v>6518</v>
      </c>
      <c r="X504" s="17">
        <v>1</v>
      </c>
      <c r="CJ504" s="26" t="s">
        <v>1388</v>
      </c>
      <c r="CK504" s="26" t="s">
        <v>2726</v>
      </c>
      <c r="CL504" s="26" t="str">
        <f t="shared" si="29"/>
        <v>埼玉県和光市</v>
      </c>
      <c r="CM504" s="49">
        <v>499</v>
      </c>
      <c r="CN504" s="17" t="str">
        <f t="shared" si="28"/>
        <v>0542</v>
      </c>
      <c r="CO504" s="17" t="str">
        <f t="shared" si="30"/>
        <v>499542和光市</v>
      </c>
      <c r="CP504" s="17" t="s">
        <v>6519</v>
      </c>
      <c r="CQ504" s="17" t="b">
        <f t="shared" si="31"/>
        <v>1</v>
      </c>
    </row>
    <row r="505" spans="6:95">
      <c r="F505" s="23"/>
      <c r="I505" s="23"/>
      <c r="L505" s="50" t="s">
        <v>6520</v>
      </c>
      <c r="M505" s="17" t="s">
        <v>6521</v>
      </c>
      <c r="N505" s="51" t="s">
        <v>6522</v>
      </c>
      <c r="O505" s="29" t="s">
        <v>1448</v>
      </c>
      <c r="P505" s="29" t="s">
        <v>6523</v>
      </c>
      <c r="Q505" s="29" t="s">
        <v>1448</v>
      </c>
      <c r="R505" s="29" t="s">
        <v>3456</v>
      </c>
      <c r="S505" s="28" t="s">
        <v>1564</v>
      </c>
      <c r="T505" s="28" t="s">
        <v>2376</v>
      </c>
      <c r="U505" s="28" t="s">
        <v>1441</v>
      </c>
      <c r="V505" s="28" t="s">
        <v>1619</v>
      </c>
      <c r="W505" s="28" t="s">
        <v>6524</v>
      </c>
      <c r="X505" s="17">
        <v>1</v>
      </c>
      <c r="CJ505" s="26" t="s">
        <v>1388</v>
      </c>
      <c r="CK505" s="26" t="s">
        <v>2770</v>
      </c>
      <c r="CL505" s="26" t="str">
        <f t="shared" si="29"/>
        <v>埼玉県新座市</v>
      </c>
      <c r="CM505" s="49">
        <v>500</v>
      </c>
      <c r="CN505" s="17" t="str">
        <f t="shared" si="28"/>
        <v>0543</v>
      </c>
      <c r="CO505" s="17" t="str">
        <f t="shared" si="30"/>
        <v>500543新座市</v>
      </c>
      <c r="CP505" s="17" t="s">
        <v>6525</v>
      </c>
      <c r="CQ505" s="17" t="b">
        <f t="shared" si="31"/>
        <v>1</v>
      </c>
    </row>
    <row r="506" spans="6:95">
      <c r="F506" s="23"/>
      <c r="I506" s="23"/>
      <c r="L506" s="50" t="s">
        <v>6526</v>
      </c>
      <c r="M506" s="17" t="s">
        <v>6527</v>
      </c>
      <c r="N506" s="51" t="s">
        <v>6528</v>
      </c>
      <c r="O506" s="29" t="s">
        <v>1448</v>
      </c>
      <c r="P506" s="29" t="s">
        <v>6529</v>
      </c>
      <c r="Q506" s="29" t="s">
        <v>1448</v>
      </c>
      <c r="R506" s="29" t="s">
        <v>5614</v>
      </c>
      <c r="S506" s="28" t="s">
        <v>1862</v>
      </c>
      <c r="T506" s="28" t="s">
        <v>2431</v>
      </c>
      <c r="U506" s="28" t="s">
        <v>1441</v>
      </c>
      <c r="V506" s="28" t="s">
        <v>1619</v>
      </c>
      <c r="W506" s="28" t="s">
        <v>6530</v>
      </c>
      <c r="X506" s="17">
        <v>1</v>
      </c>
      <c r="CJ506" s="26" t="s">
        <v>1388</v>
      </c>
      <c r="CK506" s="26" t="s">
        <v>2812</v>
      </c>
      <c r="CL506" s="26" t="str">
        <f t="shared" si="29"/>
        <v>埼玉県桶川市</v>
      </c>
      <c r="CM506" s="49">
        <v>501</v>
      </c>
      <c r="CN506" s="17" t="str">
        <f t="shared" si="28"/>
        <v>0544</v>
      </c>
      <c r="CO506" s="17" t="str">
        <f t="shared" si="30"/>
        <v>501544桶川市</v>
      </c>
      <c r="CP506" s="17" t="s">
        <v>6531</v>
      </c>
      <c r="CQ506" s="17" t="b">
        <f t="shared" si="31"/>
        <v>1</v>
      </c>
    </row>
    <row r="507" spans="6:95">
      <c r="F507" s="23"/>
      <c r="I507" s="23"/>
      <c r="L507" s="50" t="s">
        <v>6532</v>
      </c>
      <c r="M507" s="17" t="s">
        <v>6533</v>
      </c>
      <c r="N507" s="51" t="s">
        <v>6534</v>
      </c>
      <c r="O507" s="29" t="s">
        <v>1448</v>
      </c>
      <c r="P507" s="29" t="s">
        <v>6535</v>
      </c>
      <c r="Q507" s="29" t="s">
        <v>1448</v>
      </c>
      <c r="R507" s="29" t="s">
        <v>6536</v>
      </c>
      <c r="S507" s="28" t="s">
        <v>1920</v>
      </c>
      <c r="T507" s="28" t="s">
        <v>2484</v>
      </c>
      <c r="U507" s="28" t="s">
        <v>1441</v>
      </c>
      <c r="V507" s="28" t="s">
        <v>1619</v>
      </c>
      <c r="W507" s="28" t="s">
        <v>6537</v>
      </c>
      <c r="X507" s="17">
        <v>1</v>
      </c>
      <c r="CJ507" s="26" t="s">
        <v>1388</v>
      </c>
      <c r="CK507" s="26" t="s">
        <v>2852</v>
      </c>
      <c r="CL507" s="26" t="str">
        <f t="shared" si="29"/>
        <v>埼玉県久喜市</v>
      </c>
      <c r="CM507" s="49">
        <v>502</v>
      </c>
      <c r="CN507" s="17" t="str">
        <f t="shared" si="28"/>
        <v>0545</v>
      </c>
      <c r="CO507" s="17" t="str">
        <f t="shared" si="30"/>
        <v>502545久喜市</v>
      </c>
      <c r="CP507" s="17" t="s">
        <v>6538</v>
      </c>
      <c r="CQ507" s="17" t="b">
        <f t="shared" si="31"/>
        <v>1</v>
      </c>
    </row>
    <row r="508" spans="6:95">
      <c r="F508" s="23"/>
      <c r="I508" s="23"/>
      <c r="L508" s="50" t="s">
        <v>6539</v>
      </c>
      <c r="M508" s="17" t="s">
        <v>6540</v>
      </c>
      <c r="N508" s="51" t="s">
        <v>6541</v>
      </c>
      <c r="O508" s="29" t="s">
        <v>1448</v>
      </c>
      <c r="P508" s="29" t="s">
        <v>6542</v>
      </c>
      <c r="Q508" s="29" t="s">
        <v>1448</v>
      </c>
      <c r="R508" s="29" t="s">
        <v>4723</v>
      </c>
      <c r="S508" s="28" t="s">
        <v>1977</v>
      </c>
      <c r="T508" s="28" t="s">
        <v>2536</v>
      </c>
      <c r="U508" s="28" t="s">
        <v>1441</v>
      </c>
      <c r="V508" s="28" t="s">
        <v>1619</v>
      </c>
      <c r="W508" s="28" t="s">
        <v>6543</v>
      </c>
      <c r="X508" s="17">
        <v>1</v>
      </c>
      <c r="CJ508" s="26" t="s">
        <v>1388</v>
      </c>
      <c r="CK508" s="26" t="s">
        <v>2891</v>
      </c>
      <c r="CL508" s="26" t="str">
        <f t="shared" si="29"/>
        <v>埼玉県北本市</v>
      </c>
      <c r="CM508" s="49">
        <v>503</v>
      </c>
      <c r="CN508" s="17" t="str">
        <f t="shared" si="28"/>
        <v>0546</v>
      </c>
      <c r="CO508" s="17" t="str">
        <f t="shared" si="30"/>
        <v>503546北本市</v>
      </c>
      <c r="CP508" s="17" t="s">
        <v>6544</v>
      </c>
      <c r="CQ508" s="17" t="b">
        <f t="shared" si="31"/>
        <v>1</v>
      </c>
    </row>
    <row r="509" spans="6:95">
      <c r="F509" s="23"/>
      <c r="I509" s="23"/>
      <c r="L509" s="50" t="s">
        <v>6545</v>
      </c>
      <c r="M509" s="17" t="s">
        <v>6546</v>
      </c>
      <c r="N509" s="51" t="s">
        <v>6547</v>
      </c>
      <c r="O509" s="29" t="s">
        <v>1448</v>
      </c>
      <c r="P509" s="29" t="s">
        <v>6548</v>
      </c>
      <c r="Q509" s="29" t="s">
        <v>1448</v>
      </c>
      <c r="R509" s="29" t="s">
        <v>5233</v>
      </c>
      <c r="S509" s="28" t="s">
        <v>1977</v>
      </c>
      <c r="T509" s="28" t="s">
        <v>2586</v>
      </c>
      <c r="U509" s="28" t="s">
        <v>1441</v>
      </c>
      <c r="V509" s="28" t="s">
        <v>1619</v>
      </c>
      <c r="W509" s="28" t="s">
        <v>6549</v>
      </c>
      <c r="X509" s="17">
        <v>1</v>
      </c>
      <c r="CJ509" s="26" t="s">
        <v>1388</v>
      </c>
      <c r="CK509" s="26" t="s">
        <v>2928</v>
      </c>
      <c r="CL509" s="26" t="str">
        <f t="shared" si="29"/>
        <v>埼玉県八潮市</v>
      </c>
      <c r="CM509" s="49">
        <v>504</v>
      </c>
      <c r="CN509" s="17" t="str">
        <f t="shared" si="28"/>
        <v>0547</v>
      </c>
      <c r="CO509" s="17" t="str">
        <f t="shared" si="30"/>
        <v>504547八潮市</v>
      </c>
      <c r="CP509" s="17" t="s">
        <v>6550</v>
      </c>
      <c r="CQ509" s="17" t="b">
        <f t="shared" si="31"/>
        <v>1</v>
      </c>
    </row>
    <row r="510" spans="6:95">
      <c r="F510" s="23"/>
      <c r="I510" s="23"/>
      <c r="L510" s="50" t="s">
        <v>6551</v>
      </c>
      <c r="M510" s="17" t="s">
        <v>6552</v>
      </c>
      <c r="N510" s="51" t="s">
        <v>6553</v>
      </c>
      <c r="O510" s="29" t="s">
        <v>1448</v>
      </c>
      <c r="P510" s="29" t="s">
        <v>6554</v>
      </c>
      <c r="Q510" s="29" t="s">
        <v>1448</v>
      </c>
      <c r="R510" s="29" t="s">
        <v>4389</v>
      </c>
      <c r="S510" s="28" t="s">
        <v>1862</v>
      </c>
      <c r="T510" s="28" t="s">
        <v>2633</v>
      </c>
      <c r="U510" s="28" t="s">
        <v>1441</v>
      </c>
      <c r="V510" s="28" t="s">
        <v>1619</v>
      </c>
      <c r="W510" s="28" t="s">
        <v>6555</v>
      </c>
      <c r="X510" s="17">
        <v>1</v>
      </c>
      <c r="CJ510" s="26" t="s">
        <v>1388</v>
      </c>
      <c r="CK510" s="26" t="s">
        <v>2962</v>
      </c>
      <c r="CL510" s="26" t="str">
        <f t="shared" si="29"/>
        <v>埼玉県富士見市</v>
      </c>
      <c r="CM510" s="49">
        <v>505</v>
      </c>
      <c r="CN510" s="17" t="str">
        <f t="shared" si="28"/>
        <v>0548</v>
      </c>
      <c r="CO510" s="17" t="str">
        <f t="shared" si="30"/>
        <v>505548富士見市</v>
      </c>
      <c r="CP510" s="17" t="s">
        <v>6556</v>
      </c>
      <c r="CQ510" s="17" t="b">
        <f t="shared" si="31"/>
        <v>1</v>
      </c>
    </row>
    <row r="511" spans="6:95">
      <c r="F511" s="23"/>
      <c r="I511" s="23"/>
      <c r="L511" s="50" t="s">
        <v>6557</v>
      </c>
      <c r="M511" s="17" t="s">
        <v>6558</v>
      </c>
      <c r="N511" s="51" t="s">
        <v>6559</v>
      </c>
      <c r="O511" s="29" t="s">
        <v>1448</v>
      </c>
      <c r="P511" s="29" t="s">
        <v>6560</v>
      </c>
      <c r="Q511" s="29" t="s">
        <v>1448</v>
      </c>
      <c r="R511" s="29" t="s">
        <v>4397</v>
      </c>
      <c r="S511" s="28" t="s">
        <v>1502</v>
      </c>
      <c r="T511" s="28" t="s">
        <v>2679</v>
      </c>
      <c r="U511" s="28" t="s">
        <v>1441</v>
      </c>
      <c r="V511" s="28" t="s">
        <v>1619</v>
      </c>
      <c r="W511" s="28" t="s">
        <v>6561</v>
      </c>
      <c r="X511" s="17">
        <v>1</v>
      </c>
      <c r="CJ511" s="26" t="s">
        <v>1388</v>
      </c>
      <c r="CK511" s="26" t="s">
        <v>2995</v>
      </c>
      <c r="CL511" s="26" t="str">
        <f t="shared" si="29"/>
        <v>埼玉県三郷市</v>
      </c>
      <c r="CM511" s="49">
        <v>506</v>
      </c>
      <c r="CN511" s="17" t="str">
        <f t="shared" si="28"/>
        <v>0549</v>
      </c>
      <c r="CO511" s="17" t="str">
        <f t="shared" si="30"/>
        <v>506549三郷市</v>
      </c>
      <c r="CP511" s="17" t="s">
        <v>6562</v>
      </c>
      <c r="CQ511" s="17" t="b">
        <f t="shared" si="31"/>
        <v>1</v>
      </c>
    </row>
    <row r="512" spans="6:95">
      <c r="F512" s="23"/>
      <c r="I512" s="23"/>
      <c r="L512" s="50" t="s">
        <v>6563</v>
      </c>
      <c r="M512" s="17" t="s">
        <v>6564</v>
      </c>
      <c r="N512" s="51" t="s">
        <v>6565</v>
      </c>
      <c r="O512" s="29" t="s">
        <v>1448</v>
      </c>
      <c r="P512" s="29" t="s">
        <v>6566</v>
      </c>
      <c r="Q512" s="29" t="s">
        <v>1448</v>
      </c>
      <c r="R512" s="29" t="s">
        <v>4799</v>
      </c>
      <c r="S512" s="28" t="s">
        <v>2525</v>
      </c>
      <c r="T512" s="28" t="s">
        <v>2725</v>
      </c>
      <c r="U512" s="28" t="s">
        <v>1441</v>
      </c>
      <c r="V512" s="28" t="s">
        <v>1619</v>
      </c>
      <c r="W512" s="28" t="s">
        <v>6567</v>
      </c>
      <c r="X512" s="17">
        <v>1</v>
      </c>
      <c r="CJ512" s="26" t="s">
        <v>1388</v>
      </c>
      <c r="CK512" s="26" t="s">
        <v>3029</v>
      </c>
      <c r="CL512" s="26" t="str">
        <f t="shared" si="29"/>
        <v>埼玉県蓮田市</v>
      </c>
      <c r="CM512" s="49">
        <v>507</v>
      </c>
      <c r="CN512" s="17" t="str">
        <f t="shared" si="28"/>
        <v>0550</v>
      </c>
      <c r="CO512" s="17" t="str">
        <f t="shared" si="30"/>
        <v>507550蓮田市</v>
      </c>
      <c r="CP512" s="17" t="s">
        <v>6568</v>
      </c>
      <c r="CQ512" s="17" t="b">
        <f t="shared" si="31"/>
        <v>1</v>
      </c>
    </row>
    <row r="513" spans="6:95">
      <c r="F513" s="23"/>
      <c r="I513" s="23"/>
      <c r="L513" s="50" t="s">
        <v>6569</v>
      </c>
      <c r="M513" s="17" t="s">
        <v>6570</v>
      </c>
      <c r="N513" s="51" t="s">
        <v>6571</v>
      </c>
      <c r="O513" s="29" t="s">
        <v>1448</v>
      </c>
      <c r="P513" s="29" t="s">
        <v>6572</v>
      </c>
      <c r="Q513" s="29" t="s">
        <v>1448</v>
      </c>
      <c r="R513" s="29" t="s">
        <v>3566</v>
      </c>
      <c r="S513" s="28" t="s">
        <v>1564</v>
      </c>
      <c r="T513" s="28" t="s">
        <v>2769</v>
      </c>
      <c r="U513" s="28" t="s">
        <v>1441</v>
      </c>
      <c r="V513" s="28" t="s">
        <v>1619</v>
      </c>
      <c r="W513" s="28" t="s">
        <v>6572</v>
      </c>
      <c r="X513" s="17">
        <v>1</v>
      </c>
      <c r="CJ513" s="26" t="s">
        <v>1388</v>
      </c>
      <c r="CK513" s="26" t="s">
        <v>3060</v>
      </c>
      <c r="CL513" s="26" t="str">
        <f t="shared" si="29"/>
        <v>埼玉県坂戸市</v>
      </c>
      <c r="CM513" s="49">
        <v>508</v>
      </c>
      <c r="CN513" s="17" t="str">
        <f t="shared" si="28"/>
        <v>0551</v>
      </c>
      <c r="CO513" s="17" t="str">
        <f t="shared" si="30"/>
        <v>508551坂戸市</v>
      </c>
      <c r="CP513" s="17" t="s">
        <v>6573</v>
      </c>
      <c r="CQ513" s="17" t="b">
        <f t="shared" si="31"/>
        <v>1</v>
      </c>
    </row>
    <row r="514" spans="6:95">
      <c r="F514" s="23"/>
      <c r="I514" s="23"/>
      <c r="L514" s="50" t="s">
        <v>6574</v>
      </c>
      <c r="M514" s="17" t="s">
        <v>6575</v>
      </c>
      <c r="N514" s="51" t="s">
        <v>6576</v>
      </c>
      <c r="O514" s="29" t="s">
        <v>1448</v>
      </c>
      <c r="P514" s="29" t="s">
        <v>6577</v>
      </c>
      <c r="Q514" s="29" t="s">
        <v>1448</v>
      </c>
      <c r="R514" s="29" t="s">
        <v>3579</v>
      </c>
      <c r="S514" s="28" t="s">
        <v>1626</v>
      </c>
      <c r="T514" s="28" t="s">
        <v>2811</v>
      </c>
      <c r="U514" s="28" t="s">
        <v>1441</v>
      </c>
      <c r="V514" s="28" t="s">
        <v>1619</v>
      </c>
      <c r="W514" s="28" t="s">
        <v>6577</v>
      </c>
      <c r="X514" s="17">
        <v>1</v>
      </c>
      <c r="CJ514" s="26" t="s">
        <v>1388</v>
      </c>
      <c r="CK514" s="26" t="s">
        <v>3090</v>
      </c>
      <c r="CL514" s="26" t="str">
        <f t="shared" si="29"/>
        <v>埼玉県幸手市</v>
      </c>
      <c r="CM514" s="49">
        <v>509</v>
      </c>
      <c r="CN514" s="17" t="str">
        <f t="shared" si="28"/>
        <v>0552</v>
      </c>
      <c r="CO514" s="17" t="str">
        <f t="shared" si="30"/>
        <v>509552幸手市</v>
      </c>
      <c r="CP514" s="17" t="s">
        <v>6578</v>
      </c>
      <c r="CQ514" s="17" t="b">
        <f t="shared" si="31"/>
        <v>1</v>
      </c>
    </row>
    <row r="515" spans="6:95">
      <c r="F515" s="23"/>
      <c r="I515" s="23"/>
      <c r="L515" s="50" t="s">
        <v>6579</v>
      </c>
      <c r="M515" s="17" t="s">
        <v>6580</v>
      </c>
      <c r="N515" s="51" t="s">
        <v>6581</v>
      </c>
      <c r="O515" s="29" t="s">
        <v>1448</v>
      </c>
      <c r="P515" s="29" t="s">
        <v>6582</v>
      </c>
      <c r="Q515" s="29" t="s">
        <v>1448</v>
      </c>
      <c r="R515" s="29" t="s">
        <v>4818</v>
      </c>
      <c r="S515" s="28" t="s">
        <v>1862</v>
      </c>
      <c r="T515" s="28" t="s">
        <v>2851</v>
      </c>
      <c r="U515" s="28" t="s">
        <v>1441</v>
      </c>
      <c r="V515" s="28" t="s">
        <v>1619</v>
      </c>
      <c r="W515" s="28" t="s">
        <v>6583</v>
      </c>
      <c r="X515" s="17">
        <v>1</v>
      </c>
      <c r="CJ515" s="26" t="s">
        <v>1388</v>
      </c>
      <c r="CK515" s="26" t="s">
        <v>3122</v>
      </c>
      <c r="CL515" s="26" t="str">
        <f t="shared" si="29"/>
        <v>埼玉県鶴ヶ島市</v>
      </c>
      <c r="CM515" s="49">
        <v>510</v>
      </c>
      <c r="CN515" s="17" t="str">
        <f t="shared" si="28"/>
        <v>0553</v>
      </c>
      <c r="CO515" s="17" t="str">
        <f t="shared" si="30"/>
        <v>510553鶴ヶ島市</v>
      </c>
      <c r="CP515" s="17" t="s">
        <v>6584</v>
      </c>
      <c r="CQ515" s="17" t="b">
        <f t="shared" si="31"/>
        <v>1</v>
      </c>
    </row>
    <row r="516" spans="6:95">
      <c r="F516" s="23"/>
      <c r="I516" s="23"/>
      <c r="L516" s="50" t="s">
        <v>6585</v>
      </c>
      <c r="M516" s="17" t="s">
        <v>6586</v>
      </c>
      <c r="N516" s="51" t="s">
        <v>6587</v>
      </c>
      <c r="O516" s="29" t="s">
        <v>1448</v>
      </c>
      <c r="P516" s="29" t="s">
        <v>6588</v>
      </c>
      <c r="Q516" s="29" t="s">
        <v>1448</v>
      </c>
      <c r="R516" s="29" t="s">
        <v>5253</v>
      </c>
      <c r="S516" s="28" t="s">
        <v>1920</v>
      </c>
      <c r="T516" s="28" t="s">
        <v>2890</v>
      </c>
      <c r="U516" s="28" t="s">
        <v>1441</v>
      </c>
      <c r="V516" s="28" t="s">
        <v>1619</v>
      </c>
      <c r="W516" s="28" t="s">
        <v>6589</v>
      </c>
      <c r="X516" s="17">
        <v>1</v>
      </c>
      <c r="CJ516" s="26" t="s">
        <v>1388</v>
      </c>
      <c r="CK516" s="26" t="s">
        <v>3152</v>
      </c>
      <c r="CL516" s="26" t="str">
        <f t="shared" si="29"/>
        <v>埼玉県日高市</v>
      </c>
      <c r="CM516" s="49">
        <v>511</v>
      </c>
      <c r="CN516" s="17" t="str">
        <f t="shared" si="28"/>
        <v>0554</v>
      </c>
      <c r="CO516" s="17" t="str">
        <f t="shared" si="30"/>
        <v>511554日高市</v>
      </c>
      <c r="CP516" s="17" t="s">
        <v>6590</v>
      </c>
      <c r="CQ516" s="17" t="b">
        <f t="shared" si="31"/>
        <v>1</v>
      </c>
    </row>
    <row r="517" spans="6:95">
      <c r="F517" s="23"/>
      <c r="I517" s="23"/>
      <c r="L517" s="50" t="s">
        <v>6591</v>
      </c>
      <c r="M517" s="17" t="s">
        <v>6592</v>
      </c>
      <c r="N517" s="51" t="s">
        <v>6593</v>
      </c>
      <c r="O517" s="29" t="s">
        <v>1448</v>
      </c>
      <c r="P517" s="29" t="s">
        <v>6594</v>
      </c>
      <c r="Q517" s="29" t="s">
        <v>1448</v>
      </c>
      <c r="R517" s="29" t="s">
        <v>6595</v>
      </c>
      <c r="S517" s="28" t="s">
        <v>1626</v>
      </c>
      <c r="T517" s="28" t="s">
        <v>2927</v>
      </c>
      <c r="U517" s="28" t="s">
        <v>1441</v>
      </c>
      <c r="V517" s="28" t="s">
        <v>1619</v>
      </c>
      <c r="W517" s="28" t="s">
        <v>6596</v>
      </c>
      <c r="X517" s="17">
        <v>1</v>
      </c>
      <c r="CJ517" s="26" t="s">
        <v>1388</v>
      </c>
      <c r="CK517" s="26" t="s">
        <v>3180</v>
      </c>
      <c r="CL517" s="26" t="str">
        <f t="shared" si="29"/>
        <v>埼玉県吉川市</v>
      </c>
      <c r="CM517" s="49">
        <v>512</v>
      </c>
      <c r="CN517" s="17" t="str">
        <f t="shared" si="28"/>
        <v>0555</v>
      </c>
      <c r="CO517" s="17" t="str">
        <f t="shared" si="30"/>
        <v>512555吉川市</v>
      </c>
      <c r="CP517" s="17" t="s">
        <v>6597</v>
      </c>
      <c r="CQ517" s="17" t="b">
        <f t="shared" si="31"/>
        <v>1</v>
      </c>
    </row>
    <row r="518" spans="6:95">
      <c r="F518" s="23"/>
      <c r="I518" s="23"/>
      <c r="L518" s="50" t="s">
        <v>6598</v>
      </c>
      <c r="M518" s="17" t="s">
        <v>6599</v>
      </c>
      <c r="N518" s="51" t="s">
        <v>6600</v>
      </c>
      <c r="O518" s="29" t="s">
        <v>1448</v>
      </c>
      <c r="P518" s="29" t="s">
        <v>6601</v>
      </c>
      <c r="Q518" s="29" t="s">
        <v>1448</v>
      </c>
      <c r="R518" s="29" t="s">
        <v>6602</v>
      </c>
      <c r="S518" s="28" t="s">
        <v>1502</v>
      </c>
      <c r="T518" s="28" t="s">
        <v>2961</v>
      </c>
      <c r="U518" s="28" t="s">
        <v>1441</v>
      </c>
      <c r="V518" s="28" t="s">
        <v>1619</v>
      </c>
      <c r="W518" s="28" t="s">
        <v>6603</v>
      </c>
      <c r="X518" s="17">
        <v>1</v>
      </c>
      <c r="CJ518" s="26" t="s">
        <v>1388</v>
      </c>
      <c r="CK518" s="26" t="s">
        <v>3205</v>
      </c>
      <c r="CL518" s="26" t="str">
        <f t="shared" si="29"/>
        <v>埼玉県ふじみ野市</v>
      </c>
      <c r="CM518" s="49">
        <v>513</v>
      </c>
      <c r="CN518" s="17" t="str">
        <f t="shared" ref="CN518:CN581" si="32">VLOOKUP(CL518,$M$6:$N$1784,2,FALSE)</f>
        <v>0556</v>
      </c>
      <c r="CO518" s="17" t="str">
        <f t="shared" si="30"/>
        <v>513556ふじみ野市</v>
      </c>
      <c r="CP518" s="17" t="s">
        <v>6604</v>
      </c>
      <c r="CQ518" s="17" t="b">
        <f t="shared" si="31"/>
        <v>1</v>
      </c>
    </row>
    <row r="519" spans="6:95">
      <c r="F519" s="23"/>
      <c r="I519" s="23"/>
      <c r="L519" s="50" t="s">
        <v>6605</v>
      </c>
      <c r="M519" s="17" t="s">
        <v>6606</v>
      </c>
      <c r="N519" s="51" t="s">
        <v>6607</v>
      </c>
      <c r="O519" s="29" t="s">
        <v>1448</v>
      </c>
      <c r="P519" s="29" t="s">
        <v>6608</v>
      </c>
      <c r="Q519" s="29" t="s">
        <v>1448</v>
      </c>
      <c r="R519" s="29" t="s">
        <v>3732</v>
      </c>
      <c r="S519" s="28" t="s">
        <v>1977</v>
      </c>
      <c r="T519" s="28" t="s">
        <v>2994</v>
      </c>
      <c r="U519" s="28" t="s">
        <v>1441</v>
      </c>
      <c r="V519" s="28" t="s">
        <v>1619</v>
      </c>
      <c r="W519" s="28" t="s">
        <v>6609</v>
      </c>
      <c r="X519" s="17">
        <v>1</v>
      </c>
      <c r="CJ519" s="26" t="s">
        <v>1388</v>
      </c>
      <c r="CK519" s="26" t="s">
        <v>3229</v>
      </c>
      <c r="CL519" s="26" t="str">
        <f t="shared" si="29"/>
        <v>埼玉県白岡市</v>
      </c>
      <c r="CM519" s="49">
        <v>514</v>
      </c>
      <c r="CN519" s="17" t="str">
        <f t="shared" si="32"/>
        <v>0557</v>
      </c>
      <c r="CO519" s="17" t="str">
        <f t="shared" si="30"/>
        <v>514557白岡市</v>
      </c>
      <c r="CP519" s="17" t="s">
        <v>6610</v>
      </c>
      <c r="CQ519" s="17" t="b">
        <f t="shared" si="31"/>
        <v>1</v>
      </c>
    </row>
    <row r="520" spans="6:95">
      <c r="F520" s="23"/>
      <c r="I520" s="23"/>
      <c r="L520" s="50" t="s">
        <v>6611</v>
      </c>
      <c r="M520" s="17" t="s">
        <v>6612</v>
      </c>
      <c r="N520" s="51" t="s">
        <v>6613</v>
      </c>
      <c r="O520" s="29" t="s">
        <v>1448</v>
      </c>
      <c r="P520" s="29" t="s">
        <v>6614</v>
      </c>
      <c r="Q520" s="29" t="s">
        <v>1448</v>
      </c>
      <c r="R520" s="29" t="s">
        <v>5943</v>
      </c>
      <c r="S520" s="28" t="s">
        <v>2311</v>
      </c>
      <c r="T520" s="28" t="s">
        <v>3028</v>
      </c>
      <c r="U520" s="28" t="s">
        <v>1441</v>
      </c>
      <c r="V520" s="28" t="s">
        <v>1619</v>
      </c>
      <c r="W520" s="28" t="s">
        <v>6615</v>
      </c>
      <c r="X520" s="17">
        <v>1</v>
      </c>
      <c r="CJ520" s="26" t="s">
        <v>1388</v>
      </c>
      <c r="CK520" s="26" t="s">
        <v>3252</v>
      </c>
      <c r="CL520" s="26" t="str">
        <f t="shared" ref="CL520:CL583" si="33">CJ520&amp;CK520</f>
        <v>埼玉県伊奈町</v>
      </c>
      <c r="CM520" s="49">
        <v>515</v>
      </c>
      <c r="CN520" s="17" t="str">
        <f t="shared" si="32"/>
        <v>0558</v>
      </c>
      <c r="CO520" s="17" t="str">
        <f t="shared" ref="CO520:CO583" si="34">CM520&amp;TEXT(CN520,0)&amp;CK520</f>
        <v>515558伊奈町</v>
      </c>
      <c r="CP520" s="17" t="s">
        <v>6616</v>
      </c>
      <c r="CQ520" s="17" t="b">
        <f t="shared" ref="CQ520:CQ583" si="35">CO520=CP520</f>
        <v>1</v>
      </c>
    </row>
    <row r="521" spans="6:95">
      <c r="F521" s="23"/>
      <c r="I521" s="23"/>
      <c r="L521" s="50" t="s">
        <v>6617</v>
      </c>
      <c r="M521" s="17" t="s">
        <v>6618</v>
      </c>
      <c r="N521" s="51" t="s">
        <v>6619</v>
      </c>
      <c r="O521" s="29" t="s">
        <v>1448</v>
      </c>
      <c r="P521" s="29" t="s">
        <v>6620</v>
      </c>
      <c r="Q521" s="29" t="s">
        <v>1448</v>
      </c>
      <c r="R521" s="29" t="s">
        <v>5950</v>
      </c>
      <c r="S521" s="28" t="s">
        <v>1564</v>
      </c>
      <c r="T521" s="28" t="s">
        <v>2445</v>
      </c>
      <c r="U521" s="28" t="s">
        <v>1441</v>
      </c>
      <c r="V521" s="28" t="s">
        <v>1619</v>
      </c>
      <c r="W521" s="28" t="s">
        <v>6621</v>
      </c>
      <c r="X521" s="17">
        <v>1</v>
      </c>
      <c r="CJ521" s="26" t="s">
        <v>1388</v>
      </c>
      <c r="CK521" s="26" t="s">
        <v>3277</v>
      </c>
      <c r="CL521" s="26" t="str">
        <f t="shared" si="33"/>
        <v>埼玉県三芳町</v>
      </c>
      <c r="CM521" s="49">
        <v>516</v>
      </c>
      <c r="CN521" s="17" t="str">
        <f t="shared" si="32"/>
        <v>0559</v>
      </c>
      <c r="CO521" s="17" t="str">
        <f t="shared" si="34"/>
        <v>516559三芳町</v>
      </c>
      <c r="CP521" s="17" t="s">
        <v>6622</v>
      </c>
      <c r="CQ521" s="17" t="b">
        <f t="shared" si="35"/>
        <v>1</v>
      </c>
    </row>
    <row r="522" spans="6:95">
      <c r="F522" s="23"/>
      <c r="I522" s="23"/>
      <c r="L522" s="50" t="s">
        <v>6623</v>
      </c>
      <c r="M522" s="17" t="s">
        <v>6624</v>
      </c>
      <c r="N522" s="51" t="s">
        <v>6625</v>
      </c>
      <c r="O522" s="29" t="s">
        <v>1448</v>
      </c>
      <c r="P522" s="29" t="s">
        <v>6626</v>
      </c>
      <c r="Q522" s="29" t="s">
        <v>1448</v>
      </c>
      <c r="R522" s="29" t="s">
        <v>6627</v>
      </c>
      <c r="S522" s="28" t="s">
        <v>1626</v>
      </c>
      <c r="T522" s="28" t="s">
        <v>3089</v>
      </c>
      <c r="U522" s="28" t="s">
        <v>1441</v>
      </c>
      <c r="V522" s="28" t="s">
        <v>1619</v>
      </c>
      <c r="W522" s="28" t="s">
        <v>6628</v>
      </c>
      <c r="X522" s="17">
        <v>1</v>
      </c>
      <c r="CJ522" s="26" t="s">
        <v>1388</v>
      </c>
      <c r="CK522" s="26" t="s">
        <v>3299</v>
      </c>
      <c r="CL522" s="26" t="str">
        <f t="shared" si="33"/>
        <v>埼玉県毛呂山町</v>
      </c>
      <c r="CM522" s="49">
        <v>517</v>
      </c>
      <c r="CN522" s="17" t="str">
        <f t="shared" si="32"/>
        <v>0560</v>
      </c>
      <c r="CO522" s="17" t="str">
        <f t="shared" si="34"/>
        <v>517560毛呂山町</v>
      </c>
      <c r="CP522" s="17" t="s">
        <v>6629</v>
      </c>
      <c r="CQ522" s="17" t="b">
        <f t="shared" si="35"/>
        <v>1</v>
      </c>
    </row>
    <row r="523" spans="6:95">
      <c r="F523" s="23"/>
      <c r="I523" s="23"/>
      <c r="L523" s="50" t="s">
        <v>6630</v>
      </c>
      <c r="M523" s="17" t="s">
        <v>6631</v>
      </c>
      <c r="N523" s="51" t="s">
        <v>6632</v>
      </c>
      <c r="O523" s="29" t="s">
        <v>1448</v>
      </c>
      <c r="P523" s="29" t="s">
        <v>6633</v>
      </c>
      <c r="Q523" s="29" t="s">
        <v>1448</v>
      </c>
      <c r="R523" s="29" t="s">
        <v>4978</v>
      </c>
      <c r="S523" s="28" t="s">
        <v>1502</v>
      </c>
      <c r="T523" s="28" t="s">
        <v>3121</v>
      </c>
      <c r="U523" s="28" t="s">
        <v>1441</v>
      </c>
      <c r="V523" s="28" t="s">
        <v>1619</v>
      </c>
      <c r="W523" s="28" t="s">
        <v>6634</v>
      </c>
      <c r="X523" s="17">
        <v>1</v>
      </c>
      <c r="CJ523" s="26" t="s">
        <v>1388</v>
      </c>
      <c r="CK523" s="26" t="s">
        <v>3321</v>
      </c>
      <c r="CL523" s="26" t="str">
        <f t="shared" si="33"/>
        <v>埼玉県越生町</v>
      </c>
      <c r="CM523" s="49">
        <v>518</v>
      </c>
      <c r="CN523" s="17" t="str">
        <f t="shared" si="32"/>
        <v>0561</v>
      </c>
      <c r="CO523" s="17" t="str">
        <f t="shared" si="34"/>
        <v>518561越生町</v>
      </c>
      <c r="CP523" s="17" t="s">
        <v>6635</v>
      </c>
      <c r="CQ523" s="17" t="b">
        <f t="shared" si="35"/>
        <v>1</v>
      </c>
    </row>
    <row r="524" spans="6:95">
      <c r="F524" s="23"/>
      <c r="I524" s="23"/>
      <c r="L524" s="50" t="s">
        <v>6636</v>
      </c>
      <c r="M524" s="17" t="s">
        <v>6637</v>
      </c>
      <c r="N524" s="51" t="s">
        <v>6638</v>
      </c>
      <c r="O524" s="29" t="s">
        <v>1448</v>
      </c>
      <c r="P524" s="29" t="s">
        <v>6639</v>
      </c>
      <c r="Q524" s="29" t="s">
        <v>1448</v>
      </c>
      <c r="R524" s="29" t="s">
        <v>6640</v>
      </c>
      <c r="S524" s="28" t="s">
        <v>1743</v>
      </c>
      <c r="T524" s="28" t="s">
        <v>3151</v>
      </c>
      <c r="U524" s="28" t="s">
        <v>1441</v>
      </c>
      <c r="V524" s="28" t="s">
        <v>1619</v>
      </c>
      <c r="W524" s="28" t="s">
        <v>6641</v>
      </c>
      <c r="X524" s="17">
        <v>1</v>
      </c>
      <c r="CJ524" s="26" t="s">
        <v>1388</v>
      </c>
      <c r="CK524" s="26" t="s">
        <v>3342</v>
      </c>
      <c r="CL524" s="26" t="str">
        <f t="shared" si="33"/>
        <v>埼玉県滑川町</v>
      </c>
      <c r="CM524" s="49">
        <v>519</v>
      </c>
      <c r="CN524" s="17" t="str">
        <f t="shared" si="32"/>
        <v>0562</v>
      </c>
      <c r="CO524" s="17" t="str">
        <f t="shared" si="34"/>
        <v>519562滑川町</v>
      </c>
      <c r="CP524" s="17" t="s">
        <v>6642</v>
      </c>
      <c r="CQ524" s="17" t="b">
        <f t="shared" si="35"/>
        <v>1</v>
      </c>
    </row>
    <row r="525" spans="6:95">
      <c r="F525" s="23"/>
      <c r="I525" s="23"/>
      <c r="L525" s="50" t="s">
        <v>6643</v>
      </c>
      <c r="M525" s="17" t="s">
        <v>6644</v>
      </c>
      <c r="N525" s="51" t="s">
        <v>6645</v>
      </c>
      <c r="O525" s="29" t="s">
        <v>1449</v>
      </c>
      <c r="P525" s="29" t="s">
        <v>6646</v>
      </c>
      <c r="Q525" s="29" t="s">
        <v>1449</v>
      </c>
      <c r="R525" s="29" t="s">
        <v>1501</v>
      </c>
      <c r="S525" s="28" t="s">
        <v>2525</v>
      </c>
      <c r="T525" s="28" t="s">
        <v>1514</v>
      </c>
      <c r="U525" s="28" t="s">
        <v>1441</v>
      </c>
      <c r="V525" s="28" t="s">
        <v>1619</v>
      </c>
      <c r="W525" s="28" t="s">
        <v>6647</v>
      </c>
      <c r="X525" s="17">
        <v>1</v>
      </c>
      <c r="CJ525" s="26" t="s">
        <v>1388</v>
      </c>
      <c r="CK525" s="26" t="s">
        <v>3363</v>
      </c>
      <c r="CL525" s="26" t="str">
        <f t="shared" si="33"/>
        <v>埼玉県嵐山町</v>
      </c>
      <c r="CM525" s="49">
        <v>520</v>
      </c>
      <c r="CN525" s="17" t="str">
        <f t="shared" si="32"/>
        <v>0563</v>
      </c>
      <c r="CO525" s="17" t="str">
        <f t="shared" si="34"/>
        <v>520563嵐山町</v>
      </c>
      <c r="CP525" s="17" t="s">
        <v>6648</v>
      </c>
      <c r="CQ525" s="17" t="b">
        <f t="shared" si="35"/>
        <v>1</v>
      </c>
    </row>
    <row r="526" spans="6:95">
      <c r="F526" s="23"/>
      <c r="I526" s="23"/>
      <c r="L526" s="50" t="s">
        <v>6649</v>
      </c>
      <c r="M526" s="17" t="s">
        <v>6650</v>
      </c>
      <c r="N526" s="51" t="s">
        <v>6651</v>
      </c>
      <c r="O526" s="29" t="s">
        <v>1449</v>
      </c>
      <c r="P526" s="29" t="s">
        <v>6652</v>
      </c>
      <c r="Q526" s="29" t="s">
        <v>1449</v>
      </c>
      <c r="R526" s="29" t="s">
        <v>4593</v>
      </c>
      <c r="S526" s="28" t="s">
        <v>1564</v>
      </c>
      <c r="T526" s="28" t="s">
        <v>1576</v>
      </c>
      <c r="U526" s="28" t="s">
        <v>1441</v>
      </c>
      <c r="V526" s="28" t="s">
        <v>1619</v>
      </c>
      <c r="W526" s="28" t="s">
        <v>6652</v>
      </c>
      <c r="X526" s="17">
        <v>1</v>
      </c>
      <c r="CJ526" s="26" t="s">
        <v>1388</v>
      </c>
      <c r="CK526" s="26" t="s">
        <v>3381</v>
      </c>
      <c r="CL526" s="26" t="str">
        <f t="shared" si="33"/>
        <v>埼玉県小川町</v>
      </c>
      <c r="CM526" s="49">
        <v>521</v>
      </c>
      <c r="CN526" s="17" t="str">
        <f t="shared" si="32"/>
        <v>0564</v>
      </c>
      <c r="CO526" s="17" t="str">
        <f t="shared" si="34"/>
        <v>521564小川町</v>
      </c>
      <c r="CP526" s="17" t="s">
        <v>6653</v>
      </c>
      <c r="CQ526" s="17" t="b">
        <f t="shared" si="35"/>
        <v>1</v>
      </c>
    </row>
    <row r="527" spans="6:95">
      <c r="F527" s="23"/>
      <c r="I527" s="23"/>
      <c r="L527" s="50" t="s">
        <v>6654</v>
      </c>
      <c r="M527" s="17" t="s">
        <v>6655</v>
      </c>
      <c r="N527" s="51" t="s">
        <v>6656</v>
      </c>
      <c r="O527" s="29" t="s">
        <v>1449</v>
      </c>
      <c r="P527" s="29" t="s">
        <v>6657</v>
      </c>
      <c r="Q527" s="29" t="s">
        <v>1449</v>
      </c>
      <c r="R527" s="29" t="s">
        <v>1625</v>
      </c>
      <c r="S527" s="28" t="s">
        <v>1502</v>
      </c>
      <c r="T527" s="28" t="s">
        <v>1638</v>
      </c>
      <c r="U527" s="28" t="s">
        <v>1441</v>
      </c>
      <c r="V527" s="28" t="s">
        <v>1619</v>
      </c>
      <c r="W527" s="28" t="s">
        <v>6658</v>
      </c>
      <c r="X527" s="17">
        <v>1</v>
      </c>
      <c r="CJ527" s="26" t="s">
        <v>1388</v>
      </c>
      <c r="CK527" s="26" t="s">
        <v>3399</v>
      </c>
      <c r="CL527" s="26" t="str">
        <f t="shared" si="33"/>
        <v>埼玉県川島町</v>
      </c>
      <c r="CM527" s="49">
        <v>522</v>
      </c>
      <c r="CN527" s="17" t="str">
        <f t="shared" si="32"/>
        <v>0565</v>
      </c>
      <c r="CO527" s="17" t="str">
        <f t="shared" si="34"/>
        <v>522565川島町</v>
      </c>
      <c r="CP527" s="17" t="s">
        <v>6659</v>
      </c>
      <c r="CQ527" s="17" t="b">
        <f t="shared" si="35"/>
        <v>1</v>
      </c>
    </row>
    <row r="528" spans="6:95">
      <c r="F528" s="23"/>
      <c r="I528" s="23"/>
      <c r="L528" s="50" t="s">
        <v>6660</v>
      </c>
      <c r="M528" s="17" t="s">
        <v>6661</v>
      </c>
      <c r="N528" s="51" t="s">
        <v>6662</v>
      </c>
      <c r="O528" s="29" t="s">
        <v>1449</v>
      </c>
      <c r="P528" s="29" t="s">
        <v>6663</v>
      </c>
      <c r="Q528" s="29" t="s">
        <v>1449</v>
      </c>
      <c r="R528" s="29" t="s">
        <v>1802</v>
      </c>
      <c r="S528" s="28" t="s">
        <v>1862</v>
      </c>
      <c r="T528" s="28" t="s">
        <v>1696</v>
      </c>
      <c r="U528" s="28" t="s">
        <v>1441</v>
      </c>
      <c r="V528" s="28" t="s">
        <v>1619</v>
      </c>
      <c r="W528" s="28" t="s">
        <v>6664</v>
      </c>
      <c r="X528" s="17">
        <v>1</v>
      </c>
      <c r="CJ528" s="26" t="s">
        <v>1388</v>
      </c>
      <c r="CK528" s="26" t="s">
        <v>3415</v>
      </c>
      <c r="CL528" s="26" t="str">
        <f t="shared" si="33"/>
        <v>埼玉県吉見町</v>
      </c>
      <c r="CM528" s="49">
        <v>523</v>
      </c>
      <c r="CN528" s="17" t="str">
        <f t="shared" si="32"/>
        <v>0566</v>
      </c>
      <c r="CO528" s="17" t="str">
        <f t="shared" si="34"/>
        <v>523566吉見町</v>
      </c>
      <c r="CP528" s="17" t="s">
        <v>6665</v>
      </c>
      <c r="CQ528" s="17" t="b">
        <f t="shared" si="35"/>
        <v>1</v>
      </c>
    </row>
    <row r="529" spans="6:95">
      <c r="F529" s="23"/>
      <c r="I529" s="23"/>
      <c r="L529" s="50" t="s">
        <v>6666</v>
      </c>
      <c r="M529" s="17" t="s">
        <v>6667</v>
      </c>
      <c r="N529" s="51" t="s">
        <v>6668</v>
      </c>
      <c r="O529" s="29" t="s">
        <v>1449</v>
      </c>
      <c r="P529" s="29" t="s">
        <v>6669</v>
      </c>
      <c r="Q529" s="29" t="s">
        <v>1449</v>
      </c>
      <c r="R529" s="29" t="s">
        <v>1861</v>
      </c>
      <c r="S529" s="28" t="s">
        <v>1920</v>
      </c>
      <c r="T529" s="28" t="s">
        <v>1755</v>
      </c>
      <c r="U529" s="28" t="s">
        <v>1441</v>
      </c>
      <c r="V529" s="28" t="s">
        <v>1619</v>
      </c>
      <c r="W529" s="28" t="s">
        <v>6670</v>
      </c>
      <c r="X529" s="17">
        <v>1</v>
      </c>
      <c r="CJ529" s="26" t="s">
        <v>1388</v>
      </c>
      <c r="CK529" s="26" t="s">
        <v>3430</v>
      </c>
      <c r="CL529" s="26" t="str">
        <f t="shared" si="33"/>
        <v>埼玉県鳩山町</v>
      </c>
      <c r="CM529" s="49">
        <v>524</v>
      </c>
      <c r="CN529" s="17" t="str">
        <f t="shared" si="32"/>
        <v>0567</v>
      </c>
      <c r="CO529" s="17" t="str">
        <f t="shared" si="34"/>
        <v>524567鳩山町</v>
      </c>
      <c r="CP529" s="17" t="s">
        <v>6671</v>
      </c>
      <c r="CQ529" s="17" t="b">
        <f t="shared" si="35"/>
        <v>1</v>
      </c>
    </row>
    <row r="530" spans="6:95">
      <c r="F530" s="23"/>
      <c r="I530" s="23"/>
      <c r="L530" s="50" t="s">
        <v>6672</v>
      </c>
      <c r="M530" s="17" t="s">
        <v>6673</v>
      </c>
      <c r="N530" s="51" t="s">
        <v>6674</v>
      </c>
      <c r="O530" s="29" t="s">
        <v>1449</v>
      </c>
      <c r="P530" s="29" t="s">
        <v>6675</v>
      </c>
      <c r="Q530" s="29" t="s">
        <v>1449</v>
      </c>
      <c r="R530" s="29" t="s">
        <v>1919</v>
      </c>
      <c r="S530" s="28" t="s">
        <v>1977</v>
      </c>
      <c r="T530" s="28" t="s">
        <v>1815</v>
      </c>
      <c r="U530" s="28" t="s">
        <v>1441</v>
      </c>
      <c r="V530" s="28" t="s">
        <v>1619</v>
      </c>
      <c r="W530" s="28" t="s">
        <v>6676</v>
      </c>
      <c r="X530" s="17">
        <v>1</v>
      </c>
      <c r="CJ530" s="26" t="s">
        <v>1388</v>
      </c>
      <c r="CK530" s="26" t="s">
        <v>3445</v>
      </c>
      <c r="CL530" s="26" t="str">
        <f t="shared" si="33"/>
        <v>埼玉県ときがわ町</v>
      </c>
      <c r="CM530" s="49">
        <v>525</v>
      </c>
      <c r="CN530" s="17" t="str">
        <f t="shared" si="32"/>
        <v>0568</v>
      </c>
      <c r="CO530" s="17" t="str">
        <f t="shared" si="34"/>
        <v>525568ときがわ町</v>
      </c>
      <c r="CP530" s="17" t="s">
        <v>6677</v>
      </c>
      <c r="CQ530" s="17" t="b">
        <f t="shared" si="35"/>
        <v>1</v>
      </c>
    </row>
    <row r="531" spans="6:95">
      <c r="F531" s="23"/>
      <c r="I531" s="23"/>
      <c r="L531" s="50" t="s">
        <v>6678</v>
      </c>
      <c r="M531" s="17" t="s">
        <v>6679</v>
      </c>
      <c r="N531" s="51" t="s">
        <v>6680</v>
      </c>
      <c r="O531" s="29" t="s">
        <v>1449</v>
      </c>
      <c r="P531" s="29" t="s">
        <v>6681</v>
      </c>
      <c r="Q531" s="29" t="s">
        <v>1449</v>
      </c>
      <c r="R531" s="29" t="s">
        <v>1976</v>
      </c>
      <c r="S531" s="28" t="s">
        <v>1743</v>
      </c>
      <c r="T531" s="28" t="s">
        <v>1874</v>
      </c>
      <c r="U531" s="28" t="s">
        <v>1441</v>
      </c>
      <c r="V531" s="28" t="s">
        <v>1619</v>
      </c>
      <c r="W531" s="28" t="s">
        <v>6682</v>
      </c>
      <c r="X531" s="17">
        <v>1</v>
      </c>
      <c r="CJ531" s="26" t="s">
        <v>1388</v>
      </c>
      <c r="CK531" s="26" t="s">
        <v>3460</v>
      </c>
      <c r="CL531" s="26" t="str">
        <f t="shared" si="33"/>
        <v>埼玉県横瀬町</v>
      </c>
      <c r="CM531" s="49">
        <v>526</v>
      </c>
      <c r="CN531" s="17" t="str">
        <f t="shared" si="32"/>
        <v>0569</v>
      </c>
      <c r="CO531" s="17" t="str">
        <f t="shared" si="34"/>
        <v>526569横瀬町</v>
      </c>
      <c r="CP531" s="17" t="s">
        <v>6683</v>
      </c>
      <c r="CQ531" s="17" t="b">
        <f t="shared" si="35"/>
        <v>1</v>
      </c>
    </row>
    <row r="532" spans="6:95">
      <c r="F532" s="23"/>
      <c r="I532" s="23"/>
      <c r="L532" s="50" t="s">
        <v>6684</v>
      </c>
      <c r="M532" s="17" t="s">
        <v>6685</v>
      </c>
      <c r="N532" s="51" t="s">
        <v>6686</v>
      </c>
      <c r="O532" s="29" t="s">
        <v>1449</v>
      </c>
      <c r="P532" s="29" t="s">
        <v>6687</v>
      </c>
      <c r="Q532" s="29" t="s">
        <v>1449</v>
      </c>
      <c r="R532" s="29" t="s">
        <v>2033</v>
      </c>
      <c r="S532" s="28" t="s">
        <v>1803</v>
      </c>
      <c r="T532" s="28" t="s">
        <v>1932</v>
      </c>
      <c r="U532" s="28" t="s">
        <v>1441</v>
      </c>
      <c r="V532" s="28" t="s">
        <v>1619</v>
      </c>
      <c r="W532" s="28" t="s">
        <v>6688</v>
      </c>
      <c r="X532" s="17">
        <v>1</v>
      </c>
      <c r="CJ532" s="26" t="s">
        <v>1388</v>
      </c>
      <c r="CK532" s="26" t="s">
        <v>3473</v>
      </c>
      <c r="CL532" s="26" t="str">
        <f t="shared" si="33"/>
        <v>埼玉県皆野町</v>
      </c>
      <c r="CM532" s="49">
        <v>527</v>
      </c>
      <c r="CN532" s="17" t="str">
        <f t="shared" si="32"/>
        <v>0570</v>
      </c>
      <c r="CO532" s="17" t="str">
        <f t="shared" si="34"/>
        <v>527570皆野町</v>
      </c>
      <c r="CP532" s="17" t="s">
        <v>6689</v>
      </c>
      <c r="CQ532" s="17" t="b">
        <f t="shared" si="35"/>
        <v>1</v>
      </c>
    </row>
    <row r="533" spans="6:95">
      <c r="F533" s="23"/>
      <c r="I533" s="23"/>
      <c r="L533" s="50" t="s">
        <v>6690</v>
      </c>
      <c r="M533" s="17" t="s">
        <v>6691</v>
      </c>
      <c r="N533" s="51" t="s">
        <v>6692</v>
      </c>
      <c r="O533" s="29" t="s">
        <v>1449</v>
      </c>
      <c r="P533" s="29" t="s">
        <v>6693</v>
      </c>
      <c r="Q533" s="29" t="s">
        <v>1449</v>
      </c>
      <c r="R533" s="29" t="s">
        <v>2089</v>
      </c>
      <c r="S533" s="28" t="s">
        <v>1862</v>
      </c>
      <c r="T533" s="28" t="s">
        <v>1989</v>
      </c>
      <c r="U533" s="28" t="s">
        <v>1441</v>
      </c>
      <c r="V533" s="28" t="s">
        <v>1619</v>
      </c>
      <c r="W533" s="28" t="s">
        <v>6694</v>
      </c>
      <c r="X533" s="17">
        <v>1</v>
      </c>
      <c r="CJ533" s="26" t="s">
        <v>1388</v>
      </c>
      <c r="CK533" s="26" t="s">
        <v>3487</v>
      </c>
      <c r="CL533" s="26" t="str">
        <f t="shared" si="33"/>
        <v>埼玉県長瀞町</v>
      </c>
      <c r="CM533" s="49">
        <v>528</v>
      </c>
      <c r="CN533" s="17" t="str">
        <f t="shared" si="32"/>
        <v>0571</v>
      </c>
      <c r="CO533" s="17" t="str">
        <f t="shared" si="34"/>
        <v>528571長瀞町</v>
      </c>
      <c r="CP533" s="17" t="s">
        <v>6695</v>
      </c>
      <c r="CQ533" s="17" t="b">
        <f t="shared" si="35"/>
        <v>1</v>
      </c>
    </row>
    <row r="534" spans="6:95">
      <c r="F534" s="23"/>
      <c r="I534" s="23"/>
      <c r="L534" s="50" t="s">
        <v>6696</v>
      </c>
      <c r="M534" s="17" t="s">
        <v>6697</v>
      </c>
      <c r="N534" s="51" t="s">
        <v>6698</v>
      </c>
      <c r="O534" s="29" t="s">
        <v>1449</v>
      </c>
      <c r="P534" s="29" t="s">
        <v>6699</v>
      </c>
      <c r="Q534" s="29" t="s">
        <v>1449</v>
      </c>
      <c r="R534" s="29" t="s">
        <v>2145</v>
      </c>
      <c r="S534" s="28" t="s">
        <v>1920</v>
      </c>
      <c r="T534" s="28" t="s">
        <v>2045</v>
      </c>
      <c r="U534" s="28" t="s">
        <v>1441</v>
      </c>
      <c r="V534" s="28" t="s">
        <v>1619</v>
      </c>
      <c r="W534" s="28" t="s">
        <v>6700</v>
      </c>
      <c r="X534" s="17">
        <v>1</v>
      </c>
      <c r="CJ534" s="26" t="s">
        <v>1388</v>
      </c>
      <c r="CK534" s="26" t="s">
        <v>3502</v>
      </c>
      <c r="CL534" s="26" t="str">
        <f t="shared" si="33"/>
        <v>埼玉県小鹿野町</v>
      </c>
      <c r="CM534" s="49">
        <v>529</v>
      </c>
      <c r="CN534" s="17" t="str">
        <f t="shared" si="32"/>
        <v>0572</v>
      </c>
      <c r="CO534" s="17" t="str">
        <f t="shared" si="34"/>
        <v>529572小鹿野町</v>
      </c>
      <c r="CP534" s="17" t="s">
        <v>6701</v>
      </c>
      <c r="CQ534" s="17" t="b">
        <f t="shared" si="35"/>
        <v>1</v>
      </c>
    </row>
    <row r="535" spans="6:95">
      <c r="F535" s="23"/>
      <c r="I535" s="23"/>
      <c r="L535" s="50" t="s">
        <v>6702</v>
      </c>
      <c r="M535" s="17" t="s">
        <v>6703</v>
      </c>
      <c r="N535" s="51" t="s">
        <v>6704</v>
      </c>
      <c r="O535" s="29" t="s">
        <v>1449</v>
      </c>
      <c r="P535" s="29" t="s">
        <v>6705</v>
      </c>
      <c r="Q535" s="29" t="s">
        <v>1449</v>
      </c>
      <c r="R535" s="29" t="s">
        <v>2255</v>
      </c>
      <c r="S535" s="28" t="s">
        <v>1743</v>
      </c>
      <c r="T535" s="28" t="s">
        <v>2101</v>
      </c>
      <c r="U535" s="28" t="s">
        <v>1441</v>
      </c>
      <c r="V535" s="28" t="s">
        <v>1619</v>
      </c>
      <c r="W535" s="28" t="s">
        <v>6706</v>
      </c>
      <c r="X535" s="17">
        <v>1</v>
      </c>
      <c r="CJ535" s="26" t="s">
        <v>1388</v>
      </c>
      <c r="CK535" s="26" t="s">
        <v>3516</v>
      </c>
      <c r="CL535" s="26" t="str">
        <f t="shared" si="33"/>
        <v>埼玉県東秩父村</v>
      </c>
      <c r="CM535" s="49">
        <v>530</v>
      </c>
      <c r="CN535" s="17" t="str">
        <f t="shared" si="32"/>
        <v>0573</v>
      </c>
      <c r="CO535" s="17" t="str">
        <f t="shared" si="34"/>
        <v>530573東秩父村</v>
      </c>
      <c r="CP535" s="17" t="s">
        <v>6707</v>
      </c>
      <c r="CQ535" s="17" t="b">
        <f t="shared" si="35"/>
        <v>1</v>
      </c>
    </row>
    <row r="536" spans="6:95">
      <c r="F536" s="23"/>
      <c r="I536" s="23"/>
      <c r="L536" s="50" t="s">
        <v>6708</v>
      </c>
      <c r="M536" s="17" t="s">
        <v>6709</v>
      </c>
      <c r="N536" s="51" t="s">
        <v>6710</v>
      </c>
      <c r="O536" s="29" t="s">
        <v>1449</v>
      </c>
      <c r="P536" s="29" t="s">
        <v>6711</v>
      </c>
      <c r="Q536" s="29" t="s">
        <v>1449</v>
      </c>
      <c r="R536" s="29" t="s">
        <v>2310</v>
      </c>
      <c r="S536" s="28" t="s">
        <v>1564</v>
      </c>
      <c r="T536" s="28" t="s">
        <v>2157</v>
      </c>
      <c r="U536" s="28" t="s">
        <v>1441</v>
      </c>
      <c r="V536" s="28" t="s">
        <v>1619</v>
      </c>
      <c r="W536" s="28" t="s">
        <v>6711</v>
      </c>
      <c r="X536" s="17">
        <v>1</v>
      </c>
      <c r="CJ536" s="26" t="s">
        <v>1388</v>
      </c>
      <c r="CK536" s="26" t="s">
        <v>2354</v>
      </c>
      <c r="CL536" s="26" t="str">
        <f t="shared" si="33"/>
        <v>埼玉県美里町</v>
      </c>
      <c r="CM536" s="49">
        <v>531</v>
      </c>
      <c r="CN536" s="17" t="str">
        <f t="shared" si="32"/>
        <v>0574</v>
      </c>
      <c r="CO536" s="17" t="str">
        <f t="shared" si="34"/>
        <v>531574美里町</v>
      </c>
      <c r="CP536" s="17" t="s">
        <v>6712</v>
      </c>
      <c r="CQ536" s="17" t="b">
        <f t="shared" si="35"/>
        <v>1</v>
      </c>
    </row>
    <row r="537" spans="6:95">
      <c r="F537" s="23"/>
      <c r="I537" s="23"/>
      <c r="L537" s="50" t="s">
        <v>6713</v>
      </c>
      <c r="M537" s="17" t="s">
        <v>6714</v>
      </c>
      <c r="N537" s="51" t="s">
        <v>6715</v>
      </c>
      <c r="O537" s="29" t="s">
        <v>1449</v>
      </c>
      <c r="P537" s="29" t="s">
        <v>6716</v>
      </c>
      <c r="Q537" s="29" t="s">
        <v>1449</v>
      </c>
      <c r="R537" s="29" t="s">
        <v>2365</v>
      </c>
      <c r="S537" s="28" t="s">
        <v>1626</v>
      </c>
      <c r="T537" s="28" t="s">
        <v>2212</v>
      </c>
      <c r="U537" s="28" t="s">
        <v>1441</v>
      </c>
      <c r="V537" s="28" t="s">
        <v>1619</v>
      </c>
      <c r="W537" s="28" t="s">
        <v>6717</v>
      </c>
      <c r="X537" s="17">
        <v>1</v>
      </c>
      <c r="CJ537" s="26" t="s">
        <v>1388</v>
      </c>
      <c r="CK537" s="26" t="s">
        <v>3543</v>
      </c>
      <c r="CL537" s="26" t="str">
        <f t="shared" si="33"/>
        <v>埼玉県神川町</v>
      </c>
      <c r="CM537" s="49">
        <v>532</v>
      </c>
      <c r="CN537" s="17" t="str">
        <f t="shared" si="32"/>
        <v>0575</v>
      </c>
      <c r="CO537" s="17" t="str">
        <f t="shared" si="34"/>
        <v>532575神川町</v>
      </c>
      <c r="CP537" s="17" t="s">
        <v>6718</v>
      </c>
      <c r="CQ537" s="17" t="b">
        <f t="shared" si="35"/>
        <v>1</v>
      </c>
    </row>
    <row r="538" spans="6:95">
      <c r="F538" s="23"/>
      <c r="I538" s="23"/>
      <c r="L538" s="50" t="s">
        <v>6719</v>
      </c>
      <c r="M538" s="17" t="s">
        <v>6720</v>
      </c>
      <c r="N538" s="51" t="s">
        <v>6721</v>
      </c>
      <c r="O538" s="29" t="s">
        <v>1449</v>
      </c>
      <c r="P538" s="29" t="s">
        <v>6722</v>
      </c>
      <c r="Q538" s="29" t="s">
        <v>1449</v>
      </c>
      <c r="R538" s="29" t="s">
        <v>2420</v>
      </c>
      <c r="S538" s="28" t="s">
        <v>1502</v>
      </c>
      <c r="T538" s="28" t="s">
        <v>2267</v>
      </c>
      <c r="U538" s="28" t="s">
        <v>1441</v>
      </c>
      <c r="V538" s="28" t="s">
        <v>1619</v>
      </c>
      <c r="W538" s="28" t="s">
        <v>6723</v>
      </c>
      <c r="X538" s="17">
        <v>1</v>
      </c>
      <c r="CJ538" s="26" t="s">
        <v>1388</v>
      </c>
      <c r="CK538" s="26" t="s">
        <v>3557</v>
      </c>
      <c r="CL538" s="26" t="str">
        <f t="shared" si="33"/>
        <v>埼玉県上里町</v>
      </c>
      <c r="CM538" s="49">
        <v>533</v>
      </c>
      <c r="CN538" s="17" t="str">
        <f t="shared" si="32"/>
        <v>0576</v>
      </c>
      <c r="CO538" s="17" t="str">
        <f t="shared" si="34"/>
        <v>533576上里町</v>
      </c>
      <c r="CP538" s="17" t="s">
        <v>6724</v>
      </c>
      <c r="CQ538" s="17" t="b">
        <f t="shared" si="35"/>
        <v>1</v>
      </c>
    </row>
    <row r="539" spans="6:95">
      <c r="F539" s="23"/>
      <c r="I539" s="23"/>
      <c r="L539" s="50" t="s">
        <v>6725</v>
      </c>
      <c r="M539" s="17" t="s">
        <v>6726</v>
      </c>
      <c r="N539" s="51" t="s">
        <v>6727</v>
      </c>
      <c r="O539" s="29" t="s">
        <v>1449</v>
      </c>
      <c r="P539" s="29" t="s">
        <v>6728</v>
      </c>
      <c r="Q539" s="29" t="s">
        <v>1449</v>
      </c>
      <c r="R539" s="29" t="s">
        <v>2524</v>
      </c>
      <c r="S539" s="28" t="s">
        <v>2311</v>
      </c>
      <c r="T539" s="28" t="s">
        <v>2323</v>
      </c>
      <c r="U539" s="28" t="s">
        <v>1441</v>
      </c>
      <c r="V539" s="28" t="s">
        <v>1619</v>
      </c>
      <c r="W539" s="28" t="s">
        <v>6729</v>
      </c>
      <c r="X539" s="17">
        <v>1</v>
      </c>
      <c r="CJ539" s="26" t="s">
        <v>1388</v>
      </c>
      <c r="CK539" s="26" t="s">
        <v>3570</v>
      </c>
      <c r="CL539" s="26" t="str">
        <f t="shared" si="33"/>
        <v>埼玉県宮代町</v>
      </c>
      <c r="CM539" s="49">
        <v>534</v>
      </c>
      <c r="CN539" s="17" t="str">
        <f t="shared" si="32"/>
        <v>0577</v>
      </c>
      <c r="CO539" s="17" t="str">
        <f t="shared" si="34"/>
        <v>534577宮代町</v>
      </c>
      <c r="CP539" s="17" t="s">
        <v>6730</v>
      </c>
      <c r="CQ539" s="17" t="b">
        <f t="shared" si="35"/>
        <v>1</v>
      </c>
    </row>
    <row r="540" spans="6:95">
      <c r="F540" s="23"/>
      <c r="I540" s="23"/>
      <c r="L540" s="50" t="s">
        <v>6731</v>
      </c>
      <c r="M540" s="17" t="s">
        <v>6732</v>
      </c>
      <c r="N540" s="51" t="s">
        <v>6733</v>
      </c>
      <c r="O540" s="29" t="s">
        <v>1449</v>
      </c>
      <c r="P540" s="29" t="s">
        <v>6734</v>
      </c>
      <c r="Q540" s="29" t="s">
        <v>1449</v>
      </c>
      <c r="R540" s="29" t="s">
        <v>2623</v>
      </c>
      <c r="S540" s="28" t="s">
        <v>1626</v>
      </c>
      <c r="T540" s="28" t="s">
        <v>2377</v>
      </c>
      <c r="U540" s="28" t="s">
        <v>1441</v>
      </c>
      <c r="V540" s="28" t="s">
        <v>1619</v>
      </c>
      <c r="W540" s="28" t="s">
        <v>6735</v>
      </c>
      <c r="X540" s="17">
        <v>1</v>
      </c>
      <c r="CJ540" s="26" t="s">
        <v>1388</v>
      </c>
      <c r="CK540" s="26" t="s">
        <v>3582</v>
      </c>
      <c r="CL540" s="26" t="str">
        <f t="shared" si="33"/>
        <v>埼玉県杉戸町</v>
      </c>
      <c r="CM540" s="49">
        <v>535</v>
      </c>
      <c r="CN540" s="17" t="str">
        <f t="shared" si="32"/>
        <v>0578</v>
      </c>
      <c r="CO540" s="17" t="str">
        <f t="shared" si="34"/>
        <v>535578杉戸町</v>
      </c>
      <c r="CP540" s="17" t="s">
        <v>6736</v>
      </c>
      <c r="CQ540" s="17" t="b">
        <f t="shared" si="35"/>
        <v>1</v>
      </c>
    </row>
    <row r="541" spans="6:95">
      <c r="F541" s="23"/>
      <c r="I541" s="23"/>
      <c r="L541" s="50" t="s">
        <v>6737</v>
      </c>
      <c r="M541" s="17" t="s">
        <v>6738</v>
      </c>
      <c r="N541" s="51" t="s">
        <v>6739</v>
      </c>
      <c r="O541" s="29" t="s">
        <v>1449</v>
      </c>
      <c r="P541" s="29" t="s">
        <v>6740</v>
      </c>
      <c r="Q541" s="29" t="s">
        <v>1449</v>
      </c>
      <c r="R541" s="29" t="s">
        <v>2668</v>
      </c>
      <c r="S541" s="28" t="s">
        <v>1502</v>
      </c>
      <c r="T541" s="28" t="s">
        <v>2432</v>
      </c>
      <c r="U541" s="28" t="s">
        <v>1441</v>
      </c>
      <c r="V541" s="28" t="s">
        <v>1619</v>
      </c>
      <c r="W541" s="28" t="s">
        <v>6741</v>
      </c>
      <c r="X541" s="17">
        <v>1</v>
      </c>
      <c r="CJ541" s="26" t="s">
        <v>1388</v>
      </c>
      <c r="CK541" s="26" t="s">
        <v>3594</v>
      </c>
      <c r="CL541" s="26" t="str">
        <f t="shared" si="33"/>
        <v>埼玉県松伏町</v>
      </c>
      <c r="CM541" s="49">
        <v>536</v>
      </c>
      <c r="CN541" s="17" t="str">
        <f t="shared" si="32"/>
        <v>0579</v>
      </c>
      <c r="CO541" s="17" t="str">
        <f t="shared" si="34"/>
        <v>536579松伏町</v>
      </c>
      <c r="CP541" s="17" t="s">
        <v>6742</v>
      </c>
      <c r="CQ541" s="17" t="b">
        <f t="shared" si="35"/>
        <v>1</v>
      </c>
    </row>
    <row r="542" spans="6:95">
      <c r="F542" s="23"/>
      <c r="I542" s="23"/>
      <c r="L542" s="50" t="s">
        <v>6743</v>
      </c>
      <c r="M542" s="17" t="s">
        <v>6744</v>
      </c>
      <c r="N542" s="51" t="s">
        <v>6745</v>
      </c>
      <c r="O542" s="29" t="s">
        <v>1449</v>
      </c>
      <c r="P542" s="29" t="s">
        <v>6746</v>
      </c>
      <c r="Q542" s="29" t="s">
        <v>1449</v>
      </c>
      <c r="R542" s="29" t="s">
        <v>2714</v>
      </c>
      <c r="S542" s="28" t="s">
        <v>2525</v>
      </c>
      <c r="T542" s="28" t="s">
        <v>2485</v>
      </c>
      <c r="U542" s="28" t="s">
        <v>1441</v>
      </c>
      <c r="V542" s="28" t="s">
        <v>1619</v>
      </c>
      <c r="W542" s="28" t="s">
        <v>6747</v>
      </c>
      <c r="X542" s="17">
        <v>1</v>
      </c>
      <c r="CJ542" s="26" t="s">
        <v>1388</v>
      </c>
      <c r="CK542" s="26" t="s">
        <v>3606</v>
      </c>
      <c r="CL542" s="26" t="str">
        <f t="shared" si="33"/>
        <v>埼玉県大里広域市町村圏組合</v>
      </c>
      <c r="CM542" s="49">
        <v>537</v>
      </c>
      <c r="CN542" s="17" t="str">
        <f t="shared" si="32"/>
        <v>0580</v>
      </c>
      <c r="CO542" s="17" t="str">
        <f t="shared" si="34"/>
        <v>537580大里広域市町村圏組合</v>
      </c>
      <c r="CP542" s="17" t="s">
        <v>6748</v>
      </c>
      <c r="CQ542" s="17" t="b">
        <f t="shared" si="35"/>
        <v>1</v>
      </c>
    </row>
    <row r="543" spans="6:95">
      <c r="F543" s="23"/>
      <c r="I543" s="23"/>
      <c r="L543" s="50" t="s">
        <v>6749</v>
      </c>
      <c r="M543" s="17" t="s">
        <v>6750</v>
      </c>
      <c r="N543" s="51" t="s">
        <v>6751</v>
      </c>
      <c r="O543" s="29" t="s">
        <v>1449</v>
      </c>
      <c r="P543" s="29" t="s">
        <v>6752</v>
      </c>
      <c r="Q543" s="29" t="s">
        <v>1449</v>
      </c>
      <c r="R543" s="29" t="s">
        <v>2758</v>
      </c>
      <c r="S543" s="28" t="s">
        <v>2311</v>
      </c>
      <c r="T543" s="28" t="s">
        <v>2537</v>
      </c>
      <c r="U543" s="28" t="s">
        <v>1441</v>
      </c>
      <c r="V543" s="28" t="s">
        <v>1619</v>
      </c>
      <c r="W543" s="28" t="s">
        <v>6753</v>
      </c>
      <c r="X543" s="17">
        <v>1</v>
      </c>
      <c r="CJ543" s="26" t="s">
        <v>1389</v>
      </c>
      <c r="CK543" s="26" t="s">
        <v>1515</v>
      </c>
      <c r="CL543" s="26" t="str">
        <f t="shared" si="33"/>
        <v>千葉県千葉市</v>
      </c>
      <c r="CM543" s="49">
        <v>538</v>
      </c>
      <c r="CN543" s="17" t="str">
        <f t="shared" si="32"/>
        <v>0584</v>
      </c>
      <c r="CO543" s="17" t="str">
        <f t="shared" si="34"/>
        <v>538584千葉市</v>
      </c>
      <c r="CP543" s="17" t="s">
        <v>6754</v>
      </c>
      <c r="CQ543" s="17" t="b">
        <f t="shared" si="35"/>
        <v>1</v>
      </c>
    </row>
    <row r="544" spans="6:95">
      <c r="F544" s="23"/>
      <c r="I544" s="23"/>
      <c r="L544" s="50" t="s">
        <v>6755</v>
      </c>
      <c r="M544" s="17" t="s">
        <v>6756</v>
      </c>
      <c r="N544" s="51" t="s">
        <v>6757</v>
      </c>
      <c r="O544" s="29" t="s">
        <v>1449</v>
      </c>
      <c r="P544" s="29" t="s">
        <v>6758</v>
      </c>
      <c r="Q544" s="29" t="s">
        <v>1449</v>
      </c>
      <c r="R544" s="29" t="s">
        <v>2800</v>
      </c>
      <c r="S544" s="28" t="s">
        <v>1862</v>
      </c>
      <c r="T544" s="28" t="s">
        <v>2587</v>
      </c>
      <c r="U544" s="28" t="s">
        <v>1441</v>
      </c>
      <c r="V544" s="28" t="s">
        <v>1619</v>
      </c>
      <c r="W544" s="28" t="s">
        <v>6759</v>
      </c>
      <c r="X544" s="17">
        <v>1</v>
      </c>
      <c r="CJ544" s="26" t="s">
        <v>1389</v>
      </c>
      <c r="CK544" s="26" t="s">
        <v>1577</v>
      </c>
      <c r="CL544" s="26" t="str">
        <f t="shared" si="33"/>
        <v>千葉県銚子市</v>
      </c>
      <c r="CM544" s="49">
        <v>539</v>
      </c>
      <c r="CN544" s="17" t="str">
        <f t="shared" si="32"/>
        <v>0585</v>
      </c>
      <c r="CO544" s="17" t="str">
        <f t="shared" si="34"/>
        <v>539585銚子市</v>
      </c>
      <c r="CP544" s="17" t="s">
        <v>6760</v>
      </c>
      <c r="CQ544" s="17" t="b">
        <f t="shared" si="35"/>
        <v>1</v>
      </c>
    </row>
    <row r="545" spans="6:95">
      <c r="F545" s="23"/>
      <c r="I545" s="23"/>
      <c r="L545" s="50" t="s">
        <v>6761</v>
      </c>
      <c r="M545" s="17" t="s">
        <v>6762</v>
      </c>
      <c r="N545" s="51" t="s">
        <v>6763</v>
      </c>
      <c r="O545" s="29" t="s">
        <v>1449</v>
      </c>
      <c r="P545" s="29" t="s">
        <v>6764</v>
      </c>
      <c r="Q545" s="29" t="s">
        <v>1449</v>
      </c>
      <c r="R545" s="29" t="s">
        <v>4381</v>
      </c>
      <c r="S545" s="28" t="s">
        <v>1977</v>
      </c>
      <c r="T545" s="28" t="s">
        <v>2634</v>
      </c>
      <c r="U545" s="28" t="s">
        <v>1441</v>
      </c>
      <c r="V545" s="28" t="s">
        <v>1619</v>
      </c>
      <c r="W545" s="28" t="s">
        <v>6765</v>
      </c>
      <c r="X545" s="17">
        <v>1</v>
      </c>
      <c r="CJ545" s="26" t="s">
        <v>1389</v>
      </c>
      <c r="CK545" s="26" t="s">
        <v>1639</v>
      </c>
      <c r="CL545" s="26" t="str">
        <f t="shared" si="33"/>
        <v>千葉県市川市</v>
      </c>
      <c r="CM545" s="49">
        <v>540</v>
      </c>
      <c r="CN545" s="17" t="str">
        <f t="shared" si="32"/>
        <v>0586</v>
      </c>
      <c r="CO545" s="17" t="str">
        <f t="shared" si="34"/>
        <v>540586市川市</v>
      </c>
      <c r="CP545" s="17" t="s">
        <v>6766</v>
      </c>
      <c r="CQ545" s="17" t="b">
        <f t="shared" si="35"/>
        <v>1</v>
      </c>
    </row>
    <row r="546" spans="6:95">
      <c r="F546" s="23"/>
      <c r="I546" s="23"/>
      <c r="L546" s="50" t="s">
        <v>6767</v>
      </c>
      <c r="M546" s="17" t="s">
        <v>6768</v>
      </c>
      <c r="N546" s="51" t="s">
        <v>6769</v>
      </c>
      <c r="O546" s="29" t="s">
        <v>1449</v>
      </c>
      <c r="P546" s="29" t="s">
        <v>6770</v>
      </c>
      <c r="Q546" s="29" t="s">
        <v>1449</v>
      </c>
      <c r="R546" s="29" t="s">
        <v>2881</v>
      </c>
      <c r="S546" s="28" t="s">
        <v>1743</v>
      </c>
      <c r="T546" s="28" t="s">
        <v>2680</v>
      </c>
      <c r="U546" s="28" t="s">
        <v>1441</v>
      </c>
      <c r="V546" s="28" t="s">
        <v>1619</v>
      </c>
      <c r="W546" s="28" t="s">
        <v>6771</v>
      </c>
      <c r="X546" s="17">
        <v>1</v>
      </c>
      <c r="CJ546" s="26" t="s">
        <v>1389</v>
      </c>
      <c r="CK546" s="26" t="s">
        <v>1697</v>
      </c>
      <c r="CL546" s="26" t="str">
        <f t="shared" si="33"/>
        <v>千葉県船橋市</v>
      </c>
      <c r="CM546" s="49">
        <v>541</v>
      </c>
      <c r="CN546" s="17" t="str">
        <f t="shared" si="32"/>
        <v>0587</v>
      </c>
      <c r="CO546" s="17" t="str">
        <f t="shared" si="34"/>
        <v>541587船橋市</v>
      </c>
      <c r="CP546" s="17" t="s">
        <v>6772</v>
      </c>
      <c r="CQ546" s="17" t="b">
        <f t="shared" si="35"/>
        <v>1</v>
      </c>
    </row>
    <row r="547" spans="6:95">
      <c r="F547" s="23"/>
      <c r="I547" s="23"/>
      <c r="L547" s="50" t="s">
        <v>6773</v>
      </c>
      <c r="M547" s="17" t="s">
        <v>6774</v>
      </c>
      <c r="N547" s="51" t="s">
        <v>6775</v>
      </c>
      <c r="O547" s="29" t="s">
        <v>1449</v>
      </c>
      <c r="P547" s="29" t="s">
        <v>6776</v>
      </c>
      <c r="Q547" s="29" t="s">
        <v>1449</v>
      </c>
      <c r="R547" s="29" t="s">
        <v>2918</v>
      </c>
      <c r="S547" s="28" t="s">
        <v>1803</v>
      </c>
      <c r="T547" s="28" t="s">
        <v>2726</v>
      </c>
      <c r="U547" s="28" t="s">
        <v>1441</v>
      </c>
      <c r="V547" s="28" t="s">
        <v>1619</v>
      </c>
      <c r="W547" s="28" t="s">
        <v>6777</v>
      </c>
      <c r="X547" s="17">
        <v>1</v>
      </c>
      <c r="CJ547" s="26" t="s">
        <v>1389</v>
      </c>
      <c r="CK547" s="26" t="s">
        <v>1756</v>
      </c>
      <c r="CL547" s="26" t="str">
        <f t="shared" si="33"/>
        <v>千葉県館山市</v>
      </c>
      <c r="CM547" s="49">
        <v>542</v>
      </c>
      <c r="CN547" s="17" t="str">
        <f t="shared" si="32"/>
        <v>0588</v>
      </c>
      <c r="CO547" s="17" t="str">
        <f t="shared" si="34"/>
        <v>542588館山市</v>
      </c>
      <c r="CP547" s="17" t="s">
        <v>6778</v>
      </c>
      <c r="CQ547" s="17" t="b">
        <f t="shared" si="35"/>
        <v>1</v>
      </c>
    </row>
    <row r="548" spans="6:95">
      <c r="F548" s="23"/>
      <c r="I548" s="23"/>
      <c r="L548" s="50" t="s">
        <v>6779</v>
      </c>
      <c r="M548" s="17" t="s">
        <v>6780</v>
      </c>
      <c r="N548" s="51" t="s">
        <v>6781</v>
      </c>
      <c r="O548" s="29" t="s">
        <v>1449</v>
      </c>
      <c r="P548" s="29" t="s">
        <v>6782</v>
      </c>
      <c r="Q548" s="29" t="s">
        <v>1449</v>
      </c>
      <c r="R548" s="29" t="s">
        <v>2953</v>
      </c>
      <c r="S548" s="28" t="s">
        <v>1862</v>
      </c>
      <c r="T548" s="28" t="s">
        <v>2770</v>
      </c>
      <c r="U548" s="28" t="s">
        <v>1441</v>
      </c>
      <c r="V548" s="28" t="s">
        <v>1619</v>
      </c>
      <c r="W548" s="28" t="s">
        <v>6783</v>
      </c>
      <c r="X548" s="17">
        <v>1</v>
      </c>
      <c r="CJ548" s="26" t="s">
        <v>1389</v>
      </c>
      <c r="CK548" s="26" t="s">
        <v>1816</v>
      </c>
      <c r="CL548" s="26" t="str">
        <f t="shared" si="33"/>
        <v>千葉県木更津市</v>
      </c>
      <c r="CM548" s="49">
        <v>543</v>
      </c>
      <c r="CN548" s="17" t="str">
        <f t="shared" si="32"/>
        <v>0589</v>
      </c>
      <c r="CO548" s="17" t="str">
        <f t="shared" si="34"/>
        <v>543589木更津市</v>
      </c>
      <c r="CP548" s="17" t="s">
        <v>6784</v>
      </c>
      <c r="CQ548" s="17" t="b">
        <f t="shared" si="35"/>
        <v>1</v>
      </c>
    </row>
    <row r="549" spans="6:95">
      <c r="F549" s="23"/>
      <c r="I549" s="23"/>
      <c r="L549" s="50" t="s">
        <v>6785</v>
      </c>
      <c r="M549" s="17" t="s">
        <v>6786</v>
      </c>
      <c r="N549" s="51" t="s">
        <v>6787</v>
      </c>
      <c r="O549" s="29" t="s">
        <v>1449</v>
      </c>
      <c r="P549" s="29" t="s">
        <v>6788</v>
      </c>
      <c r="Q549" s="29" t="s">
        <v>1449</v>
      </c>
      <c r="R549" s="29" t="s">
        <v>2986</v>
      </c>
      <c r="S549" s="28" t="s">
        <v>1920</v>
      </c>
      <c r="T549" s="28" t="s">
        <v>2812</v>
      </c>
      <c r="U549" s="28" t="s">
        <v>1441</v>
      </c>
      <c r="V549" s="28" t="s">
        <v>1619</v>
      </c>
      <c r="W549" s="28" t="s">
        <v>6789</v>
      </c>
      <c r="X549" s="17">
        <v>1</v>
      </c>
      <c r="CJ549" s="26" t="s">
        <v>1389</v>
      </c>
      <c r="CK549" s="26" t="s">
        <v>1875</v>
      </c>
      <c r="CL549" s="26" t="str">
        <f t="shared" si="33"/>
        <v>千葉県松戸市</v>
      </c>
      <c r="CM549" s="49">
        <v>544</v>
      </c>
      <c r="CN549" s="17" t="str">
        <f t="shared" si="32"/>
        <v>0590</v>
      </c>
      <c r="CO549" s="17" t="str">
        <f t="shared" si="34"/>
        <v>544590松戸市</v>
      </c>
      <c r="CP549" s="17" t="s">
        <v>6790</v>
      </c>
      <c r="CQ549" s="17" t="b">
        <f t="shared" si="35"/>
        <v>1</v>
      </c>
    </row>
    <row r="550" spans="6:95">
      <c r="F550" s="23"/>
      <c r="I550" s="23"/>
      <c r="L550" s="50" t="s">
        <v>6791</v>
      </c>
      <c r="M550" s="17" t="s">
        <v>6792</v>
      </c>
      <c r="N550" s="51" t="s">
        <v>6793</v>
      </c>
      <c r="O550" s="29" t="s">
        <v>1449</v>
      </c>
      <c r="P550" s="29" t="s">
        <v>6794</v>
      </c>
      <c r="Q550" s="29" t="s">
        <v>1449</v>
      </c>
      <c r="R550" s="29" t="s">
        <v>6180</v>
      </c>
      <c r="S550" s="28" t="s">
        <v>1977</v>
      </c>
      <c r="T550" s="28" t="s">
        <v>2852</v>
      </c>
      <c r="U550" s="28" t="s">
        <v>1441</v>
      </c>
      <c r="V550" s="28" t="s">
        <v>1619</v>
      </c>
      <c r="W550" s="28" t="s">
        <v>6795</v>
      </c>
      <c r="X550" s="17">
        <v>1</v>
      </c>
      <c r="CJ550" s="26" t="s">
        <v>1389</v>
      </c>
      <c r="CK550" s="26" t="s">
        <v>1933</v>
      </c>
      <c r="CL550" s="26" t="str">
        <f t="shared" si="33"/>
        <v>千葉県野田市</v>
      </c>
      <c r="CM550" s="49">
        <v>545</v>
      </c>
      <c r="CN550" s="17" t="str">
        <f t="shared" si="32"/>
        <v>0591</v>
      </c>
      <c r="CO550" s="17" t="str">
        <f t="shared" si="34"/>
        <v>545591野田市</v>
      </c>
      <c r="CP550" s="17" t="s">
        <v>6796</v>
      </c>
      <c r="CQ550" s="17" t="b">
        <f t="shared" si="35"/>
        <v>1</v>
      </c>
    </row>
    <row r="551" spans="6:95">
      <c r="F551" s="23"/>
      <c r="I551" s="23"/>
      <c r="L551" s="50" t="s">
        <v>6797</v>
      </c>
      <c r="M551" s="17" t="s">
        <v>6798</v>
      </c>
      <c r="N551" s="51" t="s">
        <v>6799</v>
      </c>
      <c r="O551" s="29" t="s">
        <v>1449</v>
      </c>
      <c r="P551" s="29" t="s">
        <v>6800</v>
      </c>
      <c r="Q551" s="29" t="s">
        <v>1449</v>
      </c>
      <c r="R551" s="29" t="s">
        <v>3020</v>
      </c>
      <c r="S551" s="28" t="s">
        <v>1743</v>
      </c>
      <c r="T551" s="28" t="s">
        <v>2891</v>
      </c>
      <c r="U551" s="28" t="s">
        <v>1441</v>
      </c>
      <c r="V551" s="28" t="s">
        <v>1619</v>
      </c>
      <c r="W551" s="28" t="s">
        <v>6801</v>
      </c>
      <c r="X551" s="17">
        <v>1</v>
      </c>
      <c r="CJ551" s="26" t="s">
        <v>1389</v>
      </c>
      <c r="CK551" s="26" t="s">
        <v>1990</v>
      </c>
      <c r="CL551" s="26" t="str">
        <f t="shared" si="33"/>
        <v>千葉県茂原市</v>
      </c>
      <c r="CM551" s="49">
        <v>546</v>
      </c>
      <c r="CN551" s="17" t="str">
        <f t="shared" si="32"/>
        <v>0592</v>
      </c>
      <c r="CO551" s="17" t="str">
        <f t="shared" si="34"/>
        <v>546592茂原市</v>
      </c>
      <c r="CP551" s="17" t="s">
        <v>6802</v>
      </c>
      <c r="CQ551" s="17" t="b">
        <f t="shared" si="35"/>
        <v>1</v>
      </c>
    </row>
    <row r="552" spans="6:95">
      <c r="F552" s="23"/>
      <c r="I552" s="23"/>
      <c r="L552" s="50" t="s">
        <v>6803</v>
      </c>
      <c r="M552" s="17" t="s">
        <v>6804</v>
      </c>
      <c r="N552" s="51" t="s">
        <v>6805</v>
      </c>
      <c r="O552" s="29" t="s">
        <v>1449</v>
      </c>
      <c r="P552" s="29" t="s">
        <v>6806</v>
      </c>
      <c r="Q552" s="29" t="s">
        <v>1449</v>
      </c>
      <c r="R552" s="29" t="s">
        <v>3052</v>
      </c>
      <c r="S552" s="28" t="s">
        <v>1803</v>
      </c>
      <c r="T552" s="28" t="s">
        <v>2928</v>
      </c>
      <c r="U552" s="28" t="s">
        <v>1441</v>
      </c>
      <c r="V552" s="28" t="s">
        <v>1619</v>
      </c>
      <c r="W552" s="28" t="s">
        <v>6807</v>
      </c>
      <c r="X552" s="17">
        <v>1</v>
      </c>
      <c r="CJ552" s="26" t="s">
        <v>1389</v>
      </c>
      <c r="CK552" s="26" t="s">
        <v>2046</v>
      </c>
      <c r="CL552" s="26" t="str">
        <f t="shared" si="33"/>
        <v>千葉県成田市</v>
      </c>
      <c r="CM552" s="49">
        <v>547</v>
      </c>
      <c r="CN552" s="17" t="str">
        <f t="shared" si="32"/>
        <v>0593</v>
      </c>
      <c r="CO552" s="17" t="str">
        <f t="shared" si="34"/>
        <v>547593成田市</v>
      </c>
      <c r="CP552" s="17" t="s">
        <v>6808</v>
      </c>
      <c r="CQ552" s="17" t="b">
        <f t="shared" si="35"/>
        <v>1</v>
      </c>
    </row>
    <row r="553" spans="6:95">
      <c r="F553" s="23"/>
      <c r="I553" s="23"/>
      <c r="L553" s="50" t="s">
        <v>6809</v>
      </c>
      <c r="M553" s="17" t="s">
        <v>6810</v>
      </c>
      <c r="N553" s="51" t="s">
        <v>6811</v>
      </c>
      <c r="O553" s="29" t="s">
        <v>1449</v>
      </c>
      <c r="P553" s="29" t="s">
        <v>6812</v>
      </c>
      <c r="Q553" s="29" t="s">
        <v>1449</v>
      </c>
      <c r="R553" s="29" t="s">
        <v>3083</v>
      </c>
      <c r="S553" s="28" t="s">
        <v>1626</v>
      </c>
      <c r="T553" s="28" t="s">
        <v>2962</v>
      </c>
      <c r="U553" s="28" t="s">
        <v>1441</v>
      </c>
      <c r="V553" s="28" t="s">
        <v>1619</v>
      </c>
      <c r="W553" s="28" t="s">
        <v>6813</v>
      </c>
      <c r="X553" s="17">
        <v>1</v>
      </c>
      <c r="CJ553" s="26" t="s">
        <v>1389</v>
      </c>
      <c r="CK553" s="26" t="s">
        <v>2102</v>
      </c>
      <c r="CL553" s="26" t="str">
        <f t="shared" si="33"/>
        <v>千葉県佐倉市</v>
      </c>
      <c r="CM553" s="49">
        <v>548</v>
      </c>
      <c r="CN553" s="17" t="str">
        <f t="shared" si="32"/>
        <v>0594</v>
      </c>
      <c r="CO553" s="17" t="str">
        <f t="shared" si="34"/>
        <v>548594佐倉市</v>
      </c>
      <c r="CP553" s="17" t="s">
        <v>6814</v>
      </c>
      <c r="CQ553" s="17" t="b">
        <f t="shared" si="35"/>
        <v>1</v>
      </c>
    </row>
    <row r="554" spans="6:95">
      <c r="F554" s="23"/>
      <c r="I554" s="23"/>
      <c r="L554" s="50" t="s">
        <v>6815</v>
      </c>
      <c r="M554" s="17" t="s">
        <v>6816</v>
      </c>
      <c r="N554" s="51" t="s">
        <v>6817</v>
      </c>
      <c r="O554" s="29" t="s">
        <v>1449</v>
      </c>
      <c r="P554" s="29" t="s">
        <v>6818</v>
      </c>
      <c r="Q554" s="29" t="s">
        <v>1449</v>
      </c>
      <c r="R554" s="29" t="s">
        <v>6819</v>
      </c>
      <c r="S554" s="28" t="s">
        <v>2525</v>
      </c>
      <c r="T554" s="28" t="s">
        <v>2995</v>
      </c>
      <c r="U554" s="28" t="s">
        <v>1441</v>
      </c>
      <c r="V554" s="28" t="s">
        <v>1619</v>
      </c>
      <c r="W554" s="28" t="s">
        <v>6820</v>
      </c>
      <c r="X554" s="17">
        <v>1</v>
      </c>
      <c r="CJ554" s="26" t="s">
        <v>1389</v>
      </c>
      <c r="CK554" s="26" t="s">
        <v>2158</v>
      </c>
      <c r="CL554" s="26" t="str">
        <f t="shared" si="33"/>
        <v>千葉県東金市</v>
      </c>
      <c r="CM554" s="49">
        <v>549</v>
      </c>
      <c r="CN554" s="17" t="str">
        <f t="shared" si="32"/>
        <v>0595</v>
      </c>
      <c r="CO554" s="17" t="str">
        <f t="shared" si="34"/>
        <v>549595東金市</v>
      </c>
      <c r="CP554" s="17" t="s">
        <v>6821</v>
      </c>
      <c r="CQ554" s="17" t="b">
        <f t="shared" si="35"/>
        <v>1</v>
      </c>
    </row>
    <row r="555" spans="6:95">
      <c r="F555" s="23"/>
      <c r="I555" s="23"/>
      <c r="L555" s="50" t="s">
        <v>6822</v>
      </c>
      <c r="M555" s="17" t="s">
        <v>6823</v>
      </c>
      <c r="N555" s="51" t="s">
        <v>6824</v>
      </c>
      <c r="O555" s="29" t="s">
        <v>1449</v>
      </c>
      <c r="P555" s="29" t="s">
        <v>6825</v>
      </c>
      <c r="Q555" s="29" t="s">
        <v>1449</v>
      </c>
      <c r="R555" s="29" t="s">
        <v>6826</v>
      </c>
      <c r="S555" s="28" t="s">
        <v>2311</v>
      </c>
      <c r="T555" s="28" t="s">
        <v>3029</v>
      </c>
      <c r="U555" s="28" t="s">
        <v>1441</v>
      </c>
      <c r="V555" s="28" t="s">
        <v>1619</v>
      </c>
      <c r="W555" s="28" t="s">
        <v>6827</v>
      </c>
      <c r="X555" s="17">
        <v>1</v>
      </c>
      <c r="CJ555" s="26" t="s">
        <v>1389</v>
      </c>
      <c r="CK555" s="26" t="s">
        <v>2213</v>
      </c>
      <c r="CL555" s="26" t="str">
        <f t="shared" si="33"/>
        <v>千葉県旭市</v>
      </c>
      <c r="CM555" s="49">
        <v>550</v>
      </c>
      <c r="CN555" s="17" t="str">
        <f t="shared" si="32"/>
        <v>0596</v>
      </c>
      <c r="CO555" s="17" t="str">
        <f t="shared" si="34"/>
        <v>550596旭市</v>
      </c>
      <c r="CP555" s="17" t="s">
        <v>6828</v>
      </c>
      <c r="CQ555" s="17" t="b">
        <f t="shared" si="35"/>
        <v>1</v>
      </c>
    </row>
    <row r="556" spans="6:95">
      <c r="F556" s="23"/>
      <c r="I556" s="23"/>
      <c r="L556" s="50" t="s">
        <v>6829</v>
      </c>
      <c r="M556" s="17" t="s">
        <v>6830</v>
      </c>
      <c r="N556" s="51" t="s">
        <v>6831</v>
      </c>
      <c r="O556" s="29" t="s">
        <v>1449</v>
      </c>
      <c r="P556" s="29" t="s">
        <v>6832</v>
      </c>
      <c r="Q556" s="29" t="s">
        <v>1449</v>
      </c>
      <c r="R556" s="29" t="s">
        <v>6833</v>
      </c>
      <c r="S556" s="28" t="s">
        <v>1564</v>
      </c>
      <c r="T556" s="28" t="s">
        <v>3060</v>
      </c>
      <c r="U556" s="28" t="s">
        <v>1441</v>
      </c>
      <c r="V556" s="28" t="s">
        <v>1619</v>
      </c>
      <c r="W556" s="28" t="s">
        <v>6834</v>
      </c>
      <c r="X556" s="17">
        <v>1</v>
      </c>
      <c r="CJ556" s="26" t="s">
        <v>1389</v>
      </c>
      <c r="CK556" s="26" t="s">
        <v>2268</v>
      </c>
      <c r="CL556" s="26" t="str">
        <f t="shared" si="33"/>
        <v>千葉県習志野市</v>
      </c>
      <c r="CM556" s="49">
        <v>551</v>
      </c>
      <c r="CN556" s="17" t="str">
        <f t="shared" si="32"/>
        <v>0597</v>
      </c>
      <c r="CO556" s="17" t="str">
        <f t="shared" si="34"/>
        <v>551597習志野市</v>
      </c>
      <c r="CP556" s="17" t="s">
        <v>6835</v>
      </c>
      <c r="CQ556" s="17" t="b">
        <f t="shared" si="35"/>
        <v>1</v>
      </c>
    </row>
    <row r="557" spans="6:95">
      <c r="F557" s="23"/>
      <c r="I557" s="23"/>
      <c r="L557" s="50" t="s">
        <v>6836</v>
      </c>
      <c r="M557" s="17" t="s">
        <v>6837</v>
      </c>
      <c r="N557" s="51" t="s">
        <v>6838</v>
      </c>
      <c r="O557" s="29" t="s">
        <v>1449</v>
      </c>
      <c r="P557" s="29" t="s">
        <v>6839</v>
      </c>
      <c r="Q557" s="29" t="s">
        <v>1449</v>
      </c>
      <c r="R557" s="29" t="s">
        <v>6840</v>
      </c>
      <c r="S557" s="28" t="s">
        <v>1626</v>
      </c>
      <c r="T557" s="28" t="s">
        <v>3090</v>
      </c>
      <c r="U557" s="28" t="s">
        <v>1441</v>
      </c>
      <c r="V557" s="28" t="s">
        <v>1619</v>
      </c>
      <c r="W557" s="28" t="s">
        <v>6841</v>
      </c>
      <c r="X557" s="17">
        <v>1</v>
      </c>
      <c r="CJ557" s="26" t="s">
        <v>1389</v>
      </c>
      <c r="CK557" s="26" t="s">
        <v>2324</v>
      </c>
      <c r="CL557" s="26" t="str">
        <f t="shared" si="33"/>
        <v>千葉県柏市</v>
      </c>
      <c r="CM557" s="49">
        <v>552</v>
      </c>
      <c r="CN557" s="17" t="str">
        <f t="shared" si="32"/>
        <v>0598</v>
      </c>
      <c r="CO557" s="17" t="str">
        <f t="shared" si="34"/>
        <v>552598柏市</v>
      </c>
      <c r="CP557" s="17" t="s">
        <v>6842</v>
      </c>
      <c r="CQ557" s="17" t="b">
        <f t="shared" si="35"/>
        <v>1</v>
      </c>
    </row>
    <row r="558" spans="6:95">
      <c r="F558" s="23"/>
      <c r="I558" s="23"/>
      <c r="L558" s="50" t="s">
        <v>6843</v>
      </c>
      <c r="M558" s="17" t="s">
        <v>6844</v>
      </c>
      <c r="N558" s="51" t="s">
        <v>6845</v>
      </c>
      <c r="O558" s="29" t="s">
        <v>1449</v>
      </c>
      <c r="P558" s="29" t="s">
        <v>6846</v>
      </c>
      <c r="Q558" s="29" t="s">
        <v>1449</v>
      </c>
      <c r="R558" s="29" t="s">
        <v>6847</v>
      </c>
      <c r="S558" s="28" t="s">
        <v>1502</v>
      </c>
      <c r="T558" s="28" t="s">
        <v>3122</v>
      </c>
      <c r="U558" s="28" t="s">
        <v>1441</v>
      </c>
      <c r="V558" s="28" t="s">
        <v>1619</v>
      </c>
      <c r="W558" s="28" t="s">
        <v>6848</v>
      </c>
      <c r="X558" s="17">
        <v>1</v>
      </c>
      <c r="CJ558" s="26" t="s">
        <v>1389</v>
      </c>
      <c r="CK558" s="26" t="s">
        <v>2378</v>
      </c>
      <c r="CL558" s="26" t="str">
        <f t="shared" si="33"/>
        <v>千葉県勝浦市</v>
      </c>
      <c r="CM558" s="49">
        <v>553</v>
      </c>
      <c r="CN558" s="17" t="str">
        <f t="shared" si="32"/>
        <v>0599</v>
      </c>
      <c r="CO558" s="17" t="str">
        <f t="shared" si="34"/>
        <v>553599勝浦市</v>
      </c>
      <c r="CP558" s="17" t="s">
        <v>6849</v>
      </c>
      <c r="CQ558" s="17" t="b">
        <f t="shared" si="35"/>
        <v>1</v>
      </c>
    </row>
    <row r="559" spans="6:95">
      <c r="F559" s="23"/>
      <c r="I559" s="23"/>
      <c r="L559" s="50" t="s">
        <v>6850</v>
      </c>
      <c r="M559" s="17" t="s">
        <v>6851</v>
      </c>
      <c r="N559" s="51" t="s">
        <v>6852</v>
      </c>
      <c r="O559" s="29" t="s">
        <v>1449</v>
      </c>
      <c r="P559" s="29" t="s">
        <v>6853</v>
      </c>
      <c r="Q559" s="29" t="s">
        <v>1449</v>
      </c>
      <c r="R559" s="29" t="s">
        <v>6854</v>
      </c>
      <c r="S559" s="28" t="s">
        <v>2525</v>
      </c>
      <c r="T559" s="28" t="s">
        <v>3152</v>
      </c>
      <c r="U559" s="28" t="s">
        <v>1441</v>
      </c>
      <c r="V559" s="28" t="s">
        <v>1619</v>
      </c>
      <c r="W559" s="28" t="s">
        <v>6855</v>
      </c>
      <c r="X559" s="17">
        <v>1</v>
      </c>
      <c r="CJ559" s="26" t="s">
        <v>1389</v>
      </c>
      <c r="CK559" s="26" t="s">
        <v>2433</v>
      </c>
      <c r="CL559" s="26" t="str">
        <f t="shared" si="33"/>
        <v>千葉県市原市</v>
      </c>
      <c r="CM559" s="49">
        <v>554</v>
      </c>
      <c r="CN559" s="17" t="str">
        <f t="shared" si="32"/>
        <v>0600</v>
      </c>
      <c r="CO559" s="17" t="str">
        <f t="shared" si="34"/>
        <v>554600市原市</v>
      </c>
      <c r="CP559" s="17" t="s">
        <v>6856</v>
      </c>
      <c r="CQ559" s="17" t="b">
        <f t="shared" si="35"/>
        <v>1</v>
      </c>
    </row>
    <row r="560" spans="6:95">
      <c r="F560" s="23"/>
      <c r="I560" s="23"/>
      <c r="L560" s="50" t="s">
        <v>6857</v>
      </c>
      <c r="M560" s="17" t="s">
        <v>6858</v>
      </c>
      <c r="N560" s="51" t="s">
        <v>6859</v>
      </c>
      <c r="O560" s="29" t="s">
        <v>1449</v>
      </c>
      <c r="P560" s="29" t="s">
        <v>6860</v>
      </c>
      <c r="Q560" s="29" t="s">
        <v>1449</v>
      </c>
      <c r="R560" s="29" t="s">
        <v>6861</v>
      </c>
      <c r="S560" s="28" t="s">
        <v>2311</v>
      </c>
      <c r="T560" s="28" t="s">
        <v>3180</v>
      </c>
      <c r="U560" s="28" t="s">
        <v>1441</v>
      </c>
      <c r="V560" s="28" t="s">
        <v>1619</v>
      </c>
      <c r="W560" s="28" t="s">
        <v>6862</v>
      </c>
      <c r="X560" s="17">
        <v>1</v>
      </c>
      <c r="CJ560" s="26" t="s">
        <v>1389</v>
      </c>
      <c r="CK560" s="26" t="s">
        <v>2486</v>
      </c>
      <c r="CL560" s="26" t="str">
        <f t="shared" si="33"/>
        <v>千葉県流山市</v>
      </c>
      <c r="CM560" s="49">
        <v>555</v>
      </c>
      <c r="CN560" s="17" t="str">
        <f t="shared" si="32"/>
        <v>0601</v>
      </c>
      <c r="CO560" s="17" t="str">
        <f t="shared" si="34"/>
        <v>555601流山市</v>
      </c>
      <c r="CP560" s="17" t="s">
        <v>6863</v>
      </c>
      <c r="CQ560" s="17" t="b">
        <f t="shared" si="35"/>
        <v>1</v>
      </c>
    </row>
    <row r="561" spans="6:95">
      <c r="F561" s="23"/>
      <c r="I561" s="23"/>
      <c r="L561" s="50" t="s">
        <v>6864</v>
      </c>
      <c r="M561" s="17" t="s">
        <v>6865</v>
      </c>
      <c r="N561" s="51" t="s">
        <v>6866</v>
      </c>
      <c r="O561" s="29" t="s">
        <v>1449</v>
      </c>
      <c r="P561" s="29" t="s">
        <v>6867</v>
      </c>
      <c r="Q561" s="29" t="s">
        <v>1449</v>
      </c>
      <c r="R561" s="29" t="s">
        <v>6868</v>
      </c>
      <c r="S561" s="28" t="s">
        <v>1920</v>
      </c>
      <c r="T561" s="28" t="s">
        <v>3205</v>
      </c>
      <c r="U561" s="28" t="s">
        <v>1441</v>
      </c>
      <c r="V561" s="28" t="s">
        <v>1619</v>
      </c>
      <c r="W561" s="28" t="s">
        <v>6869</v>
      </c>
      <c r="X561" s="17">
        <v>1</v>
      </c>
      <c r="CJ561" s="26" t="s">
        <v>1389</v>
      </c>
      <c r="CK561" s="26" t="s">
        <v>2538</v>
      </c>
      <c r="CL561" s="26" t="str">
        <f t="shared" si="33"/>
        <v>千葉県八千代市</v>
      </c>
      <c r="CM561" s="49">
        <v>556</v>
      </c>
      <c r="CN561" s="17" t="str">
        <f t="shared" si="32"/>
        <v>0602</v>
      </c>
      <c r="CO561" s="17" t="str">
        <f t="shared" si="34"/>
        <v>556602八千代市</v>
      </c>
      <c r="CP561" s="17" t="s">
        <v>6870</v>
      </c>
      <c r="CQ561" s="17" t="b">
        <f t="shared" si="35"/>
        <v>1</v>
      </c>
    </row>
    <row r="562" spans="6:95">
      <c r="F562" s="23"/>
      <c r="I562" s="23"/>
      <c r="L562" s="50" t="s">
        <v>6871</v>
      </c>
      <c r="M562" s="17" t="s">
        <v>6872</v>
      </c>
      <c r="N562" s="51" t="s">
        <v>6873</v>
      </c>
      <c r="O562" s="29" t="s">
        <v>1449</v>
      </c>
      <c r="P562" s="29" t="s">
        <v>6874</v>
      </c>
      <c r="Q562" s="29" t="s">
        <v>1449</v>
      </c>
      <c r="R562" s="29" t="s">
        <v>6875</v>
      </c>
      <c r="S562" s="28" t="s">
        <v>1977</v>
      </c>
      <c r="T562" s="28" t="s">
        <v>3229</v>
      </c>
      <c r="U562" s="28" t="s">
        <v>1441</v>
      </c>
      <c r="V562" s="28" t="s">
        <v>1619</v>
      </c>
      <c r="W562" s="28" t="s">
        <v>6876</v>
      </c>
      <c r="X562" s="17">
        <v>1</v>
      </c>
      <c r="CJ562" s="26" t="s">
        <v>1389</v>
      </c>
      <c r="CK562" s="26" t="s">
        <v>2588</v>
      </c>
      <c r="CL562" s="26" t="str">
        <f t="shared" si="33"/>
        <v>千葉県我孫子市</v>
      </c>
      <c r="CM562" s="49">
        <v>557</v>
      </c>
      <c r="CN562" s="17" t="str">
        <f t="shared" si="32"/>
        <v>0603</v>
      </c>
      <c r="CO562" s="17" t="str">
        <f t="shared" si="34"/>
        <v>557603我孫子市</v>
      </c>
      <c r="CP562" s="17" t="s">
        <v>6877</v>
      </c>
      <c r="CQ562" s="17" t="b">
        <f t="shared" si="35"/>
        <v>1</v>
      </c>
    </row>
    <row r="563" spans="6:95">
      <c r="F563" s="23"/>
      <c r="I563" s="23"/>
      <c r="L563" s="50" t="s">
        <v>6878</v>
      </c>
      <c r="M563" s="17" t="s">
        <v>6879</v>
      </c>
      <c r="N563" s="51" t="s">
        <v>6880</v>
      </c>
      <c r="O563" s="29" t="s">
        <v>1449</v>
      </c>
      <c r="P563" s="29" t="s">
        <v>6881</v>
      </c>
      <c r="Q563" s="29" t="s">
        <v>1449</v>
      </c>
      <c r="R563" s="29" t="s">
        <v>4653</v>
      </c>
      <c r="S563" s="28" t="s">
        <v>1626</v>
      </c>
      <c r="T563" s="28" t="s">
        <v>3252</v>
      </c>
      <c r="U563" s="28" t="s">
        <v>1441</v>
      </c>
      <c r="V563" s="28" t="s">
        <v>1619</v>
      </c>
      <c r="W563" s="28" t="s">
        <v>6882</v>
      </c>
      <c r="X563" s="17">
        <v>1</v>
      </c>
      <c r="CJ563" s="26" t="s">
        <v>1389</v>
      </c>
      <c r="CK563" s="26" t="s">
        <v>2635</v>
      </c>
      <c r="CL563" s="26" t="str">
        <f t="shared" si="33"/>
        <v>千葉県鴨川市</v>
      </c>
      <c r="CM563" s="49">
        <v>558</v>
      </c>
      <c r="CN563" s="17" t="str">
        <f t="shared" si="32"/>
        <v>0604</v>
      </c>
      <c r="CO563" s="17" t="str">
        <f t="shared" si="34"/>
        <v>558604鴨川市</v>
      </c>
      <c r="CP563" s="17" t="s">
        <v>6883</v>
      </c>
      <c r="CQ563" s="17" t="b">
        <f t="shared" si="35"/>
        <v>1</v>
      </c>
    </row>
    <row r="564" spans="6:95">
      <c r="F564" s="23"/>
      <c r="I564" s="23"/>
      <c r="L564" s="50" t="s">
        <v>6884</v>
      </c>
      <c r="M564" s="17" t="s">
        <v>6885</v>
      </c>
      <c r="N564" s="51" t="s">
        <v>6886</v>
      </c>
      <c r="O564" s="29" t="s">
        <v>1449</v>
      </c>
      <c r="P564" s="29" t="s">
        <v>6887</v>
      </c>
      <c r="Q564" s="29" t="s">
        <v>1449</v>
      </c>
      <c r="R564" s="29" t="s">
        <v>5190</v>
      </c>
      <c r="S564" s="28" t="s">
        <v>1564</v>
      </c>
      <c r="T564" s="28" t="s">
        <v>3277</v>
      </c>
      <c r="U564" s="28" t="s">
        <v>1441</v>
      </c>
      <c r="V564" s="28" t="s">
        <v>1619</v>
      </c>
      <c r="W564" s="28" t="s">
        <v>6888</v>
      </c>
      <c r="X564" s="17">
        <v>1</v>
      </c>
      <c r="CJ564" s="26" t="s">
        <v>1389</v>
      </c>
      <c r="CK564" s="26" t="s">
        <v>2681</v>
      </c>
      <c r="CL564" s="26" t="str">
        <f t="shared" si="33"/>
        <v>千葉県鎌ケ谷市</v>
      </c>
      <c r="CM564" s="49">
        <v>559</v>
      </c>
      <c r="CN564" s="17" t="str">
        <f t="shared" si="32"/>
        <v>0605</v>
      </c>
      <c r="CO564" s="17" t="str">
        <f t="shared" si="34"/>
        <v>559605鎌ケ谷市</v>
      </c>
      <c r="CP564" s="17" t="s">
        <v>6889</v>
      </c>
      <c r="CQ564" s="17" t="b">
        <f t="shared" si="35"/>
        <v>1</v>
      </c>
    </row>
    <row r="565" spans="6:95">
      <c r="F565" s="23"/>
      <c r="I565" s="23"/>
      <c r="L565" s="50" t="s">
        <v>6890</v>
      </c>
      <c r="M565" s="17" t="s">
        <v>6891</v>
      </c>
      <c r="N565" s="51" t="s">
        <v>6892</v>
      </c>
      <c r="O565" s="29" t="s">
        <v>1449</v>
      </c>
      <c r="P565" s="29" t="s">
        <v>6893</v>
      </c>
      <c r="Q565" s="29" t="s">
        <v>1449</v>
      </c>
      <c r="R565" s="29" t="s">
        <v>6894</v>
      </c>
      <c r="S565" s="28" t="s">
        <v>1977</v>
      </c>
      <c r="T565" s="28" t="s">
        <v>3299</v>
      </c>
      <c r="U565" s="28" t="s">
        <v>1441</v>
      </c>
      <c r="V565" s="28" t="s">
        <v>1619</v>
      </c>
      <c r="W565" s="28" t="s">
        <v>6895</v>
      </c>
      <c r="X565" s="17">
        <v>1</v>
      </c>
      <c r="CJ565" s="26" t="s">
        <v>1389</v>
      </c>
      <c r="CK565" s="26" t="s">
        <v>2727</v>
      </c>
      <c r="CL565" s="26" t="str">
        <f t="shared" si="33"/>
        <v>千葉県君津市</v>
      </c>
      <c r="CM565" s="49">
        <v>560</v>
      </c>
      <c r="CN565" s="17" t="str">
        <f t="shared" si="32"/>
        <v>0606</v>
      </c>
      <c r="CO565" s="17" t="str">
        <f t="shared" si="34"/>
        <v>560606君津市</v>
      </c>
      <c r="CP565" s="17" t="s">
        <v>6896</v>
      </c>
      <c r="CQ565" s="17" t="b">
        <f t="shared" si="35"/>
        <v>1</v>
      </c>
    </row>
    <row r="566" spans="6:95">
      <c r="F566" s="23"/>
      <c r="I566" s="23"/>
      <c r="L566" s="50" t="s">
        <v>6897</v>
      </c>
      <c r="M566" s="17" t="s">
        <v>6898</v>
      </c>
      <c r="N566" s="51" t="s">
        <v>6899</v>
      </c>
      <c r="O566" s="29" t="s">
        <v>1449</v>
      </c>
      <c r="P566" s="29" t="s">
        <v>6900</v>
      </c>
      <c r="Q566" s="29" t="s">
        <v>1449</v>
      </c>
      <c r="R566" s="29" t="s">
        <v>5347</v>
      </c>
      <c r="S566" s="28" t="s">
        <v>1743</v>
      </c>
      <c r="T566" s="28" t="s">
        <v>3321</v>
      </c>
      <c r="U566" s="28" t="s">
        <v>1441</v>
      </c>
      <c r="V566" s="28" t="s">
        <v>1619</v>
      </c>
      <c r="W566" s="28" t="s">
        <v>6901</v>
      </c>
      <c r="X566" s="17">
        <v>1</v>
      </c>
      <c r="CJ566" s="26" t="s">
        <v>1389</v>
      </c>
      <c r="CK566" s="26" t="s">
        <v>2771</v>
      </c>
      <c r="CL566" s="26" t="str">
        <f t="shared" si="33"/>
        <v>千葉県富津市</v>
      </c>
      <c r="CM566" s="49">
        <v>561</v>
      </c>
      <c r="CN566" s="17" t="str">
        <f t="shared" si="32"/>
        <v>0607</v>
      </c>
      <c r="CO566" s="17" t="str">
        <f t="shared" si="34"/>
        <v>561607富津市</v>
      </c>
      <c r="CP566" s="17" t="s">
        <v>6902</v>
      </c>
      <c r="CQ566" s="17" t="b">
        <f t="shared" si="35"/>
        <v>1</v>
      </c>
    </row>
    <row r="567" spans="6:95">
      <c r="F567" s="23"/>
      <c r="I567" s="23"/>
      <c r="L567" s="50" t="s">
        <v>6903</v>
      </c>
      <c r="M567" s="17" t="s">
        <v>6904</v>
      </c>
      <c r="N567" s="51" t="s">
        <v>6905</v>
      </c>
      <c r="O567" s="29" t="s">
        <v>1449</v>
      </c>
      <c r="P567" s="29" t="s">
        <v>6906</v>
      </c>
      <c r="Q567" s="29" t="s">
        <v>1449</v>
      </c>
      <c r="R567" s="29" t="s">
        <v>5197</v>
      </c>
      <c r="S567" s="28" t="s">
        <v>2525</v>
      </c>
      <c r="T567" s="28" t="s">
        <v>3342</v>
      </c>
      <c r="U567" s="28" t="s">
        <v>1441</v>
      </c>
      <c r="V567" s="28" t="s">
        <v>1619</v>
      </c>
      <c r="W567" s="28" t="s">
        <v>6907</v>
      </c>
      <c r="X567" s="17">
        <v>1</v>
      </c>
      <c r="CJ567" s="26" t="s">
        <v>1389</v>
      </c>
      <c r="CK567" s="26" t="s">
        <v>2813</v>
      </c>
      <c r="CL567" s="26" t="str">
        <f t="shared" si="33"/>
        <v>千葉県浦安市</v>
      </c>
      <c r="CM567" s="49">
        <v>562</v>
      </c>
      <c r="CN567" s="17" t="str">
        <f t="shared" si="32"/>
        <v>0608</v>
      </c>
      <c r="CO567" s="17" t="str">
        <f t="shared" si="34"/>
        <v>562608浦安市</v>
      </c>
      <c r="CP567" s="17" t="s">
        <v>6908</v>
      </c>
      <c r="CQ567" s="17" t="b">
        <f t="shared" si="35"/>
        <v>1</v>
      </c>
    </row>
    <row r="568" spans="6:95">
      <c r="F568" s="23"/>
      <c r="I568" s="23"/>
      <c r="L568" s="50" t="s">
        <v>6909</v>
      </c>
      <c r="M568" s="17" t="s">
        <v>6910</v>
      </c>
      <c r="N568" s="51" t="s">
        <v>6911</v>
      </c>
      <c r="O568" s="29" t="s">
        <v>1449</v>
      </c>
      <c r="P568" s="29" t="s">
        <v>6912</v>
      </c>
      <c r="Q568" s="29" t="s">
        <v>1449</v>
      </c>
      <c r="R568" s="29" t="s">
        <v>5760</v>
      </c>
      <c r="S568" s="28" t="s">
        <v>2311</v>
      </c>
      <c r="T568" s="28" t="s">
        <v>3363</v>
      </c>
      <c r="U568" s="28" t="s">
        <v>1441</v>
      </c>
      <c r="V568" s="28" t="s">
        <v>1619</v>
      </c>
      <c r="W568" s="28" t="s">
        <v>6913</v>
      </c>
      <c r="X568" s="17">
        <v>1</v>
      </c>
      <c r="CJ568" s="26" t="s">
        <v>1389</v>
      </c>
      <c r="CK568" s="26" t="s">
        <v>2853</v>
      </c>
      <c r="CL568" s="26" t="str">
        <f t="shared" si="33"/>
        <v>千葉県四街道市</v>
      </c>
      <c r="CM568" s="49">
        <v>563</v>
      </c>
      <c r="CN568" s="17" t="str">
        <f t="shared" si="32"/>
        <v>0609</v>
      </c>
      <c r="CO568" s="17" t="str">
        <f t="shared" si="34"/>
        <v>563609四街道市</v>
      </c>
      <c r="CP568" s="17" t="s">
        <v>6914</v>
      </c>
      <c r="CQ568" s="17" t="b">
        <f t="shared" si="35"/>
        <v>1</v>
      </c>
    </row>
    <row r="569" spans="6:95">
      <c r="F569" s="23"/>
      <c r="I569" s="23"/>
      <c r="L569" s="50" t="s">
        <v>6915</v>
      </c>
      <c r="M569" s="17" t="s">
        <v>6916</v>
      </c>
      <c r="N569" s="51" t="s">
        <v>6917</v>
      </c>
      <c r="O569" s="29" t="s">
        <v>1449</v>
      </c>
      <c r="P569" s="29" t="s">
        <v>6918</v>
      </c>
      <c r="Q569" s="29" t="s">
        <v>1449</v>
      </c>
      <c r="R569" s="29" t="s">
        <v>3316</v>
      </c>
      <c r="S569" s="28" t="s">
        <v>1564</v>
      </c>
      <c r="T569" s="28" t="s">
        <v>3381</v>
      </c>
      <c r="U569" s="28" t="s">
        <v>1441</v>
      </c>
      <c r="V569" s="28" t="s">
        <v>1619</v>
      </c>
      <c r="W569" s="28" t="s">
        <v>6919</v>
      </c>
      <c r="X569" s="17">
        <v>1</v>
      </c>
      <c r="CJ569" s="26" t="s">
        <v>1389</v>
      </c>
      <c r="CK569" s="26" t="s">
        <v>2892</v>
      </c>
      <c r="CL569" s="26" t="str">
        <f t="shared" si="33"/>
        <v>千葉県袖ケ浦市</v>
      </c>
      <c r="CM569" s="49">
        <v>564</v>
      </c>
      <c r="CN569" s="17" t="str">
        <f t="shared" si="32"/>
        <v>0610</v>
      </c>
      <c r="CO569" s="17" t="str">
        <f t="shared" si="34"/>
        <v>564610袖ケ浦市</v>
      </c>
      <c r="CP569" s="17" t="s">
        <v>6920</v>
      </c>
      <c r="CQ569" s="17" t="b">
        <f t="shared" si="35"/>
        <v>1</v>
      </c>
    </row>
    <row r="570" spans="6:95">
      <c r="F570" s="23"/>
      <c r="I570" s="23"/>
      <c r="L570" s="50" t="s">
        <v>6921</v>
      </c>
      <c r="M570" s="17" t="s">
        <v>6922</v>
      </c>
      <c r="N570" s="51" t="s">
        <v>6923</v>
      </c>
      <c r="O570" s="29" t="s">
        <v>1449</v>
      </c>
      <c r="P570" s="29" t="s">
        <v>6924</v>
      </c>
      <c r="Q570" s="29" t="s">
        <v>1449</v>
      </c>
      <c r="R570" s="29" t="s">
        <v>3358</v>
      </c>
      <c r="S570" s="28" t="s">
        <v>1743</v>
      </c>
      <c r="T570" s="28" t="s">
        <v>3399</v>
      </c>
      <c r="U570" s="28" t="s">
        <v>1441</v>
      </c>
      <c r="V570" s="28" t="s">
        <v>1619</v>
      </c>
      <c r="W570" s="28" t="s">
        <v>6925</v>
      </c>
      <c r="X570" s="17">
        <v>1</v>
      </c>
      <c r="CJ570" s="26" t="s">
        <v>1389</v>
      </c>
      <c r="CK570" s="26" t="s">
        <v>2929</v>
      </c>
      <c r="CL570" s="26" t="str">
        <f t="shared" si="33"/>
        <v>千葉県八街市</v>
      </c>
      <c r="CM570" s="49">
        <v>565</v>
      </c>
      <c r="CN570" s="17" t="str">
        <f t="shared" si="32"/>
        <v>0611</v>
      </c>
      <c r="CO570" s="17" t="str">
        <f t="shared" si="34"/>
        <v>565611八街市</v>
      </c>
      <c r="CP570" s="17" t="s">
        <v>6926</v>
      </c>
      <c r="CQ570" s="17" t="b">
        <f t="shared" si="35"/>
        <v>1</v>
      </c>
    </row>
    <row r="571" spans="6:95">
      <c r="F571" s="23"/>
      <c r="I571" s="23"/>
      <c r="L571" s="50" t="s">
        <v>6927</v>
      </c>
      <c r="M571" s="17" t="s">
        <v>6928</v>
      </c>
      <c r="N571" s="51" t="s">
        <v>6929</v>
      </c>
      <c r="O571" s="29" t="s">
        <v>1449</v>
      </c>
      <c r="P571" s="29" t="s">
        <v>6930</v>
      </c>
      <c r="Q571" s="29" t="s">
        <v>1449</v>
      </c>
      <c r="R571" s="29" t="s">
        <v>3377</v>
      </c>
      <c r="S571" s="28" t="s">
        <v>1803</v>
      </c>
      <c r="T571" s="28" t="s">
        <v>3415</v>
      </c>
      <c r="U571" s="28" t="s">
        <v>1441</v>
      </c>
      <c r="V571" s="28" t="s">
        <v>1619</v>
      </c>
      <c r="W571" s="28" t="s">
        <v>6931</v>
      </c>
      <c r="X571" s="17">
        <v>1</v>
      </c>
      <c r="CJ571" s="26" t="s">
        <v>1389</v>
      </c>
      <c r="CK571" s="26" t="s">
        <v>2963</v>
      </c>
      <c r="CL571" s="26" t="str">
        <f t="shared" si="33"/>
        <v>千葉県印西市</v>
      </c>
      <c r="CM571" s="49">
        <v>566</v>
      </c>
      <c r="CN571" s="17" t="str">
        <f t="shared" si="32"/>
        <v>0612</v>
      </c>
      <c r="CO571" s="17" t="str">
        <f t="shared" si="34"/>
        <v>566612印西市</v>
      </c>
      <c r="CP571" s="17" t="s">
        <v>6932</v>
      </c>
      <c r="CQ571" s="17" t="b">
        <f t="shared" si="35"/>
        <v>1</v>
      </c>
    </row>
    <row r="572" spans="6:95">
      <c r="F572" s="23"/>
      <c r="I572" s="23"/>
      <c r="L572" s="50" t="s">
        <v>6933</v>
      </c>
      <c r="M572" s="17" t="s">
        <v>6934</v>
      </c>
      <c r="N572" s="51" t="s">
        <v>6935</v>
      </c>
      <c r="O572" s="29" t="s">
        <v>1449</v>
      </c>
      <c r="P572" s="29" t="s">
        <v>6936</v>
      </c>
      <c r="Q572" s="29" t="s">
        <v>1449</v>
      </c>
      <c r="R572" s="29" t="s">
        <v>5360</v>
      </c>
      <c r="S572" s="28" t="s">
        <v>1862</v>
      </c>
      <c r="T572" s="28" t="s">
        <v>3430</v>
      </c>
      <c r="U572" s="28" t="s">
        <v>1441</v>
      </c>
      <c r="V572" s="28" t="s">
        <v>1619</v>
      </c>
      <c r="W572" s="28" t="s">
        <v>6937</v>
      </c>
      <c r="X572" s="17">
        <v>1</v>
      </c>
      <c r="CJ572" s="26" t="s">
        <v>1389</v>
      </c>
      <c r="CK572" s="26" t="s">
        <v>2996</v>
      </c>
      <c r="CL572" s="26" t="str">
        <f t="shared" si="33"/>
        <v>千葉県南房総市</v>
      </c>
      <c r="CM572" s="49">
        <v>567</v>
      </c>
      <c r="CN572" s="17" t="str">
        <f t="shared" si="32"/>
        <v>0613</v>
      </c>
      <c r="CO572" s="17" t="str">
        <f t="shared" si="34"/>
        <v>567613南房総市</v>
      </c>
      <c r="CP572" s="17" t="s">
        <v>6938</v>
      </c>
      <c r="CQ572" s="17" t="b">
        <f t="shared" si="35"/>
        <v>1</v>
      </c>
    </row>
    <row r="573" spans="6:95">
      <c r="F573" s="23"/>
      <c r="I573" s="23"/>
      <c r="L573" s="50" t="s">
        <v>6939</v>
      </c>
      <c r="M573" s="17" t="s">
        <v>6940</v>
      </c>
      <c r="N573" s="51" t="s">
        <v>6941</v>
      </c>
      <c r="O573" s="29" t="s">
        <v>1449</v>
      </c>
      <c r="P573" s="29" t="s">
        <v>6942</v>
      </c>
      <c r="Q573" s="29" t="s">
        <v>1449</v>
      </c>
      <c r="R573" s="29" t="s">
        <v>5367</v>
      </c>
      <c r="S573" s="28" t="s">
        <v>1920</v>
      </c>
      <c r="T573" s="28" t="s">
        <v>3445</v>
      </c>
      <c r="U573" s="28" t="s">
        <v>1441</v>
      </c>
      <c r="V573" s="28" t="s">
        <v>1619</v>
      </c>
      <c r="W573" s="28" t="s">
        <v>6943</v>
      </c>
      <c r="X573" s="17">
        <v>1</v>
      </c>
      <c r="CJ573" s="26" t="s">
        <v>1389</v>
      </c>
      <c r="CK573" s="26" t="s">
        <v>3030</v>
      </c>
      <c r="CL573" s="26" t="str">
        <f t="shared" si="33"/>
        <v>千葉県匝瑳市</v>
      </c>
      <c r="CM573" s="49">
        <v>568</v>
      </c>
      <c r="CN573" s="17" t="str">
        <f t="shared" si="32"/>
        <v>0614</v>
      </c>
      <c r="CO573" s="17" t="str">
        <f t="shared" si="34"/>
        <v>568614匝瑳市</v>
      </c>
      <c r="CP573" s="17" t="s">
        <v>6944</v>
      </c>
      <c r="CQ573" s="17" t="b">
        <f t="shared" si="35"/>
        <v>1</v>
      </c>
    </row>
    <row r="574" spans="6:95">
      <c r="F574" s="23"/>
      <c r="I574" s="23"/>
      <c r="L574" s="50" t="s">
        <v>6945</v>
      </c>
      <c r="M574" s="17" t="s">
        <v>6946</v>
      </c>
      <c r="N574" s="51" t="s">
        <v>6947</v>
      </c>
      <c r="O574" s="29" t="s">
        <v>1449</v>
      </c>
      <c r="P574" s="29" t="s">
        <v>6948</v>
      </c>
      <c r="Q574" s="29" t="s">
        <v>1449</v>
      </c>
      <c r="R574" s="29" t="s">
        <v>3395</v>
      </c>
      <c r="S574" s="28" t="s">
        <v>2311</v>
      </c>
      <c r="T574" s="28" t="s">
        <v>3460</v>
      </c>
      <c r="U574" s="28" t="s">
        <v>1441</v>
      </c>
      <c r="V574" s="28" t="s">
        <v>1619</v>
      </c>
      <c r="W574" s="28" t="s">
        <v>6949</v>
      </c>
      <c r="X574" s="17">
        <v>1</v>
      </c>
      <c r="CJ574" s="26" t="s">
        <v>1389</v>
      </c>
      <c r="CK574" s="26" t="s">
        <v>3061</v>
      </c>
      <c r="CL574" s="26" t="str">
        <f t="shared" si="33"/>
        <v>千葉県香取市</v>
      </c>
      <c r="CM574" s="49">
        <v>569</v>
      </c>
      <c r="CN574" s="17" t="str">
        <f t="shared" si="32"/>
        <v>0615</v>
      </c>
      <c r="CO574" s="17" t="str">
        <f t="shared" si="34"/>
        <v>569615香取市</v>
      </c>
      <c r="CP574" s="17" t="s">
        <v>6950</v>
      </c>
      <c r="CQ574" s="17" t="b">
        <f t="shared" si="35"/>
        <v>1</v>
      </c>
    </row>
    <row r="575" spans="6:95">
      <c r="F575" s="23"/>
      <c r="I575" s="23"/>
      <c r="L575" s="50" t="s">
        <v>6951</v>
      </c>
      <c r="M575" s="17" t="s">
        <v>6952</v>
      </c>
      <c r="N575" s="51" t="s">
        <v>6953</v>
      </c>
      <c r="O575" s="29" t="s">
        <v>1449</v>
      </c>
      <c r="P575" s="29" t="s">
        <v>6954</v>
      </c>
      <c r="Q575" s="29" t="s">
        <v>1449</v>
      </c>
      <c r="R575" s="29" t="s">
        <v>3411</v>
      </c>
      <c r="S575" s="28" t="s">
        <v>1564</v>
      </c>
      <c r="T575" s="28" t="s">
        <v>3473</v>
      </c>
      <c r="U575" s="28" t="s">
        <v>1441</v>
      </c>
      <c r="V575" s="28" t="s">
        <v>1619</v>
      </c>
      <c r="W575" s="28" t="s">
        <v>6955</v>
      </c>
      <c r="X575" s="17">
        <v>1</v>
      </c>
      <c r="CJ575" s="26" t="s">
        <v>1389</v>
      </c>
      <c r="CK575" s="26" t="s">
        <v>3091</v>
      </c>
      <c r="CL575" s="26" t="str">
        <f t="shared" si="33"/>
        <v>千葉県山武市</v>
      </c>
      <c r="CM575" s="49">
        <v>570</v>
      </c>
      <c r="CN575" s="17" t="str">
        <f t="shared" si="32"/>
        <v>0616</v>
      </c>
      <c r="CO575" s="17" t="str">
        <f t="shared" si="34"/>
        <v>570616山武市</v>
      </c>
      <c r="CP575" s="17" t="s">
        <v>6956</v>
      </c>
      <c r="CQ575" s="17" t="b">
        <f t="shared" si="35"/>
        <v>1</v>
      </c>
    </row>
    <row r="576" spans="6:95">
      <c r="F576" s="23"/>
      <c r="I576" s="23"/>
      <c r="L576" s="50" t="s">
        <v>6957</v>
      </c>
      <c r="M576" s="17" t="s">
        <v>6958</v>
      </c>
      <c r="N576" s="51" t="s">
        <v>6959</v>
      </c>
      <c r="O576" s="29" t="s">
        <v>1449</v>
      </c>
      <c r="P576" s="29" t="s">
        <v>6960</v>
      </c>
      <c r="Q576" s="29" t="s">
        <v>1449</v>
      </c>
      <c r="R576" s="29" t="s">
        <v>3426</v>
      </c>
      <c r="S576" s="28" t="s">
        <v>1626</v>
      </c>
      <c r="T576" s="28" t="s">
        <v>3487</v>
      </c>
      <c r="U576" s="28" t="s">
        <v>1441</v>
      </c>
      <c r="V576" s="28" t="s">
        <v>1619</v>
      </c>
      <c r="W576" s="28" t="s">
        <v>6961</v>
      </c>
      <c r="X576" s="17">
        <v>1</v>
      </c>
      <c r="CJ576" s="26" t="s">
        <v>1389</v>
      </c>
      <c r="CK576" s="26" t="s">
        <v>3123</v>
      </c>
      <c r="CL576" s="26" t="str">
        <f t="shared" si="33"/>
        <v>千葉県いすみ市</v>
      </c>
      <c r="CM576" s="49">
        <v>571</v>
      </c>
      <c r="CN576" s="17" t="str">
        <f t="shared" si="32"/>
        <v>0617</v>
      </c>
      <c r="CO576" s="17" t="str">
        <f t="shared" si="34"/>
        <v>571617いすみ市</v>
      </c>
      <c r="CP576" s="17" t="s">
        <v>6962</v>
      </c>
      <c r="CQ576" s="17" t="b">
        <f t="shared" si="35"/>
        <v>1</v>
      </c>
    </row>
    <row r="577" spans="6:95">
      <c r="F577" s="23"/>
      <c r="I577" s="23"/>
      <c r="L577" s="50" t="s">
        <v>6963</v>
      </c>
      <c r="M577" s="17" t="s">
        <v>6964</v>
      </c>
      <c r="N577" s="51" t="s">
        <v>6965</v>
      </c>
      <c r="O577" s="29" t="s">
        <v>1449</v>
      </c>
      <c r="P577" s="29" t="s">
        <v>6966</v>
      </c>
      <c r="Q577" s="29" t="s">
        <v>1449</v>
      </c>
      <c r="R577" s="29" t="s">
        <v>5589</v>
      </c>
      <c r="S577" s="28" t="s">
        <v>1743</v>
      </c>
      <c r="T577" s="28" t="s">
        <v>3502</v>
      </c>
      <c r="U577" s="28" t="s">
        <v>1441</v>
      </c>
      <c r="V577" s="28" t="s">
        <v>1619</v>
      </c>
      <c r="W577" s="28" t="s">
        <v>6966</v>
      </c>
      <c r="X577" s="17">
        <v>1</v>
      </c>
      <c r="CJ577" s="26" t="s">
        <v>1389</v>
      </c>
      <c r="CK577" s="26" t="s">
        <v>3153</v>
      </c>
      <c r="CL577" s="26" t="str">
        <f t="shared" si="33"/>
        <v>千葉県大網白里市</v>
      </c>
      <c r="CM577" s="49">
        <v>572</v>
      </c>
      <c r="CN577" s="17" t="str">
        <f t="shared" si="32"/>
        <v>0618</v>
      </c>
      <c r="CO577" s="17" t="str">
        <f t="shared" si="34"/>
        <v>572618大網白里市</v>
      </c>
      <c r="CP577" s="17" t="s">
        <v>6967</v>
      </c>
      <c r="CQ577" s="17" t="b">
        <f t="shared" si="35"/>
        <v>1</v>
      </c>
    </row>
    <row r="578" spans="6:95">
      <c r="F578" s="23"/>
      <c r="I578" s="23"/>
      <c r="L578" s="50" t="s">
        <v>6968</v>
      </c>
      <c r="M578" s="17" t="s">
        <v>6969</v>
      </c>
      <c r="N578" s="51" t="s">
        <v>6970</v>
      </c>
      <c r="O578" s="29" t="s">
        <v>1449</v>
      </c>
      <c r="P578" s="29" t="s">
        <v>6971</v>
      </c>
      <c r="Q578" s="29" t="s">
        <v>1449</v>
      </c>
      <c r="R578" s="29" t="s">
        <v>6972</v>
      </c>
      <c r="S578" s="28" t="s">
        <v>1977</v>
      </c>
      <c r="T578" s="28" t="s">
        <v>3516</v>
      </c>
      <c r="U578" s="28" t="s">
        <v>1441</v>
      </c>
      <c r="V578" s="28" t="s">
        <v>1619</v>
      </c>
      <c r="W578" s="28" t="s">
        <v>6973</v>
      </c>
      <c r="X578" s="17">
        <v>1</v>
      </c>
      <c r="CJ578" s="26" t="s">
        <v>1389</v>
      </c>
      <c r="CK578" s="26" t="s">
        <v>3181</v>
      </c>
      <c r="CL578" s="26" t="str">
        <f t="shared" si="33"/>
        <v>千葉県酒々井町</v>
      </c>
      <c r="CM578" s="49">
        <v>573</v>
      </c>
      <c r="CN578" s="17" t="str">
        <f t="shared" si="32"/>
        <v>0619</v>
      </c>
      <c r="CO578" s="17" t="str">
        <f t="shared" si="34"/>
        <v>573619酒々井町</v>
      </c>
      <c r="CP578" s="17" t="s">
        <v>6974</v>
      </c>
      <c r="CQ578" s="17" t="b">
        <f t="shared" si="35"/>
        <v>1</v>
      </c>
    </row>
    <row r="579" spans="6:95">
      <c r="F579" s="23"/>
      <c r="I579" s="23"/>
      <c r="L579" s="50" t="s">
        <v>6975</v>
      </c>
      <c r="M579" s="17" t="s">
        <v>6976</v>
      </c>
      <c r="N579" s="51" t="s">
        <v>6977</v>
      </c>
      <c r="O579" s="29" t="s">
        <v>1449</v>
      </c>
      <c r="P579" s="29" t="s">
        <v>6978</v>
      </c>
      <c r="Q579" s="29" t="s">
        <v>1449</v>
      </c>
      <c r="R579" s="29" t="s">
        <v>4716</v>
      </c>
      <c r="S579" s="28" t="s">
        <v>1564</v>
      </c>
      <c r="T579" s="28" t="s">
        <v>2354</v>
      </c>
      <c r="U579" s="28" t="s">
        <v>1441</v>
      </c>
      <c r="V579" s="28" t="s">
        <v>1619</v>
      </c>
      <c r="W579" s="28" t="s">
        <v>6979</v>
      </c>
      <c r="X579" s="17">
        <v>1</v>
      </c>
      <c r="CJ579" s="26" t="s">
        <v>1389</v>
      </c>
      <c r="CK579" s="26" t="s">
        <v>3206</v>
      </c>
      <c r="CL579" s="26" t="str">
        <f t="shared" si="33"/>
        <v>千葉県富里市</v>
      </c>
      <c r="CM579" s="49">
        <v>574</v>
      </c>
      <c r="CN579" s="17" t="str">
        <f t="shared" si="32"/>
        <v>0620</v>
      </c>
      <c r="CO579" s="17" t="str">
        <f t="shared" si="34"/>
        <v>574620富里市</v>
      </c>
      <c r="CP579" s="17" t="s">
        <v>6980</v>
      </c>
      <c r="CQ579" s="17" t="b">
        <f t="shared" si="35"/>
        <v>1</v>
      </c>
    </row>
    <row r="580" spans="6:95">
      <c r="F580" s="23"/>
      <c r="I580" s="23"/>
      <c r="L580" s="50" t="s">
        <v>6981</v>
      </c>
      <c r="M580" s="17" t="s">
        <v>6982</v>
      </c>
      <c r="N580" s="51" t="s">
        <v>6983</v>
      </c>
      <c r="O580" s="29" t="s">
        <v>1449</v>
      </c>
      <c r="P580" s="29" t="s">
        <v>6984</v>
      </c>
      <c r="Q580" s="29" t="s">
        <v>1449</v>
      </c>
      <c r="R580" s="29" t="s">
        <v>6536</v>
      </c>
      <c r="S580" s="28" t="s">
        <v>1502</v>
      </c>
      <c r="T580" s="28" t="s">
        <v>3543</v>
      </c>
      <c r="U580" s="28" t="s">
        <v>1441</v>
      </c>
      <c r="V580" s="28" t="s">
        <v>1619</v>
      </c>
      <c r="W580" s="28" t="s">
        <v>6985</v>
      </c>
      <c r="X580" s="17">
        <v>1</v>
      </c>
      <c r="CJ580" s="26" t="s">
        <v>1389</v>
      </c>
      <c r="CK580" s="26" t="s">
        <v>3230</v>
      </c>
      <c r="CL580" s="26" t="str">
        <f t="shared" si="33"/>
        <v>千葉県白井市</v>
      </c>
      <c r="CM580" s="49">
        <v>575</v>
      </c>
      <c r="CN580" s="17" t="str">
        <f t="shared" si="32"/>
        <v>0621</v>
      </c>
      <c r="CO580" s="17" t="str">
        <f t="shared" si="34"/>
        <v>575621白井市</v>
      </c>
      <c r="CP580" s="17" t="s">
        <v>6986</v>
      </c>
      <c r="CQ580" s="17" t="b">
        <f t="shared" si="35"/>
        <v>1</v>
      </c>
    </row>
    <row r="581" spans="6:95">
      <c r="F581" s="23"/>
      <c r="I581" s="23"/>
      <c r="L581" s="50" t="s">
        <v>6987</v>
      </c>
      <c r="M581" s="17" t="s">
        <v>6988</v>
      </c>
      <c r="N581" s="51" t="s">
        <v>6989</v>
      </c>
      <c r="O581" s="29" t="s">
        <v>1449</v>
      </c>
      <c r="P581" s="29" t="s">
        <v>6990</v>
      </c>
      <c r="Q581" s="29" t="s">
        <v>1449</v>
      </c>
      <c r="R581" s="29" t="s">
        <v>6991</v>
      </c>
      <c r="S581" s="28" t="s">
        <v>1803</v>
      </c>
      <c r="T581" s="28" t="s">
        <v>3557</v>
      </c>
      <c r="U581" s="28" t="s">
        <v>1441</v>
      </c>
      <c r="V581" s="28" t="s">
        <v>1619</v>
      </c>
      <c r="W581" s="28" t="s">
        <v>6992</v>
      </c>
      <c r="X581" s="17">
        <v>1</v>
      </c>
      <c r="CJ581" s="26" t="s">
        <v>1389</v>
      </c>
      <c r="CK581" s="26" t="s">
        <v>3253</v>
      </c>
      <c r="CL581" s="26" t="str">
        <f t="shared" si="33"/>
        <v>千葉県栄町</v>
      </c>
      <c r="CM581" s="49">
        <v>576</v>
      </c>
      <c r="CN581" s="17" t="str">
        <f t="shared" si="32"/>
        <v>0622</v>
      </c>
      <c r="CO581" s="17" t="str">
        <f t="shared" si="34"/>
        <v>576622栄町</v>
      </c>
      <c r="CP581" s="17" t="s">
        <v>6993</v>
      </c>
      <c r="CQ581" s="17" t="b">
        <f t="shared" si="35"/>
        <v>1</v>
      </c>
    </row>
    <row r="582" spans="6:95">
      <c r="F582" s="23"/>
      <c r="I582" s="23"/>
      <c r="L582" s="50" t="s">
        <v>6994</v>
      </c>
      <c r="M582" s="17" t="s">
        <v>6995</v>
      </c>
      <c r="N582" s="51" t="s">
        <v>6996</v>
      </c>
      <c r="O582" s="29" t="s">
        <v>1449</v>
      </c>
      <c r="P582" s="29" t="s">
        <v>6997</v>
      </c>
      <c r="Q582" s="29" t="s">
        <v>1449</v>
      </c>
      <c r="R582" s="29" t="s">
        <v>4812</v>
      </c>
      <c r="S582" s="28" t="s">
        <v>1564</v>
      </c>
      <c r="T582" s="28" t="s">
        <v>3570</v>
      </c>
      <c r="U582" s="28" t="s">
        <v>1441</v>
      </c>
      <c r="V582" s="28" t="s">
        <v>1619</v>
      </c>
      <c r="W582" s="28" t="s">
        <v>6997</v>
      </c>
      <c r="X582" s="17">
        <v>1</v>
      </c>
      <c r="CJ582" s="26" t="s">
        <v>1389</v>
      </c>
      <c r="CK582" s="26" t="s">
        <v>3278</v>
      </c>
      <c r="CL582" s="26" t="str">
        <f t="shared" si="33"/>
        <v>千葉県神崎町</v>
      </c>
      <c r="CM582" s="49">
        <v>577</v>
      </c>
      <c r="CN582" s="17" t="str">
        <f t="shared" ref="CN582:CN645" si="36">VLOOKUP(CL582,$M$6:$N$1784,2,FALSE)</f>
        <v>0623</v>
      </c>
      <c r="CO582" s="17" t="str">
        <f t="shared" si="34"/>
        <v>577623神崎町</v>
      </c>
      <c r="CP582" s="17" t="s">
        <v>6998</v>
      </c>
      <c r="CQ582" s="17" t="b">
        <f t="shared" si="35"/>
        <v>1</v>
      </c>
    </row>
    <row r="583" spans="6:95">
      <c r="F583" s="23"/>
      <c r="I583" s="23"/>
      <c r="L583" s="50" t="s">
        <v>6999</v>
      </c>
      <c r="M583" s="17" t="s">
        <v>7000</v>
      </c>
      <c r="N583" s="51" t="s">
        <v>7001</v>
      </c>
      <c r="O583" s="29" t="s">
        <v>1449</v>
      </c>
      <c r="P583" s="29" t="s">
        <v>7002</v>
      </c>
      <c r="Q583" s="29" t="s">
        <v>1449</v>
      </c>
      <c r="R583" s="29" t="s">
        <v>3732</v>
      </c>
      <c r="S583" s="28" t="s">
        <v>2525</v>
      </c>
      <c r="T583" s="28" t="s">
        <v>3582</v>
      </c>
      <c r="U583" s="28" t="s">
        <v>1441</v>
      </c>
      <c r="V583" s="28" t="s">
        <v>1619</v>
      </c>
      <c r="W583" s="28" t="s">
        <v>7003</v>
      </c>
      <c r="X583" s="17">
        <v>1</v>
      </c>
      <c r="CJ583" s="26" t="s">
        <v>1389</v>
      </c>
      <c r="CK583" s="26" t="s">
        <v>3300</v>
      </c>
      <c r="CL583" s="26" t="str">
        <f t="shared" si="33"/>
        <v>千葉県多古町</v>
      </c>
      <c r="CM583" s="49">
        <v>578</v>
      </c>
      <c r="CN583" s="17" t="str">
        <f t="shared" si="36"/>
        <v>0624</v>
      </c>
      <c r="CO583" s="17" t="str">
        <f t="shared" si="34"/>
        <v>578624多古町</v>
      </c>
      <c r="CP583" s="17" t="s">
        <v>7004</v>
      </c>
      <c r="CQ583" s="17" t="b">
        <f t="shared" si="35"/>
        <v>1</v>
      </c>
    </row>
    <row r="584" spans="6:95">
      <c r="F584" s="23"/>
      <c r="I584" s="23"/>
      <c r="L584" s="50" t="s">
        <v>7005</v>
      </c>
      <c r="M584" s="17" t="s">
        <v>7006</v>
      </c>
      <c r="N584" s="51" t="s">
        <v>7007</v>
      </c>
      <c r="O584" s="29" t="s">
        <v>1449</v>
      </c>
      <c r="P584" s="29" t="s">
        <v>7008</v>
      </c>
      <c r="Q584" s="29" t="s">
        <v>1449</v>
      </c>
      <c r="R584" s="29" t="s">
        <v>3741</v>
      </c>
      <c r="S584" s="28" t="s">
        <v>1803</v>
      </c>
      <c r="T584" s="28" t="s">
        <v>3594</v>
      </c>
      <c r="U584" s="28" t="s">
        <v>1441</v>
      </c>
      <c r="V584" s="28" t="s">
        <v>1619</v>
      </c>
      <c r="W584" s="28" t="s">
        <v>7009</v>
      </c>
      <c r="X584" s="17">
        <v>1</v>
      </c>
      <c r="CJ584" s="26" t="s">
        <v>1389</v>
      </c>
      <c r="CK584" s="26" t="s">
        <v>3322</v>
      </c>
      <c r="CL584" s="26" t="str">
        <f t="shared" ref="CL584:CL647" si="37">CJ584&amp;CK584</f>
        <v>千葉県東庄町</v>
      </c>
      <c r="CM584" s="49">
        <v>579</v>
      </c>
      <c r="CN584" s="17" t="str">
        <f t="shared" si="36"/>
        <v>0625</v>
      </c>
      <c r="CO584" s="17" t="str">
        <f t="shared" ref="CO584:CO647" si="38">CM584&amp;TEXT(CN584,0)&amp;CK584</f>
        <v>579625東庄町</v>
      </c>
      <c r="CP584" s="17" t="s">
        <v>7010</v>
      </c>
      <c r="CQ584" s="17" t="b">
        <f t="shared" ref="CQ584:CQ647" si="39">CO584=CP584</f>
        <v>1</v>
      </c>
    </row>
    <row r="585" spans="6:95">
      <c r="F585" s="23"/>
      <c r="I585" s="23"/>
      <c r="L585" s="50" t="s">
        <v>7011</v>
      </c>
      <c r="M585" s="17" t="s">
        <v>7012</v>
      </c>
      <c r="N585" s="51" t="s">
        <v>7013</v>
      </c>
      <c r="O585" s="29" t="s">
        <v>1449</v>
      </c>
      <c r="P585" s="29" t="s">
        <v>7014</v>
      </c>
      <c r="Q585" s="29" t="s">
        <v>1449</v>
      </c>
      <c r="R585" s="29" t="s">
        <v>7015</v>
      </c>
      <c r="S585" s="28" t="s">
        <v>1626</v>
      </c>
      <c r="T585" s="28" t="s">
        <v>3606</v>
      </c>
      <c r="U585" s="28" t="s">
        <v>1441</v>
      </c>
      <c r="V585" s="28" t="s">
        <v>1619</v>
      </c>
      <c r="W585" s="28" t="s">
        <v>7014</v>
      </c>
      <c r="X585" s="17">
        <v>1</v>
      </c>
      <c r="CJ585" s="26" t="s">
        <v>1389</v>
      </c>
      <c r="CK585" s="26" t="s">
        <v>3343</v>
      </c>
      <c r="CL585" s="26" t="str">
        <f t="shared" si="37"/>
        <v>千葉県九十九里町</v>
      </c>
      <c r="CM585" s="49">
        <v>580</v>
      </c>
      <c r="CN585" s="17" t="str">
        <f t="shared" si="36"/>
        <v>0626</v>
      </c>
      <c r="CO585" s="17" t="str">
        <f t="shared" si="38"/>
        <v>580626九十九里町</v>
      </c>
      <c r="CP585" s="17" t="s">
        <v>7016</v>
      </c>
      <c r="CQ585" s="17" t="b">
        <f t="shared" si="39"/>
        <v>1</v>
      </c>
    </row>
    <row r="586" spans="6:95">
      <c r="F586" s="23"/>
      <c r="I586" s="23"/>
      <c r="L586" s="50" t="s">
        <v>7017</v>
      </c>
      <c r="M586" s="17" t="s">
        <v>7018</v>
      </c>
      <c r="N586" s="51" t="s">
        <v>7019</v>
      </c>
      <c r="O586" s="29" t="s">
        <v>1449</v>
      </c>
      <c r="P586" s="29" t="s">
        <v>7020</v>
      </c>
      <c r="Q586" s="29" t="s">
        <v>1449</v>
      </c>
      <c r="R586" s="29" t="s">
        <v>1563</v>
      </c>
      <c r="S586" s="28" t="s">
        <v>1626</v>
      </c>
      <c r="T586" s="28" t="s">
        <v>3618</v>
      </c>
      <c r="U586" s="28" t="s">
        <v>1441</v>
      </c>
      <c r="V586" s="28" t="s">
        <v>1619</v>
      </c>
      <c r="W586" s="28" t="s">
        <v>7021</v>
      </c>
      <c r="X586" s="17">
        <v>2</v>
      </c>
      <c r="CJ586" s="26" t="s">
        <v>1389</v>
      </c>
      <c r="CK586" s="26" t="s">
        <v>3364</v>
      </c>
      <c r="CL586" s="26" t="str">
        <f t="shared" si="37"/>
        <v>千葉県芝山町</v>
      </c>
      <c r="CM586" s="49">
        <v>581</v>
      </c>
      <c r="CN586" s="17" t="str">
        <f t="shared" si="36"/>
        <v>0627</v>
      </c>
      <c r="CO586" s="17" t="str">
        <f t="shared" si="38"/>
        <v>581627芝山町</v>
      </c>
      <c r="CP586" s="17" t="s">
        <v>7022</v>
      </c>
      <c r="CQ586" s="17" t="b">
        <f t="shared" si="39"/>
        <v>1</v>
      </c>
    </row>
    <row r="587" spans="6:95">
      <c r="F587" s="23"/>
      <c r="I587" s="23"/>
      <c r="L587" s="50" t="s">
        <v>7023</v>
      </c>
      <c r="M587" s="17" t="s">
        <v>7024</v>
      </c>
      <c r="N587" s="51" t="s">
        <v>7025</v>
      </c>
      <c r="O587" s="29" t="s">
        <v>1449</v>
      </c>
      <c r="P587" s="29" t="s">
        <v>7026</v>
      </c>
      <c r="Q587" s="29" t="s">
        <v>1449</v>
      </c>
      <c r="R587" s="29" t="s">
        <v>2474</v>
      </c>
      <c r="S587" s="28" t="s">
        <v>2525</v>
      </c>
      <c r="T587" s="28" t="s">
        <v>3629</v>
      </c>
      <c r="U587" s="28" t="s">
        <v>1441</v>
      </c>
      <c r="V587" s="28" t="s">
        <v>1619</v>
      </c>
      <c r="W587" s="28" t="s">
        <v>7027</v>
      </c>
      <c r="X587" s="17">
        <v>3</v>
      </c>
      <c r="CJ587" s="26" t="s">
        <v>1389</v>
      </c>
      <c r="CK587" s="26" t="s">
        <v>3382</v>
      </c>
      <c r="CL587" s="26" t="str">
        <f t="shared" si="37"/>
        <v>千葉県横芝光町</v>
      </c>
      <c r="CM587" s="49">
        <v>582</v>
      </c>
      <c r="CN587" s="17" t="str">
        <f t="shared" si="36"/>
        <v>0628</v>
      </c>
      <c r="CO587" s="17" t="str">
        <f t="shared" si="38"/>
        <v>582628横芝光町</v>
      </c>
      <c r="CP587" s="17" t="s">
        <v>7028</v>
      </c>
      <c r="CQ587" s="17" t="b">
        <f t="shared" si="39"/>
        <v>1</v>
      </c>
    </row>
    <row r="588" spans="6:95">
      <c r="F588" s="23"/>
      <c r="I588" s="23"/>
      <c r="L588" s="50" t="s">
        <v>7029</v>
      </c>
      <c r="M588" s="17" t="s">
        <v>7030</v>
      </c>
      <c r="N588" s="51" t="s">
        <v>7031</v>
      </c>
      <c r="O588" s="29" t="s">
        <v>1449</v>
      </c>
      <c r="P588" s="29" t="s">
        <v>7032</v>
      </c>
      <c r="Q588" s="29" t="s">
        <v>1449</v>
      </c>
      <c r="R588" s="29" t="s">
        <v>3527</v>
      </c>
      <c r="S588" s="28" t="s">
        <v>1803</v>
      </c>
      <c r="T588" s="28" t="s">
        <v>3638</v>
      </c>
      <c r="U588" s="28" t="s">
        <v>1441</v>
      </c>
      <c r="V588" s="28" t="s">
        <v>1619</v>
      </c>
      <c r="W588" s="28" t="s">
        <v>7033</v>
      </c>
      <c r="X588" s="17">
        <v>4</v>
      </c>
      <c r="CJ588" s="26" t="s">
        <v>1389</v>
      </c>
      <c r="CK588" s="26" t="s">
        <v>3400</v>
      </c>
      <c r="CL588" s="26" t="str">
        <f t="shared" si="37"/>
        <v>千葉県一宮町</v>
      </c>
      <c r="CM588" s="49">
        <v>583</v>
      </c>
      <c r="CN588" s="17" t="str">
        <f t="shared" si="36"/>
        <v>0629</v>
      </c>
      <c r="CO588" s="17" t="str">
        <f t="shared" si="38"/>
        <v>583629一宮町</v>
      </c>
      <c r="CP588" s="17" t="s">
        <v>7034</v>
      </c>
      <c r="CQ588" s="17" t="b">
        <f t="shared" si="39"/>
        <v>1</v>
      </c>
    </row>
    <row r="589" spans="6:95">
      <c r="F589" s="23"/>
      <c r="I589" s="23"/>
      <c r="L589" s="50" t="s">
        <v>7035</v>
      </c>
      <c r="M589" s="17" t="s">
        <v>7036</v>
      </c>
      <c r="N589" s="51" t="s">
        <v>7037</v>
      </c>
      <c r="O589" s="29" t="s">
        <v>1450</v>
      </c>
      <c r="P589" s="29" t="s">
        <v>7038</v>
      </c>
      <c r="Q589" s="29" t="s">
        <v>1450</v>
      </c>
      <c r="R589" s="29" t="s">
        <v>1501</v>
      </c>
      <c r="S589" s="28" t="s">
        <v>1743</v>
      </c>
      <c r="T589" s="28" t="s">
        <v>1515</v>
      </c>
      <c r="U589" s="28" t="s">
        <v>1441</v>
      </c>
      <c r="V589" s="28" t="s">
        <v>1619</v>
      </c>
      <c r="W589" s="28" t="s">
        <v>7039</v>
      </c>
      <c r="X589" s="17">
        <v>1</v>
      </c>
      <c r="CJ589" s="26" t="s">
        <v>1389</v>
      </c>
      <c r="CK589" s="26" t="s">
        <v>3416</v>
      </c>
      <c r="CL589" s="26" t="str">
        <f t="shared" si="37"/>
        <v>千葉県睦沢町</v>
      </c>
      <c r="CM589" s="49">
        <v>584</v>
      </c>
      <c r="CN589" s="17" t="str">
        <f t="shared" si="36"/>
        <v>0630</v>
      </c>
      <c r="CO589" s="17" t="str">
        <f t="shared" si="38"/>
        <v>584630睦沢町</v>
      </c>
      <c r="CP589" s="17" t="s">
        <v>7040</v>
      </c>
      <c r="CQ589" s="17" t="b">
        <f t="shared" si="39"/>
        <v>1</v>
      </c>
    </row>
    <row r="590" spans="6:95">
      <c r="F590" s="23"/>
      <c r="I590" s="23"/>
      <c r="L590" s="50" t="s">
        <v>7041</v>
      </c>
      <c r="M590" s="17" t="s">
        <v>7042</v>
      </c>
      <c r="N590" s="51" t="s">
        <v>7043</v>
      </c>
      <c r="O590" s="29" t="s">
        <v>1450</v>
      </c>
      <c r="P590" s="29" t="s">
        <v>7044</v>
      </c>
      <c r="Q590" s="29" t="s">
        <v>1450</v>
      </c>
      <c r="R590" s="29" t="s">
        <v>1563</v>
      </c>
      <c r="S590" s="28" t="s">
        <v>1920</v>
      </c>
      <c r="T590" s="28" t="s">
        <v>1577</v>
      </c>
      <c r="U590" s="28" t="s">
        <v>1441</v>
      </c>
      <c r="V590" s="28" t="s">
        <v>1619</v>
      </c>
      <c r="W590" s="28" t="s">
        <v>7045</v>
      </c>
      <c r="X590" s="17">
        <v>1</v>
      </c>
      <c r="CJ590" s="26" t="s">
        <v>1389</v>
      </c>
      <c r="CK590" s="26" t="s">
        <v>3431</v>
      </c>
      <c r="CL590" s="26" t="str">
        <f t="shared" si="37"/>
        <v>千葉県長生村</v>
      </c>
      <c r="CM590" s="49">
        <v>585</v>
      </c>
      <c r="CN590" s="17" t="str">
        <f t="shared" si="36"/>
        <v>0631</v>
      </c>
      <c r="CO590" s="17" t="str">
        <f t="shared" si="38"/>
        <v>585631長生村</v>
      </c>
      <c r="CP590" s="17" t="s">
        <v>7046</v>
      </c>
      <c r="CQ590" s="17" t="b">
        <f t="shared" si="39"/>
        <v>1</v>
      </c>
    </row>
    <row r="591" spans="6:95">
      <c r="F591" s="23"/>
      <c r="I591" s="23"/>
      <c r="L591" s="50" t="s">
        <v>7047</v>
      </c>
      <c r="M591" s="17" t="s">
        <v>7048</v>
      </c>
      <c r="N591" s="51" t="s">
        <v>7049</v>
      </c>
      <c r="O591" s="29" t="s">
        <v>1450</v>
      </c>
      <c r="P591" s="29" t="s">
        <v>7050</v>
      </c>
      <c r="Q591" s="29" t="s">
        <v>1450</v>
      </c>
      <c r="R591" s="29" t="s">
        <v>1625</v>
      </c>
      <c r="S591" s="28" t="s">
        <v>1977</v>
      </c>
      <c r="T591" s="28" t="s">
        <v>1639</v>
      </c>
      <c r="U591" s="28" t="s">
        <v>1441</v>
      </c>
      <c r="V591" s="28" t="s">
        <v>1619</v>
      </c>
      <c r="W591" s="28" t="s">
        <v>7051</v>
      </c>
      <c r="X591" s="17">
        <v>1</v>
      </c>
      <c r="CJ591" s="26" t="s">
        <v>1389</v>
      </c>
      <c r="CK591" s="26" t="s">
        <v>3446</v>
      </c>
      <c r="CL591" s="26" t="str">
        <f t="shared" si="37"/>
        <v>千葉県白子町</v>
      </c>
      <c r="CM591" s="49">
        <v>586</v>
      </c>
      <c r="CN591" s="17" t="str">
        <f t="shared" si="36"/>
        <v>0632</v>
      </c>
      <c r="CO591" s="17" t="str">
        <f t="shared" si="38"/>
        <v>586632白子町</v>
      </c>
      <c r="CP591" s="17" t="s">
        <v>7052</v>
      </c>
      <c r="CQ591" s="17" t="b">
        <f t="shared" si="39"/>
        <v>1</v>
      </c>
    </row>
    <row r="592" spans="6:95">
      <c r="F592" s="23"/>
      <c r="I592" s="23"/>
      <c r="L592" s="50" t="s">
        <v>7053</v>
      </c>
      <c r="M592" s="17" t="s">
        <v>7054</v>
      </c>
      <c r="N592" s="51" t="s">
        <v>7055</v>
      </c>
      <c r="O592" s="29" t="s">
        <v>1450</v>
      </c>
      <c r="P592" s="29" t="s">
        <v>7056</v>
      </c>
      <c r="Q592" s="29" t="s">
        <v>1450</v>
      </c>
      <c r="R592" s="29" t="s">
        <v>1684</v>
      </c>
      <c r="S592" s="28" t="s">
        <v>1743</v>
      </c>
      <c r="T592" s="28" t="s">
        <v>1697</v>
      </c>
      <c r="U592" s="28" t="s">
        <v>1441</v>
      </c>
      <c r="V592" s="28" t="s">
        <v>1619</v>
      </c>
      <c r="W592" s="28" t="s">
        <v>7057</v>
      </c>
      <c r="X592" s="17">
        <v>1</v>
      </c>
      <c r="CJ592" s="26" t="s">
        <v>1389</v>
      </c>
      <c r="CK592" s="26" t="s">
        <v>3461</v>
      </c>
      <c r="CL592" s="26" t="str">
        <f t="shared" si="37"/>
        <v>千葉県長柄町</v>
      </c>
      <c r="CM592" s="49">
        <v>587</v>
      </c>
      <c r="CN592" s="17" t="str">
        <f t="shared" si="36"/>
        <v>0633</v>
      </c>
      <c r="CO592" s="17" t="str">
        <f t="shared" si="38"/>
        <v>587633長柄町</v>
      </c>
      <c r="CP592" s="17" t="s">
        <v>7058</v>
      </c>
      <c r="CQ592" s="17" t="b">
        <f t="shared" si="39"/>
        <v>1</v>
      </c>
    </row>
    <row r="593" spans="6:95">
      <c r="F593" s="23"/>
      <c r="I593" s="23"/>
      <c r="L593" s="50" t="s">
        <v>7059</v>
      </c>
      <c r="M593" s="17" t="s">
        <v>7060</v>
      </c>
      <c r="N593" s="51" t="s">
        <v>7061</v>
      </c>
      <c r="O593" s="29" t="s">
        <v>1450</v>
      </c>
      <c r="P593" s="29" t="s">
        <v>7062</v>
      </c>
      <c r="Q593" s="29" t="s">
        <v>1450</v>
      </c>
      <c r="R593" s="29" t="s">
        <v>1742</v>
      </c>
      <c r="S593" s="28" t="s">
        <v>1564</v>
      </c>
      <c r="T593" s="28" t="s">
        <v>1756</v>
      </c>
      <c r="U593" s="28" t="s">
        <v>1441</v>
      </c>
      <c r="V593" s="28" t="s">
        <v>1619</v>
      </c>
      <c r="W593" s="28" t="s">
        <v>7063</v>
      </c>
      <c r="X593" s="17">
        <v>1</v>
      </c>
      <c r="CJ593" s="26" t="s">
        <v>1389</v>
      </c>
      <c r="CK593" s="26" t="s">
        <v>3474</v>
      </c>
      <c r="CL593" s="26" t="str">
        <f t="shared" si="37"/>
        <v>千葉県長南町</v>
      </c>
      <c r="CM593" s="49">
        <v>588</v>
      </c>
      <c r="CN593" s="17" t="str">
        <f t="shared" si="36"/>
        <v>0634</v>
      </c>
      <c r="CO593" s="17" t="str">
        <f t="shared" si="38"/>
        <v>588634長南町</v>
      </c>
      <c r="CP593" s="17" t="s">
        <v>7064</v>
      </c>
      <c r="CQ593" s="17" t="b">
        <f t="shared" si="39"/>
        <v>1</v>
      </c>
    </row>
    <row r="594" spans="6:95">
      <c r="F594" s="23"/>
      <c r="I594" s="23"/>
      <c r="L594" s="50" t="s">
        <v>7065</v>
      </c>
      <c r="M594" s="17" t="s">
        <v>7066</v>
      </c>
      <c r="N594" s="51" t="s">
        <v>7067</v>
      </c>
      <c r="O594" s="29" t="s">
        <v>1450</v>
      </c>
      <c r="P594" s="29" t="s">
        <v>7068</v>
      </c>
      <c r="Q594" s="29" t="s">
        <v>1450</v>
      </c>
      <c r="R594" s="29" t="s">
        <v>1802</v>
      </c>
      <c r="S594" s="28" t="s">
        <v>1626</v>
      </c>
      <c r="T594" s="28" t="s">
        <v>1816</v>
      </c>
      <c r="U594" s="28" t="s">
        <v>1441</v>
      </c>
      <c r="V594" s="28" t="s">
        <v>1619</v>
      </c>
      <c r="W594" s="28" t="s">
        <v>7069</v>
      </c>
      <c r="X594" s="17">
        <v>1</v>
      </c>
      <c r="CJ594" s="26" t="s">
        <v>1389</v>
      </c>
      <c r="CK594" s="26" t="s">
        <v>3488</v>
      </c>
      <c r="CL594" s="26" t="str">
        <f t="shared" si="37"/>
        <v>千葉県大多喜町</v>
      </c>
      <c r="CM594" s="49">
        <v>589</v>
      </c>
      <c r="CN594" s="17" t="str">
        <f t="shared" si="36"/>
        <v>0635</v>
      </c>
      <c r="CO594" s="17" t="str">
        <f t="shared" si="38"/>
        <v>589635大多喜町</v>
      </c>
      <c r="CP594" s="17" t="s">
        <v>7070</v>
      </c>
      <c r="CQ594" s="17" t="b">
        <f t="shared" si="39"/>
        <v>1</v>
      </c>
    </row>
    <row r="595" spans="6:95">
      <c r="F595" s="23"/>
      <c r="I595" s="23"/>
      <c r="L595" s="50" t="s">
        <v>7071</v>
      </c>
      <c r="M595" s="17" t="s">
        <v>7072</v>
      </c>
      <c r="N595" s="51" t="s">
        <v>7073</v>
      </c>
      <c r="O595" s="29" t="s">
        <v>1450</v>
      </c>
      <c r="P595" s="29" t="s">
        <v>7074</v>
      </c>
      <c r="Q595" s="29" t="s">
        <v>1450</v>
      </c>
      <c r="R595" s="29" t="s">
        <v>1861</v>
      </c>
      <c r="S595" s="28" t="s">
        <v>1502</v>
      </c>
      <c r="T595" s="28" t="s">
        <v>1875</v>
      </c>
      <c r="U595" s="28" t="s">
        <v>1441</v>
      </c>
      <c r="V595" s="28" t="s">
        <v>1619</v>
      </c>
      <c r="W595" s="28" t="s">
        <v>7075</v>
      </c>
      <c r="X595" s="17">
        <v>1</v>
      </c>
      <c r="CJ595" s="26" t="s">
        <v>1389</v>
      </c>
      <c r="CK595" s="26" t="s">
        <v>3503</v>
      </c>
      <c r="CL595" s="26" t="str">
        <f t="shared" si="37"/>
        <v>千葉県御宿町</v>
      </c>
      <c r="CM595" s="49">
        <v>590</v>
      </c>
      <c r="CN595" s="17" t="str">
        <f t="shared" si="36"/>
        <v>0636</v>
      </c>
      <c r="CO595" s="17" t="str">
        <f t="shared" si="38"/>
        <v>590636御宿町</v>
      </c>
      <c r="CP595" s="17" t="s">
        <v>7076</v>
      </c>
      <c r="CQ595" s="17" t="b">
        <f t="shared" si="39"/>
        <v>1</v>
      </c>
    </row>
    <row r="596" spans="6:95">
      <c r="F596" s="23"/>
      <c r="I596" s="23"/>
      <c r="L596" s="50" t="s">
        <v>7077</v>
      </c>
      <c r="M596" s="17" t="s">
        <v>7078</v>
      </c>
      <c r="N596" s="51" t="s">
        <v>7079</v>
      </c>
      <c r="O596" s="29" t="s">
        <v>1450</v>
      </c>
      <c r="P596" s="29" t="s">
        <v>7080</v>
      </c>
      <c r="Q596" s="29" t="s">
        <v>1450</v>
      </c>
      <c r="R596" s="29" t="s">
        <v>1919</v>
      </c>
      <c r="S596" s="28" t="s">
        <v>2525</v>
      </c>
      <c r="T596" s="28" t="s">
        <v>1933</v>
      </c>
      <c r="U596" s="28" t="s">
        <v>1441</v>
      </c>
      <c r="V596" s="28" t="s">
        <v>1619</v>
      </c>
      <c r="W596" s="28" t="s">
        <v>7081</v>
      </c>
      <c r="X596" s="17">
        <v>1</v>
      </c>
      <c r="CJ596" s="26" t="s">
        <v>1389</v>
      </c>
      <c r="CK596" s="26" t="s">
        <v>3517</v>
      </c>
      <c r="CL596" s="26" t="str">
        <f t="shared" si="37"/>
        <v>千葉県鋸南町</v>
      </c>
      <c r="CM596" s="49">
        <v>591</v>
      </c>
      <c r="CN596" s="17" t="str">
        <f t="shared" si="36"/>
        <v>0637</v>
      </c>
      <c r="CO596" s="17" t="str">
        <f t="shared" si="38"/>
        <v>591637鋸南町</v>
      </c>
      <c r="CP596" s="17" t="s">
        <v>7082</v>
      </c>
      <c r="CQ596" s="17" t="b">
        <f t="shared" si="39"/>
        <v>1</v>
      </c>
    </row>
    <row r="597" spans="6:95">
      <c r="F597" s="23"/>
      <c r="I597" s="23"/>
      <c r="L597" s="50" t="s">
        <v>7083</v>
      </c>
      <c r="M597" s="17" t="s">
        <v>7084</v>
      </c>
      <c r="N597" s="51" t="s">
        <v>7085</v>
      </c>
      <c r="O597" s="29" t="s">
        <v>1450</v>
      </c>
      <c r="P597" s="29" t="s">
        <v>7086</v>
      </c>
      <c r="Q597" s="29" t="s">
        <v>1450</v>
      </c>
      <c r="R597" s="29" t="s">
        <v>2033</v>
      </c>
      <c r="S597" s="28" t="s">
        <v>1564</v>
      </c>
      <c r="T597" s="28" t="s">
        <v>1990</v>
      </c>
      <c r="U597" s="28" t="s">
        <v>1441</v>
      </c>
      <c r="V597" s="28" t="s">
        <v>1619</v>
      </c>
      <c r="W597" s="28" t="s">
        <v>7087</v>
      </c>
      <c r="X597" s="17">
        <v>1</v>
      </c>
      <c r="CJ597" s="26" t="s">
        <v>1390</v>
      </c>
      <c r="CK597" s="26" t="s">
        <v>1516</v>
      </c>
      <c r="CL597" s="26" t="str">
        <f t="shared" si="37"/>
        <v>東京都千代田区</v>
      </c>
      <c r="CM597" s="49">
        <v>592</v>
      </c>
      <c r="CN597" s="17" t="str">
        <f t="shared" si="36"/>
        <v>0638</v>
      </c>
      <c r="CO597" s="17" t="str">
        <f t="shared" si="38"/>
        <v>592638千代田区</v>
      </c>
      <c r="CP597" s="17" t="s">
        <v>7088</v>
      </c>
      <c r="CQ597" s="17" t="b">
        <f t="shared" si="39"/>
        <v>1</v>
      </c>
    </row>
    <row r="598" spans="6:95">
      <c r="F598" s="23"/>
      <c r="I598" s="23"/>
      <c r="L598" s="50" t="s">
        <v>7089</v>
      </c>
      <c r="M598" s="17" t="s">
        <v>7090</v>
      </c>
      <c r="N598" s="51" t="s">
        <v>7091</v>
      </c>
      <c r="O598" s="29" t="s">
        <v>1450</v>
      </c>
      <c r="P598" s="29" t="s">
        <v>7092</v>
      </c>
      <c r="Q598" s="29" t="s">
        <v>1450</v>
      </c>
      <c r="R598" s="29" t="s">
        <v>2089</v>
      </c>
      <c r="S598" s="28" t="s">
        <v>1626</v>
      </c>
      <c r="T598" s="28" t="s">
        <v>2046</v>
      </c>
      <c r="U598" s="28" t="s">
        <v>1441</v>
      </c>
      <c r="V598" s="28" t="s">
        <v>1619</v>
      </c>
      <c r="W598" s="28" t="s">
        <v>7093</v>
      </c>
      <c r="X598" s="17">
        <v>1</v>
      </c>
      <c r="CJ598" s="26" t="s">
        <v>1390</v>
      </c>
      <c r="CK598" s="26" t="s">
        <v>1578</v>
      </c>
      <c r="CL598" s="26" t="str">
        <f t="shared" si="37"/>
        <v>東京都中央区</v>
      </c>
      <c r="CM598" s="49">
        <v>593</v>
      </c>
      <c r="CN598" s="17" t="str">
        <f t="shared" si="36"/>
        <v>0639</v>
      </c>
      <c r="CO598" s="17" t="str">
        <f t="shared" si="38"/>
        <v>593639中央区</v>
      </c>
      <c r="CP598" s="17" t="s">
        <v>7094</v>
      </c>
      <c r="CQ598" s="17" t="b">
        <f t="shared" si="39"/>
        <v>1</v>
      </c>
    </row>
    <row r="599" spans="6:95">
      <c r="F599" s="23"/>
      <c r="I599" s="23"/>
      <c r="L599" s="50" t="s">
        <v>7095</v>
      </c>
      <c r="M599" s="17" t="s">
        <v>7096</v>
      </c>
      <c r="N599" s="51" t="s">
        <v>7097</v>
      </c>
      <c r="O599" s="29" t="s">
        <v>1450</v>
      </c>
      <c r="P599" s="29" t="s">
        <v>7098</v>
      </c>
      <c r="Q599" s="29" t="s">
        <v>1450</v>
      </c>
      <c r="R599" s="29" t="s">
        <v>2145</v>
      </c>
      <c r="S599" s="28" t="s">
        <v>1502</v>
      </c>
      <c r="T599" s="28" t="s">
        <v>2102</v>
      </c>
      <c r="U599" s="28" t="s">
        <v>1441</v>
      </c>
      <c r="V599" s="28" t="s">
        <v>1619</v>
      </c>
      <c r="W599" s="28" t="s">
        <v>7099</v>
      </c>
      <c r="X599" s="17">
        <v>1</v>
      </c>
      <c r="CJ599" s="26" t="s">
        <v>1390</v>
      </c>
      <c r="CK599" s="26" t="s">
        <v>1640</v>
      </c>
      <c r="CL599" s="26" t="str">
        <f t="shared" si="37"/>
        <v>東京都港区</v>
      </c>
      <c r="CM599" s="49">
        <v>594</v>
      </c>
      <c r="CN599" s="17" t="str">
        <f t="shared" si="36"/>
        <v>0640</v>
      </c>
      <c r="CO599" s="17" t="str">
        <f t="shared" si="38"/>
        <v>594640港区</v>
      </c>
      <c r="CP599" s="17" t="s">
        <v>7100</v>
      </c>
      <c r="CQ599" s="17" t="b">
        <f t="shared" si="39"/>
        <v>1</v>
      </c>
    </row>
    <row r="600" spans="6:95">
      <c r="F600" s="23"/>
      <c r="I600" s="23"/>
      <c r="L600" s="50" t="s">
        <v>7101</v>
      </c>
      <c r="M600" s="17" t="s">
        <v>7102</v>
      </c>
      <c r="N600" s="51" t="s">
        <v>7103</v>
      </c>
      <c r="O600" s="29" t="s">
        <v>1450</v>
      </c>
      <c r="P600" s="29" t="s">
        <v>7104</v>
      </c>
      <c r="Q600" s="29" t="s">
        <v>1450</v>
      </c>
      <c r="R600" s="29" t="s">
        <v>2200</v>
      </c>
      <c r="S600" s="28" t="s">
        <v>2525</v>
      </c>
      <c r="T600" s="28" t="s">
        <v>2158</v>
      </c>
      <c r="U600" s="28" t="s">
        <v>1441</v>
      </c>
      <c r="V600" s="28" t="s">
        <v>1619</v>
      </c>
      <c r="W600" s="28" t="s">
        <v>7105</v>
      </c>
      <c r="X600" s="17">
        <v>1</v>
      </c>
      <c r="CJ600" s="26" t="s">
        <v>1390</v>
      </c>
      <c r="CK600" s="26" t="s">
        <v>1698</v>
      </c>
      <c r="CL600" s="26" t="str">
        <f t="shared" si="37"/>
        <v>東京都新宿区</v>
      </c>
      <c r="CM600" s="49">
        <v>595</v>
      </c>
      <c r="CN600" s="17" t="str">
        <f t="shared" si="36"/>
        <v>0641</v>
      </c>
      <c r="CO600" s="17" t="str">
        <f t="shared" si="38"/>
        <v>595641新宿区</v>
      </c>
      <c r="CP600" s="17" t="s">
        <v>7106</v>
      </c>
      <c r="CQ600" s="17" t="b">
        <f t="shared" si="39"/>
        <v>1</v>
      </c>
    </row>
    <row r="601" spans="6:95">
      <c r="F601" s="23"/>
      <c r="I601" s="23"/>
      <c r="L601" s="50" t="s">
        <v>7107</v>
      </c>
      <c r="M601" s="17" t="s">
        <v>7108</v>
      </c>
      <c r="N601" s="51" t="s">
        <v>7109</v>
      </c>
      <c r="O601" s="29" t="s">
        <v>1450</v>
      </c>
      <c r="P601" s="29" t="s">
        <v>7110</v>
      </c>
      <c r="Q601" s="29" t="s">
        <v>1450</v>
      </c>
      <c r="R601" s="29" t="s">
        <v>2310</v>
      </c>
      <c r="S601" s="28" t="s">
        <v>1862</v>
      </c>
      <c r="T601" s="28" t="s">
        <v>2213</v>
      </c>
      <c r="U601" s="28" t="s">
        <v>1441</v>
      </c>
      <c r="V601" s="28" t="s">
        <v>1619</v>
      </c>
      <c r="W601" s="28" t="s">
        <v>7111</v>
      </c>
      <c r="X601" s="17">
        <v>1</v>
      </c>
      <c r="CJ601" s="26" t="s">
        <v>1390</v>
      </c>
      <c r="CK601" s="26" t="s">
        <v>1757</v>
      </c>
      <c r="CL601" s="26" t="str">
        <f t="shared" si="37"/>
        <v>東京都文京区</v>
      </c>
      <c r="CM601" s="49">
        <v>596</v>
      </c>
      <c r="CN601" s="17" t="str">
        <f t="shared" si="36"/>
        <v>0642</v>
      </c>
      <c r="CO601" s="17" t="str">
        <f t="shared" si="38"/>
        <v>596642文京区</v>
      </c>
      <c r="CP601" s="17" t="s">
        <v>7112</v>
      </c>
      <c r="CQ601" s="17" t="b">
        <f t="shared" si="39"/>
        <v>1</v>
      </c>
    </row>
    <row r="602" spans="6:95">
      <c r="F602" s="23"/>
      <c r="I602" s="23"/>
      <c r="L602" s="50" t="s">
        <v>7113</v>
      </c>
      <c r="M602" s="17" t="s">
        <v>7114</v>
      </c>
      <c r="N602" s="51" t="s">
        <v>7115</v>
      </c>
      <c r="O602" s="29" t="s">
        <v>1450</v>
      </c>
      <c r="P602" s="29" t="s">
        <v>7116</v>
      </c>
      <c r="Q602" s="29" t="s">
        <v>1450</v>
      </c>
      <c r="R602" s="29" t="s">
        <v>2365</v>
      </c>
      <c r="S602" s="28" t="s">
        <v>1920</v>
      </c>
      <c r="T602" s="28" t="s">
        <v>2268</v>
      </c>
      <c r="U602" s="28" t="s">
        <v>1441</v>
      </c>
      <c r="V602" s="28" t="s">
        <v>1619</v>
      </c>
      <c r="W602" s="28" t="s">
        <v>7117</v>
      </c>
      <c r="X602" s="17">
        <v>1</v>
      </c>
      <c r="CJ602" s="26" t="s">
        <v>1390</v>
      </c>
      <c r="CK602" s="26" t="s">
        <v>1817</v>
      </c>
      <c r="CL602" s="26" t="str">
        <f t="shared" si="37"/>
        <v>東京都台東区</v>
      </c>
      <c r="CM602" s="49">
        <v>597</v>
      </c>
      <c r="CN602" s="17" t="str">
        <f t="shared" si="36"/>
        <v>0643</v>
      </c>
      <c r="CO602" s="17" t="str">
        <f t="shared" si="38"/>
        <v>597643台東区</v>
      </c>
      <c r="CP602" s="17" t="s">
        <v>7118</v>
      </c>
      <c r="CQ602" s="17" t="b">
        <f t="shared" si="39"/>
        <v>1</v>
      </c>
    </row>
    <row r="603" spans="6:95">
      <c r="F603" s="23"/>
      <c r="I603" s="23"/>
      <c r="L603" s="50" t="s">
        <v>7119</v>
      </c>
      <c r="M603" s="17" t="s">
        <v>7120</v>
      </c>
      <c r="N603" s="51" t="s">
        <v>7121</v>
      </c>
      <c r="O603" s="29" t="s">
        <v>1450</v>
      </c>
      <c r="P603" s="29" t="s">
        <v>7122</v>
      </c>
      <c r="Q603" s="29" t="s">
        <v>1450</v>
      </c>
      <c r="R603" s="29" t="s">
        <v>2420</v>
      </c>
      <c r="S603" s="28" t="s">
        <v>1977</v>
      </c>
      <c r="T603" s="28" t="s">
        <v>2324</v>
      </c>
      <c r="U603" s="28" t="s">
        <v>1441</v>
      </c>
      <c r="V603" s="28" t="s">
        <v>1619</v>
      </c>
      <c r="W603" s="28" t="s">
        <v>7123</v>
      </c>
      <c r="X603" s="17">
        <v>1</v>
      </c>
      <c r="CJ603" s="26" t="s">
        <v>1390</v>
      </c>
      <c r="CK603" s="26" t="s">
        <v>1876</v>
      </c>
      <c r="CL603" s="26" t="str">
        <f t="shared" si="37"/>
        <v>東京都墨田区</v>
      </c>
      <c r="CM603" s="49">
        <v>598</v>
      </c>
      <c r="CN603" s="17" t="str">
        <f t="shared" si="36"/>
        <v>0644</v>
      </c>
      <c r="CO603" s="17" t="str">
        <f t="shared" si="38"/>
        <v>598644墨田区</v>
      </c>
      <c r="CP603" s="17" t="s">
        <v>7124</v>
      </c>
      <c r="CQ603" s="17" t="b">
        <f t="shared" si="39"/>
        <v>1</v>
      </c>
    </row>
    <row r="604" spans="6:95">
      <c r="F604" s="23"/>
      <c r="I604" s="23"/>
      <c r="L604" s="50" t="s">
        <v>7125</v>
      </c>
      <c r="M604" s="17" t="s">
        <v>7126</v>
      </c>
      <c r="N604" s="51" t="s">
        <v>7127</v>
      </c>
      <c r="O604" s="29" t="s">
        <v>1450</v>
      </c>
      <c r="P604" s="29" t="s">
        <v>7128</v>
      </c>
      <c r="Q604" s="29" t="s">
        <v>1450</v>
      </c>
      <c r="R604" s="29" t="s">
        <v>2474</v>
      </c>
      <c r="S604" s="28" t="s">
        <v>1743</v>
      </c>
      <c r="T604" s="28" t="s">
        <v>2378</v>
      </c>
      <c r="U604" s="28" t="s">
        <v>1441</v>
      </c>
      <c r="V604" s="28" t="s">
        <v>1619</v>
      </c>
      <c r="W604" s="28" t="s">
        <v>7129</v>
      </c>
      <c r="X604" s="17">
        <v>1</v>
      </c>
      <c r="CJ604" s="26" t="s">
        <v>1390</v>
      </c>
      <c r="CK604" s="26" t="s">
        <v>1934</v>
      </c>
      <c r="CL604" s="26" t="str">
        <f t="shared" si="37"/>
        <v>東京都江東区</v>
      </c>
      <c r="CM604" s="49">
        <v>599</v>
      </c>
      <c r="CN604" s="17" t="str">
        <f t="shared" si="36"/>
        <v>0645</v>
      </c>
      <c r="CO604" s="17" t="str">
        <f t="shared" si="38"/>
        <v>599645江東区</v>
      </c>
      <c r="CP604" s="17" t="s">
        <v>7130</v>
      </c>
      <c r="CQ604" s="17" t="b">
        <f t="shared" si="39"/>
        <v>1</v>
      </c>
    </row>
    <row r="605" spans="6:95">
      <c r="F605" s="23"/>
      <c r="I605" s="23"/>
      <c r="L605" s="50" t="s">
        <v>7131</v>
      </c>
      <c r="M605" s="17" t="s">
        <v>7132</v>
      </c>
      <c r="N605" s="51" t="s">
        <v>7133</v>
      </c>
      <c r="O605" s="29" t="s">
        <v>1450</v>
      </c>
      <c r="P605" s="29" t="s">
        <v>7134</v>
      </c>
      <c r="Q605" s="29" t="s">
        <v>1450</v>
      </c>
      <c r="R605" s="29" t="s">
        <v>2524</v>
      </c>
      <c r="S605" s="28" t="s">
        <v>1803</v>
      </c>
      <c r="T605" s="28" t="s">
        <v>2433</v>
      </c>
      <c r="U605" s="28" t="s">
        <v>1441</v>
      </c>
      <c r="V605" s="28" t="s">
        <v>1619</v>
      </c>
      <c r="W605" s="28" t="s">
        <v>7135</v>
      </c>
      <c r="X605" s="17">
        <v>1</v>
      </c>
      <c r="CJ605" s="26" t="s">
        <v>1390</v>
      </c>
      <c r="CK605" s="26" t="s">
        <v>1991</v>
      </c>
      <c r="CL605" s="26" t="str">
        <f t="shared" si="37"/>
        <v>東京都品川区</v>
      </c>
      <c r="CM605" s="49">
        <v>600</v>
      </c>
      <c r="CN605" s="17" t="str">
        <f t="shared" si="36"/>
        <v>0646</v>
      </c>
      <c r="CO605" s="17" t="str">
        <f t="shared" si="38"/>
        <v>600646品川区</v>
      </c>
      <c r="CP605" s="17" t="s">
        <v>7136</v>
      </c>
      <c r="CQ605" s="17" t="b">
        <f t="shared" si="39"/>
        <v>1</v>
      </c>
    </row>
    <row r="606" spans="6:95">
      <c r="F606" s="23"/>
      <c r="I606" s="23"/>
      <c r="L606" s="50" t="s">
        <v>7137</v>
      </c>
      <c r="M606" s="17" t="s">
        <v>7138</v>
      </c>
      <c r="N606" s="51" t="s">
        <v>7139</v>
      </c>
      <c r="O606" s="29" t="s">
        <v>1450</v>
      </c>
      <c r="P606" s="29" t="s">
        <v>7140</v>
      </c>
      <c r="Q606" s="29" t="s">
        <v>1450</v>
      </c>
      <c r="R606" s="29" t="s">
        <v>2576</v>
      </c>
      <c r="S606" s="28" t="s">
        <v>1862</v>
      </c>
      <c r="T606" s="28" t="s">
        <v>2486</v>
      </c>
      <c r="U606" s="28" t="s">
        <v>1441</v>
      </c>
      <c r="V606" s="28" t="s">
        <v>1619</v>
      </c>
      <c r="W606" s="28" t="s">
        <v>7141</v>
      </c>
      <c r="X606" s="17">
        <v>1</v>
      </c>
      <c r="CJ606" s="26" t="s">
        <v>1390</v>
      </c>
      <c r="CK606" s="26" t="s">
        <v>2047</v>
      </c>
      <c r="CL606" s="26" t="str">
        <f t="shared" si="37"/>
        <v>東京都目黒区</v>
      </c>
      <c r="CM606" s="49">
        <v>601</v>
      </c>
      <c r="CN606" s="17" t="str">
        <f t="shared" si="36"/>
        <v>0647</v>
      </c>
      <c r="CO606" s="17" t="str">
        <f t="shared" si="38"/>
        <v>601647目黒区</v>
      </c>
      <c r="CP606" s="17" t="s">
        <v>7142</v>
      </c>
      <c r="CQ606" s="17" t="b">
        <f t="shared" si="39"/>
        <v>1</v>
      </c>
    </row>
    <row r="607" spans="6:95">
      <c r="F607" s="23"/>
      <c r="I607" s="23"/>
      <c r="L607" s="50" t="s">
        <v>7143</v>
      </c>
      <c r="M607" s="17" t="s">
        <v>7144</v>
      </c>
      <c r="N607" s="51" t="s">
        <v>7145</v>
      </c>
      <c r="O607" s="29" t="s">
        <v>1450</v>
      </c>
      <c r="P607" s="29" t="s">
        <v>7146</v>
      </c>
      <c r="Q607" s="29" t="s">
        <v>1450</v>
      </c>
      <c r="R607" s="29" t="s">
        <v>2623</v>
      </c>
      <c r="S607" s="28" t="s">
        <v>1920</v>
      </c>
      <c r="T607" s="28" t="s">
        <v>2538</v>
      </c>
      <c r="U607" s="28" t="s">
        <v>1441</v>
      </c>
      <c r="V607" s="28" t="s">
        <v>1619</v>
      </c>
      <c r="W607" s="28" t="s">
        <v>7147</v>
      </c>
      <c r="X607" s="17">
        <v>1</v>
      </c>
      <c r="CJ607" s="26" t="s">
        <v>1390</v>
      </c>
      <c r="CK607" s="26" t="s">
        <v>2103</v>
      </c>
      <c r="CL607" s="26" t="str">
        <f t="shared" si="37"/>
        <v>東京都大田区</v>
      </c>
      <c r="CM607" s="49">
        <v>602</v>
      </c>
      <c r="CN607" s="17" t="str">
        <f t="shared" si="36"/>
        <v>0648</v>
      </c>
      <c r="CO607" s="17" t="str">
        <f t="shared" si="38"/>
        <v>602648大田区</v>
      </c>
      <c r="CP607" s="17" t="s">
        <v>7148</v>
      </c>
      <c r="CQ607" s="17" t="b">
        <f t="shared" si="39"/>
        <v>1</v>
      </c>
    </row>
    <row r="608" spans="6:95">
      <c r="F608" s="23"/>
      <c r="I608" s="23"/>
      <c r="L608" s="50" t="s">
        <v>7149</v>
      </c>
      <c r="M608" s="17" t="s">
        <v>7150</v>
      </c>
      <c r="N608" s="51" t="s">
        <v>7151</v>
      </c>
      <c r="O608" s="29" t="s">
        <v>1450</v>
      </c>
      <c r="P608" s="29" t="s">
        <v>7152</v>
      </c>
      <c r="Q608" s="29" t="s">
        <v>1450</v>
      </c>
      <c r="R608" s="29" t="s">
        <v>2668</v>
      </c>
      <c r="S608" s="28" t="s">
        <v>1977</v>
      </c>
      <c r="T608" s="28" t="s">
        <v>2588</v>
      </c>
      <c r="U608" s="28" t="s">
        <v>1441</v>
      </c>
      <c r="V608" s="28" t="s">
        <v>1619</v>
      </c>
      <c r="W608" s="28" t="s">
        <v>7153</v>
      </c>
      <c r="X608" s="17">
        <v>1</v>
      </c>
      <c r="CJ608" s="26" t="s">
        <v>1390</v>
      </c>
      <c r="CK608" s="26" t="s">
        <v>2159</v>
      </c>
      <c r="CL608" s="26" t="str">
        <f t="shared" si="37"/>
        <v>東京都世田谷区</v>
      </c>
      <c r="CM608" s="49">
        <v>603</v>
      </c>
      <c r="CN608" s="17" t="str">
        <f t="shared" si="36"/>
        <v>0649</v>
      </c>
      <c r="CO608" s="17" t="str">
        <f t="shared" si="38"/>
        <v>603649世田谷区</v>
      </c>
      <c r="CP608" s="17" t="s">
        <v>7154</v>
      </c>
      <c r="CQ608" s="17" t="b">
        <f t="shared" si="39"/>
        <v>1</v>
      </c>
    </row>
    <row r="609" spans="6:95">
      <c r="F609" s="23"/>
      <c r="I609" s="23"/>
      <c r="L609" s="50" t="s">
        <v>7155</v>
      </c>
      <c r="M609" s="17" t="s">
        <v>7156</v>
      </c>
      <c r="N609" s="51" t="s">
        <v>7157</v>
      </c>
      <c r="O609" s="29" t="s">
        <v>1450</v>
      </c>
      <c r="P609" s="29" t="s">
        <v>7158</v>
      </c>
      <c r="Q609" s="29" t="s">
        <v>1450</v>
      </c>
      <c r="R609" s="29" t="s">
        <v>2714</v>
      </c>
      <c r="S609" s="28" t="s">
        <v>1743</v>
      </c>
      <c r="T609" s="28" t="s">
        <v>2635</v>
      </c>
      <c r="U609" s="28" t="s">
        <v>1441</v>
      </c>
      <c r="V609" s="28" t="s">
        <v>1619</v>
      </c>
      <c r="W609" s="28" t="s">
        <v>7159</v>
      </c>
      <c r="X609" s="17">
        <v>1</v>
      </c>
      <c r="CJ609" s="26" t="s">
        <v>1390</v>
      </c>
      <c r="CK609" s="26" t="s">
        <v>2214</v>
      </c>
      <c r="CL609" s="26" t="str">
        <f t="shared" si="37"/>
        <v>東京都渋谷区</v>
      </c>
      <c r="CM609" s="49">
        <v>604</v>
      </c>
      <c r="CN609" s="17" t="str">
        <f t="shared" si="36"/>
        <v>0650</v>
      </c>
      <c r="CO609" s="17" t="str">
        <f t="shared" si="38"/>
        <v>604650渋谷区</v>
      </c>
      <c r="CP609" s="17" t="s">
        <v>7160</v>
      </c>
      <c r="CQ609" s="17" t="b">
        <f t="shared" si="39"/>
        <v>1</v>
      </c>
    </row>
    <row r="610" spans="6:95">
      <c r="F610" s="23"/>
      <c r="I610" s="23"/>
      <c r="L610" s="50" t="s">
        <v>7161</v>
      </c>
      <c r="M610" s="17" t="s">
        <v>7162</v>
      </c>
      <c r="N610" s="51" t="s">
        <v>7163</v>
      </c>
      <c r="O610" s="29" t="s">
        <v>1450</v>
      </c>
      <c r="P610" s="29" t="s">
        <v>7164</v>
      </c>
      <c r="Q610" s="29" t="s">
        <v>1450</v>
      </c>
      <c r="R610" s="29" t="s">
        <v>2758</v>
      </c>
      <c r="S610" s="28" t="s">
        <v>1803</v>
      </c>
      <c r="T610" s="28" t="s">
        <v>7165</v>
      </c>
      <c r="U610" s="28" t="s">
        <v>1441</v>
      </c>
      <c r="V610" s="28" t="s">
        <v>1619</v>
      </c>
      <c r="W610" s="28" t="s">
        <v>7166</v>
      </c>
      <c r="X610" s="17">
        <v>1</v>
      </c>
      <c r="CJ610" s="26" t="s">
        <v>1390</v>
      </c>
      <c r="CK610" s="26" t="s">
        <v>2269</v>
      </c>
      <c r="CL610" s="26" t="str">
        <f t="shared" si="37"/>
        <v>東京都中野区</v>
      </c>
      <c r="CM610" s="49">
        <v>605</v>
      </c>
      <c r="CN610" s="17" t="str">
        <f t="shared" si="36"/>
        <v>0651</v>
      </c>
      <c r="CO610" s="17" t="str">
        <f t="shared" si="38"/>
        <v>605651中野区</v>
      </c>
      <c r="CP610" s="17" t="s">
        <v>7167</v>
      </c>
      <c r="CQ610" s="17" t="b">
        <f t="shared" si="39"/>
        <v>1</v>
      </c>
    </row>
    <row r="611" spans="6:95">
      <c r="F611" s="23"/>
      <c r="I611" s="23"/>
      <c r="L611" s="50" t="s">
        <v>7168</v>
      </c>
      <c r="M611" s="17" t="s">
        <v>7169</v>
      </c>
      <c r="N611" s="51" t="s">
        <v>7170</v>
      </c>
      <c r="O611" s="29" t="s">
        <v>1450</v>
      </c>
      <c r="P611" s="29" t="s">
        <v>7171</v>
      </c>
      <c r="Q611" s="29" t="s">
        <v>1450</v>
      </c>
      <c r="R611" s="29" t="s">
        <v>2800</v>
      </c>
      <c r="S611" s="28" t="s">
        <v>1626</v>
      </c>
      <c r="T611" s="28" t="s">
        <v>2727</v>
      </c>
      <c r="U611" s="28" t="s">
        <v>1441</v>
      </c>
      <c r="V611" s="28" t="s">
        <v>1619</v>
      </c>
      <c r="W611" s="28" t="s">
        <v>7172</v>
      </c>
      <c r="X611" s="17">
        <v>1</v>
      </c>
      <c r="CJ611" s="26" t="s">
        <v>1390</v>
      </c>
      <c r="CK611" s="26" t="s">
        <v>2325</v>
      </c>
      <c r="CL611" s="26" t="str">
        <f t="shared" si="37"/>
        <v>東京都杉並区</v>
      </c>
      <c r="CM611" s="49">
        <v>606</v>
      </c>
      <c r="CN611" s="17" t="str">
        <f t="shared" si="36"/>
        <v>0652</v>
      </c>
      <c r="CO611" s="17" t="str">
        <f t="shared" si="38"/>
        <v>606652杉並区</v>
      </c>
      <c r="CP611" s="17" t="s">
        <v>7173</v>
      </c>
      <c r="CQ611" s="17" t="b">
        <f t="shared" si="39"/>
        <v>1</v>
      </c>
    </row>
    <row r="612" spans="6:95">
      <c r="F612" s="23"/>
      <c r="I612" s="23"/>
      <c r="L612" s="50" t="s">
        <v>7174</v>
      </c>
      <c r="M612" s="17" t="s">
        <v>7175</v>
      </c>
      <c r="N612" s="51" t="s">
        <v>7176</v>
      </c>
      <c r="O612" s="29" t="s">
        <v>1450</v>
      </c>
      <c r="P612" s="29" t="s">
        <v>7177</v>
      </c>
      <c r="Q612" s="29" t="s">
        <v>1450</v>
      </c>
      <c r="R612" s="29" t="s">
        <v>2842</v>
      </c>
      <c r="S612" s="28" t="s">
        <v>1502</v>
      </c>
      <c r="T612" s="28" t="s">
        <v>2771</v>
      </c>
      <c r="U612" s="28" t="s">
        <v>1441</v>
      </c>
      <c r="V612" s="28" t="s">
        <v>1619</v>
      </c>
      <c r="W612" s="28" t="s">
        <v>7178</v>
      </c>
      <c r="X612" s="17">
        <v>1</v>
      </c>
      <c r="CJ612" s="26" t="s">
        <v>1390</v>
      </c>
      <c r="CK612" s="26" t="s">
        <v>2379</v>
      </c>
      <c r="CL612" s="26" t="str">
        <f t="shared" si="37"/>
        <v>東京都豊島区</v>
      </c>
      <c r="CM612" s="49">
        <v>607</v>
      </c>
      <c r="CN612" s="17" t="str">
        <f t="shared" si="36"/>
        <v>0653</v>
      </c>
      <c r="CO612" s="17" t="str">
        <f t="shared" si="38"/>
        <v>607653豊島区</v>
      </c>
      <c r="CP612" s="17" t="s">
        <v>7179</v>
      </c>
      <c r="CQ612" s="17" t="b">
        <f t="shared" si="39"/>
        <v>1</v>
      </c>
    </row>
    <row r="613" spans="6:95">
      <c r="F613" s="23"/>
      <c r="I613" s="23"/>
      <c r="L613" s="50" t="s">
        <v>7180</v>
      </c>
      <c r="M613" s="17" t="s">
        <v>7181</v>
      </c>
      <c r="N613" s="51" t="s">
        <v>7182</v>
      </c>
      <c r="O613" s="29" t="s">
        <v>1450</v>
      </c>
      <c r="P613" s="29" t="s">
        <v>7183</v>
      </c>
      <c r="Q613" s="29" t="s">
        <v>1450</v>
      </c>
      <c r="R613" s="29" t="s">
        <v>4381</v>
      </c>
      <c r="S613" s="28" t="s">
        <v>2525</v>
      </c>
      <c r="T613" s="28" t="s">
        <v>2813</v>
      </c>
      <c r="U613" s="28" t="s">
        <v>1441</v>
      </c>
      <c r="V613" s="28" t="s">
        <v>1619</v>
      </c>
      <c r="W613" s="28" t="s">
        <v>7184</v>
      </c>
      <c r="X613" s="17">
        <v>1</v>
      </c>
      <c r="CJ613" s="26" t="s">
        <v>1390</v>
      </c>
      <c r="CK613" s="26" t="s">
        <v>2434</v>
      </c>
      <c r="CL613" s="26" t="str">
        <f t="shared" si="37"/>
        <v>東京都北区</v>
      </c>
      <c r="CM613" s="49">
        <v>608</v>
      </c>
      <c r="CN613" s="17" t="str">
        <f t="shared" si="36"/>
        <v>0654</v>
      </c>
      <c r="CO613" s="17" t="str">
        <f t="shared" si="38"/>
        <v>608654北区</v>
      </c>
      <c r="CP613" s="17" t="s">
        <v>7185</v>
      </c>
      <c r="CQ613" s="17" t="b">
        <f t="shared" si="39"/>
        <v>1</v>
      </c>
    </row>
    <row r="614" spans="6:95">
      <c r="F614" s="23"/>
      <c r="I614" s="23"/>
      <c r="L614" s="50" t="s">
        <v>7186</v>
      </c>
      <c r="M614" s="17" t="s">
        <v>7187</v>
      </c>
      <c r="N614" s="51" t="s">
        <v>7188</v>
      </c>
      <c r="O614" s="29" t="s">
        <v>1450</v>
      </c>
      <c r="P614" s="29" t="s">
        <v>7189</v>
      </c>
      <c r="Q614" s="29" t="s">
        <v>1450</v>
      </c>
      <c r="R614" s="29" t="s">
        <v>2881</v>
      </c>
      <c r="S614" s="28" t="s">
        <v>2311</v>
      </c>
      <c r="T614" s="28" t="s">
        <v>2853</v>
      </c>
      <c r="U614" s="28" t="s">
        <v>1441</v>
      </c>
      <c r="V614" s="28" t="s">
        <v>1619</v>
      </c>
      <c r="W614" s="28" t="s">
        <v>7190</v>
      </c>
      <c r="X614" s="17">
        <v>1</v>
      </c>
      <c r="CJ614" s="26" t="s">
        <v>1390</v>
      </c>
      <c r="CK614" s="26" t="s">
        <v>2487</v>
      </c>
      <c r="CL614" s="26" t="str">
        <f t="shared" si="37"/>
        <v>東京都荒川区</v>
      </c>
      <c r="CM614" s="49">
        <v>609</v>
      </c>
      <c r="CN614" s="17" t="str">
        <f t="shared" si="36"/>
        <v>0655</v>
      </c>
      <c r="CO614" s="17" t="str">
        <f t="shared" si="38"/>
        <v>609655荒川区</v>
      </c>
      <c r="CP614" s="17" t="s">
        <v>7191</v>
      </c>
      <c r="CQ614" s="17" t="b">
        <f t="shared" si="39"/>
        <v>1</v>
      </c>
    </row>
    <row r="615" spans="6:95">
      <c r="F615" s="23"/>
      <c r="I615" s="23"/>
      <c r="L615" s="50" t="s">
        <v>7192</v>
      </c>
      <c r="M615" s="17" t="s">
        <v>7193</v>
      </c>
      <c r="N615" s="51" t="s">
        <v>7194</v>
      </c>
      <c r="O615" s="29" t="s">
        <v>1450</v>
      </c>
      <c r="P615" s="29" t="s">
        <v>7195</v>
      </c>
      <c r="Q615" s="29" t="s">
        <v>1450</v>
      </c>
      <c r="R615" s="29" t="s">
        <v>2918</v>
      </c>
      <c r="S615" s="28" t="s">
        <v>1564</v>
      </c>
      <c r="T615" s="28" t="s">
        <v>2892</v>
      </c>
      <c r="U615" s="28" t="s">
        <v>1441</v>
      </c>
      <c r="V615" s="28" t="s">
        <v>1619</v>
      </c>
      <c r="W615" s="28" t="s">
        <v>7196</v>
      </c>
      <c r="X615" s="17">
        <v>1</v>
      </c>
      <c r="CJ615" s="26" t="s">
        <v>1390</v>
      </c>
      <c r="CK615" s="26" t="s">
        <v>2539</v>
      </c>
      <c r="CL615" s="26" t="str">
        <f t="shared" si="37"/>
        <v>東京都板橋区</v>
      </c>
      <c r="CM615" s="49">
        <v>610</v>
      </c>
      <c r="CN615" s="17" t="str">
        <f t="shared" si="36"/>
        <v>0656</v>
      </c>
      <c r="CO615" s="17" t="str">
        <f t="shared" si="38"/>
        <v>610656板橋区</v>
      </c>
      <c r="CP615" s="17" t="s">
        <v>7197</v>
      </c>
      <c r="CQ615" s="17" t="b">
        <f t="shared" si="39"/>
        <v>1</v>
      </c>
    </row>
    <row r="616" spans="6:95">
      <c r="F616" s="23"/>
      <c r="I616" s="23"/>
      <c r="L616" s="50" t="s">
        <v>7198</v>
      </c>
      <c r="M616" s="17" t="s">
        <v>7199</v>
      </c>
      <c r="N616" s="51" t="s">
        <v>7200</v>
      </c>
      <c r="O616" s="29" t="s">
        <v>1450</v>
      </c>
      <c r="P616" s="29" t="s">
        <v>7201</v>
      </c>
      <c r="Q616" s="29" t="s">
        <v>1450</v>
      </c>
      <c r="R616" s="29" t="s">
        <v>2953</v>
      </c>
      <c r="S616" s="28" t="s">
        <v>1626</v>
      </c>
      <c r="T616" s="28" t="s">
        <v>2929</v>
      </c>
      <c r="U616" s="28" t="s">
        <v>1441</v>
      </c>
      <c r="V616" s="28" t="s">
        <v>1619</v>
      </c>
      <c r="W616" s="28" t="s">
        <v>7202</v>
      </c>
      <c r="X616" s="17">
        <v>1</v>
      </c>
      <c r="CJ616" s="26" t="s">
        <v>1390</v>
      </c>
      <c r="CK616" s="26" t="s">
        <v>2589</v>
      </c>
      <c r="CL616" s="26" t="str">
        <f t="shared" si="37"/>
        <v>東京都練馬区</v>
      </c>
      <c r="CM616" s="49">
        <v>611</v>
      </c>
      <c r="CN616" s="17" t="str">
        <f t="shared" si="36"/>
        <v>0657</v>
      </c>
      <c r="CO616" s="17" t="str">
        <f t="shared" si="38"/>
        <v>611657練馬区</v>
      </c>
      <c r="CP616" s="17" t="s">
        <v>7203</v>
      </c>
      <c r="CQ616" s="17" t="b">
        <f t="shared" si="39"/>
        <v>1</v>
      </c>
    </row>
    <row r="617" spans="6:95">
      <c r="F617" s="23"/>
      <c r="I617" s="23"/>
      <c r="L617" s="50" t="s">
        <v>7204</v>
      </c>
      <c r="M617" s="17" t="s">
        <v>7205</v>
      </c>
      <c r="N617" s="51" t="s">
        <v>7206</v>
      </c>
      <c r="O617" s="29" t="s">
        <v>1450</v>
      </c>
      <c r="P617" s="29" t="s">
        <v>7207</v>
      </c>
      <c r="Q617" s="29" t="s">
        <v>1450</v>
      </c>
      <c r="R617" s="29" t="s">
        <v>2986</v>
      </c>
      <c r="S617" s="28" t="s">
        <v>1502</v>
      </c>
      <c r="T617" s="28" t="s">
        <v>2963</v>
      </c>
      <c r="U617" s="28" t="s">
        <v>1441</v>
      </c>
      <c r="V617" s="28" t="s">
        <v>1619</v>
      </c>
      <c r="W617" s="28" t="s">
        <v>7208</v>
      </c>
      <c r="X617" s="17">
        <v>1</v>
      </c>
      <c r="CJ617" s="26" t="s">
        <v>1390</v>
      </c>
      <c r="CK617" s="26" t="s">
        <v>2636</v>
      </c>
      <c r="CL617" s="26" t="str">
        <f t="shared" si="37"/>
        <v>東京都足立区</v>
      </c>
      <c r="CM617" s="49">
        <v>612</v>
      </c>
      <c r="CN617" s="17" t="str">
        <f t="shared" si="36"/>
        <v>0658</v>
      </c>
      <c r="CO617" s="17" t="str">
        <f t="shared" si="38"/>
        <v>612658足立区</v>
      </c>
      <c r="CP617" s="17" t="s">
        <v>7209</v>
      </c>
      <c r="CQ617" s="17" t="b">
        <f t="shared" si="39"/>
        <v>1</v>
      </c>
    </row>
    <row r="618" spans="6:95">
      <c r="F618" s="23"/>
      <c r="I618" s="23"/>
      <c r="L618" s="50" t="s">
        <v>7210</v>
      </c>
      <c r="M618" s="17" t="s">
        <v>7211</v>
      </c>
      <c r="N618" s="51" t="s">
        <v>7212</v>
      </c>
      <c r="O618" s="29" t="s">
        <v>1450</v>
      </c>
      <c r="P618" s="29" t="s">
        <v>7213</v>
      </c>
      <c r="Q618" s="29" t="s">
        <v>1450</v>
      </c>
      <c r="R618" s="29" t="s">
        <v>3052</v>
      </c>
      <c r="S618" s="28" t="s">
        <v>1564</v>
      </c>
      <c r="T618" s="28" t="s">
        <v>2996</v>
      </c>
      <c r="U618" s="28" t="s">
        <v>1441</v>
      </c>
      <c r="V618" s="28" t="s">
        <v>1619</v>
      </c>
      <c r="W618" s="28" t="s">
        <v>7214</v>
      </c>
      <c r="X618" s="17">
        <v>1</v>
      </c>
      <c r="CJ618" s="26" t="s">
        <v>1390</v>
      </c>
      <c r="CK618" s="26" t="s">
        <v>2682</v>
      </c>
      <c r="CL618" s="26" t="str">
        <f t="shared" si="37"/>
        <v>東京都葛飾区</v>
      </c>
      <c r="CM618" s="49">
        <v>613</v>
      </c>
      <c r="CN618" s="17" t="str">
        <f t="shared" si="36"/>
        <v>0659</v>
      </c>
      <c r="CO618" s="17" t="str">
        <f t="shared" si="38"/>
        <v>613659葛飾区</v>
      </c>
      <c r="CP618" s="17" t="s">
        <v>7215</v>
      </c>
      <c r="CQ618" s="17" t="b">
        <f t="shared" si="39"/>
        <v>1</v>
      </c>
    </row>
    <row r="619" spans="6:95">
      <c r="F619" s="23"/>
      <c r="I619" s="23"/>
      <c r="L619" s="50" t="s">
        <v>7216</v>
      </c>
      <c r="M619" s="17" t="s">
        <v>7217</v>
      </c>
      <c r="N619" s="51" t="s">
        <v>7218</v>
      </c>
      <c r="O619" s="29" t="s">
        <v>1450</v>
      </c>
      <c r="P619" s="29" t="s">
        <v>7219</v>
      </c>
      <c r="Q619" s="29" t="s">
        <v>1450</v>
      </c>
      <c r="R619" s="29" t="s">
        <v>3083</v>
      </c>
      <c r="S619" s="28" t="s">
        <v>1920</v>
      </c>
      <c r="T619" s="28" t="s">
        <v>3030</v>
      </c>
      <c r="U619" s="28" t="s">
        <v>1441</v>
      </c>
      <c r="V619" s="28" t="s">
        <v>1619</v>
      </c>
      <c r="W619" s="28" t="s">
        <v>7220</v>
      </c>
      <c r="X619" s="17">
        <v>1</v>
      </c>
      <c r="CJ619" s="26" t="s">
        <v>1390</v>
      </c>
      <c r="CK619" s="26" t="s">
        <v>2728</v>
      </c>
      <c r="CL619" s="26" t="str">
        <f t="shared" si="37"/>
        <v>東京都江戸川区</v>
      </c>
      <c r="CM619" s="49">
        <v>614</v>
      </c>
      <c r="CN619" s="17" t="str">
        <f t="shared" si="36"/>
        <v>0660</v>
      </c>
      <c r="CO619" s="17" t="str">
        <f t="shared" si="38"/>
        <v>614660江戸川区</v>
      </c>
      <c r="CP619" s="17" t="s">
        <v>7221</v>
      </c>
      <c r="CQ619" s="17" t="b">
        <f t="shared" si="39"/>
        <v>1</v>
      </c>
    </row>
    <row r="620" spans="6:95">
      <c r="F620" s="23"/>
      <c r="I620" s="23"/>
      <c r="L620" s="50" t="s">
        <v>7222</v>
      </c>
      <c r="M620" s="17" t="s">
        <v>7223</v>
      </c>
      <c r="N620" s="51" t="s">
        <v>7224</v>
      </c>
      <c r="O620" s="29" t="s">
        <v>1450</v>
      </c>
      <c r="P620" s="29" t="s">
        <v>7225</v>
      </c>
      <c r="Q620" s="29" t="s">
        <v>1450</v>
      </c>
      <c r="R620" s="29" t="s">
        <v>3112</v>
      </c>
      <c r="S620" s="28" t="s">
        <v>1977</v>
      </c>
      <c r="T620" s="28" t="s">
        <v>3061</v>
      </c>
      <c r="U620" s="28" t="s">
        <v>1441</v>
      </c>
      <c r="V620" s="28" t="s">
        <v>1619</v>
      </c>
      <c r="W620" s="28" t="s">
        <v>7226</v>
      </c>
      <c r="X620" s="17">
        <v>1</v>
      </c>
      <c r="CJ620" s="26" t="s">
        <v>1390</v>
      </c>
      <c r="CK620" s="26" t="s">
        <v>2772</v>
      </c>
      <c r="CL620" s="26" t="str">
        <f t="shared" si="37"/>
        <v>東京都八王子市</v>
      </c>
      <c r="CM620" s="49">
        <v>615</v>
      </c>
      <c r="CN620" s="17" t="str">
        <f t="shared" si="36"/>
        <v>0661</v>
      </c>
      <c r="CO620" s="17" t="str">
        <f t="shared" si="38"/>
        <v>615661八王子市</v>
      </c>
      <c r="CP620" s="17" t="s">
        <v>7227</v>
      </c>
      <c r="CQ620" s="17" t="b">
        <f t="shared" si="39"/>
        <v>1</v>
      </c>
    </row>
    <row r="621" spans="6:95">
      <c r="F621" s="23"/>
      <c r="I621" s="23"/>
      <c r="L621" s="50" t="s">
        <v>7228</v>
      </c>
      <c r="M621" s="17" t="s">
        <v>7229</v>
      </c>
      <c r="N621" s="51" t="s">
        <v>7230</v>
      </c>
      <c r="O621" s="29" t="s">
        <v>1450</v>
      </c>
      <c r="P621" s="29" t="s">
        <v>7231</v>
      </c>
      <c r="Q621" s="29" t="s">
        <v>1450</v>
      </c>
      <c r="R621" s="29" t="s">
        <v>6819</v>
      </c>
      <c r="S621" s="28" t="s">
        <v>1743</v>
      </c>
      <c r="T621" s="28" t="s">
        <v>3091</v>
      </c>
      <c r="U621" s="28" t="s">
        <v>1441</v>
      </c>
      <c r="V621" s="28" t="s">
        <v>1619</v>
      </c>
      <c r="W621" s="28" t="s">
        <v>7232</v>
      </c>
      <c r="X621" s="17">
        <v>1</v>
      </c>
      <c r="CJ621" s="26" t="s">
        <v>1390</v>
      </c>
      <c r="CK621" s="26" t="s">
        <v>2814</v>
      </c>
      <c r="CL621" s="26" t="str">
        <f t="shared" si="37"/>
        <v>東京都立川市</v>
      </c>
      <c r="CM621" s="49">
        <v>616</v>
      </c>
      <c r="CN621" s="17" t="str">
        <f t="shared" si="36"/>
        <v>0662</v>
      </c>
      <c r="CO621" s="17" t="str">
        <f t="shared" si="38"/>
        <v>616662立川市</v>
      </c>
      <c r="CP621" s="17" t="s">
        <v>7233</v>
      </c>
      <c r="CQ621" s="17" t="b">
        <f t="shared" si="39"/>
        <v>1</v>
      </c>
    </row>
    <row r="622" spans="6:95">
      <c r="F622" s="23"/>
      <c r="I622" s="23"/>
      <c r="L622" s="50" t="s">
        <v>7234</v>
      </c>
      <c r="M622" s="17" t="s">
        <v>7235</v>
      </c>
      <c r="N622" s="51" t="s">
        <v>7236</v>
      </c>
      <c r="O622" s="29" t="s">
        <v>1450</v>
      </c>
      <c r="P622" s="29" t="s">
        <v>7237</v>
      </c>
      <c r="Q622" s="29" t="s">
        <v>1450</v>
      </c>
      <c r="R622" s="29" t="s">
        <v>6826</v>
      </c>
      <c r="S622" s="28" t="s">
        <v>1803</v>
      </c>
      <c r="T622" s="28" t="s">
        <v>3123</v>
      </c>
      <c r="U622" s="28" t="s">
        <v>1441</v>
      </c>
      <c r="V622" s="28" t="s">
        <v>1619</v>
      </c>
      <c r="W622" s="28" t="s">
        <v>7238</v>
      </c>
      <c r="X622" s="17">
        <v>1</v>
      </c>
      <c r="CJ622" s="26" t="s">
        <v>1390</v>
      </c>
      <c r="CK622" s="26" t="s">
        <v>2854</v>
      </c>
      <c r="CL622" s="26" t="str">
        <f t="shared" si="37"/>
        <v>東京都武蔵野市</v>
      </c>
      <c r="CM622" s="49">
        <v>617</v>
      </c>
      <c r="CN622" s="17" t="str">
        <f t="shared" si="36"/>
        <v>0663</v>
      </c>
      <c r="CO622" s="17" t="str">
        <f t="shared" si="38"/>
        <v>617663武蔵野市</v>
      </c>
      <c r="CP622" s="17" t="s">
        <v>7239</v>
      </c>
      <c r="CQ622" s="17" t="b">
        <f t="shared" si="39"/>
        <v>1</v>
      </c>
    </row>
    <row r="623" spans="6:95">
      <c r="F623" s="23"/>
      <c r="I623" s="23"/>
      <c r="L623" s="50" t="s">
        <v>7240</v>
      </c>
      <c r="M623" s="17" t="s">
        <v>7241</v>
      </c>
      <c r="N623" s="51" t="s">
        <v>7242</v>
      </c>
      <c r="O623" s="29" t="s">
        <v>1450</v>
      </c>
      <c r="P623" s="29" t="s">
        <v>7243</v>
      </c>
      <c r="Q623" s="29" t="s">
        <v>1450</v>
      </c>
      <c r="R623" s="29" t="s">
        <v>6833</v>
      </c>
      <c r="S623" s="28" t="s">
        <v>1862</v>
      </c>
      <c r="T623" s="28" t="s">
        <v>3153</v>
      </c>
      <c r="U623" s="28" t="s">
        <v>1441</v>
      </c>
      <c r="V623" s="28" t="s">
        <v>1619</v>
      </c>
      <c r="W623" s="28" t="s">
        <v>7244</v>
      </c>
      <c r="X623" s="17">
        <v>1</v>
      </c>
      <c r="CJ623" s="26" t="s">
        <v>1390</v>
      </c>
      <c r="CK623" s="26" t="s">
        <v>2893</v>
      </c>
      <c r="CL623" s="26" t="str">
        <f t="shared" si="37"/>
        <v>東京都三鷹市</v>
      </c>
      <c r="CM623" s="49">
        <v>618</v>
      </c>
      <c r="CN623" s="17" t="str">
        <f t="shared" si="36"/>
        <v>0664</v>
      </c>
      <c r="CO623" s="17" t="str">
        <f t="shared" si="38"/>
        <v>618664三鷹市</v>
      </c>
      <c r="CP623" s="17" t="s">
        <v>7245</v>
      </c>
      <c r="CQ623" s="17" t="b">
        <f t="shared" si="39"/>
        <v>1</v>
      </c>
    </row>
    <row r="624" spans="6:95">
      <c r="F624" s="23"/>
      <c r="I624" s="23"/>
      <c r="L624" s="50" t="s">
        <v>7246</v>
      </c>
      <c r="M624" s="17" t="s">
        <v>7247</v>
      </c>
      <c r="N624" s="51" t="s">
        <v>7248</v>
      </c>
      <c r="O624" s="29" t="s">
        <v>1450</v>
      </c>
      <c r="P624" s="29" t="s">
        <v>7249</v>
      </c>
      <c r="Q624" s="29" t="s">
        <v>1450</v>
      </c>
      <c r="R624" s="29" t="s">
        <v>4918</v>
      </c>
      <c r="S624" s="28" t="s">
        <v>1743</v>
      </c>
      <c r="T624" s="28" t="s">
        <v>3181</v>
      </c>
      <c r="U624" s="28" t="s">
        <v>1441</v>
      </c>
      <c r="V624" s="28" t="s">
        <v>1619</v>
      </c>
      <c r="W624" s="28" t="s">
        <v>7250</v>
      </c>
      <c r="X624" s="17">
        <v>1</v>
      </c>
      <c r="CJ624" s="26" t="s">
        <v>1390</v>
      </c>
      <c r="CK624" s="26" t="s">
        <v>2930</v>
      </c>
      <c r="CL624" s="26" t="str">
        <f t="shared" si="37"/>
        <v>東京都青梅市</v>
      </c>
      <c r="CM624" s="49">
        <v>619</v>
      </c>
      <c r="CN624" s="17" t="str">
        <f t="shared" si="36"/>
        <v>0665</v>
      </c>
      <c r="CO624" s="17" t="str">
        <f t="shared" si="38"/>
        <v>619665青梅市</v>
      </c>
      <c r="CP624" s="17" t="s">
        <v>7251</v>
      </c>
      <c r="CQ624" s="17" t="b">
        <f t="shared" si="39"/>
        <v>1</v>
      </c>
    </row>
    <row r="625" spans="6:95">
      <c r="F625" s="23"/>
      <c r="I625" s="23"/>
      <c r="L625" s="50" t="s">
        <v>7252</v>
      </c>
      <c r="M625" s="17" t="s">
        <v>7253</v>
      </c>
      <c r="N625" s="51" t="s">
        <v>7254</v>
      </c>
      <c r="O625" s="29" t="s">
        <v>1450</v>
      </c>
      <c r="P625" s="29" t="s">
        <v>7255</v>
      </c>
      <c r="Q625" s="29" t="s">
        <v>1450</v>
      </c>
      <c r="R625" s="29" t="s">
        <v>5190</v>
      </c>
      <c r="S625" s="28" t="s">
        <v>1862</v>
      </c>
      <c r="T625" s="28" t="s">
        <v>3206</v>
      </c>
      <c r="U625" s="28" t="s">
        <v>1441</v>
      </c>
      <c r="V625" s="28" t="s">
        <v>1619</v>
      </c>
      <c r="W625" s="28" t="s">
        <v>7256</v>
      </c>
      <c r="X625" s="17">
        <v>1</v>
      </c>
      <c r="CJ625" s="26" t="s">
        <v>1390</v>
      </c>
      <c r="CK625" s="26" t="s">
        <v>1897</v>
      </c>
      <c r="CL625" s="26" t="str">
        <f t="shared" si="37"/>
        <v>東京都府中市</v>
      </c>
      <c r="CM625" s="49">
        <v>620</v>
      </c>
      <c r="CN625" s="17" t="str">
        <f t="shared" si="36"/>
        <v>0666</v>
      </c>
      <c r="CO625" s="17" t="str">
        <f t="shared" si="38"/>
        <v>620666府中市</v>
      </c>
      <c r="CP625" s="17" t="s">
        <v>7257</v>
      </c>
      <c r="CQ625" s="17" t="b">
        <f t="shared" si="39"/>
        <v>1</v>
      </c>
    </row>
    <row r="626" spans="6:95">
      <c r="F626" s="23"/>
      <c r="I626" s="23"/>
      <c r="L626" s="50" t="s">
        <v>7258</v>
      </c>
      <c r="M626" s="17" t="s">
        <v>7259</v>
      </c>
      <c r="N626" s="51" t="s">
        <v>7260</v>
      </c>
      <c r="O626" s="29" t="s">
        <v>1450</v>
      </c>
      <c r="P626" s="29" t="s">
        <v>7261</v>
      </c>
      <c r="Q626" s="29" t="s">
        <v>1450</v>
      </c>
      <c r="R626" s="29" t="s">
        <v>6894</v>
      </c>
      <c r="S626" s="28" t="s">
        <v>2525</v>
      </c>
      <c r="T626" s="28" t="s">
        <v>3230</v>
      </c>
      <c r="U626" s="28" t="s">
        <v>1441</v>
      </c>
      <c r="V626" s="28" t="s">
        <v>1619</v>
      </c>
      <c r="W626" s="28" t="s">
        <v>7262</v>
      </c>
      <c r="X626" s="17">
        <v>1</v>
      </c>
      <c r="CJ626" s="26" t="s">
        <v>1390</v>
      </c>
      <c r="CK626" s="26" t="s">
        <v>2997</v>
      </c>
      <c r="CL626" s="26" t="str">
        <f t="shared" si="37"/>
        <v>東京都昭島市</v>
      </c>
      <c r="CM626" s="49">
        <v>621</v>
      </c>
      <c r="CN626" s="17" t="str">
        <f t="shared" si="36"/>
        <v>0667</v>
      </c>
      <c r="CO626" s="17" t="str">
        <f t="shared" si="38"/>
        <v>621667昭島市</v>
      </c>
      <c r="CP626" s="17" t="s">
        <v>7263</v>
      </c>
      <c r="CQ626" s="17" t="b">
        <f t="shared" si="39"/>
        <v>1</v>
      </c>
    </row>
    <row r="627" spans="6:95">
      <c r="F627" s="23"/>
      <c r="I627" s="23"/>
      <c r="L627" s="50" t="s">
        <v>7264</v>
      </c>
      <c r="M627" s="17" t="s">
        <v>7265</v>
      </c>
      <c r="N627" s="51" t="s">
        <v>7266</v>
      </c>
      <c r="O627" s="29" t="s">
        <v>1450</v>
      </c>
      <c r="P627" s="29" t="s">
        <v>7267</v>
      </c>
      <c r="Q627" s="29" t="s">
        <v>1450</v>
      </c>
      <c r="R627" s="29" t="s">
        <v>7268</v>
      </c>
      <c r="S627" s="28" t="s">
        <v>1626</v>
      </c>
      <c r="T627" s="28" t="s">
        <v>3253</v>
      </c>
      <c r="U627" s="28" t="s">
        <v>1441</v>
      </c>
      <c r="V627" s="28" t="s">
        <v>1619</v>
      </c>
      <c r="W627" s="28" t="s">
        <v>7269</v>
      </c>
      <c r="X627" s="17">
        <v>1</v>
      </c>
      <c r="CJ627" s="26" t="s">
        <v>1390</v>
      </c>
      <c r="CK627" s="26" t="s">
        <v>3031</v>
      </c>
      <c r="CL627" s="26" t="str">
        <f t="shared" si="37"/>
        <v>東京都調布市</v>
      </c>
      <c r="CM627" s="49">
        <v>622</v>
      </c>
      <c r="CN627" s="17" t="str">
        <f t="shared" si="36"/>
        <v>0668</v>
      </c>
      <c r="CO627" s="17" t="str">
        <f t="shared" si="38"/>
        <v>622668調布市</v>
      </c>
      <c r="CP627" s="17" t="s">
        <v>7270</v>
      </c>
      <c r="CQ627" s="17" t="b">
        <f t="shared" si="39"/>
        <v>1</v>
      </c>
    </row>
    <row r="628" spans="6:95">
      <c r="F628" s="23"/>
      <c r="I628" s="23"/>
      <c r="L628" s="50" t="s">
        <v>7271</v>
      </c>
      <c r="M628" s="17" t="s">
        <v>7272</v>
      </c>
      <c r="N628" s="51" t="s">
        <v>7273</v>
      </c>
      <c r="O628" s="29" t="s">
        <v>1450</v>
      </c>
      <c r="P628" s="29" t="s">
        <v>7274</v>
      </c>
      <c r="Q628" s="29" t="s">
        <v>1450</v>
      </c>
      <c r="R628" s="29" t="s">
        <v>5760</v>
      </c>
      <c r="S628" s="28" t="s">
        <v>1803</v>
      </c>
      <c r="T628" s="28" t="s">
        <v>3278</v>
      </c>
      <c r="U628" s="28" t="s">
        <v>1441</v>
      </c>
      <c r="V628" s="28" t="s">
        <v>1619</v>
      </c>
      <c r="W628" s="28" t="s">
        <v>7275</v>
      </c>
      <c r="X628" s="17">
        <v>1</v>
      </c>
      <c r="CJ628" s="26" t="s">
        <v>1390</v>
      </c>
      <c r="CK628" s="26" t="s">
        <v>3062</v>
      </c>
      <c r="CL628" s="26" t="str">
        <f t="shared" si="37"/>
        <v>東京都町田市</v>
      </c>
      <c r="CM628" s="49">
        <v>623</v>
      </c>
      <c r="CN628" s="17" t="str">
        <f t="shared" si="36"/>
        <v>0669</v>
      </c>
      <c r="CO628" s="17" t="str">
        <f t="shared" si="38"/>
        <v>623669町田市</v>
      </c>
      <c r="CP628" s="17" t="s">
        <v>7276</v>
      </c>
      <c r="CQ628" s="17" t="b">
        <f t="shared" si="39"/>
        <v>1</v>
      </c>
    </row>
    <row r="629" spans="6:95">
      <c r="F629" s="23"/>
      <c r="I629" s="23"/>
      <c r="L629" s="50" t="s">
        <v>7277</v>
      </c>
      <c r="M629" s="17" t="s">
        <v>7278</v>
      </c>
      <c r="N629" s="51" t="s">
        <v>7279</v>
      </c>
      <c r="O629" s="29" t="s">
        <v>1450</v>
      </c>
      <c r="P629" s="29" t="s">
        <v>7280</v>
      </c>
      <c r="Q629" s="29" t="s">
        <v>1450</v>
      </c>
      <c r="R629" s="29" t="s">
        <v>3377</v>
      </c>
      <c r="S629" s="28" t="s">
        <v>1564</v>
      </c>
      <c r="T629" s="28" t="s">
        <v>3300</v>
      </c>
      <c r="U629" s="28" t="s">
        <v>1441</v>
      </c>
      <c r="V629" s="28" t="s">
        <v>1619</v>
      </c>
      <c r="W629" s="28" t="s">
        <v>7280</v>
      </c>
      <c r="X629" s="17">
        <v>1</v>
      </c>
      <c r="CJ629" s="26" t="s">
        <v>1390</v>
      </c>
      <c r="CK629" s="26" t="s">
        <v>3092</v>
      </c>
      <c r="CL629" s="26" t="str">
        <f t="shared" si="37"/>
        <v>東京都小金井市</v>
      </c>
      <c r="CM629" s="49">
        <v>624</v>
      </c>
      <c r="CN629" s="17" t="str">
        <f t="shared" si="36"/>
        <v>0670</v>
      </c>
      <c r="CO629" s="17" t="str">
        <f t="shared" si="38"/>
        <v>624670小金井市</v>
      </c>
      <c r="CP629" s="17" t="s">
        <v>7281</v>
      </c>
      <c r="CQ629" s="17" t="b">
        <f t="shared" si="39"/>
        <v>1</v>
      </c>
    </row>
    <row r="630" spans="6:95">
      <c r="F630" s="23"/>
      <c r="I630" s="23"/>
      <c r="L630" s="50" t="s">
        <v>7282</v>
      </c>
      <c r="M630" s="17" t="s">
        <v>7283</v>
      </c>
      <c r="N630" s="51" t="s">
        <v>7284</v>
      </c>
      <c r="O630" s="29" t="s">
        <v>1450</v>
      </c>
      <c r="P630" s="29" t="s">
        <v>7285</v>
      </c>
      <c r="Q630" s="29" t="s">
        <v>1450</v>
      </c>
      <c r="R630" s="29" t="s">
        <v>5367</v>
      </c>
      <c r="S630" s="28" t="s">
        <v>1502</v>
      </c>
      <c r="T630" s="28" t="s">
        <v>3322</v>
      </c>
      <c r="U630" s="28" t="s">
        <v>1441</v>
      </c>
      <c r="V630" s="28" t="s">
        <v>1619</v>
      </c>
      <c r="W630" s="28" t="s">
        <v>7286</v>
      </c>
      <c r="X630" s="17">
        <v>1</v>
      </c>
      <c r="CJ630" s="26" t="s">
        <v>1390</v>
      </c>
      <c r="CK630" s="26" t="s">
        <v>3124</v>
      </c>
      <c r="CL630" s="26" t="str">
        <f t="shared" si="37"/>
        <v>東京都小平市</v>
      </c>
      <c r="CM630" s="49">
        <v>625</v>
      </c>
      <c r="CN630" s="17" t="str">
        <f t="shared" si="36"/>
        <v>0671</v>
      </c>
      <c r="CO630" s="17" t="str">
        <f t="shared" si="38"/>
        <v>625671小平市</v>
      </c>
      <c r="CP630" s="17" t="s">
        <v>7287</v>
      </c>
      <c r="CQ630" s="17" t="b">
        <f t="shared" si="39"/>
        <v>1</v>
      </c>
    </row>
    <row r="631" spans="6:95">
      <c r="F631" s="23"/>
      <c r="I631" s="23"/>
      <c r="L631" s="50" t="s">
        <v>7288</v>
      </c>
      <c r="M631" s="17" t="s">
        <v>7289</v>
      </c>
      <c r="N631" s="51" t="s">
        <v>7290</v>
      </c>
      <c r="O631" s="29" t="s">
        <v>1450</v>
      </c>
      <c r="P631" s="29" t="s">
        <v>7291</v>
      </c>
      <c r="Q631" s="29" t="s">
        <v>1450</v>
      </c>
      <c r="R631" s="29" t="s">
        <v>4515</v>
      </c>
      <c r="S631" s="28" t="s">
        <v>1803</v>
      </c>
      <c r="T631" s="28" t="s">
        <v>3343</v>
      </c>
      <c r="U631" s="28" t="s">
        <v>1441</v>
      </c>
      <c r="V631" s="28" t="s">
        <v>1619</v>
      </c>
      <c r="W631" s="28" t="s">
        <v>7292</v>
      </c>
      <c r="X631" s="17">
        <v>1</v>
      </c>
      <c r="CJ631" s="26" t="s">
        <v>1390</v>
      </c>
      <c r="CK631" s="26" t="s">
        <v>3154</v>
      </c>
      <c r="CL631" s="26" t="str">
        <f t="shared" si="37"/>
        <v>東京都日野市</v>
      </c>
      <c r="CM631" s="49">
        <v>626</v>
      </c>
      <c r="CN631" s="17" t="str">
        <f t="shared" si="36"/>
        <v>0672</v>
      </c>
      <c r="CO631" s="17" t="str">
        <f t="shared" si="38"/>
        <v>626672日野市</v>
      </c>
      <c r="CP631" s="17" t="s">
        <v>7293</v>
      </c>
      <c r="CQ631" s="17" t="b">
        <f t="shared" si="39"/>
        <v>1</v>
      </c>
    </row>
    <row r="632" spans="6:95">
      <c r="F632" s="23"/>
      <c r="I632" s="23"/>
      <c r="L632" s="50" t="s">
        <v>7294</v>
      </c>
      <c r="M632" s="17" t="s">
        <v>7295</v>
      </c>
      <c r="N632" s="51" t="s">
        <v>7296</v>
      </c>
      <c r="O632" s="29" t="s">
        <v>1450</v>
      </c>
      <c r="P632" s="29" t="s">
        <v>7297</v>
      </c>
      <c r="Q632" s="29" t="s">
        <v>1450</v>
      </c>
      <c r="R632" s="29" t="s">
        <v>4555</v>
      </c>
      <c r="S632" s="28" t="s">
        <v>1626</v>
      </c>
      <c r="T632" s="28" t="s">
        <v>3364</v>
      </c>
      <c r="U632" s="28" t="s">
        <v>1441</v>
      </c>
      <c r="V632" s="28" t="s">
        <v>1619</v>
      </c>
      <c r="W632" s="28" t="s">
        <v>7298</v>
      </c>
      <c r="X632" s="17">
        <v>1</v>
      </c>
      <c r="CJ632" s="26" t="s">
        <v>1390</v>
      </c>
      <c r="CK632" s="26" t="s">
        <v>3182</v>
      </c>
      <c r="CL632" s="26" t="str">
        <f t="shared" si="37"/>
        <v>東京都東村山市</v>
      </c>
      <c r="CM632" s="49">
        <v>627</v>
      </c>
      <c r="CN632" s="17" t="str">
        <f t="shared" si="36"/>
        <v>0673</v>
      </c>
      <c r="CO632" s="17" t="str">
        <f t="shared" si="38"/>
        <v>627673東村山市</v>
      </c>
      <c r="CP632" s="17" t="s">
        <v>7299</v>
      </c>
      <c r="CQ632" s="17" t="b">
        <f t="shared" si="39"/>
        <v>1</v>
      </c>
    </row>
    <row r="633" spans="6:95">
      <c r="F633" s="23"/>
      <c r="I633" s="23"/>
      <c r="L633" s="50" t="s">
        <v>7300</v>
      </c>
      <c r="M633" s="17" t="s">
        <v>7301</v>
      </c>
      <c r="N633" s="51" t="s">
        <v>7302</v>
      </c>
      <c r="O633" s="29" t="s">
        <v>1450</v>
      </c>
      <c r="P633" s="29" t="s">
        <v>7303</v>
      </c>
      <c r="Q633" s="29" t="s">
        <v>1450</v>
      </c>
      <c r="R633" s="29" t="s">
        <v>7304</v>
      </c>
      <c r="S633" s="28" t="s">
        <v>1502</v>
      </c>
      <c r="T633" s="28" t="s">
        <v>3382</v>
      </c>
      <c r="U633" s="28" t="s">
        <v>1441</v>
      </c>
      <c r="V633" s="28" t="s">
        <v>1619</v>
      </c>
      <c r="W633" s="28" t="s">
        <v>7305</v>
      </c>
      <c r="X633" s="17">
        <v>1</v>
      </c>
      <c r="CJ633" s="26" t="s">
        <v>1390</v>
      </c>
      <c r="CK633" s="26" t="s">
        <v>3207</v>
      </c>
      <c r="CL633" s="26" t="str">
        <f t="shared" si="37"/>
        <v>東京都国分寺市</v>
      </c>
      <c r="CM633" s="49">
        <v>628</v>
      </c>
      <c r="CN633" s="17" t="str">
        <f t="shared" si="36"/>
        <v>0674</v>
      </c>
      <c r="CO633" s="17" t="str">
        <f t="shared" si="38"/>
        <v>628674国分寺市</v>
      </c>
      <c r="CP633" s="17" t="s">
        <v>7306</v>
      </c>
      <c r="CQ633" s="17" t="b">
        <f t="shared" si="39"/>
        <v>1</v>
      </c>
    </row>
    <row r="634" spans="6:95">
      <c r="F634" s="23"/>
      <c r="I634" s="23"/>
      <c r="L634" s="50" t="s">
        <v>7307</v>
      </c>
      <c r="M634" s="17" t="s">
        <v>7308</v>
      </c>
      <c r="N634" s="51" t="s">
        <v>7309</v>
      </c>
      <c r="O634" s="29" t="s">
        <v>1450</v>
      </c>
      <c r="P634" s="29" t="s">
        <v>7310</v>
      </c>
      <c r="Q634" s="29" t="s">
        <v>1450</v>
      </c>
      <c r="R634" s="29" t="s">
        <v>5233</v>
      </c>
      <c r="S634" s="28" t="s">
        <v>1743</v>
      </c>
      <c r="T634" s="28" t="s">
        <v>3400</v>
      </c>
      <c r="U634" s="28" t="s">
        <v>1441</v>
      </c>
      <c r="V634" s="28" t="s">
        <v>1619</v>
      </c>
      <c r="W634" s="28" t="s">
        <v>7310</v>
      </c>
      <c r="X634" s="17">
        <v>1</v>
      </c>
      <c r="CJ634" s="26" t="s">
        <v>1390</v>
      </c>
      <c r="CK634" s="26" t="s">
        <v>3231</v>
      </c>
      <c r="CL634" s="26" t="str">
        <f t="shared" si="37"/>
        <v>東京都国立市</v>
      </c>
      <c r="CM634" s="49">
        <v>629</v>
      </c>
      <c r="CN634" s="17" t="str">
        <f t="shared" si="36"/>
        <v>0675</v>
      </c>
      <c r="CO634" s="17" t="str">
        <f t="shared" si="38"/>
        <v>629675国立市</v>
      </c>
      <c r="CP634" s="17" t="s">
        <v>7311</v>
      </c>
      <c r="CQ634" s="17" t="b">
        <f t="shared" si="39"/>
        <v>1</v>
      </c>
    </row>
    <row r="635" spans="6:95">
      <c r="F635" s="23"/>
      <c r="I635" s="23"/>
      <c r="L635" s="50" t="s">
        <v>7312</v>
      </c>
      <c r="M635" s="17" t="s">
        <v>7313</v>
      </c>
      <c r="N635" s="51" t="s">
        <v>7314</v>
      </c>
      <c r="O635" s="29" t="s">
        <v>1450</v>
      </c>
      <c r="P635" s="29" t="s">
        <v>7315</v>
      </c>
      <c r="Q635" s="29" t="s">
        <v>1450</v>
      </c>
      <c r="R635" s="29" t="s">
        <v>5240</v>
      </c>
      <c r="S635" s="28" t="s">
        <v>1803</v>
      </c>
      <c r="T635" s="28" t="s">
        <v>3416</v>
      </c>
      <c r="U635" s="28" t="s">
        <v>1441</v>
      </c>
      <c r="V635" s="28" t="s">
        <v>1619</v>
      </c>
      <c r="W635" s="28" t="s">
        <v>7315</v>
      </c>
      <c r="X635" s="17">
        <v>1</v>
      </c>
      <c r="CJ635" s="26" t="s">
        <v>1390</v>
      </c>
      <c r="CK635" s="26" t="s">
        <v>3254</v>
      </c>
      <c r="CL635" s="26" t="str">
        <f t="shared" si="37"/>
        <v>東京都福生市</v>
      </c>
      <c r="CM635" s="49">
        <v>630</v>
      </c>
      <c r="CN635" s="17" t="str">
        <f t="shared" si="36"/>
        <v>0676</v>
      </c>
      <c r="CO635" s="17" t="str">
        <f t="shared" si="38"/>
        <v>630676福生市</v>
      </c>
      <c r="CP635" s="17" t="s">
        <v>7316</v>
      </c>
      <c r="CQ635" s="17" t="b">
        <f t="shared" si="39"/>
        <v>1</v>
      </c>
    </row>
    <row r="636" spans="6:95">
      <c r="F636" s="23"/>
      <c r="I636" s="23"/>
      <c r="L636" s="50" t="s">
        <v>7317</v>
      </c>
      <c r="M636" s="17" t="s">
        <v>7318</v>
      </c>
      <c r="N636" s="51" t="s">
        <v>7319</v>
      </c>
      <c r="O636" s="29" t="s">
        <v>1450</v>
      </c>
      <c r="P636" s="29" t="s">
        <v>7320</v>
      </c>
      <c r="Q636" s="29" t="s">
        <v>1450</v>
      </c>
      <c r="R636" s="29" t="s">
        <v>3539</v>
      </c>
      <c r="S636" s="28" t="s">
        <v>1862</v>
      </c>
      <c r="T636" s="28" t="s">
        <v>3431</v>
      </c>
      <c r="U636" s="28" t="s">
        <v>1441</v>
      </c>
      <c r="V636" s="28" t="s">
        <v>1619</v>
      </c>
      <c r="W636" s="28" t="s">
        <v>7321</v>
      </c>
      <c r="X636" s="17">
        <v>1</v>
      </c>
      <c r="CJ636" s="26" t="s">
        <v>1390</v>
      </c>
      <c r="CK636" s="26" t="s">
        <v>3279</v>
      </c>
      <c r="CL636" s="26" t="str">
        <f t="shared" si="37"/>
        <v>東京都狛江市</v>
      </c>
      <c r="CM636" s="49">
        <v>631</v>
      </c>
      <c r="CN636" s="17" t="str">
        <f t="shared" si="36"/>
        <v>0677</v>
      </c>
      <c r="CO636" s="17" t="str">
        <f t="shared" si="38"/>
        <v>631677狛江市</v>
      </c>
      <c r="CP636" s="17" t="s">
        <v>7322</v>
      </c>
      <c r="CQ636" s="17" t="b">
        <f t="shared" si="39"/>
        <v>1</v>
      </c>
    </row>
    <row r="637" spans="6:95">
      <c r="F637" s="23"/>
      <c r="I637" s="23"/>
      <c r="L637" s="50" t="s">
        <v>7323</v>
      </c>
      <c r="M637" s="17" t="s">
        <v>7324</v>
      </c>
      <c r="N637" s="51" t="s">
        <v>7325</v>
      </c>
      <c r="O637" s="29" t="s">
        <v>1450</v>
      </c>
      <c r="P637" s="29" t="s">
        <v>7326</v>
      </c>
      <c r="Q637" s="29" t="s">
        <v>1450</v>
      </c>
      <c r="R637" s="29" t="s">
        <v>4389</v>
      </c>
      <c r="S637" s="28" t="s">
        <v>1920</v>
      </c>
      <c r="T637" s="28" t="s">
        <v>3446</v>
      </c>
      <c r="U637" s="28" t="s">
        <v>1441</v>
      </c>
      <c r="V637" s="28" t="s">
        <v>1619</v>
      </c>
      <c r="W637" s="28" t="s">
        <v>7327</v>
      </c>
      <c r="X637" s="17">
        <v>1</v>
      </c>
      <c r="CJ637" s="26" t="s">
        <v>1390</v>
      </c>
      <c r="CK637" s="26" t="s">
        <v>3301</v>
      </c>
      <c r="CL637" s="26" t="str">
        <f t="shared" si="37"/>
        <v>東京都東大和市</v>
      </c>
      <c r="CM637" s="49">
        <v>632</v>
      </c>
      <c r="CN637" s="17" t="str">
        <f t="shared" si="36"/>
        <v>0678</v>
      </c>
      <c r="CO637" s="17" t="str">
        <f t="shared" si="38"/>
        <v>632678東大和市</v>
      </c>
      <c r="CP637" s="17" t="s">
        <v>7328</v>
      </c>
      <c r="CQ637" s="17" t="b">
        <f t="shared" si="39"/>
        <v>1</v>
      </c>
    </row>
    <row r="638" spans="6:95">
      <c r="F638" s="23"/>
      <c r="I638" s="23"/>
      <c r="L638" s="50" t="s">
        <v>7329</v>
      </c>
      <c r="M638" s="17" t="s">
        <v>7330</v>
      </c>
      <c r="N638" s="51" t="s">
        <v>7331</v>
      </c>
      <c r="O638" s="29" t="s">
        <v>1450</v>
      </c>
      <c r="P638" s="29" t="s">
        <v>7332</v>
      </c>
      <c r="Q638" s="29" t="s">
        <v>1450</v>
      </c>
      <c r="R638" s="29" t="s">
        <v>4799</v>
      </c>
      <c r="S638" s="28" t="s">
        <v>2311</v>
      </c>
      <c r="T638" s="28" t="s">
        <v>3461</v>
      </c>
      <c r="U638" s="28" t="s">
        <v>1441</v>
      </c>
      <c r="V638" s="28" t="s">
        <v>1619</v>
      </c>
      <c r="W638" s="28" t="s">
        <v>7333</v>
      </c>
      <c r="X638" s="17">
        <v>1</v>
      </c>
      <c r="CJ638" s="26" t="s">
        <v>1390</v>
      </c>
      <c r="CK638" s="26" t="s">
        <v>3323</v>
      </c>
      <c r="CL638" s="26" t="str">
        <f t="shared" si="37"/>
        <v>東京都清瀬市</v>
      </c>
      <c r="CM638" s="49">
        <v>633</v>
      </c>
      <c r="CN638" s="17" t="str">
        <f t="shared" si="36"/>
        <v>0679</v>
      </c>
      <c r="CO638" s="17" t="str">
        <f t="shared" si="38"/>
        <v>633679清瀬市</v>
      </c>
      <c r="CP638" s="17" t="s">
        <v>7334</v>
      </c>
      <c r="CQ638" s="17" t="b">
        <f t="shared" si="39"/>
        <v>1</v>
      </c>
    </row>
    <row r="639" spans="6:95">
      <c r="F639" s="23"/>
      <c r="I639" s="23"/>
      <c r="L639" s="50" t="s">
        <v>7335</v>
      </c>
      <c r="M639" s="17" t="s">
        <v>7336</v>
      </c>
      <c r="N639" s="51" t="s">
        <v>7337</v>
      </c>
      <c r="O639" s="29" t="s">
        <v>1450</v>
      </c>
      <c r="P639" s="29" t="s">
        <v>7338</v>
      </c>
      <c r="Q639" s="29" t="s">
        <v>1450</v>
      </c>
      <c r="R639" s="29" t="s">
        <v>3553</v>
      </c>
      <c r="S639" s="28" t="s">
        <v>1564</v>
      </c>
      <c r="T639" s="28" t="s">
        <v>3474</v>
      </c>
      <c r="U639" s="28" t="s">
        <v>1441</v>
      </c>
      <c r="V639" s="28" t="s">
        <v>1619</v>
      </c>
      <c r="W639" s="28" t="s">
        <v>7339</v>
      </c>
      <c r="X639" s="17">
        <v>1</v>
      </c>
      <c r="CJ639" s="26" t="s">
        <v>1390</v>
      </c>
      <c r="CK639" s="26" t="s">
        <v>3344</v>
      </c>
      <c r="CL639" s="26" t="str">
        <f t="shared" si="37"/>
        <v>東京都東久留米市</v>
      </c>
      <c r="CM639" s="49">
        <v>634</v>
      </c>
      <c r="CN639" s="17" t="str">
        <f t="shared" si="36"/>
        <v>0680</v>
      </c>
      <c r="CO639" s="17" t="str">
        <f t="shared" si="38"/>
        <v>634680東久留米市</v>
      </c>
      <c r="CP639" s="17" t="s">
        <v>7340</v>
      </c>
      <c r="CQ639" s="17" t="b">
        <f t="shared" si="39"/>
        <v>1</v>
      </c>
    </row>
    <row r="640" spans="6:95">
      <c r="F640" s="23"/>
      <c r="I640" s="23"/>
      <c r="L640" s="50" t="s">
        <v>7341</v>
      </c>
      <c r="M640" s="17" t="s">
        <v>7342</v>
      </c>
      <c r="N640" s="51" t="s">
        <v>7343</v>
      </c>
      <c r="O640" s="29" t="s">
        <v>1450</v>
      </c>
      <c r="P640" s="29" t="s">
        <v>7344</v>
      </c>
      <c r="Q640" s="29" t="s">
        <v>1450</v>
      </c>
      <c r="R640" s="29" t="s">
        <v>4806</v>
      </c>
      <c r="S640" s="28" t="s">
        <v>1803</v>
      </c>
      <c r="T640" s="28" t="s">
        <v>3488</v>
      </c>
      <c r="U640" s="28" t="s">
        <v>1441</v>
      </c>
      <c r="V640" s="28" t="s">
        <v>1619</v>
      </c>
      <c r="W640" s="28" t="s">
        <v>7345</v>
      </c>
      <c r="X640" s="17">
        <v>1</v>
      </c>
      <c r="CJ640" s="26" t="s">
        <v>1390</v>
      </c>
      <c r="CK640" s="26" t="s">
        <v>3365</v>
      </c>
      <c r="CL640" s="26" t="str">
        <f t="shared" si="37"/>
        <v>東京都武蔵村山市</v>
      </c>
      <c r="CM640" s="49">
        <v>635</v>
      </c>
      <c r="CN640" s="17" t="str">
        <f t="shared" si="36"/>
        <v>0681</v>
      </c>
      <c r="CO640" s="17" t="str">
        <f t="shared" si="38"/>
        <v>635681武蔵村山市</v>
      </c>
      <c r="CP640" s="17" t="s">
        <v>7346</v>
      </c>
      <c r="CQ640" s="17" t="b">
        <f t="shared" si="39"/>
        <v>1</v>
      </c>
    </row>
    <row r="641" spans="6:95">
      <c r="F641" s="23"/>
      <c r="I641" s="23"/>
      <c r="L641" s="50" t="s">
        <v>7347</v>
      </c>
      <c r="M641" s="17" t="s">
        <v>7348</v>
      </c>
      <c r="N641" s="51" t="s">
        <v>7349</v>
      </c>
      <c r="O641" s="29" t="s">
        <v>1450</v>
      </c>
      <c r="P641" s="29" t="s">
        <v>7350</v>
      </c>
      <c r="Q641" s="29" t="s">
        <v>1450</v>
      </c>
      <c r="R641" s="29" t="s">
        <v>4818</v>
      </c>
      <c r="S641" s="28" t="s">
        <v>1920</v>
      </c>
      <c r="T641" s="28" t="s">
        <v>3503</v>
      </c>
      <c r="U641" s="28" t="s">
        <v>1441</v>
      </c>
      <c r="V641" s="28" t="s">
        <v>1619</v>
      </c>
      <c r="W641" s="28" t="s">
        <v>7351</v>
      </c>
      <c r="X641" s="17">
        <v>1</v>
      </c>
      <c r="CJ641" s="26" t="s">
        <v>1390</v>
      </c>
      <c r="CK641" s="26" t="s">
        <v>3383</v>
      </c>
      <c r="CL641" s="26" t="str">
        <f t="shared" si="37"/>
        <v>東京都多摩市</v>
      </c>
      <c r="CM641" s="49">
        <v>636</v>
      </c>
      <c r="CN641" s="17" t="str">
        <f t="shared" si="36"/>
        <v>0682</v>
      </c>
      <c r="CO641" s="17" t="str">
        <f t="shared" si="38"/>
        <v>636682多摩市</v>
      </c>
      <c r="CP641" s="17" t="s">
        <v>7352</v>
      </c>
      <c r="CQ641" s="17" t="b">
        <f t="shared" si="39"/>
        <v>1</v>
      </c>
    </row>
    <row r="642" spans="6:95">
      <c r="F642" s="23"/>
      <c r="I642" s="23"/>
      <c r="L642" s="50" t="s">
        <v>7353</v>
      </c>
      <c r="M642" s="17" t="s">
        <v>7354</v>
      </c>
      <c r="N642" s="51" t="s">
        <v>7355</v>
      </c>
      <c r="O642" s="29" t="s">
        <v>1450</v>
      </c>
      <c r="P642" s="29" t="s">
        <v>7356</v>
      </c>
      <c r="Q642" s="29" t="s">
        <v>1450</v>
      </c>
      <c r="R642" s="29" t="s">
        <v>3723</v>
      </c>
      <c r="S642" s="28" t="s">
        <v>1977</v>
      </c>
      <c r="T642" s="28" t="s">
        <v>3517</v>
      </c>
      <c r="U642" s="28" t="s">
        <v>1441</v>
      </c>
      <c r="V642" s="28" t="s">
        <v>1619</v>
      </c>
      <c r="W642" s="28" t="s">
        <v>7357</v>
      </c>
      <c r="X642" s="17">
        <v>1</v>
      </c>
      <c r="CJ642" s="26" t="s">
        <v>1390</v>
      </c>
      <c r="CK642" s="26" t="s">
        <v>3401</v>
      </c>
      <c r="CL642" s="26" t="str">
        <f t="shared" si="37"/>
        <v>東京都稲城市</v>
      </c>
      <c r="CM642" s="49">
        <v>637</v>
      </c>
      <c r="CN642" s="17" t="str">
        <f t="shared" si="36"/>
        <v>0683</v>
      </c>
      <c r="CO642" s="17" t="str">
        <f t="shared" si="38"/>
        <v>637683稲城市</v>
      </c>
      <c r="CP642" s="17" t="s">
        <v>7358</v>
      </c>
      <c r="CQ642" s="17" t="b">
        <f t="shared" si="39"/>
        <v>1</v>
      </c>
    </row>
    <row r="643" spans="6:95">
      <c r="F643" s="23"/>
      <c r="I643" s="23"/>
      <c r="L643" s="50" t="s">
        <v>7359</v>
      </c>
      <c r="M643" s="17" t="s">
        <v>7360</v>
      </c>
      <c r="N643" s="51" t="s">
        <v>7361</v>
      </c>
      <c r="O643" s="29" t="s">
        <v>1451</v>
      </c>
      <c r="P643" s="29" t="s">
        <v>7362</v>
      </c>
      <c r="Q643" s="29" t="s">
        <v>1451</v>
      </c>
      <c r="R643" s="29" t="s">
        <v>7363</v>
      </c>
      <c r="S643" s="28" t="s">
        <v>1564</v>
      </c>
      <c r="T643" s="28" t="s">
        <v>1516</v>
      </c>
      <c r="U643" s="28" t="s">
        <v>1441</v>
      </c>
      <c r="V643" s="28" t="s">
        <v>1619</v>
      </c>
      <c r="W643" s="28" t="s">
        <v>7364</v>
      </c>
      <c r="X643" s="17">
        <v>1</v>
      </c>
      <c r="CJ643" s="26" t="s">
        <v>1390</v>
      </c>
      <c r="CK643" s="26" t="s">
        <v>3417</v>
      </c>
      <c r="CL643" s="26" t="str">
        <f t="shared" si="37"/>
        <v>東京都羽村市</v>
      </c>
      <c r="CM643" s="49">
        <v>638</v>
      </c>
      <c r="CN643" s="17" t="str">
        <f t="shared" si="36"/>
        <v>0684</v>
      </c>
      <c r="CO643" s="17" t="str">
        <f t="shared" si="38"/>
        <v>638684羽村市</v>
      </c>
      <c r="CP643" s="17" t="s">
        <v>7365</v>
      </c>
      <c r="CQ643" s="17" t="b">
        <f t="shared" si="39"/>
        <v>1</v>
      </c>
    </row>
    <row r="644" spans="6:95">
      <c r="F644" s="23"/>
      <c r="I644" s="23"/>
      <c r="L644" s="50" t="s">
        <v>7366</v>
      </c>
      <c r="M644" s="17" t="s">
        <v>7367</v>
      </c>
      <c r="N644" s="51" t="s">
        <v>7368</v>
      </c>
      <c r="O644" s="29" t="s">
        <v>1451</v>
      </c>
      <c r="P644" s="29" t="s">
        <v>7369</v>
      </c>
      <c r="Q644" s="29" t="s">
        <v>1451</v>
      </c>
      <c r="R644" s="29" t="s">
        <v>7370</v>
      </c>
      <c r="S644" s="28" t="s">
        <v>1626</v>
      </c>
      <c r="T644" s="28" t="s">
        <v>1578</v>
      </c>
      <c r="U644" s="28" t="s">
        <v>1441</v>
      </c>
      <c r="V644" s="28" t="s">
        <v>1619</v>
      </c>
      <c r="W644" s="28" t="s">
        <v>7371</v>
      </c>
      <c r="X644" s="17">
        <v>1</v>
      </c>
      <c r="CJ644" s="26" t="s">
        <v>1390</v>
      </c>
      <c r="CK644" s="26" t="s">
        <v>3432</v>
      </c>
      <c r="CL644" s="26" t="str">
        <f t="shared" si="37"/>
        <v>東京都あきる野市</v>
      </c>
      <c r="CM644" s="49">
        <v>639</v>
      </c>
      <c r="CN644" s="17" t="str">
        <f t="shared" si="36"/>
        <v>0685</v>
      </c>
      <c r="CO644" s="17" t="str">
        <f t="shared" si="38"/>
        <v>639685あきる野市</v>
      </c>
      <c r="CP644" s="17" t="s">
        <v>7372</v>
      </c>
      <c r="CQ644" s="17" t="b">
        <f t="shared" si="39"/>
        <v>1</v>
      </c>
    </row>
    <row r="645" spans="6:95">
      <c r="F645" s="23"/>
      <c r="I645" s="23"/>
      <c r="L645" s="50" t="s">
        <v>7373</v>
      </c>
      <c r="M645" s="17" t="s">
        <v>7374</v>
      </c>
      <c r="N645" s="51" t="s">
        <v>7375</v>
      </c>
      <c r="O645" s="29" t="s">
        <v>1451</v>
      </c>
      <c r="P645" s="29" t="s">
        <v>7376</v>
      </c>
      <c r="Q645" s="29" t="s">
        <v>1451</v>
      </c>
      <c r="R645" s="29" t="s">
        <v>7377</v>
      </c>
      <c r="S645" s="28" t="s">
        <v>1502</v>
      </c>
      <c r="T645" s="28" t="s">
        <v>1640</v>
      </c>
      <c r="U645" s="28" t="s">
        <v>1441</v>
      </c>
      <c r="V645" s="28" t="s">
        <v>1619</v>
      </c>
      <c r="W645" s="28" t="s">
        <v>7378</v>
      </c>
      <c r="X645" s="17">
        <v>1</v>
      </c>
      <c r="CJ645" s="26" t="s">
        <v>1390</v>
      </c>
      <c r="CK645" s="26" t="s">
        <v>3447</v>
      </c>
      <c r="CL645" s="26" t="str">
        <f t="shared" si="37"/>
        <v>東京都西東京市</v>
      </c>
      <c r="CM645" s="49">
        <v>640</v>
      </c>
      <c r="CN645" s="17" t="str">
        <f t="shared" si="36"/>
        <v>0686</v>
      </c>
      <c r="CO645" s="17" t="str">
        <f t="shared" si="38"/>
        <v>640686西東京市</v>
      </c>
      <c r="CP645" s="17" t="s">
        <v>7379</v>
      </c>
      <c r="CQ645" s="17" t="b">
        <f t="shared" si="39"/>
        <v>1</v>
      </c>
    </row>
    <row r="646" spans="6:95">
      <c r="F646" s="23"/>
      <c r="I646" s="23"/>
      <c r="L646" s="50" t="s">
        <v>7380</v>
      </c>
      <c r="M646" s="17" t="s">
        <v>7381</v>
      </c>
      <c r="N646" s="51" t="s">
        <v>7382</v>
      </c>
      <c r="O646" s="29" t="s">
        <v>1451</v>
      </c>
      <c r="P646" s="29" t="s">
        <v>7383</v>
      </c>
      <c r="Q646" s="29" t="s">
        <v>1451</v>
      </c>
      <c r="R646" s="29" t="s">
        <v>7384</v>
      </c>
      <c r="S646" s="28" t="s">
        <v>2525</v>
      </c>
      <c r="T646" s="28" t="s">
        <v>1698</v>
      </c>
      <c r="U646" s="28" t="s">
        <v>1441</v>
      </c>
      <c r="V646" s="28" t="s">
        <v>1619</v>
      </c>
      <c r="W646" s="28" t="s">
        <v>7385</v>
      </c>
      <c r="X646" s="17">
        <v>1</v>
      </c>
      <c r="CJ646" s="26" t="s">
        <v>1390</v>
      </c>
      <c r="CK646" s="26" t="s">
        <v>3462</v>
      </c>
      <c r="CL646" s="26" t="str">
        <f t="shared" si="37"/>
        <v>東京都瑞穂町</v>
      </c>
      <c r="CM646" s="49">
        <v>641</v>
      </c>
      <c r="CN646" s="17" t="str">
        <f t="shared" ref="CN646:CN709" si="40">VLOOKUP(CL646,$M$6:$N$1784,2,FALSE)</f>
        <v>0687</v>
      </c>
      <c r="CO646" s="17" t="str">
        <f t="shared" si="38"/>
        <v>641687瑞穂町</v>
      </c>
      <c r="CP646" s="17" t="s">
        <v>7386</v>
      </c>
      <c r="CQ646" s="17" t="b">
        <f t="shared" si="39"/>
        <v>1</v>
      </c>
    </row>
    <row r="647" spans="6:95">
      <c r="F647" s="23"/>
      <c r="I647" s="23"/>
      <c r="L647" s="50" t="s">
        <v>7387</v>
      </c>
      <c r="M647" s="17" t="s">
        <v>7388</v>
      </c>
      <c r="N647" s="51" t="s">
        <v>7389</v>
      </c>
      <c r="O647" s="29" t="s">
        <v>1451</v>
      </c>
      <c r="P647" s="29" t="s">
        <v>7390</v>
      </c>
      <c r="Q647" s="29" t="s">
        <v>1451</v>
      </c>
      <c r="R647" s="29" t="s">
        <v>7391</v>
      </c>
      <c r="S647" s="28" t="s">
        <v>1803</v>
      </c>
      <c r="T647" s="28" t="s">
        <v>1757</v>
      </c>
      <c r="U647" s="28" t="s">
        <v>1441</v>
      </c>
      <c r="V647" s="28" t="s">
        <v>1619</v>
      </c>
      <c r="W647" s="28" t="s">
        <v>7392</v>
      </c>
      <c r="X647" s="17">
        <v>1</v>
      </c>
      <c r="CJ647" s="26" t="s">
        <v>1390</v>
      </c>
      <c r="CK647" s="26" t="s">
        <v>3475</v>
      </c>
      <c r="CL647" s="26" t="str">
        <f t="shared" si="37"/>
        <v>東京都日の出町</v>
      </c>
      <c r="CM647" s="49">
        <v>642</v>
      </c>
      <c r="CN647" s="17" t="str">
        <f t="shared" si="40"/>
        <v>0688</v>
      </c>
      <c r="CO647" s="17" t="str">
        <f t="shared" si="38"/>
        <v>642688日の出町</v>
      </c>
      <c r="CP647" s="17" t="s">
        <v>7393</v>
      </c>
      <c r="CQ647" s="17" t="b">
        <f t="shared" si="39"/>
        <v>1</v>
      </c>
    </row>
    <row r="648" spans="6:95">
      <c r="F648" s="23"/>
      <c r="I648" s="23"/>
      <c r="L648" s="50" t="s">
        <v>7394</v>
      </c>
      <c r="M648" s="17" t="s">
        <v>7395</v>
      </c>
      <c r="N648" s="51" t="s">
        <v>7396</v>
      </c>
      <c r="O648" s="29" t="s">
        <v>1451</v>
      </c>
      <c r="P648" s="29" t="s">
        <v>7397</v>
      </c>
      <c r="Q648" s="29" t="s">
        <v>1451</v>
      </c>
      <c r="R648" s="29" t="s">
        <v>7398</v>
      </c>
      <c r="S648" s="28" t="s">
        <v>1862</v>
      </c>
      <c r="T648" s="28" t="s">
        <v>1817</v>
      </c>
      <c r="U648" s="28" t="s">
        <v>1441</v>
      </c>
      <c r="V648" s="28" t="s">
        <v>1619</v>
      </c>
      <c r="W648" s="28" t="s">
        <v>7399</v>
      </c>
      <c r="X648" s="17">
        <v>1</v>
      </c>
      <c r="CJ648" s="26" t="s">
        <v>1390</v>
      </c>
      <c r="CK648" s="26" t="s">
        <v>3489</v>
      </c>
      <c r="CL648" s="26" t="str">
        <f t="shared" ref="CL648:CL711" si="41">CJ648&amp;CK648</f>
        <v>東京都檜原村</v>
      </c>
      <c r="CM648" s="49">
        <v>643</v>
      </c>
      <c r="CN648" s="17" t="str">
        <f t="shared" si="40"/>
        <v>0689</v>
      </c>
      <c r="CO648" s="17" t="str">
        <f t="shared" ref="CO648:CO711" si="42">CM648&amp;TEXT(CN648,0)&amp;CK648</f>
        <v>643689檜原村</v>
      </c>
      <c r="CP648" s="17" t="s">
        <v>7400</v>
      </c>
      <c r="CQ648" s="17" t="b">
        <f t="shared" ref="CQ648:CQ711" si="43">CO648=CP648</f>
        <v>1</v>
      </c>
    </row>
    <row r="649" spans="6:95">
      <c r="F649" s="23"/>
      <c r="I649" s="23"/>
      <c r="L649" s="50" t="s">
        <v>7401</v>
      </c>
      <c r="M649" s="17" t="s">
        <v>7402</v>
      </c>
      <c r="N649" s="51" t="s">
        <v>7403</v>
      </c>
      <c r="O649" s="29" t="s">
        <v>1451</v>
      </c>
      <c r="P649" s="29" t="s">
        <v>7404</v>
      </c>
      <c r="Q649" s="29" t="s">
        <v>1451</v>
      </c>
      <c r="R649" s="29" t="s">
        <v>7405</v>
      </c>
      <c r="S649" s="28" t="s">
        <v>1920</v>
      </c>
      <c r="T649" s="28" t="s">
        <v>1876</v>
      </c>
      <c r="U649" s="28" t="s">
        <v>1441</v>
      </c>
      <c r="V649" s="28" t="s">
        <v>1619</v>
      </c>
      <c r="W649" s="28" t="s">
        <v>7406</v>
      </c>
      <c r="X649" s="17">
        <v>1</v>
      </c>
      <c r="CJ649" s="26" t="s">
        <v>1390</v>
      </c>
      <c r="CK649" s="26" t="s">
        <v>3504</v>
      </c>
      <c r="CL649" s="26" t="str">
        <f t="shared" si="41"/>
        <v>東京都奥多摩町</v>
      </c>
      <c r="CM649" s="49">
        <v>644</v>
      </c>
      <c r="CN649" s="17" t="str">
        <f t="shared" si="40"/>
        <v>0690</v>
      </c>
      <c r="CO649" s="17" t="str">
        <f t="shared" si="42"/>
        <v>644690奥多摩町</v>
      </c>
      <c r="CP649" s="17" t="s">
        <v>7407</v>
      </c>
      <c r="CQ649" s="17" t="b">
        <f t="shared" si="43"/>
        <v>1</v>
      </c>
    </row>
    <row r="650" spans="6:95">
      <c r="F650" s="23"/>
      <c r="I650" s="23"/>
      <c r="L650" s="50" t="s">
        <v>7408</v>
      </c>
      <c r="M650" s="17" t="s">
        <v>7409</v>
      </c>
      <c r="N650" s="51" t="s">
        <v>7410</v>
      </c>
      <c r="O650" s="29" t="s">
        <v>1451</v>
      </c>
      <c r="P650" s="29" t="s">
        <v>7411</v>
      </c>
      <c r="Q650" s="29" t="s">
        <v>1451</v>
      </c>
      <c r="R650" s="29" t="s">
        <v>7412</v>
      </c>
      <c r="S650" s="28" t="s">
        <v>1977</v>
      </c>
      <c r="T650" s="28" t="s">
        <v>1934</v>
      </c>
      <c r="U650" s="28" t="s">
        <v>1441</v>
      </c>
      <c r="V650" s="28" t="s">
        <v>1619</v>
      </c>
      <c r="W650" s="28" t="s">
        <v>7413</v>
      </c>
      <c r="X650" s="17">
        <v>1</v>
      </c>
      <c r="CJ650" s="26" t="s">
        <v>1390</v>
      </c>
      <c r="CK650" s="26" t="s">
        <v>3518</v>
      </c>
      <c r="CL650" s="26" t="str">
        <f t="shared" si="41"/>
        <v>東京都大島町</v>
      </c>
      <c r="CM650" s="49">
        <v>645</v>
      </c>
      <c r="CN650" s="17" t="str">
        <f t="shared" si="40"/>
        <v>0691</v>
      </c>
      <c r="CO650" s="17" t="str">
        <f t="shared" si="42"/>
        <v>645691大島町</v>
      </c>
      <c r="CP650" s="17" t="s">
        <v>7414</v>
      </c>
      <c r="CQ650" s="17" t="b">
        <f t="shared" si="43"/>
        <v>1</v>
      </c>
    </row>
    <row r="651" spans="6:95">
      <c r="F651" s="23"/>
      <c r="I651" s="23"/>
      <c r="L651" s="50" t="s">
        <v>7415</v>
      </c>
      <c r="M651" s="17" t="s">
        <v>7416</v>
      </c>
      <c r="N651" s="51" t="s">
        <v>7417</v>
      </c>
      <c r="O651" s="29" t="s">
        <v>1451</v>
      </c>
      <c r="P651" s="29" t="s">
        <v>7418</v>
      </c>
      <c r="Q651" s="29" t="s">
        <v>1451</v>
      </c>
      <c r="R651" s="29" t="s">
        <v>7419</v>
      </c>
      <c r="S651" s="28" t="s">
        <v>1743</v>
      </c>
      <c r="T651" s="28" t="s">
        <v>1991</v>
      </c>
      <c r="U651" s="28" t="s">
        <v>1441</v>
      </c>
      <c r="V651" s="28" t="s">
        <v>1619</v>
      </c>
      <c r="W651" s="28" t="s">
        <v>7420</v>
      </c>
      <c r="X651" s="17">
        <v>1</v>
      </c>
      <c r="CJ651" s="26" t="s">
        <v>1390</v>
      </c>
      <c r="CK651" s="26" t="s">
        <v>3531</v>
      </c>
      <c r="CL651" s="26" t="str">
        <f t="shared" si="41"/>
        <v>東京都利島村</v>
      </c>
      <c r="CM651" s="49">
        <v>646</v>
      </c>
      <c r="CN651" s="17" t="str">
        <f t="shared" si="40"/>
        <v>0692</v>
      </c>
      <c r="CO651" s="17" t="str">
        <f t="shared" si="42"/>
        <v>646692利島村</v>
      </c>
      <c r="CP651" s="17" t="s">
        <v>7421</v>
      </c>
      <c r="CQ651" s="17" t="b">
        <f t="shared" si="43"/>
        <v>1</v>
      </c>
    </row>
    <row r="652" spans="6:95">
      <c r="F652" s="23"/>
      <c r="I652" s="23"/>
      <c r="L652" s="50" t="s">
        <v>7422</v>
      </c>
      <c r="M652" s="17" t="s">
        <v>7423</v>
      </c>
      <c r="N652" s="51" t="s">
        <v>7424</v>
      </c>
      <c r="O652" s="29" t="s">
        <v>1451</v>
      </c>
      <c r="P652" s="29" t="s">
        <v>7425</v>
      </c>
      <c r="Q652" s="29" t="s">
        <v>1451</v>
      </c>
      <c r="R652" s="29" t="s">
        <v>7426</v>
      </c>
      <c r="S652" s="28" t="s">
        <v>1803</v>
      </c>
      <c r="T652" s="28" t="s">
        <v>2047</v>
      </c>
      <c r="U652" s="28" t="s">
        <v>1441</v>
      </c>
      <c r="V652" s="28" t="s">
        <v>1619</v>
      </c>
      <c r="W652" s="28" t="s">
        <v>7427</v>
      </c>
      <c r="X652" s="17">
        <v>1</v>
      </c>
      <c r="CJ652" s="26" t="s">
        <v>1390</v>
      </c>
      <c r="CK652" s="26" t="s">
        <v>3544</v>
      </c>
      <c r="CL652" s="26" t="str">
        <f t="shared" si="41"/>
        <v>東京都新島村</v>
      </c>
      <c r="CM652" s="49">
        <v>647</v>
      </c>
      <c r="CN652" s="17" t="str">
        <f t="shared" si="40"/>
        <v>0693</v>
      </c>
      <c r="CO652" s="17" t="str">
        <f t="shared" si="42"/>
        <v>647693新島村</v>
      </c>
      <c r="CP652" s="17" t="s">
        <v>7428</v>
      </c>
      <c r="CQ652" s="17" t="b">
        <f t="shared" si="43"/>
        <v>1</v>
      </c>
    </row>
    <row r="653" spans="6:95">
      <c r="F653" s="23"/>
      <c r="I653" s="23"/>
      <c r="L653" s="50" t="s">
        <v>7429</v>
      </c>
      <c r="M653" s="17" t="s">
        <v>7430</v>
      </c>
      <c r="N653" s="51" t="s">
        <v>7431</v>
      </c>
      <c r="O653" s="29" t="s">
        <v>1451</v>
      </c>
      <c r="P653" s="29" t="s">
        <v>7432</v>
      </c>
      <c r="Q653" s="29" t="s">
        <v>1451</v>
      </c>
      <c r="R653" s="29" t="s">
        <v>7433</v>
      </c>
      <c r="S653" s="28" t="s">
        <v>1862</v>
      </c>
      <c r="T653" s="28" t="s">
        <v>2103</v>
      </c>
      <c r="U653" s="28" t="s">
        <v>1441</v>
      </c>
      <c r="V653" s="28" t="s">
        <v>1619</v>
      </c>
      <c r="W653" s="28" t="s">
        <v>7434</v>
      </c>
      <c r="X653" s="17">
        <v>1</v>
      </c>
      <c r="CJ653" s="26" t="s">
        <v>1390</v>
      </c>
      <c r="CK653" s="26" t="s">
        <v>3558</v>
      </c>
      <c r="CL653" s="26" t="str">
        <f t="shared" si="41"/>
        <v>東京都神津島村</v>
      </c>
      <c r="CM653" s="49">
        <v>648</v>
      </c>
      <c r="CN653" s="17" t="str">
        <f t="shared" si="40"/>
        <v>0694</v>
      </c>
      <c r="CO653" s="17" t="str">
        <f t="shared" si="42"/>
        <v>648694神津島村</v>
      </c>
      <c r="CP653" s="17" t="s">
        <v>7435</v>
      </c>
      <c r="CQ653" s="17" t="b">
        <f t="shared" si="43"/>
        <v>1</v>
      </c>
    </row>
    <row r="654" spans="6:95">
      <c r="F654" s="23"/>
      <c r="I654" s="23"/>
      <c r="L654" s="50" t="s">
        <v>7436</v>
      </c>
      <c r="M654" s="17" t="s">
        <v>7437</v>
      </c>
      <c r="N654" s="51" t="s">
        <v>7438</v>
      </c>
      <c r="O654" s="29" t="s">
        <v>1451</v>
      </c>
      <c r="P654" s="29" t="s">
        <v>7439</v>
      </c>
      <c r="Q654" s="29" t="s">
        <v>1451</v>
      </c>
      <c r="R654" s="29" t="s">
        <v>7440</v>
      </c>
      <c r="S654" s="28" t="s">
        <v>1920</v>
      </c>
      <c r="T654" s="28" t="s">
        <v>2159</v>
      </c>
      <c r="U654" s="28" t="s">
        <v>1441</v>
      </c>
      <c r="V654" s="28" t="s">
        <v>1619</v>
      </c>
      <c r="W654" s="28" t="s">
        <v>7441</v>
      </c>
      <c r="X654" s="17">
        <v>1</v>
      </c>
      <c r="CJ654" s="26" t="s">
        <v>1390</v>
      </c>
      <c r="CK654" s="26" t="s">
        <v>3571</v>
      </c>
      <c r="CL654" s="26" t="str">
        <f t="shared" si="41"/>
        <v>東京都三宅村</v>
      </c>
      <c r="CM654" s="49">
        <v>649</v>
      </c>
      <c r="CN654" s="17" t="str">
        <f t="shared" si="40"/>
        <v>0695</v>
      </c>
      <c r="CO654" s="17" t="str">
        <f t="shared" si="42"/>
        <v>649695三宅村</v>
      </c>
      <c r="CP654" s="17" t="s">
        <v>7442</v>
      </c>
      <c r="CQ654" s="17" t="b">
        <f t="shared" si="43"/>
        <v>1</v>
      </c>
    </row>
    <row r="655" spans="6:95">
      <c r="F655" s="23"/>
      <c r="I655" s="23"/>
      <c r="L655" s="50" t="s">
        <v>7443</v>
      </c>
      <c r="M655" s="17" t="s">
        <v>7444</v>
      </c>
      <c r="N655" s="51" t="s">
        <v>7445</v>
      </c>
      <c r="O655" s="29" t="s">
        <v>1451</v>
      </c>
      <c r="P655" s="29" t="s">
        <v>7446</v>
      </c>
      <c r="Q655" s="29" t="s">
        <v>1451</v>
      </c>
      <c r="R655" s="29" t="s">
        <v>7447</v>
      </c>
      <c r="S655" s="28" t="s">
        <v>1977</v>
      </c>
      <c r="T655" s="28" t="s">
        <v>2214</v>
      </c>
      <c r="U655" s="28" t="s">
        <v>1441</v>
      </c>
      <c r="V655" s="28" t="s">
        <v>1619</v>
      </c>
      <c r="W655" s="28" t="s">
        <v>7448</v>
      </c>
      <c r="X655" s="17">
        <v>1</v>
      </c>
      <c r="CJ655" s="26" t="s">
        <v>1390</v>
      </c>
      <c r="CK655" s="26" t="s">
        <v>3583</v>
      </c>
      <c r="CL655" s="26" t="str">
        <f t="shared" si="41"/>
        <v>東京都御蔵島村</v>
      </c>
      <c r="CM655" s="49">
        <v>650</v>
      </c>
      <c r="CN655" s="17" t="str">
        <f t="shared" si="40"/>
        <v>0696</v>
      </c>
      <c r="CO655" s="17" t="str">
        <f t="shared" si="42"/>
        <v>650696御蔵島村</v>
      </c>
      <c r="CP655" s="17" t="s">
        <v>7449</v>
      </c>
      <c r="CQ655" s="17" t="b">
        <f t="shared" si="43"/>
        <v>1</v>
      </c>
    </row>
    <row r="656" spans="6:95">
      <c r="F656" s="23"/>
      <c r="I656" s="23"/>
      <c r="L656" s="50" t="s">
        <v>7450</v>
      </c>
      <c r="M656" s="17" t="s">
        <v>7451</v>
      </c>
      <c r="N656" s="51" t="s">
        <v>7452</v>
      </c>
      <c r="O656" s="29" t="s">
        <v>1451</v>
      </c>
      <c r="P656" s="29" t="s">
        <v>7453</v>
      </c>
      <c r="Q656" s="29" t="s">
        <v>1451</v>
      </c>
      <c r="R656" s="29" t="s">
        <v>7454</v>
      </c>
      <c r="S656" s="28" t="s">
        <v>1743</v>
      </c>
      <c r="T656" s="28" t="s">
        <v>2269</v>
      </c>
      <c r="U656" s="28" t="s">
        <v>1441</v>
      </c>
      <c r="V656" s="28" t="s">
        <v>1619</v>
      </c>
      <c r="W656" s="28" t="s">
        <v>7455</v>
      </c>
      <c r="X656" s="17">
        <v>1</v>
      </c>
      <c r="CJ656" s="26" t="s">
        <v>1390</v>
      </c>
      <c r="CK656" s="26" t="s">
        <v>3595</v>
      </c>
      <c r="CL656" s="26" t="str">
        <f t="shared" si="41"/>
        <v>東京都八丈町</v>
      </c>
      <c r="CM656" s="49">
        <v>651</v>
      </c>
      <c r="CN656" s="17" t="str">
        <f t="shared" si="40"/>
        <v>0697</v>
      </c>
      <c r="CO656" s="17" t="str">
        <f t="shared" si="42"/>
        <v>651697八丈町</v>
      </c>
      <c r="CP656" s="17" t="s">
        <v>7456</v>
      </c>
      <c r="CQ656" s="17" t="b">
        <f t="shared" si="43"/>
        <v>1</v>
      </c>
    </row>
    <row r="657" spans="6:95">
      <c r="F657" s="23"/>
      <c r="I657" s="23"/>
      <c r="L657" s="50" t="s">
        <v>7457</v>
      </c>
      <c r="M657" s="17" t="s">
        <v>7458</v>
      </c>
      <c r="N657" s="51" t="s">
        <v>7459</v>
      </c>
      <c r="O657" s="29" t="s">
        <v>1451</v>
      </c>
      <c r="P657" s="29" t="s">
        <v>7460</v>
      </c>
      <c r="Q657" s="29" t="s">
        <v>1451</v>
      </c>
      <c r="R657" s="29" t="s">
        <v>7461</v>
      </c>
      <c r="S657" s="28" t="s">
        <v>1564</v>
      </c>
      <c r="T657" s="28" t="s">
        <v>2325</v>
      </c>
      <c r="U657" s="28" t="s">
        <v>1441</v>
      </c>
      <c r="V657" s="28" t="s">
        <v>1619</v>
      </c>
      <c r="W657" s="28" t="s">
        <v>7462</v>
      </c>
      <c r="X657" s="17">
        <v>1</v>
      </c>
      <c r="CJ657" s="26" t="s">
        <v>1390</v>
      </c>
      <c r="CK657" s="26" t="s">
        <v>3607</v>
      </c>
      <c r="CL657" s="26" t="str">
        <f t="shared" si="41"/>
        <v>東京都青ヶ島村</v>
      </c>
      <c r="CM657" s="49">
        <v>652</v>
      </c>
      <c r="CN657" s="17" t="str">
        <f t="shared" si="40"/>
        <v>0698</v>
      </c>
      <c r="CO657" s="17" t="str">
        <f t="shared" si="42"/>
        <v>652698青ヶ島村</v>
      </c>
      <c r="CP657" s="17" t="s">
        <v>7463</v>
      </c>
      <c r="CQ657" s="17" t="b">
        <f t="shared" si="43"/>
        <v>1</v>
      </c>
    </row>
    <row r="658" spans="6:95">
      <c r="F658" s="23"/>
      <c r="I658" s="23"/>
      <c r="L658" s="50" t="s">
        <v>7464</v>
      </c>
      <c r="M658" s="17" t="s">
        <v>7465</v>
      </c>
      <c r="N658" s="51" t="s">
        <v>7466</v>
      </c>
      <c r="O658" s="29" t="s">
        <v>1451</v>
      </c>
      <c r="P658" s="29" t="s">
        <v>7467</v>
      </c>
      <c r="Q658" s="29" t="s">
        <v>1451</v>
      </c>
      <c r="R658" s="29" t="s">
        <v>7468</v>
      </c>
      <c r="S658" s="28" t="s">
        <v>1626</v>
      </c>
      <c r="T658" s="28" t="s">
        <v>2379</v>
      </c>
      <c r="U658" s="28" t="s">
        <v>1441</v>
      </c>
      <c r="V658" s="28" t="s">
        <v>1619</v>
      </c>
      <c r="W658" s="28" t="s">
        <v>7469</v>
      </c>
      <c r="X658" s="17">
        <v>1</v>
      </c>
      <c r="CJ658" s="26" t="s">
        <v>1390</v>
      </c>
      <c r="CK658" s="26" t="s">
        <v>3619</v>
      </c>
      <c r="CL658" s="26" t="str">
        <f t="shared" si="41"/>
        <v>東京都小笠原村</v>
      </c>
      <c r="CM658" s="49">
        <v>653</v>
      </c>
      <c r="CN658" s="17" t="str">
        <f t="shared" si="40"/>
        <v>0699</v>
      </c>
      <c r="CO658" s="17" t="str">
        <f t="shared" si="42"/>
        <v>653699小笠原村</v>
      </c>
      <c r="CP658" s="17" t="s">
        <v>7470</v>
      </c>
      <c r="CQ658" s="17" t="b">
        <f t="shared" si="43"/>
        <v>1</v>
      </c>
    </row>
    <row r="659" spans="6:95">
      <c r="F659" s="23"/>
      <c r="I659" s="23"/>
      <c r="L659" s="50" t="s">
        <v>7471</v>
      </c>
      <c r="M659" s="17" t="s">
        <v>7472</v>
      </c>
      <c r="N659" s="51" t="s">
        <v>7473</v>
      </c>
      <c r="O659" s="29" t="s">
        <v>1451</v>
      </c>
      <c r="P659" s="29" t="s">
        <v>7474</v>
      </c>
      <c r="Q659" s="29" t="s">
        <v>1451</v>
      </c>
      <c r="R659" s="29" t="s">
        <v>7475</v>
      </c>
      <c r="S659" s="28" t="s">
        <v>1502</v>
      </c>
      <c r="T659" s="28" t="s">
        <v>2434</v>
      </c>
      <c r="U659" s="28" t="s">
        <v>1441</v>
      </c>
      <c r="V659" s="28" t="s">
        <v>1619</v>
      </c>
      <c r="W659" s="28" t="s">
        <v>7476</v>
      </c>
      <c r="X659" s="17">
        <v>1</v>
      </c>
      <c r="CJ659" s="26" t="s">
        <v>1391</v>
      </c>
      <c r="CK659" s="26" t="s">
        <v>1517</v>
      </c>
      <c r="CL659" s="26" t="str">
        <f t="shared" si="41"/>
        <v>神奈川県横浜市</v>
      </c>
      <c r="CM659" s="49">
        <v>654</v>
      </c>
      <c r="CN659" s="17" t="str">
        <f t="shared" si="40"/>
        <v>0700</v>
      </c>
      <c r="CO659" s="17" t="str">
        <f t="shared" si="42"/>
        <v>654700横浜市</v>
      </c>
      <c r="CP659" s="17" t="s">
        <v>7477</v>
      </c>
      <c r="CQ659" s="17" t="b">
        <f t="shared" si="43"/>
        <v>1</v>
      </c>
    </row>
    <row r="660" spans="6:95">
      <c r="F660" s="23"/>
      <c r="I660" s="23"/>
      <c r="L660" s="50" t="s">
        <v>7478</v>
      </c>
      <c r="M660" s="17" t="s">
        <v>7479</v>
      </c>
      <c r="N660" s="51" t="s">
        <v>7480</v>
      </c>
      <c r="O660" s="29" t="s">
        <v>1451</v>
      </c>
      <c r="P660" s="29" t="s">
        <v>7481</v>
      </c>
      <c r="Q660" s="29" t="s">
        <v>1451</v>
      </c>
      <c r="R660" s="29" t="s">
        <v>7482</v>
      </c>
      <c r="S660" s="28" t="s">
        <v>2525</v>
      </c>
      <c r="T660" s="28" t="s">
        <v>2487</v>
      </c>
      <c r="U660" s="28" t="s">
        <v>1441</v>
      </c>
      <c r="V660" s="28" t="s">
        <v>1619</v>
      </c>
      <c r="W660" s="28" t="s">
        <v>7483</v>
      </c>
      <c r="X660" s="17">
        <v>1</v>
      </c>
      <c r="CJ660" s="26" t="s">
        <v>1391</v>
      </c>
      <c r="CK660" s="26" t="s">
        <v>1579</v>
      </c>
      <c r="CL660" s="26" t="str">
        <f t="shared" si="41"/>
        <v>神奈川県川崎市</v>
      </c>
      <c r="CM660" s="49">
        <v>655</v>
      </c>
      <c r="CN660" s="17" t="str">
        <f t="shared" si="40"/>
        <v>0701</v>
      </c>
      <c r="CO660" s="17" t="str">
        <f t="shared" si="42"/>
        <v>655701川崎市</v>
      </c>
      <c r="CP660" s="17" t="s">
        <v>7484</v>
      </c>
      <c r="CQ660" s="17" t="b">
        <f t="shared" si="43"/>
        <v>1</v>
      </c>
    </row>
    <row r="661" spans="6:95">
      <c r="F661" s="23"/>
      <c r="I661" s="23"/>
      <c r="L661" s="50" t="s">
        <v>7485</v>
      </c>
      <c r="M661" s="17" t="s">
        <v>7486</v>
      </c>
      <c r="N661" s="51" t="s">
        <v>7487</v>
      </c>
      <c r="O661" s="29" t="s">
        <v>1451</v>
      </c>
      <c r="P661" s="29" t="s">
        <v>7488</v>
      </c>
      <c r="Q661" s="29" t="s">
        <v>1451</v>
      </c>
      <c r="R661" s="29" t="s">
        <v>7489</v>
      </c>
      <c r="S661" s="28" t="s">
        <v>2311</v>
      </c>
      <c r="T661" s="28" t="s">
        <v>2539</v>
      </c>
      <c r="U661" s="28" t="s">
        <v>1441</v>
      </c>
      <c r="V661" s="28" t="s">
        <v>1619</v>
      </c>
      <c r="W661" s="28" t="s">
        <v>7490</v>
      </c>
      <c r="X661" s="17">
        <v>1</v>
      </c>
      <c r="CJ661" s="26" t="s">
        <v>1391</v>
      </c>
      <c r="CK661" s="26" t="s">
        <v>1641</v>
      </c>
      <c r="CL661" s="26" t="str">
        <f t="shared" si="41"/>
        <v>神奈川県相模原市</v>
      </c>
      <c r="CM661" s="49">
        <v>656</v>
      </c>
      <c r="CN661" s="17" t="str">
        <f t="shared" si="40"/>
        <v>0702</v>
      </c>
      <c r="CO661" s="17" t="str">
        <f t="shared" si="42"/>
        <v>656702相模原市</v>
      </c>
      <c r="CP661" s="17" t="s">
        <v>7491</v>
      </c>
      <c r="CQ661" s="17" t="b">
        <f t="shared" si="43"/>
        <v>1</v>
      </c>
    </row>
    <row r="662" spans="6:95">
      <c r="F662" s="23"/>
      <c r="I662" s="23"/>
      <c r="L662" s="50" t="s">
        <v>7492</v>
      </c>
      <c r="M662" s="17" t="s">
        <v>7493</v>
      </c>
      <c r="N662" s="51" t="s">
        <v>7494</v>
      </c>
      <c r="O662" s="29" t="s">
        <v>1451</v>
      </c>
      <c r="P662" s="29" t="s">
        <v>7495</v>
      </c>
      <c r="Q662" s="29" t="s">
        <v>1451</v>
      </c>
      <c r="R662" s="29" t="s">
        <v>7496</v>
      </c>
      <c r="S662" s="28" t="s">
        <v>1564</v>
      </c>
      <c r="T662" s="28" t="s">
        <v>2589</v>
      </c>
      <c r="U662" s="28" t="s">
        <v>1441</v>
      </c>
      <c r="V662" s="28" t="s">
        <v>1619</v>
      </c>
      <c r="W662" s="28" t="s">
        <v>7497</v>
      </c>
      <c r="X662" s="17">
        <v>1</v>
      </c>
      <c r="CJ662" s="26" t="s">
        <v>1391</v>
      </c>
      <c r="CK662" s="26" t="s">
        <v>1699</v>
      </c>
      <c r="CL662" s="26" t="str">
        <f t="shared" si="41"/>
        <v>神奈川県横須賀市</v>
      </c>
      <c r="CM662" s="49">
        <v>657</v>
      </c>
      <c r="CN662" s="17" t="str">
        <f t="shared" si="40"/>
        <v>0703</v>
      </c>
      <c r="CO662" s="17" t="str">
        <f t="shared" si="42"/>
        <v>657703横須賀市</v>
      </c>
      <c r="CP662" s="17" t="s">
        <v>7498</v>
      </c>
      <c r="CQ662" s="17" t="b">
        <f t="shared" si="43"/>
        <v>1</v>
      </c>
    </row>
    <row r="663" spans="6:95">
      <c r="F663" s="23"/>
      <c r="I663" s="23"/>
      <c r="L663" s="50" t="s">
        <v>7499</v>
      </c>
      <c r="M663" s="17" t="s">
        <v>7500</v>
      </c>
      <c r="N663" s="51" t="s">
        <v>7501</v>
      </c>
      <c r="O663" s="29" t="s">
        <v>1451</v>
      </c>
      <c r="P663" s="29" t="s">
        <v>7502</v>
      </c>
      <c r="Q663" s="29" t="s">
        <v>1451</v>
      </c>
      <c r="R663" s="29" t="s">
        <v>7503</v>
      </c>
      <c r="S663" s="28" t="s">
        <v>1626</v>
      </c>
      <c r="T663" s="28" t="s">
        <v>2636</v>
      </c>
      <c r="U663" s="28" t="s">
        <v>1441</v>
      </c>
      <c r="V663" s="28" t="s">
        <v>1619</v>
      </c>
      <c r="W663" s="28" t="s">
        <v>7504</v>
      </c>
      <c r="X663" s="17">
        <v>1</v>
      </c>
      <c r="CJ663" s="26" t="s">
        <v>1391</v>
      </c>
      <c r="CK663" s="26" t="s">
        <v>1758</v>
      </c>
      <c r="CL663" s="26" t="str">
        <f t="shared" si="41"/>
        <v>神奈川県平塚市</v>
      </c>
      <c r="CM663" s="49">
        <v>658</v>
      </c>
      <c r="CN663" s="17" t="str">
        <f t="shared" si="40"/>
        <v>0704</v>
      </c>
      <c r="CO663" s="17" t="str">
        <f t="shared" si="42"/>
        <v>658704平塚市</v>
      </c>
      <c r="CP663" s="17" t="s">
        <v>7505</v>
      </c>
      <c r="CQ663" s="17" t="b">
        <f t="shared" si="43"/>
        <v>1</v>
      </c>
    </row>
    <row r="664" spans="6:95">
      <c r="F664" s="23"/>
      <c r="I664" s="23"/>
      <c r="L664" s="50" t="s">
        <v>7506</v>
      </c>
      <c r="M664" s="17" t="s">
        <v>7507</v>
      </c>
      <c r="N664" s="51" t="s">
        <v>7508</v>
      </c>
      <c r="O664" s="29" t="s">
        <v>1451</v>
      </c>
      <c r="P664" s="29" t="s">
        <v>7509</v>
      </c>
      <c r="Q664" s="29" t="s">
        <v>1451</v>
      </c>
      <c r="R664" s="29" t="s">
        <v>7510</v>
      </c>
      <c r="S664" s="28" t="s">
        <v>1502</v>
      </c>
      <c r="T664" s="28" t="s">
        <v>2682</v>
      </c>
      <c r="U664" s="28" t="s">
        <v>1441</v>
      </c>
      <c r="V664" s="28" t="s">
        <v>1619</v>
      </c>
      <c r="W664" s="28" t="s">
        <v>7511</v>
      </c>
      <c r="X664" s="17">
        <v>1</v>
      </c>
      <c r="CJ664" s="26" t="s">
        <v>1391</v>
      </c>
      <c r="CK664" s="26" t="s">
        <v>1818</v>
      </c>
      <c r="CL664" s="26" t="str">
        <f t="shared" si="41"/>
        <v>神奈川県鎌倉市</v>
      </c>
      <c r="CM664" s="49">
        <v>659</v>
      </c>
      <c r="CN664" s="17" t="str">
        <f t="shared" si="40"/>
        <v>0705</v>
      </c>
      <c r="CO664" s="17" t="str">
        <f t="shared" si="42"/>
        <v>659705鎌倉市</v>
      </c>
      <c r="CP664" s="17" t="s">
        <v>7512</v>
      </c>
      <c r="CQ664" s="17" t="b">
        <f t="shared" si="43"/>
        <v>1</v>
      </c>
    </row>
    <row r="665" spans="6:95">
      <c r="F665" s="23"/>
      <c r="I665" s="23"/>
      <c r="L665" s="50" t="s">
        <v>7513</v>
      </c>
      <c r="M665" s="17" t="s">
        <v>7514</v>
      </c>
      <c r="N665" s="51" t="s">
        <v>7515</v>
      </c>
      <c r="O665" s="29" t="s">
        <v>1451</v>
      </c>
      <c r="P665" s="29" t="s">
        <v>7516</v>
      </c>
      <c r="Q665" s="29" t="s">
        <v>1451</v>
      </c>
      <c r="R665" s="29" t="s">
        <v>7517</v>
      </c>
      <c r="S665" s="28" t="s">
        <v>2525</v>
      </c>
      <c r="T665" s="28" t="s">
        <v>2728</v>
      </c>
      <c r="U665" s="28" t="s">
        <v>1441</v>
      </c>
      <c r="V665" s="28" t="s">
        <v>1619</v>
      </c>
      <c r="W665" s="28" t="s">
        <v>7518</v>
      </c>
      <c r="X665" s="17">
        <v>1</v>
      </c>
      <c r="CJ665" s="26" t="s">
        <v>1391</v>
      </c>
      <c r="CK665" s="26" t="s">
        <v>1877</v>
      </c>
      <c r="CL665" s="26" t="str">
        <f t="shared" si="41"/>
        <v>神奈川県藤沢市</v>
      </c>
      <c r="CM665" s="49">
        <v>660</v>
      </c>
      <c r="CN665" s="17" t="str">
        <f t="shared" si="40"/>
        <v>0706</v>
      </c>
      <c r="CO665" s="17" t="str">
        <f t="shared" si="42"/>
        <v>660706藤沢市</v>
      </c>
      <c r="CP665" s="17" t="s">
        <v>7519</v>
      </c>
      <c r="CQ665" s="17" t="b">
        <f t="shared" si="43"/>
        <v>1</v>
      </c>
    </row>
    <row r="666" spans="6:95">
      <c r="F666" s="23"/>
      <c r="I666" s="23"/>
      <c r="L666" s="50" t="s">
        <v>7520</v>
      </c>
      <c r="M666" s="17" t="s">
        <v>7521</v>
      </c>
      <c r="N666" s="51" t="s">
        <v>7522</v>
      </c>
      <c r="O666" s="29" t="s">
        <v>1451</v>
      </c>
      <c r="P666" s="29" t="s">
        <v>7523</v>
      </c>
      <c r="Q666" s="29" t="s">
        <v>1451</v>
      </c>
      <c r="R666" s="29" t="s">
        <v>4593</v>
      </c>
      <c r="S666" s="28" t="s">
        <v>1626</v>
      </c>
      <c r="T666" s="28" t="s">
        <v>2772</v>
      </c>
      <c r="U666" s="28" t="s">
        <v>1441</v>
      </c>
      <c r="V666" s="28" t="s">
        <v>1619</v>
      </c>
      <c r="W666" s="28" t="s">
        <v>7524</v>
      </c>
      <c r="X666" s="17">
        <v>1</v>
      </c>
      <c r="CJ666" s="26" t="s">
        <v>1391</v>
      </c>
      <c r="CK666" s="26" t="s">
        <v>1935</v>
      </c>
      <c r="CL666" s="26" t="str">
        <f t="shared" si="41"/>
        <v>神奈川県小田原市</v>
      </c>
      <c r="CM666" s="49">
        <v>661</v>
      </c>
      <c r="CN666" s="17" t="str">
        <f t="shared" si="40"/>
        <v>0707</v>
      </c>
      <c r="CO666" s="17" t="str">
        <f t="shared" si="42"/>
        <v>661707小田原市</v>
      </c>
      <c r="CP666" s="17" t="s">
        <v>7525</v>
      </c>
      <c r="CQ666" s="17" t="b">
        <f t="shared" si="43"/>
        <v>1</v>
      </c>
    </row>
    <row r="667" spans="6:95">
      <c r="F667" s="23"/>
      <c r="I667" s="23"/>
      <c r="L667" s="50" t="s">
        <v>7526</v>
      </c>
      <c r="M667" s="17" t="s">
        <v>7527</v>
      </c>
      <c r="N667" s="51" t="s">
        <v>7528</v>
      </c>
      <c r="O667" s="29" t="s">
        <v>1451</v>
      </c>
      <c r="P667" s="29" t="s">
        <v>7529</v>
      </c>
      <c r="Q667" s="29" t="s">
        <v>1451</v>
      </c>
      <c r="R667" s="29" t="s">
        <v>1563</v>
      </c>
      <c r="S667" s="28" t="s">
        <v>1502</v>
      </c>
      <c r="T667" s="28" t="s">
        <v>2814</v>
      </c>
      <c r="U667" s="28" t="s">
        <v>1441</v>
      </c>
      <c r="V667" s="28" t="s">
        <v>1619</v>
      </c>
      <c r="W667" s="28" t="s">
        <v>7530</v>
      </c>
      <c r="X667" s="17">
        <v>1</v>
      </c>
      <c r="CJ667" s="26" t="s">
        <v>1391</v>
      </c>
      <c r="CK667" s="26" t="s">
        <v>1992</v>
      </c>
      <c r="CL667" s="26" t="str">
        <f t="shared" si="41"/>
        <v>神奈川県茅ヶ崎市</v>
      </c>
      <c r="CM667" s="49">
        <v>662</v>
      </c>
      <c r="CN667" s="17" t="str">
        <f t="shared" si="40"/>
        <v>0708</v>
      </c>
      <c r="CO667" s="17" t="str">
        <f t="shared" si="42"/>
        <v>662708茅ヶ崎市</v>
      </c>
      <c r="CP667" s="17" t="s">
        <v>7531</v>
      </c>
      <c r="CQ667" s="17" t="b">
        <f t="shared" si="43"/>
        <v>1</v>
      </c>
    </row>
    <row r="668" spans="6:95">
      <c r="F668" s="23"/>
      <c r="I668" s="23"/>
      <c r="L668" s="50" t="s">
        <v>7532</v>
      </c>
      <c r="M668" s="17" t="s">
        <v>7533</v>
      </c>
      <c r="N668" s="51" t="s">
        <v>7534</v>
      </c>
      <c r="O668" s="29" t="s">
        <v>1451</v>
      </c>
      <c r="P668" s="29" t="s">
        <v>7535</v>
      </c>
      <c r="Q668" s="29" t="s">
        <v>1451</v>
      </c>
      <c r="R668" s="29" t="s">
        <v>1625</v>
      </c>
      <c r="S668" s="28" t="s">
        <v>2525</v>
      </c>
      <c r="T668" s="28" t="s">
        <v>2854</v>
      </c>
      <c r="U668" s="28" t="s">
        <v>1441</v>
      </c>
      <c r="V668" s="28" t="s">
        <v>1619</v>
      </c>
      <c r="W668" s="28" t="s">
        <v>7536</v>
      </c>
      <c r="X668" s="17">
        <v>1</v>
      </c>
      <c r="CJ668" s="26" t="s">
        <v>1391</v>
      </c>
      <c r="CK668" s="26" t="s">
        <v>2048</v>
      </c>
      <c r="CL668" s="26" t="str">
        <f t="shared" si="41"/>
        <v>神奈川県逗子市</v>
      </c>
      <c r="CM668" s="49">
        <v>663</v>
      </c>
      <c r="CN668" s="17" t="str">
        <f t="shared" si="40"/>
        <v>0709</v>
      </c>
      <c r="CO668" s="17" t="str">
        <f t="shared" si="42"/>
        <v>663709逗子市</v>
      </c>
      <c r="CP668" s="17" t="s">
        <v>7537</v>
      </c>
      <c r="CQ668" s="17" t="b">
        <f t="shared" si="43"/>
        <v>1</v>
      </c>
    </row>
    <row r="669" spans="6:95">
      <c r="F669" s="23"/>
      <c r="I669" s="23"/>
      <c r="L669" s="50" t="s">
        <v>7538</v>
      </c>
      <c r="M669" s="17" t="s">
        <v>7539</v>
      </c>
      <c r="N669" s="51" t="s">
        <v>7540</v>
      </c>
      <c r="O669" s="29" t="s">
        <v>1451</v>
      </c>
      <c r="P669" s="29" t="s">
        <v>7541</v>
      </c>
      <c r="Q669" s="29" t="s">
        <v>1451</v>
      </c>
      <c r="R669" s="29" t="s">
        <v>1684</v>
      </c>
      <c r="S669" s="28" t="s">
        <v>2311</v>
      </c>
      <c r="T669" s="28" t="s">
        <v>2893</v>
      </c>
      <c r="U669" s="28" t="s">
        <v>1441</v>
      </c>
      <c r="V669" s="28" t="s">
        <v>1619</v>
      </c>
      <c r="W669" s="28" t="s">
        <v>7542</v>
      </c>
      <c r="X669" s="17">
        <v>1</v>
      </c>
      <c r="CJ669" s="26" t="s">
        <v>1391</v>
      </c>
      <c r="CK669" s="26" t="s">
        <v>2104</v>
      </c>
      <c r="CL669" s="26" t="str">
        <f t="shared" si="41"/>
        <v>神奈川県三浦市</v>
      </c>
      <c r="CM669" s="49">
        <v>664</v>
      </c>
      <c r="CN669" s="17" t="str">
        <f t="shared" si="40"/>
        <v>0710</v>
      </c>
      <c r="CO669" s="17" t="str">
        <f t="shared" si="42"/>
        <v>664710三浦市</v>
      </c>
      <c r="CP669" s="17" t="s">
        <v>7543</v>
      </c>
      <c r="CQ669" s="17" t="b">
        <f t="shared" si="43"/>
        <v>1</v>
      </c>
    </row>
    <row r="670" spans="6:95">
      <c r="F670" s="23"/>
      <c r="I670" s="23"/>
      <c r="L670" s="50" t="s">
        <v>7544</v>
      </c>
      <c r="M670" s="17" t="s">
        <v>7545</v>
      </c>
      <c r="N670" s="51" t="s">
        <v>7546</v>
      </c>
      <c r="O670" s="29" t="s">
        <v>1451</v>
      </c>
      <c r="P670" s="29" t="s">
        <v>7547</v>
      </c>
      <c r="Q670" s="29" t="s">
        <v>1451</v>
      </c>
      <c r="R670" s="29" t="s">
        <v>1742</v>
      </c>
      <c r="S670" s="28" t="s">
        <v>1862</v>
      </c>
      <c r="T670" s="28" t="s">
        <v>2930</v>
      </c>
      <c r="U670" s="28" t="s">
        <v>1441</v>
      </c>
      <c r="V670" s="28" t="s">
        <v>1619</v>
      </c>
      <c r="W670" s="28" t="s">
        <v>7548</v>
      </c>
      <c r="X670" s="17">
        <v>1</v>
      </c>
      <c r="CJ670" s="26" t="s">
        <v>1391</v>
      </c>
      <c r="CK670" s="26" t="s">
        <v>2160</v>
      </c>
      <c r="CL670" s="26" t="str">
        <f t="shared" si="41"/>
        <v>神奈川県秦野市</v>
      </c>
      <c r="CM670" s="49">
        <v>665</v>
      </c>
      <c r="CN670" s="17" t="str">
        <f t="shared" si="40"/>
        <v>0711</v>
      </c>
      <c r="CO670" s="17" t="str">
        <f t="shared" si="42"/>
        <v>665711秦野市</v>
      </c>
      <c r="CP670" s="17" t="s">
        <v>7549</v>
      </c>
      <c r="CQ670" s="17" t="b">
        <f t="shared" si="43"/>
        <v>1</v>
      </c>
    </row>
    <row r="671" spans="6:95">
      <c r="F671" s="23"/>
      <c r="I671" s="23"/>
      <c r="L671" s="50" t="s">
        <v>7550</v>
      </c>
      <c r="M671" s="17" t="s">
        <v>7551</v>
      </c>
      <c r="N671" s="51" t="s">
        <v>7552</v>
      </c>
      <c r="O671" s="29" t="s">
        <v>1451</v>
      </c>
      <c r="P671" s="29" t="s">
        <v>7553</v>
      </c>
      <c r="Q671" s="29" t="s">
        <v>1451</v>
      </c>
      <c r="R671" s="29" t="s">
        <v>1802</v>
      </c>
      <c r="S671" s="28" t="s">
        <v>1920</v>
      </c>
      <c r="T671" s="28" t="s">
        <v>1897</v>
      </c>
      <c r="U671" s="28" t="s">
        <v>1441</v>
      </c>
      <c r="V671" s="28" t="s">
        <v>1619</v>
      </c>
      <c r="W671" s="28" t="s">
        <v>7554</v>
      </c>
      <c r="X671" s="17">
        <v>1</v>
      </c>
      <c r="CJ671" s="26" t="s">
        <v>1391</v>
      </c>
      <c r="CK671" s="26" t="s">
        <v>2215</v>
      </c>
      <c r="CL671" s="26" t="str">
        <f t="shared" si="41"/>
        <v>神奈川県厚木市</v>
      </c>
      <c r="CM671" s="49">
        <v>666</v>
      </c>
      <c r="CN671" s="17" t="str">
        <f t="shared" si="40"/>
        <v>0712</v>
      </c>
      <c r="CO671" s="17" t="str">
        <f t="shared" si="42"/>
        <v>666712厚木市</v>
      </c>
      <c r="CP671" s="17" t="s">
        <v>7555</v>
      </c>
      <c r="CQ671" s="17" t="b">
        <f t="shared" si="43"/>
        <v>1</v>
      </c>
    </row>
    <row r="672" spans="6:95">
      <c r="F672" s="23"/>
      <c r="I672" s="23"/>
      <c r="L672" s="50" t="s">
        <v>7556</v>
      </c>
      <c r="M672" s="17" t="s">
        <v>7557</v>
      </c>
      <c r="N672" s="51" t="s">
        <v>7558</v>
      </c>
      <c r="O672" s="29" t="s">
        <v>1451</v>
      </c>
      <c r="P672" s="29" t="s">
        <v>7559</v>
      </c>
      <c r="Q672" s="29" t="s">
        <v>1451</v>
      </c>
      <c r="R672" s="29" t="s">
        <v>1861</v>
      </c>
      <c r="S672" s="28" t="s">
        <v>1977</v>
      </c>
      <c r="T672" s="28" t="s">
        <v>2997</v>
      </c>
      <c r="U672" s="28" t="s">
        <v>1441</v>
      </c>
      <c r="V672" s="28" t="s">
        <v>1619</v>
      </c>
      <c r="W672" s="28" t="s">
        <v>7560</v>
      </c>
      <c r="X672" s="17">
        <v>1</v>
      </c>
      <c r="CJ672" s="26" t="s">
        <v>1391</v>
      </c>
      <c r="CK672" s="26" t="s">
        <v>2270</v>
      </c>
      <c r="CL672" s="26" t="str">
        <f t="shared" si="41"/>
        <v>神奈川県大和市</v>
      </c>
      <c r="CM672" s="49">
        <v>667</v>
      </c>
      <c r="CN672" s="17" t="str">
        <f t="shared" si="40"/>
        <v>0713</v>
      </c>
      <c r="CO672" s="17" t="str">
        <f t="shared" si="42"/>
        <v>667713大和市</v>
      </c>
      <c r="CP672" s="17" t="s">
        <v>7561</v>
      </c>
      <c r="CQ672" s="17" t="b">
        <f t="shared" si="43"/>
        <v>1</v>
      </c>
    </row>
    <row r="673" spans="6:95">
      <c r="F673" s="23"/>
      <c r="I673" s="23"/>
      <c r="L673" s="50" t="s">
        <v>7562</v>
      </c>
      <c r="M673" s="17" t="s">
        <v>7563</v>
      </c>
      <c r="N673" s="51" t="s">
        <v>7564</v>
      </c>
      <c r="O673" s="29" t="s">
        <v>1451</v>
      </c>
      <c r="P673" s="29" t="s">
        <v>7565</v>
      </c>
      <c r="Q673" s="29" t="s">
        <v>1451</v>
      </c>
      <c r="R673" s="29" t="s">
        <v>1919</v>
      </c>
      <c r="S673" s="28" t="s">
        <v>1743</v>
      </c>
      <c r="T673" s="28" t="s">
        <v>3031</v>
      </c>
      <c r="U673" s="28" t="s">
        <v>1441</v>
      </c>
      <c r="V673" s="28" t="s">
        <v>1619</v>
      </c>
      <c r="W673" s="28" t="s">
        <v>7566</v>
      </c>
      <c r="X673" s="17">
        <v>1</v>
      </c>
      <c r="CJ673" s="26" t="s">
        <v>1391</v>
      </c>
      <c r="CK673" s="26" t="s">
        <v>2326</v>
      </c>
      <c r="CL673" s="26" t="str">
        <f t="shared" si="41"/>
        <v>神奈川県伊勢原市</v>
      </c>
      <c r="CM673" s="49">
        <v>668</v>
      </c>
      <c r="CN673" s="17" t="str">
        <f t="shared" si="40"/>
        <v>0714</v>
      </c>
      <c r="CO673" s="17" t="str">
        <f t="shared" si="42"/>
        <v>668714伊勢原市</v>
      </c>
      <c r="CP673" s="17" t="s">
        <v>7567</v>
      </c>
      <c r="CQ673" s="17" t="b">
        <f t="shared" si="43"/>
        <v>1</v>
      </c>
    </row>
    <row r="674" spans="6:95">
      <c r="F674" s="23"/>
      <c r="I674" s="23"/>
      <c r="L674" s="50" t="s">
        <v>7568</v>
      </c>
      <c r="M674" s="17" t="s">
        <v>7569</v>
      </c>
      <c r="N674" s="51" t="s">
        <v>7570</v>
      </c>
      <c r="O674" s="29" t="s">
        <v>1451</v>
      </c>
      <c r="P674" s="29" t="s">
        <v>7571</v>
      </c>
      <c r="Q674" s="29" t="s">
        <v>1451</v>
      </c>
      <c r="R674" s="29" t="s">
        <v>1976</v>
      </c>
      <c r="S674" s="28" t="s">
        <v>1803</v>
      </c>
      <c r="T674" s="28" t="s">
        <v>3062</v>
      </c>
      <c r="U674" s="28" t="s">
        <v>1441</v>
      </c>
      <c r="V674" s="28" t="s">
        <v>1619</v>
      </c>
      <c r="W674" s="28" t="s">
        <v>7572</v>
      </c>
      <c r="X674" s="17">
        <v>1</v>
      </c>
      <c r="CJ674" s="26" t="s">
        <v>1391</v>
      </c>
      <c r="CK674" s="26" t="s">
        <v>2380</v>
      </c>
      <c r="CL674" s="26" t="str">
        <f t="shared" si="41"/>
        <v>神奈川県海老名市</v>
      </c>
      <c r="CM674" s="49">
        <v>669</v>
      </c>
      <c r="CN674" s="17" t="str">
        <f t="shared" si="40"/>
        <v>0715</v>
      </c>
      <c r="CO674" s="17" t="str">
        <f t="shared" si="42"/>
        <v>669715海老名市</v>
      </c>
      <c r="CP674" s="17" t="s">
        <v>7573</v>
      </c>
      <c r="CQ674" s="17" t="b">
        <f t="shared" si="43"/>
        <v>1</v>
      </c>
    </row>
    <row r="675" spans="6:95">
      <c r="F675" s="23"/>
      <c r="I675" s="23"/>
      <c r="L675" s="50" t="s">
        <v>7574</v>
      </c>
      <c r="M675" s="17" t="s">
        <v>7575</v>
      </c>
      <c r="N675" s="51" t="s">
        <v>7576</v>
      </c>
      <c r="O675" s="29" t="s">
        <v>1451</v>
      </c>
      <c r="P675" s="29" t="s">
        <v>7577</v>
      </c>
      <c r="Q675" s="29" t="s">
        <v>1451</v>
      </c>
      <c r="R675" s="29" t="s">
        <v>2033</v>
      </c>
      <c r="S675" s="28" t="s">
        <v>1862</v>
      </c>
      <c r="T675" s="28" t="s">
        <v>3092</v>
      </c>
      <c r="U675" s="28" t="s">
        <v>1441</v>
      </c>
      <c r="V675" s="28" t="s">
        <v>1619</v>
      </c>
      <c r="W675" s="28" t="s">
        <v>7578</v>
      </c>
      <c r="X675" s="17">
        <v>1</v>
      </c>
      <c r="CJ675" s="26" t="s">
        <v>1391</v>
      </c>
      <c r="CK675" s="26" t="s">
        <v>2435</v>
      </c>
      <c r="CL675" s="26" t="str">
        <f t="shared" si="41"/>
        <v>神奈川県座間市</v>
      </c>
      <c r="CM675" s="49">
        <v>670</v>
      </c>
      <c r="CN675" s="17" t="str">
        <f t="shared" si="40"/>
        <v>0716</v>
      </c>
      <c r="CO675" s="17" t="str">
        <f t="shared" si="42"/>
        <v>670716座間市</v>
      </c>
      <c r="CP675" s="17" t="s">
        <v>7579</v>
      </c>
      <c r="CQ675" s="17" t="b">
        <f t="shared" si="43"/>
        <v>1</v>
      </c>
    </row>
    <row r="676" spans="6:95">
      <c r="F676" s="23"/>
      <c r="I676" s="23"/>
      <c r="L676" s="50" t="s">
        <v>7580</v>
      </c>
      <c r="M676" s="17" t="s">
        <v>7581</v>
      </c>
      <c r="N676" s="51" t="s">
        <v>7582</v>
      </c>
      <c r="O676" s="29" t="s">
        <v>1451</v>
      </c>
      <c r="P676" s="29" t="s">
        <v>7583</v>
      </c>
      <c r="Q676" s="29" t="s">
        <v>1451</v>
      </c>
      <c r="R676" s="29" t="s">
        <v>2089</v>
      </c>
      <c r="S676" s="28" t="s">
        <v>1920</v>
      </c>
      <c r="T676" s="28" t="s">
        <v>3124</v>
      </c>
      <c r="U676" s="28" t="s">
        <v>1441</v>
      </c>
      <c r="V676" s="28" t="s">
        <v>1619</v>
      </c>
      <c r="W676" s="28" t="s">
        <v>7584</v>
      </c>
      <c r="X676" s="17">
        <v>1</v>
      </c>
      <c r="CJ676" s="26" t="s">
        <v>1391</v>
      </c>
      <c r="CK676" s="26" t="s">
        <v>2488</v>
      </c>
      <c r="CL676" s="26" t="str">
        <f t="shared" si="41"/>
        <v>神奈川県南足柄市</v>
      </c>
      <c r="CM676" s="49">
        <v>671</v>
      </c>
      <c r="CN676" s="17" t="str">
        <f t="shared" si="40"/>
        <v>0717</v>
      </c>
      <c r="CO676" s="17" t="str">
        <f t="shared" si="42"/>
        <v>671717南足柄市</v>
      </c>
      <c r="CP676" s="17" t="s">
        <v>7585</v>
      </c>
      <c r="CQ676" s="17" t="b">
        <f t="shared" si="43"/>
        <v>1</v>
      </c>
    </row>
    <row r="677" spans="6:95">
      <c r="F677" s="23"/>
      <c r="I677" s="23"/>
      <c r="L677" s="50" t="s">
        <v>7586</v>
      </c>
      <c r="M677" s="17" t="s">
        <v>7587</v>
      </c>
      <c r="N677" s="51" t="s">
        <v>7588</v>
      </c>
      <c r="O677" s="29" t="s">
        <v>1451</v>
      </c>
      <c r="P677" s="29" t="s">
        <v>7589</v>
      </c>
      <c r="Q677" s="29" t="s">
        <v>1451</v>
      </c>
      <c r="R677" s="29" t="s">
        <v>2145</v>
      </c>
      <c r="S677" s="28" t="s">
        <v>1977</v>
      </c>
      <c r="T677" s="28" t="s">
        <v>3154</v>
      </c>
      <c r="U677" s="28" t="s">
        <v>1441</v>
      </c>
      <c r="V677" s="28" t="s">
        <v>1619</v>
      </c>
      <c r="W677" s="28" t="s">
        <v>7590</v>
      </c>
      <c r="X677" s="17">
        <v>1</v>
      </c>
      <c r="CJ677" s="26" t="s">
        <v>1391</v>
      </c>
      <c r="CK677" s="26" t="s">
        <v>2540</v>
      </c>
      <c r="CL677" s="26" t="str">
        <f t="shared" si="41"/>
        <v>神奈川県綾瀬市</v>
      </c>
      <c r="CM677" s="49">
        <v>672</v>
      </c>
      <c r="CN677" s="17" t="str">
        <f t="shared" si="40"/>
        <v>0718</v>
      </c>
      <c r="CO677" s="17" t="str">
        <f t="shared" si="42"/>
        <v>672718綾瀬市</v>
      </c>
      <c r="CP677" s="17" t="s">
        <v>7591</v>
      </c>
      <c r="CQ677" s="17" t="b">
        <f t="shared" si="43"/>
        <v>1</v>
      </c>
    </row>
    <row r="678" spans="6:95">
      <c r="F678" s="23"/>
      <c r="I678" s="23"/>
      <c r="L678" s="50" t="s">
        <v>7592</v>
      </c>
      <c r="M678" s="17" t="s">
        <v>7593</v>
      </c>
      <c r="N678" s="51" t="s">
        <v>7594</v>
      </c>
      <c r="O678" s="29" t="s">
        <v>1451</v>
      </c>
      <c r="P678" s="29" t="s">
        <v>7595</v>
      </c>
      <c r="Q678" s="29" t="s">
        <v>1451</v>
      </c>
      <c r="R678" s="29" t="s">
        <v>2200</v>
      </c>
      <c r="S678" s="28" t="s">
        <v>1743</v>
      </c>
      <c r="T678" s="28" t="s">
        <v>3182</v>
      </c>
      <c r="U678" s="28" t="s">
        <v>1441</v>
      </c>
      <c r="V678" s="28" t="s">
        <v>1619</v>
      </c>
      <c r="W678" s="28" t="s">
        <v>7596</v>
      </c>
      <c r="X678" s="17">
        <v>1</v>
      </c>
      <c r="CJ678" s="26" t="s">
        <v>1391</v>
      </c>
      <c r="CK678" s="26" t="s">
        <v>2590</v>
      </c>
      <c r="CL678" s="26" t="str">
        <f t="shared" si="41"/>
        <v>神奈川県葉山町</v>
      </c>
      <c r="CM678" s="49">
        <v>673</v>
      </c>
      <c r="CN678" s="17" t="str">
        <f t="shared" si="40"/>
        <v>0719</v>
      </c>
      <c r="CO678" s="17" t="str">
        <f t="shared" si="42"/>
        <v>673719葉山町</v>
      </c>
      <c r="CP678" s="17" t="s">
        <v>7597</v>
      </c>
      <c r="CQ678" s="17" t="b">
        <f t="shared" si="43"/>
        <v>1</v>
      </c>
    </row>
    <row r="679" spans="6:95">
      <c r="F679" s="23"/>
      <c r="I679" s="23"/>
      <c r="L679" s="50" t="s">
        <v>7598</v>
      </c>
      <c r="M679" s="17" t="s">
        <v>7599</v>
      </c>
      <c r="N679" s="51" t="s">
        <v>7600</v>
      </c>
      <c r="O679" s="29" t="s">
        <v>1451</v>
      </c>
      <c r="P679" s="29" t="s">
        <v>7601</v>
      </c>
      <c r="Q679" s="29" t="s">
        <v>1451</v>
      </c>
      <c r="R679" s="29" t="s">
        <v>2255</v>
      </c>
      <c r="S679" s="28" t="s">
        <v>1803</v>
      </c>
      <c r="T679" s="28" t="s">
        <v>3207</v>
      </c>
      <c r="U679" s="28" t="s">
        <v>1441</v>
      </c>
      <c r="V679" s="28" t="s">
        <v>1619</v>
      </c>
      <c r="W679" s="28" t="s">
        <v>7602</v>
      </c>
      <c r="X679" s="17">
        <v>1</v>
      </c>
      <c r="CJ679" s="26" t="s">
        <v>1391</v>
      </c>
      <c r="CK679" s="26" t="s">
        <v>2637</v>
      </c>
      <c r="CL679" s="26" t="str">
        <f t="shared" si="41"/>
        <v>神奈川県寒川町</v>
      </c>
      <c r="CM679" s="49">
        <v>674</v>
      </c>
      <c r="CN679" s="17" t="str">
        <f t="shared" si="40"/>
        <v>0720</v>
      </c>
      <c r="CO679" s="17" t="str">
        <f t="shared" si="42"/>
        <v>674720寒川町</v>
      </c>
      <c r="CP679" s="17" t="s">
        <v>7603</v>
      </c>
      <c r="CQ679" s="17" t="b">
        <f t="shared" si="43"/>
        <v>1</v>
      </c>
    </row>
    <row r="680" spans="6:95">
      <c r="F680" s="23"/>
      <c r="I680" s="23"/>
      <c r="L680" s="50" t="s">
        <v>7604</v>
      </c>
      <c r="M680" s="17" t="s">
        <v>7605</v>
      </c>
      <c r="N680" s="51" t="s">
        <v>7606</v>
      </c>
      <c r="O680" s="29" t="s">
        <v>1451</v>
      </c>
      <c r="P680" s="29" t="s">
        <v>7607</v>
      </c>
      <c r="Q680" s="29" t="s">
        <v>1451</v>
      </c>
      <c r="R680" s="29" t="s">
        <v>2310</v>
      </c>
      <c r="S680" s="28" t="s">
        <v>1626</v>
      </c>
      <c r="T680" s="28" t="s">
        <v>3231</v>
      </c>
      <c r="U680" s="28" t="s">
        <v>1441</v>
      </c>
      <c r="V680" s="28" t="s">
        <v>1619</v>
      </c>
      <c r="W680" s="28" t="s">
        <v>7608</v>
      </c>
      <c r="X680" s="17">
        <v>1</v>
      </c>
      <c r="CJ680" s="26" t="s">
        <v>1391</v>
      </c>
      <c r="CK680" s="26" t="s">
        <v>2683</v>
      </c>
      <c r="CL680" s="26" t="str">
        <f t="shared" si="41"/>
        <v>神奈川県大磯町</v>
      </c>
      <c r="CM680" s="49">
        <v>675</v>
      </c>
      <c r="CN680" s="17" t="str">
        <f t="shared" si="40"/>
        <v>0721</v>
      </c>
      <c r="CO680" s="17" t="str">
        <f t="shared" si="42"/>
        <v>675721大磯町</v>
      </c>
      <c r="CP680" s="17" t="s">
        <v>7609</v>
      </c>
      <c r="CQ680" s="17" t="b">
        <f t="shared" si="43"/>
        <v>1</v>
      </c>
    </row>
    <row r="681" spans="6:95">
      <c r="F681" s="23"/>
      <c r="I681" s="23"/>
      <c r="L681" s="50" t="s">
        <v>7610</v>
      </c>
      <c r="M681" s="17" t="s">
        <v>7611</v>
      </c>
      <c r="N681" s="51" t="s">
        <v>7612</v>
      </c>
      <c r="O681" s="29" t="s">
        <v>1451</v>
      </c>
      <c r="P681" s="29" t="s">
        <v>7613</v>
      </c>
      <c r="Q681" s="29" t="s">
        <v>1451</v>
      </c>
      <c r="R681" s="29" t="s">
        <v>2474</v>
      </c>
      <c r="S681" s="28" t="s">
        <v>2311</v>
      </c>
      <c r="T681" s="28" t="s">
        <v>3254</v>
      </c>
      <c r="U681" s="28" t="s">
        <v>1441</v>
      </c>
      <c r="V681" s="28" t="s">
        <v>1619</v>
      </c>
      <c r="W681" s="28" t="s">
        <v>7614</v>
      </c>
      <c r="X681" s="17">
        <v>1</v>
      </c>
      <c r="CJ681" s="26" t="s">
        <v>1391</v>
      </c>
      <c r="CK681" s="26" t="s">
        <v>2729</v>
      </c>
      <c r="CL681" s="26" t="str">
        <f t="shared" si="41"/>
        <v>神奈川県二宮町</v>
      </c>
      <c r="CM681" s="49">
        <v>676</v>
      </c>
      <c r="CN681" s="17" t="str">
        <f t="shared" si="40"/>
        <v>0722</v>
      </c>
      <c r="CO681" s="17" t="str">
        <f t="shared" si="42"/>
        <v>676722二宮町</v>
      </c>
      <c r="CP681" s="17" t="s">
        <v>7615</v>
      </c>
      <c r="CQ681" s="17" t="b">
        <f t="shared" si="43"/>
        <v>1</v>
      </c>
    </row>
    <row r="682" spans="6:95">
      <c r="F682" s="23"/>
      <c r="I682" s="23"/>
      <c r="L682" s="50" t="s">
        <v>7616</v>
      </c>
      <c r="M682" s="17" t="s">
        <v>7617</v>
      </c>
      <c r="N682" s="51" t="s">
        <v>7618</v>
      </c>
      <c r="O682" s="29" t="s">
        <v>1451</v>
      </c>
      <c r="P682" s="29" t="s">
        <v>7619</v>
      </c>
      <c r="Q682" s="29" t="s">
        <v>1451</v>
      </c>
      <c r="R682" s="29" t="s">
        <v>2524</v>
      </c>
      <c r="S682" s="28" t="s">
        <v>1564</v>
      </c>
      <c r="T682" s="28" t="s">
        <v>3279</v>
      </c>
      <c r="U682" s="28" t="s">
        <v>1441</v>
      </c>
      <c r="V682" s="28" t="s">
        <v>1619</v>
      </c>
      <c r="W682" s="28" t="s">
        <v>7620</v>
      </c>
      <c r="X682" s="17">
        <v>1</v>
      </c>
      <c r="CJ682" s="26" t="s">
        <v>1391</v>
      </c>
      <c r="CK682" s="26" t="s">
        <v>2773</v>
      </c>
      <c r="CL682" s="26" t="str">
        <f t="shared" si="41"/>
        <v>神奈川県中井町</v>
      </c>
      <c r="CM682" s="49">
        <v>677</v>
      </c>
      <c r="CN682" s="17" t="str">
        <f t="shared" si="40"/>
        <v>0723</v>
      </c>
      <c r="CO682" s="17" t="str">
        <f t="shared" si="42"/>
        <v>677723中井町</v>
      </c>
      <c r="CP682" s="17" t="s">
        <v>7621</v>
      </c>
      <c r="CQ682" s="17" t="b">
        <f t="shared" si="43"/>
        <v>1</v>
      </c>
    </row>
    <row r="683" spans="6:95">
      <c r="F683" s="23"/>
      <c r="I683" s="23"/>
      <c r="L683" s="50" t="s">
        <v>7622</v>
      </c>
      <c r="M683" s="17" t="s">
        <v>7623</v>
      </c>
      <c r="N683" s="51" t="s">
        <v>7624</v>
      </c>
      <c r="O683" s="29" t="s">
        <v>1451</v>
      </c>
      <c r="P683" s="29" t="s">
        <v>7625</v>
      </c>
      <c r="Q683" s="29" t="s">
        <v>1451</v>
      </c>
      <c r="R683" s="29" t="s">
        <v>2576</v>
      </c>
      <c r="S683" s="28" t="s">
        <v>1626</v>
      </c>
      <c r="T683" s="28" t="s">
        <v>3301</v>
      </c>
      <c r="U683" s="28" t="s">
        <v>1441</v>
      </c>
      <c r="V683" s="28" t="s">
        <v>1619</v>
      </c>
      <c r="W683" s="28" t="s">
        <v>7625</v>
      </c>
      <c r="X683" s="17">
        <v>1</v>
      </c>
      <c r="CJ683" s="26" t="s">
        <v>1391</v>
      </c>
      <c r="CK683" s="26" t="s">
        <v>2815</v>
      </c>
      <c r="CL683" s="26" t="str">
        <f t="shared" si="41"/>
        <v>神奈川県大井町</v>
      </c>
      <c r="CM683" s="49">
        <v>678</v>
      </c>
      <c r="CN683" s="17" t="str">
        <f t="shared" si="40"/>
        <v>0724</v>
      </c>
      <c r="CO683" s="17" t="str">
        <f t="shared" si="42"/>
        <v>678724大井町</v>
      </c>
      <c r="CP683" s="17" t="s">
        <v>7626</v>
      </c>
      <c r="CQ683" s="17" t="b">
        <f t="shared" si="43"/>
        <v>1</v>
      </c>
    </row>
    <row r="684" spans="6:95">
      <c r="F684" s="23"/>
      <c r="I684" s="23"/>
      <c r="L684" s="50" t="s">
        <v>7627</v>
      </c>
      <c r="M684" s="17" t="s">
        <v>7628</v>
      </c>
      <c r="N684" s="51" t="s">
        <v>7629</v>
      </c>
      <c r="O684" s="29" t="s">
        <v>1451</v>
      </c>
      <c r="P684" s="29" t="s">
        <v>7630</v>
      </c>
      <c r="Q684" s="29" t="s">
        <v>1451</v>
      </c>
      <c r="R684" s="29" t="s">
        <v>2623</v>
      </c>
      <c r="S684" s="28" t="s">
        <v>1502</v>
      </c>
      <c r="T684" s="28" t="s">
        <v>3323</v>
      </c>
      <c r="U684" s="28" t="s">
        <v>1441</v>
      </c>
      <c r="V684" s="28" t="s">
        <v>1619</v>
      </c>
      <c r="W684" s="28" t="s">
        <v>7630</v>
      </c>
      <c r="X684" s="17">
        <v>1</v>
      </c>
      <c r="CJ684" s="26" t="s">
        <v>1391</v>
      </c>
      <c r="CK684" s="26" t="s">
        <v>2855</v>
      </c>
      <c r="CL684" s="26" t="str">
        <f t="shared" si="41"/>
        <v>神奈川県松田町</v>
      </c>
      <c r="CM684" s="49">
        <v>679</v>
      </c>
      <c r="CN684" s="17" t="str">
        <f t="shared" si="40"/>
        <v>0725</v>
      </c>
      <c r="CO684" s="17" t="str">
        <f t="shared" si="42"/>
        <v>679725松田町</v>
      </c>
      <c r="CP684" s="17" t="s">
        <v>7631</v>
      </c>
      <c r="CQ684" s="17" t="b">
        <f t="shared" si="43"/>
        <v>1</v>
      </c>
    </row>
    <row r="685" spans="6:95">
      <c r="F685" s="23"/>
      <c r="I685" s="23"/>
      <c r="L685" s="50" t="s">
        <v>7632</v>
      </c>
      <c r="M685" s="17" t="s">
        <v>7633</v>
      </c>
      <c r="N685" s="51" t="s">
        <v>7634</v>
      </c>
      <c r="O685" s="29" t="s">
        <v>1451</v>
      </c>
      <c r="P685" s="29" t="s">
        <v>7635</v>
      </c>
      <c r="Q685" s="29" t="s">
        <v>1451</v>
      </c>
      <c r="R685" s="29" t="s">
        <v>2668</v>
      </c>
      <c r="S685" s="28" t="s">
        <v>2525</v>
      </c>
      <c r="T685" s="28" t="s">
        <v>3344</v>
      </c>
      <c r="U685" s="28" t="s">
        <v>1441</v>
      </c>
      <c r="V685" s="28" t="s">
        <v>1619</v>
      </c>
      <c r="W685" s="28" t="s">
        <v>7635</v>
      </c>
      <c r="X685" s="17">
        <v>1</v>
      </c>
      <c r="CJ685" s="26" t="s">
        <v>1391</v>
      </c>
      <c r="CK685" s="26" t="s">
        <v>2894</v>
      </c>
      <c r="CL685" s="26" t="str">
        <f t="shared" si="41"/>
        <v>神奈川県山北町</v>
      </c>
      <c r="CM685" s="49">
        <v>680</v>
      </c>
      <c r="CN685" s="17" t="str">
        <f t="shared" si="40"/>
        <v>0726</v>
      </c>
      <c r="CO685" s="17" t="str">
        <f t="shared" si="42"/>
        <v>680726山北町</v>
      </c>
      <c r="CP685" s="17" t="s">
        <v>7636</v>
      </c>
      <c r="CQ685" s="17" t="b">
        <f t="shared" si="43"/>
        <v>1</v>
      </c>
    </row>
    <row r="686" spans="6:95">
      <c r="F686" s="23"/>
      <c r="I686" s="23"/>
      <c r="L686" s="50" t="s">
        <v>7637</v>
      </c>
      <c r="M686" s="17" t="s">
        <v>7638</v>
      </c>
      <c r="N686" s="51" t="s">
        <v>7639</v>
      </c>
      <c r="O686" s="29" t="s">
        <v>1451</v>
      </c>
      <c r="P686" s="29" t="s">
        <v>7640</v>
      </c>
      <c r="Q686" s="29" t="s">
        <v>1451</v>
      </c>
      <c r="R686" s="29" t="s">
        <v>2714</v>
      </c>
      <c r="S686" s="28" t="s">
        <v>2311</v>
      </c>
      <c r="T686" s="28" t="s">
        <v>3365</v>
      </c>
      <c r="U686" s="28" t="s">
        <v>1441</v>
      </c>
      <c r="V686" s="28" t="s">
        <v>1619</v>
      </c>
      <c r="W686" s="28" t="s">
        <v>7640</v>
      </c>
      <c r="X686" s="17">
        <v>1</v>
      </c>
      <c r="CJ686" s="26" t="s">
        <v>1391</v>
      </c>
      <c r="CK686" s="26" t="s">
        <v>2931</v>
      </c>
      <c r="CL686" s="26" t="str">
        <f t="shared" si="41"/>
        <v>神奈川県開成町</v>
      </c>
      <c r="CM686" s="49">
        <v>681</v>
      </c>
      <c r="CN686" s="17" t="str">
        <f t="shared" si="40"/>
        <v>0727</v>
      </c>
      <c r="CO686" s="17" t="str">
        <f t="shared" si="42"/>
        <v>681727開成町</v>
      </c>
      <c r="CP686" s="17" t="s">
        <v>7641</v>
      </c>
      <c r="CQ686" s="17" t="b">
        <f t="shared" si="43"/>
        <v>1</v>
      </c>
    </row>
    <row r="687" spans="6:95">
      <c r="F687" s="23"/>
      <c r="I687" s="23"/>
      <c r="L687" s="50" t="s">
        <v>7642</v>
      </c>
      <c r="M687" s="17" t="s">
        <v>7643</v>
      </c>
      <c r="N687" s="51" t="s">
        <v>7644</v>
      </c>
      <c r="O687" s="29" t="s">
        <v>1451</v>
      </c>
      <c r="P687" s="29" t="s">
        <v>7645</v>
      </c>
      <c r="Q687" s="29" t="s">
        <v>1451</v>
      </c>
      <c r="R687" s="29" t="s">
        <v>2758</v>
      </c>
      <c r="S687" s="28" t="s">
        <v>1564</v>
      </c>
      <c r="T687" s="28" t="s">
        <v>3383</v>
      </c>
      <c r="U687" s="28" t="s">
        <v>1441</v>
      </c>
      <c r="V687" s="28" t="s">
        <v>1619</v>
      </c>
      <c r="W687" s="28" t="s">
        <v>7645</v>
      </c>
      <c r="X687" s="17">
        <v>1</v>
      </c>
      <c r="CJ687" s="26" t="s">
        <v>1391</v>
      </c>
      <c r="CK687" s="26" t="s">
        <v>2964</v>
      </c>
      <c r="CL687" s="26" t="str">
        <f t="shared" si="41"/>
        <v>神奈川県箱根町</v>
      </c>
      <c r="CM687" s="49">
        <v>682</v>
      </c>
      <c r="CN687" s="17" t="str">
        <f t="shared" si="40"/>
        <v>0728</v>
      </c>
      <c r="CO687" s="17" t="str">
        <f t="shared" si="42"/>
        <v>682728箱根町</v>
      </c>
      <c r="CP687" s="17" t="s">
        <v>7646</v>
      </c>
      <c r="CQ687" s="17" t="b">
        <f t="shared" si="43"/>
        <v>1</v>
      </c>
    </row>
    <row r="688" spans="6:95">
      <c r="F688" s="23"/>
      <c r="I688" s="23"/>
      <c r="L688" s="50" t="s">
        <v>7647</v>
      </c>
      <c r="M688" s="17" t="s">
        <v>7648</v>
      </c>
      <c r="N688" s="51" t="s">
        <v>7649</v>
      </c>
      <c r="O688" s="29" t="s">
        <v>1451</v>
      </c>
      <c r="P688" s="29" t="s">
        <v>7650</v>
      </c>
      <c r="Q688" s="29" t="s">
        <v>1451</v>
      </c>
      <c r="R688" s="29" t="s">
        <v>2800</v>
      </c>
      <c r="S688" s="28" t="s">
        <v>1920</v>
      </c>
      <c r="T688" s="28" t="s">
        <v>3401</v>
      </c>
      <c r="U688" s="28" t="s">
        <v>1441</v>
      </c>
      <c r="V688" s="28" t="s">
        <v>1619</v>
      </c>
      <c r="W688" s="28" t="s">
        <v>7651</v>
      </c>
      <c r="X688" s="17">
        <v>1</v>
      </c>
      <c r="CJ688" s="26" t="s">
        <v>1391</v>
      </c>
      <c r="CK688" s="26" t="s">
        <v>2998</v>
      </c>
      <c r="CL688" s="26" t="str">
        <f t="shared" si="41"/>
        <v>神奈川県真鶴町</v>
      </c>
      <c r="CM688" s="49">
        <v>683</v>
      </c>
      <c r="CN688" s="17" t="str">
        <f t="shared" si="40"/>
        <v>0729</v>
      </c>
      <c r="CO688" s="17" t="str">
        <f t="shared" si="42"/>
        <v>683729真鶴町</v>
      </c>
      <c r="CP688" s="17" t="s">
        <v>7652</v>
      </c>
      <c r="CQ688" s="17" t="b">
        <f t="shared" si="43"/>
        <v>1</v>
      </c>
    </row>
    <row r="689" spans="6:95">
      <c r="F689" s="23"/>
      <c r="I689" s="23"/>
      <c r="L689" s="50" t="s">
        <v>7653</v>
      </c>
      <c r="M689" s="17" t="s">
        <v>7654</v>
      </c>
      <c r="N689" s="51" t="s">
        <v>7655</v>
      </c>
      <c r="O689" s="29" t="s">
        <v>1451</v>
      </c>
      <c r="P689" s="29" t="s">
        <v>7656</v>
      </c>
      <c r="Q689" s="29" t="s">
        <v>1451</v>
      </c>
      <c r="R689" s="29" t="s">
        <v>4381</v>
      </c>
      <c r="S689" s="28" t="s">
        <v>1743</v>
      </c>
      <c r="T689" s="28" t="s">
        <v>3417</v>
      </c>
      <c r="U689" s="28" t="s">
        <v>1441</v>
      </c>
      <c r="V689" s="28" t="s">
        <v>1619</v>
      </c>
      <c r="W689" s="28" t="s">
        <v>7657</v>
      </c>
      <c r="X689" s="17">
        <v>1</v>
      </c>
      <c r="CJ689" s="26" t="s">
        <v>1391</v>
      </c>
      <c r="CK689" s="26" t="s">
        <v>3032</v>
      </c>
      <c r="CL689" s="26" t="str">
        <f t="shared" si="41"/>
        <v>神奈川県湯河原町</v>
      </c>
      <c r="CM689" s="49">
        <v>684</v>
      </c>
      <c r="CN689" s="17" t="str">
        <f t="shared" si="40"/>
        <v>0730</v>
      </c>
      <c r="CO689" s="17" t="str">
        <f t="shared" si="42"/>
        <v>684730湯河原町</v>
      </c>
      <c r="CP689" s="17" t="s">
        <v>7658</v>
      </c>
      <c r="CQ689" s="17" t="b">
        <f t="shared" si="43"/>
        <v>1</v>
      </c>
    </row>
    <row r="690" spans="6:95">
      <c r="F690" s="23"/>
      <c r="I690" s="23"/>
      <c r="L690" s="50" t="s">
        <v>7659</v>
      </c>
      <c r="M690" s="17" t="s">
        <v>7660</v>
      </c>
      <c r="N690" s="51" t="s">
        <v>7661</v>
      </c>
      <c r="O690" s="29" t="s">
        <v>1451</v>
      </c>
      <c r="P690" s="29" t="s">
        <v>7662</v>
      </c>
      <c r="Q690" s="29" t="s">
        <v>1451</v>
      </c>
      <c r="R690" s="29" t="s">
        <v>2881</v>
      </c>
      <c r="S690" s="28" t="s">
        <v>1803</v>
      </c>
      <c r="T690" s="28" t="s">
        <v>3432</v>
      </c>
      <c r="U690" s="28" t="s">
        <v>1441</v>
      </c>
      <c r="V690" s="28" t="s">
        <v>1619</v>
      </c>
      <c r="W690" s="28" t="s">
        <v>7663</v>
      </c>
      <c r="X690" s="17">
        <v>1</v>
      </c>
      <c r="CJ690" s="26" t="s">
        <v>1391</v>
      </c>
      <c r="CK690" s="26" t="s">
        <v>3063</v>
      </c>
      <c r="CL690" s="26" t="str">
        <f t="shared" si="41"/>
        <v>神奈川県愛川町</v>
      </c>
      <c r="CM690" s="49">
        <v>685</v>
      </c>
      <c r="CN690" s="17" t="str">
        <f t="shared" si="40"/>
        <v>0731</v>
      </c>
      <c r="CO690" s="17" t="str">
        <f t="shared" si="42"/>
        <v>685731愛川町</v>
      </c>
      <c r="CP690" s="17" t="s">
        <v>7664</v>
      </c>
      <c r="CQ690" s="17" t="b">
        <f t="shared" si="43"/>
        <v>1</v>
      </c>
    </row>
    <row r="691" spans="6:95">
      <c r="F691" s="23"/>
      <c r="I691" s="23"/>
      <c r="L691" s="50" t="s">
        <v>7665</v>
      </c>
      <c r="M691" s="17" t="s">
        <v>7666</v>
      </c>
      <c r="N691" s="51" t="s">
        <v>7667</v>
      </c>
      <c r="O691" s="29" t="s">
        <v>1451</v>
      </c>
      <c r="P691" s="29" t="s">
        <v>7668</v>
      </c>
      <c r="Q691" s="29" t="s">
        <v>1451</v>
      </c>
      <c r="R691" s="29" t="s">
        <v>2918</v>
      </c>
      <c r="S691" s="28" t="s">
        <v>1862</v>
      </c>
      <c r="T691" s="28" t="s">
        <v>3447</v>
      </c>
      <c r="U691" s="28" t="s">
        <v>1441</v>
      </c>
      <c r="V691" s="28" t="s">
        <v>1619</v>
      </c>
      <c r="W691" s="28" t="s">
        <v>7669</v>
      </c>
      <c r="X691" s="17">
        <v>1</v>
      </c>
      <c r="CJ691" s="26" t="s">
        <v>1391</v>
      </c>
      <c r="CK691" s="26" t="s">
        <v>3093</v>
      </c>
      <c r="CL691" s="26" t="str">
        <f t="shared" si="41"/>
        <v>神奈川県清川村</v>
      </c>
      <c r="CM691" s="49">
        <v>686</v>
      </c>
      <c r="CN691" s="17" t="str">
        <f t="shared" si="40"/>
        <v>0732</v>
      </c>
      <c r="CO691" s="17" t="str">
        <f t="shared" si="42"/>
        <v>686732清川村</v>
      </c>
      <c r="CP691" s="17" t="s">
        <v>7670</v>
      </c>
      <c r="CQ691" s="17" t="b">
        <f t="shared" si="43"/>
        <v>1</v>
      </c>
    </row>
    <row r="692" spans="6:95">
      <c r="F692" s="23"/>
      <c r="I692" s="23"/>
      <c r="L692" s="50" t="s">
        <v>7671</v>
      </c>
      <c r="M692" s="17" t="s">
        <v>7672</v>
      </c>
      <c r="N692" s="51" t="s">
        <v>7673</v>
      </c>
      <c r="O692" s="29" t="s">
        <v>1451</v>
      </c>
      <c r="P692" s="29" t="s">
        <v>7674</v>
      </c>
      <c r="Q692" s="29" t="s">
        <v>1451</v>
      </c>
      <c r="R692" s="29" t="s">
        <v>3142</v>
      </c>
      <c r="S692" s="28" t="s">
        <v>2311</v>
      </c>
      <c r="T692" s="28" t="s">
        <v>3462</v>
      </c>
      <c r="U692" s="28" t="s">
        <v>1441</v>
      </c>
      <c r="V692" s="28" t="s">
        <v>1619</v>
      </c>
      <c r="W692" s="28" t="s">
        <v>7675</v>
      </c>
      <c r="X692" s="17">
        <v>1</v>
      </c>
      <c r="CJ692" s="26" t="s">
        <v>1392</v>
      </c>
      <c r="CK692" s="26" t="s">
        <v>1518</v>
      </c>
      <c r="CL692" s="26" t="str">
        <f t="shared" si="41"/>
        <v>新潟県新潟市</v>
      </c>
      <c r="CM692" s="49">
        <v>687</v>
      </c>
      <c r="CN692" s="17" t="str">
        <f t="shared" si="40"/>
        <v>0733</v>
      </c>
      <c r="CO692" s="17" t="str">
        <f t="shared" si="42"/>
        <v>687733新潟市</v>
      </c>
      <c r="CP692" s="17" t="s">
        <v>7676</v>
      </c>
      <c r="CQ692" s="17" t="b">
        <f t="shared" si="43"/>
        <v>1</v>
      </c>
    </row>
    <row r="693" spans="6:95">
      <c r="F693" s="23"/>
      <c r="I693" s="23"/>
      <c r="L693" s="50" t="s">
        <v>7677</v>
      </c>
      <c r="M693" s="17" t="s">
        <v>7678</v>
      </c>
      <c r="N693" s="51" t="s">
        <v>7679</v>
      </c>
      <c r="O693" s="29" t="s">
        <v>1451</v>
      </c>
      <c r="P693" s="29" t="s">
        <v>7680</v>
      </c>
      <c r="Q693" s="29" t="s">
        <v>1451</v>
      </c>
      <c r="R693" s="29" t="s">
        <v>7681</v>
      </c>
      <c r="S693" s="28" t="s">
        <v>1920</v>
      </c>
      <c r="T693" s="28" t="s">
        <v>3475</v>
      </c>
      <c r="U693" s="28" t="s">
        <v>1441</v>
      </c>
      <c r="V693" s="28" t="s">
        <v>1619</v>
      </c>
      <c r="W693" s="28" t="s">
        <v>7682</v>
      </c>
      <c r="X693" s="17">
        <v>1</v>
      </c>
      <c r="CJ693" s="26" t="s">
        <v>1392</v>
      </c>
      <c r="CK693" s="26" t="s">
        <v>1580</v>
      </c>
      <c r="CL693" s="26" t="str">
        <f t="shared" si="41"/>
        <v>新潟県長岡市</v>
      </c>
      <c r="CM693" s="49">
        <v>688</v>
      </c>
      <c r="CN693" s="17" t="str">
        <f t="shared" si="40"/>
        <v>0734</v>
      </c>
      <c r="CO693" s="17" t="str">
        <f t="shared" si="42"/>
        <v>688734長岡市</v>
      </c>
      <c r="CP693" s="17" t="s">
        <v>7683</v>
      </c>
      <c r="CQ693" s="17" t="b">
        <f t="shared" si="43"/>
        <v>1</v>
      </c>
    </row>
    <row r="694" spans="6:95">
      <c r="F694" s="23"/>
      <c r="I694" s="23"/>
      <c r="L694" s="50" t="s">
        <v>7684</v>
      </c>
      <c r="M694" s="17" t="s">
        <v>7685</v>
      </c>
      <c r="N694" s="51" t="s">
        <v>7686</v>
      </c>
      <c r="O694" s="29" t="s">
        <v>1451</v>
      </c>
      <c r="P694" s="29" t="s">
        <v>7687</v>
      </c>
      <c r="Q694" s="29" t="s">
        <v>1451</v>
      </c>
      <c r="R694" s="29" t="s">
        <v>4672</v>
      </c>
      <c r="S694" s="28" t="s">
        <v>1743</v>
      </c>
      <c r="T694" s="28" t="s">
        <v>3489</v>
      </c>
      <c r="U694" s="28" t="s">
        <v>1441</v>
      </c>
      <c r="V694" s="28" t="s">
        <v>1619</v>
      </c>
      <c r="W694" s="28" t="s">
        <v>7688</v>
      </c>
      <c r="X694" s="17">
        <v>1</v>
      </c>
      <c r="CJ694" s="26" t="s">
        <v>1392</v>
      </c>
      <c r="CK694" s="26" t="s">
        <v>1642</v>
      </c>
      <c r="CL694" s="26" t="str">
        <f t="shared" si="41"/>
        <v>新潟県三条市</v>
      </c>
      <c r="CM694" s="49">
        <v>689</v>
      </c>
      <c r="CN694" s="17" t="str">
        <f t="shared" si="40"/>
        <v>0735</v>
      </c>
      <c r="CO694" s="17" t="str">
        <f t="shared" si="42"/>
        <v>689735三条市</v>
      </c>
      <c r="CP694" s="17" t="s">
        <v>7689</v>
      </c>
      <c r="CQ694" s="17" t="b">
        <f t="shared" si="43"/>
        <v>1</v>
      </c>
    </row>
    <row r="695" spans="6:95">
      <c r="F695" s="23"/>
      <c r="I695" s="23"/>
      <c r="L695" s="50" t="s">
        <v>7690</v>
      </c>
      <c r="M695" s="17" t="s">
        <v>7691</v>
      </c>
      <c r="N695" s="51" t="s">
        <v>7692</v>
      </c>
      <c r="O695" s="29" t="s">
        <v>1451</v>
      </c>
      <c r="P695" s="29" t="s">
        <v>7693</v>
      </c>
      <c r="Q695" s="29" t="s">
        <v>1451</v>
      </c>
      <c r="R695" s="29" t="s">
        <v>5747</v>
      </c>
      <c r="S695" s="28" t="s">
        <v>1803</v>
      </c>
      <c r="T695" s="28" t="s">
        <v>3504</v>
      </c>
      <c r="U695" s="28" t="s">
        <v>1441</v>
      </c>
      <c r="V695" s="28" t="s">
        <v>1619</v>
      </c>
      <c r="W695" s="28" t="s">
        <v>7694</v>
      </c>
      <c r="X695" s="17">
        <v>1</v>
      </c>
      <c r="CJ695" s="26" t="s">
        <v>1392</v>
      </c>
      <c r="CK695" s="26" t="s">
        <v>1700</v>
      </c>
      <c r="CL695" s="26" t="str">
        <f t="shared" si="41"/>
        <v>新潟県柏崎市</v>
      </c>
      <c r="CM695" s="49">
        <v>690</v>
      </c>
      <c r="CN695" s="17" t="str">
        <f t="shared" si="40"/>
        <v>0736</v>
      </c>
      <c r="CO695" s="17" t="str">
        <f t="shared" si="42"/>
        <v>690736柏崎市</v>
      </c>
      <c r="CP695" s="17" t="s">
        <v>7695</v>
      </c>
      <c r="CQ695" s="17" t="b">
        <f t="shared" si="43"/>
        <v>1</v>
      </c>
    </row>
    <row r="696" spans="6:95">
      <c r="F696" s="23"/>
      <c r="I696" s="23"/>
      <c r="L696" s="50" t="s">
        <v>7696</v>
      </c>
      <c r="M696" s="17" t="s">
        <v>7697</v>
      </c>
      <c r="N696" s="51" t="s">
        <v>7698</v>
      </c>
      <c r="O696" s="29" t="s">
        <v>1451</v>
      </c>
      <c r="P696" s="29" t="s">
        <v>7699</v>
      </c>
      <c r="Q696" s="29" t="s">
        <v>1451</v>
      </c>
      <c r="R696" s="29" t="s">
        <v>3395</v>
      </c>
      <c r="S696" s="28" t="s">
        <v>1564</v>
      </c>
      <c r="T696" s="28" t="s">
        <v>3518</v>
      </c>
      <c r="U696" s="28" t="s">
        <v>1441</v>
      </c>
      <c r="V696" s="28" t="s">
        <v>1619</v>
      </c>
      <c r="W696" s="28" t="s">
        <v>7700</v>
      </c>
      <c r="X696" s="17">
        <v>1</v>
      </c>
      <c r="CJ696" s="26" t="s">
        <v>1392</v>
      </c>
      <c r="CK696" s="26" t="s">
        <v>1759</v>
      </c>
      <c r="CL696" s="26" t="str">
        <f t="shared" si="41"/>
        <v>新潟県新発田市</v>
      </c>
      <c r="CM696" s="49">
        <v>691</v>
      </c>
      <c r="CN696" s="17" t="str">
        <f t="shared" si="40"/>
        <v>0737</v>
      </c>
      <c r="CO696" s="17" t="str">
        <f t="shared" si="42"/>
        <v>691737新発田市</v>
      </c>
      <c r="CP696" s="17" t="s">
        <v>7701</v>
      </c>
      <c r="CQ696" s="17" t="b">
        <f t="shared" si="43"/>
        <v>1</v>
      </c>
    </row>
    <row r="697" spans="6:95">
      <c r="F697" s="23"/>
      <c r="I697" s="23"/>
      <c r="L697" s="50" t="s">
        <v>7702</v>
      </c>
      <c r="M697" s="17" t="s">
        <v>7703</v>
      </c>
      <c r="N697" s="51" t="s">
        <v>7704</v>
      </c>
      <c r="O697" s="29" t="s">
        <v>1451</v>
      </c>
      <c r="P697" s="29" t="s">
        <v>7705</v>
      </c>
      <c r="Q697" s="29" t="s">
        <v>1451</v>
      </c>
      <c r="R697" s="29" t="s">
        <v>3411</v>
      </c>
      <c r="S697" s="28" t="s">
        <v>1626</v>
      </c>
      <c r="T697" s="28" t="s">
        <v>3531</v>
      </c>
      <c r="U697" s="28" t="s">
        <v>1441</v>
      </c>
      <c r="V697" s="28" t="s">
        <v>1619</v>
      </c>
      <c r="W697" s="28" t="s">
        <v>7706</v>
      </c>
      <c r="X697" s="17">
        <v>1</v>
      </c>
      <c r="CJ697" s="26" t="s">
        <v>1392</v>
      </c>
      <c r="CK697" s="26" t="s">
        <v>1819</v>
      </c>
      <c r="CL697" s="26" t="str">
        <f t="shared" si="41"/>
        <v>新潟県小千谷市</v>
      </c>
      <c r="CM697" s="49">
        <v>692</v>
      </c>
      <c r="CN697" s="17" t="str">
        <f t="shared" si="40"/>
        <v>0738</v>
      </c>
      <c r="CO697" s="17" t="str">
        <f t="shared" si="42"/>
        <v>692738小千谷市</v>
      </c>
      <c r="CP697" s="17" t="s">
        <v>7707</v>
      </c>
      <c r="CQ697" s="17" t="b">
        <f t="shared" si="43"/>
        <v>1</v>
      </c>
    </row>
    <row r="698" spans="6:95">
      <c r="F698" s="23"/>
      <c r="I698" s="23"/>
      <c r="L698" s="50" t="s">
        <v>7708</v>
      </c>
      <c r="M698" s="17" t="s">
        <v>7709</v>
      </c>
      <c r="N698" s="51" t="s">
        <v>7710</v>
      </c>
      <c r="O698" s="29" t="s">
        <v>1451</v>
      </c>
      <c r="P698" s="29" t="s">
        <v>7711</v>
      </c>
      <c r="Q698" s="29" t="s">
        <v>1451</v>
      </c>
      <c r="R698" s="29" t="s">
        <v>3426</v>
      </c>
      <c r="S698" s="28" t="s">
        <v>1502</v>
      </c>
      <c r="T698" s="28" t="s">
        <v>3544</v>
      </c>
      <c r="U698" s="28" t="s">
        <v>1441</v>
      </c>
      <c r="V698" s="28" t="s">
        <v>1619</v>
      </c>
      <c r="W698" s="28" t="s">
        <v>7712</v>
      </c>
      <c r="X698" s="17">
        <v>1</v>
      </c>
      <c r="CJ698" s="26" t="s">
        <v>1392</v>
      </c>
      <c r="CK698" s="26" t="s">
        <v>1878</v>
      </c>
      <c r="CL698" s="26" t="str">
        <f t="shared" si="41"/>
        <v>新潟県加茂市</v>
      </c>
      <c r="CM698" s="49">
        <v>693</v>
      </c>
      <c r="CN698" s="17" t="str">
        <f t="shared" si="40"/>
        <v>0739</v>
      </c>
      <c r="CO698" s="17" t="str">
        <f t="shared" si="42"/>
        <v>693739加茂市</v>
      </c>
      <c r="CP698" s="17" t="s">
        <v>7713</v>
      </c>
      <c r="CQ698" s="17" t="b">
        <f t="shared" si="43"/>
        <v>1</v>
      </c>
    </row>
    <row r="699" spans="6:95">
      <c r="F699" s="23"/>
      <c r="I699" s="23"/>
      <c r="L699" s="50" t="s">
        <v>7714</v>
      </c>
      <c r="M699" s="17" t="s">
        <v>7715</v>
      </c>
      <c r="N699" s="51" t="s">
        <v>7716</v>
      </c>
      <c r="O699" s="29" t="s">
        <v>1451</v>
      </c>
      <c r="P699" s="29" t="s">
        <v>7717</v>
      </c>
      <c r="Q699" s="29" t="s">
        <v>1451</v>
      </c>
      <c r="R699" s="29" t="s">
        <v>3441</v>
      </c>
      <c r="S699" s="28" t="s">
        <v>2525</v>
      </c>
      <c r="T699" s="28" t="s">
        <v>3558</v>
      </c>
      <c r="U699" s="28" t="s">
        <v>1441</v>
      </c>
      <c r="V699" s="28" t="s">
        <v>1619</v>
      </c>
      <c r="W699" s="28" t="s">
        <v>7718</v>
      </c>
      <c r="X699" s="17">
        <v>1</v>
      </c>
      <c r="CJ699" s="26" t="s">
        <v>1392</v>
      </c>
      <c r="CK699" s="26" t="s">
        <v>1936</v>
      </c>
      <c r="CL699" s="26" t="str">
        <f t="shared" si="41"/>
        <v>新潟県十日町市</v>
      </c>
      <c r="CM699" s="49">
        <v>694</v>
      </c>
      <c r="CN699" s="17" t="str">
        <f t="shared" si="40"/>
        <v>0740</v>
      </c>
      <c r="CO699" s="17" t="str">
        <f t="shared" si="42"/>
        <v>694740十日町市</v>
      </c>
      <c r="CP699" s="17" t="s">
        <v>7719</v>
      </c>
      <c r="CQ699" s="17" t="b">
        <f t="shared" si="43"/>
        <v>1</v>
      </c>
    </row>
    <row r="700" spans="6:95">
      <c r="F700" s="23"/>
      <c r="I700" s="23"/>
      <c r="L700" s="50" t="s">
        <v>7720</v>
      </c>
      <c r="M700" s="17" t="s">
        <v>7721</v>
      </c>
      <c r="N700" s="51" t="s">
        <v>7722</v>
      </c>
      <c r="O700" s="29" t="s">
        <v>1451</v>
      </c>
      <c r="P700" s="29" t="s">
        <v>7723</v>
      </c>
      <c r="Q700" s="29" t="s">
        <v>1451</v>
      </c>
      <c r="R700" s="29" t="s">
        <v>4716</v>
      </c>
      <c r="S700" s="28" t="s">
        <v>1626</v>
      </c>
      <c r="T700" s="28" t="s">
        <v>3571</v>
      </c>
      <c r="U700" s="28" t="s">
        <v>1441</v>
      </c>
      <c r="V700" s="28" t="s">
        <v>1619</v>
      </c>
      <c r="W700" s="28" t="s">
        <v>7724</v>
      </c>
      <c r="X700" s="17">
        <v>1</v>
      </c>
      <c r="CJ700" s="26" t="s">
        <v>1392</v>
      </c>
      <c r="CK700" s="26" t="s">
        <v>1993</v>
      </c>
      <c r="CL700" s="26" t="str">
        <f t="shared" si="41"/>
        <v>新潟県見附市</v>
      </c>
      <c r="CM700" s="49">
        <v>695</v>
      </c>
      <c r="CN700" s="17" t="str">
        <f t="shared" si="40"/>
        <v>0741</v>
      </c>
      <c r="CO700" s="17" t="str">
        <f t="shared" si="42"/>
        <v>695741見附市</v>
      </c>
      <c r="CP700" s="17" t="s">
        <v>7725</v>
      </c>
      <c r="CQ700" s="17" t="b">
        <f t="shared" si="43"/>
        <v>1</v>
      </c>
    </row>
    <row r="701" spans="6:95">
      <c r="F701" s="23"/>
      <c r="I701" s="23"/>
      <c r="L701" s="50" t="s">
        <v>7726</v>
      </c>
      <c r="M701" s="17" t="s">
        <v>7727</v>
      </c>
      <c r="N701" s="51" t="s">
        <v>7728</v>
      </c>
      <c r="O701" s="29" t="s">
        <v>1451</v>
      </c>
      <c r="P701" s="29" t="s">
        <v>7729</v>
      </c>
      <c r="Q701" s="29" t="s">
        <v>1451</v>
      </c>
      <c r="R701" s="29" t="s">
        <v>5614</v>
      </c>
      <c r="S701" s="28" t="s">
        <v>1502</v>
      </c>
      <c r="T701" s="28" t="s">
        <v>3583</v>
      </c>
      <c r="U701" s="28" t="s">
        <v>1441</v>
      </c>
      <c r="V701" s="28" t="s">
        <v>1619</v>
      </c>
      <c r="W701" s="28" t="s">
        <v>7730</v>
      </c>
      <c r="X701" s="17">
        <v>1</v>
      </c>
      <c r="CJ701" s="26" t="s">
        <v>1392</v>
      </c>
      <c r="CK701" s="26" t="s">
        <v>2049</v>
      </c>
      <c r="CL701" s="26" t="str">
        <f t="shared" si="41"/>
        <v>新潟県村上市</v>
      </c>
      <c r="CM701" s="49">
        <v>696</v>
      </c>
      <c r="CN701" s="17" t="str">
        <f t="shared" si="40"/>
        <v>0742</v>
      </c>
      <c r="CO701" s="17" t="str">
        <f t="shared" si="42"/>
        <v>696742村上市</v>
      </c>
      <c r="CP701" s="17" t="s">
        <v>7731</v>
      </c>
      <c r="CQ701" s="17" t="b">
        <f t="shared" si="43"/>
        <v>1</v>
      </c>
    </row>
    <row r="702" spans="6:95">
      <c r="F702" s="23"/>
      <c r="I702" s="23"/>
      <c r="L702" s="50" t="s">
        <v>7732</v>
      </c>
      <c r="M702" s="17" t="s">
        <v>7733</v>
      </c>
      <c r="N702" s="51" t="s">
        <v>7734</v>
      </c>
      <c r="O702" s="29" t="s">
        <v>1451</v>
      </c>
      <c r="P702" s="29" t="s">
        <v>7735</v>
      </c>
      <c r="Q702" s="29" t="s">
        <v>1451</v>
      </c>
      <c r="R702" s="29" t="s">
        <v>4507</v>
      </c>
      <c r="S702" s="28" t="s">
        <v>2525</v>
      </c>
      <c r="T702" s="28" t="s">
        <v>3595</v>
      </c>
      <c r="U702" s="28" t="s">
        <v>1441</v>
      </c>
      <c r="V702" s="28" t="s">
        <v>1619</v>
      </c>
      <c r="W702" s="28" t="s">
        <v>7735</v>
      </c>
      <c r="X702" s="17">
        <v>1</v>
      </c>
      <c r="CJ702" s="26" t="s">
        <v>1392</v>
      </c>
      <c r="CK702" s="26" t="s">
        <v>2105</v>
      </c>
      <c r="CL702" s="26" t="str">
        <f t="shared" si="41"/>
        <v>新潟県燕市</v>
      </c>
      <c r="CM702" s="49">
        <v>697</v>
      </c>
      <c r="CN702" s="17" t="str">
        <f t="shared" si="40"/>
        <v>0743</v>
      </c>
      <c r="CO702" s="17" t="str">
        <f t="shared" si="42"/>
        <v>697743燕市</v>
      </c>
      <c r="CP702" s="17" t="s">
        <v>7736</v>
      </c>
      <c r="CQ702" s="17" t="b">
        <f t="shared" si="43"/>
        <v>1</v>
      </c>
    </row>
    <row r="703" spans="6:95">
      <c r="F703" s="23"/>
      <c r="I703" s="23"/>
      <c r="L703" s="50" t="s">
        <v>7737</v>
      </c>
      <c r="M703" s="17" t="s">
        <v>7738</v>
      </c>
      <c r="N703" s="51" t="s">
        <v>7739</v>
      </c>
      <c r="O703" s="29" t="s">
        <v>1451</v>
      </c>
      <c r="P703" s="29" t="s">
        <v>7740</v>
      </c>
      <c r="Q703" s="29" t="s">
        <v>1451</v>
      </c>
      <c r="R703" s="29" t="s">
        <v>3512</v>
      </c>
      <c r="S703" s="28" t="s">
        <v>2311</v>
      </c>
      <c r="T703" s="28" t="s">
        <v>3607</v>
      </c>
      <c r="U703" s="28" t="s">
        <v>1441</v>
      </c>
      <c r="V703" s="28" t="s">
        <v>1619</v>
      </c>
      <c r="W703" s="28" t="s">
        <v>7740</v>
      </c>
      <c r="X703" s="17">
        <v>1</v>
      </c>
      <c r="CJ703" s="26" t="s">
        <v>1392</v>
      </c>
      <c r="CK703" s="26" t="s">
        <v>2161</v>
      </c>
      <c r="CL703" s="26" t="str">
        <f t="shared" si="41"/>
        <v>新潟県糸魚川市</v>
      </c>
      <c r="CM703" s="49">
        <v>698</v>
      </c>
      <c r="CN703" s="17" t="str">
        <f t="shared" si="40"/>
        <v>0744</v>
      </c>
      <c r="CO703" s="17" t="str">
        <f t="shared" si="42"/>
        <v>698744糸魚川市</v>
      </c>
      <c r="CP703" s="17" t="s">
        <v>7741</v>
      </c>
      <c r="CQ703" s="17" t="b">
        <f t="shared" si="43"/>
        <v>1</v>
      </c>
    </row>
    <row r="704" spans="6:95">
      <c r="F704" s="23"/>
      <c r="I704" s="23"/>
      <c r="L704" s="50" t="s">
        <v>7742</v>
      </c>
      <c r="M704" s="17" t="s">
        <v>7743</v>
      </c>
      <c r="N704" s="51" t="s">
        <v>7744</v>
      </c>
      <c r="O704" s="29" t="s">
        <v>1451</v>
      </c>
      <c r="P704" s="29" t="s">
        <v>7745</v>
      </c>
      <c r="Q704" s="29" t="s">
        <v>1451</v>
      </c>
      <c r="R704" s="29" t="s">
        <v>5233</v>
      </c>
      <c r="S704" s="28" t="s">
        <v>2311</v>
      </c>
      <c r="T704" s="28" t="s">
        <v>3619</v>
      </c>
      <c r="U704" s="28" t="s">
        <v>1441</v>
      </c>
      <c r="V704" s="28" t="s">
        <v>1619</v>
      </c>
      <c r="W704" s="28" t="s">
        <v>7746</v>
      </c>
      <c r="X704" s="17">
        <v>1</v>
      </c>
      <c r="CJ704" s="26" t="s">
        <v>1392</v>
      </c>
      <c r="CK704" s="26" t="s">
        <v>2216</v>
      </c>
      <c r="CL704" s="26" t="str">
        <f t="shared" si="41"/>
        <v>新潟県妙高市</v>
      </c>
      <c r="CM704" s="49">
        <v>699</v>
      </c>
      <c r="CN704" s="17" t="str">
        <f t="shared" si="40"/>
        <v>0745</v>
      </c>
      <c r="CO704" s="17" t="str">
        <f t="shared" si="42"/>
        <v>699745妙高市</v>
      </c>
      <c r="CP704" s="17" t="s">
        <v>7747</v>
      </c>
      <c r="CQ704" s="17" t="b">
        <f t="shared" si="43"/>
        <v>1</v>
      </c>
    </row>
    <row r="705" spans="6:95">
      <c r="F705" s="23"/>
      <c r="I705" s="23"/>
      <c r="L705" s="50" t="s">
        <v>7748</v>
      </c>
      <c r="M705" s="17" t="s">
        <v>7749</v>
      </c>
      <c r="N705" s="51" t="s">
        <v>7750</v>
      </c>
      <c r="O705" s="29" t="s">
        <v>1452</v>
      </c>
      <c r="P705" s="29" t="s">
        <v>7751</v>
      </c>
      <c r="Q705" s="29" t="s">
        <v>1452</v>
      </c>
      <c r="R705" s="29" t="s">
        <v>1501</v>
      </c>
      <c r="S705" s="28" t="s">
        <v>1803</v>
      </c>
      <c r="T705" s="28" t="s">
        <v>1517</v>
      </c>
      <c r="U705" s="28" t="s">
        <v>1441</v>
      </c>
      <c r="V705" s="28" t="s">
        <v>1619</v>
      </c>
      <c r="W705" s="28" t="s">
        <v>7752</v>
      </c>
      <c r="X705" s="17">
        <v>1</v>
      </c>
      <c r="CJ705" s="26" t="s">
        <v>1392</v>
      </c>
      <c r="CK705" s="26" t="s">
        <v>2271</v>
      </c>
      <c r="CL705" s="26" t="str">
        <f t="shared" si="41"/>
        <v>新潟県五泉市</v>
      </c>
      <c r="CM705" s="49">
        <v>700</v>
      </c>
      <c r="CN705" s="17" t="str">
        <f t="shared" si="40"/>
        <v>0746</v>
      </c>
      <c r="CO705" s="17" t="str">
        <f t="shared" si="42"/>
        <v>700746五泉市</v>
      </c>
      <c r="CP705" s="17" t="s">
        <v>7753</v>
      </c>
      <c r="CQ705" s="17" t="b">
        <f t="shared" si="43"/>
        <v>1</v>
      </c>
    </row>
    <row r="706" spans="6:95">
      <c r="F706" s="23"/>
      <c r="I706" s="23"/>
      <c r="L706" s="50" t="s">
        <v>7754</v>
      </c>
      <c r="M706" s="17" t="s">
        <v>7755</v>
      </c>
      <c r="N706" s="51" t="s">
        <v>7756</v>
      </c>
      <c r="O706" s="29" t="s">
        <v>1452</v>
      </c>
      <c r="P706" s="29" t="s">
        <v>7757</v>
      </c>
      <c r="Q706" s="29" t="s">
        <v>1452</v>
      </c>
      <c r="R706" s="29" t="s">
        <v>7758</v>
      </c>
      <c r="S706" s="28" t="s">
        <v>1626</v>
      </c>
      <c r="T706" s="28" t="s">
        <v>1579</v>
      </c>
      <c r="U706" s="28" t="s">
        <v>1441</v>
      </c>
      <c r="V706" s="28" t="s">
        <v>1619</v>
      </c>
      <c r="W706" s="28" t="s">
        <v>7759</v>
      </c>
      <c r="X706" s="17">
        <v>1</v>
      </c>
      <c r="CJ706" s="26" t="s">
        <v>1392</v>
      </c>
      <c r="CK706" s="26" t="s">
        <v>2327</v>
      </c>
      <c r="CL706" s="26" t="str">
        <f t="shared" si="41"/>
        <v>新潟県上越市</v>
      </c>
      <c r="CM706" s="49">
        <v>701</v>
      </c>
      <c r="CN706" s="17" t="str">
        <f t="shared" si="40"/>
        <v>0747</v>
      </c>
      <c r="CO706" s="17" t="str">
        <f t="shared" si="42"/>
        <v>701747上越市</v>
      </c>
      <c r="CP706" s="17" t="s">
        <v>7760</v>
      </c>
      <c r="CQ706" s="17" t="b">
        <f t="shared" si="43"/>
        <v>1</v>
      </c>
    </row>
    <row r="707" spans="6:95">
      <c r="F707" s="23"/>
      <c r="I707" s="23"/>
      <c r="L707" s="50" t="s">
        <v>7761</v>
      </c>
      <c r="M707" s="17" t="s">
        <v>7762</v>
      </c>
      <c r="N707" s="51" t="s">
        <v>7763</v>
      </c>
      <c r="O707" s="29" t="s">
        <v>1452</v>
      </c>
      <c r="P707" s="29" t="s">
        <v>7764</v>
      </c>
      <c r="Q707" s="29" t="s">
        <v>1452</v>
      </c>
      <c r="R707" s="29" t="s">
        <v>7765</v>
      </c>
      <c r="S707" s="28" t="s">
        <v>1502</v>
      </c>
      <c r="T707" s="28" t="s">
        <v>1641</v>
      </c>
      <c r="U707" s="28" t="s">
        <v>1441</v>
      </c>
      <c r="V707" s="28" t="s">
        <v>1619</v>
      </c>
      <c r="W707" s="28" t="s">
        <v>7766</v>
      </c>
      <c r="X707" s="17">
        <v>1</v>
      </c>
      <c r="CJ707" s="26" t="s">
        <v>1392</v>
      </c>
      <c r="CK707" s="26" t="s">
        <v>2381</v>
      </c>
      <c r="CL707" s="26" t="str">
        <f t="shared" si="41"/>
        <v>新潟県阿賀野市</v>
      </c>
      <c r="CM707" s="49">
        <v>702</v>
      </c>
      <c r="CN707" s="17" t="str">
        <f t="shared" si="40"/>
        <v>0748</v>
      </c>
      <c r="CO707" s="17" t="str">
        <f t="shared" si="42"/>
        <v>702748阿賀野市</v>
      </c>
      <c r="CP707" s="17" t="s">
        <v>7767</v>
      </c>
      <c r="CQ707" s="17" t="b">
        <f t="shared" si="43"/>
        <v>1</v>
      </c>
    </row>
    <row r="708" spans="6:95">
      <c r="F708" s="23"/>
      <c r="I708" s="23"/>
      <c r="L708" s="50" t="s">
        <v>7768</v>
      </c>
      <c r="M708" s="17" t="s">
        <v>7769</v>
      </c>
      <c r="N708" s="51" t="s">
        <v>7770</v>
      </c>
      <c r="O708" s="29" t="s">
        <v>1452</v>
      </c>
      <c r="P708" s="29" t="s">
        <v>7771</v>
      </c>
      <c r="Q708" s="29" t="s">
        <v>1452</v>
      </c>
      <c r="R708" s="29" t="s">
        <v>4593</v>
      </c>
      <c r="S708" s="28" t="s">
        <v>1920</v>
      </c>
      <c r="T708" s="28" t="s">
        <v>1699</v>
      </c>
      <c r="U708" s="28" t="s">
        <v>1441</v>
      </c>
      <c r="V708" s="28" t="s">
        <v>1619</v>
      </c>
      <c r="W708" s="28" t="s">
        <v>7771</v>
      </c>
      <c r="X708" s="17">
        <v>1</v>
      </c>
      <c r="CJ708" s="26" t="s">
        <v>1392</v>
      </c>
      <c r="CK708" s="26" t="s">
        <v>2436</v>
      </c>
      <c r="CL708" s="26" t="str">
        <f t="shared" si="41"/>
        <v>新潟県佐渡市</v>
      </c>
      <c r="CM708" s="49">
        <v>703</v>
      </c>
      <c r="CN708" s="17" t="str">
        <f t="shared" si="40"/>
        <v>0749</v>
      </c>
      <c r="CO708" s="17" t="str">
        <f t="shared" si="42"/>
        <v>703749佐渡市</v>
      </c>
      <c r="CP708" s="17" t="s">
        <v>7772</v>
      </c>
      <c r="CQ708" s="17" t="b">
        <f t="shared" si="43"/>
        <v>1</v>
      </c>
    </row>
    <row r="709" spans="6:95">
      <c r="F709" s="23"/>
      <c r="I709" s="23"/>
      <c r="L709" s="50" t="s">
        <v>7773</v>
      </c>
      <c r="M709" s="17" t="s">
        <v>7774</v>
      </c>
      <c r="N709" s="51" t="s">
        <v>7775</v>
      </c>
      <c r="O709" s="29" t="s">
        <v>1452</v>
      </c>
      <c r="P709" s="29" t="s">
        <v>7776</v>
      </c>
      <c r="Q709" s="29" t="s">
        <v>1452</v>
      </c>
      <c r="R709" s="29" t="s">
        <v>1625</v>
      </c>
      <c r="S709" s="28" t="s">
        <v>1743</v>
      </c>
      <c r="T709" s="28" t="s">
        <v>1758</v>
      </c>
      <c r="U709" s="28" t="s">
        <v>1441</v>
      </c>
      <c r="V709" s="28" t="s">
        <v>1619</v>
      </c>
      <c r="W709" s="28" t="s">
        <v>7776</v>
      </c>
      <c r="X709" s="17">
        <v>1</v>
      </c>
      <c r="CJ709" s="26" t="s">
        <v>1392</v>
      </c>
      <c r="CK709" s="26" t="s">
        <v>2489</v>
      </c>
      <c r="CL709" s="26" t="str">
        <f t="shared" si="41"/>
        <v>新潟県魚沼市</v>
      </c>
      <c r="CM709" s="49">
        <v>704</v>
      </c>
      <c r="CN709" s="17" t="str">
        <f t="shared" si="40"/>
        <v>0750</v>
      </c>
      <c r="CO709" s="17" t="str">
        <f t="shared" si="42"/>
        <v>704750魚沼市</v>
      </c>
      <c r="CP709" s="17" t="s">
        <v>7777</v>
      </c>
      <c r="CQ709" s="17" t="b">
        <f t="shared" si="43"/>
        <v>1</v>
      </c>
    </row>
    <row r="710" spans="6:95">
      <c r="F710" s="23"/>
      <c r="I710" s="23"/>
      <c r="L710" s="50" t="s">
        <v>7778</v>
      </c>
      <c r="M710" s="17" t="s">
        <v>7779</v>
      </c>
      <c r="N710" s="51" t="s">
        <v>7780</v>
      </c>
      <c r="O710" s="29" t="s">
        <v>1452</v>
      </c>
      <c r="P710" s="29" t="s">
        <v>7781</v>
      </c>
      <c r="Q710" s="29" t="s">
        <v>1452</v>
      </c>
      <c r="R710" s="29" t="s">
        <v>1684</v>
      </c>
      <c r="S710" s="28" t="s">
        <v>1803</v>
      </c>
      <c r="T710" s="28" t="s">
        <v>1818</v>
      </c>
      <c r="U710" s="28" t="s">
        <v>1441</v>
      </c>
      <c r="V710" s="28" t="s">
        <v>1619</v>
      </c>
      <c r="W710" s="28" t="s">
        <v>7781</v>
      </c>
      <c r="X710" s="17">
        <v>1</v>
      </c>
      <c r="CJ710" s="26" t="s">
        <v>1392</v>
      </c>
      <c r="CK710" s="26" t="s">
        <v>2541</v>
      </c>
      <c r="CL710" s="26" t="str">
        <f t="shared" si="41"/>
        <v>新潟県南魚沼市</v>
      </c>
      <c r="CM710" s="49">
        <v>705</v>
      </c>
      <c r="CN710" s="17" t="str">
        <f t="shared" ref="CN710:CN773" si="44">VLOOKUP(CL710,$M$6:$N$1784,2,FALSE)</f>
        <v>0751</v>
      </c>
      <c r="CO710" s="17" t="str">
        <f t="shared" si="42"/>
        <v>705751南魚沼市</v>
      </c>
      <c r="CP710" s="17" t="s">
        <v>7782</v>
      </c>
      <c r="CQ710" s="17" t="b">
        <f t="shared" si="43"/>
        <v>1</v>
      </c>
    </row>
    <row r="711" spans="6:95">
      <c r="F711" s="23"/>
      <c r="I711" s="23"/>
      <c r="L711" s="50" t="s">
        <v>7783</v>
      </c>
      <c r="M711" s="17" t="s">
        <v>7784</v>
      </c>
      <c r="N711" s="51" t="s">
        <v>7785</v>
      </c>
      <c r="O711" s="29" t="s">
        <v>1452</v>
      </c>
      <c r="P711" s="29" t="s">
        <v>7786</v>
      </c>
      <c r="Q711" s="29" t="s">
        <v>1452</v>
      </c>
      <c r="R711" s="29" t="s">
        <v>1742</v>
      </c>
      <c r="S711" s="28" t="s">
        <v>1626</v>
      </c>
      <c r="T711" s="28" t="s">
        <v>1877</v>
      </c>
      <c r="U711" s="28" t="s">
        <v>1441</v>
      </c>
      <c r="V711" s="28" t="s">
        <v>1619</v>
      </c>
      <c r="W711" s="28" t="s">
        <v>7787</v>
      </c>
      <c r="X711" s="17">
        <v>1</v>
      </c>
      <c r="CJ711" s="26" t="s">
        <v>1392</v>
      </c>
      <c r="CK711" s="26" t="s">
        <v>2591</v>
      </c>
      <c r="CL711" s="26" t="str">
        <f t="shared" si="41"/>
        <v>新潟県胎内市</v>
      </c>
      <c r="CM711" s="49">
        <v>706</v>
      </c>
      <c r="CN711" s="17" t="str">
        <f t="shared" si="44"/>
        <v>0752</v>
      </c>
      <c r="CO711" s="17" t="str">
        <f t="shared" si="42"/>
        <v>706752胎内市</v>
      </c>
      <c r="CP711" s="17" t="s">
        <v>7788</v>
      </c>
      <c r="CQ711" s="17" t="b">
        <f t="shared" si="43"/>
        <v>1</v>
      </c>
    </row>
    <row r="712" spans="6:95">
      <c r="F712" s="23"/>
      <c r="I712" s="23"/>
      <c r="L712" s="50" t="s">
        <v>7789</v>
      </c>
      <c r="M712" s="17" t="s">
        <v>7790</v>
      </c>
      <c r="N712" s="51" t="s">
        <v>7791</v>
      </c>
      <c r="O712" s="29" t="s">
        <v>1452</v>
      </c>
      <c r="P712" s="29" t="s">
        <v>7792</v>
      </c>
      <c r="Q712" s="29" t="s">
        <v>1452</v>
      </c>
      <c r="R712" s="29" t="s">
        <v>1802</v>
      </c>
      <c r="S712" s="28" t="s">
        <v>1502</v>
      </c>
      <c r="T712" s="28" t="s">
        <v>1935</v>
      </c>
      <c r="U712" s="28" t="s">
        <v>1441</v>
      </c>
      <c r="V712" s="28" t="s">
        <v>1619</v>
      </c>
      <c r="W712" s="28" t="s">
        <v>7793</v>
      </c>
      <c r="X712" s="17">
        <v>1</v>
      </c>
      <c r="CJ712" s="26" t="s">
        <v>1392</v>
      </c>
      <c r="CK712" s="26" t="s">
        <v>2638</v>
      </c>
      <c r="CL712" s="26" t="str">
        <f t="shared" ref="CL712:CL775" si="45">CJ712&amp;CK712</f>
        <v>新潟県聖籠町</v>
      </c>
      <c r="CM712" s="49">
        <v>707</v>
      </c>
      <c r="CN712" s="17" t="str">
        <f t="shared" si="44"/>
        <v>0753</v>
      </c>
      <c r="CO712" s="17" t="str">
        <f t="shared" ref="CO712:CO775" si="46">CM712&amp;TEXT(CN712,0)&amp;CK712</f>
        <v>707753聖籠町</v>
      </c>
      <c r="CP712" s="17" t="s">
        <v>7794</v>
      </c>
      <c r="CQ712" s="17" t="b">
        <f t="shared" ref="CQ712:CQ775" si="47">CO712=CP712</f>
        <v>1</v>
      </c>
    </row>
    <row r="713" spans="6:95">
      <c r="F713" s="23"/>
      <c r="I713" s="23"/>
      <c r="L713" s="50" t="s">
        <v>7795</v>
      </c>
      <c r="M713" s="17" t="s">
        <v>7796</v>
      </c>
      <c r="N713" s="51" t="s">
        <v>7797</v>
      </c>
      <c r="O713" s="29" t="s">
        <v>1452</v>
      </c>
      <c r="P713" s="29" t="s">
        <v>7798</v>
      </c>
      <c r="Q713" s="29" t="s">
        <v>1452</v>
      </c>
      <c r="R713" s="29" t="s">
        <v>1861</v>
      </c>
      <c r="S713" s="28" t="s">
        <v>2525</v>
      </c>
      <c r="T713" s="28" t="s">
        <v>1992</v>
      </c>
      <c r="U713" s="28" t="s">
        <v>1441</v>
      </c>
      <c r="V713" s="28" t="s">
        <v>1619</v>
      </c>
      <c r="W713" s="28" t="s">
        <v>7799</v>
      </c>
      <c r="X713" s="17">
        <v>1</v>
      </c>
      <c r="CJ713" s="26" t="s">
        <v>1392</v>
      </c>
      <c r="CK713" s="26" t="s">
        <v>2684</v>
      </c>
      <c r="CL713" s="26" t="str">
        <f t="shared" si="45"/>
        <v>新潟県弥彦村</v>
      </c>
      <c r="CM713" s="49">
        <v>708</v>
      </c>
      <c r="CN713" s="17" t="str">
        <f t="shared" si="44"/>
        <v>0754</v>
      </c>
      <c r="CO713" s="17" t="str">
        <f t="shared" si="46"/>
        <v>708754弥彦村</v>
      </c>
      <c r="CP713" s="17" t="s">
        <v>7800</v>
      </c>
      <c r="CQ713" s="17" t="b">
        <f t="shared" si="47"/>
        <v>1</v>
      </c>
    </row>
    <row r="714" spans="6:95">
      <c r="F714" s="23"/>
      <c r="I714" s="23"/>
      <c r="L714" s="50" t="s">
        <v>7801</v>
      </c>
      <c r="M714" s="17" t="s">
        <v>7802</v>
      </c>
      <c r="N714" s="51" t="s">
        <v>7803</v>
      </c>
      <c r="O714" s="29" t="s">
        <v>1452</v>
      </c>
      <c r="P714" s="29" t="s">
        <v>7804</v>
      </c>
      <c r="Q714" s="29" t="s">
        <v>1452</v>
      </c>
      <c r="R714" s="29" t="s">
        <v>1919</v>
      </c>
      <c r="S714" s="28" t="s">
        <v>2311</v>
      </c>
      <c r="T714" s="28" t="s">
        <v>2048</v>
      </c>
      <c r="U714" s="28" t="s">
        <v>1441</v>
      </c>
      <c r="V714" s="28" t="s">
        <v>1619</v>
      </c>
      <c r="W714" s="28" t="s">
        <v>7805</v>
      </c>
      <c r="X714" s="17">
        <v>1</v>
      </c>
      <c r="CJ714" s="26" t="s">
        <v>1392</v>
      </c>
      <c r="CK714" s="26" t="s">
        <v>2730</v>
      </c>
      <c r="CL714" s="26" t="str">
        <f t="shared" si="45"/>
        <v>新潟県田上町</v>
      </c>
      <c r="CM714" s="49">
        <v>709</v>
      </c>
      <c r="CN714" s="17" t="str">
        <f t="shared" si="44"/>
        <v>0755</v>
      </c>
      <c r="CO714" s="17" t="str">
        <f t="shared" si="46"/>
        <v>709755田上町</v>
      </c>
      <c r="CP714" s="17" t="s">
        <v>7806</v>
      </c>
      <c r="CQ714" s="17" t="b">
        <f t="shared" si="47"/>
        <v>1</v>
      </c>
    </row>
    <row r="715" spans="6:95">
      <c r="F715" s="23"/>
      <c r="I715" s="23"/>
      <c r="L715" s="50" t="s">
        <v>7807</v>
      </c>
      <c r="M715" s="17" t="s">
        <v>7808</v>
      </c>
      <c r="N715" s="51" t="s">
        <v>7809</v>
      </c>
      <c r="O715" s="29" t="s">
        <v>1452</v>
      </c>
      <c r="P715" s="29" t="s">
        <v>7810</v>
      </c>
      <c r="Q715" s="29" t="s">
        <v>1452</v>
      </c>
      <c r="R715" s="29" t="s">
        <v>2033</v>
      </c>
      <c r="S715" s="28" t="s">
        <v>1626</v>
      </c>
      <c r="T715" s="28" t="s">
        <v>2104</v>
      </c>
      <c r="U715" s="28" t="s">
        <v>1441</v>
      </c>
      <c r="V715" s="28" t="s">
        <v>1619</v>
      </c>
      <c r="W715" s="28" t="s">
        <v>7811</v>
      </c>
      <c r="X715" s="17">
        <v>1</v>
      </c>
      <c r="CJ715" s="26" t="s">
        <v>1392</v>
      </c>
      <c r="CK715" s="26" t="s">
        <v>2774</v>
      </c>
      <c r="CL715" s="26" t="str">
        <f t="shared" si="45"/>
        <v>新潟県阿賀町</v>
      </c>
      <c r="CM715" s="49">
        <v>710</v>
      </c>
      <c r="CN715" s="17" t="str">
        <f t="shared" si="44"/>
        <v>0756</v>
      </c>
      <c r="CO715" s="17" t="str">
        <f t="shared" si="46"/>
        <v>710756阿賀町</v>
      </c>
      <c r="CP715" s="17" t="s">
        <v>7812</v>
      </c>
      <c r="CQ715" s="17" t="b">
        <f t="shared" si="47"/>
        <v>1</v>
      </c>
    </row>
    <row r="716" spans="6:95">
      <c r="F716" s="23"/>
      <c r="I716" s="23"/>
      <c r="L716" s="50" t="s">
        <v>7813</v>
      </c>
      <c r="M716" s="17" t="s">
        <v>7814</v>
      </c>
      <c r="N716" s="51" t="s">
        <v>7815</v>
      </c>
      <c r="O716" s="29" t="s">
        <v>1452</v>
      </c>
      <c r="P716" s="29" t="s">
        <v>7816</v>
      </c>
      <c r="Q716" s="29" t="s">
        <v>1452</v>
      </c>
      <c r="R716" s="29" t="s">
        <v>2089</v>
      </c>
      <c r="S716" s="28" t="s">
        <v>1502</v>
      </c>
      <c r="T716" s="28" t="s">
        <v>2160</v>
      </c>
      <c r="U716" s="28" t="s">
        <v>1441</v>
      </c>
      <c r="V716" s="28" t="s">
        <v>1619</v>
      </c>
      <c r="W716" s="28" t="s">
        <v>7817</v>
      </c>
      <c r="X716" s="17">
        <v>1</v>
      </c>
      <c r="CJ716" s="26" t="s">
        <v>1392</v>
      </c>
      <c r="CK716" s="26" t="s">
        <v>2816</v>
      </c>
      <c r="CL716" s="26" t="str">
        <f t="shared" si="45"/>
        <v>新潟県出雲崎町</v>
      </c>
      <c r="CM716" s="49">
        <v>711</v>
      </c>
      <c r="CN716" s="17" t="str">
        <f t="shared" si="44"/>
        <v>0757</v>
      </c>
      <c r="CO716" s="17" t="str">
        <f t="shared" si="46"/>
        <v>711757出雲崎町</v>
      </c>
      <c r="CP716" s="17" t="s">
        <v>7818</v>
      </c>
      <c r="CQ716" s="17" t="b">
        <f t="shared" si="47"/>
        <v>1</v>
      </c>
    </row>
    <row r="717" spans="6:95">
      <c r="F717" s="23"/>
      <c r="I717" s="23"/>
      <c r="L717" s="50" t="s">
        <v>7819</v>
      </c>
      <c r="M717" s="17" t="s">
        <v>7820</v>
      </c>
      <c r="N717" s="51" t="s">
        <v>7821</v>
      </c>
      <c r="O717" s="29" t="s">
        <v>1452</v>
      </c>
      <c r="P717" s="29" t="s">
        <v>7822</v>
      </c>
      <c r="Q717" s="29" t="s">
        <v>1452</v>
      </c>
      <c r="R717" s="29" t="s">
        <v>2145</v>
      </c>
      <c r="S717" s="28" t="s">
        <v>2525</v>
      </c>
      <c r="T717" s="28" t="s">
        <v>2215</v>
      </c>
      <c r="U717" s="28" t="s">
        <v>1441</v>
      </c>
      <c r="V717" s="28" t="s">
        <v>1619</v>
      </c>
      <c r="W717" s="28" t="s">
        <v>7823</v>
      </c>
      <c r="X717" s="17">
        <v>1</v>
      </c>
      <c r="CJ717" s="26" t="s">
        <v>1392</v>
      </c>
      <c r="CK717" s="26" t="s">
        <v>2856</v>
      </c>
      <c r="CL717" s="26" t="str">
        <f t="shared" si="45"/>
        <v>新潟県湯沢町</v>
      </c>
      <c r="CM717" s="49">
        <v>712</v>
      </c>
      <c r="CN717" s="17" t="str">
        <f t="shared" si="44"/>
        <v>0758</v>
      </c>
      <c r="CO717" s="17" t="str">
        <f t="shared" si="46"/>
        <v>712758湯沢町</v>
      </c>
      <c r="CP717" s="17" t="s">
        <v>7824</v>
      </c>
      <c r="CQ717" s="17" t="b">
        <f t="shared" si="47"/>
        <v>1</v>
      </c>
    </row>
    <row r="718" spans="6:95">
      <c r="F718" s="23"/>
      <c r="I718" s="23"/>
      <c r="L718" s="50" t="s">
        <v>7825</v>
      </c>
      <c r="M718" s="17" t="s">
        <v>7826</v>
      </c>
      <c r="N718" s="51" t="s">
        <v>7827</v>
      </c>
      <c r="O718" s="29" t="s">
        <v>1452</v>
      </c>
      <c r="P718" s="29" t="s">
        <v>7828</v>
      </c>
      <c r="Q718" s="29" t="s">
        <v>1452</v>
      </c>
      <c r="R718" s="29" t="s">
        <v>2200</v>
      </c>
      <c r="S718" s="28" t="s">
        <v>2311</v>
      </c>
      <c r="T718" s="28" t="s">
        <v>2270</v>
      </c>
      <c r="U718" s="28" t="s">
        <v>1441</v>
      </c>
      <c r="V718" s="28" t="s">
        <v>1619</v>
      </c>
      <c r="W718" s="28" t="s">
        <v>7829</v>
      </c>
      <c r="X718" s="17">
        <v>1</v>
      </c>
      <c r="CJ718" s="26" t="s">
        <v>1392</v>
      </c>
      <c r="CK718" s="26" t="s">
        <v>2895</v>
      </c>
      <c r="CL718" s="26" t="str">
        <f t="shared" si="45"/>
        <v>新潟県津南町</v>
      </c>
      <c r="CM718" s="49">
        <v>713</v>
      </c>
      <c r="CN718" s="17" t="str">
        <f t="shared" si="44"/>
        <v>0759</v>
      </c>
      <c r="CO718" s="17" t="str">
        <f t="shared" si="46"/>
        <v>713759津南町</v>
      </c>
      <c r="CP718" s="17" t="s">
        <v>7830</v>
      </c>
      <c r="CQ718" s="17" t="b">
        <f t="shared" si="47"/>
        <v>1</v>
      </c>
    </row>
    <row r="719" spans="6:95">
      <c r="F719" s="23"/>
      <c r="I719" s="23"/>
      <c r="L719" s="50" t="s">
        <v>7831</v>
      </c>
      <c r="M719" s="17" t="s">
        <v>7832</v>
      </c>
      <c r="N719" s="51" t="s">
        <v>7833</v>
      </c>
      <c r="O719" s="29" t="s">
        <v>1452</v>
      </c>
      <c r="P719" s="29" t="s">
        <v>7834</v>
      </c>
      <c r="Q719" s="29" t="s">
        <v>1452</v>
      </c>
      <c r="R719" s="29" t="s">
        <v>2255</v>
      </c>
      <c r="S719" s="28" t="s">
        <v>1564</v>
      </c>
      <c r="T719" s="28" t="s">
        <v>2326</v>
      </c>
      <c r="U719" s="28" t="s">
        <v>1441</v>
      </c>
      <c r="V719" s="28" t="s">
        <v>1619</v>
      </c>
      <c r="W719" s="28" t="s">
        <v>7835</v>
      </c>
      <c r="X719" s="17">
        <v>1</v>
      </c>
      <c r="CJ719" s="26" t="s">
        <v>1392</v>
      </c>
      <c r="CK719" s="26" t="s">
        <v>2932</v>
      </c>
      <c r="CL719" s="26" t="str">
        <f t="shared" si="45"/>
        <v>新潟県刈羽村</v>
      </c>
      <c r="CM719" s="49">
        <v>714</v>
      </c>
      <c r="CN719" s="17" t="str">
        <f t="shared" si="44"/>
        <v>0760</v>
      </c>
      <c r="CO719" s="17" t="str">
        <f t="shared" si="46"/>
        <v>714760刈羽村</v>
      </c>
      <c r="CP719" s="17" t="s">
        <v>7836</v>
      </c>
      <c r="CQ719" s="17" t="b">
        <f t="shared" si="47"/>
        <v>1</v>
      </c>
    </row>
    <row r="720" spans="6:95">
      <c r="F720" s="23"/>
      <c r="I720" s="23"/>
      <c r="L720" s="50" t="s">
        <v>7837</v>
      </c>
      <c r="M720" s="17" t="s">
        <v>7838</v>
      </c>
      <c r="N720" s="51" t="s">
        <v>7839</v>
      </c>
      <c r="O720" s="29" t="s">
        <v>1452</v>
      </c>
      <c r="P720" s="29" t="s">
        <v>7840</v>
      </c>
      <c r="Q720" s="29" t="s">
        <v>1452</v>
      </c>
      <c r="R720" s="29" t="s">
        <v>2310</v>
      </c>
      <c r="S720" s="28" t="s">
        <v>1920</v>
      </c>
      <c r="T720" s="28" t="s">
        <v>2380</v>
      </c>
      <c r="U720" s="28" t="s">
        <v>1441</v>
      </c>
      <c r="V720" s="28" t="s">
        <v>1619</v>
      </c>
      <c r="W720" s="28" t="s">
        <v>7840</v>
      </c>
      <c r="X720" s="17">
        <v>1</v>
      </c>
      <c r="CJ720" s="26" t="s">
        <v>1392</v>
      </c>
      <c r="CK720" s="26" t="s">
        <v>2965</v>
      </c>
      <c r="CL720" s="26" t="str">
        <f t="shared" si="45"/>
        <v>新潟県関川村</v>
      </c>
      <c r="CM720" s="49">
        <v>715</v>
      </c>
      <c r="CN720" s="17" t="str">
        <f t="shared" si="44"/>
        <v>0761</v>
      </c>
      <c r="CO720" s="17" t="str">
        <f t="shared" si="46"/>
        <v>715761関川村</v>
      </c>
      <c r="CP720" s="17" t="s">
        <v>7841</v>
      </c>
      <c r="CQ720" s="17" t="b">
        <f t="shared" si="47"/>
        <v>1</v>
      </c>
    </row>
    <row r="721" spans="6:95">
      <c r="F721" s="23"/>
      <c r="I721" s="23"/>
      <c r="L721" s="50" t="s">
        <v>7842</v>
      </c>
      <c r="M721" s="17" t="s">
        <v>7843</v>
      </c>
      <c r="N721" s="51" t="s">
        <v>7844</v>
      </c>
      <c r="O721" s="29" t="s">
        <v>1452</v>
      </c>
      <c r="P721" s="29" t="s">
        <v>7845</v>
      </c>
      <c r="Q721" s="29" t="s">
        <v>1452</v>
      </c>
      <c r="R721" s="29" t="s">
        <v>2365</v>
      </c>
      <c r="S721" s="28" t="s">
        <v>1977</v>
      </c>
      <c r="T721" s="28" t="s">
        <v>2435</v>
      </c>
      <c r="U721" s="28" t="s">
        <v>1441</v>
      </c>
      <c r="V721" s="28" t="s">
        <v>1619</v>
      </c>
      <c r="W721" s="28" t="s">
        <v>7845</v>
      </c>
      <c r="X721" s="17">
        <v>1</v>
      </c>
      <c r="CJ721" s="26" t="s">
        <v>1392</v>
      </c>
      <c r="CK721" s="26" t="s">
        <v>2999</v>
      </c>
      <c r="CL721" s="26" t="str">
        <f t="shared" si="45"/>
        <v>新潟県粟島浦村</v>
      </c>
      <c r="CM721" s="49">
        <v>716</v>
      </c>
      <c r="CN721" s="17" t="str">
        <f t="shared" si="44"/>
        <v>0762</v>
      </c>
      <c r="CO721" s="17" t="str">
        <f t="shared" si="46"/>
        <v>716762粟島浦村</v>
      </c>
      <c r="CP721" s="17" t="s">
        <v>7846</v>
      </c>
      <c r="CQ721" s="17" t="b">
        <f t="shared" si="47"/>
        <v>1</v>
      </c>
    </row>
    <row r="722" spans="6:95">
      <c r="F722" s="23"/>
      <c r="I722" s="23"/>
      <c r="L722" s="50" t="s">
        <v>7847</v>
      </c>
      <c r="M722" s="17" t="s">
        <v>7848</v>
      </c>
      <c r="N722" s="51" t="s">
        <v>7849</v>
      </c>
      <c r="O722" s="29" t="s">
        <v>1452</v>
      </c>
      <c r="P722" s="29" t="s">
        <v>7850</v>
      </c>
      <c r="Q722" s="29" t="s">
        <v>1452</v>
      </c>
      <c r="R722" s="29" t="s">
        <v>2420</v>
      </c>
      <c r="S722" s="28" t="s">
        <v>1743</v>
      </c>
      <c r="T722" s="28" t="s">
        <v>2488</v>
      </c>
      <c r="U722" s="28" t="s">
        <v>1441</v>
      </c>
      <c r="V722" s="28" t="s">
        <v>1619</v>
      </c>
      <c r="W722" s="28" t="s">
        <v>7850</v>
      </c>
      <c r="X722" s="17">
        <v>1</v>
      </c>
      <c r="CJ722" s="26" t="s">
        <v>1393</v>
      </c>
      <c r="CK722" s="26" t="s">
        <v>1519</v>
      </c>
      <c r="CL722" s="26" t="str">
        <f t="shared" si="45"/>
        <v>富山県富山市</v>
      </c>
      <c r="CM722" s="49">
        <v>717</v>
      </c>
      <c r="CN722" s="17" t="str">
        <f t="shared" si="44"/>
        <v>0763</v>
      </c>
      <c r="CO722" s="17" t="str">
        <f t="shared" si="46"/>
        <v>717763富山市</v>
      </c>
      <c r="CP722" s="17" t="s">
        <v>7851</v>
      </c>
      <c r="CQ722" s="17" t="b">
        <f t="shared" si="47"/>
        <v>1</v>
      </c>
    </row>
    <row r="723" spans="6:95">
      <c r="F723" s="23"/>
      <c r="I723" s="23"/>
      <c r="L723" s="50" t="s">
        <v>7852</v>
      </c>
      <c r="M723" s="17" t="s">
        <v>7853</v>
      </c>
      <c r="N723" s="51" t="s">
        <v>7854</v>
      </c>
      <c r="O723" s="29" t="s">
        <v>1452</v>
      </c>
      <c r="P723" s="29" t="s">
        <v>7855</v>
      </c>
      <c r="Q723" s="29" t="s">
        <v>1452</v>
      </c>
      <c r="R723" s="29" t="s">
        <v>2474</v>
      </c>
      <c r="S723" s="28" t="s">
        <v>1803</v>
      </c>
      <c r="T723" s="28" t="s">
        <v>2540</v>
      </c>
      <c r="U723" s="28" t="s">
        <v>1441</v>
      </c>
      <c r="V723" s="28" t="s">
        <v>1619</v>
      </c>
      <c r="W723" s="28" t="s">
        <v>7855</v>
      </c>
      <c r="X723" s="17">
        <v>1</v>
      </c>
      <c r="CJ723" s="26" t="s">
        <v>1393</v>
      </c>
      <c r="CK723" s="26" t="s">
        <v>1581</v>
      </c>
      <c r="CL723" s="26" t="str">
        <f t="shared" si="45"/>
        <v>富山県高岡市</v>
      </c>
      <c r="CM723" s="49">
        <v>718</v>
      </c>
      <c r="CN723" s="17" t="str">
        <f t="shared" si="44"/>
        <v>0764</v>
      </c>
      <c r="CO723" s="17" t="str">
        <f t="shared" si="46"/>
        <v>718764高岡市</v>
      </c>
      <c r="CP723" s="17" t="s">
        <v>7856</v>
      </c>
      <c r="CQ723" s="17" t="b">
        <f t="shared" si="47"/>
        <v>1</v>
      </c>
    </row>
    <row r="724" spans="6:95">
      <c r="F724" s="23"/>
      <c r="I724" s="23"/>
      <c r="L724" s="50" t="s">
        <v>7857</v>
      </c>
      <c r="M724" s="17" t="s">
        <v>7858</v>
      </c>
      <c r="N724" s="51" t="s">
        <v>7859</v>
      </c>
      <c r="O724" s="29" t="s">
        <v>1452</v>
      </c>
      <c r="P724" s="29" t="s">
        <v>7860</v>
      </c>
      <c r="Q724" s="29" t="s">
        <v>1452</v>
      </c>
      <c r="R724" s="29" t="s">
        <v>4653</v>
      </c>
      <c r="S724" s="28" t="s">
        <v>1977</v>
      </c>
      <c r="T724" s="28" t="s">
        <v>2590</v>
      </c>
      <c r="U724" s="28" t="s">
        <v>1441</v>
      </c>
      <c r="V724" s="28" t="s">
        <v>1619</v>
      </c>
      <c r="W724" s="28" t="s">
        <v>7861</v>
      </c>
      <c r="X724" s="17">
        <v>1</v>
      </c>
      <c r="CJ724" s="26" t="s">
        <v>1393</v>
      </c>
      <c r="CK724" s="26" t="s">
        <v>1643</v>
      </c>
      <c r="CL724" s="26" t="str">
        <f t="shared" si="45"/>
        <v>富山県魚津市</v>
      </c>
      <c r="CM724" s="49">
        <v>719</v>
      </c>
      <c r="CN724" s="17" t="str">
        <f t="shared" si="44"/>
        <v>0765</v>
      </c>
      <c r="CO724" s="17" t="str">
        <f t="shared" si="46"/>
        <v>719765魚津市</v>
      </c>
      <c r="CP724" s="17" t="s">
        <v>7862</v>
      </c>
      <c r="CQ724" s="17" t="b">
        <f t="shared" si="47"/>
        <v>1</v>
      </c>
    </row>
    <row r="725" spans="6:95">
      <c r="F725" s="23"/>
      <c r="I725" s="23"/>
      <c r="L725" s="50" t="s">
        <v>7863</v>
      </c>
      <c r="M725" s="17" t="s">
        <v>7864</v>
      </c>
      <c r="N725" s="51" t="s">
        <v>7865</v>
      </c>
      <c r="O725" s="29" t="s">
        <v>1452</v>
      </c>
      <c r="P725" s="29" t="s">
        <v>7866</v>
      </c>
      <c r="Q725" s="29" t="s">
        <v>1452</v>
      </c>
      <c r="R725" s="29" t="s">
        <v>4679</v>
      </c>
      <c r="S725" s="28" t="s">
        <v>1743</v>
      </c>
      <c r="T725" s="28" t="s">
        <v>2637</v>
      </c>
      <c r="U725" s="28" t="s">
        <v>1441</v>
      </c>
      <c r="V725" s="28" t="s">
        <v>1619</v>
      </c>
      <c r="W725" s="28" t="s">
        <v>7867</v>
      </c>
      <c r="X725" s="17">
        <v>1</v>
      </c>
      <c r="CJ725" s="26" t="s">
        <v>1393</v>
      </c>
      <c r="CK725" s="26" t="s">
        <v>1701</v>
      </c>
      <c r="CL725" s="26" t="str">
        <f t="shared" si="45"/>
        <v>富山県氷見市</v>
      </c>
      <c r="CM725" s="49">
        <v>720</v>
      </c>
      <c r="CN725" s="17" t="str">
        <f t="shared" si="44"/>
        <v>0766</v>
      </c>
      <c r="CO725" s="17" t="str">
        <f t="shared" si="46"/>
        <v>720766氷見市</v>
      </c>
      <c r="CP725" s="17" t="s">
        <v>7868</v>
      </c>
      <c r="CQ725" s="17" t="b">
        <f t="shared" si="47"/>
        <v>1</v>
      </c>
    </row>
    <row r="726" spans="6:95">
      <c r="F726" s="23"/>
      <c r="I726" s="23"/>
      <c r="L726" s="50" t="s">
        <v>7869</v>
      </c>
      <c r="M726" s="17" t="s">
        <v>7870</v>
      </c>
      <c r="N726" s="51" t="s">
        <v>7871</v>
      </c>
      <c r="O726" s="29" t="s">
        <v>1452</v>
      </c>
      <c r="P726" s="29" t="s">
        <v>7872</v>
      </c>
      <c r="Q726" s="29" t="s">
        <v>1452</v>
      </c>
      <c r="R726" s="29" t="s">
        <v>5197</v>
      </c>
      <c r="S726" s="28" t="s">
        <v>1803</v>
      </c>
      <c r="T726" s="28" t="s">
        <v>2683</v>
      </c>
      <c r="U726" s="28" t="s">
        <v>1441</v>
      </c>
      <c r="V726" s="28" t="s">
        <v>1619</v>
      </c>
      <c r="W726" s="28" t="s">
        <v>7873</v>
      </c>
      <c r="X726" s="17">
        <v>1</v>
      </c>
      <c r="CJ726" s="26" t="s">
        <v>1393</v>
      </c>
      <c r="CK726" s="26" t="s">
        <v>1760</v>
      </c>
      <c r="CL726" s="26" t="str">
        <f t="shared" si="45"/>
        <v>富山県滑川市</v>
      </c>
      <c r="CM726" s="49">
        <v>721</v>
      </c>
      <c r="CN726" s="17" t="str">
        <f t="shared" si="44"/>
        <v>0767</v>
      </c>
      <c r="CO726" s="17" t="str">
        <f t="shared" si="46"/>
        <v>721767滑川市</v>
      </c>
      <c r="CP726" s="17" t="s">
        <v>7874</v>
      </c>
      <c r="CQ726" s="17" t="b">
        <f t="shared" si="47"/>
        <v>1</v>
      </c>
    </row>
    <row r="727" spans="6:95">
      <c r="F727" s="23"/>
      <c r="I727" s="23"/>
      <c r="L727" s="50" t="s">
        <v>7875</v>
      </c>
      <c r="M727" s="17" t="s">
        <v>7876</v>
      </c>
      <c r="N727" s="51" t="s">
        <v>7877</v>
      </c>
      <c r="O727" s="29" t="s">
        <v>1452</v>
      </c>
      <c r="P727" s="29" t="s">
        <v>7878</v>
      </c>
      <c r="Q727" s="29" t="s">
        <v>1452</v>
      </c>
      <c r="R727" s="29" t="s">
        <v>5760</v>
      </c>
      <c r="S727" s="28" t="s">
        <v>1862</v>
      </c>
      <c r="T727" s="28" t="s">
        <v>2729</v>
      </c>
      <c r="U727" s="28" t="s">
        <v>1441</v>
      </c>
      <c r="V727" s="28" t="s">
        <v>1619</v>
      </c>
      <c r="W727" s="28" t="s">
        <v>7879</v>
      </c>
      <c r="X727" s="17">
        <v>1</v>
      </c>
      <c r="CJ727" s="26" t="s">
        <v>1393</v>
      </c>
      <c r="CK727" s="26" t="s">
        <v>1820</v>
      </c>
      <c r="CL727" s="26" t="str">
        <f t="shared" si="45"/>
        <v>富山県射水市</v>
      </c>
      <c r="CM727" s="49">
        <v>722</v>
      </c>
      <c r="CN727" s="17" t="str">
        <f t="shared" si="44"/>
        <v>0768</v>
      </c>
      <c r="CO727" s="17" t="str">
        <f t="shared" si="46"/>
        <v>722768射水市</v>
      </c>
      <c r="CP727" s="17" t="s">
        <v>7880</v>
      </c>
      <c r="CQ727" s="17" t="b">
        <f t="shared" si="47"/>
        <v>1</v>
      </c>
    </row>
    <row r="728" spans="6:95">
      <c r="F728" s="23"/>
      <c r="I728" s="23"/>
      <c r="L728" s="50" t="s">
        <v>7881</v>
      </c>
      <c r="M728" s="17" t="s">
        <v>7882</v>
      </c>
      <c r="N728" s="51" t="s">
        <v>7883</v>
      </c>
      <c r="O728" s="29" t="s">
        <v>1452</v>
      </c>
      <c r="P728" s="29" t="s">
        <v>7884</v>
      </c>
      <c r="Q728" s="29" t="s">
        <v>1452</v>
      </c>
      <c r="R728" s="29" t="s">
        <v>3395</v>
      </c>
      <c r="S728" s="28" t="s">
        <v>1862</v>
      </c>
      <c r="T728" s="28" t="s">
        <v>2773</v>
      </c>
      <c r="U728" s="28" t="s">
        <v>1441</v>
      </c>
      <c r="V728" s="28" t="s">
        <v>1619</v>
      </c>
      <c r="W728" s="28" t="s">
        <v>7885</v>
      </c>
      <c r="X728" s="17">
        <v>1</v>
      </c>
      <c r="CJ728" s="26" t="s">
        <v>1393</v>
      </c>
      <c r="CK728" s="26" t="s">
        <v>1879</v>
      </c>
      <c r="CL728" s="26" t="str">
        <f t="shared" si="45"/>
        <v>富山県中新川広域行政事務組合</v>
      </c>
      <c r="CM728" s="49">
        <v>723</v>
      </c>
      <c r="CN728" s="17" t="str">
        <f t="shared" si="44"/>
        <v>0769</v>
      </c>
      <c r="CO728" s="17" t="str">
        <f t="shared" si="46"/>
        <v>723769中新川広域行政事務組合</v>
      </c>
      <c r="CP728" s="17" t="s">
        <v>7886</v>
      </c>
      <c r="CQ728" s="17" t="b">
        <f t="shared" si="47"/>
        <v>1</v>
      </c>
    </row>
    <row r="729" spans="6:95">
      <c r="F729" s="23"/>
      <c r="I729" s="23"/>
      <c r="L729" s="50" t="s">
        <v>7887</v>
      </c>
      <c r="M729" s="17" t="s">
        <v>7888</v>
      </c>
      <c r="N729" s="51" t="s">
        <v>7889</v>
      </c>
      <c r="O729" s="29" t="s">
        <v>1452</v>
      </c>
      <c r="P729" s="29" t="s">
        <v>7890</v>
      </c>
      <c r="Q729" s="29" t="s">
        <v>1452</v>
      </c>
      <c r="R729" s="29" t="s">
        <v>3411</v>
      </c>
      <c r="S729" s="28" t="s">
        <v>1920</v>
      </c>
      <c r="T729" s="28" t="s">
        <v>2815</v>
      </c>
      <c r="U729" s="28" t="s">
        <v>1441</v>
      </c>
      <c r="V729" s="28" t="s">
        <v>1619</v>
      </c>
      <c r="W729" s="28" t="s">
        <v>7891</v>
      </c>
      <c r="X729" s="17">
        <v>1</v>
      </c>
      <c r="CJ729" s="26" t="s">
        <v>1393</v>
      </c>
      <c r="CK729" s="26" t="s">
        <v>2106</v>
      </c>
      <c r="CL729" s="26" t="str">
        <f t="shared" si="45"/>
        <v>富山県砺波地方介護保険組合</v>
      </c>
      <c r="CM729" s="49">
        <v>724</v>
      </c>
      <c r="CN729" s="17" t="str">
        <f t="shared" si="44"/>
        <v>0773</v>
      </c>
      <c r="CO729" s="17" t="str">
        <f t="shared" si="46"/>
        <v>724773砺波地方介護保険組合</v>
      </c>
      <c r="CP729" s="17" t="s">
        <v>7892</v>
      </c>
      <c r="CQ729" s="17" t="b">
        <f t="shared" si="47"/>
        <v>1</v>
      </c>
    </row>
    <row r="730" spans="6:95">
      <c r="F730" s="23"/>
      <c r="I730" s="23"/>
      <c r="L730" s="50" t="s">
        <v>7893</v>
      </c>
      <c r="M730" s="17" t="s">
        <v>7894</v>
      </c>
      <c r="N730" s="51" t="s">
        <v>7895</v>
      </c>
      <c r="O730" s="29" t="s">
        <v>1452</v>
      </c>
      <c r="P730" s="29" t="s">
        <v>7896</v>
      </c>
      <c r="Q730" s="29" t="s">
        <v>1452</v>
      </c>
      <c r="R730" s="29" t="s">
        <v>3426</v>
      </c>
      <c r="S730" s="28" t="s">
        <v>1977</v>
      </c>
      <c r="T730" s="28" t="s">
        <v>2855</v>
      </c>
      <c r="U730" s="28" t="s">
        <v>1441</v>
      </c>
      <c r="V730" s="28" t="s">
        <v>1619</v>
      </c>
      <c r="W730" s="28" t="s">
        <v>7897</v>
      </c>
      <c r="X730" s="17">
        <v>1</v>
      </c>
      <c r="CJ730" s="26" t="s">
        <v>1393</v>
      </c>
      <c r="CK730" s="26" t="s">
        <v>2328</v>
      </c>
      <c r="CL730" s="26" t="str">
        <f t="shared" si="45"/>
        <v>富山県新川地域介護保険・ケーブルテレビ事業組合</v>
      </c>
      <c r="CM730" s="49">
        <v>725</v>
      </c>
      <c r="CN730" s="17" t="str">
        <f t="shared" si="44"/>
        <v>0777</v>
      </c>
      <c r="CO730" s="17" t="str">
        <f t="shared" si="46"/>
        <v>725777新川地域介護保険・ケーブルテレビ事業組合</v>
      </c>
      <c r="CP730" s="17" t="s">
        <v>7898</v>
      </c>
      <c r="CQ730" s="17" t="b">
        <f t="shared" si="47"/>
        <v>1</v>
      </c>
    </row>
    <row r="731" spans="6:95">
      <c r="F731" s="23"/>
      <c r="I731" s="23"/>
      <c r="L731" s="50" t="s">
        <v>7899</v>
      </c>
      <c r="M731" s="17" t="s">
        <v>7900</v>
      </c>
      <c r="N731" s="51" t="s">
        <v>7901</v>
      </c>
      <c r="O731" s="29" t="s">
        <v>1452</v>
      </c>
      <c r="P731" s="29" t="s">
        <v>7902</v>
      </c>
      <c r="Q731" s="29" t="s">
        <v>1452</v>
      </c>
      <c r="R731" s="29" t="s">
        <v>3441</v>
      </c>
      <c r="S731" s="28" t="s">
        <v>1743</v>
      </c>
      <c r="T731" s="28" t="s">
        <v>2894</v>
      </c>
      <c r="U731" s="28" t="s">
        <v>1441</v>
      </c>
      <c r="V731" s="28" t="s">
        <v>1619</v>
      </c>
      <c r="W731" s="28" t="s">
        <v>7903</v>
      </c>
      <c r="X731" s="17">
        <v>1</v>
      </c>
      <c r="CJ731" s="26" t="s">
        <v>1394</v>
      </c>
      <c r="CK731" s="26" t="s">
        <v>1520</v>
      </c>
      <c r="CL731" s="26" t="str">
        <f t="shared" si="45"/>
        <v>石川県金沢市</v>
      </c>
      <c r="CM731" s="49">
        <v>726</v>
      </c>
      <c r="CN731" s="17" t="str">
        <f t="shared" si="44"/>
        <v>0781</v>
      </c>
      <c r="CO731" s="17" t="str">
        <f t="shared" si="46"/>
        <v>726781金沢市</v>
      </c>
      <c r="CP731" s="17" t="s">
        <v>7904</v>
      </c>
      <c r="CQ731" s="17" t="b">
        <f t="shared" si="47"/>
        <v>1</v>
      </c>
    </row>
    <row r="732" spans="6:95">
      <c r="F732" s="23"/>
      <c r="I732" s="23"/>
      <c r="L732" s="50" t="s">
        <v>7905</v>
      </c>
      <c r="M732" s="17" t="s">
        <v>7906</v>
      </c>
      <c r="N732" s="51" t="s">
        <v>7907</v>
      </c>
      <c r="O732" s="29" t="s">
        <v>1452</v>
      </c>
      <c r="P732" s="29" t="s">
        <v>7908</v>
      </c>
      <c r="Q732" s="29" t="s">
        <v>1452</v>
      </c>
      <c r="R732" s="29" t="s">
        <v>4925</v>
      </c>
      <c r="S732" s="28" t="s">
        <v>1626</v>
      </c>
      <c r="T732" s="28" t="s">
        <v>2931</v>
      </c>
      <c r="U732" s="28" t="s">
        <v>1441</v>
      </c>
      <c r="V732" s="28" t="s">
        <v>1619</v>
      </c>
      <c r="W732" s="28" t="s">
        <v>7908</v>
      </c>
      <c r="X732" s="17">
        <v>1</v>
      </c>
      <c r="CJ732" s="26" t="s">
        <v>1394</v>
      </c>
      <c r="CK732" s="26" t="s">
        <v>1582</v>
      </c>
      <c r="CL732" s="26" t="str">
        <f t="shared" si="45"/>
        <v>石川県七尾市</v>
      </c>
      <c r="CM732" s="49">
        <v>727</v>
      </c>
      <c r="CN732" s="17" t="str">
        <f t="shared" si="44"/>
        <v>0782</v>
      </c>
      <c r="CO732" s="17" t="str">
        <f t="shared" si="46"/>
        <v>727782七尾市</v>
      </c>
      <c r="CP732" s="17" t="s">
        <v>7909</v>
      </c>
      <c r="CQ732" s="17" t="b">
        <f t="shared" si="47"/>
        <v>1</v>
      </c>
    </row>
    <row r="733" spans="6:95">
      <c r="F733" s="23"/>
      <c r="I733" s="23"/>
      <c r="L733" s="50" t="s">
        <v>7910</v>
      </c>
      <c r="M733" s="17" t="s">
        <v>7911</v>
      </c>
      <c r="N733" s="51" t="s">
        <v>7912</v>
      </c>
      <c r="O733" s="29" t="s">
        <v>1452</v>
      </c>
      <c r="P733" s="29" t="s">
        <v>7913</v>
      </c>
      <c r="Q733" s="29" t="s">
        <v>1452</v>
      </c>
      <c r="R733" s="29" t="s">
        <v>5614</v>
      </c>
      <c r="S733" s="28" t="s">
        <v>1977</v>
      </c>
      <c r="T733" s="28" t="s">
        <v>2964</v>
      </c>
      <c r="U733" s="28" t="s">
        <v>1441</v>
      </c>
      <c r="V733" s="28" t="s">
        <v>1619</v>
      </c>
      <c r="W733" s="28" t="s">
        <v>7914</v>
      </c>
      <c r="X733" s="17">
        <v>1</v>
      </c>
      <c r="CJ733" s="26" t="s">
        <v>1394</v>
      </c>
      <c r="CK733" s="26" t="s">
        <v>1644</v>
      </c>
      <c r="CL733" s="26" t="str">
        <f t="shared" si="45"/>
        <v>石川県小松市</v>
      </c>
      <c r="CM733" s="49">
        <v>728</v>
      </c>
      <c r="CN733" s="17" t="str">
        <f t="shared" si="44"/>
        <v>0783</v>
      </c>
      <c r="CO733" s="17" t="str">
        <f t="shared" si="46"/>
        <v>728783小松市</v>
      </c>
      <c r="CP733" s="17" t="s">
        <v>7915</v>
      </c>
      <c r="CQ733" s="17" t="b">
        <f t="shared" si="47"/>
        <v>1</v>
      </c>
    </row>
    <row r="734" spans="6:95">
      <c r="F734" s="23"/>
      <c r="I734" s="23"/>
      <c r="L734" s="50" t="s">
        <v>7916</v>
      </c>
      <c r="M734" s="17" t="s">
        <v>7917</v>
      </c>
      <c r="N734" s="51" t="s">
        <v>7918</v>
      </c>
      <c r="O734" s="29" t="s">
        <v>1452</v>
      </c>
      <c r="P734" s="29" t="s">
        <v>7919</v>
      </c>
      <c r="Q734" s="29" t="s">
        <v>1452</v>
      </c>
      <c r="R734" s="29" t="s">
        <v>6536</v>
      </c>
      <c r="S734" s="28" t="s">
        <v>1743</v>
      </c>
      <c r="T734" s="28" t="s">
        <v>2998</v>
      </c>
      <c r="U734" s="28" t="s">
        <v>1441</v>
      </c>
      <c r="V734" s="28" t="s">
        <v>1619</v>
      </c>
      <c r="W734" s="28" t="s">
        <v>7920</v>
      </c>
      <c r="X734" s="17">
        <v>1</v>
      </c>
      <c r="CJ734" s="26" t="s">
        <v>1394</v>
      </c>
      <c r="CK734" s="26" t="s">
        <v>1702</v>
      </c>
      <c r="CL734" s="26" t="str">
        <f t="shared" si="45"/>
        <v>石川県輪島市</v>
      </c>
      <c r="CM734" s="49">
        <v>729</v>
      </c>
      <c r="CN734" s="17" t="str">
        <f t="shared" si="44"/>
        <v>0784</v>
      </c>
      <c r="CO734" s="17" t="str">
        <f t="shared" si="46"/>
        <v>729784輪島市</v>
      </c>
      <c r="CP734" s="17" t="s">
        <v>7921</v>
      </c>
      <c r="CQ734" s="17" t="b">
        <f t="shared" si="47"/>
        <v>1</v>
      </c>
    </row>
    <row r="735" spans="6:95">
      <c r="F735" s="23"/>
      <c r="I735" s="23"/>
      <c r="L735" s="50" t="s">
        <v>7922</v>
      </c>
      <c r="M735" s="17" t="s">
        <v>7923</v>
      </c>
      <c r="N735" s="51" t="s">
        <v>7924</v>
      </c>
      <c r="O735" s="29" t="s">
        <v>1452</v>
      </c>
      <c r="P735" s="29" t="s">
        <v>7925</v>
      </c>
      <c r="Q735" s="29" t="s">
        <v>1452</v>
      </c>
      <c r="R735" s="29" t="s">
        <v>4723</v>
      </c>
      <c r="S735" s="28" t="s">
        <v>1803</v>
      </c>
      <c r="T735" s="28" t="s">
        <v>3032</v>
      </c>
      <c r="U735" s="28" t="s">
        <v>1441</v>
      </c>
      <c r="V735" s="28" t="s">
        <v>1619</v>
      </c>
      <c r="W735" s="28" t="s">
        <v>7926</v>
      </c>
      <c r="X735" s="17">
        <v>1</v>
      </c>
      <c r="CJ735" s="26" t="s">
        <v>1394</v>
      </c>
      <c r="CK735" s="26" t="s">
        <v>1761</v>
      </c>
      <c r="CL735" s="26" t="str">
        <f t="shared" si="45"/>
        <v>石川県珠洲市</v>
      </c>
      <c r="CM735" s="49">
        <v>730</v>
      </c>
      <c r="CN735" s="17" t="str">
        <f t="shared" si="44"/>
        <v>0785</v>
      </c>
      <c r="CO735" s="17" t="str">
        <f t="shared" si="46"/>
        <v>730785珠洲市</v>
      </c>
      <c r="CP735" s="17" t="s">
        <v>7927</v>
      </c>
      <c r="CQ735" s="17" t="b">
        <f t="shared" si="47"/>
        <v>1</v>
      </c>
    </row>
    <row r="736" spans="6:95">
      <c r="F736" s="23"/>
      <c r="I736" s="23"/>
      <c r="L736" s="50" t="s">
        <v>7928</v>
      </c>
      <c r="M736" s="17" t="s">
        <v>7929</v>
      </c>
      <c r="N736" s="51" t="s">
        <v>7930</v>
      </c>
      <c r="O736" s="29" t="s">
        <v>1452</v>
      </c>
      <c r="P736" s="29" t="s">
        <v>7931</v>
      </c>
      <c r="Q736" s="29" t="s">
        <v>1452</v>
      </c>
      <c r="R736" s="29" t="s">
        <v>4507</v>
      </c>
      <c r="S736" s="28" t="s">
        <v>1743</v>
      </c>
      <c r="T736" s="28" t="s">
        <v>3063</v>
      </c>
      <c r="U736" s="28" t="s">
        <v>1441</v>
      </c>
      <c r="V736" s="28" t="s">
        <v>1619</v>
      </c>
      <c r="W736" s="28" t="s">
        <v>7932</v>
      </c>
      <c r="X736" s="17">
        <v>1</v>
      </c>
      <c r="CJ736" s="26" t="s">
        <v>1394</v>
      </c>
      <c r="CK736" s="26" t="s">
        <v>1821</v>
      </c>
      <c r="CL736" s="26" t="str">
        <f t="shared" si="45"/>
        <v>石川県加賀市</v>
      </c>
      <c r="CM736" s="49">
        <v>731</v>
      </c>
      <c r="CN736" s="17" t="str">
        <f t="shared" si="44"/>
        <v>0786</v>
      </c>
      <c r="CO736" s="17" t="str">
        <f t="shared" si="46"/>
        <v>731786加賀市</v>
      </c>
      <c r="CP736" s="17" t="s">
        <v>7933</v>
      </c>
      <c r="CQ736" s="17" t="b">
        <f t="shared" si="47"/>
        <v>1</v>
      </c>
    </row>
    <row r="737" spans="6:95">
      <c r="F737" s="23"/>
      <c r="I737" s="23"/>
      <c r="L737" s="50" t="s">
        <v>7934</v>
      </c>
      <c r="M737" s="17" t="s">
        <v>7935</v>
      </c>
      <c r="N737" s="51" t="s">
        <v>7936</v>
      </c>
      <c r="O737" s="29" t="s">
        <v>1452</v>
      </c>
      <c r="P737" s="29" t="s">
        <v>7937</v>
      </c>
      <c r="Q737" s="29" t="s">
        <v>1452</v>
      </c>
      <c r="R737" s="29" t="s">
        <v>3512</v>
      </c>
      <c r="S737" s="28" t="s">
        <v>1803</v>
      </c>
      <c r="T737" s="28" t="s">
        <v>3093</v>
      </c>
      <c r="U737" s="28" t="s">
        <v>1441</v>
      </c>
      <c r="V737" s="28" t="s">
        <v>1619</v>
      </c>
      <c r="W737" s="28" t="s">
        <v>7938</v>
      </c>
      <c r="X737" s="17">
        <v>1</v>
      </c>
      <c r="CJ737" s="26" t="s">
        <v>1394</v>
      </c>
      <c r="CK737" s="26" t="s">
        <v>1880</v>
      </c>
      <c r="CL737" s="26" t="str">
        <f t="shared" si="45"/>
        <v>石川県羽咋市</v>
      </c>
      <c r="CM737" s="49">
        <v>732</v>
      </c>
      <c r="CN737" s="17" t="str">
        <f t="shared" si="44"/>
        <v>0787</v>
      </c>
      <c r="CO737" s="17" t="str">
        <f t="shared" si="46"/>
        <v>732787羽咋市</v>
      </c>
      <c r="CP737" s="17" t="s">
        <v>7939</v>
      </c>
      <c r="CQ737" s="17" t="b">
        <f t="shared" si="47"/>
        <v>1</v>
      </c>
    </row>
    <row r="738" spans="6:95">
      <c r="F738" s="23"/>
      <c r="I738" s="23"/>
      <c r="L738" s="50" t="s">
        <v>7940</v>
      </c>
      <c r="M738" s="17" t="s">
        <v>7941</v>
      </c>
      <c r="N738" s="51" t="s">
        <v>7942</v>
      </c>
      <c r="O738" s="29" t="s">
        <v>1453</v>
      </c>
      <c r="P738" s="29" t="s">
        <v>7943</v>
      </c>
      <c r="Q738" s="29" t="s">
        <v>1453</v>
      </c>
      <c r="R738" s="29" t="s">
        <v>1501</v>
      </c>
      <c r="S738" s="28" t="s">
        <v>1564</v>
      </c>
      <c r="T738" s="28" t="s">
        <v>1518</v>
      </c>
      <c r="U738" s="28" t="s">
        <v>1441</v>
      </c>
      <c r="V738" s="28" t="s">
        <v>1619</v>
      </c>
      <c r="W738" s="28" t="s">
        <v>7944</v>
      </c>
      <c r="X738" s="17">
        <v>1</v>
      </c>
      <c r="CJ738" s="26" t="s">
        <v>1394</v>
      </c>
      <c r="CK738" s="26" t="s">
        <v>1938</v>
      </c>
      <c r="CL738" s="26" t="str">
        <f t="shared" si="45"/>
        <v>石川県かほく市</v>
      </c>
      <c r="CM738" s="49">
        <v>733</v>
      </c>
      <c r="CN738" s="17" t="str">
        <f t="shared" si="44"/>
        <v>0788</v>
      </c>
      <c r="CO738" s="17" t="str">
        <f t="shared" si="46"/>
        <v>733788かほく市</v>
      </c>
      <c r="CP738" s="17" t="s">
        <v>7945</v>
      </c>
      <c r="CQ738" s="17" t="b">
        <f t="shared" si="47"/>
        <v>1</v>
      </c>
    </row>
    <row r="739" spans="6:95">
      <c r="F739" s="23"/>
      <c r="I739" s="23"/>
      <c r="L739" s="50" t="s">
        <v>7946</v>
      </c>
      <c r="M739" s="17" t="s">
        <v>7947</v>
      </c>
      <c r="N739" s="51" t="s">
        <v>7948</v>
      </c>
      <c r="O739" s="29" t="s">
        <v>1453</v>
      </c>
      <c r="P739" s="29" t="s">
        <v>7949</v>
      </c>
      <c r="Q739" s="29" t="s">
        <v>1453</v>
      </c>
      <c r="R739" s="29" t="s">
        <v>1563</v>
      </c>
      <c r="S739" s="28" t="s">
        <v>2525</v>
      </c>
      <c r="T739" s="28" t="s">
        <v>1580</v>
      </c>
      <c r="U739" s="28" t="s">
        <v>1441</v>
      </c>
      <c r="V739" s="28" t="s">
        <v>1619</v>
      </c>
      <c r="W739" s="28" t="s">
        <v>7950</v>
      </c>
      <c r="X739" s="17">
        <v>1</v>
      </c>
      <c r="CJ739" s="26" t="s">
        <v>1394</v>
      </c>
      <c r="CK739" s="26" t="s">
        <v>1995</v>
      </c>
      <c r="CL739" s="26" t="str">
        <f t="shared" si="45"/>
        <v>石川県白山市</v>
      </c>
      <c r="CM739" s="49">
        <v>734</v>
      </c>
      <c r="CN739" s="17" t="str">
        <f t="shared" si="44"/>
        <v>0789</v>
      </c>
      <c r="CO739" s="17" t="str">
        <f t="shared" si="46"/>
        <v>734789白山市</v>
      </c>
      <c r="CP739" s="17" t="s">
        <v>7951</v>
      </c>
      <c r="CQ739" s="17" t="b">
        <f t="shared" si="47"/>
        <v>1</v>
      </c>
    </row>
    <row r="740" spans="6:95">
      <c r="F740" s="23"/>
      <c r="I740" s="23"/>
      <c r="L740" s="50" t="s">
        <v>7952</v>
      </c>
      <c r="M740" s="17" t="s">
        <v>7953</v>
      </c>
      <c r="N740" s="51" t="s">
        <v>7954</v>
      </c>
      <c r="O740" s="29" t="s">
        <v>1453</v>
      </c>
      <c r="P740" s="29" t="s">
        <v>7955</v>
      </c>
      <c r="Q740" s="29" t="s">
        <v>1453</v>
      </c>
      <c r="R740" s="29" t="s">
        <v>1684</v>
      </c>
      <c r="S740" s="28" t="s">
        <v>1564</v>
      </c>
      <c r="T740" s="28" t="s">
        <v>1642</v>
      </c>
      <c r="U740" s="28" t="s">
        <v>1441</v>
      </c>
      <c r="V740" s="28" t="s">
        <v>1619</v>
      </c>
      <c r="W740" s="28" t="s">
        <v>7956</v>
      </c>
      <c r="X740" s="17">
        <v>1</v>
      </c>
      <c r="CJ740" s="26" t="s">
        <v>1394</v>
      </c>
      <c r="CK740" s="26" t="s">
        <v>2051</v>
      </c>
      <c r="CL740" s="26" t="str">
        <f t="shared" si="45"/>
        <v>石川県能美市</v>
      </c>
      <c r="CM740" s="49">
        <v>735</v>
      </c>
      <c r="CN740" s="17" t="str">
        <f t="shared" si="44"/>
        <v>0790</v>
      </c>
      <c r="CO740" s="17" t="str">
        <f t="shared" si="46"/>
        <v>735790能美市</v>
      </c>
      <c r="CP740" s="17" t="s">
        <v>7957</v>
      </c>
      <c r="CQ740" s="17" t="b">
        <f t="shared" si="47"/>
        <v>1</v>
      </c>
    </row>
    <row r="741" spans="6:95">
      <c r="F741" s="23"/>
      <c r="I741" s="23"/>
      <c r="L741" s="50" t="s">
        <v>7958</v>
      </c>
      <c r="M741" s="17" t="s">
        <v>7959</v>
      </c>
      <c r="N741" s="51" t="s">
        <v>7960</v>
      </c>
      <c r="O741" s="29" t="s">
        <v>1453</v>
      </c>
      <c r="P741" s="29" t="s">
        <v>7961</v>
      </c>
      <c r="Q741" s="29" t="s">
        <v>1453</v>
      </c>
      <c r="R741" s="29" t="s">
        <v>1742</v>
      </c>
      <c r="S741" s="28" t="s">
        <v>1920</v>
      </c>
      <c r="T741" s="28" t="s">
        <v>1700</v>
      </c>
      <c r="U741" s="28" t="s">
        <v>1441</v>
      </c>
      <c r="V741" s="28" t="s">
        <v>1619</v>
      </c>
      <c r="W741" s="28" t="s">
        <v>7962</v>
      </c>
      <c r="X741" s="17">
        <v>1</v>
      </c>
      <c r="CJ741" s="26" t="s">
        <v>1394</v>
      </c>
      <c r="CK741" s="26" t="s">
        <v>2107</v>
      </c>
      <c r="CL741" s="26" t="str">
        <f t="shared" si="45"/>
        <v>石川県野々市市</v>
      </c>
      <c r="CM741" s="49">
        <v>736</v>
      </c>
      <c r="CN741" s="17" t="str">
        <f t="shared" si="44"/>
        <v>0791</v>
      </c>
      <c r="CO741" s="17" t="str">
        <f t="shared" si="46"/>
        <v>736791野々市市</v>
      </c>
      <c r="CP741" s="17" t="s">
        <v>7963</v>
      </c>
      <c r="CQ741" s="17" t="b">
        <f t="shared" si="47"/>
        <v>1</v>
      </c>
    </row>
    <row r="742" spans="6:95">
      <c r="F742" s="23"/>
      <c r="I742" s="23"/>
      <c r="L742" s="50" t="s">
        <v>7964</v>
      </c>
      <c r="M742" s="17" t="s">
        <v>7965</v>
      </c>
      <c r="N742" s="51" t="s">
        <v>7966</v>
      </c>
      <c r="O742" s="29" t="s">
        <v>1453</v>
      </c>
      <c r="P742" s="29" t="s">
        <v>7967</v>
      </c>
      <c r="Q742" s="29" t="s">
        <v>1453</v>
      </c>
      <c r="R742" s="29" t="s">
        <v>1802</v>
      </c>
      <c r="S742" s="28" t="s">
        <v>1977</v>
      </c>
      <c r="T742" s="28" t="s">
        <v>1759</v>
      </c>
      <c r="U742" s="28" t="s">
        <v>1441</v>
      </c>
      <c r="V742" s="28" t="s">
        <v>1619</v>
      </c>
      <c r="W742" s="28" t="s">
        <v>7968</v>
      </c>
      <c r="X742" s="17">
        <v>1</v>
      </c>
      <c r="CJ742" s="26" t="s">
        <v>1394</v>
      </c>
      <c r="CK742" s="26" t="s">
        <v>2163</v>
      </c>
      <c r="CL742" s="26" t="str">
        <f t="shared" si="45"/>
        <v>石川県川北町</v>
      </c>
      <c r="CM742" s="49">
        <v>737</v>
      </c>
      <c r="CN742" s="17" t="str">
        <f t="shared" si="44"/>
        <v>0792</v>
      </c>
      <c r="CO742" s="17" t="str">
        <f t="shared" si="46"/>
        <v>737792川北町</v>
      </c>
      <c r="CP742" s="17" t="s">
        <v>7969</v>
      </c>
      <c r="CQ742" s="17" t="b">
        <f t="shared" si="47"/>
        <v>1</v>
      </c>
    </row>
    <row r="743" spans="6:95">
      <c r="F743" s="23"/>
      <c r="I743" s="23"/>
      <c r="L743" s="50" t="s">
        <v>7970</v>
      </c>
      <c r="M743" s="17" t="s">
        <v>7971</v>
      </c>
      <c r="N743" s="51" t="s">
        <v>7972</v>
      </c>
      <c r="O743" s="29" t="s">
        <v>1453</v>
      </c>
      <c r="P743" s="29" t="s">
        <v>7973</v>
      </c>
      <c r="Q743" s="29" t="s">
        <v>1453</v>
      </c>
      <c r="R743" s="29" t="s">
        <v>1919</v>
      </c>
      <c r="S743" s="28" t="s">
        <v>1803</v>
      </c>
      <c r="T743" s="28" t="s">
        <v>1819</v>
      </c>
      <c r="U743" s="28" t="s">
        <v>1441</v>
      </c>
      <c r="V743" s="28" t="s">
        <v>1619</v>
      </c>
      <c r="W743" s="28" t="s">
        <v>7974</v>
      </c>
      <c r="X743" s="17">
        <v>1</v>
      </c>
      <c r="CJ743" s="26" t="s">
        <v>1394</v>
      </c>
      <c r="CK743" s="26" t="s">
        <v>2218</v>
      </c>
      <c r="CL743" s="26" t="str">
        <f t="shared" si="45"/>
        <v>石川県津幡町</v>
      </c>
      <c r="CM743" s="49">
        <v>738</v>
      </c>
      <c r="CN743" s="17" t="str">
        <f t="shared" si="44"/>
        <v>0793</v>
      </c>
      <c r="CO743" s="17" t="str">
        <f t="shared" si="46"/>
        <v>738793津幡町</v>
      </c>
      <c r="CP743" s="17" t="s">
        <v>7975</v>
      </c>
      <c r="CQ743" s="17" t="b">
        <f t="shared" si="47"/>
        <v>1</v>
      </c>
    </row>
    <row r="744" spans="6:95">
      <c r="F744" s="23"/>
      <c r="I744" s="23"/>
      <c r="L744" s="50" t="s">
        <v>7976</v>
      </c>
      <c r="M744" s="17" t="s">
        <v>7977</v>
      </c>
      <c r="N744" s="51" t="s">
        <v>7978</v>
      </c>
      <c r="O744" s="29" t="s">
        <v>1453</v>
      </c>
      <c r="P744" s="29" t="s">
        <v>7979</v>
      </c>
      <c r="Q744" s="29" t="s">
        <v>1453</v>
      </c>
      <c r="R744" s="29" t="s">
        <v>1976</v>
      </c>
      <c r="S744" s="28" t="s">
        <v>1862</v>
      </c>
      <c r="T744" s="28" t="s">
        <v>1878</v>
      </c>
      <c r="U744" s="28" t="s">
        <v>1441</v>
      </c>
      <c r="V744" s="28" t="s">
        <v>1619</v>
      </c>
      <c r="W744" s="28" t="s">
        <v>7980</v>
      </c>
      <c r="X744" s="17">
        <v>1</v>
      </c>
      <c r="CJ744" s="26" t="s">
        <v>1394</v>
      </c>
      <c r="CK744" s="26" t="s">
        <v>2273</v>
      </c>
      <c r="CL744" s="26" t="str">
        <f t="shared" si="45"/>
        <v>石川県内灘町</v>
      </c>
      <c r="CM744" s="49">
        <v>739</v>
      </c>
      <c r="CN744" s="17" t="str">
        <f t="shared" si="44"/>
        <v>0794</v>
      </c>
      <c r="CO744" s="17" t="str">
        <f t="shared" si="46"/>
        <v>739794内灘町</v>
      </c>
      <c r="CP744" s="17" t="s">
        <v>7981</v>
      </c>
      <c r="CQ744" s="17" t="b">
        <f t="shared" si="47"/>
        <v>1</v>
      </c>
    </row>
    <row r="745" spans="6:95">
      <c r="F745" s="23"/>
      <c r="I745" s="23"/>
      <c r="L745" s="50" t="s">
        <v>7982</v>
      </c>
      <c r="M745" s="17" t="s">
        <v>7983</v>
      </c>
      <c r="N745" s="51" t="s">
        <v>7984</v>
      </c>
      <c r="O745" s="29" t="s">
        <v>1453</v>
      </c>
      <c r="P745" s="29" t="s">
        <v>7985</v>
      </c>
      <c r="Q745" s="29" t="s">
        <v>1453</v>
      </c>
      <c r="R745" s="29" t="s">
        <v>2033</v>
      </c>
      <c r="S745" s="28" t="s">
        <v>1920</v>
      </c>
      <c r="T745" s="28" t="s">
        <v>1936</v>
      </c>
      <c r="U745" s="28" t="s">
        <v>1441</v>
      </c>
      <c r="V745" s="28" t="s">
        <v>1619</v>
      </c>
      <c r="W745" s="28" t="s">
        <v>7986</v>
      </c>
      <c r="X745" s="17">
        <v>1</v>
      </c>
      <c r="CJ745" s="26" t="s">
        <v>1394</v>
      </c>
      <c r="CK745" s="26" t="s">
        <v>2329</v>
      </c>
      <c r="CL745" s="26" t="str">
        <f t="shared" si="45"/>
        <v>石川県志賀町</v>
      </c>
      <c r="CM745" s="49">
        <v>740</v>
      </c>
      <c r="CN745" s="17" t="str">
        <f t="shared" si="44"/>
        <v>0795</v>
      </c>
      <c r="CO745" s="17" t="str">
        <f t="shared" si="46"/>
        <v>740795志賀町</v>
      </c>
      <c r="CP745" s="17" t="s">
        <v>7987</v>
      </c>
      <c r="CQ745" s="17" t="b">
        <f t="shared" si="47"/>
        <v>1</v>
      </c>
    </row>
    <row r="746" spans="6:95">
      <c r="F746" s="23"/>
      <c r="I746" s="23"/>
      <c r="L746" s="50" t="s">
        <v>7988</v>
      </c>
      <c r="M746" s="17" t="s">
        <v>7989</v>
      </c>
      <c r="N746" s="51" t="s">
        <v>7990</v>
      </c>
      <c r="O746" s="29" t="s">
        <v>1453</v>
      </c>
      <c r="P746" s="29" t="s">
        <v>7991</v>
      </c>
      <c r="Q746" s="29" t="s">
        <v>1453</v>
      </c>
      <c r="R746" s="29" t="s">
        <v>2089</v>
      </c>
      <c r="S746" s="28" t="s">
        <v>1977</v>
      </c>
      <c r="T746" s="28" t="s">
        <v>1993</v>
      </c>
      <c r="U746" s="28" t="s">
        <v>1441</v>
      </c>
      <c r="V746" s="28" t="s">
        <v>1619</v>
      </c>
      <c r="W746" s="28" t="s">
        <v>7992</v>
      </c>
      <c r="X746" s="17">
        <v>1</v>
      </c>
      <c r="CJ746" s="26" t="s">
        <v>1394</v>
      </c>
      <c r="CK746" s="26" t="s">
        <v>2383</v>
      </c>
      <c r="CL746" s="26" t="str">
        <f t="shared" si="45"/>
        <v>石川県宝達志水町</v>
      </c>
      <c r="CM746" s="49">
        <v>741</v>
      </c>
      <c r="CN746" s="17" t="str">
        <f t="shared" si="44"/>
        <v>0796</v>
      </c>
      <c r="CO746" s="17" t="str">
        <f t="shared" si="46"/>
        <v>741796宝達志水町</v>
      </c>
      <c r="CP746" s="17" t="s">
        <v>7993</v>
      </c>
      <c r="CQ746" s="17" t="b">
        <f t="shared" si="47"/>
        <v>1</v>
      </c>
    </row>
    <row r="747" spans="6:95">
      <c r="F747" s="23"/>
      <c r="I747" s="23"/>
      <c r="L747" s="50" t="s">
        <v>7994</v>
      </c>
      <c r="M747" s="17" t="s">
        <v>7995</v>
      </c>
      <c r="N747" s="51" t="s">
        <v>7996</v>
      </c>
      <c r="O747" s="29" t="s">
        <v>1453</v>
      </c>
      <c r="P747" s="29" t="s">
        <v>7997</v>
      </c>
      <c r="Q747" s="29" t="s">
        <v>1453</v>
      </c>
      <c r="R747" s="29" t="s">
        <v>2145</v>
      </c>
      <c r="S747" s="28" t="s">
        <v>1743</v>
      </c>
      <c r="T747" s="28" t="s">
        <v>2049</v>
      </c>
      <c r="U747" s="28" t="s">
        <v>1441</v>
      </c>
      <c r="V747" s="28" t="s">
        <v>1619</v>
      </c>
      <c r="W747" s="28" t="s">
        <v>7998</v>
      </c>
      <c r="X747" s="17">
        <v>1</v>
      </c>
      <c r="CJ747" s="26" t="s">
        <v>1394</v>
      </c>
      <c r="CK747" s="26" t="s">
        <v>2438</v>
      </c>
      <c r="CL747" s="26" t="str">
        <f t="shared" si="45"/>
        <v>石川県中能登町</v>
      </c>
      <c r="CM747" s="49">
        <v>742</v>
      </c>
      <c r="CN747" s="17" t="str">
        <f t="shared" si="44"/>
        <v>0797</v>
      </c>
      <c r="CO747" s="17" t="str">
        <f t="shared" si="46"/>
        <v>742797中能登町</v>
      </c>
      <c r="CP747" s="17" t="s">
        <v>7999</v>
      </c>
      <c r="CQ747" s="17" t="b">
        <f t="shared" si="47"/>
        <v>1</v>
      </c>
    </row>
    <row r="748" spans="6:95">
      <c r="F748" s="23"/>
      <c r="I748" s="23"/>
      <c r="L748" s="50" t="s">
        <v>8000</v>
      </c>
      <c r="M748" s="17" t="s">
        <v>8001</v>
      </c>
      <c r="N748" s="51" t="s">
        <v>8002</v>
      </c>
      <c r="O748" s="29" t="s">
        <v>1453</v>
      </c>
      <c r="P748" s="29" t="s">
        <v>8003</v>
      </c>
      <c r="Q748" s="29" t="s">
        <v>1453</v>
      </c>
      <c r="R748" s="29" t="s">
        <v>2200</v>
      </c>
      <c r="S748" s="28" t="s">
        <v>1803</v>
      </c>
      <c r="T748" s="28" t="s">
        <v>2105</v>
      </c>
      <c r="U748" s="28" t="s">
        <v>1441</v>
      </c>
      <c r="V748" s="28" t="s">
        <v>1619</v>
      </c>
      <c r="W748" s="28" t="s">
        <v>8004</v>
      </c>
      <c r="X748" s="17">
        <v>1</v>
      </c>
      <c r="CJ748" s="26" t="s">
        <v>1394</v>
      </c>
      <c r="CK748" s="26" t="s">
        <v>2490</v>
      </c>
      <c r="CL748" s="26" t="str">
        <f t="shared" si="45"/>
        <v>石川県穴水町</v>
      </c>
      <c r="CM748" s="49">
        <v>743</v>
      </c>
      <c r="CN748" s="17" t="str">
        <f t="shared" si="44"/>
        <v>0798</v>
      </c>
      <c r="CO748" s="17" t="str">
        <f t="shared" si="46"/>
        <v>743798穴水町</v>
      </c>
      <c r="CP748" s="17" t="s">
        <v>8005</v>
      </c>
      <c r="CQ748" s="17" t="b">
        <f t="shared" si="47"/>
        <v>1</v>
      </c>
    </row>
    <row r="749" spans="6:95">
      <c r="F749" s="23"/>
      <c r="I749" s="23"/>
      <c r="L749" s="50" t="s">
        <v>8006</v>
      </c>
      <c r="M749" s="17" t="s">
        <v>8007</v>
      </c>
      <c r="N749" s="51" t="s">
        <v>8008</v>
      </c>
      <c r="O749" s="29" t="s">
        <v>1453</v>
      </c>
      <c r="P749" s="29" t="s">
        <v>8009</v>
      </c>
      <c r="Q749" s="29" t="s">
        <v>1453</v>
      </c>
      <c r="R749" s="29" t="s">
        <v>2365</v>
      </c>
      <c r="S749" s="28" t="s">
        <v>2525</v>
      </c>
      <c r="T749" s="28" t="s">
        <v>2161</v>
      </c>
      <c r="U749" s="28" t="s">
        <v>1441</v>
      </c>
      <c r="V749" s="28" t="s">
        <v>1619</v>
      </c>
      <c r="W749" s="28" t="s">
        <v>8010</v>
      </c>
      <c r="X749" s="17">
        <v>1</v>
      </c>
      <c r="CJ749" s="26" t="s">
        <v>1394</v>
      </c>
      <c r="CK749" s="26" t="s">
        <v>2542</v>
      </c>
      <c r="CL749" s="26" t="str">
        <f t="shared" si="45"/>
        <v>石川県能登町</v>
      </c>
      <c r="CM749" s="49">
        <v>744</v>
      </c>
      <c r="CN749" s="17" t="str">
        <f t="shared" si="44"/>
        <v>0799</v>
      </c>
      <c r="CO749" s="17" t="str">
        <f t="shared" si="46"/>
        <v>744799能登町</v>
      </c>
      <c r="CP749" s="17" t="s">
        <v>8011</v>
      </c>
      <c r="CQ749" s="17" t="b">
        <f t="shared" si="47"/>
        <v>1</v>
      </c>
    </row>
    <row r="750" spans="6:95">
      <c r="F750" s="23"/>
      <c r="I750" s="23"/>
      <c r="L750" s="50" t="s">
        <v>8012</v>
      </c>
      <c r="M750" s="17" t="s">
        <v>8013</v>
      </c>
      <c r="N750" s="51" t="s">
        <v>8014</v>
      </c>
      <c r="O750" s="29" t="s">
        <v>1453</v>
      </c>
      <c r="P750" s="29" t="s">
        <v>8015</v>
      </c>
      <c r="Q750" s="29" t="s">
        <v>1453</v>
      </c>
      <c r="R750" s="29" t="s">
        <v>2420</v>
      </c>
      <c r="S750" s="28" t="s">
        <v>2311</v>
      </c>
      <c r="T750" s="28" t="s">
        <v>2216</v>
      </c>
      <c r="U750" s="28" t="s">
        <v>1441</v>
      </c>
      <c r="V750" s="28" t="s">
        <v>1619</v>
      </c>
      <c r="W750" s="28" t="s">
        <v>8016</v>
      </c>
      <c r="X750" s="17">
        <v>1</v>
      </c>
      <c r="CJ750" s="26" t="s">
        <v>1395</v>
      </c>
      <c r="CK750" s="26" t="s">
        <v>1521</v>
      </c>
      <c r="CL750" s="26" t="str">
        <f t="shared" si="45"/>
        <v>福井県福井市</v>
      </c>
      <c r="CM750" s="49">
        <v>745</v>
      </c>
      <c r="CN750" s="17" t="str">
        <f t="shared" si="44"/>
        <v>0800</v>
      </c>
      <c r="CO750" s="17" t="str">
        <f t="shared" si="46"/>
        <v>745800福井市</v>
      </c>
      <c r="CP750" s="17" t="s">
        <v>8017</v>
      </c>
      <c r="CQ750" s="17" t="b">
        <f t="shared" si="47"/>
        <v>1</v>
      </c>
    </row>
    <row r="751" spans="6:95">
      <c r="F751" s="23"/>
      <c r="I751" s="23"/>
      <c r="L751" s="50" t="s">
        <v>8018</v>
      </c>
      <c r="M751" s="17" t="s">
        <v>8019</v>
      </c>
      <c r="N751" s="51" t="s">
        <v>8020</v>
      </c>
      <c r="O751" s="29" t="s">
        <v>1453</v>
      </c>
      <c r="P751" s="29" t="s">
        <v>8021</v>
      </c>
      <c r="Q751" s="29" t="s">
        <v>1453</v>
      </c>
      <c r="R751" s="29" t="s">
        <v>2474</v>
      </c>
      <c r="S751" s="28" t="s">
        <v>1564</v>
      </c>
      <c r="T751" s="28" t="s">
        <v>2271</v>
      </c>
      <c r="U751" s="28" t="s">
        <v>1441</v>
      </c>
      <c r="V751" s="28" t="s">
        <v>1619</v>
      </c>
      <c r="W751" s="28" t="s">
        <v>8022</v>
      </c>
      <c r="X751" s="17">
        <v>1</v>
      </c>
      <c r="CJ751" s="26" t="s">
        <v>1395</v>
      </c>
      <c r="CK751" s="26" t="s">
        <v>1583</v>
      </c>
      <c r="CL751" s="26" t="str">
        <f t="shared" si="45"/>
        <v>福井県敦賀市</v>
      </c>
      <c r="CM751" s="49">
        <v>746</v>
      </c>
      <c r="CN751" s="17" t="str">
        <f t="shared" si="44"/>
        <v>0801</v>
      </c>
      <c r="CO751" s="17" t="str">
        <f t="shared" si="46"/>
        <v>746801敦賀市</v>
      </c>
      <c r="CP751" s="17" t="s">
        <v>8023</v>
      </c>
      <c r="CQ751" s="17" t="b">
        <f t="shared" si="47"/>
        <v>1</v>
      </c>
    </row>
    <row r="752" spans="6:95">
      <c r="F752" s="23"/>
      <c r="I752" s="23"/>
      <c r="L752" s="50" t="s">
        <v>8024</v>
      </c>
      <c r="M752" s="17" t="s">
        <v>8025</v>
      </c>
      <c r="N752" s="51" t="s">
        <v>8026</v>
      </c>
      <c r="O752" s="29" t="s">
        <v>1453</v>
      </c>
      <c r="P752" s="29" t="s">
        <v>8027</v>
      </c>
      <c r="Q752" s="29" t="s">
        <v>1453</v>
      </c>
      <c r="R752" s="29" t="s">
        <v>2668</v>
      </c>
      <c r="S752" s="28" t="s">
        <v>2311</v>
      </c>
      <c r="T752" s="28" t="s">
        <v>2327</v>
      </c>
      <c r="U752" s="28" t="s">
        <v>1441</v>
      </c>
      <c r="V752" s="28" t="s">
        <v>1619</v>
      </c>
      <c r="W752" s="28" t="s">
        <v>8028</v>
      </c>
      <c r="X752" s="17">
        <v>1</v>
      </c>
      <c r="CJ752" s="26" t="s">
        <v>1395</v>
      </c>
      <c r="CK752" s="26" t="s">
        <v>1645</v>
      </c>
      <c r="CL752" s="26" t="str">
        <f t="shared" si="45"/>
        <v>福井県小浜市</v>
      </c>
      <c r="CM752" s="49">
        <v>747</v>
      </c>
      <c r="CN752" s="17" t="str">
        <f t="shared" si="44"/>
        <v>0802</v>
      </c>
      <c r="CO752" s="17" t="str">
        <f t="shared" si="46"/>
        <v>747802小浜市</v>
      </c>
      <c r="CP752" s="17" t="s">
        <v>8029</v>
      </c>
      <c r="CQ752" s="17" t="b">
        <f t="shared" si="47"/>
        <v>1</v>
      </c>
    </row>
    <row r="753" spans="6:95">
      <c r="F753" s="23"/>
      <c r="I753" s="23"/>
      <c r="L753" s="50" t="s">
        <v>8030</v>
      </c>
      <c r="M753" s="17" t="s">
        <v>8031</v>
      </c>
      <c r="N753" s="51" t="s">
        <v>8032</v>
      </c>
      <c r="O753" s="29" t="s">
        <v>1453</v>
      </c>
      <c r="P753" s="29" t="s">
        <v>8033</v>
      </c>
      <c r="Q753" s="29" t="s">
        <v>1453</v>
      </c>
      <c r="R753" s="29" t="s">
        <v>2714</v>
      </c>
      <c r="S753" s="28" t="s">
        <v>1564</v>
      </c>
      <c r="T753" s="28" t="s">
        <v>2381</v>
      </c>
      <c r="U753" s="28" t="s">
        <v>1441</v>
      </c>
      <c r="V753" s="28" t="s">
        <v>1619</v>
      </c>
      <c r="W753" s="28" t="s">
        <v>8034</v>
      </c>
      <c r="X753" s="17">
        <v>1</v>
      </c>
      <c r="CJ753" s="26" t="s">
        <v>1395</v>
      </c>
      <c r="CK753" s="26" t="s">
        <v>1703</v>
      </c>
      <c r="CL753" s="26" t="str">
        <f t="shared" si="45"/>
        <v>福井県大野市</v>
      </c>
      <c r="CM753" s="49">
        <v>748</v>
      </c>
      <c r="CN753" s="17" t="str">
        <f t="shared" si="44"/>
        <v>0803</v>
      </c>
      <c r="CO753" s="17" t="str">
        <f t="shared" si="46"/>
        <v>748803大野市</v>
      </c>
      <c r="CP753" s="17" t="s">
        <v>8035</v>
      </c>
      <c r="CQ753" s="17" t="b">
        <f t="shared" si="47"/>
        <v>1</v>
      </c>
    </row>
    <row r="754" spans="6:95">
      <c r="F754" s="23"/>
      <c r="I754" s="23"/>
      <c r="L754" s="50" t="s">
        <v>8036</v>
      </c>
      <c r="M754" s="17" t="s">
        <v>8037</v>
      </c>
      <c r="N754" s="51" t="s">
        <v>8038</v>
      </c>
      <c r="O754" s="29" t="s">
        <v>1453</v>
      </c>
      <c r="P754" s="29" t="s">
        <v>8039</v>
      </c>
      <c r="Q754" s="29" t="s">
        <v>1453</v>
      </c>
      <c r="R754" s="29" t="s">
        <v>2758</v>
      </c>
      <c r="S754" s="28" t="s">
        <v>1626</v>
      </c>
      <c r="T754" s="28" t="s">
        <v>2436</v>
      </c>
      <c r="U754" s="28" t="s">
        <v>1441</v>
      </c>
      <c r="V754" s="28" t="s">
        <v>1619</v>
      </c>
      <c r="W754" s="28" t="s">
        <v>8040</v>
      </c>
      <c r="X754" s="17">
        <v>1</v>
      </c>
      <c r="CJ754" s="26" t="s">
        <v>1395</v>
      </c>
      <c r="CK754" s="26" t="s">
        <v>1762</v>
      </c>
      <c r="CL754" s="26" t="str">
        <f t="shared" si="45"/>
        <v>福井県勝山市</v>
      </c>
      <c r="CM754" s="49">
        <v>749</v>
      </c>
      <c r="CN754" s="17" t="str">
        <f t="shared" si="44"/>
        <v>0804</v>
      </c>
      <c r="CO754" s="17" t="str">
        <f t="shared" si="46"/>
        <v>749804勝山市</v>
      </c>
      <c r="CP754" s="17" t="s">
        <v>8041</v>
      </c>
      <c r="CQ754" s="17" t="b">
        <f t="shared" si="47"/>
        <v>1</v>
      </c>
    </row>
    <row r="755" spans="6:95">
      <c r="F755" s="23"/>
      <c r="I755" s="23"/>
      <c r="L755" s="50" t="s">
        <v>8042</v>
      </c>
      <c r="M755" s="17" t="s">
        <v>8043</v>
      </c>
      <c r="N755" s="51" t="s">
        <v>8044</v>
      </c>
      <c r="O755" s="29" t="s">
        <v>1453</v>
      </c>
      <c r="P755" s="29" t="s">
        <v>8045</v>
      </c>
      <c r="Q755" s="29" t="s">
        <v>1453</v>
      </c>
      <c r="R755" s="29" t="s">
        <v>2800</v>
      </c>
      <c r="S755" s="28" t="s">
        <v>1977</v>
      </c>
      <c r="T755" s="28" t="s">
        <v>2489</v>
      </c>
      <c r="U755" s="28" t="s">
        <v>1441</v>
      </c>
      <c r="V755" s="28" t="s">
        <v>1619</v>
      </c>
      <c r="W755" s="28" t="s">
        <v>8046</v>
      </c>
      <c r="X755" s="17">
        <v>1</v>
      </c>
      <c r="CJ755" s="26" t="s">
        <v>1395</v>
      </c>
      <c r="CK755" s="26" t="s">
        <v>1822</v>
      </c>
      <c r="CL755" s="26" t="str">
        <f t="shared" si="45"/>
        <v>福井県鯖江市</v>
      </c>
      <c r="CM755" s="49">
        <v>750</v>
      </c>
      <c r="CN755" s="17" t="str">
        <f t="shared" si="44"/>
        <v>0805</v>
      </c>
      <c r="CO755" s="17" t="str">
        <f t="shared" si="46"/>
        <v>750805鯖江市</v>
      </c>
      <c r="CP755" s="17" t="s">
        <v>8047</v>
      </c>
      <c r="CQ755" s="17" t="b">
        <f t="shared" si="47"/>
        <v>1</v>
      </c>
    </row>
    <row r="756" spans="6:95">
      <c r="F756" s="23"/>
      <c r="I756" s="23"/>
      <c r="L756" s="50" t="s">
        <v>8048</v>
      </c>
      <c r="M756" s="17" t="s">
        <v>8049</v>
      </c>
      <c r="N756" s="51" t="s">
        <v>8050</v>
      </c>
      <c r="O756" s="29" t="s">
        <v>1453</v>
      </c>
      <c r="P756" s="29" t="s">
        <v>8051</v>
      </c>
      <c r="Q756" s="29" t="s">
        <v>1453</v>
      </c>
      <c r="R756" s="29" t="s">
        <v>2842</v>
      </c>
      <c r="S756" s="28" t="s">
        <v>1743</v>
      </c>
      <c r="T756" s="28" t="s">
        <v>2541</v>
      </c>
      <c r="U756" s="28" t="s">
        <v>1441</v>
      </c>
      <c r="V756" s="28" t="s">
        <v>1619</v>
      </c>
      <c r="W756" s="28" t="s">
        <v>8052</v>
      </c>
      <c r="X756" s="17">
        <v>1</v>
      </c>
      <c r="CJ756" s="26" t="s">
        <v>1395</v>
      </c>
      <c r="CK756" s="26" t="s">
        <v>1881</v>
      </c>
      <c r="CL756" s="26" t="str">
        <f t="shared" si="45"/>
        <v>福井県越前市</v>
      </c>
      <c r="CM756" s="49">
        <v>751</v>
      </c>
      <c r="CN756" s="17" t="str">
        <f t="shared" si="44"/>
        <v>0806</v>
      </c>
      <c r="CO756" s="17" t="str">
        <f t="shared" si="46"/>
        <v>751806越前市</v>
      </c>
      <c r="CP756" s="17" t="s">
        <v>8053</v>
      </c>
      <c r="CQ756" s="17" t="b">
        <f t="shared" si="47"/>
        <v>1</v>
      </c>
    </row>
    <row r="757" spans="6:95">
      <c r="F757" s="23"/>
      <c r="I757" s="23"/>
      <c r="L757" s="50" t="s">
        <v>8054</v>
      </c>
      <c r="M757" s="17" t="s">
        <v>8055</v>
      </c>
      <c r="N757" s="51" t="s">
        <v>8056</v>
      </c>
      <c r="O757" s="29" t="s">
        <v>1453</v>
      </c>
      <c r="P757" s="29" t="s">
        <v>8057</v>
      </c>
      <c r="Q757" s="29" t="s">
        <v>1453</v>
      </c>
      <c r="R757" s="29" t="s">
        <v>4381</v>
      </c>
      <c r="S757" s="28" t="s">
        <v>1803</v>
      </c>
      <c r="T757" s="28" t="s">
        <v>2591</v>
      </c>
      <c r="U757" s="28" t="s">
        <v>1441</v>
      </c>
      <c r="V757" s="28" t="s">
        <v>1619</v>
      </c>
      <c r="W757" s="28" t="s">
        <v>8058</v>
      </c>
      <c r="X757" s="17">
        <v>1</v>
      </c>
      <c r="CJ757" s="26" t="s">
        <v>1395</v>
      </c>
      <c r="CK757" s="26" t="s">
        <v>1939</v>
      </c>
      <c r="CL757" s="26" t="str">
        <f t="shared" si="45"/>
        <v>福井県永平寺町</v>
      </c>
      <c r="CM757" s="49">
        <v>752</v>
      </c>
      <c r="CN757" s="17" t="str">
        <f t="shared" si="44"/>
        <v>0807</v>
      </c>
      <c r="CO757" s="17" t="str">
        <f t="shared" si="46"/>
        <v>752807永平寺町</v>
      </c>
      <c r="CP757" s="17" t="s">
        <v>8059</v>
      </c>
      <c r="CQ757" s="17" t="b">
        <f t="shared" si="47"/>
        <v>1</v>
      </c>
    </row>
    <row r="758" spans="6:95">
      <c r="F758" s="23"/>
      <c r="I758" s="23"/>
      <c r="L758" s="50" t="s">
        <v>8060</v>
      </c>
      <c r="M758" s="17" t="s">
        <v>8061</v>
      </c>
      <c r="N758" s="51" t="s">
        <v>8062</v>
      </c>
      <c r="O758" s="29" t="s">
        <v>1453</v>
      </c>
      <c r="P758" s="29" t="s">
        <v>8063</v>
      </c>
      <c r="Q758" s="29" t="s">
        <v>1453</v>
      </c>
      <c r="R758" s="29" t="s">
        <v>4672</v>
      </c>
      <c r="S758" s="28" t="s">
        <v>1803</v>
      </c>
      <c r="T758" s="28" t="s">
        <v>2638</v>
      </c>
      <c r="U758" s="28" t="s">
        <v>1441</v>
      </c>
      <c r="V758" s="28" t="s">
        <v>1619</v>
      </c>
      <c r="W758" s="28" t="s">
        <v>8064</v>
      </c>
      <c r="X758" s="17">
        <v>1</v>
      </c>
      <c r="CJ758" s="26" t="s">
        <v>1395</v>
      </c>
      <c r="CK758" s="26" t="s">
        <v>1996</v>
      </c>
      <c r="CL758" s="26" t="str">
        <f t="shared" si="45"/>
        <v>福井県池田町</v>
      </c>
      <c r="CM758" s="49">
        <v>753</v>
      </c>
      <c r="CN758" s="17" t="str">
        <f t="shared" si="44"/>
        <v>0808</v>
      </c>
      <c r="CO758" s="17" t="str">
        <f t="shared" si="46"/>
        <v>753808池田町</v>
      </c>
      <c r="CP758" s="17" t="s">
        <v>8065</v>
      </c>
      <c r="CQ758" s="17" t="b">
        <f t="shared" si="47"/>
        <v>1</v>
      </c>
    </row>
    <row r="759" spans="6:95">
      <c r="F759" s="23"/>
      <c r="I759" s="23"/>
      <c r="L759" s="50" t="s">
        <v>8066</v>
      </c>
      <c r="M759" s="17" t="s">
        <v>8067</v>
      </c>
      <c r="N759" s="51" t="s">
        <v>8068</v>
      </c>
      <c r="O759" s="29" t="s">
        <v>1453</v>
      </c>
      <c r="P759" s="29" t="s">
        <v>8069</v>
      </c>
      <c r="Q759" s="29" t="s">
        <v>1453</v>
      </c>
      <c r="R759" s="29" t="s">
        <v>5760</v>
      </c>
      <c r="S759" s="28" t="s">
        <v>1626</v>
      </c>
      <c r="T759" s="28" t="s">
        <v>2684</v>
      </c>
      <c r="U759" s="28" t="s">
        <v>1441</v>
      </c>
      <c r="V759" s="28" t="s">
        <v>1619</v>
      </c>
      <c r="W759" s="28" t="s">
        <v>8070</v>
      </c>
      <c r="X759" s="17">
        <v>1</v>
      </c>
      <c r="CJ759" s="26" t="s">
        <v>1395</v>
      </c>
      <c r="CK759" s="26" t="s">
        <v>2052</v>
      </c>
      <c r="CL759" s="26" t="str">
        <f t="shared" si="45"/>
        <v>福井県南越前町</v>
      </c>
      <c r="CM759" s="49">
        <v>754</v>
      </c>
      <c r="CN759" s="17" t="str">
        <f t="shared" si="44"/>
        <v>0809</v>
      </c>
      <c r="CO759" s="17" t="str">
        <f t="shared" si="46"/>
        <v>754809南越前町</v>
      </c>
      <c r="CP759" s="17" t="s">
        <v>8071</v>
      </c>
      <c r="CQ759" s="17" t="b">
        <f t="shared" si="47"/>
        <v>1</v>
      </c>
    </row>
    <row r="760" spans="6:95">
      <c r="F760" s="23"/>
      <c r="I760" s="23"/>
      <c r="L760" s="50" t="s">
        <v>8072</v>
      </c>
      <c r="M760" s="17" t="s">
        <v>8073</v>
      </c>
      <c r="N760" s="51" t="s">
        <v>8074</v>
      </c>
      <c r="O760" s="29" t="s">
        <v>1453</v>
      </c>
      <c r="P760" s="29" t="s">
        <v>8075</v>
      </c>
      <c r="Q760" s="29" t="s">
        <v>1453</v>
      </c>
      <c r="R760" s="29" t="s">
        <v>3395</v>
      </c>
      <c r="S760" s="28" t="s">
        <v>1626</v>
      </c>
      <c r="T760" s="28" t="s">
        <v>2730</v>
      </c>
      <c r="U760" s="28" t="s">
        <v>1441</v>
      </c>
      <c r="V760" s="28" t="s">
        <v>1619</v>
      </c>
      <c r="W760" s="28" t="s">
        <v>8076</v>
      </c>
      <c r="X760" s="17">
        <v>1</v>
      </c>
      <c r="CJ760" s="26" t="s">
        <v>1395</v>
      </c>
      <c r="CK760" s="26" t="s">
        <v>2108</v>
      </c>
      <c r="CL760" s="26" t="str">
        <f t="shared" si="45"/>
        <v>福井県越前町</v>
      </c>
      <c r="CM760" s="49">
        <v>755</v>
      </c>
      <c r="CN760" s="17" t="str">
        <f t="shared" si="44"/>
        <v>0810</v>
      </c>
      <c r="CO760" s="17" t="str">
        <f t="shared" si="46"/>
        <v>755810越前町</v>
      </c>
      <c r="CP760" s="17" t="s">
        <v>8077</v>
      </c>
      <c r="CQ760" s="17" t="b">
        <f t="shared" si="47"/>
        <v>1</v>
      </c>
    </row>
    <row r="761" spans="6:95">
      <c r="F761" s="23"/>
      <c r="I761" s="23"/>
      <c r="L761" s="50" t="s">
        <v>8078</v>
      </c>
      <c r="M761" s="17" t="s">
        <v>8079</v>
      </c>
      <c r="N761" s="51" t="s">
        <v>8080</v>
      </c>
      <c r="O761" s="29" t="s">
        <v>1453</v>
      </c>
      <c r="P761" s="29" t="s">
        <v>8081</v>
      </c>
      <c r="Q761" s="29" t="s">
        <v>1453</v>
      </c>
      <c r="R761" s="29" t="s">
        <v>6991</v>
      </c>
      <c r="S761" s="28" t="s">
        <v>1920</v>
      </c>
      <c r="T761" s="28" t="s">
        <v>2774</v>
      </c>
      <c r="U761" s="28" t="s">
        <v>1441</v>
      </c>
      <c r="V761" s="28" t="s">
        <v>1619</v>
      </c>
      <c r="W761" s="28" t="s">
        <v>8082</v>
      </c>
      <c r="X761" s="17">
        <v>1</v>
      </c>
      <c r="CJ761" s="26" t="s">
        <v>1395</v>
      </c>
      <c r="CK761" s="26" t="s">
        <v>2164</v>
      </c>
      <c r="CL761" s="26" t="str">
        <f t="shared" si="45"/>
        <v>福井県美浜町</v>
      </c>
      <c r="CM761" s="49">
        <v>756</v>
      </c>
      <c r="CN761" s="17" t="str">
        <f t="shared" si="44"/>
        <v>0811</v>
      </c>
      <c r="CO761" s="17" t="str">
        <f t="shared" si="46"/>
        <v>756811美浜町</v>
      </c>
      <c r="CP761" s="17" t="s">
        <v>8083</v>
      </c>
      <c r="CQ761" s="17" t="b">
        <f t="shared" si="47"/>
        <v>1</v>
      </c>
    </row>
    <row r="762" spans="6:95">
      <c r="F762" s="23"/>
      <c r="I762" s="23"/>
      <c r="L762" s="50" t="s">
        <v>8084</v>
      </c>
      <c r="M762" s="17" t="s">
        <v>8085</v>
      </c>
      <c r="N762" s="51" t="s">
        <v>8086</v>
      </c>
      <c r="O762" s="29" t="s">
        <v>1453</v>
      </c>
      <c r="P762" s="29" t="s">
        <v>8087</v>
      </c>
      <c r="Q762" s="29" t="s">
        <v>1453</v>
      </c>
      <c r="R762" s="29" t="s">
        <v>4531</v>
      </c>
      <c r="S762" s="28" t="s">
        <v>1743</v>
      </c>
      <c r="T762" s="28" t="s">
        <v>2816</v>
      </c>
      <c r="U762" s="28" t="s">
        <v>1441</v>
      </c>
      <c r="V762" s="28" t="s">
        <v>1619</v>
      </c>
      <c r="W762" s="28" t="s">
        <v>8088</v>
      </c>
      <c r="X762" s="17">
        <v>1</v>
      </c>
      <c r="CJ762" s="26" t="s">
        <v>1395</v>
      </c>
      <c r="CK762" s="26" t="s">
        <v>2219</v>
      </c>
      <c r="CL762" s="26" t="str">
        <f t="shared" si="45"/>
        <v>福井県高浜町</v>
      </c>
      <c r="CM762" s="49">
        <v>757</v>
      </c>
      <c r="CN762" s="17" t="str">
        <f t="shared" si="44"/>
        <v>0812</v>
      </c>
      <c r="CO762" s="17" t="str">
        <f t="shared" si="46"/>
        <v>757812高浜町</v>
      </c>
      <c r="CP762" s="17" t="s">
        <v>8089</v>
      </c>
      <c r="CQ762" s="17" t="b">
        <f t="shared" si="47"/>
        <v>1</v>
      </c>
    </row>
    <row r="763" spans="6:95">
      <c r="F763" s="23"/>
      <c r="I763" s="23"/>
      <c r="L763" s="50" t="s">
        <v>8090</v>
      </c>
      <c r="M763" s="17" t="s">
        <v>8091</v>
      </c>
      <c r="N763" s="51" t="s">
        <v>8092</v>
      </c>
      <c r="O763" s="29" t="s">
        <v>1453</v>
      </c>
      <c r="P763" s="29" t="s">
        <v>8093</v>
      </c>
      <c r="Q763" s="29" t="s">
        <v>1453</v>
      </c>
      <c r="R763" s="29" t="s">
        <v>3707</v>
      </c>
      <c r="S763" s="28" t="s">
        <v>1502</v>
      </c>
      <c r="T763" s="28" t="s">
        <v>2856</v>
      </c>
      <c r="U763" s="28" t="s">
        <v>1441</v>
      </c>
      <c r="V763" s="28" t="s">
        <v>1619</v>
      </c>
      <c r="W763" s="28" t="s">
        <v>8094</v>
      </c>
      <c r="X763" s="17">
        <v>1</v>
      </c>
      <c r="CJ763" s="26" t="s">
        <v>1395</v>
      </c>
      <c r="CK763" s="26" t="s">
        <v>2274</v>
      </c>
      <c r="CL763" s="26" t="str">
        <f t="shared" si="45"/>
        <v>福井県おおい町</v>
      </c>
      <c r="CM763" s="49">
        <v>758</v>
      </c>
      <c r="CN763" s="17" t="str">
        <f t="shared" si="44"/>
        <v>0813</v>
      </c>
      <c r="CO763" s="17" t="str">
        <f t="shared" si="46"/>
        <v>758813おおい町</v>
      </c>
      <c r="CP763" s="17" t="s">
        <v>8095</v>
      </c>
      <c r="CQ763" s="17" t="b">
        <f t="shared" si="47"/>
        <v>1</v>
      </c>
    </row>
    <row r="764" spans="6:95">
      <c r="F764" s="23"/>
      <c r="I764" s="23"/>
      <c r="L764" s="50" t="s">
        <v>8096</v>
      </c>
      <c r="M764" s="17" t="s">
        <v>8097</v>
      </c>
      <c r="N764" s="51" t="s">
        <v>8098</v>
      </c>
      <c r="O764" s="29" t="s">
        <v>1453</v>
      </c>
      <c r="P764" s="29" t="s">
        <v>8099</v>
      </c>
      <c r="Q764" s="29" t="s">
        <v>1453</v>
      </c>
      <c r="R764" s="29" t="s">
        <v>3794</v>
      </c>
      <c r="S764" s="28" t="s">
        <v>2311</v>
      </c>
      <c r="T764" s="28" t="s">
        <v>2895</v>
      </c>
      <c r="U764" s="28" t="s">
        <v>1441</v>
      </c>
      <c r="V764" s="28" t="s">
        <v>1619</v>
      </c>
      <c r="W764" s="28" t="s">
        <v>8100</v>
      </c>
      <c r="X764" s="17">
        <v>1</v>
      </c>
      <c r="CJ764" s="26" t="s">
        <v>1395</v>
      </c>
      <c r="CK764" s="26" t="s">
        <v>2330</v>
      </c>
      <c r="CL764" s="26" t="str">
        <f t="shared" si="45"/>
        <v>福井県若狭町</v>
      </c>
      <c r="CM764" s="49">
        <v>759</v>
      </c>
      <c r="CN764" s="17" t="str">
        <f t="shared" si="44"/>
        <v>0814</v>
      </c>
      <c r="CO764" s="17" t="str">
        <f t="shared" si="46"/>
        <v>759814若狭町</v>
      </c>
      <c r="CP764" s="17" t="s">
        <v>8101</v>
      </c>
      <c r="CQ764" s="17" t="b">
        <f t="shared" si="47"/>
        <v>1</v>
      </c>
    </row>
    <row r="765" spans="6:95">
      <c r="F765" s="23"/>
      <c r="I765" s="23"/>
      <c r="L765" s="50" t="s">
        <v>8102</v>
      </c>
      <c r="M765" s="17" t="s">
        <v>8103</v>
      </c>
      <c r="N765" s="51" t="s">
        <v>8104</v>
      </c>
      <c r="O765" s="29" t="s">
        <v>1453</v>
      </c>
      <c r="P765" s="29" t="s">
        <v>8105</v>
      </c>
      <c r="Q765" s="29" t="s">
        <v>1453</v>
      </c>
      <c r="R765" s="29" t="s">
        <v>5931</v>
      </c>
      <c r="S765" s="28" t="s">
        <v>1743</v>
      </c>
      <c r="T765" s="28" t="s">
        <v>2932</v>
      </c>
      <c r="U765" s="28" t="s">
        <v>1441</v>
      </c>
      <c r="V765" s="28" t="s">
        <v>1619</v>
      </c>
      <c r="W765" s="28" t="s">
        <v>8106</v>
      </c>
      <c r="X765" s="17">
        <v>1</v>
      </c>
      <c r="CJ765" s="26" t="s">
        <v>1395</v>
      </c>
      <c r="CK765" s="26" t="s">
        <v>2384</v>
      </c>
      <c r="CL765" s="26" t="str">
        <f t="shared" si="45"/>
        <v>福井県坂井地区広域連合</v>
      </c>
      <c r="CM765" s="49">
        <v>760</v>
      </c>
      <c r="CN765" s="17" t="str">
        <f t="shared" si="44"/>
        <v>0815</v>
      </c>
      <c r="CO765" s="17" t="str">
        <f t="shared" si="46"/>
        <v>760815坂井地区広域連合</v>
      </c>
      <c r="CP765" s="17" t="s">
        <v>8107</v>
      </c>
      <c r="CQ765" s="17" t="b">
        <f t="shared" si="47"/>
        <v>1</v>
      </c>
    </row>
    <row r="766" spans="6:95">
      <c r="F766" s="23"/>
      <c r="I766" s="23"/>
      <c r="L766" s="50" t="s">
        <v>8108</v>
      </c>
      <c r="M766" s="17" t="s">
        <v>8109</v>
      </c>
      <c r="N766" s="51" t="s">
        <v>8110</v>
      </c>
      <c r="O766" s="29" t="s">
        <v>1453</v>
      </c>
      <c r="P766" s="29" t="s">
        <v>8111</v>
      </c>
      <c r="Q766" s="29" t="s">
        <v>1453</v>
      </c>
      <c r="R766" s="29" t="s">
        <v>4050</v>
      </c>
      <c r="S766" s="28" t="s">
        <v>1803</v>
      </c>
      <c r="T766" s="28" t="s">
        <v>2965</v>
      </c>
      <c r="U766" s="28" t="s">
        <v>1441</v>
      </c>
      <c r="V766" s="28" t="s">
        <v>1619</v>
      </c>
      <c r="W766" s="28" t="s">
        <v>8112</v>
      </c>
      <c r="X766" s="17">
        <v>1</v>
      </c>
      <c r="CJ766" s="26" t="s">
        <v>1396</v>
      </c>
      <c r="CK766" s="26" t="s">
        <v>1522</v>
      </c>
      <c r="CL766" s="26" t="str">
        <f t="shared" si="45"/>
        <v>山梨県甲府市</v>
      </c>
      <c r="CM766" s="49">
        <v>761</v>
      </c>
      <c r="CN766" s="17" t="str">
        <f t="shared" si="44"/>
        <v>0818</v>
      </c>
      <c r="CO766" s="17" t="str">
        <f t="shared" si="46"/>
        <v>761818甲府市</v>
      </c>
      <c r="CP766" s="17" t="s">
        <v>8113</v>
      </c>
      <c r="CQ766" s="17" t="b">
        <f t="shared" si="47"/>
        <v>1</v>
      </c>
    </row>
    <row r="767" spans="6:95">
      <c r="F767" s="23"/>
      <c r="I767" s="23"/>
      <c r="L767" s="50" t="s">
        <v>8114</v>
      </c>
      <c r="M767" s="17" t="s">
        <v>8115</v>
      </c>
      <c r="N767" s="51" t="s">
        <v>8116</v>
      </c>
      <c r="O767" s="29" t="s">
        <v>1453</v>
      </c>
      <c r="P767" s="29" t="s">
        <v>8117</v>
      </c>
      <c r="Q767" s="29" t="s">
        <v>1453</v>
      </c>
      <c r="R767" s="29" t="s">
        <v>4074</v>
      </c>
      <c r="S767" s="28" t="s">
        <v>1564</v>
      </c>
      <c r="T767" s="28" t="s">
        <v>2999</v>
      </c>
      <c r="U767" s="28" t="s">
        <v>1441</v>
      </c>
      <c r="V767" s="28" t="s">
        <v>1619</v>
      </c>
      <c r="W767" s="28" t="s">
        <v>8117</v>
      </c>
      <c r="X767" s="17">
        <v>1</v>
      </c>
      <c r="CJ767" s="26" t="s">
        <v>1396</v>
      </c>
      <c r="CK767" s="26" t="s">
        <v>1584</v>
      </c>
      <c r="CL767" s="26" t="str">
        <f t="shared" si="45"/>
        <v>山梨県富士吉田市</v>
      </c>
      <c r="CM767" s="49">
        <v>762</v>
      </c>
      <c r="CN767" s="17" t="str">
        <f t="shared" si="44"/>
        <v>0819</v>
      </c>
      <c r="CO767" s="17" t="str">
        <f t="shared" si="46"/>
        <v>762819富士吉田市</v>
      </c>
      <c r="CP767" s="17" t="s">
        <v>8118</v>
      </c>
      <c r="CQ767" s="17" t="b">
        <f t="shared" si="47"/>
        <v>1</v>
      </c>
    </row>
    <row r="768" spans="6:95">
      <c r="F768" s="23"/>
      <c r="I768" s="23"/>
      <c r="L768" s="50" t="s">
        <v>8119</v>
      </c>
      <c r="M768" s="17" t="s">
        <v>8120</v>
      </c>
      <c r="N768" s="51" t="s">
        <v>8121</v>
      </c>
      <c r="O768" s="29" t="s">
        <v>1454</v>
      </c>
      <c r="P768" s="29" t="s">
        <v>8122</v>
      </c>
      <c r="Q768" s="29" t="s">
        <v>1454</v>
      </c>
      <c r="R768" s="29" t="s">
        <v>4593</v>
      </c>
      <c r="S768" s="28" t="s">
        <v>1977</v>
      </c>
      <c r="T768" s="28" t="s">
        <v>1519</v>
      </c>
      <c r="U768" s="28" t="s">
        <v>1442</v>
      </c>
      <c r="V768" s="28" t="s">
        <v>1678</v>
      </c>
      <c r="W768" s="28" t="s">
        <v>8123</v>
      </c>
      <c r="X768" s="17">
        <v>1</v>
      </c>
      <c r="CJ768" s="26" t="s">
        <v>1396</v>
      </c>
      <c r="CK768" s="26" t="s">
        <v>1646</v>
      </c>
      <c r="CL768" s="26" t="str">
        <f t="shared" si="45"/>
        <v>山梨県都留市</v>
      </c>
      <c r="CM768" s="49">
        <v>763</v>
      </c>
      <c r="CN768" s="17" t="str">
        <f t="shared" si="44"/>
        <v>0820</v>
      </c>
      <c r="CO768" s="17" t="str">
        <f t="shared" si="46"/>
        <v>763820都留市</v>
      </c>
      <c r="CP768" s="17" t="s">
        <v>8124</v>
      </c>
      <c r="CQ768" s="17" t="b">
        <f t="shared" si="47"/>
        <v>1</v>
      </c>
    </row>
    <row r="769" spans="6:95">
      <c r="F769" s="23"/>
      <c r="I769" s="23"/>
      <c r="L769" s="50" t="s">
        <v>8125</v>
      </c>
      <c r="M769" s="17" t="s">
        <v>8126</v>
      </c>
      <c r="N769" s="51" t="s">
        <v>8127</v>
      </c>
      <c r="O769" s="29" t="s">
        <v>1454</v>
      </c>
      <c r="P769" s="29" t="s">
        <v>8128</v>
      </c>
      <c r="Q769" s="29" t="s">
        <v>1454</v>
      </c>
      <c r="R769" s="29" t="s">
        <v>1563</v>
      </c>
      <c r="S769" s="28" t="s">
        <v>1743</v>
      </c>
      <c r="T769" s="28" t="s">
        <v>1581</v>
      </c>
      <c r="U769" s="28" t="s">
        <v>1442</v>
      </c>
      <c r="V769" s="28" t="s">
        <v>1678</v>
      </c>
      <c r="W769" s="28" t="s">
        <v>8129</v>
      </c>
      <c r="X769" s="17">
        <v>1</v>
      </c>
      <c r="CJ769" s="26" t="s">
        <v>1396</v>
      </c>
      <c r="CK769" s="26" t="s">
        <v>1704</v>
      </c>
      <c r="CL769" s="26" t="str">
        <f t="shared" si="45"/>
        <v>山梨県山梨市</v>
      </c>
      <c r="CM769" s="49">
        <v>764</v>
      </c>
      <c r="CN769" s="17" t="str">
        <f t="shared" si="44"/>
        <v>0821</v>
      </c>
      <c r="CO769" s="17" t="str">
        <f t="shared" si="46"/>
        <v>764821山梨市</v>
      </c>
      <c r="CP769" s="17" t="s">
        <v>8130</v>
      </c>
      <c r="CQ769" s="17" t="b">
        <f t="shared" si="47"/>
        <v>1</v>
      </c>
    </row>
    <row r="770" spans="6:95">
      <c r="F770" s="23"/>
      <c r="I770" s="23"/>
      <c r="L770" s="50" t="s">
        <v>8131</v>
      </c>
      <c r="M770" s="17" t="s">
        <v>8132</v>
      </c>
      <c r="N770" s="51" t="s">
        <v>8133</v>
      </c>
      <c r="O770" s="29" t="s">
        <v>1454</v>
      </c>
      <c r="P770" s="29" t="s">
        <v>8134</v>
      </c>
      <c r="Q770" s="29" t="s">
        <v>1454</v>
      </c>
      <c r="R770" s="29" t="s">
        <v>1684</v>
      </c>
      <c r="S770" s="28" t="s">
        <v>1862</v>
      </c>
      <c r="T770" s="28" t="s">
        <v>1643</v>
      </c>
      <c r="U770" s="28" t="s">
        <v>1442</v>
      </c>
      <c r="V770" s="28" t="s">
        <v>1678</v>
      </c>
      <c r="W770" s="28" t="s">
        <v>8135</v>
      </c>
      <c r="X770" s="17">
        <v>1</v>
      </c>
      <c r="CJ770" s="26" t="s">
        <v>1396</v>
      </c>
      <c r="CK770" s="26" t="s">
        <v>1763</v>
      </c>
      <c r="CL770" s="26" t="str">
        <f t="shared" si="45"/>
        <v>山梨県大月市</v>
      </c>
      <c r="CM770" s="49">
        <v>765</v>
      </c>
      <c r="CN770" s="17" t="str">
        <f t="shared" si="44"/>
        <v>0822</v>
      </c>
      <c r="CO770" s="17" t="str">
        <f t="shared" si="46"/>
        <v>765822大月市</v>
      </c>
      <c r="CP770" s="17" t="s">
        <v>8136</v>
      </c>
      <c r="CQ770" s="17" t="b">
        <f t="shared" si="47"/>
        <v>1</v>
      </c>
    </row>
    <row r="771" spans="6:95">
      <c r="F771" s="23"/>
      <c r="I771" s="23"/>
      <c r="L771" s="50" t="s">
        <v>8137</v>
      </c>
      <c r="M771" s="17" t="s">
        <v>8138</v>
      </c>
      <c r="N771" s="51" t="s">
        <v>8139</v>
      </c>
      <c r="O771" s="29" t="s">
        <v>1454</v>
      </c>
      <c r="P771" s="29" t="s">
        <v>8140</v>
      </c>
      <c r="Q771" s="29" t="s">
        <v>1454</v>
      </c>
      <c r="R771" s="29" t="s">
        <v>1742</v>
      </c>
      <c r="S771" s="28" t="s">
        <v>1502</v>
      </c>
      <c r="T771" s="28" t="s">
        <v>1701</v>
      </c>
      <c r="U771" s="28" t="s">
        <v>1442</v>
      </c>
      <c r="V771" s="28" t="s">
        <v>1678</v>
      </c>
      <c r="W771" s="28" t="s">
        <v>8141</v>
      </c>
      <c r="X771" s="17">
        <v>1</v>
      </c>
      <c r="CJ771" s="26" t="s">
        <v>1396</v>
      </c>
      <c r="CK771" s="26" t="s">
        <v>1823</v>
      </c>
      <c r="CL771" s="26" t="str">
        <f t="shared" si="45"/>
        <v>山梨県韮崎市</v>
      </c>
      <c r="CM771" s="49">
        <v>766</v>
      </c>
      <c r="CN771" s="17" t="str">
        <f t="shared" si="44"/>
        <v>0823</v>
      </c>
      <c r="CO771" s="17" t="str">
        <f t="shared" si="46"/>
        <v>766823韮崎市</v>
      </c>
      <c r="CP771" s="17" t="s">
        <v>8142</v>
      </c>
      <c r="CQ771" s="17" t="b">
        <f t="shared" si="47"/>
        <v>1</v>
      </c>
    </row>
    <row r="772" spans="6:95">
      <c r="F772" s="23"/>
      <c r="I772" s="23"/>
      <c r="L772" s="50" t="s">
        <v>8143</v>
      </c>
      <c r="M772" s="17" t="s">
        <v>8144</v>
      </c>
      <c r="N772" s="51" t="s">
        <v>8145</v>
      </c>
      <c r="O772" s="29" t="s">
        <v>1454</v>
      </c>
      <c r="P772" s="29" t="s">
        <v>8146</v>
      </c>
      <c r="Q772" s="29" t="s">
        <v>1454</v>
      </c>
      <c r="R772" s="29" t="s">
        <v>1802</v>
      </c>
      <c r="S772" s="28" t="s">
        <v>2525</v>
      </c>
      <c r="T772" s="28" t="s">
        <v>1760</v>
      </c>
      <c r="U772" s="28" t="s">
        <v>1442</v>
      </c>
      <c r="V772" s="28" t="s">
        <v>1678</v>
      </c>
      <c r="W772" s="28" t="s">
        <v>8147</v>
      </c>
      <c r="X772" s="17">
        <v>1</v>
      </c>
      <c r="CJ772" s="26" t="s">
        <v>1396</v>
      </c>
      <c r="CK772" s="26" t="s">
        <v>1882</v>
      </c>
      <c r="CL772" s="26" t="str">
        <f t="shared" si="45"/>
        <v>山梨県南アルプス市</v>
      </c>
      <c r="CM772" s="49">
        <v>767</v>
      </c>
      <c r="CN772" s="17" t="str">
        <f t="shared" si="44"/>
        <v>0824</v>
      </c>
      <c r="CO772" s="17" t="str">
        <f t="shared" si="46"/>
        <v>767824南アルプス市</v>
      </c>
      <c r="CP772" s="17" t="s">
        <v>8148</v>
      </c>
      <c r="CQ772" s="17" t="b">
        <f t="shared" si="47"/>
        <v>1</v>
      </c>
    </row>
    <row r="773" spans="6:95">
      <c r="F773" s="23"/>
      <c r="I773" s="23"/>
      <c r="L773" s="50" t="s">
        <v>8149</v>
      </c>
      <c r="M773" s="17" t="s">
        <v>8150</v>
      </c>
      <c r="N773" s="51" t="s">
        <v>8151</v>
      </c>
      <c r="O773" s="29" t="s">
        <v>1454</v>
      </c>
      <c r="P773" s="29" t="s">
        <v>8152</v>
      </c>
      <c r="Q773" s="29" t="s">
        <v>1454</v>
      </c>
      <c r="R773" s="29" t="s">
        <v>2089</v>
      </c>
      <c r="S773" s="28" t="s">
        <v>2525</v>
      </c>
      <c r="T773" s="28" t="s">
        <v>1820</v>
      </c>
      <c r="U773" s="28" t="s">
        <v>1442</v>
      </c>
      <c r="V773" s="28" t="s">
        <v>1678</v>
      </c>
      <c r="W773" s="28" t="s">
        <v>8153</v>
      </c>
      <c r="X773" s="17">
        <v>1</v>
      </c>
      <c r="CJ773" s="26" t="s">
        <v>1396</v>
      </c>
      <c r="CK773" s="26" t="s">
        <v>1940</v>
      </c>
      <c r="CL773" s="26" t="str">
        <f t="shared" si="45"/>
        <v>山梨県北杜市</v>
      </c>
      <c r="CM773" s="49">
        <v>768</v>
      </c>
      <c r="CN773" s="17" t="str">
        <f t="shared" si="44"/>
        <v>0825</v>
      </c>
      <c r="CO773" s="17" t="str">
        <f t="shared" si="46"/>
        <v>768825北杜市</v>
      </c>
      <c r="CP773" s="17" t="s">
        <v>8154</v>
      </c>
      <c r="CQ773" s="17" t="b">
        <f t="shared" si="47"/>
        <v>1</v>
      </c>
    </row>
    <row r="774" spans="6:95">
      <c r="F774" s="23"/>
      <c r="I774" s="23"/>
      <c r="L774" s="50" t="s">
        <v>8155</v>
      </c>
      <c r="M774" s="17" t="s">
        <v>8156</v>
      </c>
      <c r="N774" s="51" t="s">
        <v>8157</v>
      </c>
      <c r="O774" s="29" t="s">
        <v>1454</v>
      </c>
      <c r="P774" s="29" t="s">
        <v>8158</v>
      </c>
      <c r="Q774" s="29" t="s">
        <v>1454</v>
      </c>
      <c r="R774" s="29" t="s">
        <v>8159</v>
      </c>
      <c r="S774" s="28" t="s">
        <v>2525</v>
      </c>
      <c r="T774" s="28" t="s">
        <v>1879</v>
      </c>
      <c r="U774" s="28" t="s">
        <v>1442</v>
      </c>
      <c r="V774" s="28" t="s">
        <v>1678</v>
      </c>
      <c r="W774" s="28" t="s">
        <v>8160</v>
      </c>
      <c r="X774" s="17">
        <v>1</v>
      </c>
      <c r="CJ774" s="26" t="s">
        <v>1396</v>
      </c>
      <c r="CK774" s="26" t="s">
        <v>1997</v>
      </c>
      <c r="CL774" s="26" t="str">
        <f t="shared" si="45"/>
        <v>山梨県甲斐市</v>
      </c>
      <c r="CM774" s="49">
        <v>769</v>
      </c>
      <c r="CN774" s="17" t="str">
        <f t="shared" ref="CN774:CN837" si="48">VLOOKUP(CL774,$M$6:$N$1784,2,FALSE)</f>
        <v>0826</v>
      </c>
      <c r="CO774" s="17" t="str">
        <f t="shared" si="46"/>
        <v>769826甲斐市</v>
      </c>
      <c r="CP774" s="17" t="s">
        <v>8161</v>
      </c>
      <c r="CQ774" s="17" t="b">
        <f t="shared" si="47"/>
        <v>1</v>
      </c>
    </row>
    <row r="775" spans="6:95">
      <c r="F775" s="23"/>
      <c r="I775" s="23"/>
      <c r="L775" s="50" t="s">
        <v>8162</v>
      </c>
      <c r="M775" s="17" t="s">
        <v>8163</v>
      </c>
      <c r="N775" s="51" t="s">
        <v>8164</v>
      </c>
      <c r="O775" s="29" t="s">
        <v>1454</v>
      </c>
      <c r="P775" s="29" t="s">
        <v>8165</v>
      </c>
      <c r="Q775" s="29" t="s">
        <v>1454</v>
      </c>
      <c r="R775" s="29" t="s">
        <v>4679</v>
      </c>
      <c r="S775" s="28" t="s">
        <v>1803</v>
      </c>
      <c r="T775" s="28" t="s">
        <v>1937</v>
      </c>
      <c r="U775" s="28" t="s">
        <v>1442</v>
      </c>
      <c r="V775" s="28" t="s">
        <v>1678</v>
      </c>
      <c r="W775" s="28" t="s">
        <v>8166</v>
      </c>
      <c r="X775" s="17">
        <v>2</v>
      </c>
      <c r="CJ775" s="26" t="s">
        <v>1396</v>
      </c>
      <c r="CK775" s="26" t="s">
        <v>2053</v>
      </c>
      <c r="CL775" s="26" t="str">
        <f t="shared" si="45"/>
        <v>山梨県笛吹市</v>
      </c>
      <c r="CM775" s="49">
        <v>770</v>
      </c>
      <c r="CN775" s="17" t="str">
        <f t="shared" si="48"/>
        <v>0827</v>
      </c>
      <c r="CO775" s="17" t="str">
        <f t="shared" si="46"/>
        <v>770827笛吹市</v>
      </c>
      <c r="CP775" s="17" t="s">
        <v>8167</v>
      </c>
      <c r="CQ775" s="17" t="b">
        <f t="shared" si="47"/>
        <v>1</v>
      </c>
    </row>
    <row r="776" spans="6:95">
      <c r="F776" s="23"/>
      <c r="I776" s="23"/>
      <c r="L776" s="50" t="s">
        <v>8168</v>
      </c>
      <c r="M776" s="17" t="s">
        <v>8169</v>
      </c>
      <c r="N776" s="51" t="s">
        <v>8170</v>
      </c>
      <c r="O776" s="29" t="s">
        <v>1454</v>
      </c>
      <c r="P776" s="29" t="s">
        <v>8171</v>
      </c>
      <c r="Q776" s="29" t="s">
        <v>1454</v>
      </c>
      <c r="R776" s="29" t="s">
        <v>4918</v>
      </c>
      <c r="S776" s="28" t="s">
        <v>1862</v>
      </c>
      <c r="T776" s="28" t="s">
        <v>1994</v>
      </c>
      <c r="U776" s="28" t="s">
        <v>1442</v>
      </c>
      <c r="V776" s="28" t="s">
        <v>1678</v>
      </c>
      <c r="W776" s="28" t="s">
        <v>8172</v>
      </c>
      <c r="X776" s="17">
        <v>3</v>
      </c>
      <c r="CJ776" s="26" t="s">
        <v>1396</v>
      </c>
      <c r="CK776" s="26" t="s">
        <v>2109</v>
      </c>
      <c r="CL776" s="26" t="str">
        <f t="shared" ref="CL776:CL839" si="49">CJ776&amp;CK776</f>
        <v>山梨県上野原市</v>
      </c>
      <c r="CM776" s="49">
        <v>771</v>
      </c>
      <c r="CN776" s="17" t="str">
        <f t="shared" si="48"/>
        <v>0828</v>
      </c>
      <c r="CO776" s="17" t="str">
        <f t="shared" ref="CO776:CO839" si="50">CM776&amp;TEXT(CN776,0)&amp;CK776</f>
        <v>771828上野原市</v>
      </c>
      <c r="CP776" s="17" t="s">
        <v>8173</v>
      </c>
      <c r="CQ776" s="17" t="b">
        <f t="shared" ref="CQ776:CQ839" si="51">CO776=CP776</f>
        <v>1</v>
      </c>
    </row>
    <row r="777" spans="6:95">
      <c r="F777" s="23"/>
      <c r="I777" s="23"/>
      <c r="L777" s="50" t="s">
        <v>8174</v>
      </c>
      <c r="M777" s="17" t="s">
        <v>8175</v>
      </c>
      <c r="N777" s="51" t="s">
        <v>8176</v>
      </c>
      <c r="O777" s="29" t="s">
        <v>1454</v>
      </c>
      <c r="P777" s="29" t="s">
        <v>8177</v>
      </c>
      <c r="Q777" s="29" t="s">
        <v>1454</v>
      </c>
      <c r="R777" s="29" t="s">
        <v>4686</v>
      </c>
      <c r="S777" s="28" t="s">
        <v>1920</v>
      </c>
      <c r="T777" s="28" t="s">
        <v>2050</v>
      </c>
      <c r="U777" s="28" t="s">
        <v>1442</v>
      </c>
      <c r="V777" s="28" t="s">
        <v>1678</v>
      </c>
      <c r="W777" s="28" t="s">
        <v>8178</v>
      </c>
      <c r="X777" s="17">
        <v>4</v>
      </c>
      <c r="CJ777" s="26" t="s">
        <v>1396</v>
      </c>
      <c r="CK777" s="26" t="s">
        <v>2165</v>
      </c>
      <c r="CL777" s="26" t="str">
        <f t="shared" si="49"/>
        <v>山梨県甲州市</v>
      </c>
      <c r="CM777" s="49">
        <v>772</v>
      </c>
      <c r="CN777" s="17" t="str">
        <f t="shared" si="48"/>
        <v>0829</v>
      </c>
      <c r="CO777" s="17" t="str">
        <f t="shared" si="50"/>
        <v>772829甲州市</v>
      </c>
      <c r="CP777" s="17" t="s">
        <v>8179</v>
      </c>
      <c r="CQ777" s="17" t="b">
        <f t="shared" si="51"/>
        <v>1</v>
      </c>
    </row>
    <row r="778" spans="6:95">
      <c r="F778" s="23"/>
      <c r="I778" s="23"/>
      <c r="L778" s="50" t="s">
        <v>8180</v>
      </c>
      <c r="M778" s="17" t="s">
        <v>8181</v>
      </c>
      <c r="N778" s="51" t="s">
        <v>8182</v>
      </c>
      <c r="O778" s="29" t="s">
        <v>1454</v>
      </c>
      <c r="P778" s="29" t="s">
        <v>8183</v>
      </c>
      <c r="Q778" s="29" t="s">
        <v>1454</v>
      </c>
      <c r="R778" s="29" t="s">
        <v>8184</v>
      </c>
      <c r="S778" s="28" t="s">
        <v>1920</v>
      </c>
      <c r="T778" s="28" t="s">
        <v>2106</v>
      </c>
      <c r="U778" s="28" t="s">
        <v>1442</v>
      </c>
      <c r="V778" s="28" t="s">
        <v>1678</v>
      </c>
      <c r="W778" s="28" t="s">
        <v>8185</v>
      </c>
      <c r="X778" s="17">
        <v>1</v>
      </c>
      <c r="CJ778" s="26" t="s">
        <v>1396</v>
      </c>
      <c r="CK778" s="26" t="s">
        <v>2220</v>
      </c>
      <c r="CL778" s="26" t="str">
        <f t="shared" si="49"/>
        <v>山梨県中央市</v>
      </c>
      <c r="CM778" s="49">
        <v>773</v>
      </c>
      <c r="CN778" s="17" t="str">
        <f t="shared" si="48"/>
        <v>0830</v>
      </c>
      <c r="CO778" s="17" t="str">
        <f t="shared" si="50"/>
        <v>773830中央市</v>
      </c>
      <c r="CP778" s="17" t="s">
        <v>8186</v>
      </c>
      <c r="CQ778" s="17" t="b">
        <f t="shared" si="51"/>
        <v>1</v>
      </c>
    </row>
    <row r="779" spans="6:95">
      <c r="F779" s="23"/>
      <c r="I779" s="23"/>
      <c r="L779" s="50" t="s">
        <v>8187</v>
      </c>
      <c r="M779" s="17" t="s">
        <v>8188</v>
      </c>
      <c r="N779" s="51" t="s">
        <v>8189</v>
      </c>
      <c r="O779" s="29" t="s">
        <v>1454</v>
      </c>
      <c r="P779" s="29" t="s">
        <v>8190</v>
      </c>
      <c r="Q779" s="29" t="s">
        <v>1454</v>
      </c>
      <c r="R779" s="29" t="s">
        <v>1919</v>
      </c>
      <c r="S779" s="28" t="s">
        <v>1564</v>
      </c>
      <c r="T779" s="28" t="s">
        <v>2162</v>
      </c>
      <c r="U779" s="28" t="s">
        <v>1442</v>
      </c>
      <c r="V779" s="28" t="s">
        <v>1678</v>
      </c>
      <c r="W779" s="28" t="s">
        <v>8191</v>
      </c>
      <c r="X779" s="17">
        <v>2</v>
      </c>
      <c r="CJ779" s="26" t="s">
        <v>1396</v>
      </c>
      <c r="CK779" s="26" t="s">
        <v>2275</v>
      </c>
      <c r="CL779" s="26" t="str">
        <f t="shared" si="49"/>
        <v>山梨県市川三郷町</v>
      </c>
      <c r="CM779" s="49">
        <v>774</v>
      </c>
      <c r="CN779" s="17" t="str">
        <f t="shared" si="48"/>
        <v>0831</v>
      </c>
      <c r="CO779" s="17" t="str">
        <f t="shared" si="50"/>
        <v>774831市川三郷町</v>
      </c>
      <c r="CP779" s="17" t="s">
        <v>8192</v>
      </c>
      <c r="CQ779" s="17" t="b">
        <f t="shared" si="51"/>
        <v>1</v>
      </c>
    </row>
    <row r="780" spans="6:95">
      <c r="F780" s="23"/>
      <c r="I780" s="23"/>
      <c r="L780" s="50" t="s">
        <v>8193</v>
      </c>
      <c r="M780" s="17" t="s">
        <v>8194</v>
      </c>
      <c r="N780" s="51" t="s">
        <v>8195</v>
      </c>
      <c r="O780" s="29" t="s">
        <v>1454</v>
      </c>
      <c r="P780" s="29" t="s">
        <v>8196</v>
      </c>
      <c r="Q780" s="29" t="s">
        <v>1454</v>
      </c>
      <c r="R780" s="29" t="s">
        <v>1976</v>
      </c>
      <c r="S780" s="28" t="s">
        <v>1626</v>
      </c>
      <c r="T780" s="28" t="s">
        <v>2217</v>
      </c>
      <c r="U780" s="28" t="s">
        <v>1442</v>
      </c>
      <c r="V780" s="28" t="s">
        <v>1678</v>
      </c>
      <c r="W780" s="28" t="s">
        <v>8197</v>
      </c>
      <c r="X780" s="17">
        <v>3</v>
      </c>
      <c r="CJ780" s="26" t="s">
        <v>1396</v>
      </c>
      <c r="CK780" s="26" t="s">
        <v>2331</v>
      </c>
      <c r="CL780" s="26" t="str">
        <f t="shared" si="49"/>
        <v>山梨県早川町</v>
      </c>
      <c r="CM780" s="49">
        <v>775</v>
      </c>
      <c r="CN780" s="17" t="str">
        <f t="shared" si="48"/>
        <v>0832</v>
      </c>
      <c r="CO780" s="17" t="str">
        <f t="shared" si="50"/>
        <v>775832早川町</v>
      </c>
      <c r="CP780" s="17" t="s">
        <v>8198</v>
      </c>
      <c r="CQ780" s="17" t="b">
        <f t="shared" si="51"/>
        <v>1</v>
      </c>
    </row>
    <row r="781" spans="6:95">
      <c r="F781" s="23"/>
      <c r="I781" s="23"/>
      <c r="L781" s="50" t="s">
        <v>8199</v>
      </c>
      <c r="M781" s="17" t="s">
        <v>8200</v>
      </c>
      <c r="N781" s="51" t="s">
        <v>8201</v>
      </c>
      <c r="O781" s="29" t="s">
        <v>1454</v>
      </c>
      <c r="P781" s="29" t="s">
        <v>8202</v>
      </c>
      <c r="Q781" s="29" t="s">
        <v>1454</v>
      </c>
      <c r="R781" s="29" t="s">
        <v>2033</v>
      </c>
      <c r="S781" s="28" t="s">
        <v>1502</v>
      </c>
      <c r="T781" s="28" t="s">
        <v>2272</v>
      </c>
      <c r="U781" s="28" t="s">
        <v>1442</v>
      </c>
      <c r="V781" s="28" t="s">
        <v>1678</v>
      </c>
      <c r="W781" s="28" t="s">
        <v>8203</v>
      </c>
      <c r="X781" s="17">
        <v>4</v>
      </c>
      <c r="CJ781" s="26" t="s">
        <v>1396</v>
      </c>
      <c r="CK781" s="26" t="s">
        <v>2385</v>
      </c>
      <c r="CL781" s="26" t="str">
        <f t="shared" si="49"/>
        <v>山梨県身延町</v>
      </c>
      <c r="CM781" s="49">
        <v>776</v>
      </c>
      <c r="CN781" s="17" t="str">
        <f t="shared" si="48"/>
        <v>0833</v>
      </c>
      <c r="CO781" s="17" t="str">
        <f t="shared" si="50"/>
        <v>776833身延町</v>
      </c>
      <c r="CP781" s="17" t="s">
        <v>8204</v>
      </c>
      <c r="CQ781" s="17" t="b">
        <f t="shared" si="51"/>
        <v>1</v>
      </c>
    </row>
    <row r="782" spans="6:95">
      <c r="F782" s="23"/>
      <c r="I782" s="23"/>
      <c r="L782" s="50" t="s">
        <v>8205</v>
      </c>
      <c r="M782" s="17" t="s">
        <v>8206</v>
      </c>
      <c r="N782" s="51" t="s">
        <v>8207</v>
      </c>
      <c r="O782" s="29" t="s">
        <v>1454</v>
      </c>
      <c r="P782" s="29" t="s">
        <v>8208</v>
      </c>
      <c r="Q782" s="29" t="s">
        <v>1454</v>
      </c>
      <c r="R782" s="29" t="s">
        <v>8209</v>
      </c>
      <c r="S782" s="28" t="s">
        <v>1743</v>
      </c>
      <c r="T782" s="28" t="s">
        <v>2328</v>
      </c>
      <c r="U782" s="28" t="s">
        <v>1442</v>
      </c>
      <c r="V782" s="28" t="s">
        <v>1678</v>
      </c>
      <c r="W782" s="28" t="s">
        <v>8210</v>
      </c>
      <c r="X782" s="17">
        <v>1</v>
      </c>
      <c r="CJ782" s="26" t="s">
        <v>1396</v>
      </c>
      <c r="CK782" s="26" t="s">
        <v>2440</v>
      </c>
      <c r="CL782" s="26" t="str">
        <f t="shared" si="49"/>
        <v>山梨県南部町</v>
      </c>
      <c r="CM782" s="49">
        <v>777</v>
      </c>
      <c r="CN782" s="17" t="str">
        <f t="shared" si="48"/>
        <v>0834</v>
      </c>
      <c r="CO782" s="17" t="str">
        <f t="shared" si="50"/>
        <v>777834南部町</v>
      </c>
      <c r="CP782" s="17" t="s">
        <v>8211</v>
      </c>
      <c r="CQ782" s="17" t="b">
        <f t="shared" si="51"/>
        <v>1</v>
      </c>
    </row>
    <row r="783" spans="6:95">
      <c r="F783" s="23"/>
      <c r="I783" s="23"/>
      <c r="L783" s="50" t="s">
        <v>8212</v>
      </c>
      <c r="M783" s="17" t="s">
        <v>8213</v>
      </c>
      <c r="N783" s="51" t="s">
        <v>8214</v>
      </c>
      <c r="O783" s="29" t="s">
        <v>1454</v>
      </c>
      <c r="P783" s="29" t="s">
        <v>8215</v>
      </c>
      <c r="Q783" s="29" t="s">
        <v>1454</v>
      </c>
      <c r="R783" s="29" t="s">
        <v>1861</v>
      </c>
      <c r="S783" s="28" t="s">
        <v>2311</v>
      </c>
      <c r="T783" s="28" t="s">
        <v>2382</v>
      </c>
      <c r="U783" s="28" t="s">
        <v>1442</v>
      </c>
      <c r="V783" s="28" t="s">
        <v>1678</v>
      </c>
      <c r="W783" s="28" t="s">
        <v>8216</v>
      </c>
      <c r="X783" s="17">
        <v>2</v>
      </c>
      <c r="CJ783" s="26" t="s">
        <v>1396</v>
      </c>
      <c r="CK783" s="26" t="s">
        <v>2492</v>
      </c>
      <c r="CL783" s="26" t="str">
        <f t="shared" si="49"/>
        <v>山梨県富士川町</v>
      </c>
      <c r="CM783" s="49">
        <v>778</v>
      </c>
      <c r="CN783" s="17" t="str">
        <f t="shared" si="48"/>
        <v>0835</v>
      </c>
      <c r="CO783" s="17" t="str">
        <f t="shared" si="50"/>
        <v>778835富士川町</v>
      </c>
      <c r="CP783" s="17" t="s">
        <v>8217</v>
      </c>
      <c r="CQ783" s="17" t="b">
        <f t="shared" si="51"/>
        <v>1</v>
      </c>
    </row>
    <row r="784" spans="6:95">
      <c r="F784" s="23"/>
      <c r="I784" s="23"/>
      <c r="L784" s="50" t="s">
        <v>8218</v>
      </c>
      <c r="M784" s="17" t="s">
        <v>8219</v>
      </c>
      <c r="N784" s="51" t="s">
        <v>8220</v>
      </c>
      <c r="O784" s="29" t="s">
        <v>1454</v>
      </c>
      <c r="P784" s="29" t="s">
        <v>8221</v>
      </c>
      <c r="Q784" s="29" t="s">
        <v>1454</v>
      </c>
      <c r="R784" s="29" t="s">
        <v>5760</v>
      </c>
      <c r="S784" s="28" t="s">
        <v>1920</v>
      </c>
      <c r="T784" s="28" t="s">
        <v>2437</v>
      </c>
      <c r="U784" s="28" t="s">
        <v>1442</v>
      </c>
      <c r="V784" s="28" t="s">
        <v>1678</v>
      </c>
      <c r="W784" s="28" t="s">
        <v>8222</v>
      </c>
      <c r="X784" s="17">
        <v>3</v>
      </c>
      <c r="CJ784" s="26" t="s">
        <v>1396</v>
      </c>
      <c r="CK784" s="26" t="s">
        <v>2543</v>
      </c>
      <c r="CL784" s="26" t="str">
        <f t="shared" si="49"/>
        <v>山梨県昭和町</v>
      </c>
      <c r="CM784" s="49">
        <v>779</v>
      </c>
      <c r="CN784" s="17" t="str">
        <f t="shared" si="48"/>
        <v>0836</v>
      </c>
      <c r="CO784" s="17" t="str">
        <f t="shared" si="50"/>
        <v>779836昭和町</v>
      </c>
      <c r="CP784" s="17" t="s">
        <v>8223</v>
      </c>
      <c r="CQ784" s="17" t="b">
        <f t="shared" si="51"/>
        <v>1</v>
      </c>
    </row>
    <row r="785" spans="6:95">
      <c r="F785" s="23"/>
      <c r="I785" s="23"/>
      <c r="L785" s="50" t="s">
        <v>8224</v>
      </c>
      <c r="M785" s="17" t="s">
        <v>8225</v>
      </c>
      <c r="N785" s="51" t="s">
        <v>8226</v>
      </c>
      <c r="O785" s="29" t="s">
        <v>1454</v>
      </c>
      <c r="P785" s="29" t="s">
        <v>8227</v>
      </c>
      <c r="Q785" s="29" t="s">
        <v>1454</v>
      </c>
      <c r="R785" s="29" t="s">
        <v>3316</v>
      </c>
      <c r="S785" s="28" t="s">
        <v>1977</v>
      </c>
      <c r="T785" s="28" t="s">
        <v>2280</v>
      </c>
      <c r="U785" s="28" t="s">
        <v>1442</v>
      </c>
      <c r="V785" s="28" t="s">
        <v>1678</v>
      </c>
      <c r="W785" s="28" t="s">
        <v>8228</v>
      </c>
      <c r="X785" s="17">
        <v>4</v>
      </c>
      <c r="CJ785" s="26" t="s">
        <v>1396</v>
      </c>
      <c r="CK785" s="26" t="s">
        <v>2592</v>
      </c>
      <c r="CL785" s="26" t="str">
        <f t="shared" si="49"/>
        <v>山梨県道志村</v>
      </c>
      <c r="CM785" s="49">
        <v>780</v>
      </c>
      <c r="CN785" s="17" t="str">
        <f t="shared" si="48"/>
        <v>0837</v>
      </c>
      <c r="CO785" s="17" t="str">
        <f t="shared" si="50"/>
        <v>780837道志村</v>
      </c>
      <c r="CP785" s="17" t="s">
        <v>8229</v>
      </c>
      <c r="CQ785" s="17" t="b">
        <f t="shared" si="51"/>
        <v>1</v>
      </c>
    </row>
    <row r="786" spans="6:95">
      <c r="F786" s="23"/>
      <c r="I786" s="23"/>
      <c r="L786" s="50" t="s">
        <v>8230</v>
      </c>
      <c r="M786" s="17" t="s">
        <v>8231</v>
      </c>
      <c r="N786" s="51" t="s">
        <v>8232</v>
      </c>
      <c r="O786" s="29" t="s">
        <v>1455</v>
      </c>
      <c r="P786" s="29" t="s">
        <v>8233</v>
      </c>
      <c r="Q786" s="29" t="s">
        <v>1455</v>
      </c>
      <c r="R786" s="29" t="s">
        <v>4593</v>
      </c>
      <c r="S786" s="28" t="s">
        <v>2525</v>
      </c>
      <c r="T786" s="28" t="s">
        <v>1520</v>
      </c>
      <c r="U786" s="28" t="s">
        <v>1442</v>
      </c>
      <c r="V786" s="28" t="s">
        <v>1678</v>
      </c>
      <c r="W786" s="28" t="s">
        <v>8234</v>
      </c>
      <c r="X786" s="17">
        <v>1</v>
      </c>
      <c r="CJ786" s="26" t="s">
        <v>1396</v>
      </c>
      <c r="CK786" s="26" t="s">
        <v>2639</v>
      </c>
      <c r="CL786" s="26" t="str">
        <f t="shared" si="49"/>
        <v>山梨県西桂町</v>
      </c>
      <c r="CM786" s="49">
        <v>781</v>
      </c>
      <c r="CN786" s="17" t="str">
        <f t="shared" si="48"/>
        <v>0838</v>
      </c>
      <c r="CO786" s="17" t="str">
        <f t="shared" si="50"/>
        <v>781838西桂町</v>
      </c>
      <c r="CP786" s="17" t="s">
        <v>8235</v>
      </c>
      <c r="CQ786" s="17" t="b">
        <f t="shared" si="51"/>
        <v>1</v>
      </c>
    </row>
    <row r="787" spans="6:95">
      <c r="F787" s="23"/>
      <c r="I787" s="23"/>
      <c r="L787" s="50" t="s">
        <v>8236</v>
      </c>
      <c r="M787" s="17" t="s">
        <v>8237</v>
      </c>
      <c r="N787" s="51" t="s">
        <v>8238</v>
      </c>
      <c r="O787" s="29" t="s">
        <v>1455</v>
      </c>
      <c r="P787" s="29" t="s">
        <v>8239</v>
      </c>
      <c r="Q787" s="29" t="s">
        <v>1455</v>
      </c>
      <c r="R787" s="29" t="s">
        <v>1563</v>
      </c>
      <c r="S787" s="28" t="s">
        <v>2311</v>
      </c>
      <c r="T787" s="28" t="s">
        <v>1582</v>
      </c>
      <c r="U787" s="28" t="s">
        <v>1442</v>
      </c>
      <c r="V787" s="28" t="s">
        <v>1678</v>
      </c>
      <c r="W787" s="28" t="s">
        <v>8240</v>
      </c>
      <c r="X787" s="17">
        <v>1</v>
      </c>
      <c r="CJ787" s="26" t="s">
        <v>1396</v>
      </c>
      <c r="CK787" s="26" t="s">
        <v>2685</v>
      </c>
      <c r="CL787" s="26" t="str">
        <f t="shared" si="49"/>
        <v>山梨県忍野村</v>
      </c>
      <c r="CM787" s="49">
        <v>782</v>
      </c>
      <c r="CN787" s="17" t="str">
        <f t="shared" si="48"/>
        <v>0839</v>
      </c>
      <c r="CO787" s="17" t="str">
        <f t="shared" si="50"/>
        <v>782839忍野村</v>
      </c>
      <c r="CP787" s="17" t="s">
        <v>8241</v>
      </c>
      <c r="CQ787" s="17" t="b">
        <f t="shared" si="51"/>
        <v>1</v>
      </c>
    </row>
    <row r="788" spans="6:95">
      <c r="F788" s="23"/>
      <c r="I788" s="23"/>
      <c r="L788" s="50" t="s">
        <v>8242</v>
      </c>
      <c r="M788" s="17" t="s">
        <v>8243</v>
      </c>
      <c r="N788" s="51" t="s">
        <v>8244</v>
      </c>
      <c r="O788" s="29" t="s">
        <v>1455</v>
      </c>
      <c r="P788" s="29" t="s">
        <v>8245</v>
      </c>
      <c r="Q788" s="29" t="s">
        <v>1455</v>
      </c>
      <c r="R788" s="29" t="s">
        <v>1625</v>
      </c>
      <c r="S788" s="28" t="s">
        <v>1564</v>
      </c>
      <c r="T788" s="28" t="s">
        <v>1644</v>
      </c>
      <c r="U788" s="28" t="s">
        <v>1442</v>
      </c>
      <c r="V788" s="28" t="s">
        <v>1678</v>
      </c>
      <c r="W788" s="28" t="s">
        <v>8245</v>
      </c>
      <c r="X788" s="17">
        <v>1</v>
      </c>
      <c r="CJ788" s="26" t="s">
        <v>1396</v>
      </c>
      <c r="CK788" s="26" t="s">
        <v>2731</v>
      </c>
      <c r="CL788" s="26" t="str">
        <f t="shared" si="49"/>
        <v>山梨県山中湖村</v>
      </c>
      <c r="CM788" s="49">
        <v>783</v>
      </c>
      <c r="CN788" s="17" t="str">
        <f t="shared" si="48"/>
        <v>0840</v>
      </c>
      <c r="CO788" s="17" t="str">
        <f t="shared" si="50"/>
        <v>783840山中湖村</v>
      </c>
      <c r="CP788" s="17" t="s">
        <v>8246</v>
      </c>
      <c r="CQ788" s="17" t="b">
        <f t="shared" si="51"/>
        <v>1</v>
      </c>
    </row>
    <row r="789" spans="6:95">
      <c r="F789" s="23"/>
      <c r="I789" s="23"/>
      <c r="L789" s="50" t="s">
        <v>8247</v>
      </c>
      <c r="M789" s="17" t="s">
        <v>8248</v>
      </c>
      <c r="N789" s="51" t="s">
        <v>8249</v>
      </c>
      <c r="O789" s="29" t="s">
        <v>1455</v>
      </c>
      <c r="P789" s="29" t="s">
        <v>8250</v>
      </c>
      <c r="Q789" s="29" t="s">
        <v>1455</v>
      </c>
      <c r="R789" s="29" t="s">
        <v>1684</v>
      </c>
      <c r="S789" s="28" t="s">
        <v>1626</v>
      </c>
      <c r="T789" s="28" t="s">
        <v>1702</v>
      </c>
      <c r="U789" s="28" t="s">
        <v>1442</v>
      </c>
      <c r="V789" s="28" t="s">
        <v>1678</v>
      </c>
      <c r="W789" s="28" t="s">
        <v>8250</v>
      </c>
      <c r="X789" s="17">
        <v>1</v>
      </c>
      <c r="CJ789" s="26" t="s">
        <v>1396</v>
      </c>
      <c r="CK789" s="26" t="s">
        <v>2775</v>
      </c>
      <c r="CL789" s="26" t="str">
        <f t="shared" si="49"/>
        <v>山梨県鳴沢村</v>
      </c>
      <c r="CM789" s="49">
        <v>784</v>
      </c>
      <c r="CN789" s="17" t="str">
        <f t="shared" si="48"/>
        <v>0841</v>
      </c>
      <c r="CO789" s="17" t="str">
        <f t="shared" si="50"/>
        <v>784841鳴沢村</v>
      </c>
      <c r="CP789" s="17" t="s">
        <v>8251</v>
      </c>
      <c r="CQ789" s="17" t="b">
        <f t="shared" si="51"/>
        <v>1</v>
      </c>
    </row>
    <row r="790" spans="6:95">
      <c r="F790" s="23"/>
      <c r="I790" s="23"/>
      <c r="L790" s="50" t="s">
        <v>8252</v>
      </c>
      <c r="M790" s="17" t="s">
        <v>8253</v>
      </c>
      <c r="N790" s="51" t="s">
        <v>8254</v>
      </c>
      <c r="O790" s="29" t="s">
        <v>1455</v>
      </c>
      <c r="P790" s="29" t="s">
        <v>8255</v>
      </c>
      <c r="Q790" s="29" t="s">
        <v>1455</v>
      </c>
      <c r="R790" s="29" t="s">
        <v>1742</v>
      </c>
      <c r="S790" s="28" t="s">
        <v>1977</v>
      </c>
      <c r="T790" s="28" t="s">
        <v>1761</v>
      </c>
      <c r="U790" s="28" t="s">
        <v>1442</v>
      </c>
      <c r="V790" s="28" t="s">
        <v>1678</v>
      </c>
      <c r="W790" s="28" t="s">
        <v>8256</v>
      </c>
      <c r="X790" s="17">
        <v>1</v>
      </c>
      <c r="CJ790" s="26" t="s">
        <v>1396</v>
      </c>
      <c r="CK790" s="26" t="s">
        <v>2817</v>
      </c>
      <c r="CL790" s="26" t="str">
        <f t="shared" si="49"/>
        <v>山梨県富士河口湖町</v>
      </c>
      <c r="CM790" s="49">
        <v>785</v>
      </c>
      <c r="CN790" s="17" t="str">
        <f t="shared" si="48"/>
        <v>0842</v>
      </c>
      <c r="CO790" s="17" t="str">
        <f t="shared" si="50"/>
        <v>785842富士河口湖町</v>
      </c>
      <c r="CP790" s="17" t="s">
        <v>8257</v>
      </c>
      <c r="CQ790" s="17" t="b">
        <f t="shared" si="51"/>
        <v>1</v>
      </c>
    </row>
    <row r="791" spans="6:95">
      <c r="F791" s="23"/>
      <c r="I791" s="23"/>
      <c r="L791" s="50" t="s">
        <v>8258</v>
      </c>
      <c r="M791" s="17" t="s">
        <v>8259</v>
      </c>
      <c r="N791" s="51" t="s">
        <v>8260</v>
      </c>
      <c r="O791" s="29" t="s">
        <v>1455</v>
      </c>
      <c r="P791" s="29" t="s">
        <v>8261</v>
      </c>
      <c r="Q791" s="29" t="s">
        <v>1455</v>
      </c>
      <c r="R791" s="29" t="s">
        <v>1802</v>
      </c>
      <c r="S791" s="28" t="s">
        <v>1743</v>
      </c>
      <c r="T791" s="28" t="s">
        <v>1821</v>
      </c>
      <c r="U791" s="28" t="s">
        <v>1442</v>
      </c>
      <c r="V791" s="28" t="s">
        <v>1678</v>
      </c>
      <c r="W791" s="28" t="s">
        <v>8262</v>
      </c>
      <c r="X791" s="17">
        <v>1</v>
      </c>
      <c r="CJ791" s="26" t="s">
        <v>1396</v>
      </c>
      <c r="CK791" s="26" t="s">
        <v>2857</v>
      </c>
      <c r="CL791" s="26" t="str">
        <f t="shared" si="49"/>
        <v>山梨県小菅村</v>
      </c>
      <c r="CM791" s="49">
        <v>786</v>
      </c>
      <c r="CN791" s="17" t="str">
        <f t="shared" si="48"/>
        <v>0843</v>
      </c>
      <c r="CO791" s="17" t="str">
        <f t="shared" si="50"/>
        <v>786843小菅村</v>
      </c>
      <c r="CP791" s="17" t="s">
        <v>8263</v>
      </c>
      <c r="CQ791" s="17" t="b">
        <f t="shared" si="51"/>
        <v>1</v>
      </c>
    </row>
    <row r="792" spans="6:95">
      <c r="F792" s="23"/>
      <c r="I792" s="23"/>
      <c r="L792" s="50" t="s">
        <v>8264</v>
      </c>
      <c r="M792" s="17" t="s">
        <v>8265</v>
      </c>
      <c r="N792" s="51" t="s">
        <v>8266</v>
      </c>
      <c r="O792" s="29" t="s">
        <v>1455</v>
      </c>
      <c r="P792" s="29" t="s">
        <v>8267</v>
      </c>
      <c r="Q792" s="29" t="s">
        <v>1455</v>
      </c>
      <c r="R792" s="29" t="s">
        <v>1861</v>
      </c>
      <c r="S792" s="28" t="s">
        <v>1803</v>
      </c>
      <c r="T792" s="28" t="s">
        <v>1880</v>
      </c>
      <c r="U792" s="28" t="s">
        <v>1442</v>
      </c>
      <c r="V792" s="28" t="s">
        <v>1678</v>
      </c>
      <c r="W792" s="28" t="s">
        <v>8268</v>
      </c>
      <c r="X792" s="17">
        <v>1</v>
      </c>
      <c r="CJ792" s="26" t="s">
        <v>1396</v>
      </c>
      <c r="CK792" s="26" t="s">
        <v>2896</v>
      </c>
      <c r="CL792" s="26" t="str">
        <f t="shared" si="49"/>
        <v>山梨県丹波山村</v>
      </c>
      <c r="CM792" s="49">
        <v>787</v>
      </c>
      <c r="CN792" s="17" t="str">
        <f t="shared" si="48"/>
        <v>0844</v>
      </c>
      <c r="CO792" s="17" t="str">
        <f t="shared" si="50"/>
        <v>787844丹波山村</v>
      </c>
      <c r="CP792" s="17" t="s">
        <v>8269</v>
      </c>
      <c r="CQ792" s="17" t="b">
        <f t="shared" si="51"/>
        <v>1</v>
      </c>
    </row>
    <row r="793" spans="6:95">
      <c r="F793" s="23"/>
      <c r="I793" s="23"/>
      <c r="L793" s="50" t="s">
        <v>8270</v>
      </c>
      <c r="M793" s="17" t="s">
        <v>8271</v>
      </c>
      <c r="N793" s="51" t="s">
        <v>8272</v>
      </c>
      <c r="O793" s="29" t="s">
        <v>1455</v>
      </c>
      <c r="P793" s="29" t="s">
        <v>8273</v>
      </c>
      <c r="Q793" s="29" t="s">
        <v>1455</v>
      </c>
      <c r="R793" s="29" t="s">
        <v>1976</v>
      </c>
      <c r="S793" s="28" t="s">
        <v>1920</v>
      </c>
      <c r="T793" s="28" t="s">
        <v>1938</v>
      </c>
      <c r="U793" s="28" t="s">
        <v>1442</v>
      </c>
      <c r="V793" s="28" t="s">
        <v>1678</v>
      </c>
      <c r="W793" s="28" t="s">
        <v>8274</v>
      </c>
      <c r="X793" s="17">
        <v>1</v>
      </c>
      <c r="CJ793" s="26" t="s">
        <v>1397</v>
      </c>
      <c r="CK793" s="26" t="s">
        <v>1523</v>
      </c>
      <c r="CL793" s="26" t="str">
        <f t="shared" si="49"/>
        <v>長野県長野市</v>
      </c>
      <c r="CM793" s="49">
        <v>788</v>
      </c>
      <c r="CN793" s="17" t="str">
        <f t="shared" si="48"/>
        <v>0845</v>
      </c>
      <c r="CO793" s="17" t="str">
        <f t="shared" si="50"/>
        <v>788845長野市</v>
      </c>
      <c r="CP793" s="17" t="s">
        <v>8275</v>
      </c>
      <c r="CQ793" s="17" t="b">
        <f t="shared" si="51"/>
        <v>1</v>
      </c>
    </row>
    <row r="794" spans="6:95">
      <c r="F794" s="23"/>
      <c r="I794" s="23"/>
      <c r="L794" s="50" t="s">
        <v>8276</v>
      </c>
      <c r="M794" s="17" t="s">
        <v>8277</v>
      </c>
      <c r="N794" s="51" t="s">
        <v>8278</v>
      </c>
      <c r="O794" s="29" t="s">
        <v>1455</v>
      </c>
      <c r="P794" s="29" t="s">
        <v>8279</v>
      </c>
      <c r="Q794" s="29" t="s">
        <v>1455</v>
      </c>
      <c r="R794" s="29" t="s">
        <v>2033</v>
      </c>
      <c r="S794" s="28" t="s">
        <v>1977</v>
      </c>
      <c r="T794" s="28" t="s">
        <v>1995</v>
      </c>
      <c r="U794" s="28" t="s">
        <v>1442</v>
      </c>
      <c r="V794" s="28" t="s">
        <v>1678</v>
      </c>
      <c r="W794" s="28" t="s">
        <v>8280</v>
      </c>
      <c r="X794" s="17">
        <v>1</v>
      </c>
      <c r="CJ794" s="26" t="s">
        <v>1397</v>
      </c>
      <c r="CK794" s="26" t="s">
        <v>1585</v>
      </c>
      <c r="CL794" s="26" t="str">
        <f t="shared" si="49"/>
        <v>長野県松本市</v>
      </c>
      <c r="CM794" s="49">
        <v>789</v>
      </c>
      <c r="CN794" s="17" t="str">
        <f t="shared" si="48"/>
        <v>0846</v>
      </c>
      <c r="CO794" s="17" t="str">
        <f t="shared" si="50"/>
        <v>789846松本市</v>
      </c>
      <c r="CP794" s="17" t="s">
        <v>8281</v>
      </c>
      <c r="CQ794" s="17" t="b">
        <f t="shared" si="51"/>
        <v>1</v>
      </c>
    </row>
    <row r="795" spans="6:95">
      <c r="F795" s="23"/>
      <c r="I795" s="23"/>
      <c r="L795" s="50" t="s">
        <v>8282</v>
      </c>
      <c r="M795" s="17" t="s">
        <v>8283</v>
      </c>
      <c r="N795" s="51" t="s">
        <v>8284</v>
      </c>
      <c r="O795" s="29" t="s">
        <v>1455</v>
      </c>
      <c r="P795" s="29" t="s">
        <v>8285</v>
      </c>
      <c r="Q795" s="29" t="s">
        <v>1455</v>
      </c>
      <c r="R795" s="29" t="s">
        <v>2089</v>
      </c>
      <c r="S795" s="28" t="s">
        <v>1743</v>
      </c>
      <c r="T795" s="28" t="s">
        <v>2051</v>
      </c>
      <c r="U795" s="28" t="s">
        <v>1442</v>
      </c>
      <c r="V795" s="28" t="s">
        <v>1678</v>
      </c>
      <c r="W795" s="28" t="s">
        <v>8286</v>
      </c>
      <c r="X795" s="17">
        <v>1</v>
      </c>
      <c r="CJ795" s="26" t="s">
        <v>1397</v>
      </c>
      <c r="CK795" s="26" t="s">
        <v>1647</v>
      </c>
      <c r="CL795" s="26" t="str">
        <f t="shared" si="49"/>
        <v>長野県上田市</v>
      </c>
      <c r="CM795" s="49">
        <v>790</v>
      </c>
      <c r="CN795" s="17" t="str">
        <f t="shared" si="48"/>
        <v>0847</v>
      </c>
      <c r="CO795" s="17" t="str">
        <f t="shared" si="50"/>
        <v>790847上田市</v>
      </c>
      <c r="CP795" s="17" t="s">
        <v>8287</v>
      </c>
      <c r="CQ795" s="17" t="b">
        <f t="shared" si="51"/>
        <v>1</v>
      </c>
    </row>
    <row r="796" spans="6:95">
      <c r="F796" s="23"/>
      <c r="I796" s="23"/>
      <c r="L796" s="50" t="s">
        <v>8288</v>
      </c>
      <c r="M796" s="17" t="s">
        <v>8289</v>
      </c>
      <c r="N796" s="51" t="s">
        <v>8290</v>
      </c>
      <c r="O796" s="29" t="s">
        <v>1455</v>
      </c>
      <c r="P796" s="29" t="s">
        <v>8291</v>
      </c>
      <c r="Q796" s="29" t="s">
        <v>1455</v>
      </c>
      <c r="R796" s="29" t="s">
        <v>2145</v>
      </c>
      <c r="S796" s="28" t="s">
        <v>1803</v>
      </c>
      <c r="T796" s="28" t="s">
        <v>2107</v>
      </c>
      <c r="U796" s="28" t="s">
        <v>1442</v>
      </c>
      <c r="V796" s="28" t="s">
        <v>1678</v>
      </c>
      <c r="W796" s="28" t="s">
        <v>8292</v>
      </c>
      <c r="X796" s="17">
        <v>1</v>
      </c>
      <c r="CJ796" s="26" t="s">
        <v>1397</v>
      </c>
      <c r="CK796" s="26" t="s">
        <v>1705</v>
      </c>
      <c r="CL796" s="26" t="str">
        <f t="shared" si="49"/>
        <v>長野県飯田市</v>
      </c>
      <c r="CM796" s="49">
        <v>791</v>
      </c>
      <c r="CN796" s="17" t="str">
        <f t="shared" si="48"/>
        <v>0848</v>
      </c>
      <c r="CO796" s="17" t="str">
        <f t="shared" si="50"/>
        <v>791848飯田市</v>
      </c>
      <c r="CP796" s="17" t="s">
        <v>8293</v>
      </c>
      <c r="CQ796" s="17" t="b">
        <f t="shared" si="51"/>
        <v>1</v>
      </c>
    </row>
    <row r="797" spans="6:95">
      <c r="F797" s="23"/>
      <c r="I797" s="23"/>
      <c r="L797" s="50" t="s">
        <v>8294</v>
      </c>
      <c r="M797" s="17" t="s">
        <v>8295</v>
      </c>
      <c r="N797" s="51" t="s">
        <v>8296</v>
      </c>
      <c r="O797" s="29" t="s">
        <v>1455</v>
      </c>
      <c r="P797" s="29" t="s">
        <v>8297</v>
      </c>
      <c r="Q797" s="29" t="s">
        <v>1455</v>
      </c>
      <c r="R797" s="29" t="s">
        <v>5190</v>
      </c>
      <c r="S797" s="28" t="s">
        <v>2525</v>
      </c>
      <c r="T797" s="28" t="s">
        <v>2163</v>
      </c>
      <c r="U797" s="28" t="s">
        <v>1442</v>
      </c>
      <c r="V797" s="28" t="s">
        <v>1678</v>
      </c>
      <c r="W797" s="28" t="s">
        <v>8298</v>
      </c>
      <c r="X797" s="17">
        <v>1</v>
      </c>
      <c r="CJ797" s="26" t="s">
        <v>1397</v>
      </c>
      <c r="CK797" s="26" t="s">
        <v>1764</v>
      </c>
      <c r="CL797" s="26" t="str">
        <f t="shared" si="49"/>
        <v>長野県須坂市</v>
      </c>
      <c r="CM797" s="49">
        <v>792</v>
      </c>
      <c r="CN797" s="17" t="str">
        <f t="shared" si="48"/>
        <v>0849</v>
      </c>
      <c r="CO797" s="17" t="str">
        <f t="shared" si="50"/>
        <v>792849須坂市</v>
      </c>
      <c r="CP797" s="17" t="s">
        <v>8299</v>
      </c>
      <c r="CQ797" s="17" t="b">
        <f t="shared" si="51"/>
        <v>1</v>
      </c>
    </row>
    <row r="798" spans="6:95">
      <c r="F798" s="23"/>
      <c r="I798" s="23"/>
      <c r="L798" s="50" t="s">
        <v>8300</v>
      </c>
      <c r="M798" s="17" t="s">
        <v>8301</v>
      </c>
      <c r="N798" s="51" t="s">
        <v>8302</v>
      </c>
      <c r="O798" s="29" t="s">
        <v>1455</v>
      </c>
      <c r="P798" s="29" t="s">
        <v>8303</v>
      </c>
      <c r="Q798" s="29" t="s">
        <v>1455</v>
      </c>
      <c r="R798" s="29" t="s">
        <v>3395</v>
      </c>
      <c r="S798" s="28" t="s">
        <v>1502</v>
      </c>
      <c r="T798" s="28" t="s">
        <v>2218</v>
      </c>
      <c r="U798" s="28" t="s">
        <v>1442</v>
      </c>
      <c r="V798" s="28" t="s">
        <v>1678</v>
      </c>
      <c r="W798" s="28" t="s">
        <v>8304</v>
      </c>
      <c r="X798" s="17">
        <v>1</v>
      </c>
      <c r="CJ798" s="26" t="s">
        <v>1397</v>
      </c>
      <c r="CK798" s="26" t="s">
        <v>1824</v>
      </c>
      <c r="CL798" s="26" t="str">
        <f t="shared" si="49"/>
        <v>長野県小諸市</v>
      </c>
      <c r="CM798" s="49">
        <v>793</v>
      </c>
      <c r="CN798" s="17" t="str">
        <f t="shared" si="48"/>
        <v>0850</v>
      </c>
      <c r="CO798" s="17" t="str">
        <f t="shared" si="50"/>
        <v>793850小諸市</v>
      </c>
      <c r="CP798" s="17" t="s">
        <v>8305</v>
      </c>
      <c r="CQ798" s="17" t="b">
        <f t="shared" si="51"/>
        <v>1</v>
      </c>
    </row>
    <row r="799" spans="6:95">
      <c r="F799" s="23"/>
      <c r="I799" s="23"/>
      <c r="L799" s="50" t="s">
        <v>8306</v>
      </c>
      <c r="M799" s="17" t="s">
        <v>8307</v>
      </c>
      <c r="N799" s="51" t="s">
        <v>8308</v>
      </c>
      <c r="O799" s="29" t="s">
        <v>1455</v>
      </c>
      <c r="P799" s="29" t="s">
        <v>8309</v>
      </c>
      <c r="Q799" s="29" t="s">
        <v>1455</v>
      </c>
      <c r="R799" s="29" t="s">
        <v>5589</v>
      </c>
      <c r="S799" s="28" t="s">
        <v>1920</v>
      </c>
      <c r="T799" s="28" t="s">
        <v>2273</v>
      </c>
      <c r="U799" s="28" t="s">
        <v>1442</v>
      </c>
      <c r="V799" s="28" t="s">
        <v>1678</v>
      </c>
      <c r="W799" s="28" t="s">
        <v>8310</v>
      </c>
      <c r="X799" s="17">
        <v>1</v>
      </c>
      <c r="CJ799" s="26" t="s">
        <v>1397</v>
      </c>
      <c r="CK799" s="26" t="s">
        <v>1883</v>
      </c>
      <c r="CL799" s="26" t="str">
        <f t="shared" si="49"/>
        <v>長野県伊那市</v>
      </c>
      <c r="CM799" s="49">
        <v>794</v>
      </c>
      <c r="CN799" s="17" t="str">
        <f t="shared" si="48"/>
        <v>0851</v>
      </c>
      <c r="CO799" s="17" t="str">
        <f t="shared" si="50"/>
        <v>794851伊那市</v>
      </c>
      <c r="CP799" s="17" t="s">
        <v>8311</v>
      </c>
      <c r="CQ799" s="17" t="b">
        <f t="shared" si="51"/>
        <v>1</v>
      </c>
    </row>
    <row r="800" spans="6:95">
      <c r="F800" s="23"/>
      <c r="I800" s="23"/>
      <c r="L800" s="50" t="s">
        <v>8312</v>
      </c>
      <c r="M800" s="17" t="s">
        <v>8313</v>
      </c>
      <c r="N800" s="51" t="s">
        <v>8314</v>
      </c>
      <c r="O800" s="29" t="s">
        <v>1455</v>
      </c>
      <c r="P800" s="29" t="s">
        <v>8315</v>
      </c>
      <c r="Q800" s="29" t="s">
        <v>1455</v>
      </c>
      <c r="R800" s="29" t="s">
        <v>4723</v>
      </c>
      <c r="S800" s="28" t="s">
        <v>1626</v>
      </c>
      <c r="T800" s="28" t="s">
        <v>2329</v>
      </c>
      <c r="U800" s="28" t="s">
        <v>1442</v>
      </c>
      <c r="V800" s="28" t="s">
        <v>1678</v>
      </c>
      <c r="W800" s="28" t="s">
        <v>8316</v>
      </c>
      <c r="X800" s="17">
        <v>1</v>
      </c>
      <c r="CJ800" s="26" t="s">
        <v>1397</v>
      </c>
      <c r="CK800" s="26" t="s">
        <v>1941</v>
      </c>
      <c r="CL800" s="26" t="str">
        <f t="shared" si="49"/>
        <v>長野県駒ヶ根市</v>
      </c>
      <c r="CM800" s="49">
        <v>795</v>
      </c>
      <c r="CN800" s="17" t="str">
        <f t="shared" si="48"/>
        <v>0852</v>
      </c>
      <c r="CO800" s="17" t="str">
        <f t="shared" si="50"/>
        <v>795852駒ヶ根市</v>
      </c>
      <c r="CP800" s="17" t="s">
        <v>8317</v>
      </c>
      <c r="CQ800" s="17" t="b">
        <f t="shared" si="51"/>
        <v>1</v>
      </c>
    </row>
    <row r="801" spans="6:95">
      <c r="F801" s="23"/>
      <c r="I801" s="23"/>
      <c r="L801" s="50" t="s">
        <v>8318</v>
      </c>
      <c r="M801" s="17" t="s">
        <v>8319</v>
      </c>
      <c r="N801" s="51" t="s">
        <v>8320</v>
      </c>
      <c r="O801" s="29" t="s">
        <v>1455</v>
      </c>
      <c r="P801" s="29" t="s">
        <v>8321</v>
      </c>
      <c r="Q801" s="29" t="s">
        <v>1455</v>
      </c>
      <c r="R801" s="29" t="s">
        <v>6415</v>
      </c>
      <c r="S801" s="28" t="s">
        <v>1743</v>
      </c>
      <c r="T801" s="28" t="s">
        <v>2383</v>
      </c>
      <c r="U801" s="28" t="s">
        <v>1442</v>
      </c>
      <c r="V801" s="28" t="s">
        <v>1678</v>
      </c>
      <c r="W801" s="28" t="s">
        <v>8322</v>
      </c>
      <c r="X801" s="17">
        <v>1</v>
      </c>
      <c r="CJ801" s="26" t="s">
        <v>1397</v>
      </c>
      <c r="CK801" s="26" t="s">
        <v>1998</v>
      </c>
      <c r="CL801" s="26" t="str">
        <f t="shared" si="49"/>
        <v>長野県中野市</v>
      </c>
      <c r="CM801" s="49">
        <v>796</v>
      </c>
      <c r="CN801" s="17" t="str">
        <f t="shared" si="48"/>
        <v>0853</v>
      </c>
      <c r="CO801" s="17" t="str">
        <f t="shared" si="50"/>
        <v>796853中野市</v>
      </c>
      <c r="CP801" s="17" t="s">
        <v>8323</v>
      </c>
      <c r="CQ801" s="17" t="b">
        <f t="shared" si="51"/>
        <v>1</v>
      </c>
    </row>
    <row r="802" spans="6:95">
      <c r="F802" s="23"/>
      <c r="I802" s="23"/>
      <c r="L802" s="50" t="s">
        <v>8324</v>
      </c>
      <c r="M802" s="17" t="s">
        <v>8325</v>
      </c>
      <c r="N802" s="51" t="s">
        <v>8326</v>
      </c>
      <c r="O802" s="29" t="s">
        <v>1455</v>
      </c>
      <c r="P802" s="29" t="s">
        <v>8327</v>
      </c>
      <c r="Q802" s="29" t="s">
        <v>1455</v>
      </c>
      <c r="R802" s="29" t="s">
        <v>4547</v>
      </c>
      <c r="S802" s="28" t="s">
        <v>1920</v>
      </c>
      <c r="T802" s="28" t="s">
        <v>2438</v>
      </c>
      <c r="U802" s="28" t="s">
        <v>1442</v>
      </c>
      <c r="V802" s="28" t="s">
        <v>1678</v>
      </c>
      <c r="W802" s="28" t="s">
        <v>8328</v>
      </c>
      <c r="X802" s="17">
        <v>1</v>
      </c>
      <c r="CJ802" s="26" t="s">
        <v>1397</v>
      </c>
      <c r="CK802" s="26" t="s">
        <v>2054</v>
      </c>
      <c r="CL802" s="26" t="str">
        <f t="shared" si="49"/>
        <v>長野県飯山市</v>
      </c>
      <c r="CM802" s="49">
        <v>797</v>
      </c>
      <c r="CN802" s="17" t="str">
        <f t="shared" si="48"/>
        <v>0854</v>
      </c>
      <c r="CO802" s="17" t="str">
        <f t="shared" si="50"/>
        <v>797854飯山市</v>
      </c>
      <c r="CP802" s="17" t="s">
        <v>8329</v>
      </c>
      <c r="CQ802" s="17" t="b">
        <f t="shared" si="51"/>
        <v>1</v>
      </c>
    </row>
    <row r="803" spans="6:95">
      <c r="F803" s="23"/>
      <c r="I803" s="23"/>
      <c r="L803" s="50" t="s">
        <v>8330</v>
      </c>
      <c r="M803" s="17" t="s">
        <v>8331</v>
      </c>
      <c r="N803" s="51" t="s">
        <v>8332</v>
      </c>
      <c r="O803" s="29" t="s">
        <v>1455</v>
      </c>
      <c r="P803" s="29" t="s">
        <v>8333</v>
      </c>
      <c r="Q803" s="29" t="s">
        <v>1455</v>
      </c>
      <c r="R803" s="29" t="s">
        <v>3707</v>
      </c>
      <c r="S803" s="28" t="s">
        <v>2525</v>
      </c>
      <c r="T803" s="28" t="s">
        <v>2490</v>
      </c>
      <c r="U803" s="28" t="s">
        <v>1442</v>
      </c>
      <c r="V803" s="28" t="s">
        <v>1678</v>
      </c>
      <c r="W803" s="28" t="s">
        <v>8334</v>
      </c>
      <c r="X803" s="17">
        <v>1</v>
      </c>
      <c r="CJ803" s="26" t="s">
        <v>1397</v>
      </c>
      <c r="CK803" s="26" t="s">
        <v>2110</v>
      </c>
      <c r="CL803" s="26" t="str">
        <f t="shared" si="49"/>
        <v>長野県塩尻市</v>
      </c>
      <c r="CM803" s="49">
        <v>798</v>
      </c>
      <c r="CN803" s="17" t="str">
        <f t="shared" si="48"/>
        <v>0855</v>
      </c>
      <c r="CO803" s="17" t="str">
        <f t="shared" si="50"/>
        <v>798855塩尻市</v>
      </c>
      <c r="CP803" s="17" t="s">
        <v>8335</v>
      </c>
      <c r="CQ803" s="17" t="b">
        <f t="shared" si="51"/>
        <v>1</v>
      </c>
    </row>
    <row r="804" spans="6:95">
      <c r="F804" s="23"/>
      <c r="I804" s="23"/>
      <c r="L804" s="50" t="s">
        <v>8336</v>
      </c>
      <c r="M804" s="17" t="s">
        <v>8337</v>
      </c>
      <c r="N804" s="51" t="s">
        <v>8338</v>
      </c>
      <c r="O804" s="29" t="s">
        <v>1455</v>
      </c>
      <c r="P804" s="29" t="s">
        <v>8339</v>
      </c>
      <c r="Q804" s="29" t="s">
        <v>1455</v>
      </c>
      <c r="R804" s="29" t="s">
        <v>3723</v>
      </c>
      <c r="S804" s="28" t="s">
        <v>1564</v>
      </c>
      <c r="T804" s="28" t="s">
        <v>2542</v>
      </c>
      <c r="U804" s="28" t="s">
        <v>1442</v>
      </c>
      <c r="V804" s="28" t="s">
        <v>1678</v>
      </c>
      <c r="W804" s="28" t="s">
        <v>8340</v>
      </c>
      <c r="X804" s="17">
        <v>1</v>
      </c>
      <c r="CJ804" s="26" t="s">
        <v>1397</v>
      </c>
      <c r="CK804" s="26" t="s">
        <v>2166</v>
      </c>
      <c r="CL804" s="26" t="str">
        <f t="shared" si="49"/>
        <v>長野県佐久市</v>
      </c>
      <c r="CM804" s="49">
        <v>799</v>
      </c>
      <c r="CN804" s="17" t="str">
        <f t="shared" si="48"/>
        <v>0856</v>
      </c>
      <c r="CO804" s="17" t="str">
        <f t="shared" si="50"/>
        <v>799856佐久市</v>
      </c>
      <c r="CP804" s="17" t="s">
        <v>8341</v>
      </c>
      <c r="CQ804" s="17" t="b">
        <f t="shared" si="51"/>
        <v>1</v>
      </c>
    </row>
    <row r="805" spans="6:95">
      <c r="F805" s="23"/>
      <c r="I805" s="23"/>
      <c r="L805" s="50" t="s">
        <v>8342</v>
      </c>
      <c r="M805" s="17" t="s">
        <v>8343</v>
      </c>
      <c r="N805" s="51" t="s">
        <v>8344</v>
      </c>
      <c r="O805" s="29" t="s">
        <v>1456</v>
      </c>
      <c r="P805" s="29" t="s">
        <v>8345</v>
      </c>
      <c r="Q805" s="29" t="s">
        <v>1456</v>
      </c>
      <c r="R805" s="29" t="s">
        <v>4593</v>
      </c>
      <c r="S805" s="28" t="s">
        <v>1743</v>
      </c>
      <c r="T805" s="28" t="s">
        <v>1521</v>
      </c>
      <c r="U805" s="28" t="s">
        <v>1443</v>
      </c>
      <c r="V805" s="28" t="s">
        <v>1736</v>
      </c>
      <c r="W805" s="28" t="s">
        <v>8346</v>
      </c>
      <c r="X805" s="17">
        <v>1</v>
      </c>
      <c r="CJ805" s="26" t="s">
        <v>1397</v>
      </c>
      <c r="CK805" s="26" t="s">
        <v>2221</v>
      </c>
      <c r="CL805" s="26" t="str">
        <f t="shared" si="49"/>
        <v>長野県千曲市</v>
      </c>
      <c r="CM805" s="49">
        <v>800</v>
      </c>
      <c r="CN805" s="17" t="str">
        <f t="shared" si="48"/>
        <v>0857</v>
      </c>
      <c r="CO805" s="17" t="str">
        <f t="shared" si="50"/>
        <v>800857千曲市</v>
      </c>
      <c r="CP805" s="17" t="s">
        <v>8347</v>
      </c>
      <c r="CQ805" s="17" t="b">
        <f t="shared" si="51"/>
        <v>1</v>
      </c>
    </row>
    <row r="806" spans="6:95">
      <c r="F806" s="23"/>
      <c r="I806" s="23"/>
      <c r="L806" s="50" t="s">
        <v>8348</v>
      </c>
      <c r="M806" s="17" t="s">
        <v>8349</v>
      </c>
      <c r="N806" s="51" t="s">
        <v>8350</v>
      </c>
      <c r="O806" s="29" t="s">
        <v>1456</v>
      </c>
      <c r="P806" s="29" t="s">
        <v>8351</v>
      </c>
      <c r="Q806" s="29" t="s">
        <v>1456</v>
      </c>
      <c r="R806" s="29" t="s">
        <v>1563</v>
      </c>
      <c r="S806" s="28" t="s">
        <v>1803</v>
      </c>
      <c r="T806" s="28" t="s">
        <v>1583</v>
      </c>
      <c r="U806" s="28" t="s">
        <v>1443</v>
      </c>
      <c r="V806" s="28" t="s">
        <v>1736</v>
      </c>
      <c r="W806" s="28" t="s">
        <v>8352</v>
      </c>
      <c r="X806" s="17">
        <v>1</v>
      </c>
      <c r="CJ806" s="26" t="s">
        <v>1397</v>
      </c>
      <c r="CK806" s="26" t="s">
        <v>2276</v>
      </c>
      <c r="CL806" s="26" t="str">
        <f t="shared" si="49"/>
        <v>長野県東御市</v>
      </c>
      <c r="CM806" s="49">
        <v>801</v>
      </c>
      <c r="CN806" s="17" t="str">
        <f t="shared" si="48"/>
        <v>0858</v>
      </c>
      <c r="CO806" s="17" t="str">
        <f t="shared" si="50"/>
        <v>801858東御市</v>
      </c>
      <c r="CP806" s="17" t="s">
        <v>8353</v>
      </c>
      <c r="CQ806" s="17" t="b">
        <f t="shared" si="51"/>
        <v>1</v>
      </c>
    </row>
    <row r="807" spans="6:95">
      <c r="F807" s="23"/>
      <c r="I807" s="23"/>
      <c r="L807" s="50" t="s">
        <v>8354</v>
      </c>
      <c r="M807" s="17" t="s">
        <v>8355</v>
      </c>
      <c r="N807" s="51" t="s">
        <v>8356</v>
      </c>
      <c r="O807" s="29" t="s">
        <v>1456</v>
      </c>
      <c r="P807" s="29" t="s">
        <v>8357</v>
      </c>
      <c r="Q807" s="29" t="s">
        <v>1456</v>
      </c>
      <c r="R807" s="29" t="s">
        <v>1684</v>
      </c>
      <c r="S807" s="28" t="s">
        <v>1920</v>
      </c>
      <c r="T807" s="28" t="s">
        <v>1645</v>
      </c>
      <c r="U807" s="28" t="s">
        <v>1443</v>
      </c>
      <c r="V807" s="28" t="s">
        <v>1736</v>
      </c>
      <c r="W807" s="28" t="s">
        <v>8358</v>
      </c>
      <c r="X807" s="17">
        <v>1</v>
      </c>
      <c r="CJ807" s="26" t="s">
        <v>1397</v>
      </c>
      <c r="CK807" s="26" t="s">
        <v>2332</v>
      </c>
      <c r="CL807" s="26" t="str">
        <f t="shared" si="49"/>
        <v>長野県安曇野市</v>
      </c>
      <c r="CM807" s="49">
        <v>802</v>
      </c>
      <c r="CN807" s="17" t="str">
        <f t="shared" si="48"/>
        <v>0859</v>
      </c>
      <c r="CO807" s="17" t="str">
        <f t="shared" si="50"/>
        <v>802859安曇野市</v>
      </c>
      <c r="CP807" s="17" t="s">
        <v>8359</v>
      </c>
      <c r="CQ807" s="17" t="b">
        <f t="shared" si="51"/>
        <v>1</v>
      </c>
    </row>
    <row r="808" spans="6:95">
      <c r="F808" s="23"/>
      <c r="I808" s="23"/>
      <c r="L808" s="50" t="s">
        <v>8360</v>
      </c>
      <c r="M808" s="17" t="s">
        <v>8361</v>
      </c>
      <c r="N808" s="51" t="s">
        <v>8362</v>
      </c>
      <c r="O808" s="29" t="s">
        <v>1456</v>
      </c>
      <c r="P808" s="29" t="s">
        <v>8363</v>
      </c>
      <c r="Q808" s="29" t="s">
        <v>1456</v>
      </c>
      <c r="R808" s="29" t="s">
        <v>1742</v>
      </c>
      <c r="S808" s="28" t="s">
        <v>2525</v>
      </c>
      <c r="T808" s="28" t="s">
        <v>1703</v>
      </c>
      <c r="U808" s="28" t="s">
        <v>1443</v>
      </c>
      <c r="V808" s="28" t="s">
        <v>1736</v>
      </c>
      <c r="W808" s="28" t="s">
        <v>8364</v>
      </c>
      <c r="X808" s="17">
        <v>1</v>
      </c>
      <c r="CJ808" s="26" t="s">
        <v>1397</v>
      </c>
      <c r="CK808" s="26" t="s">
        <v>2386</v>
      </c>
      <c r="CL808" s="26" t="str">
        <f t="shared" si="49"/>
        <v>長野県小海町</v>
      </c>
      <c r="CM808" s="49">
        <v>803</v>
      </c>
      <c r="CN808" s="17" t="str">
        <f t="shared" si="48"/>
        <v>0860</v>
      </c>
      <c r="CO808" s="17" t="str">
        <f t="shared" si="50"/>
        <v>803860小海町</v>
      </c>
      <c r="CP808" s="17" t="s">
        <v>8365</v>
      </c>
      <c r="CQ808" s="17" t="b">
        <f t="shared" si="51"/>
        <v>1</v>
      </c>
    </row>
    <row r="809" spans="6:95">
      <c r="F809" s="23"/>
      <c r="I809" s="23"/>
      <c r="L809" s="50" t="s">
        <v>8366</v>
      </c>
      <c r="M809" s="17" t="s">
        <v>8367</v>
      </c>
      <c r="N809" s="51" t="s">
        <v>8368</v>
      </c>
      <c r="O809" s="29" t="s">
        <v>1456</v>
      </c>
      <c r="P809" s="29" t="s">
        <v>8369</v>
      </c>
      <c r="Q809" s="29" t="s">
        <v>1456</v>
      </c>
      <c r="R809" s="29" t="s">
        <v>1802</v>
      </c>
      <c r="S809" s="28" t="s">
        <v>2311</v>
      </c>
      <c r="T809" s="28" t="s">
        <v>1762</v>
      </c>
      <c r="U809" s="28" t="s">
        <v>1443</v>
      </c>
      <c r="V809" s="28" t="s">
        <v>1736</v>
      </c>
      <c r="W809" s="28" t="s">
        <v>8370</v>
      </c>
      <c r="X809" s="17">
        <v>1</v>
      </c>
      <c r="CJ809" s="26" t="s">
        <v>1397</v>
      </c>
      <c r="CK809" s="26" t="s">
        <v>2441</v>
      </c>
      <c r="CL809" s="26" t="str">
        <f t="shared" si="49"/>
        <v>長野県川上村</v>
      </c>
      <c r="CM809" s="49">
        <v>804</v>
      </c>
      <c r="CN809" s="17" t="str">
        <f t="shared" si="48"/>
        <v>0861</v>
      </c>
      <c r="CO809" s="17" t="str">
        <f t="shared" si="50"/>
        <v>804861川上村</v>
      </c>
      <c r="CP809" s="17" t="s">
        <v>8371</v>
      </c>
      <c r="CQ809" s="17" t="b">
        <f t="shared" si="51"/>
        <v>1</v>
      </c>
    </row>
    <row r="810" spans="6:95">
      <c r="F810" s="23"/>
      <c r="I810" s="23"/>
      <c r="L810" s="50" t="s">
        <v>8372</v>
      </c>
      <c r="M810" s="17" t="s">
        <v>8373</v>
      </c>
      <c r="N810" s="51" t="s">
        <v>8374</v>
      </c>
      <c r="O810" s="29" t="s">
        <v>1456</v>
      </c>
      <c r="P810" s="29" t="s">
        <v>8375</v>
      </c>
      <c r="Q810" s="29" t="s">
        <v>1456</v>
      </c>
      <c r="R810" s="29" t="s">
        <v>1861</v>
      </c>
      <c r="S810" s="28" t="s">
        <v>1564</v>
      </c>
      <c r="T810" s="28" t="s">
        <v>1822</v>
      </c>
      <c r="U810" s="28" t="s">
        <v>1443</v>
      </c>
      <c r="V810" s="28" t="s">
        <v>1736</v>
      </c>
      <c r="W810" s="28" t="s">
        <v>8376</v>
      </c>
      <c r="X810" s="17">
        <v>1</v>
      </c>
      <c r="CJ810" s="26" t="s">
        <v>1397</v>
      </c>
      <c r="CK810" s="26" t="s">
        <v>2484</v>
      </c>
      <c r="CL810" s="26" t="str">
        <f t="shared" si="49"/>
        <v>長野県南牧村</v>
      </c>
      <c r="CM810" s="49">
        <v>805</v>
      </c>
      <c r="CN810" s="17" t="str">
        <f t="shared" si="48"/>
        <v>0862</v>
      </c>
      <c r="CO810" s="17" t="str">
        <f t="shared" si="50"/>
        <v>805862南牧村</v>
      </c>
      <c r="CP810" s="17" t="s">
        <v>8377</v>
      </c>
      <c r="CQ810" s="17" t="b">
        <f t="shared" si="51"/>
        <v>1</v>
      </c>
    </row>
    <row r="811" spans="6:95">
      <c r="F811" s="23"/>
      <c r="I811" s="23"/>
      <c r="L811" s="50" t="s">
        <v>8378</v>
      </c>
      <c r="M811" s="17" t="s">
        <v>8379</v>
      </c>
      <c r="N811" s="51" t="s">
        <v>8380</v>
      </c>
      <c r="O811" s="29" t="s">
        <v>1456</v>
      </c>
      <c r="P811" s="29" t="s">
        <v>8381</v>
      </c>
      <c r="Q811" s="29" t="s">
        <v>1456</v>
      </c>
      <c r="R811" s="29" t="s">
        <v>1976</v>
      </c>
      <c r="S811" s="28" t="s">
        <v>1502</v>
      </c>
      <c r="T811" s="28" t="s">
        <v>1881</v>
      </c>
      <c r="U811" s="28" t="s">
        <v>1443</v>
      </c>
      <c r="V811" s="28" t="s">
        <v>1736</v>
      </c>
      <c r="W811" s="28" t="s">
        <v>8382</v>
      </c>
      <c r="X811" s="17">
        <v>1</v>
      </c>
      <c r="CJ811" s="26" t="s">
        <v>1397</v>
      </c>
      <c r="CK811" s="26" t="s">
        <v>2544</v>
      </c>
      <c r="CL811" s="26" t="str">
        <f t="shared" si="49"/>
        <v>長野県南相木村</v>
      </c>
      <c r="CM811" s="49">
        <v>806</v>
      </c>
      <c r="CN811" s="17" t="str">
        <f t="shared" si="48"/>
        <v>0863</v>
      </c>
      <c r="CO811" s="17" t="str">
        <f t="shared" si="50"/>
        <v>806863南相木村</v>
      </c>
      <c r="CP811" s="17" t="s">
        <v>8383</v>
      </c>
      <c r="CQ811" s="17" t="b">
        <f t="shared" si="51"/>
        <v>1</v>
      </c>
    </row>
    <row r="812" spans="6:95">
      <c r="F812" s="23"/>
      <c r="I812" s="23"/>
      <c r="L812" s="50" t="s">
        <v>8384</v>
      </c>
      <c r="M812" s="17" t="s">
        <v>8385</v>
      </c>
      <c r="N812" s="51" t="s">
        <v>8386</v>
      </c>
      <c r="O812" s="29" t="s">
        <v>1456</v>
      </c>
      <c r="P812" s="29" t="s">
        <v>8387</v>
      </c>
      <c r="Q812" s="29" t="s">
        <v>1456</v>
      </c>
      <c r="R812" s="29" t="s">
        <v>4918</v>
      </c>
      <c r="S812" s="28" t="s">
        <v>1920</v>
      </c>
      <c r="T812" s="28" t="s">
        <v>1939</v>
      </c>
      <c r="U812" s="28" t="s">
        <v>1443</v>
      </c>
      <c r="V812" s="28" t="s">
        <v>1736</v>
      </c>
      <c r="W812" s="28" t="s">
        <v>8388</v>
      </c>
      <c r="X812" s="17">
        <v>1</v>
      </c>
      <c r="CJ812" s="26" t="s">
        <v>1397</v>
      </c>
      <c r="CK812" s="26" t="s">
        <v>2593</v>
      </c>
      <c r="CL812" s="26" t="str">
        <f t="shared" si="49"/>
        <v>長野県北相木村</v>
      </c>
      <c r="CM812" s="49">
        <v>807</v>
      </c>
      <c r="CN812" s="17" t="str">
        <f t="shared" si="48"/>
        <v>0864</v>
      </c>
      <c r="CO812" s="17" t="str">
        <f t="shared" si="50"/>
        <v>807864北相木村</v>
      </c>
      <c r="CP812" s="17" t="s">
        <v>8389</v>
      </c>
      <c r="CQ812" s="17" t="b">
        <f t="shared" si="51"/>
        <v>1</v>
      </c>
    </row>
    <row r="813" spans="6:95">
      <c r="F813" s="23"/>
      <c r="I813" s="23"/>
      <c r="L813" s="50" t="s">
        <v>8390</v>
      </c>
      <c r="M813" s="17" t="s">
        <v>8391</v>
      </c>
      <c r="N813" s="51" t="s">
        <v>8392</v>
      </c>
      <c r="O813" s="29" t="s">
        <v>1456</v>
      </c>
      <c r="P813" s="29" t="s">
        <v>8393</v>
      </c>
      <c r="Q813" s="29" t="s">
        <v>1456</v>
      </c>
      <c r="R813" s="29" t="s">
        <v>5614</v>
      </c>
      <c r="S813" s="28" t="s">
        <v>1803</v>
      </c>
      <c r="T813" s="28" t="s">
        <v>1996</v>
      </c>
      <c r="U813" s="28" t="s">
        <v>1443</v>
      </c>
      <c r="V813" s="28" t="s">
        <v>1736</v>
      </c>
      <c r="W813" s="28" t="s">
        <v>8393</v>
      </c>
      <c r="X813" s="17">
        <v>1</v>
      </c>
      <c r="CJ813" s="26" t="s">
        <v>1397</v>
      </c>
      <c r="CK813" s="26" t="s">
        <v>2640</v>
      </c>
      <c r="CL813" s="26" t="str">
        <f t="shared" si="49"/>
        <v>長野県佐久穂町</v>
      </c>
      <c r="CM813" s="49">
        <v>808</v>
      </c>
      <c r="CN813" s="17" t="str">
        <f t="shared" si="48"/>
        <v>0865</v>
      </c>
      <c r="CO813" s="17" t="str">
        <f t="shared" si="50"/>
        <v>808865佐久穂町</v>
      </c>
      <c r="CP813" s="17" t="s">
        <v>8394</v>
      </c>
      <c r="CQ813" s="17" t="b">
        <f t="shared" si="51"/>
        <v>1</v>
      </c>
    </row>
    <row r="814" spans="6:95">
      <c r="F814" s="23"/>
      <c r="I814" s="23"/>
      <c r="L814" s="50" t="s">
        <v>8395</v>
      </c>
      <c r="M814" s="17" t="s">
        <v>8396</v>
      </c>
      <c r="N814" s="51" t="s">
        <v>8397</v>
      </c>
      <c r="O814" s="29" t="s">
        <v>1456</v>
      </c>
      <c r="P814" s="29" t="s">
        <v>8398</v>
      </c>
      <c r="Q814" s="29" t="s">
        <v>1456</v>
      </c>
      <c r="R814" s="29" t="s">
        <v>4523</v>
      </c>
      <c r="S814" s="28" t="s">
        <v>1743</v>
      </c>
      <c r="T814" s="28" t="s">
        <v>2052</v>
      </c>
      <c r="U814" s="28" t="s">
        <v>1443</v>
      </c>
      <c r="V814" s="28" t="s">
        <v>1736</v>
      </c>
      <c r="W814" s="28" t="s">
        <v>8399</v>
      </c>
      <c r="X814" s="17">
        <v>1</v>
      </c>
      <c r="CJ814" s="26" t="s">
        <v>1397</v>
      </c>
      <c r="CK814" s="26" t="s">
        <v>2686</v>
      </c>
      <c r="CL814" s="26" t="str">
        <f t="shared" si="49"/>
        <v>長野県軽井沢町</v>
      </c>
      <c r="CM814" s="49">
        <v>809</v>
      </c>
      <c r="CN814" s="17" t="str">
        <f t="shared" si="48"/>
        <v>0866</v>
      </c>
      <c r="CO814" s="17" t="str">
        <f t="shared" si="50"/>
        <v>809866軽井沢町</v>
      </c>
      <c r="CP814" s="17" t="s">
        <v>8400</v>
      </c>
      <c r="CQ814" s="17" t="b">
        <f t="shared" si="51"/>
        <v>1</v>
      </c>
    </row>
    <row r="815" spans="6:95">
      <c r="F815" s="23"/>
      <c r="I815" s="23"/>
      <c r="L815" s="50" t="s">
        <v>8401</v>
      </c>
      <c r="M815" s="17" t="s">
        <v>8402</v>
      </c>
      <c r="N815" s="51" t="s">
        <v>8403</v>
      </c>
      <c r="O815" s="29" t="s">
        <v>1456</v>
      </c>
      <c r="P815" s="29" t="s">
        <v>8404</v>
      </c>
      <c r="Q815" s="29" t="s">
        <v>1456</v>
      </c>
      <c r="R815" s="29" t="s">
        <v>3539</v>
      </c>
      <c r="S815" s="28" t="s">
        <v>1743</v>
      </c>
      <c r="T815" s="28" t="s">
        <v>2108</v>
      </c>
      <c r="U815" s="28" t="s">
        <v>1443</v>
      </c>
      <c r="V815" s="28" t="s">
        <v>1736</v>
      </c>
      <c r="W815" s="28" t="s">
        <v>8405</v>
      </c>
      <c r="X815" s="17">
        <v>1</v>
      </c>
      <c r="CJ815" s="26" t="s">
        <v>1397</v>
      </c>
      <c r="CK815" s="26" t="s">
        <v>2732</v>
      </c>
      <c r="CL815" s="26" t="str">
        <f t="shared" si="49"/>
        <v>長野県御代田町</v>
      </c>
      <c r="CM815" s="49">
        <v>810</v>
      </c>
      <c r="CN815" s="17" t="str">
        <f t="shared" si="48"/>
        <v>0867</v>
      </c>
      <c r="CO815" s="17" t="str">
        <f t="shared" si="50"/>
        <v>810867御代田町</v>
      </c>
      <c r="CP815" s="17" t="s">
        <v>8406</v>
      </c>
      <c r="CQ815" s="17" t="b">
        <f t="shared" si="51"/>
        <v>1</v>
      </c>
    </row>
    <row r="816" spans="6:95">
      <c r="F816" s="23"/>
      <c r="I816" s="23"/>
      <c r="L816" s="50" t="s">
        <v>8407</v>
      </c>
      <c r="M816" s="17" t="s">
        <v>8408</v>
      </c>
      <c r="N816" s="51" t="s">
        <v>8409</v>
      </c>
      <c r="O816" s="29" t="s">
        <v>1456</v>
      </c>
      <c r="P816" s="29" t="s">
        <v>8410</v>
      </c>
      <c r="Q816" s="29" t="s">
        <v>1456</v>
      </c>
      <c r="R816" s="29" t="s">
        <v>4812</v>
      </c>
      <c r="S816" s="28" t="s">
        <v>1743</v>
      </c>
      <c r="T816" s="28" t="s">
        <v>2164</v>
      </c>
      <c r="U816" s="28" t="s">
        <v>1443</v>
      </c>
      <c r="V816" s="28" t="s">
        <v>1736</v>
      </c>
      <c r="W816" s="28" t="s">
        <v>8411</v>
      </c>
      <c r="X816" s="17">
        <v>1</v>
      </c>
      <c r="CJ816" s="26" t="s">
        <v>1397</v>
      </c>
      <c r="CK816" s="26" t="s">
        <v>2776</v>
      </c>
      <c r="CL816" s="26" t="str">
        <f t="shared" si="49"/>
        <v>長野県立科町</v>
      </c>
      <c r="CM816" s="49">
        <v>811</v>
      </c>
      <c r="CN816" s="17" t="str">
        <f t="shared" si="48"/>
        <v>0868</v>
      </c>
      <c r="CO816" s="17" t="str">
        <f t="shared" si="50"/>
        <v>811868立科町</v>
      </c>
      <c r="CP816" s="17" t="s">
        <v>8412</v>
      </c>
      <c r="CQ816" s="17" t="b">
        <f t="shared" si="51"/>
        <v>1</v>
      </c>
    </row>
    <row r="817" spans="6:95">
      <c r="F817" s="23"/>
      <c r="I817" s="23"/>
      <c r="L817" s="50" t="s">
        <v>8413</v>
      </c>
      <c r="M817" s="17" t="s">
        <v>8414</v>
      </c>
      <c r="N817" s="51" t="s">
        <v>8415</v>
      </c>
      <c r="O817" s="29" t="s">
        <v>1456</v>
      </c>
      <c r="P817" s="29" t="s">
        <v>8416</v>
      </c>
      <c r="Q817" s="29" t="s">
        <v>1456</v>
      </c>
      <c r="R817" s="29" t="s">
        <v>3786</v>
      </c>
      <c r="S817" s="28" t="s">
        <v>1803</v>
      </c>
      <c r="T817" s="28" t="s">
        <v>2219</v>
      </c>
      <c r="U817" s="28" t="s">
        <v>1443</v>
      </c>
      <c r="V817" s="28" t="s">
        <v>1736</v>
      </c>
      <c r="W817" s="28" t="s">
        <v>8417</v>
      </c>
      <c r="X817" s="17">
        <v>1</v>
      </c>
      <c r="CJ817" s="26" t="s">
        <v>1397</v>
      </c>
      <c r="CK817" s="26" t="s">
        <v>2818</v>
      </c>
      <c r="CL817" s="26" t="str">
        <f t="shared" si="49"/>
        <v>長野県青木村</v>
      </c>
      <c r="CM817" s="49">
        <v>812</v>
      </c>
      <c r="CN817" s="17" t="str">
        <f t="shared" si="48"/>
        <v>0869</v>
      </c>
      <c r="CO817" s="17" t="str">
        <f t="shared" si="50"/>
        <v>812869青木村</v>
      </c>
      <c r="CP817" s="17" t="s">
        <v>8418</v>
      </c>
      <c r="CQ817" s="17" t="b">
        <f t="shared" si="51"/>
        <v>1</v>
      </c>
    </row>
    <row r="818" spans="6:95">
      <c r="F818" s="23"/>
      <c r="I818" s="23"/>
      <c r="L818" s="50" t="s">
        <v>8419</v>
      </c>
      <c r="M818" s="17" t="s">
        <v>8420</v>
      </c>
      <c r="N818" s="51" t="s">
        <v>8421</v>
      </c>
      <c r="O818" s="29" t="s">
        <v>1456</v>
      </c>
      <c r="P818" s="29" t="s">
        <v>8422</v>
      </c>
      <c r="Q818" s="29" t="s">
        <v>1456</v>
      </c>
      <c r="R818" s="29" t="s">
        <v>3802</v>
      </c>
      <c r="S818" s="28" t="s">
        <v>1920</v>
      </c>
      <c r="T818" s="28" t="s">
        <v>2274</v>
      </c>
      <c r="U818" s="28" t="s">
        <v>1443</v>
      </c>
      <c r="V818" s="28" t="s">
        <v>1736</v>
      </c>
      <c r="W818" s="28" t="s">
        <v>8423</v>
      </c>
      <c r="X818" s="17">
        <v>1</v>
      </c>
      <c r="CJ818" s="26" t="s">
        <v>1397</v>
      </c>
      <c r="CK818" s="26" t="s">
        <v>2858</v>
      </c>
      <c r="CL818" s="26" t="str">
        <f t="shared" si="49"/>
        <v>長野県長和町</v>
      </c>
      <c r="CM818" s="49">
        <v>813</v>
      </c>
      <c r="CN818" s="17" t="str">
        <f t="shared" si="48"/>
        <v>0870</v>
      </c>
      <c r="CO818" s="17" t="str">
        <f t="shared" si="50"/>
        <v>813870長和町</v>
      </c>
      <c r="CP818" s="17" t="s">
        <v>8424</v>
      </c>
      <c r="CQ818" s="17" t="b">
        <f t="shared" si="51"/>
        <v>1</v>
      </c>
    </row>
    <row r="819" spans="6:95">
      <c r="F819" s="23"/>
      <c r="I819" s="23"/>
      <c r="L819" s="50" t="s">
        <v>8425</v>
      </c>
      <c r="M819" s="17" t="s">
        <v>8426</v>
      </c>
      <c r="N819" s="51" t="s">
        <v>8427</v>
      </c>
      <c r="O819" s="29" t="s">
        <v>1456</v>
      </c>
      <c r="P819" s="29" t="s">
        <v>8428</v>
      </c>
      <c r="Q819" s="29" t="s">
        <v>1456</v>
      </c>
      <c r="R819" s="29" t="s">
        <v>4984</v>
      </c>
      <c r="S819" s="28" t="s">
        <v>1502</v>
      </c>
      <c r="T819" s="28" t="s">
        <v>2330</v>
      </c>
      <c r="U819" s="28" t="s">
        <v>1443</v>
      </c>
      <c r="V819" s="28" t="s">
        <v>1736</v>
      </c>
      <c r="W819" s="28" t="s">
        <v>8429</v>
      </c>
      <c r="X819" s="17">
        <v>1</v>
      </c>
      <c r="CJ819" s="26" t="s">
        <v>1397</v>
      </c>
      <c r="CK819" s="26" t="s">
        <v>2897</v>
      </c>
      <c r="CL819" s="26" t="str">
        <f t="shared" si="49"/>
        <v>長野県辰野町</v>
      </c>
      <c r="CM819" s="49">
        <v>814</v>
      </c>
      <c r="CN819" s="17" t="str">
        <f t="shared" si="48"/>
        <v>0871</v>
      </c>
      <c r="CO819" s="17" t="str">
        <f t="shared" si="50"/>
        <v>814871辰野町</v>
      </c>
      <c r="CP819" s="17" t="s">
        <v>8430</v>
      </c>
      <c r="CQ819" s="17" t="b">
        <f t="shared" si="51"/>
        <v>1</v>
      </c>
    </row>
    <row r="820" spans="6:95">
      <c r="F820" s="23"/>
      <c r="I820" s="23"/>
      <c r="L820" s="50" t="s">
        <v>8431</v>
      </c>
      <c r="M820" s="17" t="s">
        <v>8432</v>
      </c>
      <c r="N820" s="51" t="s">
        <v>8433</v>
      </c>
      <c r="O820" s="29" t="s">
        <v>1456</v>
      </c>
      <c r="P820" s="29" t="s">
        <v>8434</v>
      </c>
      <c r="Q820" s="29" t="s">
        <v>1456</v>
      </c>
      <c r="R820" s="29" t="s">
        <v>8435</v>
      </c>
      <c r="S820" s="28" t="s">
        <v>1803</v>
      </c>
      <c r="T820" s="28" t="s">
        <v>2384</v>
      </c>
      <c r="U820" s="28" t="s">
        <v>1443</v>
      </c>
      <c r="V820" s="28" t="s">
        <v>1736</v>
      </c>
      <c r="W820" s="28" t="s">
        <v>8436</v>
      </c>
      <c r="X820" s="17">
        <v>1</v>
      </c>
      <c r="CJ820" s="26" t="s">
        <v>1397</v>
      </c>
      <c r="CK820" s="26" t="s">
        <v>2933</v>
      </c>
      <c r="CL820" s="26" t="str">
        <f t="shared" si="49"/>
        <v>長野県箕輪町</v>
      </c>
      <c r="CM820" s="49">
        <v>815</v>
      </c>
      <c r="CN820" s="17" t="str">
        <f t="shared" si="48"/>
        <v>0872</v>
      </c>
      <c r="CO820" s="17" t="str">
        <f t="shared" si="50"/>
        <v>815872箕輪町</v>
      </c>
      <c r="CP820" s="17" t="s">
        <v>8437</v>
      </c>
      <c r="CQ820" s="17" t="b">
        <f t="shared" si="51"/>
        <v>1</v>
      </c>
    </row>
    <row r="821" spans="6:95">
      <c r="F821" s="23"/>
      <c r="I821" s="23"/>
      <c r="L821" s="50" t="s">
        <v>8438</v>
      </c>
      <c r="M821" s="17" t="s">
        <v>8439</v>
      </c>
      <c r="N821" s="51" t="s">
        <v>8440</v>
      </c>
      <c r="O821" s="29" t="s">
        <v>1456</v>
      </c>
      <c r="P821" s="29" t="s">
        <v>8441</v>
      </c>
      <c r="Q821" s="29" t="s">
        <v>1456</v>
      </c>
      <c r="R821" s="29" t="s">
        <v>1919</v>
      </c>
      <c r="S821" s="28" t="s">
        <v>1626</v>
      </c>
      <c r="T821" s="28" t="s">
        <v>2439</v>
      </c>
      <c r="U821" s="28" t="s">
        <v>1443</v>
      </c>
      <c r="V821" s="28" t="s">
        <v>1736</v>
      </c>
      <c r="W821" s="28" t="s">
        <v>8442</v>
      </c>
      <c r="X821" s="17">
        <v>2</v>
      </c>
      <c r="CJ821" s="26" t="s">
        <v>1397</v>
      </c>
      <c r="CK821" s="26" t="s">
        <v>2966</v>
      </c>
      <c r="CL821" s="26" t="str">
        <f t="shared" si="49"/>
        <v>長野県飯島町</v>
      </c>
      <c r="CM821" s="49">
        <v>816</v>
      </c>
      <c r="CN821" s="17" t="str">
        <f t="shared" si="48"/>
        <v>0873</v>
      </c>
      <c r="CO821" s="17" t="str">
        <f t="shared" si="50"/>
        <v>816873飯島町</v>
      </c>
      <c r="CP821" s="17" t="s">
        <v>8443</v>
      </c>
      <c r="CQ821" s="17" t="b">
        <f t="shared" si="51"/>
        <v>1</v>
      </c>
    </row>
    <row r="822" spans="6:95">
      <c r="F822" s="23"/>
      <c r="I822" s="23"/>
      <c r="L822" s="50" t="s">
        <v>8444</v>
      </c>
      <c r="M822" s="17" t="s">
        <v>8445</v>
      </c>
      <c r="N822" s="51" t="s">
        <v>8446</v>
      </c>
      <c r="O822" s="29" t="s">
        <v>1456</v>
      </c>
      <c r="P822" s="29" t="s">
        <v>8447</v>
      </c>
      <c r="Q822" s="29" t="s">
        <v>1456</v>
      </c>
      <c r="R822" s="29" t="s">
        <v>2033</v>
      </c>
      <c r="S822" s="28" t="s">
        <v>2525</v>
      </c>
      <c r="T822" s="28" t="s">
        <v>2491</v>
      </c>
      <c r="U822" s="28" t="s">
        <v>1443</v>
      </c>
      <c r="V822" s="28" t="s">
        <v>1736</v>
      </c>
      <c r="W822" s="28" t="s">
        <v>8448</v>
      </c>
      <c r="X822" s="17">
        <v>3</v>
      </c>
      <c r="CJ822" s="26" t="s">
        <v>1397</v>
      </c>
      <c r="CK822" s="26" t="s">
        <v>3000</v>
      </c>
      <c r="CL822" s="26" t="str">
        <f t="shared" si="49"/>
        <v>長野県南箕輪村</v>
      </c>
      <c r="CM822" s="49">
        <v>817</v>
      </c>
      <c r="CN822" s="17" t="str">
        <f t="shared" si="48"/>
        <v>0874</v>
      </c>
      <c r="CO822" s="17" t="str">
        <f t="shared" si="50"/>
        <v>817874南箕輪村</v>
      </c>
      <c r="CP822" s="17" t="s">
        <v>8449</v>
      </c>
      <c r="CQ822" s="17" t="b">
        <f t="shared" si="51"/>
        <v>1</v>
      </c>
    </row>
    <row r="823" spans="6:95">
      <c r="F823" s="23"/>
      <c r="I823" s="23"/>
      <c r="L823" s="50" t="s">
        <v>8450</v>
      </c>
      <c r="M823" s="17" t="s">
        <v>8451</v>
      </c>
      <c r="N823" s="51" t="s">
        <v>8452</v>
      </c>
      <c r="O823" s="29" t="s">
        <v>1457</v>
      </c>
      <c r="P823" s="29" t="s">
        <v>8453</v>
      </c>
      <c r="Q823" s="29" t="s">
        <v>1457</v>
      </c>
      <c r="R823" s="29" t="s">
        <v>4593</v>
      </c>
      <c r="S823" s="28" t="s">
        <v>2311</v>
      </c>
      <c r="T823" s="28" t="s">
        <v>1522</v>
      </c>
      <c r="U823" s="28" t="s">
        <v>1441</v>
      </c>
      <c r="V823" s="28" t="s">
        <v>1619</v>
      </c>
      <c r="W823" s="28" t="s">
        <v>8454</v>
      </c>
      <c r="X823" s="17">
        <v>1</v>
      </c>
      <c r="CJ823" s="26" t="s">
        <v>1397</v>
      </c>
      <c r="CK823" s="26" t="s">
        <v>3033</v>
      </c>
      <c r="CL823" s="26" t="str">
        <f t="shared" si="49"/>
        <v>長野県中川村</v>
      </c>
      <c r="CM823" s="49">
        <v>818</v>
      </c>
      <c r="CN823" s="17" t="str">
        <f t="shared" si="48"/>
        <v>0875</v>
      </c>
      <c r="CO823" s="17" t="str">
        <f t="shared" si="50"/>
        <v>818875中川村</v>
      </c>
      <c r="CP823" s="17" t="s">
        <v>8455</v>
      </c>
      <c r="CQ823" s="17" t="b">
        <f t="shared" si="51"/>
        <v>1</v>
      </c>
    </row>
    <row r="824" spans="6:95">
      <c r="F824" s="23"/>
      <c r="I824" s="23"/>
      <c r="L824" s="50" t="s">
        <v>8456</v>
      </c>
      <c r="M824" s="17" t="s">
        <v>8457</v>
      </c>
      <c r="N824" s="51" t="s">
        <v>8458</v>
      </c>
      <c r="O824" s="29" t="s">
        <v>1457</v>
      </c>
      <c r="P824" s="29" t="s">
        <v>8459</v>
      </c>
      <c r="Q824" s="29" t="s">
        <v>1457</v>
      </c>
      <c r="R824" s="29" t="s">
        <v>1563</v>
      </c>
      <c r="S824" s="28" t="s">
        <v>1564</v>
      </c>
      <c r="T824" s="28" t="s">
        <v>1584</v>
      </c>
      <c r="U824" s="28" t="s">
        <v>1441</v>
      </c>
      <c r="V824" s="28" t="s">
        <v>1619</v>
      </c>
      <c r="W824" s="28" t="s">
        <v>8460</v>
      </c>
      <c r="X824" s="17">
        <v>1</v>
      </c>
      <c r="CJ824" s="26" t="s">
        <v>1397</v>
      </c>
      <c r="CK824" s="26" t="s">
        <v>3064</v>
      </c>
      <c r="CL824" s="26" t="str">
        <f t="shared" si="49"/>
        <v>長野県宮田村</v>
      </c>
      <c r="CM824" s="49">
        <v>819</v>
      </c>
      <c r="CN824" s="17" t="str">
        <f t="shared" si="48"/>
        <v>0876</v>
      </c>
      <c r="CO824" s="17" t="str">
        <f t="shared" si="50"/>
        <v>819876宮田村</v>
      </c>
      <c r="CP824" s="17" t="s">
        <v>8461</v>
      </c>
      <c r="CQ824" s="17" t="b">
        <f t="shared" si="51"/>
        <v>1</v>
      </c>
    </row>
    <row r="825" spans="6:95">
      <c r="F825" s="23"/>
      <c r="I825" s="23"/>
      <c r="L825" s="50" t="s">
        <v>8462</v>
      </c>
      <c r="M825" s="17" t="s">
        <v>8463</v>
      </c>
      <c r="N825" s="51" t="s">
        <v>8464</v>
      </c>
      <c r="O825" s="29" t="s">
        <v>1457</v>
      </c>
      <c r="P825" s="29" t="s">
        <v>8465</v>
      </c>
      <c r="Q825" s="29" t="s">
        <v>1457</v>
      </c>
      <c r="R825" s="29" t="s">
        <v>1684</v>
      </c>
      <c r="S825" s="28" t="s">
        <v>1502</v>
      </c>
      <c r="T825" s="28" t="s">
        <v>1646</v>
      </c>
      <c r="U825" s="28" t="s">
        <v>1441</v>
      </c>
      <c r="V825" s="28" t="s">
        <v>1619</v>
      </c>
      <c r="W825" s="28" t="s">
        <v>8466</v>
      </c>
      <c r="X825" s="17">
        <v>1</v>
      </c>
      <c r="CJ825" s="26" t="s">
        <v>1397</v>
      </c>
      <c r="CK825" s="26" t="s">
        <v>3094</v>
      </c>
      <c r="CL825" s="26" t="str">
        <f t="shared" si="49"/>
        <v>長野県松川町</v>
      </c>
      <c r="CM825" s="49">
        <v>820</v>
      </c>
      <c r="CN825" s="17" t="str">
        <f t="shared" si="48"/>
        <v>0877</v>
      </c>
      <c r="CO825" s="17" t="str">
        <f t="shared" si="50"/>
        <v>820877松川町</v>
      </c>
      <c r="CP825" s="17" t="s">
        <v>8467</v>
      </c>
      <c r="CQ825" s="17" t="b">
        <f t="shared" si="51"/>
        <v>1</v>
      </c>
    </row>
    <row r="826" spans="6:95">
      <c r="F826" s="23"/>
      <c r="I826" s="23"/>
      <c r="L826" s="50" t="s">
        <v>8468</v>
      </c>
      <c r="M826" s="17" t="s">
        <v>8469</v>
      </c>
      <c r="N826" s="51" t="s">
        <v>8470</v>
      </c>
      <c r="O826" s="29" t="s">
        <v>1457</v>
      </c>
      <c r="P826" s="29" t="s">
        <v>8471</v>
      </c>
      <c r="Q826" s="29" t="s">
        <v>1457</v>
      </c>
      <c r="R826" s="29" t="s">
        <v>1742</v>
      </c>
      <c r="S826" s="28" t="s">
        <v>1743</v>
      </c>
      <c r="T826" s="28" t="s">
        <v>1704</v>
      </c>
      <c r="U826" s="28" t="s">
        <v>1441</v>
      </c>
      <c r="V826" s="28" t="s">
        <v>1619</v>
      </c>
      <c r="W826" s="28" t="s">
        <v>8472</v>
      </c>
      <c r="X826" s="17">
        <v>1</v>
      </c>
      <c r="CJ826" s="26" t="s">
        <v>1397</v>
      </c>
      <c r="CK826" s="26" t="s">
        <v>2832</v>
      </c>
      <c r="CL826" s="26" t="str">
        <f t="shared" si="49"/>
        <v>長野県高森町</v>
      </c>
      <c r="CM826" s="49">
        <v>821</v>
      </c>
      <c r="CN826" s="17" t="str">
        <f t="shared" si="48"/>
        <v>0878</v>
      </c>
      <c r="CO826" s="17" t="str">
        <f t="shared" si="50"/>
        <v>821878高森町</v>
      </c>
      <c r="CP826" s="17" t="s">
        <v>8473</v>
      </c>
      <c r="CQ826" s="17" t="b">
        <f t="shared" si="51"/>
        <v>1</v>
      </c>
    </row>
    <row r="827" spans="6:95">
      <c r="F827" s="23"/>
      <c r="I827" s="23"/>
      <c r="L827" s="50" t="s">
        <v>8474</v>
      </c>
      <c r="M827" s="17" t="s">
        <v>8475</v>
      </c>
      <c r="N827" s="51" t="s">
        <v>8476</v>
      </c>
      <c r="O827" s="29" t="s">
        <v>1457</v>
      </c>
      <c r="P827" s="29" t="s">
        <v>8477</v>
      </c>
      <c r="Q827" s="29" t="s">
        <v>1457</v>
      </c>
      <c r="R827" s="29" t="s">
        <v>1802</v>
      </c>
      <c r="S827" s="28" t="s">
        <v>1803</v>
      </c>
      <c r="T827" s="28" t="s">
        <v>1763</v>
      </c>
      <c r="U827" s="28" t="s">
        <v>1441</v>
      </c>
      <c r="V827" s="28" t="s">
        <v>1619</v>
      </c>
      <c r="W827" s="28" t="s">
        <v>8478</v>
      </c>
      <c r="X827" s="17">
        <v>1</v>
      </c>
      <c r="CJ827" s="26" t="s">
        <v>1397</v>
      </c>
      <c r="CK827" s="26" t="s">
        <v>3155</v>
      </c>
      <c r="CL827" s="26" t="str">
        <f t="shared" si="49"/>
        <v>長野県阿南町</v>
      </c>
      <c r="CM827" s="49">
        <v>822</v>
      </c>
      <c r="CN827" s="17" t="str">
        <f t="shared" si="48"/>
        <v>0879</v>
      </c>
      <c r="CO827" s="17" t="str">
        <f t="shared" si="50"/>
        <v>822879阿南町</v>
      </c>
      <c r="CP827" s="17" t="s">
        <v>8479</v>
      </c>
      <c r="CQ827" s="17" t="b">
        <f t="shared" si="51"/>
        <v>1</v>
      </c>
    </row>
    <row r="828" spans="6:95">
      <c r="F828" s="23"/>
      <c r="I828" s="23"/>
      <c r="L828" s="50" t="s">
        <v>8480</v>
      </c>
      <c r="M828" s="17" t="s">
        <v>8481</v>
      </c>
      <c r="N828" s="51" t="s">
        <v>8482</v>
      </c>
      <c r="O828" s="29" t="s">
        <v>1457</v>
      </c>
      <c r="P828" s="29" t="s">
        <v>8483</v>
      </c>
      <c r="Q828" s="29" t="s">
        <v>1457</v>
      </c>
      <c r="R828" s="29" t="s">
        <v>1861</v>
      </c>
      <c r="S828" s="28" t="s">
        <v>1862</v>
      </c>
      <c r="T828" s="28" t="s">
        <v>1823</v>
      </c>
      <c r="U828" s="28" t="s">
        <v>1441</v>
      </c>
      <c r="V828" s="28" t="s">
        <v>1619</v>
      </c>
      <c r="W828" s="28" t="s">
        <v>8484</v>
      </c>
      <c r="X828" s="17">
        <v>1</v>
      </c>
      <c r="CJ828" s="26" t="s">
        <v>1397</v>
      </c>
      <c r="CK828" s="26" t="s">
        <v>3183</v>
      </c>
      <c r="CL828" s="26" t="str">
        <f t="shared" si="49"/>
        <v>長野県阿智村</v>
      </c>
      <c r="CM828" s="49">
        <v>823</v>
      </c>
      <c r="CN828" s="17" t="str">
        <f t="shared" si="48"/>
        <v>0880</v>
      </c>
      <c r="CO828" s="17" t="str">
        <f t="shared" si="50"/>
        <v>823880阿智村</v>
      </c>
      <c r="CP828" s="17" t="s">
        <v>8485</v>
      </c>
      <c r="CQ828" s="17" t="b">
        <f t="shared" si="51"/>
        <v>1</v>
      </c>
    </row>
    <row r="829" spans="6:95">
      <c r="F829" s="23"/>
      <c r="I829" s="23"/>
      <c r="L829" s="50" t="s">
        <v>8486</v>
      </c>
      <c r="M829" s="17" t="s">
        <v>8487</v>
      </c>
      <c r="N829" s="51" t="s">
        <v>8488</v>
      </c>
      <c r="O829" s="29" t="s">
        <v>1457</v>
      </c>
      <c r="P829" s="29" t="s">
        <v>8489</v>
      </c>
      <c r="Q829" s="29" t="s">
        <v>1457</v>
      </c>
      <c r="R829" s="29" t="s">
        <v>1919</v>
      </c>
      <c r="S829" s="28" t="s">
        <v>1920</v>
      </c>
      <c r="T829" s="28" t="s">
        <v>1882</v>
      </c>
      <c r="U829" s="28" t="s">
        <v>1441</v>
      </c>
      <c r="V829" s="28" t="s">
        <v>1619</v>
      </c>
      <c r="W829" s="28" t="s">
        <v>8490</v>
      </c>
      <c r="X829" s="17">
        <v>1</v>
      </c>
      <c r="CJ829" s="26" t="s">
        <v>1397</v>
      </c>
      <c r="CK829" s="26" t="s">
        <v>3208</v>
      </c>
      <c r="CL829" s="26" t="str">
        <f t="shared" si="49"/>
        <v>長野県平谷村</v>
      </c>
      <c r="CM829" s="49">
        <v>824</v>
      </c>
      <c r="CN829" s="17" t="str">
        <f t="shared" si="48"/>
        <v>0881</v>
      </c>
      <c r="CO829" s="17" t="str">
        <f t="shared" si="50"/>
        <v>824881平谷村</v>
      </c>
      <c r="CP829" s="17" t="s">
        <v>8491</v>
      </c>
      <c r="CQ829" s="17" t="b">
        <f t="shared" si="51"/>
        <v>1</v>
      </c>
    </row>
    <row r="830" spans="6:95">
      <c r="F830" s="23"/>
      <c r="I830" s="23"/>
      <c r="L830" s="50" t="s">
        <v>8492</v>
      </c>
      <c r="M830" s="17" t="s">
        <v>8493</v>
      </c>
      <c r="N830" s="51" t="s">
        <v>8494</v>
      </c>
      <c r="O830" s="29" t="s">
        <v>1457</v>
      </c>
      <c r="P830" s="29" t="s">
        <v>8495</v>
      </c>
      <c r="Q830" s="29" t="s">
        <v>1457</v>
      </c>
      <c r="R830" s="29" t="s">
        <v>1976</v>
      </c>
      <c r="S830" s="28" t="s">
        <v>1977</v>
      </c>
      <c r="T830" s="28" t="s">
        <v>1940</v>
      </c>
      <c r="U830" s="28" t="s">
        <v>1441</v>
      </c>
      <c r="V830" s="28" t="s">
        <v>1619</v>
      </c>
      <c r="W830" s="28" t="s">
        <v>8496</v>
      </c>
      <c r="X830" s="17">
        <v>1</v>
      </c>
      <c r="CJ830" s="26" t="s">
        <v>1397</v>
      </c>
      <c r="CK830" s="26" t="s">
        <v>3232</v>
      </c>
      <c r="CL830" s="26" t="str">
        <f t="shared" si="49"/>
        <v>長野県根羽村</v>
      </c>
      <c r="CM830" s="49">
        <v>825</v>
      </c>
      <c r="CN830" s="17" t="str">
        <f t="shared" si="48"/>
        <v>0882</v>
      </c>
      <c r="CO830" s="17" t="str">
        <f t="shared" si="50"/>
        <v>825882根羽村</v>
      </c>
      <c r="CP830" s="17" t="s">
        <v>8497</v>
      </c>
      <c r="CQ830" s="17" t="b">
        <f t="shared" si="51"/>
        <v>1</v>
      </c>
    </row>
    <row r="831" spans="6:95">
      <c r="F831" s="23"/>
      <c r="I831" s="23"/>
      <c r="L831" s="50" t="s">
        <v>8498</v>
      </c>
      <c r="M831" s="17" t="s">
        <v>8499</v>
      </c>
      <c r="N831" s="51" t="s">
        <v>8500</v>
      </c>
      <c r="O831" s="29" t="s">
        <v>1457</v>
      </c>
      <c r="P831" s="29" t="s">
        <v>8501</v>
      </c>
      <c r="Q831" s="29" t="s">
        <v>1457</v>
      </c>
      <c r="R831" s="29" t="s">
        <v>2033</v>
      </c>
      <c r="S831" s="28" t="s">
        <v>1743</v>
      </c>
      <c r="T831" s="28" t="s">
        <v>1997</v>
      </c>
      <c r="U831" s="28" t="s">
        <v>1441</v>
      </c>
      <c r="V831" s="28" t="s">
        <v>1619</v>
      </c>
      <c r="W831" s="28" t="s">
        <v>8501</v>
      </c>
      <c r="X831" s="17">
        <v>1</v>
      </c>
      <c r="CJ831" s="26" t="s">
        <v>1397</v>
      </c>
      <c r="CK831" s="26" t="s">
        <v>3255</v>
      </c>
      <c r="CL831" s="26" t="str">
        <f t="shared" si="49"/>
        <v>長野県下條村</v>
      </c>
      <c r="CM831" s="49">
        <v>826</v>
      </c>
      <c r="CN831" s="17" t="str">
        <f t="shared" si="48"/>
        <v>0883</v>
      </c>
      <c r="CO831" s="17" t="str">
        <f t="shared" si="50"/>
        <v>826883下條村</v>
      </c>
      <c r="CP831" s="17" t="s">
        <v>8502</v>
      </c>
      <c r="CQ831" s="17" t="b">
        <f t="shared" si="51"/>
        <v>1</v>
      </c>
    </row>
    <row r="832" spans="6:95">
      <c r="F832" s="23"/>
      <c r="I832" s="23"/>
      <c r="L832" s="50" t="s">
        <v>8503</v>
      </c>
      <c r="M832" s="17" t="s">
        <v>8504</v>
      </c>
      <c r="N832" s="51" t="s">
        <v>8505</v>
      </c>
      <c r="O832" s="29" t="s">
        <v>1457</v>
      </c>
      <c r="P832" s="29" t="s">
        <v>8506</v>
      </c>
      <c r="Q832" s="29" t="s">
        <v>1457</v>
      </c>
      <c r="R832" s="29" t="s">
        <v>2089</v>
      </c>
      <c r="S832" s="28" t="s">
        <v>1803</v>
      </c>
      <c r="T832" s="28" t="s">
        <v>2053</v>
      </c>
      <c r="U832" s="28" t="s">
        <v>1441</v>
      </c>
      <c r="V832" s="28" t="s">
        <v>1619</v>
      </c>
      <c r="W832" s="28" t="s">
        <v>8506</v>
      </c>
      <c r="X832" s="17">
        <v>1</v>
      </c>
      <c r="CJ832" s="26" t="s">
        <v>1397</v>
      </c>
      <c r="CK832" s="26" t="s">
        <v>3280</v>
      </c>
      <c r="CL832" s="26" t="str">
        <f t="shared" si="49"/>
        <v>長野県売木村</v>
      </c>
      <c r="CM832" s="49">
        <v>827</v>
      </c>
      <c r="CN832" s="17" t="str">
        <f t="shared" si="48"/>
        <v>0884</v>
      </c>
      <c r="CO832" s="17" t="str">
        <f t="shared" si="50"/>
        <v>827884売木村</v>
      </c>
      <c r="CP832" s="17" t="s">
        <v>8507</v>
      </c>
      <c r="CQ832" s="17" t="b">
        <f t="shared" si="51"/>
        <v>1</v>
      </c>
    </row>
    <row r="833" spans="6:95">
      <c r="F833" s="23"/>
      <c r="I833" s="23"/>
      <c r="L833" s="50" t="s">
        <v>8508</v>
      </c>
      <c r="M833" s="17" t="s">
        <v>8509</v>
      </c>
      <c r="N833" s="51" t="s">
        <v>8510</v>
      </c>
      <c r="O833" s="29" t="s">
        <v>1457</v>
      </c>
      <c r="P833" s="29" t="s">
        <v>8511</v>
      </c>
      <c r="Q833" s="29" t="s">
        <v>1457</v>
      </c>
      <c r="R833" s="29" t="s">
        <v>2145</v>
      </c>
      <c r="S833" s="28" t="s">
        <v>1862</v>
      </c>
      <c r="T833" s="28" t="s">
        <v>2109</v>
      </c>
      <c r="U833" s="28" t="s">
        <v>1441</v>
      </c>
      <c r="V833" s="28" t="s">
        <v>1619</v>
      </c>
      <c r="W833" s="28" t="s">
        <v>8512</v>
      </c>
      <c r="X833" s="17">
        <v>1</v>
      </c>
      <c r="CJ833" s="26" t="s">
        <v>1397</v>
      </c>
      <c r="CK833" s="26" t="s">
        <v>3302</v>
      </c>
      <c r="CL833" s="26" t="str">
        <f t="shared" si="49"/>
        <v>長野県天龍村</v>
      </c>
      <c r="CM833" s="49">
        <v>828</v>
      </c>
      <c r="CN833" s="17" t="str">
        <f t="shared" si="48"/>
        <v>0885</v>
      </c>
      <c r="CO833" s="17" t="str">
        <f t="shared" si="50"/>
        <v>828885天龍村</v>
      </c>
      <c r="CP833" s="17" t="s">
        <v>8513</v>
      </c>
      <c r="CQ833" s="17" t="b">
        <f t="shared" si="51"/>
        <v>1</v>
      </c>
    </row>
    <row r="834" spans="6:95">
      <c r="F834" s="23"/>
      <c r="I834" s="23"/>
      <c r="L834" s="50" t="s">
        <v>8514</v>
      </c>
      <c r="M834" s="17" t="s">
        <v>8515</v>
      </c>
      <c r="N834" s="51" t="s">
        <v>8516</v>
      </c>
      <c r="O834" s="29" t="s">
        <v>1457</v>
      </c>
      <c r="P834" s="29" t="s">
        <v>8517</v>
      </c>
      <c r="Q834" s="29" t="s">
        <v>1457</v>
      </c>
      <c r="R834" s="29" t="s">
        <v>2200</v>
      </c>
      <c r="S834" s="28" t="s">
        <v>1920</v>
      </c>
      <c r="T834" s="28" t="s">
        <v>2165</v>
      </c>
      <c r="U834" s="28" t="s">
        <v>1441</v>
      </c>
      <c r="V834" s="28" t="s">
        <v>1619</v>
      </c>
      <c r="W834" s="28" t="s">
        <v>8518</v>
      </c>
      <c r="X834" s="17">
        <v>1</v>
      </c>
      <c r="CJ834" s="26" t="s">
        <v>1397</v>
      </c>
      <c r="CK834" s="26" t="s">
        <v>3324</v>
      </c>
      <c r="CL834" s="26" t="str">
        <f t="shared" si="49"/>
        <v>長野県泰阜村</v>
      </c>
      <c r="CM834" s="49">
        <v>829</v>
      </c>
      <c r="CN834" s="17" t="str">
        <f t="shared" si="48"/>
        <v>0886</v>
      </c>
      <c r="CO834" s="17" t="str">
        <f t="shared" si="50"/>
        <v>829886泰阜村</v>
      </c>
      <c r="CP834" s="17" t="s">
        <v>8519</v>
      </c>
      <c r="CQ834" s="17" t="b">
        <f t="shared" si="51"/>
        <v>1</v>
      </c>
    </row>
    <row r="835" spans="6:95">
      <c r="F835" s="23"/>
      <c r="I835" s="23"/>
      <c r="L835" s="50" t="s">
        <v>8520</v>
      </c>
      <c r="M835" s="17" t="s">
        <v>8521</v>
      </c>
      <c r="N835" s="51" t="s">
        <v>8522</v>
      </c>
      <c r="O835" s="29" t="s">
        <v>1457</v>
      </c>
      <c r="P835" s="29" t="s">
        <v>8523</v>
      </c>
      <c r="Q835" s="29" t="s">
        <v>1457</v>
      </c>
      <c r="R835" s="29" t="s">
        <v>2255</v>
      </c>
      <c r="S835" s="28" t="s">
        <v>1977</v>
      </c>
      <c r="T835" s="28" t="s">
        <v>2220</v>
      </c>
      <c r="U835" s="28" t="s">
        <v>1441</v>
      </c>
      <c r="V835" s="28" t="s">
        <v>1619</v>
      </c>
      <c r="W835" s="28" t="s">
        <v>8524</v>
      </c>
      <c r="X835" s="17">
        <v>1</v>
      </c>
      <c r="CJ835" s="26" t="s">
        <v>1397</v>
      </c>
      <c r="CK835" s="26" t="s">
        <v>3345</v>
      </c>
      <c r="CL835" s="26" t="str">
        <f t="shared" si="49"/>
        <v>長野県喬木村</v>
      </c>
      <c r="CM835" s="49">
        <v>830</v>
      </c>
      <c r="CN835" s="17" t="str">
        <f t="shared" si="48"/>
        <v>0887</v>
      </c>
      <c r="CO835" s="17" t="str">
        <f t="shared" si="50"/>
        <v>830887喬木村</v>
      </c>
      <c r="CP835" s="17" t="s">
        <v>8525</v>
      </c>
      <c r="CQ835" s="17" t="b">
        <f t="shared" si="51"/>
        <v>1</v>
      </c>
    </row>
    <row r="836" spans="6:95">
      <c r="F836" s="23"/>
      <c r="I836" s="23"/>
      <c r="L836" s="50" t="s">
        <v>8526</v>
      </c>
      <c r="M836" s="17" t="s">
        <v>8527</v>
      </c>
      <c r="N836" s="51" t="s">
        <v>8528</v>
      </c>
      <c r="O836" s="29" t="s">
        <v>1457</v>
      </c>
      <c r="P836" s="29" t="s">
        <v>8529</v>
      </c>
      <c r="Q836" s="29" t="s">
        <v>1457</v>
      </c>
      <c r="R836" s="29" t="s">
        <v>3358</v>
      </c>
      <c r="S836" s="28" t="s">
        <v>1977</v>
      </c>
      <c r="T836" s="28" t="s">
        <v>2275</v>
      </c>
      <c r="U836" s="28" t="s">
        <v>1441</v>
      </c>
      <c r="V836" s="28" t="s">
        <v>1619</v>
      </c>
      <c r="W836" s="28" t="s">
        <v>8530</v>
      </c>
      <c r="X836" s="17">
        <v>1</v>
      </c>
      <c r="CJ836" s="26" t="s">
        <v>1397</v>
      </c>
      <c r="CK836" s="26" t="s">
        <v>3366</v>
      </c>
      <c r="CL836" s="26" t="str">
        <f t="shared" si="49"/>
        <v>長野県豊丘村</v>
      </c>
      <c r="CM836" s="49">
        <v>831</v>
      </c>
      <c r="CN836" s="17" t="str">
        <f t="shared" si="48"/>
        <v>0888</v>
      </c>
      <c r="CO836" s="17" t="str">
        <f t="shared" si="50"/>
        <v>831888豊丘村</v>
      </c>
      <c r="CP836" s="17" t="s">
        <v>8531</v>
      </c>
      <c r="CQ836" s="17" t="b">
        <f t="shared" si="51"/>
        <v>1</v>
      </c>
    </row>
    <row r="837" spans="6:95">
      <c r="F837" s="23"/>
      <c r="I837" s="23"/>
      <c r="L837" s="50" t="s">
        <v>8532</v>
      </c>
      <c r="M837" s="17" t="s">
        <v>8533</v>
      </c>
      <c r="N837" s="51" t="s">
        <v>8534</v>
      </c>
      <c r="O837" s="29" t="s">
        <v>1457</v>
      </c>
      <c r="P837" s="29" t="s">
        <v>8535</v>
      </c>
      <c r="Q837" s="29" t="s">
        <v>1457</v>
      </c>
      <c r="R837" s="29" t="s">
        <v>3441</v>
      </c>
      <c r="S837" s="28" t="s">
        <v>1626</v>
      </c>
      <c r="T837" s="28" t="s">
        <v>2331</v>
      </c>
      <c r="U837" s="28" t="s">
        <v>1441</v>
      </c>
      <c r="V837" s="28" t="s">
        <v>1619</v>
      </c>
      <c r="W837" s="28" t="s">
        <v>8536</v>
      </c>
      <c r="X837" s="17">
        <v>1</v>
      </c>
      <c r="CJ837" s="26" t="s">
        <v>1397</v>
      </c>
      <c r="CK837" s="26" t="s">
        <v>3384</v>
      </c>
      <c r="CL837" s="26" t="str">
        <f t="shared" si="49"/>
        <v>長野県大鹿村</v>
      </c>
      <c r="CM837" s="49">
        <v>832</v>
      </c>
      <c r="CN837" s="17" t="str">
        <f t="shared" si="48"/>
        <v>0889</v>
      </c>
      <c r="CO837" s="17" t="str">
        <f t="shared" si="50"/>
        <v>832889大鹿村</v>
      </c>
      <c r="CP837" s="17" t="s">
        <v>8537</v>
      </c>
      <c r="CQ837" s="17" t="b">
        <f t="shared" si="51"/>
        <v>1</v>
      </c>
    </row>
    <row r="838" spans="6:95">
      <c r="F838" s="23"/>
      <c r="I838" s="23"/>
      <c r="L838" s="50" t="s">
        <v>8538</v>
      </c>
      <c r="M838" s="17" t="s">
        <v>8539</v>
      </c>
      <c r="N838" s="51" t="s">
        <v>8540</v>
      </c>
      <c r="O838" s="29" t="s">
        <v>1457</v>
      </c>
      <c r="P838" s="29" t="s">
        <v>8541</v>
      </c>
      <c r="Q838" s="29" t="s">
        <v>1457</v>
      </c>
      <c r="R838" s="29" t="s">
        <v>5589</v>
      </c>
      <c r="S838" s="28" t="s">
        <v>1977</v>
      </c>
      <c r="T838" s="28" t="s">
        <v>2385</v>
      </c>
      <c r="U838" s="28" t="s">
        <v>1441</v>
      </c>
      <c r="V838" s="28" t="s">
        <v>1619</v>
      </c>
      <c r="W838" s="28" t="s">
        <v>8542</v>
      </c>
      <c r="X838" s="17">
        <v>1</v>
      </c>
      <c r="CJ838" s="26" t="s">
        <v>1397</v>
      </c>
      <c r="CK838" s="26" t="s">
        <v>3402</v>
      </c>
      <c r="CL838" s="26" t="str">
        <f t="shared" si="49"/>
        <v>長野県麻績村</v>
      </c>
      <c r="CM838" s="49">
        <v>833</v>
      </c>
      <c r="CN838" s="17" t="str">
        <f t="shared" ref="CN838:CN901" si="52">VLOOKUP(CL838,$M$6:$N$1784,2,FALSE)</f>
        <v>0890</v>
      </c>
      <c r="CO838" s="17" t="str">
        <f t="shared" si="50"/>
        <v>833890麻績村</v>
      </c>
      <c r="CP838" s="17" t="s">
        <v>8543</v>
      </c>
      <c r="CQ838" s="17" t="b">
        <f t="shared" si="51"/>
        <v>1</v>
      </c>
    </row>
    <row r="839" spans="6:95">
      <c r="F839" s="23"/>
      <c r="I839" s="23"/>
      <c r="L839" s="50" t="s">
        <v>8544</v>
      </c>
      <c r="M839" s="17" t="s">
        <v>8545</v>
      </c>
      <c r="N839" s="51" t="s">
        <v>8546</v>
      </c>
      <c r="O839" s="29" t="s">
        <v>1457</v>
      </c>
      <c r="P839" s="29" t="s">
        <v>8547</v>
      </c>
      <c r="Q839" s="29" t="s">
        <v>1457</v>
      </c>
      <c r="R839" s="29" t="s">
        <v>4925</v>
      </c>
      <c r="S839" s="28" t="s">
        <v>1743</v>
      </c>
      <c r="T839" s="28" t="s">
        <v>2440</v>
      </c>
      <c r="U839" s="28" t="s">
        <v>1441</v>
      </c>
      <c r="V839" s="28" t="s">
        <v>1619</v>
      </c>
      <c r="W839" s="28" t="s">
        <v>8548</v>
      </c>
      <c r="X839" s="17">
        <v>1</v>
      </c>
      <c r="CJ839" s="26" t="s">
        <v>1397</v>
      </c>
      <c r="CK839" s="26" t="s">
        <v>3418</v>
      </c>
      <c r="CL839" s="26" t="str">
        <f t="shared" si="49"/>
        <v>長野県生坂村</v>
      </c>
      <c r="CM839" s="49">
        <v>834</v>
      </c>
      <c r="CN839" s="17" t="str">
        <f t="shared" si="52"/>
        <v>0891</v>
      </c>
      <c r="CO839" s="17" t="str">
        <f t="shared" si="50"/>
        <v>834891生坂村</v>
      </c>
      <c r="CP839" s="17" t="s">
        <v>8549</v>
      </c>
      <c r="CQ839" s="17" t="b">
        <f t="shared" si="51"/>
        <v>1</v>
      </c>
    </row>
    <row r="840" spans="6:95">
      <c r="F840" s="23"/>
      <c r="I840" s="23"/>
      <c r="L840" s="50" t="s">
        <v>8550</v>
      </c>
      <c r="M840" s="17" t="s">
        <v>8551</v>
      </c>
      <c r="N840" s="51" t="s">
        <v>8552</v>
      </c>
      <c r="O840" s="29" t="s">
        <v>1457</v>
      </c>
      <c r="P840" s="29" t="s">
        <v>8553</v>
      </c>
      <c r="Q840" s="29" t="s">
        <v>1457</v>
      </c>
      <c r="R840" s="29" t="s">
        <v>5391</v>
      </c>
      <c r="S840" s="28" t="s">
        <v>1862</v>
      </c>
      <c r="T840" s="28" t="s">
        <v>2492</v>
      </c>
      <c r="U840" s="28" t="s">
        <v>1441</v>
      </c>
      <c r="V840" s="28" t="s">
        <v>1619</v>
      </c>
      <c r="W840" s="28" t="s">
        <v>8554</v>
      </c>
      <c r="X840" s="17">
        <v>1</v>
      </c>
      <c r="CJ840" s="26" t="s">
        <v>1397</v>
      </c>
      <c r="CK840" s="26" t="s">
        <v>3433</v>
      </c>
      <c r="CL840" s="26" t="str">
        <f t="shared" ref="CL840:CL903" si="53">CJ840&amp;CK840</f>
        <v>長野県山形村</v>
      </c>
      <c r="CM840" s="49">
        <v>835</v>
      </c>
      <c r="CN840" s="17" t="str">
        <f t="shared" si="52"/>
        <v>0892</v>
      </c>
      <c r="CO840" s="17" t="str">
        <f t="shared" ref="CO840:CO903" si="54">CM840&amp;TEXT(CN840,0)&amp;CK840</f>
        <v>835892山形村</v>
      </c>
      <c r="CP840" s="17" t="s">
        <v>8555</v>
      </c>
      <c r="CQ840" s="17" t="b">
        <f t="shared" ref="CQ840:CQ903" si="55">CO840=CP840</f>
        <v>1</v>
      </c>
    </row>
    <row r="841" spans="6:95">
      <c r="F841" s="23"/>
      <c r="I841" s="23"/>
      <c r="L841" s="50" t="s">
        <v>8556</v>
      </c>
      <c r="M841" s="17" t="s">
        <v>8557</v>
      </c>
      <c r="N841" s="51" t="s">
        <v>8558</v>
      </c>
      <c r="O841" s="29" t="s">
        <v>1457</v>
      </c>
      <c r="P841" s="29" t="s">
        <v>8559</v>
      </c>
      <c r="Q841" s="29" t="s">
        <v>1457</v>
      </c>
      <c r="R841" s="29" t="s">
        <v>4723</v>
      </c>
      <c r="S841" s="28" t="s">
        <v>1502</v>
      </c>
      <c r="T841" s="28" t="s">
        <v>2543</v>
      </c>
      <c r="U841" s="28" t="s">
        <v>1441</v>
      </c>
      <c r="V841" s="28" t="s">
        <v>1619</v>
      </c>
      <c r="W841" s="28" t="s">
        <v>8560</v>
      </c>
      <c r="X841" s="17">
        <v>1</v>
      </c>
      <c r="CJ841" s="26" t="s">
        <v>1397</v>
      </c>
      <c r="CK841" s="26" t="s">
        <v>3448</v>
      </c>
      <c r="CL841" s="26" t="str">
        <f t="shared" si="53"/>
        <v>長野県朝日村</v>
      </c>
      <c r="CM841" s="49">
        <v>836</v>
      </c>
      <c r="CN841" s="17" t="str">
        <f t="shared" si="52"/>
        <v>0893</v>
      </c>
      <c r="CO841" s="17" t="str">
        <f t="shared" si="54"/>
        <v>836893朝日村</v>
      </c>
      <c r="CP841" s="17" t="s">
        <v>8561</v>
      </c>
      <c r="CQ841" s="17" t="b">
        <f t="shared" si="55"/>
        <v>1</v>
      </c>
    </row>
    <row r="842" spans="6:95">
      <c r="F842" s="23"/>
      <c r="I842" s="23"/>
      <c r="L842" s="50" t="s">
        <v>8562</v>
      </c>
      <c r="M842" s="17" t="s">
        <v>8563</v>
      </c>
      <c r="N842" s="51" t="s">
        <v>8564</v>
      </c>
      <c r="O842" s="29" t="s">
        <v>1457</v>
      </c>
      <c r="P842" s="29" t="s">
        <v>8565</v>
      </c>
      <c r="Q842" s="29" t="s">
        <v>1457</v>
      </c>
      <c r="R842" s="29" t="s">
        <v>5240</v>
      </c>
      <c r="S842" s="28" t="s">
        <v>2525</v>
      </c>
      <c r="T842" s="28" t="s">
        <v>2592</v>
      </c>
      <c r="U842" s="28" t="s">
        <v>1441</v>
      </c>
      <c r="V842" s="28" t="s">
        <v>1619</v>
      </c>
      <c r="W842" s="28" t="s">
        <v>8566</v>
      </c>
      <c r="X842" s="17">
        <v>1</v>
      </c>
      <c r="CJ842" s="26" t="s">
        <v>1397</v>
      </c>
      <c r="CK842" s="26" t="s">
        <v>3463</v>
      </c>
      <c r="CL842" s="26" t="str">
        <f t="shared" si="53"/>
        <v>長野県筑北村</v>
      </c>
      <c r="CM842" s="49">
        <v>837</v>
      </c>
      <c r="CN842" s="17" t="str">
        <f t="shared" si="52"/>
        <v>0894</v>
      </c>
      <c r="CO842" s="17" t="str">
        <f t="shared" si="54"/>
        <v>837894筑北村</v>
      </c>
      <c r="CP842" s="17" t="s">
        <v>8567</v>
      </c>
      <c r="CQ842" s="17" t="b">
        <f t="shared" si="55"/>
        <v>1</v>
      </c>
    </row>
    <row r="843" spans="6:95">
      <c r="F843" s="23"/>
      <c r="I843" s="23"/>
      <c r="L843" s="50" t="s">
        <v>8568</v>
      </c>
      <c r="M843" s="17" t="s">
        <v>8569</v>
      </c>
      <c r="N843" s="51" t="s">
        <v>8570</v>
      </c>
      <c r="O843" s="29" t="s">
        <v>1457</v>
      </c>
      <c r="P843" s="29" t="s">
        <v>8571</v>
      </c>
      <c r="Q843" s="29" t="s">
        <v>1457</v>
      </c>
      <c r="R843" s="29" t="s">
        <v>3539</v>
      </c>
      <c r="S843" s="28" t="s">
        <v>2311</v>
      </c>
      <c r="T843" s="28" t="s">
        <v>2639</v>
      </c>
      <c r="U843" s="28" t="s">
        <v>1441</v>
      </c>
      <c r="V843" s="28" t="s">
        <v>1619</v>
      </c>
      <c r="W843" s="28" t="s">
        <v>8572</v>
      </c>
      <c r="X843" s="17">
        <v>1</v>
      </c>
      <c r="CJ843" s="26" t="s">
        <v>1397</v>
      </c>
      <c r="CK843" s="26" t="s">
        <v>3476</v>
      </c>
      <c r="CL843" s="26" t="str">
        <f t="shared" si="53"/>
        <v>長野県坂城町</v>
      </c>
      <c r="CM843" s="49">
        <v>838</v>
      </c>
      <c r="CN843" s="17" t="str">
        <f t="shared" si="52"/>
        <v>0895</v>
      </c>
      <c r="CO843" s="17" t="str">
        <f t="shared" si="54"/>
        <v>838895坂城町</v>
      </c>
      <c r="CP843" s="17" t="s">
        <v>8573</v>
      </c>
      <c r="CQ843" s="17" t="b">
        <f t="shared" si="55"/>
        <v>1</v>
      </c>
    </row>
    <row r="844" spans="6:95">
      <c r="F844" s="23"/>
      <c r="I844" s="23"/>
      <c r="L844" s="50" t="s">
        <v>8574</v>
      </c>
      <c r="M844" s="17" t="s">
        <v>8575</v>
      </c>
      <c r="N844" s="51" t="s">
        <v>8576</v>
      </c>
      <c r="O844" s="29" t="s">
        <v>1457</v>
      </c>
      <c r="P844" s="29" t="s">
        <v>8577</v>
      </c>
      <c r="Q844" s="29" t="s">
        <v>1457</v>
      </c>
      <c r="R844" s="29" t="s">
        <v>4389</v>
      </c>
      <c r="S844" s="28" t="s">
        <v>1564</v>
      </c>
      <c r="T844" s="28" t="s">
        <v>2685</v>
      </c>
      <c r="U844" s="28" t="s">
        <v>1441</v>
      </c>
      <c r="V844" s="28" t="s">
        <v>1619</v>
      </c>
      <c r="W844" s="28" t="s">
        <v>8578</v>
      </c>
      <c r="X844" s="17">
        <v>1</v>
      </c>
      <c r="CJ844" s="26" t="s">
        <v>1397</v>
      </c>
      <c r="CK844" s="26" t="s">
        <v>3490</v>
      </c>
      <c r="CL844" s="26" t="str">
        <f t="shared" si="53"/>
        <v>長野県小布施町</v>
      </c>
      <c r="CM844" s="49">
        <v>839</v>
      </c>
      <c r="CN844" s="17" t="str">
        <f t="shared" si="52"/>
        <v>0896</v>
      </c>
      <c r="CO844" s="17" t="str">
        <f t="shared" si="54"/>
        <v>839896小布施町</v>
      </c>
      <c r="CP844" s="17" t="s">
        <v>8579</v>
      </c>
      <c r="CQ844" s="17" t="b">
        <f t="shared" si="55"/>
        <v>1</v>
      </c>
    </row>
    <row r="845" spans="6:95">
      <c r="F845" s="23"/>
      <c r="I845" s="23"/>
      <c r="L845" s="50" t="s">
        <v>8580</v>
      </c>
      <c r="M845" s="17" t="s">
        <v>8581</v>
      </c>
      <c r="N845" s="51" t="s">
        <v>8582</v>
      </c>
      <c r="O845" s="29" t="s">
        <v>1457</v>
      </c>
      <c r="P845" s="29" t="s">
        <v>8583</v>
      </c>
      <c r="Q845" s="29" t="s">
        <v>1457</v>
      </c>
      <c r="R845" s="29" t="s">
        <v>4397</v>
      </c>
      <c r="S845" s="28" t="s">
        <v>1920</v>
      </c>
      <c r="T845" s="28" t="s">
        <v>2731</v>
      </c>
      <c r="U845" s="28" t="s">
        <v>1441</v>
      </c>
      <c r="V845" s="28" t="s">
        <v>1619</v>
      </c>
      <c r="W845" s="28" t="s">
        <v>8584</v>
      </c>
      <c r="X845" s="17">
        <v>1</v>
      </c>
      <c r="CJ845" s="26" t="s">
        <v>1397</v>
      </c>
      <c r="CK845" s="26" t="s">
        <v>2769</v>
      </c>
      <c r="CL845" s="26" t="str">
        <f t="shared" si="53"/>
        <v>長野県高山村</v>
      </c>
      <c r="CM845" s="49">
        <v>840</v>
      </c>
      <c r="CN845" s="17" t="str">
        <f t="shared" si="52"/>
        <v>0897</v>
      </c>
      <c r="CO845" s="17" t="str">
        <f t="shared" si="54"/>
        <v>840897高山村</v>
      </c>
      <c r="CP845" s="17" t="s">
        <v>8585</v>
      </c>
      <c r="CQ845" s="17" t="b">
        <f t="shared" si="55"/>
        <v>1</v>
      </c>
    </row>
    <row r="846" spans="6:95">
      <c r="F846" s="23"/>
      <c r="I846" s="23"/>
      <c r="L846" s="50" t="s">
        <v>8586</v>
      </c>
      <c r="M846" s="17" t="s">
        <v>8587</v>
      </c>
      <c r="N846" s="51" t="s">
        <v>8588</v>
      </c>
      <c r="O846" s="29" t="s">
        <v>1457</v>
      </c>
      <c r="P846" s="29" t="s">
        <v>8589</v>
      </c>
      <c r="Q846" s="29" t="s">
        <v>1457</v>
      </c>
      <c r="R846" s="29" t="s">
        <v>3579</v>
      </c>
      <c r="S846" s="28" t="s">
        <v>1862</v>
      </c>
      <c r="T846" s="28" t="s">
        <v>2775</v>
      </c>
      <c r="U846" s="28" t="s">
        <v>1441</v>
      </c>
      <c r="V846" s="28" t="s">
        <v>1619</v>
      </c>
      <c r="W846" s="28" t="s">
        <v>8590</v>
      </c>
      <c r="X846" s="17">
        <v>1</v>
      </c>
      <c r="CJ846" s="26" t="s">
        <v>1397</v>
      </c>
      <c r="CK846" s="26" t="s">
        <v>3519</v>
      </c>
      <c r="CL846" s="26" t="str">
        <f t="shared" si="53"/>
        <v>長野県山ノ内町</v>
      </c>
      <c r="CM846" s="49">
        <v>841</v>
      </c>
      <c r="CN846" s="17" t="str">
        <f t="shared" si="52"/>
        <v>0898</v>
      </c>
      <c r="CO846" s="17" t="str">
        <f t="shared" si="54"/>
        <v>841898山ノ内町</v>
      </c>
      <c r="CP846" s="17" t="s">
        <v>8591</v>
      </c>
      <c r="CQ846" s="17" t="b">
        <f t="shared" si="55"/>
        <v>1</v>
      </c>
    </row>
    <row r="847" spans="6:95">
      <c r="F847" s="23"/>
      <c r="I847" s="23"/>
      <c r="L847" s="50" t="s">
        <v>8592</v>
      </c>
      <c r="M847" s="17" t="s">
        <v>8593</v>
      </c>
      <c r="N847" s="51" t="s">
        <v>8594</v>
      </c>
      <c r="O847" s="29" t="s">
        <v>1457</v>
      </c>
      <c r="P847" s="29" t="s">
        <v>8595</v>
      </c>
      <c r="Q847" s="29" t="s">
        <v>1457</v>
      </c>
      <c r="R847" s="29" t="s">
        <v>3591</v>
      </c>
      <c r="S847" s="28" t="s">
        <v>1920</v>
      </c>
      <c r="T847" s="28" t="s">
        <v>2817</v>
      </c>
      <c r="U847" s="28" t="s">
        <v>1441</v>
      </c>
      <c r="V847" s="28" t="s">
        <v>1619</v>
      </c>
      <c r="W847" s="28" t="s">
        <v>8596</v>
      </c>
      <c r="X847" s="17">
        <v>1</v>
      </c>
      <c r="CJ847" s="26" t="s">
        <v>1397</v>
      </c>
      <c r="CK847" s="26" t="s">
        <v>3532</v>
      </c>
      <c r="CL847" s="26" t="str">
        <f t="shared" si="53"/>
        <v>長野県木島平村</v>
      </c>
      <c r="CM847" s="49">
        <v>842</v>
      </c>
      <c r="CN847" s="17" t="str">
        <f t="shared" si="52"/>
        <v>0899</v>
      </c>
      <c r="CO847" s="17" t="str">
        <f t="shared" si="54"/>
        <v>842899木島平村</v>
      </c>
      <c r="CP847" s="17" t="s">
        <v>8597</v>
      </c>
      <c r="CQ847" s="17" t="b">
        <f t="shared" si="55"/>
        <v>1</v>
      </c>
    </row>
    <row r="848" spans="6:95">
      <c r="F848" s="23"/>
      <c r="I848" s="23"/>
      <c r="L848" s="50" t="s">
        <v>8598</v>
      </c>
      <c r="M848" s="17" t="s">
        <v>8599</v>
      </c>
      <c r="N848" s="51" t="s">
        <v>8600</v>
      </c>
      <c r="O848" s="29" t="s">
        <v>1457</v>
      </c>
      <c r="P848" s="29" t="s">
        <v>8601</v>
      </c>
      <c r="Q848" s="29" t="s">
        <v>1457</v>
      </c>
      <c r="R848" s="29" t="s">
        <v>4812</v>
      </c>
      <c r="S848" s="28" t="s">
        <v>2311</v>
      </c>
      <c r="T848" s="28" t="s">
        <v>2857</v>
      </c>
      <c r="U848" s="28" t="s">
        <v>1441</v>
      </c>
      <c r="V848" s="28" t="s">
        <v>1619</v>
      </c>
      <c r="W848" s="28" t="s">
        <v>8602</v>
      </c>
      <c r="X848" s="17">
        <v>1</v>
      </c>
      <c r="CJ848" s="26" t="s">
        <v>1397</v>
      </c>
      <c r="CK848" s="26" t="s">
        <v>3545</v>
      </c>
      <c r="CL848" s="26" t="str">
        <f t="shared" si="53"/>
        <v>長野県野沢温泉村</v>
      </c>
      <c r="CM848" s="49">
        <v>843</v>
      </c>
      <c r="CN848" s="17" t="str">
        <f t="shared" si="52"/>
        <v>0900</v>
      </c>
      <c r="CO848" s="17" t="str">
        <f t="shared" si="54"/>
        <v>843900野沢温泉村</v>
      </c>
      <c r="CP848" s="17" t="s">
        <v>8603</v>
      </c>
      <c r="CQ848" s="17" t="b">
        <f t="shared" si="55"/>
        <v>1</v>
      </c>
    </row>
    <row r="849" spans="6:95">
      <c r="F849" s="23"/>
      <c r="I849" s="23"/>
      <c r="L849" s="50" t="s">
        <v>8604</v>
      </c>
      <c r="M849" s="17" t="s">
        <v>8605</v>
      </c>
      <c r="N849" s="51" t="s">
        <v>8606</v>
      </c>
      <c r="O849" s="29" t="s">
        <v>1457</v>
      </c>
      <c r="P849" s="29" t="s">
        <v>8607</v>
      </c>
      <c r="Q849" s="29" t="s">
        <v>1457</v>
      </c>
      <c r="R849" s="29" t="s">
        <v>4818</v>
      </c>
      <c r="S849" s="28" t="s">
        <v>1564</v>
      </c>
      <c r="T849" s="28" t="s">
        <v>2896</v>
      </c>
      <c r="U849" s="28" t="s">
        <v>1441</v>
      </c>
      <c r="V849" s="28" t="s">
        <v>1619</v>
      </c>
      <c r="W849" s="28" t="s">
        <v>8608</v>
      </c>
      <c r="X849" s="17">
        <v>1</v>
      </c>
      <c r="CJ849" s="26" t="s">
        <v>1397</v>
      </c>
      <c r="CK849" s="26" t="s">
        <v>3559</v>
      </c>
      <c r="CL849" s="26" t="str">
        <f t="shared" si="53"/>
        <v>長野県信濃町</v>
      </c>
      <c r="CM849" s="49">
        <v>844</v>
      </c>
      <c r="CN849" s="17" t="str">
        <f t="shared" si="52"/>
        <v>0901</v>
      </c>
      <c r="CO849" s="17" t="str">
        <f t="shared" si="54"/>
        <v>844901信濃町</v>
      </c>
      <c r="CP849" s="17" t="s">
        <v>8609</v>
      </c>
      <c r="CQ849" s="17" t="b">
        <f t="shared" si="55"/>
        <v>1</v>
      </c>
    </row>
    <row r="850" spans="6:95">
      <c r="F850" s="23"/>
      <c r="I850" s="23"/>
      <c r="L850" s="50" t="s">
        <v>8610</v>
      </c>
      <c r="M850" s="17" t="s">
        <v>8611</v>
      </c>
      <c r="N850" s="51" t="s">
        <v>8612</v>
      </c>
      <c r="O850" s="29" t="s">
        <v>1458</v>
      </c>
      <c r="P850" s="29" t="s">
        <v>8613</v>
      </c>
      <c r="Q850" s="29" t="s">
        <v>1458</v>
      </c>
      <c r="R850" s="29" t="s">
        <v>4593</v>
      </c>
      <c r="S850" s="28" t="s">
        <v>1862</v>
      </c>
      <c r="T850" s="28" t="s">
        <v>1523</v>
      </c>
      <c r="U850" s="28" t="s">
        <v>1441</v>
      </c>
      <c r="V850" s="28" t="s">
        <v>1619</v>
      </c>
      <c r="W850" s="28" t="s">
        <v>8614</v>
      </c>
      <c r="X850" s="17">
        <v>1</v>
      </c>
      <c r="CJ850" s="26" t="s">
        <v>1397</v>
      </c>
      <c r="CK850" s="26" t="s">
        <v>3572</v>
      </c>
      <c r="CL850" s="26" t="str">
        <f t="shared" si="53"/>
        <v>長野県小川村</v>
      </c>
      <c r="CM850" s="49">
        <v>845</v>
      </c>
      <c r="CN850" s="17" t="str">
        <f t="shared" si="52"/>
        <v>0902</v>
      </c>
      <c r="CO850" s="17" t="str">
        <f t="shared" si="54"/>
        <v>845902小川村</v>
      </c>
      <c r="CP850" s="17" t="s">
        <v>8615</v>
      </c>
      <c r="CQ850" s="17" t="b">
        <f t="shared" si="55"/>
        <v>1</v>
      </c>
    </row>
    <row r="851" spans="6:95">
      <c r="F851" s="23"/>
      <c r="I851" s="23"/>
      <c r="L851" s="50" t="s">
        <v>8616</v>
      </c>
      <c r="M851" s="17" t="s">
        <v>8617</v>
      </c>
      <c r="N851" s="51" t="s">
        <v>8618</v>
      </c>
      <c r="O851" s="29" t="s">
        <v>1458</v>
      </c>
      <c r="P851" s="29" t="s">
        <v>8619</v>
      </c>
      <c r="Q851" s="29" t="s">
        <v>1458</v>
      </c>
      <c r="R851" s="29" t="s">
        <v>1563</v>
      </c>
      <c r="S851" s="28" t="s">
        <v>1920</v>
      </c>
      <c r="T851" s="28" t="s">
        <v>1585</v>
      </c>
      <c r="U851" s="28" t="s">
        <v>1441</v>
      </c>
      <c r="V851" s="28" t="s">
        <v>1619</v>
      </c>
      <c r="W851" s="28" t="s">
        <v>8620</v>
      </c>
      <c r="X851" s="17">
        <v>1</v>
      </c>
      <c r="CJ851" s="26" t="s">
        <v>1397</v>
      </c>
      <c r="CK851" s="26" t="s">
        <v>3584</v>
      </c>
      <c r="CL851" s="26" t="str">
        <f t="shared" si="53"/>
        <v>長野県飯綱町</v>
      </c>
      <c r="CM851" s="49">
        <v>846</v>
      </c>
      <c r="CN851" s="17" t="str">
        <f t="shared" si="52"/>
        <v>0903</v>
      </c>
      <c r="CO851" s="17" t="str">
        <f t="shared" si="54"/>
        <v>846903飯綱町</v>
      </c>
      <c r="CP851" s="17" t="s">
        <v>8621</v>
      </c>
      <c r="CQ851" s="17" t="b">
        <f t="shared" si="55"/>
        <v>1</v>
      </c>
    </row>
    <row r="852" spans="6:95">
      <c r="F852" s="23"/>
      <c r="I852" s="23"/>
      <c r="L852" s="50" t="s">
        <v>8622</v>
      </c>
      <c r="M852" s="17" t="s">
        <v>8623</v>
      </c>
      <c r="N852" s="51" t="s">
        <v>8624</v>
      </c>
      <c r="O852" s="29" t="s">
        <v>1458</v>
      </c>
      <c r="P852" s="29" t="s">
        <v>8625</v>
      </c>
      <c r="Q852" s="29" t="s">
        <v>1458</v>
      </c>
      <c r="R852" s="29" t="s">
        <v>1625</v>
      </c>
      <c r="S852" s="28" t="s">
        <v>1977</v>
      </c>
      <c r="T852" s="28" t="s">
        <v>1647</v>
      </c>
      <c r="U852" s="28" t="s">
        <v>1441</v>
      </c>
      <c r="V852" s="28" t="s">
        <v>1619</v>
      </c>
      <c r="W852" s="28" t="s">
        <v>8626</v>
      </c>
      <c r="X852" s="17">
        <v>1</v>
      </c>
      <c r="CJ852" s="26" t="s">
        <v>1397</v>
      </c>
      <c r="CK852" s="26" t="s">
        <v>3596</v>
      </c>
      <c r="CL852" s="26" t="str">
        <f t="shared" si="53"/>
        <v>長野県栄村</v>
      </c>
      <c r="CM852" s="49">
        <v>847</v>
      </c>
      <c r="CN852" s="17" t="str">
        <f t="shared" si="52"/>
        <v>0904</v>
      </c>
      <c r="CO852" s="17" t="str">
        <f t="shared" si="54"/>
        <v>847904栄村</v>
      </c>
      <c r="CP852" s="17" t="s">
        <v>8627</v>
      </c>
      <c r="CQ852" s="17" t="b">
        <f t="shared" si="55"/>
        <v>1</v>
      </c>
    </row>
    <row r="853" spans="6:95">
      <c r="F853" s="23"/>
      <c r="I853" s="23"/>
      <c r="L853" s="50" t="s">
        <v>8628</v>
      </c>
      <c r="M853" s="17" t="s">
        <v>8629</v>
      </c>
      <c r="N853" s="51" t="s">
        <v>8630</v>
      </c>
      <c r="O853" s="29" t="s">
        <v>1458</v>
      </c>
      <c r="P853" s="29" t="s">
        <v>8631</v>
      </c>
      <c r="Q853" s="29" t="s">
        <v>1458</v>
      </c>
      <c r="R853" s="29" t="s">
        <v>1742</v>
      </c>
      <c r="S853" s="28" t="s">
        <v>1564</v>
      </c>
      <c r="T853" s="28" t="s">
        <v>1705</v>
      </c>
      <c r="U853" s="28" t="s">
        <v>1441</v>
      </c>
      <c r="V853" s="28" t="s">
        <v>1619</v>
      </c>
      <c r="W853" s="28" t="s">
        <v>8632</v>
      </c>
      <c r="X853" s="17">
        <v>1</v>
      </c>
      <c r="CJ853" s="26" t="s">
        <v>1397</v>
      </c>
      <c r="CK853" s="26" t="s">
        <v>3608</v>
      </c>
      <c r="CL853" s="26" t="str">
        <f t="shared" si="53"/>
        <v>長野県北アルプス広域連合</v>
      </c>
      <c r="CM853" s="49">
        <v>848</v>
      </c>
      <c r="CN853" s="17" t="str">
        <f t="shared" si="52"/>
        <v>0905</v>
      </c>
      <c r="CO853" s="17" t="str">
        <f t="shared" si="54"/>
        <v>848905北アルプス広域連合</v>
      </c>
      <c r="CP853" s="17" t="s">
        <v>8633</v>
      </c>
      <c r="CQ853" s="17" t="b">
        <f t="shared" si="55"/>
        <v>1</v>
      </c>
    </row>
    <row r="854" spans="6:95">
      <c r="F854" s="23"/>
      <c r="I854" s="23"/>
      <c r="L854" s="50" t="s">
        <v>8634</v>
      </c>
      <c r="M854" s="17" t="s">
        <v>8635</v>
      </c>
      <c r="N854" s="51" t="s">
        <v>8636</v>
      </c>
      <c r="O854" s="29" t="s">
        <v>1458</v>
      </c>
      <c r="P854" s="29" t="s">
        <v>8637</v>
      </c>
      <c r="Q854" s="29" t="s">
        <v>1458</v>
      </c>
      <c r="R854" s="29" t="s">
        <v>1861</v>
      </c>
      <c r="S854" s="28" t="s">
        <v>1502</v>
      </c>
      <c r="T854" s="28" t="s">
        <v>1764</v>
      </c>
      <c r="U854" s="28" t="s">
        <v>1441</v>
      </c>
      <c r="V854" s="28" t="s">
        <v>1619</v>
      </c>
      <c r="W854" s="28" t="s">
        <v>8638</v>
      </c>
      <c r="X854" s="17">
        <v>1</v>
      </c>
      <c r="CJ854" s="26" t="s">
        <v>1397</v>
      </c>
      <c r="CK854" s="26" t="s">
        <v>3666</v>
      </c>
      <c r="CL854" s="26" t="str">
        <f t="shared" si="53"/>
        <v>長野県木曽広域連合</v>
      </c>
      <c r="CM854" s="49">
        <v>849</v>
      </c>
      <c r="CN854" s="17" t="str">
        <f t="shared" si="52"/>
        <v>0911</v>
      </c>
      <c r="CO854" s="17" t="str">
        <f t="shared" si="54"/>
        <v>849911木曽広域連合</v>
      </c>
      <c r="CP854" s="17" t="s">
        <v>8639</v>
      </c>
      <c r="CQ854" s="17" t="b">
        <f t="shared" si="55"/>
        <v>1</v>
      </c>
    </row>
    <row r="855" spans="6:95">
      <c r="F855" s="23"/>
      <c r="I855" s="23"/>
      <c r="L855" s="50" t="s">
        <v>8640</v>
      </c>
      <c r="M855" s="17" t="s">
        <v>8641</v>
      </c>
      <c r="N855" s="51" t="s">
        <v>8642</v>
      </c>
      <c r="O855" s="29" t="s">
        <v>1458</v>
      </c>
      <c r="P855" s="29" t="s">
        <v>8643</v>
      </c>
      <c r="Q855" s="29" t="s">
        <v>1458</v>
      </c>
      <c r="R855" s="29" t="s">
        <v>1919</v>
      </c>
      <c r="S855" s="28" t="s">
        <v>2525</v>
      </c>
      <c r="T855" s="28" t="s">
        <v>1824</v>
      </c>
      <c r="U855" s="28" t="s">
        <v>1441</v>
      </c>
      <c r="V855" s="28" t="s">
        <v>1619</v>
      </c>
      <c r="W855" s="28" t="s">
        <v>8644</v>
      </c>
      <c r="X855" s="17">
        <v>1</v>
      </c>
      <c r="CJ855" s="26" t="s">
        <v>1397</v>
      </c>
      <c r="CK855" s="26" t="s">
        <v>3726</v>
      </c>
      <c r="CL855" s="26" t="str">
        <f t="shared" si="53"/>
        <v>長野県諏訪広域連合</v>
      </c>
      <c r="CM855" s="49">
        <v>850</v>
      </c>
      <c r="CN855" s="17" t="str">
        <f t="shared" si="52"/>
        <v>0918</v>
      </c>
      <c r="CO855" s="17" t="str">
        <f t="shared" si="54"/>
        <v>850918諏訪広域連合</v>
      </c>
      <c r="CP855" s="17" t="s">
        <v>8645</v>
      </c>
      <c r="CQ855" s="17" t="b">
        <f t="shared" si="55"/>
        <v>1</v>
      </c>
    </row>
    <row r="856" spans="6:95">
      <c r="F856" s="23"/>
      <c r="I856" s="23"/>
      <c r="L856" s="50" t="s">
        <v>8646</v>
      </c>
      <c r="M856" s="17" t="s">
        <v>8647</v>
      </c>
      <c r="N856" s="51" t="s">
        <v>8648</v>
      </c>
      <c r="O856" s="29" t="s">
        <v>1458</v>
      </c>
      <c r="P856" s="29" t="s">
        <v>8649</v>
      </c>
      <c r="Q856" s="29" t="s">
        <v>1458</v>
      </c>
      <c r="R856" s="29" t="s">
        <v>1976</v>
      </c>
      <c r="S856" s="28" t="s">
        <v>2311</v>
      </c>
      <c r="T856" s="28" t="s">
        <v>1883</v>
      </c>
      <c r="U856" s="28" t="s">
        <v>1441</v>
      </c>
      <c r="V856" s="28" t="s">
        <v>1619</v>
      </c>
      <c r="W856" s="28" t="s">
        <v>8650</v>
      </c>
      <c r="X856" s="17">
        <v>1</v>
      </c>
      <c r="CJ856" s="26" t="s">
        <v>1398</v>
      </c>
      <c r="CK856" s="26" t="s">
        <v>1524</v>
      </c>
      <c r="CL856" s="26" t="str">
        <f t="shared" si="53"/>
        <v>岐阜県岐阜市</v>
      </c>
      <c r="CM856" s="49">
        <v>851</v>
      </c>
      <c r="CN856" s="17" t="str">
        <f t="shared" si="52"/>
        <v>0925</v>
      </c>
      <c r="CO856" s="17" t="str">
        <f t="shared" si="54"/>
        <v>851925岐阜市</v>
      </c>
      <c r="CP856" s="17" t="s">
        <v>8651</v>
      </c>
      <c r="CQ856" s="17" t="b">
        <f t="shared" si="55"/>
        <v>1</v>
      </c>
    </row>
    <row r="857" spans="6:95">
      <c r="F857" s="23"/>
      <c r="I857" s="23"/>
      <c r="L857" s="50" t="s">
        <v>8652</v>
      </c>
      <c r="M857" s="17" t="s">
        <v>8653</v>
      </c>
      <c r="N857" s="51" t="s">
        <v>8654</v>
      </c>
      <c r="O857" s="29" t="s">
        <v>1458</v>
      </c>
      <c r="P857" s="29" t="s">
        <v>8655</v>
      </c>
      <c r="Q857" s="29" t="s">
        <v>1458</v>
      </c>
      <c r="R857" s="29" t="s">
        <v>2033</v>
      </c>
      <c r="S857" s="28" t="s">
        <v>1564</v>
      </c>
      <c r="T857" s="28" t="s">
        <v>1941</v>
      </c>
      <c r="U857" s="28" t="s">
        <v>1441</v>
      </c>
      <c r="V857" s="28" t="s">
        <v>1619</v>
      </c>
      <c r="W857" s="28" t="s">
        <v>8656</v>
      </c>
      <c r="X857" s="17">
        <v>1</v>
      </c>
      <c r="CJ857" s="26" t="s">
        <v>1398</v>
      </c>
      <c r="CK857" s="26" t="s">
        <v>1586</v>
      </c>
      <c r="CL857" s="26" t="str">
        <f t="shared" si="53"/>
        <v>岐阜県大垣市</v>
      </c>
      <c r="CM857" s="49">
        <v>852</v>
      </c>
      <c r="CN857" s="17" t="str">
        <f t="shared" si="52"/>
        <v>0926</v>
      </c>
      <c r="CO857" s="17" t="str">
        <f t="shared" si="54"/>
        <v>852926大垣市</v>
      </c>
      <c r="CP857" s="17" t="s">
        <v>8657</v>
      </c>
      <c r="CQ857" s="17" t="b">
        <f t="shared" si="55"/>
        <v>1</v>
      </c>
    </row>
    <row r="858" spans="6:95">
      <c r="F858" s="23"/>
      <c r="I858" s="23"/>
      <c r="L858" s="50" t="s">
        <v>8658</v>
      </c>
      <c r="M858" s="17" t="s">
        <v>8659</v>
      </c>
      <c r="N858" s="51" t="s">
        <v>8660</v>
      </c>
      <c r="O858" s="29" t="s">
        <v>1458</v>
      </c>
      <c r="P858" s="29" t="s">
        <v>8661</v>
      </c>
      <c r="Q858" s="29" t="s">
        <v>1458</v>
      </c>
      <c r="R858" s="29" t="s">
        <v>2089</v>
      </c>
      <c r="S858" s="28" t="s">
        <v>1626</v>
      </c>
      <c r="T858" s="28" t="s">
        <v>1998</v>
      </c>
      <c r="U858" s="28" t="s">
        <v>1441</v>
      </c>
      <c r="V858" s="28" t="s">
        <v>1619</v>
      </c>
      <c r="W858" s="28" t="s">
        <v>8662</v>
      </c>
      <c r="X858" s="17">
        <v>1</v>
      </c>
      <c r="CJ858" s="26" t="s">
        <v>1398</v>
      </c>
      <c r="CK858" s="26" t="s">
        <v>1648</v>
      </c>
      <c r="CL858" s="26" t="str">
        <f t="shared" si="53"/>
        <v>岐阜県高山市</v>
      </c>
      <c r="CM858" s="49">
        <v>853</v>
      </c>
      <c r="CN858" s="17" t="str">
        <f t="shared" si="52"/>
        <v>0927</v>
      </c>
      <c r="CO858" s="17" t="str">
        <f t="shared" si="54"/>
        <v>853927高山市</v>
      </c>
      <c r="CP858" s="17" t="s">
        <v>8663</v>
      </c>
      <c r="CQ858" s="17" t="b">
        <f t="shared" si="55"/>
        <v>1</v>
      </c>
    </row>
    <row r="859" spans="6:95">
      <c r="F859" s="23"/>
      <c r="I859" s="23"/>
      <c r="L859" s="50" t="s">
        <v>8664</v>
      </c>
      <c r="M859" s="17" t="s">
        <v>8665</v>
      </c>
      <c r="N859" s="51" t="s">
        <v>8666</v>
      </c>
      <c r="O859" s="29" t="s">
        <v>1458</v>
      </c>
      <c r="P859" s="29" t="s">
        <v>8667</v>
      </c>
      <c r="Q859" s="29" t="s">
        <v>1458</v>
      </c>
      <c r="R859" s="29" t="s">
        <v>2200</v>
      </c>
      <c r="S859" s="28" t="s">
        <v>2525</v>
      </c>
      <c r="T859" s="28" t="s">
        <v>2054</v>
      </c>
      <c r="U859" s="28" t="s">
        <v>1441</v>
      </c>
      <c r="V859" s="28" t="s">
        <v>1619</v>
      </c>
      <c r="W859" s="28" t="s">
        <v>8668</v>
      </c>
      <c r="X859" s="17">
        <v>1</v>
      </c>
      <c r="CJ859" s="26" t="s">
        <v>1398</v>
      </c>
      <c r="CK859" s="26" t="s">
        <v>1706</v>
      </c>
      <c r="CL859" s="26" t="str">
        <f t="shared" si="53"/>
        <v>岐阜県多治見市</v>
      </c>
      <c r="CM859" s="49">
        <v>854</v>
      </c>
      <c r="CN859" s="17" t="str">
        <f t="shared" si="52"/>
        <v>0928</v>
      </c>
      <c r="CO859" s="17" t="str">
        <f t="shared" si="54"/>
        <v>854928多治見市</v>
      </c>
      <c r="CP859" s="17" t="s">
        <v>8669</v>
      </c>
      <c r="CQ859" s="17" t="b">
        <f t="shared" si="55"/>
        <v>1</v>
      </c>
    </row>
    <row r="860" spans="6:95">
      <c r="F860" s="23"/>
      <c r="I860" s="23"/>
      <c r="L860" s="50" t="s">
        <v>8670</v>
      </c>
      <c r="M860" s="17" t="s">
        <v>8671</v>
      </c>
      <c r="N860" s="51" t="s">
        <v>8672</v>
      </c>
      <c r="O860" s="29" t="s">
        <v>1458</v>
      </c>
      <c r="P860" s="29" t="s">
        <v>8673</v>
      </c>
      <c r="Q860" s="29" t="s">
        <v>1458</v>
      </c>
      <c r="R860" s="29" t="s">
        <v>2310</v>
      </c>
      <c r="S860" s="28" t="s">
        <v>1862</v>
      </c>
      <c r="T860" s="28" t="s">
        <v>2110</v>
      </c>
      <c r="U860" s="28" t="s">
        <v>1441</v>
      </c>
      <c r="V860" s="28" t="s">
        <v>1619</v>
      </c>
      <c r="W860" s="28" t="s">
        <v>8674</v>
      </c>
      <c r="X860" s="17">
        <v>1</v>
      </c>
      <c r="CJ860" s="26" t="s">
        <v>1398</v>
      </c>
      <c r="CK860" s="26" t="s">
        <v>1765</v>
      </c>
      <c r="CL860" s="26" t="str">
        <f t="shared" si="53"/>
        <v>岐阜県関市</v>
      </c>
      <c r="CM860" s="49">
        <v>855</v>
      </c>
      <c r="CN860" s="17" t="str">
        <f t="shared" si="52"/>
        <v>0929</v>
      </c>
      <c r="CO860" s="17" t="str">
        <f t="shared" si="54"/>
        <v>855929関市</v>
      </c>
      <c r="CP860" s="17" t="s">
        <v>8675</v>
      </c>
      <c r="CQ860" s="17" t="b">
        <f t="shared" si="55"/>
        <v>1</v>
      </c>
    </row>
    <row r="861" spans="6:95">
      <c r="F861" s="23"/>
      <c r="I861" s="23"/>
      <c r="L861" s="50" t="s">
        <v>8676</v>
      </c>
      <c r="M861" s="17" t="s">
        <v>8677</v>
      </c>
      <c r="N861" s="51" t="s">
        <v>8678</v>
      </c>
      <c r="O861" s="29" t="s">
        <v>1458</v>
      </c>
      <c r="P861" s="29" t="s">
        <v>8679</v>
      </c>
      <c r="Q861" s="29" t="s">
        <v>1458</v>
      </c>
      <c r="R861" s="29" t="s">
        <v>2420</v>
      </c>
      <c r="S861" s="28" t="s">
        <v>1977</v>
      </c>
      <c r="T861" s="28" t="s">
        <v>2166</v>
      </c>
      <c r="U861" s="28" t="s">
        <v>1441</v>
      </c>
      <c r="V861" s="28" t="s">
        <v>1619</v>
      </c>
      <c r="W861" s="28" t="s">
        <v>8680</v>
      </c>
      <c r="X861" s="17">
        <v>1</v>
      </c>
      <c r="CJ861" s="26" t="s">
        <v>1398</v>
      </c>
      <c r="CK861" s="26" t="s">
        <v>1825</v>
      </c>
      <c r="CL861" s="26" t="str">
        <f t="shared" si="53"/>
        <v>岐阜県中津川市</v>
      </c>
      <c r="CM861" s="49">
        <v>856</v>
      </c>
      <c r="CN861" s="17" t="str">
        <f t="shared" si="52"/>
        <v>0930</v>
      </c>
      <c r="CO861" s="17" t="str">
        <f t="shared" si="54"/>
        <v>856930中津川市</v>
      </c>
      <c r="CP861" s="17" t="s">
        <v>8681</v>
      </c>
      <c r="CQ861" s="17" t="b">
        <f t="shared" si="55"/>
        <v>1</v>
      </c>
    </row>
    <row r="862" spans="6:95">
      <c r="F862" s="23"/>
      <c r="I862" s="23"/>
      <c r="L862" s="50" t="s">
        <v>8682</v>
      </c>
      <c r="M862" s="17" t="s">
        <v>8683</v>
      </c>
      <c r="N862" s="51" t="s">
        <v>8684</v>
      </c>
      <c r="O862" s="29" t="s">
        <v>1458</v>
      </c>
      <c r="P862" s="29" t="s">
        <v>8685</v>
      </c>
      <c r="Q862" s="29" t="s">
        <v>1458</v>
      </c>
      <c r="R862" s="29" t="s">
        <v>2474</v>
      </c>
      <c r="S862" s="28" t="s">
        <v>1743</v>
      </c>
      <c r="T862" s="28" t="s">
        <v>2221</v>
      </c>
      <c r="U862" s="28" t="s">
        <v>1441</v>
      </c>
      <c r="V862" s="28" t="s">
        <v>1619</v>
      </c>
      <c r="W862" s="28" t="s">
        <v>8686</v>
      </c>
      <c r="X862" s="17">
        <v>1</v>
      </c>
      <c r="CJ862" s="26" t="s">
        <v>1398</v>
      </c>
      <c r="CK862" s="26" t="s">
        <v>1884</v>
      </c>
      <c r="CL862" s="26" t="str">
        <f t="shared" si="53"/>
        <v>岐阜県美濃市</v>
      </c>
      <c r="CM862" s="49">
        <v>857</v>
      </c>
      <c r="CN862" s="17" t="str">
        <f t="shared" si="52"/>
        <v>0931</v>
      </c>
      <c r="CO862" s="17" t="str">
        <f t="shared" si="54"/>
        <v>857931美濃市</v>
      </c>
      <c r="CP862" s="17" t="s">
        <v>8687</v>
      </c>
      <c r="CQ862" s="17" t="b">
        <f t="shared" si="55"/>
        <v>1</v>
      </c>
    </row>
    <row r="863" spans="6:95">
      <c r="F863" s="23"/>
      <c r="I863" s="23"/>
      <c r="L863" s="50" t="s">
        <v>8688</v>
      </c>
      <c r="M863" s="17" t="s">
        <v>8689</v>
      </c>
      <c r="N863" s="51" t="s">
        <v>8690</v>
      </c>
      <c r="O863" s="29" t="s">
        <v>1458</v>
      </c>
      <c r="P863" s="29" t="s">
        <v>8691</v>
      </c>
      <c r="Q863" s="29" t="s">
        <v>1458</v>
      </c>
      <c r="R863" s="29" t="s">
        <v>2524</v>
      </c>
      <c r="S863" s="28" t="s">
        <v>1803</v>
      </c>
      <c r="T863" s="28" t="s">
        <v>2276</v>
      </c>
      <c r="U863" s="28" t="s">
        <v>1441</v>
      </c>
      <c r="V863" s="28" t="s">
        <v>1619</v>
      </c>
      <c r="W863" s="28" t="s">
        <v>8692</v>
      </c>
      <c r="X863" s="17">
        <v>1</v>
      </c>
      <c r="CJ863" s="26" t="s">
        <v>1398</v>
      </c>
      <c r="CK863" s="26" t="s">
        <v>1942</v>
      </c>
      <c r="CL863" s="26" t="str">
        <f t="shared" si="53"/>
        <v>岐阜県瑞浪市</v>
      </c>
      <c r="CM863" s="49">
        <v>858</v>
      </c>
      <c r="CN863" s="17" t="str">
        <f t="shared" si="52"/>
        <v>0932</v>
      </c>
      <c r="CO863" s="17" t="str">
        <f t="shared" si="54"/>
        <v>858932瑞浪市</v>
      </c>
      <c r="CP863" s="17" t="s">
        <v>8693</v>
      </c>
      <c r="CQ863" s="17" t="b">
        <f t="shared" si="55"/>
        <v>1</v>
      </c>
    </row>
    <row r="864" spans="6:95">
      <c r="F864" s="23"/>
      <c r="I864" s="23"/>
      <c r="L864" s="50" t="s">
        <v>8694</v>
      </c>
      <c r="M864" s="17" t="s">
        <v>8695</v>
      </c>
      <c r="N864" s="51" t="s">
        <v>8696</v>
      </c>
      <c r="O864" s="29" t="s">
        <v>1458</v>
      </c>
      <c r="P864" s="29" t="s">
        <v>8697</v>
      </c>
      <c r="Q864" s="29" t="s">
        <v>1458</v>
      </c>
      <c r="R864" s="29" t="s">
        <v>2576</v>
      </c>
      <c r="S864" s="28" t="s">
        <v>1862</v>
      </c>
      <c r="T864" s="28" t="s">
        <v>2332</v>
      </c>
      <c r="U864" s="28" t="s">
        <v>1441</v>
      </c>
      <c r="V864" s="28" t="s">
        <v>1619</v>
      </c>
      <c r="W864" s="28" t="s">
        <v>8698</v>
      </c>
      <c r="X864" s="17">
        <v>1</v>
      </c>
      <c r="CJ864" s="26" t="s">
        <v>1398</v>
      </c>
      <c r="CK864" s="26" t="s">
        <v>1999</v>
      </c>
      <c r="CL864" s="26" t="str">
        <f t="shared" si="53"/>
        <v>岐阜県羽島市</v>
      </c>
      <c r="CM864" s="49">
        <v>859</v>
      </c>
      <c r="CN864" s="17" t="str">
        <f t="shared" si="52"/>
        <v>0933</v>
      </c>
      <c r="CO864" s="17" t="str">
        <f t="shared" si="54"/>
        <v>859933羽島市</v>
      </c>
      <c r="CP864" s="17" t="s">
        <v>8699</v>
      </c>
      <c r="CQ864" s="17" t="b">
        <f t="shared" si="55"/>
        <v>1</v>
      </c>
    </row>
    <row r="865" spans="6:95">
      <c r="F865" s="23"/>
      <c r="I865" s="23"/>
      <c r="L865" s="50" t="s">
        <v>8700</v>
      </c>
      <c r="M865" s="17" t="s">
        <v>8701</v>
      </c>
      <c r="N865" s="51" t="s">
        <v>8702</v>
      </c>
      <c r="O865" s="29" t="s">
        <v>1458</v>
      </c>
      <c r="P865" s="29" t="s">
        <v>8703</v>
      </c>
      <c r="Q865" s="29" t="s">
        <v>1458</v>
      </c>
      <c r="R865" s="29" t="s">
        <v>3142</v>
      </c>
      <c r="S865" s="28" t="s">
        <v>1743</v>
      </c>
      <c r="T865" s="28" t="s">
        <v>2386</v>
      </c>
      <c r="U865" s="28" t="s">
        <v>1441</v>
      </c>
      <c r="V865" s="28" t="s">
        <v>1619</v>
      </c>
      <c r="W865" s="28" t="s">
        <v>8704</v>
      </c>
      <c r="X865" s="17">
        <v>1</v>
      </c>
      <c r="CJ865" s="26" t="s">
        <v>1398</v>
      </c>
      <c r="CK865" s="26" t="s">
        <v>2055</v>
      </c>
      <c r="CL865" s="26" t="str">
        <f t="shared" si="53"/>
        <v>岐阜県恵那市</v>
      </c>
      <c r="CM865" s="49">
        <v>860</v>
      </c>
      <c r="CN865" s="17" t="str">
        <f t="shared" si="52"/>
        <v>0934</v>
      </c>
      <c r="CO865" s="17" t="str">
        <f t="shared" si="54"/>
        <v>860934恵那市</v>
      </c>
      <c r="CP865" s="17" t="s">
        <v>8705</v>
      </c>
      <c r="CQ865" s="17" t="b">
        <f t="shared" si="55"/>
        <v>1</v>
      </c>
    </row>
    <row r="866" spans="6:95">
      <c r="F866" s="23"/>
      <c r="I866" s="23"/>
      <c r="L866" s="50" t="s">
        <v>8706</v>
      </c>
      <c r="M866" s="17" t="s">
        <v>8707</v>
      </c>
      <c r="N866" s="51" t="s">
        <v>8708</v>
      </c>
      <c r="O866" s="29" t="s">
        <v>1458</v>
      </c>
      <c r="P866" s="29" t="s">
        <v>8709</v>
      </c>
      <c r="Q866" s="29" t="s">
        <v>1458</v>
      </c>
      <c r="R866" s="29" t="s">
        <v>3173</v>
      </c>
      <c r="S866" s="28" t="s">
        <v>1803</v>
      </c>
      <c r="T866" s="28" t="s">
        <v>2441</v>
      </c>
      <c r="U866" s="28" t="s">
        <v>1441</v>
      </c>
      <c r="V866" s="28" t="s">
        <v>1619</v>
      </c>
      <c r="W866" s="28" t="s">
        <v>8710</v>
      </c>
      <c r="X866" s="17">
        <v>1</v>
      </c>
      <c r="CJ866" s="26" t="s">
        <v>1398</v>
      </c>
      <c r="CK866" s="26" t="s">
        <v>2111</v>
      </c>
      <c r="CL866" s="26" t="str">
        <f t="shared" si="53"/>
        <v>岐阜県美濃加茂市</v>
      </c>
      <c r="CM866" s="49">
        <v>861</v>
      </c>
      <c r="CN866" s="17" t="str">
        <f t="shared" si="52"/>
        <v>0935</v>
      </c>
      <c r="CO866" s="17" t="str">
        <f t="shared" si="54"/>
        <v>861935美濃加茂市</v>
      </c>
      <c r="CP866" s="17" t="s">
        <v>8711</v>
      </c>
      <c r="CQ866" s="17" t="b">
        <f t="shared" si="55"/>
        <v>1</v>
      </c>
    </row>
    <row r="867" spans="6:95">
      <c r="F867" s="23"/>
      <c r="I867" s="23"/>
      <c r="L867" s="50" t="s">
        <v>8712</v>
      </c>
      <c r="M867" s="17" t="s">
        <v>8713</v>
      </c>
      <c r="N867" s="51" t="s">
        <v>8714</v>
      </c>
      <c r="O867" s="29" t="s">
        <v>1458</v>
      </c>
      <c r="P867" s="29" t="s">
        <v>8715</v>
      </c>
      <c r="Q867" s="29" t="s">
        <v>1458</v>
      </c>
      <c r="R867" s="29" t="s">
        <v>7681</v>
      </c>
      <c r="S867" s="28" t="s">
        <v>1626</v>
      </c>
      <c r="T867" s="28" t="s">
        <v>2484</v>
      </c>
      <c r="U867" s="28" t="s">
        <v>1441</v>
      </c>
      <c r="V867" s="28" t="s">
        <v>1619</v>
      </c>
      <c r="W867" s="28" t="s">
        <v>8716</v>
      </c>
      <c r="X867" s="17">
        <v>1</v>
      </c>
      <c r="CJ867" s="26" t="s">
        <v>1398</v>
      </c>
      <c r="CK867" s="26" t="s">
        <v>2167</v>
      </c>
      <c r="CL867" s="26" t="str">
        <f t="shared" si="53"/>
        <v>岐阜県土岐市</v>
      </c>
      <c r="CM867" s="49">
        <v>862</v>
      </c>
      <c r="CN867" s="17" t="str">
        <f t="shared" si="52"/>
        <v>0936</v>
      </c>
      <c r="CO867" s="17" t="str">
        <f t="shared" si="54"/>
        <v>862936土岐市</v>
      </c>
      <c r="CP867" s="17" t="s">
        <v>8717</v>
      </c>
      <c r="CQ867" s="17" t="b">
        <f t="shared" si="55"/>
        <v>1</v>
      </c>
    </row>
    <row r="868" spans="6:95">
      <c r="F868" s="23"/>
      <c r="I868" s="23"/>
      <c r="L868" s="50" t="s">
        <v>8718</v>
      </c>
      <c r="M868" s="17" t="s">
        <v>8719</v>
      </c>
      <c r="N868" s="51" t="s">
        <v>8720</v>
      </c>
      <c r="O868" s="29" t="s">
        <v>1458</v>
      </c>
      <c r="P868" s="29" t="s">
        <v>8721</v>
      </c>
      <c r="Q868" s="29" t="s">
        <v>1458</v>
      </c>
      <c r="R868" s="29" t="s">
        <v>8722</v>
      </c>
      <c r="S868" s="28" t="s">
        <v>1502</v>
      </c>
      <c r="T868" s="28" t="s">
        <v>2544</v>
      </c>
      <c r="U868" s="28" t="s">
        <v>1441</v>
      </c>
      <c r="V868" s="28" t="s">
        <v>1619</v>
      </c>
      <c r="W868" s="28" t="s">
        <v>8723</v>
      </c>
      <c r="X868" s="17">
        <v>1</v>
      </c>
      <c r="CJ868" s="26" t="s">
        <v>1398</v>
      </c>
      <c r="CK868" s="26" t="s">
        <v>2222</v>
      </c>
      <c r="CL868" s="26" t="str">
        <f t="shared" si="53"/>
        <v>岐阜県各務原市</v>
      </c>
      <c r="CM868" s="49">
        <v>863</v>
      </c>
      <c r="CN868" s="17" t="str">
        <f t="shared" si="52"/>
        <v>0937</v>
      </c>
      <c r="CO868" s="17" t="str">
        <f t="shared" si="54"/>
        <v>863937各務原市</v>
      </c>
      <c r="CP868" s="17" t="s">
        <v>8724</v>
      </c>
      <c r="CQ868" s="17" t="b">
        <f t="shared" si="55"/>
        <v>1</v>
      </c>
    </row>
    <row r="869" spans="6:95">
      <c r="F869" s="23"/>
      <c r="I869" s="23"/>
      <c r="L869" s="50" t="s">
        <v>8725</v>
      </c>
      <c r="M869" s="17" t="s">
        <v>8726</v>
      </c>
      <c r="N869" s="51" t="s">
        <v>8727</v>
      </c>
      <c r="O869" s="29" t="s">
        <v>1458</v>
      </c>
      <c r="P869" s="29" t="s">
        <v>8728</v>
      </c>
      <c r="Q869" s="29" t="s">
        <v>1458</v>
      </c>
      <c r="R869" s="29" t="s">
        <v>4672</v>
      </c>
      <c r="S869" s="28" t="s">
        <v>2525</v>
      </c>
      <c r="T869" s="28" t="s">
        <v>2593</v>
      </c>
      <c r="U869" s="28" t="s">
        <v>1441</v>
      </c>
      <c r="V869" s="28" t="s">
        <v>1619</v>
      </c>
      <c r="W869" s="28" t="s">
        <v>8729</v>
      </c>
      <c r="X869" s="17">
        <v>1</v>
      </c>
      <c r="CJ869" s="26" t="s">
        <v>1398</v>
      </c>
      <c r="CK869" s="26" t="s">
        <v>2277</v>
      </c>
      <c r="CL869" s="26" t="str">
        <f t="shared" si="53"/>
        <v>岐阜県可児市</v>
      </c>
      <c r="CM869" s="49">
        <v>864</v>
      </c>
      <c r="CN869" s="17" t="str">
        <f t="shared" si="52"/>
        <v>0938</v>
      </c>
      <c r="CO869" s="17" t="str">
        <f t="shared" si="54"/>
        <v>864938可児市</v>
      </c>
      <c r="CP869" s="17" t="s">
        <v>8730</v>
      </c>
      <c r="CQ869" s="17" t="b">
        <f t="shared" si="55"/>
        <v>1</v>
      </c>
    </row>
    <row r="870" spans="6:95">
      <c r="F870" s="23"/>
      <c r="I870" s="23"/>
      <c r="L870" s="50" t="s">
        <v>8731</v>
      </c>
      <c r="M870" s="17" t="s">
        <v>8732</v>
      </c>
      <c r="N870" s="51" t="s">
        <v>8733</v>
      </c>
      <c r="O870" s="29" t="s">
        <v>1458</v>
      </c>
      <c r="P870" s="29" t="s">
        <v>8734</v>
      </c>
      <c r="Q870" s="29" t="s">
        <v>1458</v>
      </c>
      <c r="R870" s="29" t="s">
        <v>6217</v>
      </c>
      <c r="S870" s="28" t="s">
        <v>1564</v>
      </c>
      <c r="T870" s="28" t="s">
        <v>2640</v>
      </c>
      <c r="U870" s="28" t="s">
        <v>1441</v>
      </c>
      <c r="V870" s="28" t="s">
        <v>1619</v>
      </c>
      <c r="W870" s="28" t="s">
        <v>8735</v>
      </c>
      <c r="X870" s="17">
        <v>1</v>
      </c>
      <c r="CJ870" s="26" t="s">
        <v>1398</v>
      </c>
      <c r="CK870" s="26" t="s">
        <v>2333</v>
      </c>
      <c r="CL870" s="26" t="str">
        <f t="shared" si="53"/>
        <v>岐阜県山県市</v>
      </c>
      <c r="CM870" s="49">
        <v>865</v>
      </c>
      <c r="CN870" s="17" t="str">
        <f t="shared" si="52"/>
        <v>0939</v>
      </c>
      <c r="CO870" s="17" t="str">
        <f t="shared" si="54"/>
        <v>865939山県市</v>
      </c>
      <c r="CP870" s="17" t="s">
        <v>8736</v>
      </c>
      <c r="CQ870" s="17" t="b">
        <f t="shared" si="55"/>
        <v>1</v>
      </c>
    </row>
    <row r="871" spans="6:95">
      <c r="F871" s="23"/>
      <c r="I871" s="23"/>
      <c r="L871" s="50" t="s">
        <v>8737</v>
      </c>
      <c r="M871" s="17" t="s">
        <v>8738</v>
      </c>
      <c r="N871" s="51" t="s">
        <v>8739</v>
      </c>
      <c r="O871" s="29" t="s">
        <v>1458</v>
      </c>
      <c r="P871" s="29" t="s">
        <v>8740</v>
      </c>
      <c r="Q871" s="29" t="s">
        <v>1458</v>
      </c>
      <c r="R871" s="29" t="s">
        <v>4679</v>
      </c>
      <c r="S871" s="28" t="s">
        <v>1977</v>
      </c>
      <c r="T871" s="28" t="s">
        <v>2686</v>
      </c>
      <c r="U871" s="28" t="s">
        <v>1441</v>
      </c>
      <c r="V871" s="28" t="s">
        <v>1619</v>
      </c>
      <c r="W871" s="28" t="s">
        <v>8741</v>
      </c>
      <c r="X871" s="17">
        <v>1</v>
      </c>
      <c r="CJ871" s="26" t="s">
        <v>1398</v>
      </c>
      <c r="CK871" s="26" t="s">
        <v>2387</v>
      </c>
      <c r="CL871" s="26" t="str">
        <f t="shared" si="53"/>
        <v>岐阜県飛騨市</v>
      </c>
      <c r="CM871" s="49">
        <v>866</v>
      </c>
      <c r="CN871" s="17" t="str">
        <f t="shared" si="52"/>
        <v>0940</v>
      </c>
      <c r="CO871" s="17" t="str">
        <f t="shared" si="54"/>
        <v>866940飛騨市</v>
      </c>
      <c r="CP871" s="17" t="s">
        <v>8742</v>
      </c>
      <c r="CQ871" s="17" t="b">
        <f t="shared" si="55"/>
        <v>1</v>
      </c>
    </row>
    <row r="872" spans="6:95">
      <c r="F872" s="23"/>
      <c r="I872" s="23"/>
      <c r="L872" s="50" t="s">
        <v>8743</v>
      </c>
      <c r="M872" s="17" t="s">
        <v>8744</v>
      </c>
      <c r="N872" s="51" t="s">
        <v>8745</v>
      </c>
      <c r="O872" s="29" t="s">
        <v>1458</v>
      </c>
      <c r="P872" s="29" t="s">
        <v>8746</v>
      </c>
      <c r="Q872" s="29" t="s">
        <v>1458</v>
      </c>
      <c r="R872" s="29" t="s">
        <v>4686</v>
      </c>
      <c r="S872" s="28" t="s">
        <v>1803</v>
      </c>
      <c r="T872" s="28" t="s">
        <v>2732</v>
      </c>
      <c r="U872" s="28" t="s">
        <v>1441</v>
      </c>
      <c r="V872" s="28" t="s">
        <v>1619</v>
      </c>
      <c r="W872" s="28" t="s">
        <v>8747</v>
      </c>
      <c r="X872" s="17">
        <v>1</v>
      </c>
      <c r="CJ872" s="26" t="s">
        <v>1398</v>
      </c>
      <c r="CK872" s="26" t="s">
        <v>2442</v>
      </c>
      <c r="CL872" s="26" t="str">
        <f t="shared" si="53"/>
        <v>岐阜県郡上市</v>
      </c>
      <c r="CM872" s="49">
        <v>867</v>
      </c>
      <c r="CN872" s="17" t="str">
        <f t="shared" si="52"/>
        <v>0941</v>
      </c>
      <c r="CO872" s="17" t="str">
        <f t="shared" si="54"/>
        <v>867941郡上市</v>
      </c>
      <c r="CP872" s="17" t="s">
        <v>8748</v>
      </c>
      <c r="CQ872" s="17" t="b">
        <f t="shared" si="55"/>
        <v>1</v>
      </c>
    </row>
    <row r="873" spans="6:95">
      <c r="F873" s="23"/>
      <c r="I873" s="23"/>
      <c r="L873" s="50" t="s">
        <v>8749</v>
      </c>
      <c r="M873" s="17" t="s">
        <v>8750</v>
      </c>
      <c r="N873" s="51" t="s">
        <v>8751</v>
      </c>
      <c r="O873" s="29" t="s">
        <v>1458</v>
      </c>
      <c r="P873" s="29" t="s">
        <v>8752</v>
      </c>
      <c r="Q873" s="29" t="s">
        <v>1458</v>
      </c>
      <c r="R873" s="29" t="s">
        <v>5190</v>
      </c>
      <c r="S873" s="28" t="s">
        <v>1862</v>
      </c>
      <c r="T873" s="28" t="s">
        <v>2776</v>
      </c>
      <c r="U873" s="28" t="s">
        <v>1441</v>
      </c>
      <c r="V873" s="28" t="s">
        <v>1619</v>
      </c>
      <c r="W873" s="28" t="s">
        <v>8753</v>
      </c>
      <c r="X873" s="17">
        <v>1</v>
      </c>
      <c r="CJ873" s="26" t="s">
        <v>1398</v>
      </c>
      <c r="CK873" s="26" t="s">
        <v>2493</v>
      </c>
      <c r="CL873" s="26" t="str">
        <f t="shared" si="53"/>
        <v>岐阜県下呂市</v>
      </c>
      <c r="CM873" s="49">
        <v>868</v>
      </c>
      <c r="CN873" s="17" t="str">
        <f t="shared" si="52"/>
        <v>0942</v>
      </c>
      <c r="CO873" s="17" t="str">
        <f t="shared" si="54"/>
        <v>868942下呂市</v>
      </c>
      <c r="CP873" s="17" t="s">
        <v>8754</v>
      </c>
      <c r="CQ873" s="17" t="b">
        <f t="shared" si="55"/>
        <v>1</v>
      </c>
    </row>
    <row r="874" spans="6:95">
      <c r="F874" s="23"/>
      <c r="I874" s="23"/>
      <c r="L874" s="50" t="s">
        <v>8755</v>
      </c>
      <c r="M874" s="17" t="s">
        <v>8756</v>
      </c>
      <c r="N874" s="51" t="s">
        <v>8757</v>
      </c>
      <c r="O874" s="29" t="s">
        <v>1458</v>
      </c>
      <c r="P874" s="29" t="s">
        <v>8758</v>
      </c>
      <c r="Q874" s="29" t="s">
        <v>1458</v>
      </c>
      <c r="R874" s="29" t="s">
        <v>5367</v>
      </c>
      <c r="S874" s="28" t="s">
        <v>1502</v>
      </c>
      <c r="T874" s="28" t="s">
        <v>2818</v>
      </c>
      <c r="U874" s="28" t="s">
        <v>1441</v>
      </c>
      <c r="V874" s="28" t="s">
        <v>1619</v>
      </c>
      <c r="W874" s="28" t="s">
        <v>8759</v>
      </c>
      <c r="X874" s="17">
        <v>1</v>
      </c>
      <c r="CJ874" s="26" t="s">
        <v>1398</v>
      </c>
      <c r="CK874" s="26" t="s">
        <v>2545</v>
      </c>
      <c r="CL874" s="26" t="str">
        <f t="shared" si="53"/>
        <v>岐阜県海津市</v>
      </c>
      <c r="CM874" s="49">
        <v>869</v>
      </c>
      <c r="CN874" s="17" t="str">
        <f t="shared" si="52"/>
        <v>0943</v>
      </c>
      <c r="CO874" s="17" t="str">
        <f t="shared" si="54"/>
        <v>869943海津市</v>
      </c>
      <c r="CP874" s="17" t="s">
        <v>8760</v>
      </c>
      <c r="CQ874" s="17" t="b">
        <f t="shared" si="55"/>
        <v>1</v>
      </c>
    </row>
    <row r="875" spans="6:95">
      <c r="F875" s="23"/>
      <c r="I875" s="23"/>
      <c r="L875" s="50" t="s">
        <v>8761</v>
      </c>
      <c r="M875" s="17" t="s">
        <v>8762</v>
      </c>
      <c r="N875" s="51" t="s">
        <v>8763</v>
      </c>
      <c r="O875" s="29" t="s">
        <v>1458</v>
      </c>
      <c r="P875" s="29" t="s">
        <v>8764</v>
      </c>
      <c r="Q875" s="29" t="s">
        <v>1458</v>
      </c>
      <c r="R875" s="29" t="s">
        <v>8765</v>
      </c>
      <c r="S875" s="28" t="s">
        <v>2525</v>
      </c>
      <c r="T875" s="28" t="s">
        <v>2858</v>
      </c>
      <c r="U875" s="28" t="s">
        <v>1441</v>
      </c>
      <c r="V875" s="28" t="s">
        <v>1619</v>
      </c>
      <c r="W875" s="28" t="s">
        <v>8764</v>
      </c>
      <c r="X875" s="17">
        <v>1</v>
      </c>
      <c r="CJ875" s="26" t="s">
        <v>1398</v>
      </c>
      <c r="CK875" s="26" t="s">
        <v>2594</v>
      </c>
      <c r="CL875" s="26" t="str">
        <f t="shared" si="53"/>
        <v>岐阜県岐南町</v>
      </c>
      <c r="CM875" s="49">
        <v>870</v>
      </c>
      <c r="CN875" s="17" t="str">
        <f t="shared" si="52"/>
        <v>0944</v>
      </c>
      <c r="CO875" s="17" t="str">
        <f t="shared" si="54"/>
        <v>870944岐南町</v>
      </c>
      <c r="CP875" s="17" t="s">
        <v>8766</v>
      </c>
      <c r="CQ875" s="17" t="b">
        <f t="shared" si="55"/>
        <v>1</v>
      </c>
    </row>
    <row r="876" spans="6:95">
      <c r="F876" s="23"/>
      <c r="I876" s="23"/>
      <c r="L876" s="50" t="s">
        <v>8767</v>
      </c>
      <c r="M876" s="17" t="s">
        <v>8768</v>
      </c>
      <c r="N876" s="51" t="s">
        <v>8769</v>
      </c>
      <c r="O876" s="29" t="s">
        <v>1458</v>
      </c>
      <c r="P876" s="29" t="s">
        <v>8770</v>
      </c>
      <c r="Q876" s="29" t="s">
        <v>1458</v>
      </c>
      <c r="R876" s="29" t="s">
        <v>5614</v>
      </c>
      <c r="S876" s="28" t="s">
        <v>1920</v>
      </c>
      <c r="T876" s="28" t="s">
        <v>2897</v>
      </c>
      <c r="U876" s="28" t="s">
        <v>1441</v>
      </c>
      <c r="V876" s="28" t="s">
        <v>1619</v>
      </c>
      <c r="W876" s="28" t="s">
        <v>8771</v>
      </c>
      <c r="X876" s="17">
        <v>1</v>
      </c>
      <c r="CJ876" s="26" t="s">
        <v>1398</v>
      </c>
      <c r="CK876" s="26" t="s">
        <v>2641</v>
      </c>
      <c r="CL876" s="26" t="str">
        <f t="shared" si="53"/>
        <v>岐阜県笠松町</v>
      </c>
      <c r="CM876" s="49">
        <v>871</v>
      </c>
      <c r="CN876" s="17" t="str">
        <f t="shared" si="52"/>
        <v>0945</v>
      </c>
      <c r="CO876" s="17" t="str">
        <f t="shared" si="54"/>
        <v>871945笠松町</v>
      </c>
      <c r="CP876" s="17" t="s">
        <v>8772</v>
      </c>
      <c r="CQ876" s="17" t="b">
        <f t="shared" si="55"/>
        <v>1</v>
      </c>
    </row>
    <row r="877" spans="6:95">
      <c r="F877" s="23"/>
      <c r="I877" s="23"/>
      <c r="L877" s="50" t="s">
        <v>8773</v>
      </c>
      <c r="M877" s="17" t="s">
        <v>8774</v>
      </c>
      <c r="N877" s="51" t="s">
        <v>8775</v>
      </c>
      <c r="O877" s="29" t="s">
        <v>1458</v>
      </c>
      <c r="P877" s="29" t="s">
        <v>8776</v>
      </c>
      <c r="Q877" s="29" t="s">
        <v>1458</v>
      </c>
      <c r="R877" s="29" t="s">
        <v>6536</v>
      </c>
      <c r="S877" s="28" t="s">
        <v>1977</v>
      </c>
      <c r="T877" s="28" t="s">
        <v>2933</v>
      </c>
      <c r="U877" s="28" t="s">
        <v>1441</v>
      </c>
      <c r="V877" s="28" t="s">
        <v>1619</v>
      </c>
      <c r="W877" s="28" t="s">
        <v>8777</v>
      </c>
      <c r="X877" s="17">
        <v>1</v>
      </c>
      <c r="CJ877" s="26" t="s">
        <v>1398</v>
      </c>
      <c r="CK877" s="26" t="s">
        <v>2687</v>
      </c>
      <c r="CL877" s="26" t="str">
        <f t="shared" si="53"/>
        <v>岐阜県養老町</v>
      </c>
      <c r="CM877" s="49">
        <v>872</v>
      </c>
      <c r="CN877" s="17" t="str">
        <f t="shared" si="52"/>
        <v>0946</v>
      </c>
      <c r="CO877" s="17" t="str">
        <f t="shared" si="54"/>
        <v>872946養老町</v>
      </c>
      <c r="CP877" s="17" t="s">
        <v>8778</v>
      </c>
      <c r="CQ877" s="17" t="b">
        <f t="shared" si="55"/>
        <v>1</v>
      </c>
    </row>
    <row r="878" spans="6:95">
      <c r="F878" s="23"/>
      <c r="I878" s="23"/>
      <c r="L878" s="50" t="s">
        <v>8779</v>
      </c>
      <c r="M878" s="17" t="s">
        <v>8780</v>
      </c>
      <c r="N878" s="51" t="s">
        <v>8781</v>
      </c>
      <c r="O878" s="29" t="s">
        <v>1458</v>
      </c>
      <c r="P878" s="29" t="s">
        <v>8782</v>
      </c>
      <c r="Q878" s="29" t="s">
        <v>1458</v>
      </c>
      <c r="R878" s="29" t="s">
        <v>4723</v>
      </c>
      <c r="S878" s="28" t="s">
        <v>1743</v>
      </c>
      <c r="T878" s="28" t="s">
        <v>2966</v>
      </c>
      <c r="U878" s="28" t="s">
        <v>1441</v>
      </c>
      <c r="V878" s="28" t="s">
        <v>1619</v>
      </c>
      <c r="W878" s="28" t="s">
        <v>8783</v>
      </c>
      <c r="X878" s="17">
        <v>1</v>
      </c>
      <c r="CJ878" s="26" t="s">
        <v>1398</v>
      </c>
      <c r="CK878" s="26" t="s">
        <v>2733</v>
      </c>
      <c r="CL878" s="26" t="str">
        <f t="shared" si="53"/>
        <v>岐阜県垂井町</v>
      </c>
      <c r="CM878" s="49">
        <v>873</v>
      </c>
      <c r="CN878" s="17" t="str">
        <f t="shared" si="52"/>
        <v>0947</v>
      </c>
      <c r="CO878" s="17" t="str">
        <f t="shared" si="54"/>
        <v>873947垂井町</v>
      </c>
      <c r="CP878" s="17" t="s">
        <v>8784</v>
      </c>
      <c r="CQ878" s="17" t="b">
        <f t="shared" si="55"/>
        <v>1</v>
      </c>
    </row>
    <row r="879" spans="6:95">
      <c r="F879" s="23"/>
      <c r="I879" s="23"/>
      <c r="L879" s="50" t="s">
        <v>8785</v>
      </c>
      <c r="M879" s="17" t="s">
        <v>8786</v>
      </c>
      <c r="N879" s="51" t="s">
        <v>8787</v>
      </c>
      <c r="O879" s="29" t="s">
        <v>1458</v>
      </c>
      <c r="P879" s="29" t="s">
        <v>8788</v>
      </c>
      <c r="Q879" s="29" t="s">
        <v>1458</v>
      </c>
      <c r="R879" s="29" t="s">
        <v>6991</v>
      </c>
      <c r="S879" s="28" t="s">
        <v>1564</v>
      </c>
      <c r="T879" s="28" t="s">
        <v>3000</v>
      </c>
      <c r="U879" s="28" t="s">
        <v>1441</v>
      </c>
      <c r="V879" s="28" t="s">
        <v>1619</v>
      </c>
      <c r="W879" s="28" t="s">
        <v>8789</v>
      </c>
      <c r="X879" s="17">
        <v>1</v>
      </c>
      <c r="CJ879" s="26" t="s">
        <v>1398</v>
      </c>
      <c r="CK879" s="26" t="s">
        <v>2777</v>
      </c>
      <c r="CL879" s="26" t="str">
        <f t="shared" si="53"/>
        <v>岐阜県関ヶ原町</v>
      </c>
      <c r="CM879" s="49">
        <v>874</v>
      </c>
      <c r="CN879" s="17" t="str">
        <f t="shared" si="52"/>
        <v>0948</v>
      </c>
      <c r="CO879" s="17" t="str">
        <f t="shared" si="54"/>
        <v>874948関ヶ原町</v>
      </c>
      <c r="CP879" s="17" t="s">
        <v>8790</v>
      </c>
      <c r="CQ879" s="17" t="b">
        <f t="shared" si="55"/>
        <v>1</v>
      </c>
    </row>
    <row r="880" spans="6:95">
      <c r="F880" s="23"/>
      <c r="I880" s="23"/>
      <c r="L880" s="50" t="s">
        <v>8791</v>
      </c>
      <c r="M880" s="17" t="s">
        <v>8792</v>
      </c>
      <c r="N880" s="51" t="s">
        <v>8793</v>
      </c>
      <c r="O880" s="29" t="s">
        <v>1458</v>
      </c>
      <c r="P880" s="29" t="s">
        <v>8794</v>
      </c>
      <c r="Q880" s="29" t="s">
        <v>1458</v>
      </c>
      <c r="R880" s="29" t="s">
        <v>6415</v>
      </c>
      <c r="S880" s="28" t="s">
        <v>1626</v>
      </c>
      <c r="T880" s="28" t="s">
        <v>3033</v>
      </c>
      <c r="U880" s="28" t="s">
        <v>1441</v>
      </c>
      <c r="V880" s="28" t="s">
        <v>1619</v>
      </c>
      <c r="W880" s="28" t="s">
        <v>8795</v>
      </c>
      <c r="X880" s="17">
        <v>1</v>
      </c>
      <c r="CJ880" s="26" t="s">
        <v>1398</v>
      </c>
      <c r="CK880" s="26" t="s">
        <v>2819</v>
      </c>
      <c r="CL880" s="26" t="str">
        <f t="shared" si="53"/>
        <v>岐阜県坂祝町</v>
      </c>
      <c r="CM880" s="49">
        <v>875</v>
      </c>
      <c r="CN880" s="17" t="str">
        <f t="shared" si="52"/>
        <v>0949</v>
      </c>
      <c r="CO880" s="17" t="str">
        <f t="shared" si="54"/>
        <v>875949坂祝町</v>
      </c>
      <c r="CP880" s="17" t="s">
        <v>8796</v>
      </c>
      <c r="CQ880" s="17" t="b">
        <f t="shared" si="55"/>
        <v>1</v>
      </c>
    </row>
    <row r="881" spans="6:95">
      <c r="F881" s="23"/>
      <c r="I881" s="23"/>
      <c r="L881" s="50" t="s">
        <v>8797</v>
      </c>
      <c r="M881" s="17" t="s">
        <v>8798</v>
      </c>
      <c r="N881" s="51" t="s">
        <v>8799</v>
      </c>
      <c r="O881" s="29" t="s">
        <v>1458</v>
      </c>
      <c r="P881" s="29" t="s">
        <v>8800</v>
      </c>
      <c r="Q881" s="29" t="s">
        <v>1458</v>
      </c>
      <c r="R881" s="29" t="s">
        <v>8801</v>
      </c>
      <c r="S881" s="28" t="s">
        <v>2525</v>
      </c>
      <c r="T881" s="28" t="s">
        <v>3064</v>
      </c>
      <c r="U881" s="28" t="s">
        <v>1441</v>
      </c>
      <c r="V881" s="28" t="s">
        <v>1619</v>
      </c>
      <c r="W881" s="28" t="s">
        <v>8802</v>
      </c>
      <c r="X881" s="17">
        <v>1</v>
      </c>
      <c r="CJ881" s="26" t="s">
        <v>1398</v>
      </c>
      <c r="CK881" s="26" t="s">
        <v>2859</v>
      </c>
      <c r="CL881" s="26" t="str">
        <f t="shared" si="53"/>
        <v>岐阜県富加町</v>
      </c>
      <c r="CM881" s="49">
        <v>876</v>
      </c>
      <c r="CN881" s="17" t="str">
        <f t="shared" si="52"/>
        <v>0950</v>
      </c>
      <c r="CO881" s="17" t="str">
        <f t="shared" si="54"/>
        <v>876950富加町</v>
      </c>
      <c r="CP881" s="17" t="s">
        <v>8803</v>
      </c>
      <c r="CQ881" s="17" t="b">
        <f t="shared" si="55"/>
        <v>1</v>
      </c>
    </row>
    <row r="882" spans="6:95">
      <c r="F882" s="23"/>
      <c r="I882" s="23"/>
      <c r="L882" s="50" t="s">
        <v>8804</v>
      </c>
      <c r="M882" s="17" t="s">
        <v>8805</v>
      </c>
      <c r="N882" s="51" t="s">
        <v>8806</v>
      </c>
      <c r="O882" s="29" t="s">
        <v>1458</v>
      </c>
      <c r="P882" s="29" t="s">
        <v>8807</v>
      </c>
      <c r="Q882" s="29" t="s">
        <v>1458</v>
      </c>
      <c r="R882" s="29" t="s">
        <v>3512</v>
      </c>
      <c r="S882" s="28" t="s">
        <v>1743</v>
      </c>
      <c r="T882" s="28" t="s">
        <v>3094</v>
      </c>
      <c r="U882" s="28" t="s">
        <v>1441</v>
      </c>
      <c r="V882" s="28" t="s">
        <v>1619</v>
      </c>
      <c r="W882" s="28" t="s">
        <v>8808</v>
      </c>
      <c r="X882" s="17">
        <v>1</v>
      </c>
      <c r="CJ882" s="26" t="s">
        <v>1398</v>
      </c>
      <c r="CK882" s="26" t="s">
        <v>2898</v>
      </c>
      <c r="CL882" s="26" t="str">
        <f t="shared" si="53"/>
        <v>岐阜県川辺町</v>
      </c>
      <c r="CM882" s="49">
        <v>877</v>
      </c>
      <c r="CN882" s="17" t="str">
        <f t="shared" si="52"/>
        <v>0951</v>
      </c>
      <c r="CO882" s="17" t="str">
        <f t="shared" si="54"/>
        <v>877951川辺町</v>
      </c>
      <c r="CP882" s="17" t="s">
        <v>8809</v>
      </c>
      <c r="CQ882" s="17" t="b">
        <f t="shared" si="55"/>
        <v>1</v>
      </c>
    </row>
    <row r="883" spans="6:95">
      <c r="F883" s="23"/>
      <c r="I883" s="23"/>
      <c r="L883" s="50" t="s">
        <v>8810</v>
      </c>
      <c r="M883" s="17" t="s">
        <v>8811</v>
      </c>
      <c r="N883" s="51" t="s">
        <v>8812</v>
      </c>
      <c r="O883" s="29" t="s">
        <v>1458</v>
      </c>
      <c r="P883" s="29" t="s">
        <v>8813</v>
      </c>
      <c r="Q883" s="29" t="s">
        <v>1458</v>
      </c>
      <c r="R883" s="29" t="s">
        <v>4515</v>
      </c>
      <c r="S883" s="28" t="s">
        <v>1803</v>
      </c>
      <c r="T883" s="28" t="s">
        <v>2832</v>
      </c>
      <c r="U883" s="28" t="s">
        <v>1441</v>
      </c>
      <c r="V883" s="28" t="s">
        <v>1619</v>
      </c>
      <c r="W883" s="28" t="s">
        <v>8814</v>
      </c>
      <c r="X883" s="17">
        <v>1</v>
      </c>
      <c r="CJ883" s="26" t="s">
        <v>1398</v>
      </c>
      <c r="CK883" s="26" t="s">
        <v>2934</v>
      </c>
      <c r="CL883" s="26" t="str">
        <f t="shared" si="53"/>
        <v>岐阜県七宗町</v>
      </c>
      <c r="CM883" s="49">
        <v>878</v>
      </c>
      <c r="CN883" s="17" t="str">
        <f t="shared" si="52"/>
        <v>0952</v>
      </c>
      <c r="CO883" s="17" t="str">
        <f t="shared" si="54"/>
        <v>878952七宗町</v>
      </c>
      <c r="CP883" s="17" t="s">
        <v>8815</v>
      </c>
      <c r="CQ883" s="17" t="b">
        <f t="shared" si="55"/>
        <v>1</v>
      </c>
    </row>
    <row r="884" spans="6:95">
      <c r="F884" s="23"/>
      <c r="I884" s="23"/>
      <c r="L884" s="50" t="s">
        <v>8816</v>
      </c>
      <c r="M884" s="17" t="s">
        <v>8817</v>
      </c>
      <c r="N884" s="51" t="s">
        <v>8818</v>
      </c>
      <c r="O884" s="29" t="s">
        <v>1458</v>
      </c>
      <c r="P884" s="29" t="s">
        <v>8819</v>
      </c>
      <c r="Q884" s="29" t="s">
        <v>1458</v>
      </c>
      <c r="R884" s="29" t="s">
        <v>4523</v>
      </c>
      <c r="S884" s="28" t="s">
        <v>1862</v>
      </c>
      <c r="T884" s="28" t="s">
        <v>3155</v>
      </c>
      <c r="U884" s="28" t="s">
        <v>1441</v>
      </c>
      <c r="V884" s="28" t="s">
        <v>1619</v>
      </c>
      <c r="W884" s="28" t="s">
        <v>8820</v>
      </c>
      <c r="X884" s="17">
        <v>1</v>
      </c>
      <c r="CJ884" s="26" t="s">
        <v>1398</v>
      </c>
      <c r="CK884" s="26" t="s">
        <v>2967</v>
      </c>
      <c r="CL884" s="26" t="str">
        <f t="shared" si="53"/>
        <v>岐阜県八百津町</v>
      </c>
      <c r="CM884" s="49">
        <v>879</v>
      </c>
      <c r="CN884" s="17" t="str">
        <f t="shared" si="52"/>
        <v>0953</v>
      </c>
      <c r="CO884" s="17" t="str">
        <f t="shared" si="54"/>
        <v>879953八百津町</v>
      </c>
      <c r="CP884" s="17" t="s">
        <v>8821</v>
      </c>
      <c r="CQ884" s="17" t="b">
        <f t="shared" si="55"/>
        <v>1</v>
      </c>
    </row>
    <row r="885" spans="6:95">
      <c r="F885" s="23"/>
      <c r="I885" s="23"/>
      <c r="L885" s="50" t="s">
        <v>8822</v>
      </c>
      <c r="M885" s="17" t="s">
        <v>8823</v>
      </c>
      <c r="N885" s="51" t="s">
        <v>8824</v>
      </c>
      <c r="O885" s="29" t="s">
        <v>1458</v>
      </c>
      <c r="P885" s="29" t="s">
        <v>8825</v>
      </c>
      <c r="Q885" s="29" t="s">
        <v>1458</v>
      </c>
      <c r="R885" s="29" t="s">
        <v>4547</v>
      </c>
      <c r="S885" s="28" t="s">
        <v>2311</v>
      </c>
      <c r="T885" s="28" t="s">
        <v>3183</v>
      </c>
      <c r="U885" s="28" t="s">
        <v>1441</v>
      </c>
      <c r="V885" s="28" t="s">
        <v>1619</v>
      </c>
      <c r="W885" s="28" t="s">
        <v>8826</v>
      </c>
      <c r="X885" s="17">
        <v>1</v>
      </c>
      <c r="CJ885" s="26" t="s">
        <v>1398</v>
      </c>
      <c r="CK885" s="26" t="s">
        <v>3001</v>
      </c>
      <c r="CL885" s="26" t="str">
        <f t="shared" si="53"/>
        <v>岐阜県白川町</v>
      </c>
      <c r="CM885" s="49">
        <v>880</v>
      </c>
      <c r="CN885" s="17" t="str">
        <f t="shared" si="52"/>
        <v>0954</v>
      </c>
      <c r="CO885" s="17" t="str">
        <f t="shared" si="54"/>
        <v>880954白川町</v>
      </c>
      <c r="CP885" s="17" t="s">
        <v>8827</v>
      </c>
      <c r="CQ885" s="17" t="b">
        <f t="shared" si="55"/>
        <v>1</v>
      </c>
    </row>
    <row r="886" spans="6:95">
      <c r="F886" s="23"/>
      <c r="I886" s="23"/>
      <c r="L886" s="50" t="s">
        <v>8828</v>
      </c>
      <c r="M886" s="17" t="s">
        <v>8829</v>
      </c>
      <c r="N886" s="51" t="s">
        <v>8830</v>
      </c>
      <c r="O886" s="29" t="s">
        <v>1458</v>
      </c>
      <c r="P886" s="29" t="s">
        <v>8831</v>
      </c>
      <c r="Q886" s="29" t="s">
        <v>1458</v>
      </c>
      <c r="R886" s="29" t="s">
        <v>4555</v>
      </c>
      <c r="S886" s="28" t="s">
        <v>1626</v>
      </c>
      <c r="T886" s="28" t="s">
        <v>3208</v>
      </c>
      <c r="U886" s="28" t="s">
        <v>1441</v>
      </c>
      <c r="V886" s="28" t="s">
        <v>1619</v>
      </c>
      <c r="W886" s="28" t="s">
        <v>8831</v>
      </c>
      <c r="X886" s="17">
        <v>1</v>
      </c>
      <c r="CJ886" s="26" t="s">
        <v>1398</v>
      </c>
      <c r="CK886" s="26" t="s">
        <v>3034</v>
      </c>
      <c r="CL886" s="26" t="str">
        <f t="shared" si="53"/>
        <v>岐阜県東白川村</v>
      </c>
      <c r="CM886" s="49">
        <v>881</v>
      </c>
      <c r="CN886" s="17" t="str">
        <f t="shared" si="52"/>
        <v>0955</v>
      </c>
      <c r="CO886" s="17" t="str">
        <f t="shared" si="54"/>
        <v>881955東白川村</v>
      </c>
      <c r="CP886" s="17" t="s">
        <v>8832</v>
      </c>
      <c r="CQ886" s="17" t="b">
        <f t="shared" si="55"/>
        <v>1</v>
      </c>
    </row>
    <row r="887" spans="6:95">
      <c r="F887" s="23"/>
      <c r="I887" s="23"/>
      <c r="L887" s="50" t="s">
        <v>8833</v>
      </c>
      <c r="M887" s="17" t="s">
        <v>8834</v>
      </c>
      <c r="N887" s="51" t="s">
        <v>8835</v>
      </c>
      <c r="O887" s="29" t="s">
        <v>1458</v>
      </c>
      <c r="P887" s="29" t="s">
        <v>8836</v>
      </c>
      <c r="Q887" s="29" t="s">
        <v>1458</v>
      </c>
      <c r="R887" s="29" t="s">
        <v>7304</v>
      </c>
      <c r="S887" s="28" t="s">
        <v>1502</v>
      </c>
      <c r="T887" s="28" t="s">
        <v>3232</v>
      </c>
      <c r="U887" s="28" t="s">
        <v>1441</v>
      </c>
      <c r="V887" s="28" t="s">
        <v>1619</v>
      </c>
      <c r="W887" s="28" t="s">
        <v>8837</v>
      </c>
      <c r="X887" s="17">
        <v>1</v>
      </c>
      <c r="CJ887" s="26" t="s">
        <v>1398</v>
      </c>
      <c r="CK887" s="26" t="s">
        <v>3065</v>
      </c>
      <c r="CL887" s="26" t="str">
        <f t="shared" si="53"/>
        <v>岐阜県御嵩町</v>
      </c>
      <c r="CM887" s="49">
        <v>882</v>
      </c>
      <c r="CN887" s="17" t="str">
        <f t="shared" si="52"/>
        <v>0956</v>
      </c>
      <c r="CO887" s="17" t="str">
        <f t="shared" si="54"/>
        <v>882956御嵩町</v>
      </c>
      <c r="CP887" s="17" t="s">
        <v>8838</v>
      </c>
      <c r="CQ887" s="17" t="b">
        <f t="shared" si="55"/>
        <v>1</v>
      </c>
    </row>
    <row r="888" spans="6:95">
      <c r="F888" s="23"/>
      <c r="I888" s="23"/>
      <c r="L888" s="50" t="s">
        <v>8839</v>
      </c>
      <c r="M888" s="17" t="s">
        <v>8840</v>
      </c>
      <c r="N888" s="51" t="s">
        <v>8841</v>
      </c>
      <c r="O888" s="29" t="s">
        <v>1458</v>
      </c>
      <c r="P888" s="29" t="s">
        <v>8842</v>
      </c>
      <c r="Q888" s="29" t="s">
        <v>1458</v>
      </c>
      <c r="R888" s="29" t="s">
        <v>4767</v>
      </c>
      <c r="S888" s="28" t="s">
        <v>2525</v>
      </c>
      <c r="T888" s="28" t="s">
        <v>3255</v>
      </c>
      <c r="U888" s="28" t="s">
        <v>1441</v>
      </c>
      <c r="V888" s="28" t="s">
        <v>1619</v>
      </c>
      <c r="W888" s="28" t="s">
        <v>8843</v>
      </c>
      <c r="X888" s="17">
        <v>1</v>
      </c>
      <c r="CJ888" s="26" t="s">
        <v>1398</v>
      </c>
      <c r="CK888" s="26" t="s">
        <v>3095</v>
      </c>
      <c r="CL888" s="26" t="str">
        <f t="shared" si="53"/>
        <v>岐阜県白川村</v>
      </c>
      <c r="CM888" s="49">
        <v>883</v>
      </c>
      <c r="CN888" s="17" t="str">
        <f t="shared" si="52"/>
        <v>0957</v>
      </c>
      <c r="CO888" s="17" t="str">
        <f t="shared" si="54"/>
        <v>883957白川村</v>
      </c>
      <c r="CP888" s="17" t="s">
        <v>8844</v>
      </c>
      <c r="CQ888" s="17" t="b">
        <f t="shared" si="55"/>
        <v>1</v>
      </c>
    </row>
    <row r="889" spans="6:95">
      <c r="F889" s="23"/>
      <c r="I889" s="23"/>
      <c r="L889" s="50" t="s">
        <v>8845</v>
      </c>
      <c r="M889" s="17" t="s">
        <v>8846</v>
      </c>
      <c r="N889" s="51" t="s">
        <v>8847</v>
      </c>
      <c r="O889" s="29" t="s">
        <v>1458</v>
      </c>
      <c r="P889" s="29" t="s">
        <v>8848</v>
      </c>
      <c r="Q889" s="29" t="s">
        <v>1458</v>
      </c>
      <c r="R889" s="29" t="s">
        <v>4774</v>
      </c>
      <c r="S889" s="28" t="s">
        <v>2311</v>
      </c>
      <c r="T889" s="28" t="s">
        <v>3280</v>
      </c>
      <c r="U889" s="28" t="s">
        <v>1441</v>
      </c>
      <c r="V889" s="28" t="s">
        <v>1619</v>
      </c>
      <c r="W889" s="28" t="s">
        <v>8849</v>
      </c>
      <c r="X889" s="17">
        <v>1</v>
      </c>
      <c r="CJ889" s="26" t="s">
        <v>1398</v>
      </c>
      <c r="CK889" s="26" t="s">
        <v>3125</v>
      </c>
      <c r="CL889" s="26" t="str">
        <f t="shared" si="53"/>
        <v>岐阜県安八郡広域連合</v>
      </c>
      <c r="CM889" s="49">
        <v>884</v>
      </c>
      <c r="CN889" s="17" t="str">
        <f t="shared" si="52"/>
        <v>0958</v>
      </c>
      <c r="CO889" s="17" t="str">
        <f t="shared" si="54"/>
        <v>884958安八郡広域連合</v>
      </c>
      <c r="CP889" s="17" t="s">
        <v>8850</v>
      </c>
      <c r="CQ889" s="17" t="b">
        <f t="shared" si="55"/>
        <v>1</v>
      </c>
    </row>
    <row r="890" spans="6:95">
      <c r="F890" s="23"/>
      <c r="I890" s="23"/>
      <c r="L890" s="50" t="s">
        <v>8851</v>
      </c>
      <c r="M890" s="17" t="s">
        <v>8852</v>
      </c>
      <c r="N890" s="51" t="s">
        <v>8853</v>
      </c>
      <c r="O890" s="29" t="s">
        <v>1458</v>
      </c>
      <c r="P890" s="29" t="s">
        <v>8854</v>
      </c>
      <c r="Q890" s="29" t="s">
        <v>1458</v>
      </c>
      <c r="R890" s="29" t="s">
        <v>8855</v>
      </c>
      <c r="S890" s="28" t="s">
        <v>1564</v>
      </c>
      <c r="T890" s="28" t="s">
        <v>3302</v>
      </c>
      <c r="U890" s="28" t="s">
        <v>1441</v>
      </c>
      <c r="V890" s="28" t="s">
        <v>1619</v>
      </c>
      <c r="W890" s="28" t="s">
        <v>8856</v>
      </c>
      <c r="X890" s="17">
        <v>1</v>
      </c>
      <c r="CJ890" s="26" t="s">
        <v>1398</v>
      </c>
      <c r="CK890" s="26" t="s">
        <v>3233</v>
      </c>
      <c r="CL890" s="26" t="str">
        <f t="shared" si="53"/>
        <v>岐阜県揖斐広域連合</v>
      </c>
      <c r="CM890" s="49">
        <v>885</v>
      </c>
      <c r="CN890" s="17" t="str">
        <f t="shared" si="52"/>
        <v>0962</v>
      </c>
      <c r="CO890" s="17" t="str">
        <f t="shared" si="54"/>
        <v>885962揖斐広域連合</v>
      </c>
      <c r="CP890" s="17" t="s">
        <v>8857</v>
      </c>
      <c r="CQ890" s="17" t="b">
        <f t="shared" si="55"/>
        <v>1</v>
      </c>
    </row>
    <row r="891" spans="6:95">
      <c r="F891" s="23"/>
      <c r="I891" s="23"/>
      <c r="L891" s="50" t="s">
        <v>8858</v>
      </c>
      <c r="M891" s="17" t="s">
        <v>8859</v>
      </c>
      <c r="N891" s="51" t="s">
        <v>8860</v>
      </c>
      <c r="O891" s="29" t="s">
        <v>1458</v>
      </c>
      <c r="P891" s="29" t="s">
        <v>8861</v>
      </c>
      <c r="Q891" s="29" t="s">
        <v>1458</v>
      </c>
      <c r="R891" s="29" t="s">
        <v>8862</v>
      </c>
      <c r="S891" s="28" t="s">
        <v>1626</v>
      </c>
      <c r="T891" s="28" t="s">
        <v>3324</v>
      </c>
      <c r="U891" s="28" t="s">
        <v>1441</v>
      </c>
      <c r="V891" s="28" t="s">
        <v>1619</v>
      </c>
      <c r="W891" s="28" t="s">
        <v>8863</v>
      </c>
      <c r="X891" s="17">
        <v>1</v>
      </c>
      <c r="CJ891" s="26" t="s">
        <v>1398</v>
      </c>
      <c r="CK891" s="26" t="s">
        <v>3325</v>
      </c>
      <c r="CL891" s="26" t="str">
        <f t="shared" si="53"/>
        <v>岐阜県もとす広域連合</v>
      </c>
      <c r="CM891" s="49">
        <v>886</v>
      </c>
      <c r="CN891" s="17" t="str">
        <f t="shared" si="52"/>
        <v>0966</v>
      </c>
      <c r="CO891" s="17" t="str">
        <f t="shared" si="54"/>
        <v>886966もとす広域連合</v>
      </c>
      <c r="CP891" s="17" t="s">
        <v>8864</v>
      </c>
      <c r="CQ891" s="17" t="b">
        <f t="shared" si="55"/>
        <v>1</v>
      </c>
    </row>
    <row r="892" spans="6:95">
      <c r="F892" s="23"/>
      <c r="I892" s="23"/>
      <c r="L892" s="50" t="s">
        <v>8865</v>
      </c>
      <c r="M892" s="17" t="s">
        <v>8866</v>
      </c>
      <c r="N892" s="51" t="s">
        <v>8867</v>
      </c>
      <c r="O892" s="29" t="s">
        <v>1458</v>
      </c>
      <c r="P892" s="29" t="s">
        <v>8868</v>
      </c>
      <c r="Q892" s="29" t="s">
        <v>1458</v>
      </c>
      <c r="R892" s="29" t="s">
        <v>8869</v>
      </c>
      <c r="S892" s="28" t="s">
        <v>1977</v>
      </c>
      <c r="T892" s="28" t="s">
        <v>3345</v>
      </c>
      <c r="U892" s="28" t="s">
        <v>1441</v>
      </c>
      <c r="V892" s="28" t="s">
        <v>1619</v>
      </c>
      <c r="W892" s="28" t="s">
        <v>8870</v>
      </c>
      <c r="X892" s="17">
        <v>1</v>
      </c>
      <c r="CJ892" s="26" t="s">
        <v>1399</v>
      </c>
      <c r="CK892" s="26" t="s">
        <v>1525</v>
      </c>
      <c r="CL892" s="26" t="str">
        <f t="shared" si="53"/>
        <v>静岡県静岡市</v>
      </c>
      <c r="CM892" s="49">
        <v>887</v>
      </c>
      <c r="CN892" s="17" t="str">
        <f t="shared" si="52"/>
        <v>0970</v>
      </c>
      <c r="CO892" s="17" t="str">
        <f t="shared" si="54"/>
        <v>887970静岡市</v>
      </c>
      <c r="CP892" s="17" t="s">
        <v>8871</v>
      </c>
      <c r="CQ892" s="17" t="b">
        <f t="shared" si="55"/>
        <v>1</v>
      </c>
    </row>
    <row r="893" spans="6:95">
      <c r="F893" s="23"/>
      <c r="I893" s="23"/>
      <c r="L893" s="50" t="s">
        <v>8872</v>
      </c>
      <c r="M893" s="17" t="s">
        <v>8873</v>
      </c>
      <c r="N893" s="51" t="s">
        <v>8874</v>
      </c>
      <c r="O893" s="29" t="s">
        <v>1458</v>
      </c>
      <c r="P893" s="29" t="s">
        <v>8875</v>
      </c>
      <c r="Q893" s="29" t="s">
        <v>1458</v>
      </c>
      <c r="R893" s="29" t="s">
        <v>8876</v>
      </c>
      <c r="S893" s="28" t="s">
        <v>1743</v>
      </c>
      <c r="T893" s="28" t="s">
        <v>3366</v>
      </c>
      <c r="U893" s="28" t="s">
        <v>1441</v>
      </c>
      <c r="V893" s="28" t="s">
        <v>1619</v>
      </c>
      <c r="W893" s="28" t="s">
        <v>8877</v>
      </c>
      <c r="X893" s="17">
        <v>1</v>
      </c>
      <c r="CJ893" s="26" t="s">
        <v>1399</v>
      </c>
      <c r="CK893" s="26" t="s">
        <v>1587</v>
      </c>
      <c r="CL893" s="26" t="str">
        <f t="shared" si="53"/>
        <v>静岡県浜松市</v>
      </c>
      <c r="CM893" s="49">
        <v>888</v>
      </c>
      <c r="CN893" s="17" t="str">
        <f t="shared" si="52"/>
        <v>0971</v>
      </c>
      <c r="CO893" s="17" t="str">
        <f t="shared" si="54"/>
        <v>888971浜松市</v>
      </c>
      <c r="CP893" s="17" t="s">
        <v>8878</v>
      </c>
      <c r="CQ893" s="17" t="b">
        <f t="shared" si="55"/>
        <v>1</v>
      </c>
    </row>
    <row r="894" spans="6:95">
      <c r="F894" s="23"/>
      <c r="I894" s="23"/>
      <c r="L894" s="50" t="s">
        <v>8879</v>
      </c>
      <c r="M894" s="17" t="s">
        <v>8880</v>
      </c>
      <c r="N894" s="51" t="s">
        <v>8881</v>
      </c>
      <c r="O894" s="29" t="s">
        <v>1458</v>
      </c>
      <c r="P894" s="29" t="s">
        <v>8882</v>
      </c>
      <c r="Q894" s="29" t="s">
        <v>1458</v>
      </c>
      <c r="R894" s="29" t="s">
        <v>8883</v>
      </c>
      <c r="S894" s="28" t="s">
        <v>1803</v>
      </c>
      <c r="T894" s="28" t="s">
        <v>3384</v>
      </c>
      <c r="U894" s="28" t="s">
        <v>1441</v>
      </c>
      <c r="V894" s="28" t="s">
        <v>1619</v>
      </c>
      <c r="W894" s="28" t="s">
        <v>8884</v>
      </c>
      <c r="X894" s="17">
        <v>1</v>
      </c>
      <c r="CJ894" s="26" t="s">
        <v>1399</v>
      </c>
      <c r="CK894" s="26" t="s">
        <v>1649</v>
      </c>
      <c r="CL894" s="26" t="str">
        <f t="shared" si="53"/>
        <v>静岡県沼津市</v>
      </c>
      <c r="CM894" s="49">
        <v>889</v>
      </c>
      <c r="CN894" s="17" t="str">
        <f t="shared" si="52"/>
        <v>0972</v>
      </c>
      <c r="CO894" s="17" t="str">
        <f t="shared" si="54"/>
        <v>889972沼津市</v>
      </c>
      <c r="CP894" s="17" t="s">
        <v>8885</v>
      </c>
      <c r="CQ894" s="17" t="b">
        <f t="shared" si="55"/>
        <v>1</v>
      </c>
    </row>
    <row r="895" spans="6:95">
      <c r="F895" s="23"/>
      <c r="I895" s="23"/>
      <c r="L895" s="50" t="s">
        <v>8886</v>
      </c>
      <c r="M895" s="17" t="s">
        <v>8887</v>
      </c>
      <c r="N895" s="51" t="s">
        <v>8888</v>
      </c>
      <c r="O895" s="29" t="s">
        <v>1458</v>
      </c>
      <c r="P895" s="29" t="s">
        <v>8889</v>
      </c>
      <c r="Q895" s="29" t="s">
        <v>1458</v>
      </c>
      <c r="R895" s="29" t="s">
        <v>4832</v>
      </c>
      <c r="S895" s="28" t="s">
        <v>1564</v>
      </c>
      <c r="T895" s="28" t="s">
        <v>3402</v>
      </c>
      <c r="U895" s="28" t="s">
        <v>1441</v>
      </c>
      <c r="V895" s="28" t="s">
        <v>1619</v>
      </c>
      <c r="W895" s="28" t="s">
        <v>8890</v>
      </c>
      <c r="X895" s="17">
        <v>1</v>
      </c>
      <c r="CJ895" s="26" t="s">
        <v>1399</v>
      </c>
      <c r="CK895" s="26" t="s">
        <v>1707</v>
      </c>
      <c r="CL895" s="26" t="str">
        <f t="shared" si="53"/>
        <v>静岡県熱海市</v>
      </c>
      <c r="CM895" s="49">
        <v>890</v>
      </c>
      <c r="CN895" s="17" t="str">
        <f t="shared" si="52"/>
        <v>0973</v>
      </c>
      <c r="CO895" s="17" t="str">
        <f t="shared" si="54"/>
        <v>890973熱海市</v>
      </c>
      <c r="CP895" s="17" t="s">
        <v>8891</v>
      </c>
      <c r="CQ895" s="17" t="b">
        <f t="shared" si="55"/>
        <v>1</v>
      </c>
    </row>
    <row r="896" spans="6:95">
      <c r="F896" s="23"/>
      <c r="I896" s="23"/>
      <c r="L896" s="50" t="s">
        <v>8892</v>
      </c>
      <c r="M896" s="17" t="s">
        <v>8893</v>
      </c>
      <c r="N896" s="51" t="s">
        <v>8894</v>
      </c>
      <c r="O896" s="29" t="s">
        <v>1458</v>
      </c>
      <c r="P896" s="29" t="s">
        <v>8895</v>
      </c>
      <c r="Q896" s="29" t="s">
        <v>1458</v>
      </c>
      <c r="R896" s="29" t="s">
        <v>6595</v>
      </c>
      <c r="S896" s="28" t="s">
        <v>1502</v>
      </c>
      <c r="T896" s="28" t="s">
        <v>3418</v>
      </c>
      <c r="U896" s="28" t="s">
        <v>1441</v>
      </c>
      <c r="V896" s="28" t="s">
        <v>1619</v>
      </c>
      <c r="W896" s="28" t="s">
        <v>8896</v>
      </c>
      <c r="X896" s="17">
        <v>1</v>
      </c>
      <c r="CJ896" s="26" t="s">
        <v>1399</v>
      </c>
      <c r="CK896" s="26" t="s">
        <v>1766</v>
      </c>
      <c r="CL896" s="26" t="str">
        <f t="shared" si="53"/>
        <v>静岡県三島市</v>
      </c>
      <c r="CM896" s="49">
        <v>891</v>
      </c>
      <c r="CN896" s="17" t="str">
        <f t="shared" si="52"/>
        <v>0974</v>
      </c>
      <c r="CO896" s="17" t="str">
        <f t="shared" si="54"/>
        <v>891974三島市</v>
      </c>
      <c r="CP896" s="17" t="s">
        <v>8897</v>
      </c>
      <c r="CQ896" s="17" t="b">
        <f t="shared" si="55"/>
        <v>1</v>
      </c>
    </row>
    <row r="897" spans="6:95">
      <c r="F897" s="23"/>
      <c r="I897" s="23"/>
      <c r="L897" s="50" t="s">
        <v>8898</v>
      </c>
      <c r="M897" s="17" t="s">
        <v>8899</v>
      </c>
      <c r="N897" s="51" t="s">
        <v>8900</v>
      </c>
      <c r="O897" s="29" t="s">
        <v>1458</v>
      </c>
      <c r="P897" s="29" t="s">
        <v>8901</v>
      </c>
      <c r="Q897" s="29" t="s">
        <v>1458</v>
      </c>
      <c r="R897" s="29" t="s">
        <v>4839</v>
      </c>
      <c r="S897" s="28" t="s">
        <v>2311</v>
      </c>
      <c r="T897" s="28" t="s">
        <v>3433</v>
      </c>
      <c r="U897" s="28" t="s">
        <v>1441</v>
      </c>
      <c r="V897" s="28" t="s">
        <v>1619</v>
      </c>
      <c r="W897" s="28" t="s">
        <v>8902</v>
      </c>
      <c r="X897" s="17">
        <v>1</v>
      </c>
      <c r="CJ897" s="26" t="s">
        <v>1399</v>
      </c>
      <c r="CK897" s="26" t="s">
        <v>1826</v>
      </c>
      <c r="CL897" s="26" t="str">
        <f t="shared" si="53"/>
        <v>静岡県富士宮市</v>
      </c>
      <c r="CM897" s="49">
        <v>892</v>
      </c>
      <c r="CN897" s="17" t="str">
        <f t="shared" si="52"/>
        <v>0975</v>
      </c>
      <c r="CO897" s="17" t="str">
        <f t="shared" si="54"/>
        <v>892975富士宮市</v>
      </c>
      <c r="CP897" s="17" t="s">
        <v>8903</v>
      </c>
      <c r="CQ897" s="17" t="b">
        <f t="shared" si="55"/>
        <v>1</v>
      </c>
    </row>
    <row r="898" spans="6:95">
      <c r="F898" s="23"/>
      <c r="I898" s="23"/>
      <c r="L898" s="50" t="s">
        <v>8904</v>
      </c>
      <c r="M898" s="17" t="s">
        <v>8905</v>
      </c>
      <c r="N898" s="51" t="s">
        <v>8906</v>
      </c>
      <c r="O898" s="29" t="s">
        <v>1458</v>
      </c>
      <c r="P898" s="29" t="s">
        <v>8907</v>
      </c>
      <c r="Q898" s="29" t="s">
        <v>1458</v>
      </c>
      <c r="R898" s="29" t="s">
        <v>8908</v>
      </c>
      <c r="S898" s="28" t="s">
        <v>1564</v>
      </c>
      <c r="T898" s="28" t="s">
        <v>3448</v>
      </c>
      <c r="U898" s="28" t="s">
        <v>1441</v>
      </c>
      <c r="V898" s="28" t="s">
        <v>1619</v>
      </c>
      <c r="W898" s="28" t="s">
        <v>8909</v>
      </c>
      <c r="X898" s="17">
        <v>1</v>
      </c>
      <c r="CJ898" s="26" t="s">
        <v>1399</v>
      </c>
      <c r="CK898" s="26" t="s">
        <v>1885</v>
      </c>
      <c r="CL898" s="26" t="str">
        <f t="shared" si="53"/>
        <v>静岡県伊東市</v>
      </c>
      <c r="CM898" s="49">
        <v>893</v>
      </c>
      <c r="CN898" s="17" t="str">
        <f t="shared" si="52"/>
        <v>0976</v>
      </c>
      <c r="CO898" s="17" t="str">
        <f t="shared" si="54"/>
        <v>893976伊東市</v>
      </c>
      <c r="CP898" s="17" t="s">
        <v>8910</v>
      </c>
      <c r="CQ898" s="17" t="b">
        <f t="shared" si="55"/>
        <v>1</v>
      </c>
    </row>
    <row r="899" spans="6:95">
      <c r="F899" s="23"/>
      <c r="I899" s="23"/>
      <c r="L899" s="50" t="s">
        <v>8911</v>
      </c>
      <c r="M899" s="17" t="s">
        <v>8912</v>
      </c>
      <c r="N899" s="51" t="s">
        <v>8913</v>
      </c>
      <c r="O899" s="29" t="s">
        <v>1458</v>
      </c>
      <c r="P899" s="29" t="s">
        <v>8914</v>
      </c>
      <c r="Q899" s="29" t="s">
        <v>1458</v>
      </c>
      <c r="R899" s="29" t="s">
        <v>3654</v>
      </c>
      <c r="S899" s="28" t="s">
        <v>1626</v>
      </c>
      <c r="T899" s="28" t="s">
        <v>3463</v>
      </c>
      <c r="U899" s="28" t="s">
        <v>1441</v>
      </c>
      <c r="V899" s="28" t="s">
        <v>1619</v>
      </c>
      <c r="W899" s="28" t="s">
        <v>8915</v>
      </c>
      <c r="X899" s="17">
        <v>1</v>
      </c>
      <c r="CJ899" s="26" t="s">
        <v>1399</v>
      </c>
      <c r="CK899" s="26" t="s">
        <v>1943</v>
      </c>
      <c r="CL899" s="26" t="str">
        <f t="shared" si="53"/>
        <v>静岡県島田市</v>
      </c>
      <c r="CM899" s="49">
        <v>894</v>
      </c>
      <c r="CN899" s="17" t="str">
        <f t="shared" si="52"/>
        <v>0977</v>
      </c>
      <c r="CO899" s="17" t="str">
        <f t="shared" si="54"/>
        <v>894977島田市</v>
      </c>
      <c r="CP899" s="17" t="s">
        <v>8916</v>
      </c>
      <c r="CQ899" s="17" t="b">
        <f t="shared" si="55"/>
        <v>1</v>
      </c>
    </row>
    <row r="900" spans="6:95">
      <c r="F900" s="23"/>
      <c r="I900" s="23"/>
      <c r="L900" s="50" t="s">
        <v>8917</v>
      </c>
      <c r="M900" s="17" t="s">
        <v>8918</v>
      </c>
      <c r="N900" s="51" t="s">
        <v>8919</v>
      </c>
      <c r="O900" s="29" t="s">
        <v>1458</v>
      </c>
      <c r="P900" s="29" t="s">
        <v>8920</v>
      </c>
      <c r="Q900" s="29" t="s">
        <v>1458</v>
      </c>
      <c r="R900" s="29" t="s">
        <v>5943</v>
      </c>
      <c r="S900" s="28" t="s">
        <v>1564</v>
      </c>
      <c r="T900" s="28" t="s">
        <v>3476</v>
      </c>
      <c r="U900" s="28" t="s">
        <v>1441</v>
      </c>
      <c r="V900" s="28" t="s">
        <v>1619</v>
      </c>
      <c r="W900" s="28" t="s">
        <v>8921</v>
      </c>
      <c r="X900" s="17">
        <v>1</v>
      </c>
      <c r="CJ900" s="26" t="s">
        <v>1399</v>
      </c>
      <c r="CK900" s="26" t="s">
        <v>2000</v>
      </c>
      <c r="CL900" s="26" t="str">
        <f t="shared" si="53"/>
        <v>静岡県富士市</v>
      </c>
      <c r="CM900" s="49">
        <v>895</v>
      </c>
      <c r="CN900" s="17" t="str">
        <f t="shared" si="52"/>
        <v>0978</v>
      </c>
      <c r="CO900" s="17" t="str">
        <f t="shared" si="54"/>
        <v>895978富士市</v>
      </c>
      <c r="CP900" s="17" t="s">
        <v>8922</v>
      </c>
      <c r="CQ900" s="17" t="b">
        <f t="shared" si="55"/>
        <v>1</v>
      </c>
    </row>
    <row r="901" spans="6:95">
      <c r="F901" s="23"/>
      <c r="I901" s="23"/>
      <c r="L901" s="50" t="s">
        <v>8923</v>
      </c>
      <c r="M901" s="17" t="s">
        <v>8924</v>
      </c>
      <c r="N901" s="51" t="s">
        <v>8925</v>
      </c>
      <c r="O901" s="29" t="s">
        <v>1458</v>
      </c>
      <c r="P901" s="29" t="s">
        <v>8926</v>
      </c>
      <c r="Q901" s="29" t="s">
        <v>1458</v>
      </c>
      <c r="R901" s="29" t="s">
        <v>5957</v>
      </c>
      <c r="S901" s="28" t="s">
        <v>1626</v>
      </c>
      <c r="T901" s="28" t="s">
        <v>3490</v>
      </c>
      <c r="U901" s="28" t="s">
        <v>1441</v>
      </c>
      <c r="V901" s="28" t="s">
        <v>1619</v>
      </c>
      <c r="W901" s="28" t="s">
        <v>8926</v>
      </c>
      <c r="X901" s="17">
        <v>1</v>
      </c>
      <c r="CJ901" s="26" t="s">
        <v>1399</v>
      </c>
      <c r="CK901" s="26" t="s">
        <v>2056</v>
      </c>
      <c r="CL901" s="26" t="str">
        <f t="shared" si="53"/>
        <v>静岡県磐田市</v>
      </c>
      <c r="CM901" s="49">
        <v>896</v>
      </c>
      <c r="CN901" s="17" t="str">
        <f t="shared" si="52"/>
        <v>0979</v>
      </c>
      <c r="CO901" s="17" t="str">
        <f t="shared" si="54"/>
        <v>896979磐田市</v>
      </c>
      <c r="CP901" s="17" t="s">
        <v>8927</v>
      </c>
      <c r="CQ901" s="17" t="b">
        <f t="shared" si="55"/>
        <v>1</v>
      </c>
    </row>
    <row r="902" spans="6:95">
      <c r="F902" s="23"/>
      <c r="I902" s="23"/>
      <c r="L902" s="50" t="s">
        <v>8928</v>
      </c>
      <c r="M902" s="17" t="s">
        <v>8929</v>
      </c>
      <c r="N902" s="51" t="s">
        <v>8930</v>
      </c>
      <c r="O902" s="29" t="s">
        <v>1458</v>
      </c>
      <c r="P902" s="29" t="s">
        <v>8931</v>
      </c>
      <c r="Q902" s="29" t="s">
        <v>1458</v>
      </c>
      <c r="R902" s="29" t="s">
        <v>3912</v>
      </c>
      <c r="S902" s="28" t="s">
        <v>2525</v>
      </c>
      <c r="T902" s="28" t="s">
        <v>2769</v>
      </c>
      <c r="U902" s="28" t="s">
        <v>1441</v>
      </c>
      <c r="V902" s="28" t="s">
        <v>1619</v>
      </c>
      <c r="W902" s="28" t="s">
        <v>8931</v>
      </c>
      <c r="X902" s="17">
        <v>1</v>
      </c>
      <c r="CJ902" s="26" t="s">
        <v>1399</v>
      </c>
      <c r="CK902" s="26" t="s">
        <v>2112</v>
      </c>
      <c r="CL902" s="26" t="str">
        <f t="shared" si="53"/>
        <v>静岡県焼津市</v>
      </c>
      <c r="CM902" s="49">
        <v>897</v>
      </c>
      <c r="CN902" s="17" t="str">
        <f t="shared" ref="CN902:CN965" si="56">VLOOKUP(CL902,$M$6:$N$1784,2,FALSE)</f>
        <v>0980</v>
      </c>
      <c r="CO902" s="17" t="str">
        <f t="shared" si="54"/>
        <v>897980焼津市</v>
      </c>
      <c r="CP902" s="17" t="s">
        <v>8932</v>
      </c>
      <c r="CQ902" s="17" t="b">
        <f t="shared" si="55"/>
        <v>1</v>
      </c>
    </row>
    <row r="903" spans="6:95">
      <c r="F903" s="23"/>
      <c r="I903" s="23"/>
      <c r="L903" s="50" t="s">
        <v>8933</v>
      </c>
      <c r="M903" s="17" t="s">
        <v>8934</v>
      </c>
      <c r="N903" s="51" t="s">
        <v>8935</v>
      </c>
      <c r="O903" s="29" t="s">
        <v>1458</v>
      </c>
      <c r="P903" s="29" t="s">
        <v>8936</v>
      </c>
      <c r="Q903" s="29" t="s">
        <v>1458</v>
      </c>
      <c r="R903" s="29" t="s">
        <v>4000</v>
      </c>
      <c r="S903" s="28" t="s">
        <v>1502</v>
      </c>
      <c r="T903" s="28" t="s">
        <v>3519</v>
      </c>
      <c r="U903" s="28" t="s">
        <v>1441</v>
      </c>
      <c r="V903" s="28" t="s">
        <v>1619</v>
      </c>
      <c r="W903" s="28" t="s">
        <v>8937</v>
      </c>
      <c r="X903" s="17">
        <v>1</v>
      </c>
      <c r="CJ903" s="26" t="s">
        <v>1399</v>
      </c>
      <c r="CK903" s="26" t="s">
        <v>2168</v>
      </c>
      <c r="CL903" s="26" t="str">
        <f t="shared" si="53"/>
        <v>静岡県掛川市</v>
      </c>
      <c r="CM903" s="49">
        <v>898</v>
      </c>
      <c r="CN903" s="17" t="str">
        <f t="shared" si="56"/>
        <v>0981</v>
      </c>
      <c r="CO903" s="17" t="str">
        <f t="shared" si="54"/>
        <v>898981掛川市</v>
      </c>
      <c r="CP903" s="17" t="s">
        <v>8938</v>
      </c>
      <c r="CQ903" s="17" t="b">
        <f t="shared" si="55"/>
        <v>1</v>
      </c>
    </row>
    <row r="904" spans="6:95">
      <c r="F904" s="23"/>
      <c r="I904" s="23"/>
      <c r="L904" s="50" t="s">
        <v>8939</v>
      </c>
      <c r="M904" s="17" t="s">
        <v>8940</v>
      </c>
      <c r="N904" s="51" t="s">
        <v>8941</v>
      </c>
      <c r="O904" s="29" t="s">
        <v>1458</v>
      </c>
      <c r="P904" s="29" t="s">
        <v>8942</v>
      </c>
      <c r="Q904" s="29" t="s">
        <v>1458</v>
      </c>
      <c r="R904" s="29" t="s">
        <v>4007</v>
      </c>
      <c r="S904" s="28" t="s">
        <v>2525</v>
      </c>
      <c r="T904" s="28" t="s">
        <v>3532</v>
      </c>
      <c r="U904" s="28" t="s">
        <v>1441</v>
      </c>
      <c r="V904" s="28" t="s">
        <v>1619</v>
      </c>
      <c r="W904" s="28" t="s">
        <v>8943</v>
      </c>
      <c r="X904" s="17">
        <v>1</v>
      </c>
      <c r="CJ904" s="26" t="s">
        <v>1399</v>
      </c>
      <c r="CK904" s="26" t="s">
        <v>2223</v>
      </c>
      <c r="CL904" s="26" t="str">
        <f t="shared" ref="CL904:CL967" si="57">CJ904&amp;CK904</f>
        <v>静岡県藤枝市</v>
      </c>
      <c r="CM904" s="49">
        <v>899</v>
      </c>
      <c r="CN904" s="17" t="str">
        <f t="shared" si="56"/>
        <v>0982</v>
      </c>
      <c r="CO904" s="17" t="str">
        <f t="shared" ref="CO904:CO967" si="58">CM904&amp;TEXT(CN904,0)&amp;CK904</f>
        <v>899982藤枝市</v>
      </c>
      <c r="CP904" s="17" t="s">
        <v>8944</v>
      </c>
      <c r="CQ904" s="17" t="b">
        <f t="shared" ref="CQ904:CQ967" si="59">CO904=CP904</f>
        <v>1</v>
      </c>
    </row>
    <row r="905" spans="6:95">
      <c r="F905" s="23"/>
      <c r="I905" s="23"/>
      <c r="L905" s="50" t="s">
        <v>8945</v>
      </c>
      <c r="M905" s="17" t="s">
        <v>8946</v>
      </c>
      <c r="N905" s="51" t="s">
        <v>8947</v>
      </c>
      <c r="O905" s="29" t="s">
        <v>1458</v>
      </c>
      <c r="P905" s="29" t="s">
        <v>8948</v>
      </c>
      <c r="Q905" s="29" t="s">
        <v>1458</v>
      </c>
      <c r="R905" s="29" t="s">
        <v>4014</v>
      </c>
      <c r="S905" s="28" t="s">
        <v>2311</v>
      </c>
      <c r="T905" s="28" t="s">
        <v>3545</v>
      </c>
      <c r="U905" s="28" t="s">
        <v>1441</v>
      </c>
      <c r="V905" s="28" t="s">
        <v>1619</v>
      </c>
      <c r="W905" s="28" t="s">
        <v>8949</v>
      </c>
      <c r="X905" s="17">
        <v>1</v>
      </c>
      <c r="CJ905" s="26" t="s">
        <v>1399</v>
      </c>
      <c r="CK905" s="26" t="s">
        <v>2278</v>
      </c>
      <c r="CL905" s="26" t="str">
        <f t="shared" si="57"/>
        <v>静岡県御殿場市</v>
      </c>
      <c r="CM905" s="49">
        <v>900</v>
      </c>
      <c r="CN905" s="17" t="str">
        <f t="shared" si="56"/>
        <v>0983</v>
      </c>
      <c r="CO905" s="17" t="str">
        <f t="shared" si="58"/>
        <v>900983御殿場市</v>
      </c>
      <c r="CP905" s="17" t="s">
        <v>8950</v>
      </c>
      <c r="CQ905" s="17" t="b">
        <f t="shared" si="59"/>
        <v>1</v>
      </c>
    </row>
    <row r="906" spans="6:95">
      <c r="F906" s="23"/>
      <c r="I906" s="23"/>
      <c r="L906" s="50" t="s">
        <v>8951</v>
      </c>
      <c r="M906" s="17" t="s">
        <v>8952</v>
      </c>
      <c r="N906" s="51" t="s">
        <v>8953</v>
      </c>
      <c r="O906" s="29" t="s">
        <v>1458</v>
      </c>
      <c r="P906" s="29" t="s">
        <v>8954</v>
      </c>
      <c r="Q906" s="29" t="s">
        <v>1458</v>
      </c>
      <c r="R906" s="29" t="s">
        <v>8955</v>
      </c>
      <c r="S906" s="28" t="s">
        <v>1564</v>
      </c>
      <c r="T906" s="28" t="s">
        <v>3559</v>
      </c>
      <c r="U906" s="28" t="s">
        <v>1441</v>
      </c>
      <c r="V906" s="28" t="s">
        <v>1619</v>
      </c>
      <c r="W906" s="28" t="s">
        <v>8956</v>
      </c>
      <c r="X906" s="17">
        <v>1</v>
      </c>
      <c r="CJ906" s="26" t="s">
        <v>1399</v>
      </c>
      <c r="CK906" s="26" t="s">
        <v>2334</v>
      </c>
      <c r="CL906" s="26" t="str">
        <f t="shared" si="57"/>
        <v>静岡県袋井市</v>
      </c>
      <c r="CM906" s="49">
        <v>901</v>
      </c>
      <c r="CN906" s="17" t="str">
        <f t="shared" si="56"/>
        <v>0984</v>
      </c>
      <c r="CO906" s="17" t="str">
        <f t="shared" si="58"/>
        <v>901984袋井市</v>
      </c>
      <c r="CP906" s="17" t="s">
        <v>8957</v>
      </c>
      <c r="CQ906" s="17" t="b">
        <f t="shared" si="59"/>
        <v>1</v>
      </c>
    </row>
    <row r="907" spans="6:95">
      <c r="F907" s="23"/>
      <c r="I907" s="23"/>
      <c r="L907" s="50" t="s">
        <v>8958</v>
      </c>
      <c r="M907" s="17" t="s">
        <v>8959</v>
      </c>
      <c r="N907" s="51" t="s">
        <v>8960</v>
      </c>
      <c r="O907" s="29" t="s">
        <v>1458</v>
      </c>
      <c r="P907" s="29" t="s">
        <v>8961</v>
      </c>
      <c r="Q907" s="29" t="s">
        <v>1458</v>
      </c>
      <c r="R907" s="29" t="s">
        <v>8962</v>
      </c>
      <c r="S907" s="28" t="s">
        <v>1862</v>
      </c>
      <c r="T907" s="28" t="s">
        <v>3572</v>
      </c>
      <c r="U907" s="28" t="s">
        <v>1441</v>
      </c>
      <c r="V907" s="28" t="s">
        <v>1619</v>
      </c>
      <c r="W907" s="28" t="s">
        <v>8963</v>
      </c>
      <c r="X907" s="17">
        <v>1</v>
      </c>
      <c r="CJ907" s="26" t="s">
        <v>1399</v>
      </c>
      <c r="CK907" s="26" t="s">
        <v>2388</v>
      </c>
      <c r="CL907" s="26" t="str">
        <f t="shared" si="57"/>
        <v>静岡県下田市</v>
      </c>
      <c r="CM907" s="49">
        <v>902</v>
      </c>
      <c r="CN907" s="17" t="str">
        <f t="shared" si="56"/>
        <v>0985</v>
      </c>
      <c r="CO907" s="17" t="str">
        <f t="shared" si="58"/>
        <v>902985下田市</v>
      </c>
      <c r="CP907" s="17" t="s">
        <v>8964</v>
      </c>
      <c r="CQ907" s="17" t="b">
        <f t="shared" si="59"/>
        <v>1</v>
      </c>
    </row>
    <row r="908" spans="6:95">
      <c r="F908" s="23"/>
      <c r="I908" s="23"/>
      <c r="L908" s="50" t="s">
        <v>8965</v>
      </c>
      <c r="M908" s="17" t="s">
        <v>8966</v>
      </c>
      <c r="N908" s="51" t="s">
        <v>8967</v>
      </c>
      <c r="O908" s="29" t="s">
        <v>1458</v>
      </c>
      <c r="P908" s="29" t="s">
        <v>8968</v>
      </c>
      <c r="Q908" s="29" t="s">
        <v>1458</v>
      </c>
      <c r="R908" s="29" t="s">
        <v>8969</v>
      </c>
      <c r="S908" s="28" t="s">
        <v>1977</v>
      </c>
      <c r="T908" s="28" t="s">
        <v>3584</v>
      </c>
      <c r="U908" s="28" t="s">
        <v>1441</v>
      </c>
      <c r="V908" s="28" t="s">
        <v>1619</v>
      </c>
      <c r="W908" s="28" t="s">
        <v>8970</v>
      </c>
      <c r="X908" s="17">
        <v>1</v>
      </c>
      <c r="CJ908" s="26" t="s">
        <v>1399</v>
      </c>
      <c r="CK908" s="26" t="s">
        <v>2443</v>
      </c>
      <c r="CL908" s="26" t="str">
        <f t="shared" si="57"/>
        <v>静岡県裾野市</v>
      </c>
      <c r="CM908" s="49">
        <v>903</v>
      </c>
      <c r="CN908" s="17" t="str">
        <f t="shared" si="56"/>
        <v>0986</v>
      </c>
      <c r="CO908" s="17" t="str">
        <f t="shared" si="58"/>
        <v>903986裾野市</v>
      </c>
      <c r="CP908" s="17" t="s">
        <v>8971</v>
      </c>
      <c r="CQ908" s="17" t="b">
        <f t="shared" si="59"/>
        <v>1</v>
      </c>
    </row>
    <row r="909" spans="6:95">
      <c r="F909" s="23"/>
      <c r="I909" s="23"/>
      <c r="L909" s="50" t="s">
        <v>8972</v>
      </c>
      <c r="M909" s="17" t="s">
        <v>8973</v>
      </c>
      <c r="N909" s="51" t="s">
        <v>8974</v>
      </c>
      <c r="O909" s="29" t="s">
        <v>1458</v>
      </c>
      <c r="P909" s="29" t="s">
        <v>8975</v>
      </c>
      <c r="Q909" s="29" t="s">
        <v>1458</v>
      </c>
      <c r="R909" s="29" t="s">
        <v>4089</v>
      </c>
      <c r="S909" s="28" t="s">
        <v>1626</v>
      </c>
      <c r="T909" s="28" t="s">
        <v>3596</v>
      </c>
      <c r="U909" s="28" t="s">
        <v>1441</v>
      </c>
      <c r="V909" s="28" t="s">
        <v>1619</v>
      </c>
      <c r="W909" s="28" t="s">
        <v>8976</v>
      </c>
      <c r="X909" s="17">
        <v>1</v>
      </c>
      <c r="CJ909" s="26" t="s">
        <v>1399</v>
      </c>
      <c r="CK909" s="26" t="s">
        <v>2494</v>
      </c>
      <c r="CL909" s="26" t="str">
        <f t="shared" si="57"/>
        <v>静岡県湖西市</v>
      </c>
      <c r="CM909" s="49">
        <v>904</v>
      </c>
      <c r="CN909" s="17" t="str">
        <f t="shared" si="56"/>
        <v>0987</v>
      </c>
      <c r="CO909" s="17" t="str">
        <f t="shared" si="58"/>
        <v>904987湖西市</v>
      </c>
      <c r="CP909" s="17" t="s">
        <v>8977</v>
      </c>
      <c r="CQ909" s="17" t="b">
        <f t="shared" si="59"/>
        <v>1</v>
      </c>
    </row>
    <row r="910" spans="6:95">
      <c r="F910" s="23"/>
      <c r="I910" s="23"/>
      <c r="L910" s="50" t="s">
        <v>8978</v>
      </c>
      <c r="M910" s="17" t="s">
        <v>8979</v>
      </c>
      <c r="N910" s="51" t="s">
        <v>8980</v>
      </c>
      <c r="O910" s="29" t="s">
        <v>1458</v>
      </c>
      <c r="P910" s="29" t="s">
        <v>8981</v>
      </c>
      <c r="Q910" s="29" t="s">
        <v>1458</v>
      </c>
      <c r="R910" s="29" t="s">
        <v>8982</v>
      </c>
      <c r="S910" s="28" t="s">
        <v>1743</v>
      </c>
      <c r="T910" s="28" t="s">
        <v>3608</v>
      </c>
      <c r="U910" s="28" t="s">
        <v>1441</v>
      </c>
      <c r="V910" s="28" t="s">
        <v>1619</v>
      </c>
      <c r="W910" s="28" t="s">
        <v>8983</v>
      </c>
      <c r="X910" s="17">
        <v>1</v>
      </c>
      <c r="CJ910" s="26" t="s">
        <v>1399</v>
      </c>
      <c r="CK910" s="26" t="s">
        <v>2546</v>
      </c>
      <c r="CL910" s="26" t="str">
        <f t="shared" si="57"/>
        <v>静岡県伊豆市</v>
      </c>
      <c r="CM910" s="49">
        <v>905</v>
      </c>
      <c r="CN910" s="17" t="str">
        <f t="shared" si="56"/>
        <v>0988</v>
      </c>
      <c r="CO910" s="17" t="str">
        <f t="shared" si="58"/>
        <v>905988伊豆市</v>
      </c>
      <c r="CP910" s="17" t="s">
        <v>8984</v>
      </c>
      <c r="CQ910" s="17" t="b">
        <f t="shared" si="59"/>
        <v>1</v>
      </c>
    </row>
    <row r="911" spans="6:95">
      <c r="F911" s="23"/>
      <c r="I911" s="23"/>
      <c r="L911" s="50" t="s">
        <v>8985</v>
      </c>
      <c r="M911" s="17" t="s">
        <v>8986</v>
      </c>
      <c r="N911" s="51" t="s">
        <v>8987</v>
      </c>
      <c r="O911" s="29" t="s">
        <v>1458</v>
      </c>
      <c r="P911" s="29" t="s">
        <v>8988</v>
      </c>
      <c r="Q911" s="29" t="s">
        <v>1458</v>
      </c>
      <c r="R911" s="29" t="s">
        <v>2145</v>
      </c>
      <c r="S911" s="28" t="s">
        <v>1502</v>
      </c>
      <c r="T911" s="28" t="s">
        <v>3620</v>
      </c>
      <c r="U911" s="28" t="s">
        <v>1441</v>
      </c>
      <c r="V911" s="28" t="s">
        <v>1619</v>
      </c>
      <c r="W911" s="28" t="s">
        <v>8989</v>
      </c>
      <c r="X911" s="17">
        <v>2</v>
      </c>
      <c r="CJ911" s="26" t="s">
        <v>1399</v>
      </c>
      <c r="CK911" s="26" t="s">
        <v>2595</v>
      </c>
      <c r="CL911" s="26" t="str">
        <f t="shared" si="57"/>
        <v>静岡県御前崎市</v>
      </c>
      <c r="CM911" s="49">
        <v>906</v>
      </c>
      <c r="CN911" s="17" t="str">
        <f t="shared" si="56"/>
        <v>0989</v>
      </c>
      <c r="CO911" s="17" t="str">
        <f t="shared" si="58"/>
        <v>906989御前崎市</v>
      </c>
      <c r="CP911" s="17" t="s">
        <v>8990</v>
      </c>
      <c r="CQ911" s="17" t="b">
        <f t="shared" si="59"/>
        <v>1</v>
      </c>
    </row>
    <row r="912" spans="6:95">
      <c r="F912" s="23"/>
      <c r="I912" s="23"/>
      <c r="L912" s="50" t="s">
        <v>8991</v>
      </c>
      <c r="M912" s="17" t="s">
        <v>8992</v>
      </c>
      <c r="N912" s="51" t="s">
        <v>8993</v>
      </c>
      <c r="O912" s="29" t="s">
        <v>1458</v>
      </c>
      <c r="P912" s="29" t="s">
        <v>8994</v>
      </c>
      <c r="Q912" s="29" t="s">
        <v>1458</v>
      </c>
      <c r="R912" s="29" t="s">
        <v>3786</v>
      </c>
      <c r="S912" s="28" t="s">
        <v>1920</v>
      </c>
      <c r="T912" s="28" t="s">
        <v>1996</v>
      </c>
      <c r="U912" s="28" t="s">
        <v>1441</v>
      </c>
      <c r="V912" s="28" t="s">
        <v>1619</v>
      </c>
      <c r="W912" s="28" t="s">
        <v>8995</v>
      </c>
      <c r="X912" s="17">
        <v>3</v>
      </c>
      <c r="CJ912" s="26" t="s">
        <v>1399</v>
      </c>
      <c r="CK912" s="26" t="s">
        <v>2642</v>
      </c>
      <c r="CL912" s="26" t="str">
        <f t="shared" si="57"/>
        <v>静岡県菊川市</v>
      </c>
      <c r="CM912" s="49">
        <v>907</v>
      </c>
      <c r="CN912" s="17" t="str">
        <f t="shared" si="56"/>
        <v>0990</v>
      </c>
      <c r="CO912" s="17" t="str">
        <f t="shared" si="58"/>
        <v>907990菊川市</v>
      </c>
      <c r="CP912" s="17" t="s">
        <v>8996</v>
      </c>
      <c r="CQ912" s="17" t="b">
        <f t="shared" si="59"/>
        <v>1</v>
      </c>
    </row>
    <row r="913" spans="6:95">
      <c r="F913" s="23"/>
      <c r="I913" s="23"/>
      <c r="L913" s="50" t="s">
        <v>8997</v>
      </c>
      <c r="M913" s="17" t="s">
        <v>8998</v>
      </c>
      <c r="N913" s="51" t="s">
        <v>8999</v>
      </c>
      <c r="O913" s="29" t="s">
        <v>1458</v>
      </c>
      <c r="P913" s="29" t="s">
        <v>9000</v>
      </c>
      <c r="Q913" s="29" t="s">
        <v>1458</v>
      </c>
      <c r="R913" s="29" t="s">
        <v>3794</v>
      </c>
      <c r="S913" s="28" t="s">
        <v>1977</v>
      </c>
      <c r="T913" s="28" t="s">
        <v>3639</v>
      </c>
      <c r="U913" s="28" t="s">
        <v>1441</v>
      </c>
      <c r="V913" s="28" t="s">
        <v>1619</v>
      </c>
      <c r="W913" s="28" t="s">
        <v>9001</v>
      </c>
      <c r="X913" s="17">
        <v>4</v>
      </c>
      <c r="CJ913" s="26" t="s">
        <v>1399</v>
      </c>
      <c r="CK913" s="26" t="s">
        <v>2688</v>
      </c>
      <c r="CL913" s="26" t="str">
        <f t="shared" si="57"/>
        <v>静岡県伊豆の国市</v>
      </c>
      <c r="CM913" s="49">
        <v>908</v>
      </c>
      <c r="CN913" s="17" t="str">
        <f t="shared" si="56"/>
        <v>0991</v>
      </c>
      <c r="CO913" s="17" t="str">
        <f t="shared" si="58"/>
        <v>908991伊豆の国市</v>
      </c>
      <c r="CP913" s="17" t="s">
        <v>9002</v>
      </c>
      <c r="CQ913" s="17" t="b">
        <f t="shared" si="59"/>
        <v>1</v>
      </c>
    </row>
    <row r="914" spans="6:95">
      <c r="F914" s="23"/>
      <c r="I914" s="23"/>
      <c r="L914" s="50" t="s">
        <v>9003</v>
      </c>
      <c r="M914" s="17" t="s">
        <v>9004</v>
      </c>
      <c r="N914" s="51" t="s">
        <v>9005</v>
      </c>
      <c r="O914" s="29" t="s">
        <v>1458</v>
      </c>
      <c r="P914" s="29" t="s">
        <v>9006</v>
      </c>
      <c r="Q914" s="29" t="s">
        <v>1458</v>
      </c>
      <c r="R914" s="29" t="s">
        <v>3818</v>
      </c>
      <c r="S914" s="28" t="s">
        <v>1626</v>
      </c>
      <c r="T914" s="28" t="s">
        <v>3648</v>
      </c>
      <c r="U914" s="28" t="s">
        <v>1441</v>
      </c>
      <c r="V914" s="28" t="s">
        <v>1619</v>
      </c>
      <c r="W914" s="28" t="s">
        <v>9007</v>
      </c>
      <c r="X914" s="17">
        <v>5</v>
      </c>
      <c r="CJ914" s="26" t="s">
        <v>1399</v>
      </c>
      <c r="CK914" s="26" t="s">
        <v>2734</v>
      </c>
      <c r="CL914" s="26" t="str">
        <f t="shared" si="57"/>
        <v>静岡県牧之原市</v>
      </c>
      <c r="CM914" s="49">
        <v>909</v>
      </c>
      <c r="CN914" s="17" t="str">
        <f t="shared" si="56"/>
        <v>0992</v>
      </c>
      <c r="CO914" s="17" t="str">
        <f t="shared" si="58"/>
        <v>909992牧之原市</v>
      </c>
      <c r="CP914" s="17" t="s">
        <v>9008</v>
      </c>
      <c r="CQ914" s="17" t="b">
        <f t="shared" si="59"/>
        <v>1</v>
      </c>
    </row>
    <row r="915" spans="6:95">
      <c r="F915" s="23"/>
      <c r="I915" s="23"/>
      <c r="L915" s="50" t="s">
        <v>9009</v>
      </c>
      <c r="M915" s="17" t="s">
        <v>9010</v>
      </c>
      <c r="N915" s="51" t="s">
        <v>9011</v>
      </c>
      <c r="O915" s="29" t="s">
        <v>1458</v>
      </c>
      <c r="P915" s="29" t="s">
        <v>9012</v>
      </c>
      <c r="Q915" s="29" t="s">
        <v>1458</v>
      </c>
      <c r="R915" s="29" t="s">
        <v>3826</v>
      </c>
      <c r="S915" s="28" t="s">
        <v>1502</v>
      </c>
      <c r="T915" s="28" t="s">
        <v>3657</v>
      </c>
      <c r="U915" s="28" t="s">
        <v>1441</v>
      </c>
      <c r="V915" s="28" t="s">
        <v>1619</v>
      </c>
      <c r="W915" s="28" t="s">
        <v>9013</v>
      </c>
      <c r="X915" s="17">
        <v>6</v>
      </c>
      <c r="CJ915" s="26" t="s">
        <v>1399</v>
      </c>
      <c r="CK915" s="26" t="s">
        <v>2778</v>
      </c>
      <c r="CL915" s="26" t="str">
        <f t="shared" si="57"/>
        <v>静岡県東伊豆町</v>
      </c>
      <c r="CM915" s="49">
        <v>910</v>
      </c>
      <c r="CN915" s="17" t="str">
        <f t="shared" si="56"/>
        <v>0993</v>
      </c>
      <c r="CO915" s="17" t="str">
        <f t="shared" si="58"/>
        <v>910993東伊豆町</v>
      </c>
      <c r="CP915" s="17" t="s">
        <v>9014</v>
      </c>
      <c r="CQ915" s="17" t="b">
        <f t="shared" si="59"/>
        <v>1</v>
      </c>
    </row>
    <row r="916" spans="6:95">
      <c r="F916" s="23"/>
      <c r="I916" s="23"/>
      <c r="L916" s="50" t="s">
        <v>9015</v>
      </c>
      <c r="M916" s="17" t="s">
        <v>9016</v>
      </c>
      <c r="N916" s="51" t="s">
        <v>9017</v>
      </c>
      <c r="O916" s="29" t="s">
        <v>1458</v>
      </c>
      <c r="P916" s="29" t="s">
        <v>9018</v>
      </c>
      <c r="Q916" s="29" t="s">
        <v>1458</v>
      </c>
      <c r="R916" s="29" t="s">
        <v>9019</v>
      </c>
      <c r="S916" s="28" t="s">
        <v>1862</v>
      </c>
      <c r="T916" s="28" t="s">
        <v>3666</v>
      </c>
      <c r="U916" s="28" t="s">
        <v>1441</v>
      </c>
      <c r="V916" s="28" t="s">
        <v>1619</v>
      </c>
      <c r="W916" s="28" t="s">
        <v>9020</v>
      </c>
      <c r="X916" s="17">
        <v>1</v>
      </c>
      <c r="CJ916" s="26" t="s">
        <v>1399</v>
      </c>
      <c r="CK916" s="26" t="s">
        <v>2820</v>
      </c>
      <c r="CL916" s="26" t="str">
        <f t="shared" si="57"/>
        <v>静岡県河津町</v>
      </c>
      <c r="CM916" s="49">
        <v>911</v>
      </c>
      <c r="CN916" s="17" t="str">
        <f t="shared" si="56"/>
        <v>0994</v>
      </c>
      <c r="CO916" s="17" t="str">
        <f t="shared" si="58"/>
        <v>911994河津町</v>
      </c>
      <c r="CP916" s="17" t="s">
        <v>9021</v>
      </c>
      <c r="CQ916" s="17" t="b">
        <f t="shared" si="59"/>
        <v>1</v>
      </c>
    </row>
    <row r="917" spans="6:95">
      <c r="F917" s="23"/>
      <c r="I917" s="23"/>
      <c r="L917" s="50" t="s">
        <v>9022</v>
      </c>
      <c r="M917" s="17" t="s">
        <v>9023</v>
      </c>
      <c r="N917" s="51" t="s">
        <v>9024</v>
      </c>
      <c r="O917" s="29" t="s">
        <v>1458</v>
      </c>
      <c r="P917" s="29" t="s">
        <v>9025</v>
      </c>
      <c r="Q917" s="29" t="s">
        <v>1458</v>
      </c>
      <c r="R917" s="29" t="s">
        <v>4413</v>
      </c>
      <c r="S917" s="28" t="s">
        <v>1564</v>
      </c>
      <c r="T917" s="28" t="s">
        <v>3675</v>
      </c>
      <c r="U917" s="28" t="s">
        <v>1441</v>
      </c>
      <c r="V917" s="28" t="s">
        <v>1619</v>
      </c>
      <c r="W917" s="28" t="s">
        <v>9026</v>
      </c>
      <c r="X917" s="17">
        <v>2</v>
      </c>
      <c r="CJ917" s="26" t="s">
        <v>1399</v>
      </c>
      <c r="CK917" s="26" t="s">
        <v>2860</v>
      </c>
      <c r="CL917" s="26" t="str">
        <f t="shared" si="57"/>
        <v>静岡県南伊豆町</v>
      </c>
      <c r="CM917" s="49">
        <v>912</v>
      </c>
      <c r="CN917" s="17" t="str">
        <f t="shared" si="56"/>
        <v>0995</v>
      </c>
      <c r="CO917" s="17" t="str">
        <f t="shared" si="58"/>
        <v>912995南伊豆町</v>
      </c>
      <c r="CP917" s="17" t="s">
        <v>9027</v>
      </c>
      <c r="CQ917" s="17" t="b">
        <f t="shared" si="59"/>
        <v>1</v>
      </c>
    </row>
    <row r="918" spans="6:95">
      <c r="F918" s="23"/>
      <c r="I918" s="23"/>
      <c r="L918" s="50" t="s">
        <v>9028</v>
      </c>
      <c r="M918" s="17" t="s">
        <v>9029</v>
      </c>
      <c r="N918" s="51" t="s">
        <v>9030</v>
      </c>
      <c r="O918" s="29" t="s">
        <v>1458</v>
      </c>
      <c r="P918" s="29" t="s">
        <v>9031</v>
      </c>
      <c r="Q918" s="29" t="s">
        <v>1458</v>
      </c>
      <c r="R918" s="29" t="s">
        <v>5240</v>
      </c>
      <c r="S918" s="28" t="s">
        <v>1803</v>
      </c>
      <c r="T918" s="28" t="s">
        <v>3684</v>
      </c>
      <c r="U918" s="28" t="s">
        <v>1441</v>
      </c>
      <c r="V918" s="28" t="s">
        <v>1619</v>
      </c>
      <c r="W918" s="28" t="s">
        <v>9032</v>
      </c>
      <c r="X918" s="17">
        <v>3</v>
      </c>
      <c r="CJ918" s="26" t="s">
        <v>1399</v>
      </c>
      <c r="CK918" s="26" t="s">
        <v>2899</v>
      </c>
      <c r="CL918" s="26" t="str">
        <f t="shared" si="57"/>
        <v>静岡県松崎町</v>
      </c>
      <c r="CM918" s="49">
        <v>913</v>
      </c>
      <c r="CN918" s="17" t="str">
        <f t="shared" si="56"/>
        <v>0996</v>
      </c>
      <c r="CO918" s="17" t="str">
        <f t="shared" si="58"/>
        <v>913996松崎町</v>
      </c>
      <c r="CP918" s="17" t="s">
        <v>9033</v>
      </c>
      <c r="CQ918" s="17" t="b">
        <f t="shared" si="59"/>
        <v>1</v>
      </c>
    </row>
    <row r="919" spans="6:95">
      <c r="F919" s="23"/>
      <c r="I919" s="23"/>
      <c r="L919" s="50" t="s">
        <v>9034</v>
      </c>
      <c r="M919" s="17" t="s">
        <v>9035</v>
      </c>
      <c r="N919" s="51" t="s">
        <v>9036</v>
      </c>
      <c r="O919" s="29" t="s">
        <v>1458</v>
      </c>
      <c r="P919" s="29" t="s">
        <v>9037</v>
      </c>
      <c r="Q919" s="29" t="s">
        <v>1458</v>
      </c>
      <c r="R919" s="29" t="s">
        <v>3539</v>
      </c>
      <c r="S919" s="28" t="s">
        <v>1862</v>
      </c>
      <c r="T919" s="28" t="s">
        <v>3693</v>
      </c>
      <c r="U919" s="28" t="s">
        <v>1441</v>
      </c>
      <c r="V919" s="28" t="s">
        <v>1619</v>
      </c>
      <c r="W919" s="28" t="s">
        <v>9038</v>
      </c>
      <c r="X919" s="17">
        <v>4</v>
      </c>
      <c r="CJ919" s="26" t="s">
        <v>1399</v>
      </c>
      <c r="CK919" s="26" t="s">
        <v>2935</v>
      </c>
      <c r="CL919" s="26" t="str">
        <f t="shared" si="57"/>
        <v>静岡県西伊豆町</v>
      </c>
      <c r="CM919" s="49">
        <v>914</v>
      </c>
      <c r="CN919" s="17" t="str">
        <f t="shared" si="56"/>
        <v>0997</v>
      </c>
      <c r="CO919" s="17" t="str">
        <f t="shared" si="58"/>
        <v>914997西伊豆町</v>
      </c>
      <c r="CP919" s="17" t="s">
        <v>9039</v>
      </c>
      <c r="CQ919" s="17" t="b">
        <f t="shared" si="59"/>
        <v>1</v>
      </c>
    </row>
    <row r="920" spans="6:95">
      <c r="F920" s="23"/>
      <c r="I920" s="23"/>
      <c r="L920" s="50" t="s">
        <v>9040</v>
      </c>
      <c r="M920" s="17" t="s">
        <v>9041</v>
      </c>
      <c r="N920" s="51" t="s">
        <v>9042</v>
      </c>
      <c r="O920" s="29" t="s">
        <v>1458</v>
      </c>
      <c r="P920" s="29" t="s">
        <v>9043</v>
      </c>
      <c r="Q920" s="29" t="s">
        <v>1458</v>
      </c>
      <c r="R920" s="29" t="s">
        <v>4397</v>
      </c>
      <c r="S920" s="28" t="s">
        <v>2525</v>
      </c>
      <c r="T920" s="28" t="s">
        <v>3701</v>
      </c>
      <c r="U920" s="28" t="s">
        <v>1441</v>
      </c>
      <c r="V920" s="28" t="s">
        <v>1619</v>
      </c>
      <c r="W920" s="28" t="s">
        <v>9044</v>
      </c>
      <c r="X920" s="17">
        <v>5</v>
      </c>
      <c r="CJ920" s="26" t="s">
        <v>1399</v>
      </c>
      <c r="CK920" s="26" t="s">
        <v>2968</v>
      </c>
      <c r="CL920" s="26" t="str">
        <f t="shared" si="57"/>
        <v>静岡県函南町</v>
      </c>
      <c r="CM920" s="49">
        <v>915</v>
      </c>
      <c r="CN920" s="17" t="str">
        <f t="shared" si="56"/>
        <v>0998</v>
      </c>
      <c r="CO920" s="17" t="str">
        <f t="shared" si="58"/>
        <v>915998函南町</v>
      </c>
      <c r="CP920" s="17" t="s">
        <v>9045</v>
      </c>
      <c r="CQ920" s="17" t="b">
        <f t="shared" si="59"/>
        <v>1</v>
      </c>
    </row>
    <row r="921" spans="6:95">
      <c r="F921" s="23"/>
      <c r="I921" s="23"/>
      <c r="L921" s="50" t="s">
        <v>9046</v>
      </c>
      <c r="M921" s="17" t="s">
        <v>9047</v>
      </c>
      <c r="N921" s="51" t="s">
        <v>9048</v>
      </c>
      <c r="O921" s="29" t="s">
        <v>1458</v>
      </c>
      <c r="P921" s="29" t="s">
        <v>9049</v>
      </c>
      <c r="Q921" s="29" t="s">
        <v>1458</v>
      </c>
      <c r="R921" s="29" t="s">
        <v>3579</v>
      </c>
      <c r="S921" s="28" t="s">
        <v>1502</v>
      </c>
      <c r="T921" s="28" t="s">
        <v>3709</v>
      </c>
      <c r="U921" s="28" t="s">
        <v>1441</v>
      </c>
      <c r="V921" s="28" t="s">
        <v>1619</v>
      </c>
      <c r="W921" s="28" t="s">
        <v>9050</v>
      </c>
      <c r="X921" s="17">
        <v>6</v>
      </c>
      <c r="CJ921" s="26" t="s">
        <v>1399</v>
      </c>
      <c r="CK921" s="26" t="s">
        <v>3002</v>
      </c>
      <c r="CL921" s="26" t="str">
        <f t="shared" si="57"/>
        <v>静岡県清水町</v>
      </c>
      <c r="CM921" s="49">
        <v>916</v>
      </c>
      <c r="CN921" s="17" t="str">
        <f t="shared" si="56"/>
        <v>0999</v>
      </c>
      <c r="CO921" s="17" t="str">
        <f t="shared" si="58"/>
        <v>916999清水町</v>
      </c>
      <c r="CP921" s="17" t="s">
        <v>9051</v>
      </c>
      <c r="CQ921" s="17" t="b">
        <f t="shared" si="59"/>
        <v>1</v>
      </c>
    </row>
    <row r="922" spans="6:95">
      <c r="F922" s="23"/>
      <c r="I922" s="23"/>
      <c r="L922" s="50" t="s">
        <v>9052</v>
      </c>
      <c r="M922" s="17" t="s">
        <v>9053</v>
      </c>
      <c r="N922" s="51" t="s">
        <v>9054</v>
      </c>
      <c r="O922" s="29" t="s">
        <v>1458</v>
      </c>
      <c r="P922" s="29" t="s">
        <v>9055</v>
      </c>
      <c r="Q922" s="29" t="s">
        <v>1458</v>
      </c>
      <c r="R922" s="29" t="s">
        <v>3591</v>
      </c>
      <c r="S922" s="28" t="s">
        <v>2525</v>
      </c>
      <c r="T922" s="28" t="s">
        <v>3717</v>
      </c>
      <c r="U922" s="28" t="s">
        <v>1441</v>
      </c>
      <c r="V922" s="28" t="s">
        <v>1619</v>
      </c>
      <c r="W922" s="28" t="s">
        <v>9056</v>
      </c>
      <c r="X922" s="17">
        <v>7</v>
      </c>
      <c r="CJ922" s="26" t="s">
        <v>1399</v>
      </c>
      <c r="CK922" s="26" t="s">
        <v>3035</v>
      </c>
      <c r="CL922" s="26" t="str">
        <f t="shared" si="57"/>
        <v>静岡県長泉町</v>
      </c>
      <c r="CM922" s="49">
        <v>917</v>
      </c>
      <c r="CN922" s="17" t="str">
        <f t="shared" si="56"/>
        <v>1000</v>
      </c>
      <c r="CO922" s="17" t="str">
        <f t="shared" si="58"/>
        <v>9171000長泉町</v>
      </c>
      <c r="CP922" s="17" t="s">
        <v>9057</v>
      </c>
      <c r="CQ922" s="17" t="b">
        <f t="shared" si="59"/>
        <v>1</v>
      </c>
    </row>
    <row r="923" spans="6:95">
      <c r="F923" s="23"/>
      <c r="I923" s="23"/>
      <c r="L923" s="50" t="s">
        <v>9058</v>
      </c>
      <c r="M923" s="17" t="s">
        <v>9059</v>
      </c>
      <c r="N923" s="51" t="s">
        <v>9060</v>
      </c>
      <c r="O923" s="29" t="s">
        <v>1458</v>
      </c>
      <c r="P923" s="29" t="s">
        <v>9061</v>
      </c>
      <c r="Q923" s="29" t="s">
        <v>1458</v>
      </c>
      <c r="R923" s="29" t="s">
        <v>9062</v>
      </c>
      <c r="S923" s="28" t="s">
        <v>1502</v>
      </c>
      <c r="T923" s="28" t="s">
        <v>3726</v>
      </c>
      <c r="U923" s="28" t="s">
        <v>1441</v>
      </c>
      <c r="V923" s="28" t="s">
        <v>1619</v>
      </c>
      <c r="W923" s="28" t="s">
        <v>9063</v>
      </c>
      <c r="X923" s="17">
        <v>1</v>
      </c>
      <c r="CJ923" s="26" t="s">
        <v>1399</v>
      </c>
      <c r="CK923" s="26" t="s">
        <v>3066</v>
      </c>
      <c r="CL923" s="26" t="str">
        <f t="shared" si="57"/>
        <v>静岡県小山町</v>
      </c>
      <c r="CM923" s="49">
        <v>918</v>
      </c>
      <c r="CN923" s="17" t="str">
        <f t="shared" si="56"/>
        <v>1001</v>
      </c>
      <c r="CO923" s="17" t="str">
        <f t="shared" si="58"/>
        <v>9181001小山町</v>
      </c>
      <c r="CP923" s="17" t="s">
        <v>9064</v>
      </c>
      <c r="CQ923" s="17" t="b">
        <f t="shared" si="59"/>
        <v>1</v>
      </c>
    </row>
    <row r="924" spans="6:95">
      <c r="F924" s="23"/>
      <c r="I924" s="23"/>
      <c r="L924" s="50" t="s">
        <v>9065</v>
      </c>
      <c r="M924" s="17" t="s">
        <v>9066</v>
      </c>
      <c r="N924" s="51" t="s">
        <v>9067</v>
      </c>
      <c r="O924" s="29" t="s">
        <v>1458</v>
      </c>
      <c r="P924" s="29" t="s">
        <v>9068</v>
      </c>
      <c r="Q924" s="29" t="s">
        <v>1458</v>
      </c>
      <c r="R924" s="29" t="s">
        <v>1684</v>
      </c>
      <c r="S924" s="28" t="s">
        <v>1743</v>
      </c>
      <c r="T924" s="28" t="s">
        <v>3735</v>
      </c>
      <c r="U924" s="28" t="s">
        <v>1441</v>
      </c>
      <c r="V924" s="28" t="s">
        <v>1619</v>
      </c>
      <c r="W924" s="28" t="s">
        <v>9069</v>
      </c>
      <c r="X924" s="17">
        <v>2</v>
      </c>
      <c r="CJ924" s="26" t="s">
        <v>1399</v>
      </c>
      <c r="CK924" s="26" t="s">
        <v>3096</v>
      </c>
      <c r="CL924" s="26" t="str">
        <f t="shared" si="57"/>
        <v>静岡県吉田町</v>
      </c>
      <c r="CM924" s="49">
        <v>919</v>
      </c>
      <c r="CN924" s="17" t="str">
        <f t="shared" si="56"/>
        <v>1002</v>
      </c>
      <c r="CO924" s="17" t="str">
        <f t="shared" si="58"/>
        <v>9191002吉田町</v>
      </c>
      <c r="CP924" s="17" t="s">
        <v>9070</v>
      </c>
      <c r="CQ924" s="17" t="b">
        <f t="shared" si="59"/>
        <v>1</v>
      </c>
    </row>
    <row r="925" spans="6:95">
      <c r="F925" s="23"/>
      <c r="I925" s="23"/>
      <c r="L925" s="50" t="s">
        <v>9071</v>
      </c>
      <c r="M925" s="17" t="s">
        <v>9072</v>
      </c>
      <c r="N925" s="51" t="s">
        <v>9073</v>
      </c>
      <c r="O925" s="29" t="s">
        <v>1458</v>
      </c>
      <c r="P925" s="29" t="s">
        <v>9074</v>
      </c>
      <c r="Q925" s="29" t="s">
        <v>1458</v>
      </c>
      <c r="R925" s="29" t="s">
        <v>1802</v>
      </c>
      <c r="S925" s="28" t="s">
        <v>1626</v>
      </c>
      <c r="T925" s="28" t="s">
        <v>3744</v>
      </c>
      <c r="U925" s="28" t="s">
        <v>1441</v>
      </c>
      <c r="V925" s="28" t="s">
        <v>1619</v>
      </c>
      <c r="W925" s="28" t="s">
        <v>9075</v>
      </c>
      <c r="X925" s="17">
        <v>3</v>
      </c>
      <c r="CJ925" s="26" t="s">
        <v>1399</v>
      </c>
      <c r="CK925" s="26" t="s">
        <v>3126</v>
      </c>
      <c r="CL925" s="26" t="str">
        <f t="shared" si="57"/>
        <v>静岡県川根本町</v>
      </c>
      <c r="CM925" s="49">
        <v>920</v>
      </c>
      <c r="CN925" s="17" t="str">
        <f t="shared" si="56"/>
        <v>1003</v>
      </c>
      <c r="CO925" s="17" t="str">
        <f t="shared" si="58"/>
        <v>9201003川根本町</v>
      </c>
      <c r="CP925" s="17" t="s">
        <v>9076</v>
      </c>
      <c r="CQ925" s="17" t="b">
        <f t="shared" si="59"/>
        <v>1</v>
      </c>
    </row>
    <row r="926" spans="6:95">
      <c r="F926" s="23"/>
      <c r="I926" s="23"/>
      <c r="L926" s="50" t="s">
        <v>9077</v>
      </c>
      <c r="M926" s="17" t="s">
        <v>9078</v>
      </c>
      <c r="N926" s="51" t="s">
        <v>9079</v>
      </c>
      <c r="O926" s="29" t="s">
        <v>1458</v>
      </c>
      <c r="P926" s="29" t="s">
        <v>9080</v>
      </c>
      <c r="Q926" s="29" t="s">
        <v>1458</v>
      </c>
      <c r="R926" s="29" t="s">
        <v>2255</v>
      </c>
      <c r="S926" s="28" t="s">
        <v>2311</v>
      </c>
      <c r="T926" s="28" t="s">
        <v>3753</v>
      </c>
      <c r="U926" s="28" t="s">
        <v>1441</v>
      </c>
      <c r="V926" s="28" t="s">
        <v>1619</v>
      </c>
      <c r="W926" s="28" t="s">
        <v>9081</v>
      </c>
      <c r="X926" s="17">
        <v>4</v>
      </c>
      <c r="CJ926" s="26" t="s">
        <v>1399</v>
      </c>
      <c r="CK926" s="26" t="s">
        <v>3157</v>
      </c>
      <c r="CL926" s="26" t="str">
        <f t="shared" si="57"/>
        <v>静岡県森町</v>
      </c>
      <c r="CM926" s="49">
        <v>921</v>
      </c>
      <c r="CN926" s="17" t="str">
        <f t="shared" si="56"/>
        <v>1004</v>
      </c>
      <c r="CO926" s="17" t="str">
        <f t="shared" si="58"/>
        <v>9211004森町</v>
      </c>
      <c r="CP926" s="17" t="s">
        <v>9082</v>
      </c>
      <c r="CQ926" s="17" t="b">
        <f t="shared" si="59"/>
        <v>1</v>
      </c>
    </row>
    <row r="927" spans="6:95">
      <c r="F927" s="23"/>
      <c r="I927" s="23"/>
      <c r="L927" s="50" t="s">
        <v>9083</v>
      </c>
      <c r="M927" s="17" t="s">
        <v>9084</v>
      </c>
      <c r="N927" s="51" t="s">
        <v>9085</v>
      </c>
      <c r="O927" s="29" t="s">
        <v>1458</v>
      </c>
      <c r="P927" s="29" t="s">
        <v>9086</v>
      </c>
      <c r="Q927" s="29" t="s">
        <v>1458</v>
      </c>
      <c r="R927" s="29" t="s">
        <v>3395</v>
      </c>
      <c r="S927" s="28" t="s">
        <v>1803</v>
      </c>
      <c r="T927" s="28" t="s">
        <v>3762</v>
      </c>
      <c r="U927" s="28" t="s">
        <v>1441</v>
      </c>
      <c r="V927" s="28" t="s">
        <v>1619</v>
      </c>
      <c r="W927" s="28" t="s">
        <v>9087</v>
      </c>
      <c r="X927" s="17">
        <v>5</v>
      </c>
      <c r="CJ927" s="26" t="s">
        <v>1400</v>
      </c>
      <c r="CK927" s="26" t="s">
        <v>1526</v>
      </c>
      <c r="CL927" s="26" t="str">
        <f t="shared" si="57"/>
        <v>愛知県名古屋市</v>
      </c>
      <c r="CM927" s="49">
        <v>922</v>
      </c>
      <c r="CN927" s="17" t="str">
        <f t="shared" si="56"/>
        <v>1005</v>
      </c>
      <c r="CO927" s="17" t="str">
        <f t="shared" si="58"/>
        <v>9221005名古屋市</v>
      </c>
      <c r="CP927" s="17" t="s">
        <v>9088</v>
      </c>
      <c r="CQ927" s="17" t="b">
        <f t="shared" si="59"/>
        <v>1</v>
      </c>
    </row>
    <row r="928" spans="6:95">
      <c r="F928" s="23"/>
      <c r="I928" s="23"/>
      <c r="L928" s="50" t="s">
        <v>9089</v>
      </c>
      <c r="M928" s="17" t="s">
        <v>9090</v>
      </c>
      <c r="N928" s="51" t="s">
        <v>9091</v>
      </c>
      <c r="O928" s="29" t="s">
        <v>1458</v>
      </c>
      <c r="P928" s="29" t="s">
        <v>9092</v>
      </c>
      <c r="Q928" s="29" t="s">
        <v>1458</v>
      </c>
      <c r="R928" s="29" t="s">
        <v>3411</v>
      </c>
      <c r="S928" s="28" t="s">
        <v>1862</v>
      </c>
      <c r="T928" s="28" t="s">
        <v>3771</v>
      </c>
      <c r="U928" s="28" t="s">
        <v>1441</v>
      </c>
      <c r="V928" s="28" t="s">
        <v>1619</v>
      </c>
      <c r="W928" s="28" t="s">
        <v>9093</v>
      </c>
      <c r="X928" s="17">
        <v>6</v>
      </c>
      <c r="CJ928" s="26" t="s">
        <v>1400</v>
      </c>
      <c r="CK928" s="26" t="s">
        <v>1588</v>
      </c>
      <c r="CL928" s="26" t="str">
        <f t="shared" si="57"/>
        <v>愛知県岡崎市</v>
      </c>
      <c r="CM928" s="49">
        <v>923</v>
      </c>
      <c r="CN928" s="17" t="str">
        <f t="shared" si="56"/>
        <v>1006</v>
      </c>
      <c r="CO928" s="17" t="str">
        <f t="shared" si="58"/>
        <v>9231006岡崎市</v>
      </c>
      <c r="CP928" s="17" t="s">
        <v>9094</v>
      </c>
      <c r="CQ928" s="17" t="b">
        <f t="shared" si="59"/>
        <v>1</v>
      </c>
    </row>
    <row r="929" spans="6:95">
      <c r="F929" s="23"/>
      <c r="I929" s="23"/>
      <c r="L929" s="50" t="s">
        <v>9095</v>
      </c>
      <c r="M929" s="17" t="s">
        <v>9096</v>
      </c>
      <c r="N929" s="51" t="s">
        <v>9097</v>
      </c>
      <c r="O929" s="29" t="s">
        <v>1458</v>
      </c>
      <c r="P929" s="29" t="s">
        <v>9098</v>
      </c>
      <c r="Q929" s="29" t="s">
        <v>1458</v>
      </c>
      <c r="R929" s="29" t="s">
        <v>3426</v>
      </c>
      <c r="S929" s="28" t="s">
        <v>1920</v>
      </c>
      <c r="T929" s="28" t="s">
        <v>3780</v>
      </c>
      <c r="U929" s="28" t="s">
        <v>1441</v>
      </c>
      <c r="V929" s="28" t="s">
        <v>1619</v>
      </c>
      <c r="W929" s="28" t="s">
        <v>9099</v>
      </c>
      <c r="X929" s="17">
        <v>7</v>
      </c>
      <c r="CJ929" s="26" t="s">
        <v>1400</v>
      </c>
      <c r="CK929" s="26" t="s">
        <v>1650</v>
      </c>
      <c r="CL929" s="26" t="str">
        <f t="shared" si="57"/>
        <v>愛知県一宮市</v>
      </c>
      <c r="CM929" s="49">
        <v>924</v>
      </c>
      <c r="CN929" s="17" t="str">
        <f t="shared" si="56"/>
        <v>1007</v>
      </c>
      <c r="CO929" s="17" t="str">
        <f t="shared" si="58"/>
        <v>9241007一宮市</v>
      </c>
      <c r="CP929" s="17" t="s">
        <v>9100</v>
      </c>
      <c r="CQ929" s="17" t="b">
        <f t="shared" si="59"/>
        <v>1</v>
      </c>
    </row>
    <row r="930" spans="6:95">
      <c r="F930" s="23"/>
      <c r="I930" s="23"/>
      <c r="L930" s="50" t="s">
        <v>9101</v>
      </c>
      <c r="M930" s="17" t="s">
        <v>9102</v>
      </c>
      <c r="N930" s="51" t="s">
        <v>9103</v>
      </c>
      <c r="O930" s="29" t="s">
        <v>1459</v>
      </c>
      <c r="P930" s="29" t="s">
        <v>9104</v>
      </c>
      <c r="Q930" s="29" t="s">
        <v>1459</v>
      </c>
      <c r="R930" s="29" t="s">
        <v>4593</v>
      </c>
      <c r="S930" s="28" t="s">
        <v>1626</v>
      </c>
      <c r="T930" s="28" t="s">
        <v>1524</v>
      </c>
      <c r="U930" s="28" t="s">
        <v>1442</v>
      </c>
      <c r="V930" s="28" t="s">
        <v>1678</v>
      </c>
      <c r="W930" s="28" t="s">
        <v>9105</v>
      </c>
      <c r="X930" s="17">
        <v>1</v>
      </c>
      <c r="CJ930" s="26" t="s">
        <v>1400</v>
      </c>
      <c r="CK930" s="26" t="s">
        <v>1708</v>
      </c>
      <c r="CL930" s="26" t="str">
        <f t="shared" si="57"/>
        <v>愛知県瀬戸市</v>
      </c>
      <c r="CM930" s="49">
        <v>925</v>
      </c>
      <c r="CN930" s="17" t="str">
        <f t="shared" si="56"/>
        <v>1008</v>
      </c>
      <c r="CO930" s="17" t="str">
        <f t="shared" si="58"/>
        <v>9251008瀬戸市</v>
      </c>
      <c r="CP930" s="17" t="s">
        <v>9106</v>
      </c>
      <c r="CQ930" s="17" t="b">
        <f t="shared" si="59"/>
        <v>1</v>
      </c>
    </row>
    <row r="931" spans="6:95">
      <c r="F931" s="23"/>
      <c r="I931" s="23"/>
      <c r="L931" s="50" t="s">
        <v>9107</v>
      </c>
      <c r="M931" s="17" t="s">
        <v>9108</v>
      </c>
      <c r="N931" s="51" t="s">
        <v>9109</v>
      </c>
      <c r="O931" s="29" t="s">
        <v>1459</v>
      </c>
      <c r="P931" s="29" t="s">
        <v>9110</v>
      </c>
      <c r="Q931" s="29" t="s">
        <v>1459</v>
      </c>
      <c r="R931" s="29" t="s">
        <v>1563</v>
      </c>
      <c r="S931" s="28" t="s">
        <v>1502</v>
      </c>
      <c r="T931" s="28" t="s">
        <v>1586</v>
      </c>
      <c r="U931" s="28" t="s">
        <v>1442</v>
      </c>
      <c r="V931" s="28" t="s">
        <v>1678</v>
      </c>
      <c r="W931" s="28" t="s">
        <v>9111</v>
      </c>
      <c r="X931" s="17">
        <v>1</v>
      </c>
      <c r="CJ931" s="26" t="s">
        <v>1400</v>
      </c>
      <c r="CK931" s="26" t="s">
        <v>1767</v>
      </c>
      <c r="CL931" s="26" t="str">
        <f t="shared" si="57"/>
        <v>愛知県半田市</v>
      </c>
      <c r="CM931" s="49">
        <v>926</v>
      </c>
      <c r="CN931" s="17" t="str">
        <f t="shared" si="56"/>
        <v>1009</v>
      </c>
      <c r="CO931" s="17" t="str">
        <f t="shared" si="58"/>
        <v>9261009半田市</v>
      </c>
      <c r="CP931" s="17" t="s">
        <v>9112</v>
      </c>
      <c r="CQ931" s="17" t="b">
        <f t="shared" si="59"/>
        <v>1</v>
      </c>
    </row>
    <row r="932" spans="6:95">
      <c r="F932" s="23"/>
      <c r="I932" s="23"/>
      <c r="L932" s="50" t="s">
        <v>9113</v>
      </c>
      <c r="M932" s="17" t="s">
        <v>9114</v>
      </c>
      <c r="N932" s="51" t="s">
        <v>9115</v>
      </c>
      <c r="O932" s="29" t="s">
        <v>1459</v>
      </c>
      <c r="P932" s="29" t="s">
        <v>9116</v>
      </c>
      <c r="Q932" s="29" t="s">
        <v>1459</v>
      </c>
      <c r="R932" s="29" t="s">
        <v>1625</v>
      </c>
      <c r="S932" s="28" t="s">
        <v>2525</v>
      </c>
      <c r="T932" s="28" t="s">
        <v>1648</v>
      </c>
      <c r="U932" s="28" t="s">
        <v>1442</v>
      </c>
      <c r="V932" s="28" t="s">
        <v>1678</v>
      </c>
      <c r="W932" s="28" t="s">
        <v>9117</v>
      </c>
      <c r="X932" s="17">
        <v>1</v>
      </c>
      <c r="CJ932" s="26" t="s">
        <v>1400</v>
      </c>
      <c r="CK932" s="26" t="s">
        <v>1827</v>
      </c>
      <c r="CL932" s="26" t="str">
        <f t="shared" si="57"/>
        <v>愛知県春日井市</v>
      </c>
      <c r="CM932" s="49">
        <v>927</v>
      </c>
      <c r="CN932" s="17" t="str">
        <f t="shared" si="56"/>
        <v>1010</v>
      </c>
      <c r="CO932" s="17" t="str">
        <f t="shared" si="58"/>
        <v>9271010春日井市</v>
      </c>
      <c r="CP932" s="17" t="s">
        <v>9118</v>
      </c>
      <c r="CQ932" s="17" t="b">
        <f t="shared" si="59"/>
        <v>1</v>
      </c>
    </row>
    <row r="933" spans="6:95">
      <c r="F933" s="23"/>
      <c r="I933" s="23"/>
      <c r="L933" s="50" t="s">
        <v>9119</v>
      </c>
      <c r="M933" s="17" t="s">
        <v>9120</v>
      </c>
      <c r="N933" s="51" t="s">
        <v>9121</v>
      </c>
      <c r="O933" s="29" t="s">
        <v>1459</v>
      </c>
      <c r="P933" s="29" t="s">
        <v>9122</v>
      </c>
      <c r="Q933" s="29" t="s">
        <v>1459</v>
      </c>
      <c r="R933" s="29" t="s">
        <v>1684</v>
      </c>
      <c r="S933" s="28" t="s">
        <v>2311</v>
      </c>
      <c r="T933" s="28" t="s">
        <v>1706</v>
      </c>
      <c r="U933" s="28" t="s">
        <v>1442</v>
      </c>
      <c r="V933" s="28" t="s">
        <v>1678</v>
      </c>
      <c r="W933" s="28" t="s">
        <v>9123</v>
      </c>
      <c r="X933" s="17">
        <v>1</v>
      </c>
      <c r="CJ933" s="26" t="s">
        <v>1400</v>
      </c>
      <c r="CK933" s="26" t="s">
        <v>1886</v>
      </c>
      <c r="CL933" s="26" t="str">
        <f t="shared" si="57"/>
        <v>愛知県津島市</v>
      </c>
      <c r="CM933" s="49">
        <v>928</v>
      </c>
      <c r="CN933" s="17" t="str">
        <f t="shared" si="56"/>
        <v>1011</v>
      </c>
      <c r="CO933" s="17" t="str">
        <f t="shared" si="58"/>
        <v>9281011津島市</v>
      </c>
      <c r="CP933" s="17" t="s">
        <v>9124</v>
      </c>
      <c r="CQ933" s="17" t="b">
        <f t="shared" si="59"/>
        <v>1</v>
      </c>
    </row>
    <row r="934" spans="6:95">
      <c r="F934" s="23"/>
      <c r="I934" s="23"/>
      <c r="L934" s="50" t="s">
        <v>9125</v>
      </c>
      <c r="M934" s="17" t="s">
        <v>9126</v>
      </c>
      <c r="N934" s="51" t="s">
        <v>9127</v>
      </c>
      <c r="O934" s="29" t="s">
        <v>1459</v>
      </c>
      <c r="P934" s="29" t="s">
        <v>9128</v>
      </c>
      <c r="Q934" s="29" t="s">
        <v>1459</v>
      </c>
      <c r="R934" s="29" t="s">
        <v>1742</v>
      </c>
      <c r="S934" s="28" t="s">
        <v>1862</v>
      </c>
      <c r="T934" s="28" t="s">
        <v>1765</v>
      </c>
      <c r="U934" s="28" t="s">
        <v>1442</v>
      </c>
      <c r="V934" s="28" t="s">
        <v>1678</v>
      </c>
      <c r="W934" s="28" t="s">
        <v>9129</v>
      </c>
      <c r="X934" s="17">
        <v>1</v>
      </c>
      <c r="CJ934" s="26" t="s">
        <v>1400</v>
      </c>
      <c r="CK934" s="26" t="s">
        <v>1944</v>
      </c>
      <c r="CL934" s="26" t="str">
        <f t="shared" si="57"/>
        <v>愛知県碧南市</v>
      </c>
      <c r="CM934" s="49">
        <v>929</v>
      </c>
      <c r="CN934" s="17" t="str">
        <f t="shared" si="56"/>
        <v>1012</v>
      </c>
      <c r="CO934" s="17" t="str">
        <f t="shared" si="58"/>
        <v>9291012碧南市</v>
      </c>
      <c r="CP934" s="17" t="s">
        <v>9130</v>
      </c>
      <c r="CQ934" s="17" t="b">
        <f t="shared" si="59"/>
        <v>1</v>
      </c>
    </row>
    <row r="935" spans="6:95">
      <c r="F935" s="23"/>
      <c r="I935" s="23"/>
      <c r="L935" s="50" t="s">
        <v>9131</v>
      </c>
      <c r="M935" s="17" t="s">
        <v>9132</v>
      </c>
      <c r="N935" s="51" t="s">
        <v>9133</v>
      </c>
      <c r="O935" s="29" t="s">
        <v>1459</v>
      </c>
      <c r="P935" s="29" t="s">
        <v>9134</v>
      </c>
      <c r="Q935" s="29" t="s">
        <v>1459</v>
      </c>
      <c r="R935" s="29" t="s">
        <v>1802</v>
      </c>
      <c r="S935" s="28" t="s">
        <v>1920</v>
      </c>
      <c r="T935" s="28" t="s">
        <v>1825</v>
      </c>
      <c r="U935" s="28" t="s">
        <v>1442</v>
      </c>
      <c r="V935" s="28" t="s">
        <v>1678</v>
      </c>
      <c r="W935" s="28" t="s">
        <v>9135</v>
      </c>
      <c r="X935" s="17">
        <v>1</v>
      </c>
      <c r="CJ935" s="26" t="s">
        <v>1400</v>
      </c>
      <c r="CK935" s="26" t="s">
        <v>2001</v>
      </c>
      <c r="CL935" s="26" t="str">
        <f t="shared" si="57"/>
        <v>愛知県刈谷市</v>
      </c>
      <c r="CM935" s="49">
        <v>930</v>
      </c>
      <c r="CN935" s="17" t="str">
        <f t="shared" si="56"/>
        <v>1013</v>
      </c>
      <c r="CO935" s="17" t="str">
        <f t="shared" si="58"/>
        <v>9301013刈谷市</v>
      </c>
      <c r="CP935" s="17" t="s">
        <v>9136</v>
      </c>
      <c r="CQ935" s="17" t="b">
        <f t="shared" si="59"/>
        <v>1</v>
      </c>
    </row>
    <row r="936" spans="6:95">
      <c r="F936" s="23"/>
      <c r="I936" s="23"/>
      <c r="L936" s="50" t="s">
        <v>9137</v>
      </c>
      <c r="M936" s="17" t="s">
        <v>9138</v>
      </c>
      <c r="N936" s="51" t="s">
        <v>9139</v>
      </c>
      <c r="O936" s="29" t="s">
        <v>1459</v>
      </c>
      <c r="P936" s="29" t="s">
        <v>9140</v>
      </c>
      <c r="Q936" s="29" t="s">
        <v>1459</v>
      </c>
      <c r="R936" s="29" t="s">
        <v>1861</v>
      </c>
      <c r="S936" s="28" t="s">
        <v>1977</v>
      </c>
      <c r="T936" s="28" t="s">
        <v>1884</v>
      </c>
      <c r="U936" s="28" t="s">
        <v>1442</v>
      </c>
      <c r="V936" s="28" t="s">
        <v>1678</v>
      </c>
      <c r="W936" s="28" t="s">
        <v>9141</v>
      </c>
      <c r="X936" s="17">
        <v>1</v>
      </c>
      <c r="CJ936" s="26" t="s">
        <v>1400</v>
      </c>
      <c r="CK936" s="26" t="s">
        <v>2057</v>
      </c>
      <c r="CL936" s="26" t="str">
        <f t="shared" si="57"/>
        <v>愛知県豊田市</v>
      </c>
      <c r="CM936" s="49">
        <v>931</v>
      </c>
      <c r="CN936" s="17" t="str">
        <f t="shared" si="56"/>
        <v>1014</v>
      </c>
      <c r="CO936" s="17" t="str">
        <f t="shared" si="58"/>
        <v>9311014豊田市</v>
      </c>
      <c r="CP936" s="17" t="s">
        <v>9142</v>
      </c>
      <c r="CQ936" s="17" t="b">
        <f t="shared" si="59"/>
        <v>1</v>
      </c>
    </row>
    <row r="937" spans="6:95">
      <c r="F937" s="23"/>
      <c r="I937" s="23"/>
      <c r="L937" s="50" t="s">
        <v>9143</v>
      </c>
      <c r="M937" s="17" t="s">
        <v>9144</v>
      </c>
      <c r="N937" s="51" t="s">
        <v>9145</v>
      </c>
      <c r="O937" s="29" t="s">
        <v>1459</v>
      </c>
      <c r="P937" s="29" t="s">
        <v>9146</v>
      </c>
      <c r="Q937" s="29" t="s">
        <v>1459</v>
      </c>
      <c r="R937" s="29" t="s">
        <v>1919</v>
      </c>
      <c r="S937" s="28" t="s">
        <v>1743</v>
      </c>
      <c r="T937" s="28" t="s">
        <v>1942</v>
      </c>
      <c r="U937" s="28" t="s">
        <v>1442</v>
      </c>
      <c r="V937" s="28" t="s">
        <v>1678</v>
      </c>
      <c r="W937" s="28" t="s">
        <v>9147</v>
      </c>
      <c r="X937" s="17">
        <v>1</v>
      </c>
      <c r="CJ937" s="26" t="s">
        <v>1400</v>
      </c>
      <c r="CK937" s="26" t="s">
        <v>2113</v>
      </c>
      <c r="CL937" s="26" t="str">
        <f t="shared" si="57"/>
        <v>愛知県安城市</v>
      </c>
      <c r="CM937" s="49">
        <v>932</v>
      </c>
      <c r="CN937" s="17" t="str">
        <f t="shared" si="56"/>
        <v>1015</v>
      </c>
      <c r="CO937" s="17" t="str">
        <f t="shared" si="58"/>
        <v>9321015安城市</v>
      </c>
      <c r="CP937" s="17" t="s">
        <v>9148</v>
      </c>
      <c r="CQ937" s="17" t="b">
        <f t="shared" si="59"/>
        <v>1</v>
      </c>
    </row>
    <row r="938" spans="6:95">
      <c r="F938" s="23"/>
      <c r="I938" s="23"/>
      <c r="L938" s="50" t="s">
        <v>9149</v>
      </c>
      <c r="M938" s="17" t="s">
        <v>9150</v>
      </c>
      <c r="N938" s="51" t="s">
        <v>9151</v>
      </c>
      <c r="O938" s="29" t="s">
        <v>1459</v>
      </c>
      <c r="P938" s="29" t="s">
        <v>9152</v>
      </c>
      <c r="Q938" s="29" t="s">
        <v>1459</v>
      </c>
      <c r="R938" s="29" t="s">
        <v>1976</v>
      </c>
      <c r="S938" s="28" t="s">
        <v>1803</v>
      </c>
      <c r="T938" s="28" t="s">
        <v>1999</v>
      </c>
      <c r="U938" s="28" t="s">
        <v>1442</v>
      </c>
      <c r="V938" s="28" t="s">
        <v>1678</v>
      </c>
      <c r="W938" s="28" t="s">
        <v>9153</v>
      </c>
      <c r="X938" s="17">
        <v>1</v>
      </c>
      <c r="CJ938" s="26" t="s">
        <v>1400</v>
      </c>
      <c r="CK938" s="26" t="s">
        <v>2169</v>
      </c>
      <c r="CL938" s="26" t="str">
        <f t="shared" si="57"/>
        <v>愛知県西尾市</v>
      </c>
      <c r="CM938" s="49">
        <v>933</v>
      </c>
      <c r="CN938" s="17" t="str">
        <f t="shared" si="56"/>
        <v>1016</v>
      </c>
      <c r="CO938" s="17" t="str">
        <f t="shared" si="58"/>
        <v>9331016西尾市</v>
      </c>
      <c r="CP938" s="17" t="s">
        <v>9154</v>
      </c>
      <c r="CQ938" s="17" t="b">
        <f t="shared" si="59"/>
        <v>1</v>
      </c>
    </row>
    <row r="939" spans="6:95">
      <c r="F939" s="23"/>
      <c r="I939" s="23"/>
      <c r="L939" s="50" t="s">
        <v>9155</v>
      </c>
      <c r="M939" s="17" t="s">
        <v>9156</v>
      </c>
      <c r="N939" s="51" t="s">
        <v>9157</v>
      </c>
      <c r="O939" s="29" t="s">
        <v>1459</v>
      </c>
      <c r="P939" s="29" t="s">
        <v>9158</v>
      </c>
      <c r="Q939" s="29" t="s">
        <v>1459</v>
      </c>
      <c r="R939" s="29" t="s">
        <v>2033</v>
      </c>
      <c r="S939" s="28" t="s">
        <v>1862</v>
      </c>
      <c r="T939" s="28" t="s">
        <v>2055</v>
      </c>
      <c r="U939" s="28" t="s">
        <v>1442</v>
      </c>
      <c r="V939" s="28" t="s">
        <v>1678</v>
      </c>
      <c r="W939" s="28" t="s">
        <v>9159</v>
      </c>
      <c r="X939" s="17">
        <v>1</v>
      </c>
      <c r="CJ939" s="26" t="s">
        <v>1400</v>
      </c>
      <c r="CK939" s="26" t="s">
        <v>2224</v>
      </c>
      <c r="CL939" s="26" t="str">
        <f t="shared" si="57"/>
        <v>愛知県犬山市</v>
      </c>
      <c r="CM939" s="49">
        <v>934</v>
      </c>
      <c r="CN939" s="17" t="str">
        <f t="shared" si="56"/>
        <v>1017</v>
      </c>
      <c r="CO939" s="17" t="str">
        <f t="shared" si="58"/>
        <v>9341017犬山市</v>
      </c>
      <c r="CP939" s="17" t="s">
        <v>9160</v>
      </c>
      <c r="CQ939" s="17" t="b">
        <f t="shared" si="59"/>
        <v>1</v>
      </c>
    </row>
    <row r="940" spans="6:95">
      <c r="F940" s="23"/>
      <c r="I940" s="23"/>
      <c r="L940" s="50" t="s">
        <v>9161</v>
      </c>
      <c r="M940" s="17" t="s">
        <v>9162</v>
      </c>
      <c r="N940" s="51" t="s">
        <v>9163</v>
      </c>
      <c r="O940" s="29" t="s">
        <v>1459</v>
      </c>
      <c r="P940" s="29" t="s">
        <v>9164</v>
      </c>
      <c r="Q940" s="29" t="s">
        <v>1459</v>
      </c>
      <c r="R940" s="29" t="s">
        <v>2089</v>
      </c>
      <c r="S940" s="28" t="s">
        <v>1920</v>
      </c>
      <c r="T940" s="28" t="s">
        <v>2111</v>
      </c>
      <c r="U940" s="28" t="s">
        <v>1442</v>
      </c>
      <c r="V940" s="28" t="s">
        <v>1678</v>
      </c>
      <c r="W940" s="28" t="s">
        <v>9165</v>
      </c>
      <c r="X940" s="17">
        <v>1</v>
      </c>
      <c r="CJ940" s="26" t="s">
        <v>1400</v>
      </c>
      <c r="CK940" s="26" t="s">
        <v>2279</v>
      </c>
      <c r="CL940" s="26" t="str">
        <f t="shared" si="57"/>
        <v>愛知県常滑市</v>
      </c>
      <c r="CM940" s="49">
        <v>935</v>
      </c>
      <c r="CN940" s="17" t="str">
        <f t="shared" si="56"/>
        <v>1018</v>
      </c>
      <c r="CO940" s="17" t="str">
        <f t="shared" si="58"/>
        <v>9351018常滑市</v>
      </c>
      <c r="CP940" s="17" t="s">
        <v>9166</v>
      </c>
      <c r="CQ940" s="17" t="b">
        <f t="shared" si="59"/>
        <v>1</v>
      </c>
    </row>
    <row r="941" spans="6:95">
      <c r="F941" s="23"/>
      <c r="I941" s="23"/>
      <c r="L941" s="50" t="s">
        <v>9167</v>
      </c>
      <c r="M941" s="17" t="s">
        <v>9168</v>
      </c>
      <c r="N941" s="51" t="s">
        <v>9169</v>
      </c>
      <c r="O941" s="29" t="s">
        <v>1459</v>
      </c>
      <c r="P941" s="29" t="s">
        <v>9170</v>
      </c>
      <c r="Q941" s="29" t="s">
        <v>1459</v>
      </c>
      <c r="R941" s="29" t="s">
        <v>2145</v>
      </c>
      <c r="S941" s="28" t="s">
        <v>1977</v>
      </c>
      <c r="T941" s="28" t="s">
        <v>2167</v>
      </c>
      <c r="U941" s="28" t="s">
        <v>1442</v>
      </c>
      <c r="V941" s="28" t="s">
        <v>1678</v>
      </c>
      <c r="W941" s="28" t="s">
        <v>9171</v>
      </c>
      <c r="X941" s="17">
        <v>1</v>
      </c>
      <c r="CJ941" s="26" t="s">
        <v>1400</v>
      </c>
      <c r="CK941" s="26" t="s">
        <v>2335</v>
      </c>
      <c r="CL941" s="26" t="str">
        <f t="shared" si="57"/>
        <v>愛知県江南市</v>
      </c>
      <c r="CM941" s="49">
        <v>936</v>
      </c>
      <c r="CN941" s="17" t="str">
        <f t="shared" si="56"/>
        <v>1019</v>
      </c>
      <c r="CO941" s="17" t="str">
        <f t="shared" si="58"/>
        <v>9361019江南市</v>
      </c>
      <c r="CP941" s="17" t="s">
        <v>9172</v>
      </c>
      <c r="CQ941" s="17" t="b">
        <f t="shared" si="59"/>
        <v>1</v>
      </c>
    </row>
    <row r="942" spans="6:95">
      <c r="F942" s="23"/>
      <c r="I942" s="23"/>
      <c r="L942" s="50" t="s">
        <v>9173</v>
      </c>
      <c r="M942" s="17" t="s">
        <v>9174</v>
      </c>
      <c r="N942" s="51" t="s">
        <v>9175</v>
      </c>
      <c r="O942" s="29" t="s">
        <v>1459</v>
      </c>
      <c r="P942" s="29" t="s">
        <v>9176</v>
      </c>
      <c r="Q942" s="29" t="s">
        <v>1459</v>
      </c>
      <c r="R942" s="29" t="s">
        <v>2200</v>
      </c>
      <c r="S942" s="28" t="s">
        <v>1743</v>
      </c>
      <c r="T942" s="28" t="s">
        <v>2222</v>
      </c>
      <c r="U942" s="28" t="s">
        <v>1442</v>
      </c>
      <c r="V942" s="28" t="s">
        <v>1678</v>
      </c>
      <c r="W942" s="28" t="s">
        <v>9177</v>
      </c>
      <c r="X942" s="17">
        <v>1</v>
      </c>
      <c r="CJ942" s="26" t="s">
        <v>1400</v>
      </c>
      <c r="CK942" s="26" t="s">
        <v>2389</v>
      </c>
      <c r="CL942" s="26" t="str">
        <f t="shared" si="57"/>
        <v>愛知県小牧市</v>
      </c>
      <c r="CM942" s="49">
        <v>937</v>
      </c>
      <c r="CN942" s="17" t="str">
        <f t="shared" si="56"/>
        <v>1020</v>
      </c>
      <c r="CO942" s="17" t="str">
        <f t="shared" si="58"/>
        <v>9371020小牧市</v>
      </c>
      <c r="CP942" s="17" t="s">
        <v>9178</v>
      </c>
      <c r="CQ942" s="17" t="b">
        <f t="shared" si="59"/>
        <v>1</v>
      </c>
    </row>
    <row r="943" spans="6:95">
      <c r="F943" s="23"/>
      <c r="I943" s="23"/>
      <c r="L943" s="50" t="s">
        <v>9179</v>
      </c>
      <c r="M943" s="17" t="s">
        <v>9180</v>
      </c>
      <c r="N943" s="51" t="s">
        <v>9181</v>
      </c>
      <c r="O943" s="29" t="s">
        <v>1459</v>
      </c>
      <c r="P943" s="29" t="s">
        <v>9182</v>
      </c>
      <c r="Q943" s="29" t="s">
        <v>1459</v>
      </c>
      <c r="R943" s="29" t="s">
        <v>2255</v>
      </c>
      <c r="S943" s="28" t="s">
        <v>1803</v>
      </c>
      <c r="T943" s="28" t="s">
        <v>2277</v>
      </c>
      <c r="U943" s="28" t="s">
        <v>1442</v>
      </c>
      <c r="V943" s="28" t="s">
        <v>1678</v>
      </c>
      <c r="W943" s="28" t="s">
        <v>9183</v>
      </c>
      <c r="X943" s="17">
        <v>1</v>
      </c>
      <c r="CJ943" s="26" t="s">
        <v>1400</v>
      </c>
      <c r="CK943" s="26" t="s">
        <v>2444</v>
      </c>
      <c r="CL943" s="26" t="str">
        <f t="shared" si="57"/>
        <v>愛知県稲沢市</v>
      </c>
      <c r="CM943" s="49">
        <v>938</v>
      </c>
      <c r="CN943" s="17" t="str">
        <f t="shared" si="56"/>
        <v>1021</v>
      </c>
      <c r="CO943" s="17" t="str">
        <f t="shared" si="58"/>
        <v>9381021稲沢市</v>
      </c>
      <c r="CP943" s="17" t="s">
        <v>9184</v>
      </c>
      <c r="CQ943" s="17" t="b">
        <f t="shared" si="59"/>
        <v>1</v>
      </c>
    </row>
    <row r="944" spans="6:95">
      <c r="F944" s="23"/>
      <c r="I944" s="23"/>
      <c r="L944" s="50" t="s">
        <v>9185</v>
      </c>
      <c r="M944" s="17" t="s">
        <v>9186</v>
      </c>
      <c r="N944" s="51" t="s">
        <v>9187</v>
      </c>
      <c r="O944" s="29" t="s">
        <v>1459</v>
      </c>
      <c r="P944" s="29" t="s">
        <v>9188</v>
      </c>
      <c r="Q944" s="29" t="s">
        <v>1459</v>
      </c>
      <c r="R944" s="29" t="s">
        <v>2310</v>
      </c>
      <c r="S944" s="28" t="s">
        <v>1626</v>
      </c>
      <c r="T944" s="28" t="s">
        <v>2333</v>
      </c>
      <c r="U944" s="28" t="s">
        <v>1442</v>
      </c>
      <c r="V944" s="28" t="s">
        <v>1678</v>
      </c>
      <c r="W944" s="28" t="s">
        <v>9189</v>
      </c>
      <c r="X944" s="17">
        <v>1</v>
      </c>
      <c r="CJ944" s="26" t="s">
        <v>1400</v>
      </c>
      <c r="CK944" s="26" t="s">
        <v>2495</v>
      </c>
      <c r="CL944" s="26" t="str">
        <f t="shared" si="57"/>
        <v>愛知県知立市</v>
      </c>
      <c r="CM944" s="49">
        <v>939</v>
      </c>
      <c r="CN944" s="17" t="str">
        <f t="shared" si="56"/>
        <v>1022</v>
      </c>
      <c r="CO944" s="17" t="str">
        <f t="shared" si="58"/>
        <v>9391022知立市</v>
      </c>
      <c r="CP944" s="17" t="s">
        <v>9190</v>
      </c>
      <c r="CQ944" s="17" t="b">
        <f t="shared" si="59"/>
        <v>1</v>
      </c>
    </row>
    <row r="945" spans="6:95">
      <c r="F945" s="23"/>
      <c r="I945" s="23"/>
      <c r="L945" s="50" t="s">
        <v>9191</v>
      </c>
      <c r="M945" s="17" t="s">
        <v>9192</v>
      </c>
      <c r="N945" s="51" t="s">
        <v>9193</v>
      </c>
      <c r="O945" s="29" t="s">
        <v>1459</v>
      </c>
      <c r="P945" s="29" t="s">
        <v>9194</v>
      </c>
      <c r="Q945" s="29" t="s">
        <v>1459</v>
      </c>
      <c r="R945" s="29" t="s">
        <v>2420</v>
      </c>
      <c r="S945" s="28" t="s">
        <v>2525</v>
      </c>
      <c r="T945" s="28" t="s">
        <v>2387</v>
      </c>
      <c r="U945" s="28" t="s">
        <v>1442</v>
      </c>
      <c r="V945" s="28" t="s">
        <v>1678</v>
      </c>
      <c r="W945" s="28" t="s">
        <v>9195</v>
      </c>
      <c r="X945" s="17">
        <v>1</v>
      </c>
      <c r="CJ945" s="26" t="s">
        <v>1400</v>
      </c>
      <c r="CK945" s="26" t="s">
        <v>2547</v>
      </c>
      <c r="CL945" s="26" t="str">
        <f t="shared" si="57"/>
        <v>愛知県尾張旭市</v>
      </c>
      <c r="CM945" s="49">
        <v>940</v>
      </c>
      <c r="CN945" s="17" t="str">
        <f t="shared" si="56"/>
        <v>1023</v>
      </c>
      <c r="CO945" s="17" t="str">
        <f t="shared" si="58"/>
        <v>9401023尾張旭市</v>
      </c>
      <c r="CP945" s="17" t="s">
        <v>9196</v>
      </c>
      <c r="CQ945" s="17" t="b">
        <f t="shared" si="59"/>
        <v>1</v>
      </c>
    </row>
    <row r="946" spans="6:95">
      <c r="F946" s="23"/>
      <c r="I946" s="23"/>
      <c r="L946" s="50" t="s">
        <v>9197</v>
      </c>
      <c r="M946" s="17" t="s">
        <v>9198</v>
      </c>
      <c r="N946" s="51" t="s">
        <v>9199</v>
      </c>
      <c r="O946" s="29" t="s">
        <v>1459</v>
      </c>
      <c r="P946" s="29" t="s">
        <v>9200</v>
      </c>
      <c r="Q946" s="29" t="s">
        <v>1459</v>
      </c>
      <c r="R946" s="29" t="s">
        <v>2524</v>
      </c>
      <c r="S946" s="28" t="s">
        <v>1564</v>
      </c>
      <c r="T946" s="28" t="s">
        <v>2442</v>
      </c>
      <c r="U946" s="28" t="s">
        <v>1442</v>
      </c>
      <c r="V946" s="28" t="s">
        <v>1678</v>
      </c>
      <c r="W946" s="28" t="s">
        <v>9201</v>
      </c>
      <c r="X946" s="17">
        <v>1</v>
      </c>
      <c r="CJ946" s="26" t="s">
        <v>1400</v>
      </c>
      <c r="CK946" s="26" t="s">
        <v>2596</v>
      </c>
      <c r="CL946" s="26" t="str">
        <f t="shared" si="57"/>
        <v>愛知県高浜市</v>
      </c>
      <c r="CM946" s="49">
        <v>941</v>
      </c>
      <c r="CN946" s="17" t="str">
        <f t="shared" si="56"/>
        <v>1024</v>
      </c>
      <c r="CO946" s="17" t="str">
        <f t="shared" si="58"/>
        <v>9411024高浜市</v>
      </c>
      <c r="CP946" s="17" t="s">
        <v>9202</v>
      </c>
      <c r="CQ946" s="17" t="b">
        <f t="shared" si="59"/>
        <v>1</v>
      </c>
    </row>
    <row r="947" spans="6:95">
      <c r="F947" s="23"/>
      <c r="I947" s="23"/>
      <c r="L947" s="50" t="s">
        <v>9203</v>
      </c>
      <c r="M947" s="17" t="s">
        <v>9204</v>
      </c>
      <c r="N947" s="51" t="s">
        <v>9205</v>
      </c>
      <c r="O947" s="29" t="s">
        <v>1459</v>
      </c>
      <c r="P947" s="29" t="s">
        <v>9206</v>
      </c>
      <c r="Q947" s="29" t="s">
        <v>1459</v>
      </c>
      <c r="R947" s="29" t="s">
        <v>2576</v>
      </c>
      <c r="S947" s="28" t="s">
        <v>1626</v>
      </c>
      <c r="T947" s="28" t="s">
        <v>2493</v>
      </c>
      <c r="U947" s="28" t="s">
        <v>1442</v>
      </c>
      <c r="V947" s="28" t="s">
        <v>1678</v>
      </c>
      <c r="W947" s="28" t="s">
        <v>9207</v>
      </c>
      <c r="X947" s="17">
        <v>1</v>
      </c>
      <c r="CJ947" s="26" t="s">
        <v>1400</v>
      </c>
      <c r="CK947" s="26" t="s">
        <v>2643</v>
      </c>
      <c r="CL947" s="26" t="str">
        <f t="shared" si="57"/>
        <v>愛知県岩倉市</v>
      </c>
      <c r="CM947" s="49">
        <v>942</v>
      </c>
      <c r="CN947" s="17" t="str">
        <f t="shared" si="56"/>
        <v>1025</v>
      </c>
      <c r="CO947" s="17" t="str">
        <f t="shared" si="58"/>
        <v>9421025岩倉市</v>
      </c>
      <c r="CP947" s="17" t="s">
        <v>9208</v>
      </c>
      <c r="CQ947" s="17" t="b">
        <f t="shared" si="59"/>
        <v>1</v>
      </c>
    </row>
    <row r="948" spans="6:95">
      <c r="F948" s="23"/>
      <c r="I948" s="23"/>
      <c r="L948" s="50" t="s">
        <v>9209</v>
      </c>
      <c r="M948" s="17" t="s">
        <v>9210</v>
      </c>
      <c r="N948" s="51" t="s">
        <v>9211</v>
      </c>
      <c r="O948" s="29" t="s">
        <v>1459</v>
      </c>
      <c r="P948" s="29" t="s">
        <v>9212</v>
      </c>
      <c r="Q948" s="29" t="s">
        <v>1459</v>
      </c>
      <c r="R948" s="29" t="s">
        <v>2623</v>
      </c>
      <c r="S948" s="28" t="s">
        <v>1502</v>
      </c>
      <c r="T948" s="28" t="s">
        <v>2545</v>
      </c>
      <c r="U948" s="28" t="s">
        <v>1442</v>
      </c>
      <c r="V948" s="28" t="s">
        <v>1678</v>
      </c>
      <c r="W948" s="28" t="s">
        <v>9213</v>
      </c>
      <c r="X948" s="17">
        <v>1</v>
      </c>
      <c r="CJ948" s="26" t="s">
        <v>1400</v>
      </c>
      <c r="CK948" s="26" t="s">
        <v>2689</v>
      </c>
      <c r="CL948" s="26" t="str">
        <f t="shared" si="57"/>
        <v>愛知県豊明市</v>
      </c>
      <c r="CM948" s="49">
        <v>943</v>
      </c>
      <c r="CN948" s="17" t="str">
        <f t="shared" si="56"/>
        <v>1026</v>
      </c>
      <c r="CO948" s="17" t="str">
        <f t="shared" si="58"/>
        <v>9431026豊明市</v>
      </c>
      <c r="CP948" s="17" t="s">
        <v>9214</v>
      </c>
      <c r="CQ948" s="17" t="b">
        <f t="shared" si="59"/>
        <v>1</v>
      </c>
    </row>
    <row r="949" spans="6:95">
      <c r="F949" s="23"/>
      <c r="I949" s="23"/>
      <c r="L949" s="50" t="s">
        <v>9215</v>
      </c>
      <c r="M949" s="17" t="s">
        <v>9216</v>
      </c>
      <c r="N949" s="51" t="s">
        <v>9217</v>
      </c>
      <c r="O949" s="29" t="s">
        <v>1459</v>
      </c>
      <c r="P949" s="29" t="s">
        <v>9218</v>
      </c>
      <c r="Q949" s="29" t="s">
        <v>1459</v>
      </c>
      <c r="R949" s="29" t="s">
        <v>5017</v>
      </c>
      <c r="S949" s="28" t="s">
        <v>2525</v>
      </c>
      <c r="T949" s="28" t="s">
        <v>2594</v>
      </c>
      <c r="U949" s="28" t="s">
        <v>1442</v>
      </c>
      <c r="V949" s="28" t="s">
        <v>1678</v>
      </c>
      <c r="W949" s="28" t="s">
        <v>9219</v>
      </c>
      <c r="X949" s="17">
        <v>1</v>
      </c>
      <c r="CJ949" s="26" t="s">
        <v>1400</v>
      </c>
      <c r="CK949" s="26" t="s">
        <v>2735</v>
      </c>
      <c r="CL949" s="26" t="str">
        <f t="shared" si="57"/>
        <v>愛知県日進市</v>
      </c>
      <c r="CM949" s="49">
        <v>944</v>
      </c>
      <c r="CN949" s="17" t="str">
        <f t="shared" si="56"/>
        <v>1027</v>
      </c>
      <c r="CO949" s="17" t="str">
        <f t="shared" si="58"/>
        <v>9441027日進市</v>
      </c>
      <c r="CP949" s="17" t="s">
        <v>9220</v>
      </c>
      <c r="CQ949" s="17" t="b">
        <f t="shared" si="59"/>
        <v>1</v>
      </c>
    </row>
    <row r="950" spans="6:95">
      <c r="F950" s="23"/>
      <c r="I950" s="23"/>
      <c r="L950" s="50" t="s">
        <v>9221</v>
      </c>
      <c r="M950" s="17" t="s">
        <v>9222</v>
      </c>
      <c r="N950" s="51" t="s">
        <v>9223</v>
      </c>
      <c r="O950" s="29" t="s">
        <v>1459</v>
      </c>
      <c r="P950" s="29" t="s">
        <v>9224</v>
      </c>
      <c r="Q950" s="29" t="s">
        <v>1459</v>
      </c>
      <c r="R950" s="29" t="s">
        <v>3142</v>
      </c>
      <c r="S950" s="28" t="s">
        <v>2311</v>
      </c>
      <c r="T950" s="28" t="s">
        <v>2641</v>
      </c>
      <c r="U950" s="28" t="s">
        <v>1442</v>
      </c>
      <c r="V950" s="28" t="s">
        <v>1678</v>
      </c>
      <c r="W950" s="28" t="s">
        <v>9225</v>
      </c>
      <c r="X950" s="17">
        <v>1</v>
      </c>
      <c r="CJ950" s="26" t="s">
        <v>1400</v>
      </c>
      <c r="CK950" s="26" t="s">
        <v>2779</v>
      </c>
      <c r="CL950" s="26" t="str">
        <f t="shared" si="57"/>
        <v>愛知県愛西市</v>
      </c>
      <c r="CM950" s="49">
        <v>945</v>
      </c>
      <c r="CN950" s="17" t="str">
        <f t="shared" si="56"/>
        <v>1028</v>
      </c>
      <c r="CO950" s="17" t="str">
        <f t="shared" si="58"/>
        <v>9451028愛西市</v>
      </c>
      <c r="CP950" s="17" t="s">
        <v>9226</v>
      </c>
      <c r="CQ950" s="17" t="b">
        <f t="shared" si="59"/>
        <v>1</v>
      </c>
    </row>
    <row r="951" spans="6:95">
      <c r="F951" s="23"/>
      <c r="I951" s="23"/>
      <c r="L951" s="50" t="s">
        <v>9227</v>
      </c>
      <c r="M951" s="17" t="s">
        <v>9228</v>
      </c>
      <c r="N951" s="51" t="s">
        <v>9229</v>
      </c>
      <c r="O951" s="29" t="s">
        <v>1459</v>
      </c>
      <c r="P951" s="29" t="s">
        <v>9230</v>
      </c>
      <c r="Q951" s="29" t="s">
        <v>1459</v>
      </c>
      <c r="R951" s="29" t="s">
        <v>5197</v>
      </c>
      <c r="S951" s="28" t="s">
        <v>2311</v>
      </c>
      <c r="T951" s="28" t="s">
        <v>2687</v>
      </c>
      <c r="U951" s="28" t="s">
        <v>1442</v>
      </c>
      <c r="V951" s="28" t="s">
        <v>1678</v>
      </c>
      <c r="W951" s="28" t="s">
        <v>9231</v>
      </c>
      <c r="X951" s="17">
        <v>1</v>
      </c>
      <c r="CJ951" s="26" t="s">
        <v>1400</v>
      </c>
      <c r="CK951" s="26" t="s">
        <v>2821</v>
      </c>
      <c r="CL951" s="26" t="str">
        <f t="shared" si="57"/>
        <v>愛知県清須市</v>
      </c>
      <c r="CM951" s="49">
        <v>946</v>
      </c>
      <c r="CN951" s="17" t="str">
        <f t="shared" si="56"/>
        <v>1029</v>
      </c>
      <c r="CO951" s="17" t="str">
        <f t="shared" si="58"/>
        <v>9461029清須市</v>
      </c>
      <c r="CP951" s="17" t="s">
        <v>9232</v>
      </c>
      <c r="CQ951" s="17" t="b">
        <f t="shared" si="59"/>
        <v>1</v>
      </c>
    </row>
    <row r="952" spans="6:95">
      <c r="F952" s="23"/>
      <c r="I952" s="23"/>
      <c r="L952" s="50" t="s">
        <v>9233</v>
      </c>
      <c r="M952" s="17" t="s">
        <v>9234</v>
      </c>
      <c r="N952" s="51" t="s">
        <v>9235</v>
      </c>
      <c r="O952" s="29" t="s">
        <v>1459</v>
      </c>
      <c r="P952" s="29" t="s">
        <v>9236</v>
      </c>
      <c r="Q952" s="29" t="s">
        <v>1459</v>
      </c>
      <c r="R952" s="29" t="s">
        <v>3395</v>
      </c>
      <c r="S952" s="28" t="s">
        <v>1564</v>
      </c>
      <c r="T952" s="28" t="s">
        <v>2733</v>
      </c>
      <c r="U952" s="28" t="s">
        <v>1442</v>
      </c>
      <c r="V952" s="28" t="s">
        <v>1678</v>
      </c>
      <c r="W952" s="28" t="s">
        <v>9237</v>
      </c>
      <c r="X952" s="17">
        <v>1</v>
      </c>
      <c r="CJ952" s="26" t="s">
        <v>1400</v>
      </c>
      <c r="CK952" s="26" t="s">
        <v>2861</v>
      </c>
      <c r="CL952" s="26" t="str">
        <f t="shared" si="57"/>
        <v>愛知県北名古屋市</v>
      </c>
      <c r="CM952" s="49">
        <v>947</v>
      </c>
      <c r="CN952" s="17" t="str">
        <f t="shared" si="56"/>
        <v>1030</v>
      </c>
      <c r="CO952" s="17" t="str">
        <f t="shared" si="58"/>
        <v>9471030北名古屋市</v>
      </c>
      <c r="CP952" s="17" t="s">
        <v>9238</v>
      </c>
      <c r="CQ952" s="17" t="b">
        <f t="shared" si="59"/>
        <v>1</v>
      </c>
    </row>
    <row r="953" spans="6:95">
      <c r="F953" s="23"/>
      <c r="I953" s="23"/>
      <c r="L953" s="50" t="s">
        <v>9239</v>
      </c>
      <c r="M953" s="17" t="s">
        <v>9240</v>
      </c>
      <c r="N953" s="51" t="s">
        <v>9241</v>
      </c>
      <c r="O953" s="29" t="s">
        <v>1459</v>
      </c>
      <c r="P953" s="29" t="s">
        <v>9242</v>
      </c>
      <c r="Q953" s="29" t="s">
        <v>1459</v>
      </c>
      <c r="R953" s="29" t="s">
        <v>3411</v>
      </c>
      <c r="S953" s="28" t="s">
        <v>1626</v>
      </c>
      <c r="T953" s="28" t="s">
        <v>2777</v>
      </c>
      <c r="U953" s="28" t="s">
        <v>1442</v>
      </c>
      <c r="V953" s="28" t="s">
        <v>1678</v>
      </c>
      <c r="W953" s="28" t="s">
        <v>9243</v>
      </c>
      <c r="X953" s="17">
        <v>1</v>
      </c>
      <c r="CJ953" s="26" t="s">
        <v>1400</v>
      </c>
      <c r="CK953" s="26" t="s">
        <v>2900</v>
      </c>
      <c r="CL953" s="26" t="str">
        <f t="shared" si="57"/>
        <v>愛知県弥富市</v>
      </c>
      <c r="CM953" s="49">
        <v>948</v>
      </c>
      <c r="CN953" s="17" t="str">
        <f t="shared" si="56"/>
        <v>1031</v>
      </c>
      <c r="CO953" s="17" t="str">
        <f t="shared" si="58"/>
        <v>9481031弥富市</v>
      </c>
      <c r="CP953" s="17" t="s">
        <v>9244</v>
      </c>
      <c r="CQ953" s="17" t="b">
        <f t="shared" si="59"/>
        <v>1</v>
      </c>
    </row>
    <row r="954" spans="6:95">
      <c r="F954" s="23"/>
      <c r="I954" s="23"/>
      <c r="L954" s="50" t="s">
        <v>9245</v>
      </c>
      <c r="M954" s="17" t="s">
        <v>9246</v>
      </c>
      <c r="N954" s="51" t="s">
        <v>9247</v>
      </c>
      <c r="O954" s="29" t="s">
        <v>1459</v>
      </c>
      <c r="P954" s="29" t="s">
        <v>9248</v>
      </c>
      <c r="Q954" s="29" t="s">
        <v>1459</v>
      </c>
      <c r="R954" s="29" t="s">
        <v>4984</v>
      </c>
      <c r="S954" s="28" t="s">
        <v>1803</v>
      </c>
      <c r="T954" s="28" t="s">
        <v>2819</v>
      </c>
      <c r="U954" s="28" t="s">
        <v>1442</v>
      </c>
      <c r="V954" s="28" t="s">
        <v>1678</v>
      </c>
      <c r="W954" s="28" t="s">
        <v>9249</v>
      </c>
      <c r="X954" s="17">
        <v>1</v>
      </c>
      <c r="CJ954" s="26" t="s">
        <v>1400</v>
      </c>
      <c r="CK954" s="26" t="s">
        <v>2936</v>
      </c>
      <c r="CL954" s="26" t="str">
        <f t="shared" si="57"/>
        <v>愛知県みよし市</v>
      </c>
      <c r="CM954" s="49">
        <v>949</v>
      </c>
      <c r="CN954" s="17" t="str">
        <f t="shared" si="56"/>
        <v>1032</v>
      </c>
      <c r="CO954" s="17" t="str">
        <f t="shared" si="58"/>
        <v>9491032みよし市</v>
      </c>
      <c r="CP954" s="17" t="s">
        <v>9250</v>
      </c>
      <c r="CQ954" s="17" t="b">
        <f t="shared" si="59"/>
        <v>1</v>
      </c>
    </row>
    <row r="955" spans="6:95">
      <c r="F955" s="23"/>
      <c r="I955" s="23"/>
      <c r="L955" s="50" t="s">
        <v>9251</v>
      </c>
      <c r="M955" s="17" t="s">
        <v>9252</v>
      </c>
      <c r="N955" s="51" t="s">
        <v>9253</v>
      </c>
      <c r="O955" s="29" t="s">
        <v>1459</v>
      </c>
      <c r="P955" s="29" t="s">
        <v>9254</v>
      </c>
      <c r="Q955" s="29" t="s">
        <v>1459</v>
      </c>
      <c r="R955" s="29" t="s">
        <v>5918</v>
      </c>
      <c r="S955" s="28" t="s">
        <v>1862</v>
      </c>
      <c r="T955" s="28" t="s">
        <v>2859</v>
      </c>
      <c r="U955" s="28" t="s">
        <v>1442</v>
      </c>
      <c r="V955" s="28" t="s">
        <v>1678</v>
      </c>
      <c r="W955" s="28" t="s">
        <v>9255</v>
      </c>
      <c r="X955" s="17">
        <v>1</v>
      </c>
      <c r="CJ955" s="26" t="s">
        <v>1400</v>
      </c>
      <c r="CK955" s="26" t="s">
        <v>2969</v>
      </c>
      <c r="CL955" s="26" t="str">
        <f t="shared" si="57"/>
        <v>愛知県あま市</v>
      </c>
      <c r="CM955" s="49">
        <v>950</v>
      </c>
      <c r="CN955" s="17" t="str">
        <f t="shared" si="56"/>
        <v>1033</v>
      </c>
      <c r="CO955" s="17" t="str">
        <f t="shared" si="58"/>
        <v>9501033あま市</v>
      </c>
      <c r="CP955" s="17" t="s">
        <v>9256</v>
      </c>
      <c r="CQ955" s="17" t="b">
        <f t="shared" si="59"/>
        <v>1</v>
      </c>
    </row>
    <row r="956" spans="6:95">
      <c r="F956" s="23"/>
      <c r="I956" s="23"/>
      <c r="L956" s="50" t="s">
        <v>9257</v>
      </c>
      <c r="M956" s="17" t="s">
        <v>9258</v>
      </c>
      <c r="N956" s="51" t="s">
        <v>9259</v>
      </c>
      <c r="O956" s="29" t="s">
        <v>1459</v>
      </c>
      <c r="P956" s="29" t="s">
        <v>9260</v>
      </c>
      <c r="Q956" s="29" t="s">
        <v>1459</v>
      </c>
      <c r="R956" s="29" t="s">
        <v>5044</v>
      </c>
      <c r="S956" s="28" t="s">
        <v>1920</v>
      </c>
      <c r="T956" s="28" t="s">
        <v>2898</v>
      </c>
      <c r="U956" s="28" t="s">
        <v>1442</v>
      </c>
      <c r="V956" s="28" t="s">
        <v>1678</v>
      </c>
      <c r="W956" s="28" t="s">
        <v>9261</v>
      </c>
      <c r="X956" s="17">
        <v>1</v>
      </c>
      <c r="CJ956" s="26" t="s">
        <v>1400</v>
      </c>
      <c r="CK956" s="26" t="s">
        <v>3003</v>
      </c>
      <c r="CL956" s="26" t="str">
        <f t="shared" si="57"/>
        <v>愛知県長久手市</v>
      </c>
      <c r="CM956" s="49">
        <v>951</v>
      </c>
      <c r="CN956" s="17" t="str">
        <f t="shared" si="56"/>
        <v>1034</v>
      </c>
      <c r="CO956" s="17" t="str">
        <f t="shared" si="58"/>
        <v>9511034長久手市</v>
      </c>
      <c r="CP956" s="17" t="s">
        <v>9262</v>
      </c>
      <c r="CQ956" s="17" t="b">
        <f t="shared" si="59"/>
        <v>1</v>
      </c>
    </row>
    <row r="957" spans="6:95">
      <c r="F957" s="23"/>
      <c r="I957" s="23"/>
      <c r="L957" s="50" t="s">
        <v>9263</v>
      </c>
      <c r="M957" s="17" t="s">
        <v>9264</v>
      </c>
      <c r="N957" s="51" t="s">
        <v>9265</v>
      </c>
      <c r="O957" s="29" t="s">
        <v>1459</v>
      </c>
      <c r="P957" s="29" t="s">
        <v>9266</v>
      </c>
      <c r="Q957" s="29" t="s">
        <v>1459</v>
      </c>
      <c r="R957" s="29" t="s">
        <v>5931</v>
      </c>
      <c r="S957" s="28" t="s">
        <v>1977</v>
      </c>
      <c r="T957" s="28" t="s">
        <v>2934</v>
      </c>
      <c r="U957" s="28" t="s">
        <v>1442</v>
      </c>
      <c r="V957" s="28" t="s">
        <v>1678</v>
      </c>
      <c r="W957" s="28" t="s">
        <v>9267</v>
      </c>
      <c r="X957" s="17">
        <v>1</v>
      </c>
      <c r="CJ957" s="26" t="s">
        <v>1400</v>
      </c>
      <c r="CK957" s="26" t="s">
        <v>3036</v>
      </c>
      <c r="CL957" s="26" t="str">
        <f t="shared" si="57"/>
        <v>愛知県東郷町</v>
      </c>
      <c r="CM957" s="49">
        <v>952</v>
      </c>
      <c r="CN957" s="17" t="str">
        <f t="shared" si="56"/>
        <v>1035</v>
      </c>
      <c r="CO957" s="17" t="str">
        <f t="shared" si="58"/>
        <v>9521035東郷町</v>
      </c>
      <c r="CP957" s="17" t="s">
        <v>9268</v>
      </c>
      <c r="CQ957" s="17" t="b">
        <f t="shared" si="59"/>
        <v>1</v>
      </c>
    </row>
    <row r="958" spans="6:95">
      <c r="F958" s="23"/>
      <c r="I958" s="23"/>
      <c r="L958" s="50" t="s">
        <v>9269</v>
      </c>
      <c r="M958" s="17" t="s">
        <v>9270</v>
      </c>
      <c r="N958" s="51" t="s">
        <v>9271</v>
      </c>
      <c r="O958" s="29" t="s">
        <v>1459</v>
      </c>
      <c r="P958" s="29" t="s">
        <v>9272</v>
      </c>
      <c r="Q958" s="29" t="s">
        <v>1459</v>
      </c>
      <c r="R958" s="29" t="s">
        <v>5272</v>
      </c>
      <c r="S958" s="28" t="s">
        <v>2311</v>
      </c>
      <c r="T958" s="28" t="s">
        <v>2967</v>
      </c>
      <c r="U958" s="28" t="s">
        <v>1442</v>
      </c>
      <c r="V958" s="28" t="s">
        <v>1678</v>
      </c>
      <c r="W958" s="28" t="s">
        <v>9273</v>
      </c>
      <c r="X958" s="17">
        <v>1</v>
      </c>
      <c r="CJ958" s="26" t="s">
        <v>1400</v>
      </c>
      <c r="CK958" s="26" t="s">
        <v>3067</v>
      </c>
      <c r="CL958" s="26" t="str">
        <f t="shared" si="57"/>
        <v>愛知県豊山町</v>
      </c>
      <c r="CM958" s="49">
        <v>953</v>
      </c>
      <c r="CN958" s="17" t="str">
        <f t="shared" si="56"/>
        <v>1036</v>
      </c>
      <c r="CO958" s="17" t="str">
        <f t="shared" si="58"/>
        <v>9531036豊山町</v>
      </c>
      <c r="CP958" s="17" t="s">
        <v>9274</v>
      </c>
      <c r="CQ958" s="17" t="b">
        <f t="shared" si="59"/>
        <v>1</v>
      </c>
    </row>
    <row r="959" spans="6:95">
      <c r="F959" s="23"/>
      <c r="I959" s="23"/>
      <c r="L959" s="50" t="s">
        <v>9275</v>
      </c>
      <c r="M959" s="17" t="s">
        <v>9276</v>
      </c>
      <c r="N959" s="51" t="s">
        <v>9277</v>
      </c>
      <c r="O959" s="29" t="s">
        <v>1459</v>
      </c>
      <c r="P959" s="29" t="s">
        <v>9278</v>
      </c>
      <c r="Q959" s="29" t="s">
        <v>1459</v>
      </c>
      <c r="R959" s="29" t="s">
        <v>4991</v>
      </c>
      <c r="S959" s="28" t="s">
        <v>1564</v>
      </c>
      <c r="T959" s="28" t="s">
        <v>3001</v>
      </c>
      <c r="U959" s="28" t="s">
        <v>1442</v>
      </c>
      <c r="V959" s="28" t="s">
        <v>1678</v>
      </c>
      <c r="W959" s="28" t="s">
        <v>9279</v>
      </c>
      <c r="X959" s="17">
        <v>1</v>
      </c>
      <c r="CJ959" s="26" t="s">
        <v>1400</v>
      </c>
      <c r="CK959" s="26" t="s">
        <v>3097</v>
      </c>
      <c r="CL959" s="26" t="str">
        <f t="shared" si="57"/>
        <v>愛知県大口町</v>
      </c>
      <c r="CM959" s="49">
        <v>954</v>
      </c>
      <c r="CN959" s="17" t="str">
        <f t="shared" si="56"/>
        <v>1037</v>
      </c>
      <c r="CO959" s="17" t="str">
        <f t="shared" si="58"/>
        <v>9541037大口町</v>
      </c>
      <c r="CP959" s="17" t="s">
        <v>9280</v>
      </c>
      <c r="CQ959" s="17" t="b">
        <f t="shared" si="59"/>
        <v>1</v>
      </c>
    </row>
    <row r="960" spans="6:95">
      <c r="F960" s="23"/>
      <c r="I960" s="23"/>
      <c r="L960" s="50" t="s">
        <v>9281</v>
      </c>
      <c r="M960" s="17" t="s">
        <v>9282</v>
      </c>
      <c r="N960" s="51" t="s">
        <v>9283</v>
      </c>
      <c r="O960" s="29" t="s">
        <v>1459</v>
      </c>
      <c r="P960" s="29" t="s">
        <v>9284</v>
      </c>
      <c r="Q960" s="29" t="s">
        <v>1459</v>
      </c>
      <c r="R960" s="29" t="s">
        <v>5037</v>
      </c>
      <c r="S960" s="28" t="s">
        <v>1626</v>
      </c>
      <c r="T960" s="28" t="s">
        <v>3034</v>
      </c>
      <c r="U960" s="28" t="s">
        <v>1442</v>
      </c>
      <c r="V960" s="28" t="s">
        <v>1678</v>
      </c>
      <c r="W960" s="28" t="s">
        <v>9285</v>
      </c>
      <c r="X960" s="17">
        <v>1</v>
      </c>
      <c r="CJ960" s="26" t="s">
        <v>1400</v>
      </c>
      <c r="CK960" s="26" t="s">
        <v>3127</v>
      </c>
      <c r="CL960" s="26" t="str">
        <f t="shared" si="57"/>
        <v>愛知県扶桑町</v>
      </c>
      <c r="CM960" s="49">
        <v>955</v>
      </c>
      <c r="CN960" s="17" t="str">
        <f t="shared" si="56"/>
        <v>1038</v>
      </c>
      <c r="CO960" s="17" t="str">
        <f t="shared" si="58"/>
        <v>9551038扶桑町</v>
      </c>
      <c r="CP960" s="17" t="s">
        <v>9286</v>
      </c>
      <c r="CQ960" s="17" t="b">
        <f t="shared" si="59"/>
        <v>1</v>
      </c>
    </row>
    <row r="961" spans="6:95">
      <c r="F961" s="23"/>
      <c r="I961" s="23"/>
      <c r="L961" s="50" t="s">
        <v>9287</v>
      </c>
      <c r="M961" s="17" t="s">
        <v>9288</v>
      </c>
      <c r="N961" s="51" t="s">
        <v>9289</v>
      </c>
      <c r="O961" s="29" t="s">
        <v>1459</v>
      </c>
      <c r="P961" s="29" t="s">
        <v>9290</v>
      </c>
      <c r="Q961" s="29" t="s">
        <v>1459</v>
      </c>
      <c r="R961" s="29" t="s">
        <v>5943</v>
      </c>
      <c r="S961" s="28" t="s">
        <v>1862</v>
      </c>
      <c r="T961" s="28" t="s">
        <v>3065</v>
      </c>
      <c r="U961" s="28" t="s">
        <v>1442</v>
      </c>
      <c r="V961" s="28" t="s">
        <v>1678</v>
      </c>
      <c r="W961" s="28" t="s">
        <v>9290</v>
      </c>
      <c r="X961" s="17">
        <v>1</v>
      </c>
      <c r="CJ961" s="26" t="s">
        <v>1400</v>
      </c>
      <c r="CK961" s="26" t="s">
        <v>3158</v>
      </c>
      <c r="CL961" s="26" t="str">
        <f t="shared" si="57"/>
        <v>愛知県大治町</v>
      </c>
      <c r="CM961" s="49">
        <v>956</v>
      </c>
      <c r="CN961" s="17" t="str">
        <f t="shared" si="56"/>
        <v>1039</v>
      </c>
      <c r="CO961" s="17" t="str">
        <f t="shared" si="58"/>
        <v>9561039大治町</v>
      </c>
      <c r="CP961" s="17" t="s">
        <v>9291</v>
      </c>
      <c r="CQ961" s="17" t="b">
        <f t="shared" si="59"/>
        <v>1</v>
      </c>
    </row>
    <row r="962" spans="6:95">
      <c r="F962" s="23"/>
      <c r="I962" s="23"/>
      <c r="L962" s="50" t="s">
        <v>9292</v>
      </c>
      <c r="M962" s="17" t="s">
        <v>9293</v>
      </c>
      <c r="N962" s="51" t="s">
        <v>9294</v>
      </c>
      <c r="O962" s="29" t="s">
        <v>1459</v>
      </c>
      <c r="P962" s="29" t="s">
        <v>9295</v>
      </c>
      <c r="Q962" s="29" t="s">
        <v>1459</v>
      </c>
      <c r="R962" s="29" t="s">
        <v>4355</v>
      </c>
      <c r="S962" s="28" t="s">
        <v>1743</v>
      </c>
      <c r="T962" s="28" t="s">
        <v>3095</v>
      </c>
      <c r="U962" s="28" t="s">
        <v>1442</v>
      </c>
      <c r="V962" s="28" t="s">
        <v>1678</v>
      </c>
      <c r="W962" s="28" t="s">
        <v>9296</v>
      </c>
      <c r="X962" s="17">
        <v>1</v>
      </c>
      <c r="CJ962" s="26" t="s">
        <v>1400</v>
      </c>
      <c r="CK962" s="26" t="s">
        <v>3185</v>
      </c>
      <c r="CL962" s="26" t="str">
        <f t="shared" si="57"/>
        <v>愛知県蟹江町</v>
      </c>
      <c r="CM962" s="49">
        <v>957</v>
      </c>
      <c r="CN962" s="17" t="str">
        <f t="shared" si="56"/>
        <v>1040</v>
      </c>
      <c r="CO962" s="17" t="str">
        <f t="shared" si="58"/>
        <v>9571040蟹江町</v>
      </c>
      <c r="CP962" s="17" t="s">
        <v>9297</v>
      </c>
      <c r="CQ962" s="17" t="b">
        <f t="shared" si="59"/>
        <v>1</v>
      </c>
    </row>
    <row r="963" spans="6:95">
      <c r="F963" s="23"/>
      <c r="I963" s="23"/>
      <c r="L963" s="50" t="s">
        <v>9298</v>
      </c>
      <c r="M963" s="17" t="s">
        <v>9299</v>
      </c>
      <c r="N963" s="51" t="s">
        <v>9300</v>
      </c>
      <c r="O963" s="29" t="s">
        <v>1459</v>
      </c>
      <c r="P963" s="29" t="s">
        <v>9301</v>
      </c>
      <c r="Q963" s="29" t="s">
        <v>1459</v>
      </c>
      <c r="R963" s="29" t="s">
        <v>9302</v>
      </c>
      <c r="S963" s="28" t="s">
        <v>1920</v>
      </c>
      <c r="T963" s="28" t="s">
        <v>3125</v>
      </c>
      <c r="U963" s="28" t="s">
        <v>1442</v>
      </c>
      <c r="V963" s="28" t="s">
        <v>1678</v>
      </c>
      <c r="W963" s="28" t="s">
        <v>9303</v>
      </c>
      <c r="X963" s="17">
        <v>1</v>
      </c>
      <c r="CJ963" s="26" t="s">
        <v>1400</v>
      </c>
      <c r="CK963" s="26" t="s">
        <v>3210</v>
      </c>
      <c r="CL963" s="26" t="str">
        <f t="shared" si="57"/>
        <v>愛知県飛島村</v>
      </c>
      <c r="CM963" s="49">
        <v>958</v>
      </c>
      <c r="CN963" s="17" t="str">
        <f t="shared" si="56"/>
        <v>1041</v>
      </c>
      <c r="CO963" s="17" t="str">
        <f t="shared" si="58"/>
        <v>9581041飛島村</v>
      </c>
      <c r="CP963" s="17" t="s">
        <v>9304</v>
      </c>
      <c r="CQ963" s="17" t="b">
        <f t="shared" si="59"/>
        <v>1</v>
      </c>
    </row>
    <row r="964" spans="6:95">
      <c r="F964" s="23"/>
      <c r="I964" s="23"/>
      <c r="L964" s="50" t="s">
        <v>9305</v>
      </c>
      <c r="M964" s="17" t="s">
        <v>9306</v>
      </c>
      <c r="N964" s="51" t="s">
        <v>9307</v>
      </c>
      <c r="O964" s="29" t="s">
        <v>1459</v>
      </c>
      <c r="P964" s="29" t="s">
        <v>9308</v>
      </c>
      <c r="Q964" s="29" t="s">
        <v>1459</v>
      </c>
      <c r="R964" s="29" t="s">
        <v>4716</v>
      </c>
      <c r="S964" s="28" t="s">
        <v>1626</v>
      </c>
      <c r="T964" s="28" t="s">
        <v>3156</v>
      </c>
      <c r="U964" s="28" t="s">
        <v>1442</v>
      </c>
      <c r="V964" s="28" t="s">
        <v>1678</v>
      </c>
      <c r="W964" s="28" t="s">
        <v>9309</v>
      </c>
      <c r="X964" s="17">
        <v>2</v>
      </c>
      <c r="CJ964" s="26" t="s">
        <v>1400</v>
      </c>
      <c r="CK964" s="26" t="s">
        <v>3234</v>
      </c>
      <c r="CL964" s="26" t="str">
        <f t="shared" si="57"/>
        <v>愛知県阿久比町</v>
      </c>
      <c r="CM964" s="49">
        <v>959</v>
      </c>
      <c r="CN964" s="17" t="str">
        <f t="shared" si="56"/>
        <v>1042</v>
      </c>
      <c r="CO964" s="17" t="str">
        <f t="shared" si="58"/>
        <v>9591042阿久比町</v>
      </c>
      <c r="CP964" s="17" t="s">
        <v>9310</v>
      </c>
      <c r="CQ964" s="17" t="b">
        <f t="shared" si="59"/>
        <v>1</v>
      </c>
    </row>
    <row r="965" spans="6:95">
      <c r="F965" s="23"/>
      <c r="I965" s="23"/>
      <c r="L965" s="50" t="s">
        <v>9311</v>
      </c>
      <c r="M965" s="17" t="s">
        <v>9312</v>
      </c>
      <c r="N965" s="51" t="s">
        <v>9313</v>
      </c>
      <c r="O965" s="29" t="s">
        <v>1459</v>
      </c>
      <c r="P965" s="29" t="s">
        <v>9314</v>
      </c>
      <c r="Q965" s="29" t="s">
        <v>1459</v>
      </c>
      <c r="R965" s="29" t="s">
        <v>5614</v>
      </c>
      <c r="S965" s="28" t="s">
        <v>1502</v>
      </c>
      <c r="T965" s="28" t="s">
        <v>3184</v>
      </c>
      <c r="U965" s="28" t="s">
        <v>1442</v>
      </c>
      <c r="V965" s="28" t="s">
        <v>1678</v>
      </c>
      <c r="W965" s="28" t="s">
        <v>9315</v>
      </c>
      <c r="X965" s="17">
        <v>3</v>
      </c>
      <c r="CJ965" s="26" t="s">
        <v>1400</v>
      </c>
      <c r="CK965" s="26" t="s">
        <v>3257</v>
      </c>
      <c r="CL965" s="26" t="str">
        <f t="shared" si="57"/>
        <v>愛知県南知多町</v>
      </c>
      <c r="CM965" s="49">
        <v>960</v>
      </c>
      <c r="CN965" s="17" t="str">
        <f t="shared" si="56"/>
        <v>1043</v>
      </c>
      <c r="CO965" s="17" t="str">
        <f t="shared" si="58"/>
        <v>9601043南知多町</v>
      </c>
      <c r="CP965" s="17" t="s">
        <v>9316</v>
      </c>
      <c r="CQ965" s="17" t="b">
        <f t="shared" si="59"/>
        <v>1</v>
      </c>
    </row>
    <row r="966" spans="6:95">
      <c r="F966" s="23"/>
      <c r="I966" s="23"/>
      <c r="L966" s="50" t="s">
        <v>9317</v>
      </c>
      <c r="M966" s="17" t="s">
        <v>9318</v>
      </c>
      <c r="N966" s="51" t="s">
        <v>9319</v>
      </c>
      <c r="O966" s="29" t="s">
        <v>1459</v>
      </c>
      <c r="P966" s="29" t="s">
        <v>9320</v>
      </c>
      <c r="Q966" s="29" t="s">
        <v>1459</v>
      </c>
      <c r="R966" s="29" t="s">
        <v>6536</v>
      </c>
      <c r="S966" s="28" t="s">
        <v>2525</v>
      </c>
      <c r="T966" s="28" t="s">
        <v>3209</v>
      </c>
      <c r="U966" s="28" t="s">
        <v>1442</v>
      </c>
      <c r="V966" s="28" t="s">
        <v>1678</v>
      </c>
      <c r="W966" s="28" t="s">
        <v>9321</v>
      </c>
      <c r="X966" s="17">
        <v>4</v>
      </c>
      <c r="CJ966" s="26" t="s">
        <v>1400</v>
      </c>
      <c r="CK966" s="26" t="s">
        <v>2164</v>
      </c>
      <c r="CL966" s="26" t="str">
        <f t="shared" si="57"/>
        <v>愛知県美浜町</v>
      </c>
      <c r="CM966" s="49">
        <v>961</v>
      </c>
      <c r="CN966" s="17" t="str">
        <f t="shared" ref="CN966:CN1029" si="60">VLOOKUP(CL966,$M$6:$N$1784,2,FALSE)</f>
        <v>1044</v>
      </c>
      <c r="CO966" s="17" t="str">
        <f t="shared" si="58"/>
        <v>9611044美浜町</v>
      </c>
      <c r="CP966" s="17" t="s">
        <v>9322</v>
      </c>
      <c r="CQ966" s="17" t="b">
        <f t="shared" si="59"/>
        <v>1</v>
      </c>
    </row>
    <row r="967" spans="6:95">
      <c r="F967" s="23"/>
      <c r="I967" s="23"/>
      <c r="L967" s="50" t="s">
        <v>9323</v>
      </c>
      <c r="M967" s="17" t="s">
        <v>9324</v>
      </c>
      <c r="N967" s="51" t="s">
        <v>9325</v>
      </c>
      <c r="O967" s="29" t="s">
        <v>1459</v>
      </c>
      <c r="P967" s="29" t="s">
        <v>9326</v>
      </c>
      <c r="Q967" s="29" t="s">
        <v>1459</v>
      </c>
      <c r="R967" s="29" t="s">
        <v>9327</v>
      </c>
      <c r="S967" s="28" t="s">
        <v>1977</v>
      </c>
      <c r="T967" s="28" t="s">
        <v>3233</v>
      </c>
      <c r="U967" s="28" t="s">
        <v>1442</v>
      </c>
      <c r="V967" s="28" t="s">
        <v>1678</v>
      </c>
      <c r="W967" s="28" t="s">
        <v>9328</v>
      </c>
      <c r="X967" s="17">
        <v>1</v>
      </c>
      <c r="CJ967" s="26" t="s">
        <v>1400</v>
      </c>
      <c r="CK967" s="26" t="s">
        <v>3303</v>
      </c>
      <c r="CL967" s="26" t="str">
        <f t="shared" si="57"/>
        <v>愛知県武豊町</v>
      </c>
      <c r="CM967" s="49">
        <v>962</v>
      </c>
      <c r="CN967" s="17" t="str">
        <f t="shared" si="60"/>
        <v>1045</v>
      </c>
      <c r="CO967" s="17" t="str">
        <f t="shared" si="58"/>
        <v>9621045武豊町</v>
      </c>
      <c r="CP967" s="17" t="s">
        <v>9329</v>
      </c>
      <c r="CQ967" s="17" t="b">
        <f t="shared" si="59"/>
        <v>1</v>
      </c>
    </row>
    <row r="968" spans="6:95">
      <c r="F968" s="23"/>
      <c r="I968" s="23"/>
      <c r="L968" s="50" t="s">
        <v>9330</v>
      </c>
      <c r="M968" s="17" t="s">
        <v>9331</v>
      </c>
      <c r="N968" s="51" t="s">
        <v>9332</v>
      </c>
      <c r="O968" s="29" t="s">
        <v>1459</v>
      </c>
      <c r="P968" s="29" t="s">
        <v>9333</v>
      </c>
      <c r="Q968" s="29" t="s">
        <v>1459</v>
      </c>
      <c r="R968" s="29" t="s">
        <v>4507</v>
      </c>
      <c r="S968" s="28" t="s">
        <v>2525</v>
      </c>
      <c r="T968" s="28" t="s">
        <v>3256</v>
      </c>
      <c r="U968" s="28" t="s">
        <v>1442</v>
      </c>
      <c r="V968" s="28" t="s">
        <v>1678</v>
      </c>
      <c r="W968" s="28" t="s">
        <v>9334</v>
      </c>
      <c r="X968" s="17">
        <v>2</v>
      </c>
      <c r="CJ968" s="26" t="s">
        <v>1400</v>
      </c>
      <c r="CK968" s="26" t="s">
        <v>3326</v>
      </c>
      <c r="CL968" s="26" t="str">
        <f t="shared" ref="CL968:CL1031" si="61">CJ968&amp;CK968</f>
        <v>愛知県幸田町</v>
      </c>
      <c r="CM968" s="49">
        <v>963</v>
      </c>
      <c r="CN968" s="17" t="str">
        <f t="shared" si="60"/>
        <v>1046</v>
      </c>
      <c r="CO968" s="17" t="str">
        <f t="shared" ref="CO968:CO1031" si="62">CM968&amp;TEXT(CN968,0)&amp;CK968</f>
        <v>9631046幸田町</v>
      </c>
      <c r="CP968" s="17" t="s">
        <v>9335</v>
      </c>
      <c r="CQ968" s="17" t="b">
        <f t="shared" ref="CQ968:CQ1031" si="63">CO968=CP968</f>
        <v>1</v>
      </c>
    </row>
    <row r="969" spans="6:95">
      <c r="F969" s="23"/>
      <c r="I969" s="23"/>
      <c r="L969" s="50" t="s">
        <v>9336</v>
      </c>
      <c r="M969" s="17" t="s">
        <v>9337</v>
      </c>
      <c r="N969" s="51" t="s">
        <v>9338</v>
      </c>
      <c r="O969" s="29" t="s">
        <v>1459</v>
      </c>
      <c r="P969" s="29" t="s">
        <v>9339</v>
      </c>
      <c r="Q969" s="29" t="s">
        <v>1459</v>
      </c>
      <c r="R969" s="29" t="s">
        <v>4515</v>
      </c>
      <c r="S969" s="28" t="s">
        <v>1564</v>
      </c>
      <c r="T969" s="28" t="s">
        <v>3281</v>
      </c>
      <c r="U969" s="28" t="s">
        <v>1442</v>
      </c>
      <c r="V969" s="28" t="s">
        <v>1678</v>
      </c>
      <c r="W969" s="28" t="s">
        <v>9340</v>
      </c>
      <c r="X969" s="17">
        <v>3</v>
      </c>
      <c r="CJ969" s="26" t="s">
        <v>1400</v>
      </c>
      <c r="CK969" s="26" t="s">
        <v>3347</v>
      </c>
      <c r="CL969" s="26" t="str">
        <f t="shared" si="61"/>
        <v>愛知県知多北部広域連合</v>
      </c>
      <c r="CM969" s="49">
        <v>964</v>
      </c>
      <c r="CN969" s="17" t="str">
        <f t="shared" si="60"/>
        <v>1047</v>
      </c>
      <c r="CO969" s="17" t="str">
        <f t="shared" si="62"/>
        <v>9641047知多北部広域連合</v>
      </c>
      <c r="CP969" s="17" t="s">
        <v>9341</v>
      </c>
      <c r="CQ969" s="17" t="b">
        <f t="shared" si="63"/>
        <v>1</v>
      </c>
    </row>
    <row r="970" spans="6:95">
      <c r="F970" s="23"/>
      <c r="I970" s="23"/>
      <c r="L970" s="50" t="s">
        <v>9342</v>
      </c>
      <c r="M970" s="17" t="s">
        <v>9343</v>
      </c>
      <c r="N970" s="51" t="s">
        <v>9344</v>
      </c>
      <c r="O970" s="29" t="s">
        <v>1459</v>
      </c>
      <c r="P970" s="29" t="s">
        <v>9345</v>
      </c>
      <c r="Q970" s="29" t="s">
        <v>1459</v>
      </c>
      <c r="R970" s="29" t="s">
        <v>4523</v>
      </c>
      <c r="S970" s="28" t="s">
        <v>1626</v>
      </c>
      <c r="T970" s="28" t="s">
        <v>1996</v>
      </c>
      <c r="U970" s="28" t="s">
        <v>1442</v>
      </c>
      <c r="V970" s="28" t="s">
        <v>1678</v>
      </c>
      <c r="W970" s="28" t="s">
        <v>9346</v>
      </c>
      <c r="X970" s="17">
        <v>4</v>
      </c>
      <c r="CJ970" s="26" t="s">
        <v>1400</v>
      </c>
      <c r="CK970" s="26" t="s">
        <v>3434</v>
      </c>
      <c r="CL970" s="26" t="str">
        <f t="shared" si="61"/>
        <v>愛知県東三河広域連合</v>
      </c>
      <c r="CM970" s="49">
        <v>965</v>
      </c>
      <c r="CN970" s="17" t="str">
        <f t="shared" si="60"/>
        <v>1052</v>
      </c>
      <c r="CO970" s="17" t="str">
        <f t="shared" si="62"/>
        <v>9651052東三河広域連合</v>
      </c>
      <c r="CP970" s="17" t="s">
        <v>9347</v>
      </c>
      <c r="CQ970" s="17" t="b">
        <f t="shared" si="63"/>
        <v>1</v>
      </c>
    </row>
    <row r="971" spans="6:95">
      <c r="F971" s="23"/>
      <c r="I971" s="23"/>
      <c r="L971" s="50" t="s">
        <v>9348</v>
      </c>
      <c r="M971" s="17" t="s">
        <v>9349</v>
      </c>
      <c r="N971" s="51" t="s">
        <v>9350</v>
      </c>
      <c r="O971" s="29" t="s">
        <v>1459</v>
      </c>
      <c r="P971" s="29" t="s">
        <v>9351</v>
      </c>
      <c r="Q971" s="29" t="s">
        <v>1459</v>
      </c>
      <c r="R971" s="29" t="s">
        <v>9352</v>
      </c>
      <c r="S971" s="28" t="s">
        <v>1743</v>
      </c>
      <c r="T971" s="28" t="s">
        <v>3325</v>
      </c>
      <c r="U971" s="28" t="s">
        <v>1442</v>
      </c>
      <c r="V971" s="28" t="s">
        <v>1678</v>
      </c>
      <c r="W971" s="28" t="s">
        <v>9353</v>
      </c>
      <c r="X971" s="17">
        <v>1</v>
      </c>
      <c r="CJ971" s="26" t="s">
        <v>1401</v>
      </c>
      <c r="CK971" s="26" t="s">
        <v>1527</v>
      </c>
      <c r="CL971" s="26" t="str">
        <f t="shared" si="61"/>
        <v>三重県津市</v>
      </c>
      <c r="CM971" s="49">
        <v>966</v>
      </c>
      <c r="CN971" s="17" t="str">
        <f t="shared" si="60"/>
        <v>1061</v>
      </c>
      <c r="CO971" s="17" t="str">
        <f t="shared" si="62"/>
        <v>9661061津市</v>
      </c>
      <c r="CP971" s="17" t="s">
        <v>9354</v>
      </c>
      <c r="CQ971" s="17" t="b">
        <f t="shared" si="63"/>
        <v>1</v>
      </c>
    </row>
    <row r="972" spans="6:95">
      <c r="F972" s="23"/>
      <c r="I972" s="23"/>
      <c r="L972" s="50" t="s">
        <v>9355</v>
      </c>
      <c r="M972" s="17" t="s">
        <v>9356</v>
      </c>
      <c r="N972" s="51" t="s">
        <v>9357</v>
      </c>
      <c r="O972" s="29" t="s">
        <v>1459</v>
      </c>
      <c r="P972" s="29" t="s">
        <v>9358</v>
      </c>
      <c r="Q972" s="29" t="s">
        <v>1459</v>
      </c>
      <c r="R972" s="29" t="s">
        <v>2365</v>
      </c>
      <c r="S972" s="28" t="s">
        <v>1502</v>
      </c>
      <c r="T972" s="28" t="s">
        <v>3346</v>
      </c>
      <c r="U972" s="28" t="s">
        <v>1442</v>
      </c>
      <c r="V972" s="28" t="s">
        <v>1678</v>
      </c>
      <c r="W972" s="28" t="s">
        <v>9359</v>
      </c>
      <c r="X972" s="17">
        <v>2</v>
      </c>
      <c r="CJ972" s="26" t="s">
        <v>1401</v>
      </c>
      <c r="CK972" s="26" t="s">
        <v>1589</v>
      </c>
      <c r="CL972" s="26" t="str">
        <f t="shared" si="61"/>
        <v>三重県四日市市</v>
      </c>
      <c r="CM972" s="49">
        <v>967</v>
      </c>
      <c r="CN972" s="17" t="str">
        <f t="shared" si="60"/>
        <v>1062</v>
      </c>
      <c r="CO972" s="17" t="str">
        <f t="shared" si="62"/>
        <v>9671062四日市市</v>
      </c>
      <c r="CP972" s="17" t="s">
        <v>9360</v>
      </c>
      <c r="CQ972" s="17" t="b">
        <f t="shared" si="63"/>
        <v>1</v>
      </c>
    </row>
    <row r="973" spans="6:95">
      <c r="F973" s="23"/>
      <c r="I973" s="23"/>
      <c r="L973" s="50" t="s">
        <v>9361</v>
      </c>
      <c r="M973" s="17" t="s">
        <v>9362</v>
      </c>
      <c r="N973" s="51" t="s">
        <v>9363</v>
      </c>
      <c r="O973" s="29" t="s">
        <v>1459</v>
      </c>
      <c r="P973" s="29" t="s">
        <v>9364</v>
      </c>
      <c r="Q973" s="29" t="s">
        <v>1459</v>
      </c>
      <c r="R973" s="29" t="s">
        <v>2474</v>
      </c>
      <c r="S973" s="28" t="s">
        <v>2311</v>
      </c>
      <c r="T973" s="28" t="s">
        <v>3367</v>
      </c>
      <c r="U973" s="28" t="s">
        <v>1442</v>
      </c>
      <c r="V973" s="28" t="s">
        <v>1678</v>
      </c>
      <c r="W973" s="28" t="s">
        <v>9365</v>
      </c>
      <c r="X973" s="17">
        <v>3</v>
      </c>
      <c r="CJ973" s="26" t="s">
        <v>1401</v>
      </c>
      <c r="CK973" s="26" t="s">
        <v>1651</v>
      </c>
      <c r="CL973" s="26" t="str">
        <f t="shared" si="61"/>
        <v>三重県伊勢市</v>
      </c>
      <c r="CM973" s="49">
        <v>968</v>
      </c>
      <c r="CN973" s="17" t="str">
        <f t="shared" si="60"/>
        <v>1063</v>
      </c>
      <c r="CO973" s="17" t="str">
        <f t="shared" si="62"/>
        <v>9681063伊勢市</v>
      </c>
      <c r="CP973" s="17" t="s">
        <v>9366</v>
      </c>
      <c r="CQ973" s="17" t="b">
        <f t="shared" si="63"/>
        <v>1</v>
      </c>
    </row>
    <row r="974" spans="6:95">
      <c r="F974" s="23"/>
      <c r="I974" s="23"/>
      <c r="L974" s="50" t="s">
        <v>9367</v>
      </c>
      <c r="M974" s="17" t="s">
        <v>9368</v>
      </c>
      <c r="N974" s="51" t="s">
        <v>9369</v>
      </c>
      <c r="O974" s="29" t="s">
        <v>1459</v>
      </c>
      <c r="P974" s="29" t="s">
        <v>9370</v>
      </c>
      <c r="Q974" s="29" t="s">
        <v>1459</v>
      </c>
      <c r="R974" s="29" t="s">
        <v>5233</v>
      </c>
      <c r="S974" s="28" t="s">
        <v>2311</v>
      </c>
      <c r="T974" s="28" t="s">
        <v>3385</v>
      </c>
      <c r="U974" s="28" t="s">
        <v>1442</v>
      </c>
      <c r="V974" s="28" t="s">
        <v>1678</v>
      </c>
      <c r="W974" s="28" t="s">
        <v>9370</v>
      </c>
      <c r="X974" s="17">
        <v>4</v>
      </c>
      <c r="CJ974" s="26" t="s">
        <v>1401</v>
      </c>
      <c r="CK974" s="26" t="s">
        <v>1709</v>
      </c>
      <c r="CL974" s="26" t="str">
        <f t="shared" si="61"/>
        <v>三重県松阪市</v>
      </c>
      <c r="CM974" s="49">
        <v>969</v>
      </c>
      <c r="CN974" s="17" t="str">
        <f t="shared" si="60"/>
        <v>1064</v>
      </c>
      <c r="CO974" s="17" t="str">
        <f t="shared" si="62"/>
        <v>9691064松阪市</v>
      </c>
      <c r="CP974" s="17" t="s">
        <v>9371</v>
      </c>
      <c r="CQ974" s="17" t="b">
        <f t="shared" si="63"/>
        <v>1</v>
      </c>
    </row>
    <row r="975" spans="6:95">
      <c r="F975" s="23"/>
      <c r="I975" s="23"/>
      <c r="L975" s="50" t="s">
        <v>9372</v>
      </c>
      <c r="M975" s="17" t="s">
        <v>9373</v>
      </c>
      <c r="N975" s="51" t="s">
        <v>9374</v>
      </c>
      <c r="O975" s="29" t="s">
        <v>1460</v>
      </c>
      <c r="P975" s="29" t="s">
        <v>9375</v>
      </c>
      <c r="Q975" s="29" t="s">
        <v>1460</v>
      </c>
      <c r="R975" s="29" t="s">
        <v>1501</v>
      </c>
      <c r="S975" s="28" t="s">
        <v>1803</v>
      </c>
      <c r="T975" s="28" t="s">
        <v>1525</v>
      </c>
      <c r="U975" s="28" t="s">
        <v>1442</v>
      </c>
      <c r="V975" s="28" t="s">
        <v>1678</v>
      </c>
      <c r="W975" s="28" t="s">
        <v>9376</v>
      </c>
      <c r="X975" s="17">
        <v>1</v>
      </c>
      <c r="CJ975" s="26" t="s">
        <v>1401</v>
      </c>
      <c r="CK975" s="26" t="s">
        <v>1768</v>
      </c>
      <c r="CL975" s="26" t="str">
        <f t="shared" si="61"/>
        <v>三重県桑名市</v>
      </c>
      <c r="CM975" s="49">
        <v>970</v>
      </c>
      <c r="CN975" s="17" t="str">
        <f t="shared" si="60"/>
        <v>1065</v>
      </c>
      <c r="CO975" s="17" t="str">
        <f t="shared" si="62"/>
        <v>9701065桑名市</v>
      </c>
      <c r="CP975" s="17" t="s">
        <v>9377</v>
      </c>
      <c r="CQ975" s="17" t="b">
        <f t="shared" si="63"/>
        <v>1</v>
      </c>
    </row>
    <row r="976" spans="6:95">
      <c r="F976" s="23"/>
      <c r="I976" s="23"/>
      <c r="L976" s="50" t="s">
        <v>9378</v>
      </c>
      <c r="M976" s="17" t="s">
        <v>9379</v>
      </c>
      <c r="N976" s="51" t="s">
        <v>9380</v>
      </c>
      <c r="O976" s="29" t="s">
        <v>1460</v>
      </c>
      <c r="P976" s="29" t="s">
        <v>9381</v>
      </c>
      <c r="Q976" s="29" t="s">
        <v>1460</v>
      </c>
      <c r="R976" s="29" t="s">
        <v>7758</v>
      </c>
      <c r="S976" s="28" t="s">
        <v>1626</v>
      </c>
      <c r="T976" s="28" t="s">
        <v>1587</v>
      </c>
      <c r="U976" s="28" t="s">
        <v>1442</v>
      </c>
      <c r="V976" s="28" t="s">
        <v>1678</v>
      </c>
      <c r="W976" s="28" t="s">
        <v>9381</v>
      </c>
      <c r="X976" s="17">
        <v>1</v>
      </c>
      <c r="CJ976" s="26" t="s">
        <v>1401</v>
      </c>
      <c r="CK976" s="26" t="s">
        <v>1828</v>
      </c>
      <c r="CL976" s="26" t="str">
        <f t="shared" si="61"/>
        <v>三重県名張市</v>
      </c>
      <c r="CM976" s="49">
        <v>971</v>
      </c>
      <c r="CN976" s="17" t="str">
        <f t="shared" si="60"/>
        <v>1066</v>
      </c>
      <c r="CO976" s="17" t="str">
        <f t="shared" si="62"/>
        <v>9711066名張市</v>
      </c>
      <c r="CP976" s="17" t="s">
        <v>9382</v>
      </c>
      <c r="CQ976" s="17" t="b">
        <f t="shared" si="63"/>
        <v>1</v>
      </c>
    </row>
    <row r="977" spans="6:95">
      <c r="F977" s="23"/>
      <c r="I977" s="23"/>
      <c r="L977" s="50" t="s">
        <v>9383</v>
      </c>
      <c r="M977" s="17" t="s">
        <v>9384</v>
      </c>
      <c r="N977" s="51" t="s">
        <v>9385</v>
      </c>
      <c r="O977" s="29" t="s">
        <v>1460</v>
      </c>
      <c r="P977" s="29" t="s">
        <v>9386</v>
      </c>
      <c r="Q977" s="29" t="s">
        <v>1460</v>
      </c>
      <c r="R977" s="29" t="s">
        <v>1625</v>
      </c>
      <c r="S977" s="28" t="s">
        <v>1743</v>
      </c>
      <c r="T977" s="28" t="s">
        <v>1649</v>
      </c>
      <c r="U977" s="28" t="s">
        <v>1442</v>
      </c>
      <c r="V977" s="28" t="s">
        <v>1678</v>
      </c>
      <c r="W977" s="28" t="s">
        <v>9387</v>
      </c>
      <c r="X977" s="17">
        <v>1</v>
      </c>
      <c r="CJ977" s="26" t="s">
        <v>1401</v>
      </c>
      <c r="CK977" s="26" t="s">
        <v>1887</v>
      </c>
      <c r="CL977" s="26" t="str">
        <f t="shared" si="61"/>
        <v>三重県鳥羽市</v>
      </c>
      <c r="CM977" s="49">
        <v>972</v>
      </c>
      <c r="CN977" s="17" t="str">
        <f t="shared" si="60"/>
        <v>1067</v>
      </c>
      <c r="CO977" s="17" t="str">
        <f t="shared" si="62"/>
        <v>9721067鳥羽市</v>
      </c>
      <c r="CP977" s="17" t="s">
        <v>9388</v>
      </c>
      <c r="CQ977" s="17" t="b">
        <f t="shared" si="63"/>
        <v>1</v>
      </c>
    </row>
    <row r="978" spans="6:95">
      <c r="F978" s="23"/>
      <c r="I978" s="23"/>
      <c r="L978" s="50" t="s">
        <v>9389</v>
      </c>
      <c r="M978" s="17" t="s">
        <v>9390</v>
      </c>
      <c r="N978" s="51" t="s">
        <v>9391</v>
      </c>
      <c r="O978" s="29" t="s">
        <v>1460</v>
      </c>
      <c r="P978" s="29" t="s">
        <v>9392</v>
      </c>
      <c r="Q978" s="29" t="s">
        <v>1460</v>
      </c>
      <c r="R978" s="29" t="s">
        <v>1742</v>
      </c>
      <c r="S978" s="28" t="s">
        <v>1626</v>
      </c>
      <c r="T978" s="28" t="s">
        <v>1707</v>
      </c>
      <c r="U978" s="28" t="s">
        <v>1442</v>
      </c>
      <c r="V978" s="28" t="s">
        <v>1678</v>
      </c>
      <c r="W978" s="28" t="s">
        <v>9393</v>
      </c>
      <c r="X978" s="17">
        <v>1</v>
      </c>
      <c r="CJ978" s="26" t="s">
        <v>1401</v>
      </c>
      <c r="CK978" s="26" t="s">
        <v>1945</v>
      </c>
      <c r="CL978" s="26" t="str">
        <f t="shared" si="61"/>
        <v>三重県いなべ市</v>
      </c>
      <c r="CM978" s="49">
        <v>973</v>
      </c>
      <c r="CN978" s="17" t="str">
        <f t="shared" si="60"/>
        <v>1068</v>
      </c>
      <c r="CO978" s="17" t="str">
        <f t="shared" si="62"/>
        <v>9731068いなべ市</v>
      </c>
      <c r="CP978" s="17" t="s">
        <v>9394</v>
      </c>
      <c r="CQ978" s="17" t="b">
        <f t="shared" si="63"/>
        <v>1</v>
      </c>
    </row>
    <row r="979" spans="6:95">
      <c r="F979" s="23"/>
      <c r="I979" s="23"/>
      <c r="L979" s="50" t="s">
        <v>9395</v>
      </c>
      <c r="M979" s="17" t="s">
        <v>9396</v>
      </c>
      <c r="N979" s="51" t="s">
        <v>9397</v>
      </c>
      <c r="O979" s="29" t="s">
        <v>1460</v>
      </c>
      <c r="P979" s="29" t="s">
        <v>9398</v>
      </c>
      <c r="Q979" s="29" t="s">
        <v>1460</v>
      </c>
      <c r="R979" s="29" t="s">
        <v>1802</v>
      </c>
      <c r="S979" s="28" t="s">
        <v>1502</v>
      </c>
      <c r="T979" s="28" t="s">
        <v>1766</v>
      </c>
      <c r="U979" s="28" t="s">
        <v>1442</v>
      </c>
      <c r="V979" s="28" t="s">
        <v>1678</v>
      </c>
      <c r="W979" s="28" t="s">
        <v>9399</v>
      </c>
      <c r="X979" s="17">
        <v>1</v>
      </c>
      <c r="CJ979" s="26" t="s">
        <v>1401</v>
      </c>
      <c r="CK979" s="26" t="s">
        <v>2002</v>
      </c>
      <c r="CL979" s="26" t="str">
        <f t="shared" si="61"/>
        <v>三重県志摩市</v>
      </c>
      <c r="CM979" s="49">
        <v>974</v>
      </c>
      <c r="CN979" s="17" t="str">
        <f t="shared" si="60"/>
        <v>1069</v>
      </c>
      <c r="CO979" s="17" t="str">
        <f t="shared" si="62"/>
        <v>9741069志摩市</v>
      </c>
      <c r="CP979" s="17" t="s">
        <v>9400</v>
      </c>
      <c r="CQ979" s="17" t="b">
        <f t="shared" si="63"/>
        <v>1</v>
      </c>
    </row>
    <row r="980" spans="6:95">
      <c r="F980" s="23"/>
      <c r="I980" s="23"/>
      <c r="L980" s="50" t="s">
        <v>9401</v>
      </c>
      <c r="M980" s="17" t="s">
        <v>9402</v>
      </c>
      <c r="N980" s="51" t="s">
        <v>9403</v>
      </c>
      <c r="O980" s="29" t="s">
        <v>1460</v>
      </c>
      <c r="P980" s="29" t="s">
        <v>9404</v>
      </c>
      <c r="Q980" s="29" t="s">
        <v>1460</v>
      </c>
      <c r="R980" s="29" t="s">
        <v>1861</v>
      </c>
      <c r="S980" s="28" t="s">
        <v>2525</v>
      </c>
      <c r="T980" s="28" t="s">
        <v>1826</v>
      </c>
      <c r="U980" s="28" t="s">
        <v>1442</v>
      </c>
      <c r="V980" s="28" t="s">
        <v>1678</v>
      </c>
      <c r="W980" s="28" t="s">
        <v>9405</v>
      </c>
      <c r="X980" s="17">
        <v>1</v>
      </c>
      <c r="CJ980" s="26" t="s">
        <v>1401</v>
      </c>
      <c r="CK980" s="26" t="s">
        <v>2058</v>
      </c>
      <c r="CL980" s="26" t="str">
        <f t="shared" si="61"/>
        <v>三重県伊賀市</v>
      </c>
      <c r="CM980" s="49">
        <v>975</v>
      </c>
      <c r="CN980" s="17" t="str">
        <f t="shared" si="60"/>
        <v>1070</v>
      </c>
      <c r="CO980" s="17" t="str">
        <f t="shared" si="62"/>
        <v>9751070伊賀市</v>
      </c>
      <c r="CP980" s="17" t="s">
        <v>9406</v>
      </c>
      <c r="CQ980" s="17" t="b">
        <f t="shared" si="63"/>
        <v>1</v>
      </c>
    </row>
    <row r="981" spans="6:95">
      <c r="F981" s="23"/>
      <c r="I981" s="23"/>
      <c r="L981" s="50" t="s">
        <v>9407</v>
      </c>
      <c r="M981" s="17" t="s">
        <v>9408</v>
      </c>
      <c r="N981" s="51" t="s">
        <v>9409</v>
      </c>
      <c r="O981" s="29" t="s">
        <v>1460</v>
      </c>
      <c r="P981" s="29" t="s">
        <v>9410</v>
      </c>
      <c r="Q981" s="29" t="s">
        <v>1460</v>
      </c>
      <c r="R981" s="29" t="s">
        <v>1919</v>
      </c>
      <c r="S981" s="28" t="s">
        <v>2311</v>
      </c>
      <c r="T981" s="28" t="s">
        <v>1885</v>
      </c>
      <c r="U981" s="28" t="s">
        <v>1442</v>
      </c>
      <c r="V981" s="28" t="s">
        <v>1678</v>
      </c>
      <c r="W981" s="28" t="s">
        <v>9411</v>
      </c>
      <c r="X981" s="17">
        <v>1</v>
      </c>
      <c r="CJ981" s="26" t="s">
        <v>1401</v>
      </c>
      <c r="CK981" s="26" t="s">
        <v>2114</v>
      </c>
      <c r="CL981" s="26" t="str">
        <f t="shared" si="61"/>
        <v>三重県木曽岬町</v>
      </c>
      <c r="CM981" s="49">
        <v>976</v>
      </c>
      <c r="CN981" s="17" t="str">
        <f t="shared" si="60"/>
        <v>1071</v>
      </c>
      <c r="CO981" s="17" t="str">
        <f t="shared" si="62"/>
        <v>9761071木曽岬町</v>
      </c>
      <c r="CP981" s="17" t="s">
        <v>9412</v>
      </c>
      <c r="CQ981" s="17" t="b">
        <f t="shared" si="63"/>
        <v>1</v>
      </c>
    </row>
    <row r="982" spans="6:95">
      <c r="F982" s="23"/>
      <c r="I982" s="23"/>
      <c r="L982" s="50" t="s">
        <v>9413</v>
      </c>
      <c r="M982" s="17" t="s">
        <v>9414</v>
      </c>
      <c r="N982" s="51" t="s">
        <v>9415</v>
      </c>
      <c r="O982" s="29" t="s">
        <v>1460</v>
      </c>
      <c r="P982" s="29" t="s">
        <v>9416</v>
      </c>
      <c r="Q982" s="29" t="s">
        <v>1460</v>
      </c>
      <c r="R982" s="29" t="s">
        <v>1976</v>
      </c>
      <c r="S982" s="28" t="s">
        <v>1564</v>
      </c>
      <c r="T982" s="28" t="s">
        <v>1943</v>
      </c>
      <c r="U982" s="28" t="s">
        <v>1442</v>
      </c>
      <c r="V982" s="28" t="s">
        <v>1678</v>
      </c>
      <c r="W982" s="28" t="s">
        <v>9417</v>
      </c>
      <c r="X982" s="17">
        <v>1</v>
      </c>
      <c r="CJ982" s="26" t="s">
        <v>1401</v>
      </c>
      <c r="CK982" s="26" t="s">
        <v>2170</v>
      </c>
      <c r="CL982" s="26" t="str">
        <f t="shared" si="61"/>
        <v>三重県東員町</v>
      </c>
      <c r="CM982" s="49">
        <v>977</v>
      </c>
      <c r="CN982" s="17" t="str">
        <f t="shared" si="60"/>
        <v>1072</v>
      </c>
      <c r="CO982" s="17" t="str">
        <f t="shared" si="62"/>
        <v>9771072東員町</v>
      </c>
      <c r="CP982" s="17" t="s">
        <v>9418</v>
      </c>
      <c r="CQ982" s="17" t="b">
        <f t="shared" si="63"/>
        <v>1</v>
      </c>
    </row>
    <row r="983" spans="6:95">
      <c r="F983" s="23"/>
      <c r="I983" s="23"/>
      <c r="L983" s="50" t="s">
        <v>9419</v>
      </c>
      <c r="M983" s="17" t="s">
        <v>9420</v>
      </c>
      <c r="N983" s="51" t="s">
        <v>9421</v>
      </c>
      <c r="O983" s="29" t="s">
        <v>1460</v>
      </c>
      <c r="P983" s="29" t="s">
        <v>9422</v>
      </c>
      <c r="Q983" s="29" t="s">
        <v>1460</v>
      </c>
      <c r="R983" s="29" t="s">
        <v>2033</v>
      </c>
      <c r="S983" s="28" t="s">
        <v>1626</v>
      </c>
      <c r="T983" s="28" t="s">
        <v>2000</v>
      </c>
      <c r="U983" s="28" t="s">
        <v>1442</v>
      </c>
      <c r="V983" s="28" t="s">
        <v>1678</v>
      </c>
      <c r="W983" s="28" t="s">
        <v>9423</v>
      </c>
      <c r="X983" s="17">
        <v>1</v>
      </c>
      <c r="CJ983" s="26" t="s">
        <v>1401</v>
      </c>
      <c r="CK983" s="26" t="s">
        <v>2225</v>
      </c>
      <c r="CL983" s="26" t="str">
        <f t="shared" si="61"/>
        <v>三重県菰野町</v>
      </c>
      <c r="CM983" s="49">
        <v>978</v>
      </c>
      <c r="CN983" s="17" t="str">
        <f t="shared" si="60"/>
        <v>1073</v>
      </c>
      <c r="CO983" s="17" t="str">
        <f t="shared" si="62"/>
        <v>9781073菰野町</v>
      </c>
      <c r="CP983" s="17" t="s">
        <v>9424</v>
      </c>
      <c r="CQ983" s="17" t="b">
        <f t="shared" si="63"/>
        <v>1</v>
      </c>
    </row>
    <row r="984" spans="6:95">
      <c r="F984" s="23"/>
      <c r="I984" s="23"/>
      <c r="L984" s="50" t="s">
        <v>9425</v>
      </c>
      <c r="M984" s="17" t="s">
        <v>9426</v>
      </c>
      <c r="N984" s="51" t="s">
        <v>9427</v>
      </c>
      <c r="O984" s="29" t="s">
        <v>1460</v>
      </c>
      <c r="P984" s="29" t="s">
        <v>9428</v>
      </c>
      <c r="Q984" s="29" t="s">
        <v>1460</v>
      </c>
      <c r="R984" s="29" t="s">
        <v>2089</v>
      </c>
      <c r="S984" s="28" t="s">
        <v>1502</v>
      </c>
      <c r="T984" s="28" t="s">
        <v>2056</v>
      </c>
      <c r="U984" s="28" t="s">
        <v>1442</v>
      </c>
      <c r="V984" s="28" t="s">
        <v>1678</v>
      </c>
      <c r="W984" s="28" t="s">
        <v>9429</v>
      </c>
      <c r="X984" s="17">
        <v>1</v>
      </c>
      <c r="CJ984" s="26" t="s">
        <v>1401</v>
      </c>
      <c r="CK984" s="26" t="s">
        <v>2280</v>
      </c>
      <c r="CL984" s="26" t="str">
        <f t="shared" si="61"/>
        <v>三重県朝日町</v>
      </c>
      <c r="CM984" s="49">
        <v>979</v>
      </c>
      <c r="CN984" s="17" t="str">
        <f t="shared" si="60"/>
        <v>1074</v>
      </c>
      <c r="CO984" s="17" t="str">
        <f t="shared" si="62"/>
        <v>9791074朝日町</v>
      </c>
      <c r="CP984" s="17" t="s">
        <v>9430</v>
      </c>
      <c r="CQ984" s="17" t="b">
        <f t="shared" si="63"/>
        <v>1</v>
      </c>
    </row>
    <row r="985" spans="6:95">
      <c r="F985" s="23"/>
      <c r="I985" s="23"/>
      <c r="L985" s="50" t="s">
        <v>9431</v>
      </c>
      <c r="M985" s="17" t="s">
        <v>9432</v>
      </c>
      <c r="N985" s="51" t="s">
        <v>9433</v>
      </c>
      <c r="O985" s="29" t="s">
        <v>1460</v>
      </c>
      <c r="P985" s="29" t="s">
        <v>9434</v>
      </c>
      <c r="Q985" s="29" t="s">
        <v>1460</v>
      </c>
      <c r="R985" s="29" t="s">
        <v>2145</v>
      </c>
      <c r="S985" s="28" t="s">
        <v>2525</v>
      </c>
      <c r="T985" s="28" t="s">
        <v>2112</v>
      </c>
      <c r="U985" s="28" t="s">
        <v>1442</v>
      </c>
      <c r="V985" s="28" t="s">
        <v>1678</v>
      </c>
      <c r="W985" s="28" t="s">
        <v>9435</v>
      </c>
      <c r="X985" s="17">
        <v>1</v>
      </c>
      <c r="CJ985" s="26" t="s">
        <v>1401</v>
      </c>
      <c r="CK985" s="26" t="s">
        <v>2336</v>
      </c>
      <c r="CL985" s="26" t="str">
        <f t="shared" si="61"/>
        <v>三重県川越町</v>
      </c>
      <c r="CM985" s="49">
        <v>980</v>
      </c>
      <c r="CN985" s="17" t="str">
        <f t="shared" si="60"/>
        <v>1075</v>
      </c>
      <c r="CO985" s="17" t="str">
        <f t="shared" si="62"/>
        <v>9801075川越町</v>
      </c>
      <c r="CP985" s="17" t="s">
        <v>9436</v>
      </c>
      <c r="CQ985" s="17" t="b">
        <f t="shared" si="63"/>
        <v>1</v>
      </c>
    </row>
    <row r="986" spans="6:95">
      <c r="F986" s="23"/>
      <c r="I986" s="23"/>
      <c r="L986" s="50" t="s">
        <v>9437</v>
      </c>
      <c r="M986" s="17" t="s">
        <v>9438</v>
      </c>
      <c r="N986" s="51" t="s">
        <v>9439</v>
      </c>
      <c r="O986" s="29" t="s">
        <v>1460</v>
      </c>
      <c r="P986" s="29" t="s">
        <v>9440</v>
      </c>
      <c r="Q986" s="29" t="s">
        <v>1460</v>
      </c>
      <c r="R986" s="29" t="s">
        <v>2200</v>
      </c>
      <c r="S986" s="28" t="s">
        <v>2311</v>
      </c>
      <c r="T986" s="28" t="s">
        <v>2168</v>
      </c>
      <c r="U986" s="28" t="s">
        <v>1442</v>
      </c>
      <c r="V986" s="28" t="s">
        <v>1678</v>
      </c>
      <c r="W986" s="28" t="s">
        <v>9441</v>
      </c>
      <c r="X986" s="17">
        <v>1</v>
      </c>
      <c r="CJ986" s="26" t="s">
        <v>1401</v>
      </c>
      <c r="CK986" s="26" t="s">
        <v>2390</v>
      </c>
      <c r="CL986" s="26" t="str">
        <f t="shared" si="61"/>
        <v>三重県多気町</v>
      </c>
      <c r="CM986" s="49">
        <v>981</v>
      </c>
      <c r="CN986" s="17" t="str">
        <f t="shared" si="60"/>
        <v>1076</v>
      </c>
      <c r="CO986" s="17" t="str">
        <f t="shared" si="62"/>
        <v>9811076多気町</v>
      </c>
      <c r="CP986" s="17" t="s">
        <v>9442</v>
      </c>
      <c r="CQ986" s="17" t="b">
        <f t="shared" si="63"/>
        <v>1</v>
      </c>
    </row>
    <row r="987" spans="6:95">
      <c r="F987" s="23"/>
      <c r="I987" s="23"/>
      <c r="L987" s="50" t="s">
        <v>9443</v>
      </c>
      <c r="M987" s="17" t="s">
        <v>9444</v>
      </c>
      <c r="N987" s="51" t="s">
        <v>9445</v>
      </c>
      <c r="O987" s="29" t="s">
        <v>1460</v>
      </c>
      <c r="P987" s="29" t="s">
        <v>9446</v>
      </c>
      <c r="Q987" s="29" t="s">
        <v>1460</v>
      </c>
      <c r="R987" s="29" t="s">
        <v>2255</v>
      </c>
      <c r="S987" s="28" t="s">
        <v>1564</v>
      </c>
      <c r="T987" s="28" t="s">
        <v>2223</v>
      </c>
      <c r="U987" s="28" t="s">
        <v>1442</v>
      </c>
      <c r="V987" s="28" t="s">
        <v>1678</v>
      </c>
      <c r="W987" s="28" t="s">
        <v>9447</v>
      </c>
      <c r="X987" s="17">
        <v>1</v>
      </c>
      <c r="CJ987" s="26" t="s">
        <v>1401</v>
      </c>
      <c r="CK987" s="26" t="s">
        <v>2445</v>
      </c>
      <c r="CL987" s="26" t="str">
        <f t="shared" si="61"/>
        <v>三重県明和町</v>
      </c>
      <c r="CM987" s="49">
        <v>982</v>
      </c>
      <c r="CN987" s="17" t="str">
        <f t="shared" si="60"/>
        <v>1077</v>
      </c>
      <c r="CO987" s="17" t="str">
        <f t="shared" si="62"/>
        <v>9821077明和町</v>
      </c>
      <c r="CP987" s="17" t="s">
        <v>9448</v>
      </c>
      <c r="CQ987" s="17" t="b">
        <f t="shared" si="63"/>
        <v>1</v>
      </c>
    </row>
    <row r="988" spans="6:95">
      <c r="F988" s="23"/>
      <c r="I988" s="23"/>
      <c r="L988" s="50" t="s">
        <v>9449</v>
      </c>
      <c r="M988" s="17" t="s">
        <v>9450</v>
      </c>
      <c r="N988" s="51" t="s">
        <v>9451</v>
      </c>
      <c r="O988" s="29" t="s">
        <v>1460</v>
      </c>
      <c r="P988" s="29" t="s">
        <v>9452</v>
      </c>
      <c r="Q988" s="29" t="s">
        <v>1460</v>
      </c>
      <c r="R988" s="29" t="s">
        <v>2310</v>
      </c>
      <c r="S988" s="28" t="s">
        <v>1920</v>
      </c>
      <c r="T988" s="28" t="s">
        <v>2278</v>
      </c>
      <c r="U988" s="28" t="s">
        <v>1442</v>
      </c>
      <c r="V988" s="28" t="s">
        <v>1678</v>
      </c>
      <c r="W988" s="28" t="s">
        <v>9453</v>
      </c>
      <c r="X988" s="17">
        <v>1</v>
      </c>
      <c r="CJ988" s="26" t="s">
        <v>1401</v>
      </c>
      <c r="CK988" s="26" t="s">
        <v>2496</v>
      </c>
      <c r="CL988" s="26" t="str">
        <f t="shared" si="61"/>
        <v>三重県大台町</v>
      </c>
      <c r="CM988" s="49">
        <v>983</v>
      </c>
      <c r="CN988" s="17" t="str">
        <f t="shared" si="60"/>
        <v>1078</v>
      </c>
      <c r="CO988" s="17" t="str">
        <f t="shared" si="62"/>
        <v>9831078大台町</v>
      </c>
      <c r="CP988" s="17" t="s">
        <v>9454</v>
      </c>
      <c r="CQ988" s="17" t="b">
        <f t="shared" si="63"/>
        <v>1</v>
      </c>
    </row>
    <row r="989" spans="6:95">
      <c r="F989" s="23"/>
      <c r="I989" s="23"/>
      <c r="L989" s="50" t="s">
        <v>9455</v>
      </c>
      <c r="M989" s="17" t="s">
        <v>9456</v>
      </c>
      <c r="N989" s="51" t="s">
        <v>9457</v>
      </c>
      <c r="O989" s="29" t="s">
        <v>1460</v>
      </c>
      <c r="P989" s="29" t="s">
        <v>9458</v>
      </c>
      <c r="Q989" s="29" t="s">
        <v>1460</v>
      </c>
      <c r="R989" s="29" t="s">
        <v>2365</v>
      </c>
      <c r="S989" s="28" t="s">
        <v>1977</v>
      </c>
      <c r="T989" s="28" t="s">
        <v>2334</v>
      </c>
      <c r="U989" s="28" t="s">
        <v>1442</v>
      </c>
      <c r="V989" s="28" t="s">
        <v>1678</v>
      </c>
      <c r="W989" s="28" t="s">
        <v>9459</v>
      </c>
      <c r="X989" s="17">
        <v>1</v>
      </c>
      <c r="CJ989" s="26" t="s">
        <v>1401</v>
      </c>
      <c r="CK989" s="26" t="s">
        <v>2548</v>
      </c>
      <c r="CL989" s="26" t="str">
        <f t="shared" si="61"/>
        <v>三重県玉城町</v>
      </c>
      <c r="CM989" s="49">
        <v>984</v>
      </c>
      <c r="CN989" s="17" t="str">
        <f t="shared" si="60"/>
        <v>1079</v>
      </c>
      <c r="CO989" s="17" t="str">
        <f t="shared" si="62"/>
        <v>9841079玉城町</v>
      </c>
      <c r="CP989" s="17" t="s">
        <v>9460</v>
      </c>
      <c r="CQ989" s="17" t="b">
        <f t="shared" si="63"/>
        <v>1</v>
      </c>
    </row>
    <row r="990" spans="6:95">
      <c r="F990" s="23"/>
      <c r="I990" s="23"/>
      <c r="L990" s="50" t="s">
        <v>9461</v>
      </c>
      <c r="M990" s="17" t="s">
        <v>9462</v>
      </c>
      <c r="N990" s="51" t="s">
        <v>9463</v>
      </c>
      <c r="O990" s="29" t="s">
        <v>1460</v>
      </c>
      <c r="P990" s="29" t="s">
        <v>9464</v>
      </c>
      <c r="Q990" s="29" t="s">
        <v>1460</v>
      </c>
      <c r="R990" s="29" t="s">
        <v>2524</v>
      </c>
      <c r="S990" s="28" t="s">
        <v>1862</v>
      </c>
      <c r="T990" s="28" t="s">
        <v>2388</v>
      </c>
      <c r="U990" s="28" t="s">
        <v>1442</v>
      </c>
      <c r="V990" s="28" t="s">
        <v>1678</v>
      </c>
      <c r="W990" s="28" t="s">
        <v>9465</v>
      </c>
      <c r="X990" s="17">
        <v>1</v>
      </c>
      <c r="CJ990" s="26" t="s">
        <v>1401</v>
      </c>
      <c r="CK990" s="26" t="s">
        <v>2597</v>
      </c>
      <c r="CL990" s="26" t="str">
        <f t="shared" si="61"/>
        <v>三重県度会町</v>
      </c>
      <c r="CM990" s="49">
        <v>985</v>
      </c>
      <c r="CN990" s="17" t="str">
        <f t="shared" si="60"/>
        <v>1080</v>
      </c>
      <c r="CO990" s="17" t="str">
        <f t="shared" si="62"/>
        <v>9851080度会町</v>
      </c>
      <c r="CP990" s="17" t="s">
        <v>9466</v>
      </c>
      <c r="CQ990" s="17" t="b">
        <f t="shared" si="63"/>
        <v>1</v>
      </c>
    </row>
    <row r="991" spans="6:95">
      <c r="F991" s="23"/>
      <c r="I991" s="23"/>
      <c r="L991" s="50" t="s">
        <v>9467</v>
      </c>
      <c r="M991" s="17" t="s">
        <v>9468</v>
      </c>
      <c r="N991" s="51" t="s">
        <v>9469</v>
      </c>
      <c r="O991" s="29" t="s">
        <v>1460</v>
      </c>
      <c r="P991" s="29" t="s">
        <v>9470</v>
      </c>
      <c r="Q991" s="29" t="s">
        <v>1460</v>
      </c>
      <c r="R991" s="29" t="s">
        <v>2576</v>
      </c>
      <c r="S991" s="28" t="s">
        <v>1920</v>
      </c>
      <c r="T991" s="28" t="s">
        <v>2443</v>
      </c>
      <c r="U991" s="28" t="s">
        <v>1442</v>
      </c>
      <c r="V991" s="28" t="s">
        <v>1678</v>
      </c>
      <c r="W991" s="28" t="s">
        <v>9470</v>
      </c>
      <c r="X991" s="17">
        <v>1</v>
      </c>
      <c r="CJ991" s="26" t="s">
        <v>1401</v>
      </c>
      <c r="CK991" s="26" t="s">
        <v>2644</v>
      </c>
      <c r="CL991" s="26" t="str">
        <f t="shared" si="61"/>
        <v>三重県大紀町</v>
      </c>
      <c r="CM991" s="49">
        <v>986</v>
      </c>
      <c r="CN991" s="17" t="str">
        <f t="shared" si="60"/>
        <v>1081</v>
      </c>
      <c r="CO991" s="17" t="str">
        <f t="shared" si="62"/>
        <v>9861081大紀町</v>
      </c>
      <c r="CP991" s="17" t="s">
        <v>9471</v>
      </c>
      <c r="CQ991" s="17" t="b">
        <f t="shared" si="63"/>
        <v>1</v>
      </c>
    </row>
    <row r="992" spans="6:95">
      <c r="F992" s="23"/>
      <c r="I992" s="23"/>
      <c r="L992" s="50" t="s">
        <v>9472</v>
      </c>
      <c r="M992" s="17" t="s">
        <v>9473</v>
      </c>
      <c r="N992" s="51" t="s">
        <v>9474</v>
      </c>
      <c r="O992" s="29" t="s">
        <v>1460</v>
      </c>
      <c r="P992" s="29" t="s">
        <v>9475</v>
      </c>
      <c r="Q992" s="29" t="s">
        <v>1460</v>
      </c>
      <c r="R992" s="29" t="s">
        <v>2623</v>
      </c>
      <c r="S992" s="28" t="s">
        <v>1977</v>
      </c>
      <c r="T992" s="28" t="s">
        <v>2494</v>
      </c>
      <c r="U992" s="28" t="s">
        <v>1442</v>
      </c>
      <c r="V992" s="28" t="s">
        <v>1678</v>
      </c>
      <c r="W992" s="28" t="s">
        <v>9475</v>
      </c>
      <c r="X992" s="17">
        <v>1</v>
      </c>
      <c r="CJ992" s="26" t="s">
        <v>1401</v>
      </c>
      <c r="CK992" s="26" t="s">
        <v>2690</v>
      </c>
      <c r="CL992" s="26" t="str">
        <f t="shared" si="61"/>
        <v>三重県南伊勢町</v>
      </c>
      <c r="CM992" s="49">
        <v>987</v>
      </c>
      <c r="CN992" s="17" t="str">
        <f t="shared" si="60"/>
        <v>1082</v>
      </c>
      <c r="CO992" s="17" t="str">
        <f t="shared" si="62"/>
        <v>9871082南伊勢町</v>
      </c>
      <c r="CP992" s="17" t="s">
        <v>9476</v>
      </c>
      <c r="CQ992" s="17" t="b">
        <f t="shared" si="63"/>
        <v>1</v>
      </c>
    </row>
    <row r="993" spans="6:95">
      <c r="F993" s="23"/>
      <c r="I993" s="23"/>
      <c r="L993" s="50" t="s">
        <v>9477</v>
      </c>
      <c r="M993" s="17" t="s">
        <v>9478</v>
      </c>
      <c r="N993" s="51" t="s">
        <v>9479</v>
      </c>
      <c r="O993" s="29" t="s">
        <v>1460</v>
      </c>
      <c r="P993" s="29" t="s">
        <v>9480</v>
      </c>
      <c r="Q993" s="29" t="s">
        <v>1460</v>
      </c>
      <c r="R993" s="29" t="s">
        <v>2668</v>
      </c>
      <c r="S993" s="28" t="s">
        <v>1743</v>
      </c>
      <c r="T993" s="28" t="s">
        <v>2546</v>
      </c>
      <c r="U993" s="28" t="s">
        <v>1442</v>
      </c>
      <c r="V993" s="28" t="s">
        <v>1678</v>
      </c>
      <c r="W993" s="28" t="s">
        <v>9480</v>
      </c>
      <c r="X993" s="17">
        <v>1</v>
      </c>
      <c r="CJ993" s="26" t="s">
        <v>1401</v>
      </c>
      <c r="CK993" s="26" t="s">
        <v>2736</v>
      </c>
      <c r="CL993" s="26" t="str">
        <f t="shared" si="61"/>
        <v>三重県紀北広域連合</v>
      </c>
      <c r="CM993" s="49">
        <v>988</v>
      </c>
      <c r="CN993" s="17" t="str">
        <f t="shared" si="60"/>
        <v>1083</v>
      </c>
      <c r="CO993" s="17" t="str">
        <f t="shared" si="62"/>
        <v>9881083紀北広域連合</v>
      </c>
      <c r="CP993" s="17" t="s">
        <v>9481</v>
      </c>
      <c r="CQ993" s="17" t="b">
        <f t="shared" si="63"/>
        <v>1</v>
      </c>
    </row>
    <row r="994" spans="6:95">
      <c r="F994" s="23"/>
      <c r="I994" s="23"/>
      <c r="L994" s="50" t="s">
        <v>9482</v>
      </c>
      <c r="M994" s="17" t="s">
        <v>9483</v>
      </c>
      <c r="N994" s="51" t="s">
        <v>9484</v>
      </c>
      <c r="O994" s="29" t="s">
        <v>1460</v>
      </c>
      <c r="P994" s="29" t="s">
        <v>9485</v>
      </c>
      <c r="Q994" s="29" t="s">
        <v>1460</v>
      </c>
      <c r="R994" s="29" t="s">
        <v>2714</v>
      </c>
      <c r="S994" s="28" t="s">
        <v>1803</v>
      </c>
      <c r="T994" s="28" t="s">
        <v>2595</v>
      </c>
      <c r="U994" s="28" t="s">
        <v>1442</v>
      </c>
      <c r="V994" s="28" t="s">
        <v>1678</v>
      </c>
      <c r="W994" s="28" t="s">
        <v>9485</v>
      </c>
      <c r="X994" s="17">
        <v>1</v>
      </c>
      <c r="CJ994" s="26" t="s">
        <v>1401</v>
      </c>
      <c r="CK994" s="26" t="s">
        <v>2862</v>
      </c>
      <c r="CL994" s="26" t="str">
        <f t="shared" si="61"/>
        <v>三重県紀南介護保険広域連合</v>
      </c>
      <c r="CM994" s="49">
        <v>989</v>
      </c>
      <c r="CN994" s="17" t="str">
        <f t="shared" si="60"/>
        <v>1086</v>
      </c>
      <c r="CO994" s="17" t="str">
        <f t="shared" si="62"/>
        <v>9891086紀南介護保険広域連合</v>
      </c>
      <c r="CP994" s="17" t="s">
        <v>9486</v>
      </c>
      <c r="CQ994" s="17" t="b">
        <f t="shared" si="63"/>
        <v>1</v>
      </c>
    </row>
    <row r="995" spans="6:95">
      <c r="F995" s="23"/>
      <c r="I995" s="23"/>
      <c r="L995" s="50" t="s">
        <v>9487</v>
      </c>
      <c r="M995" s="17" t="s">
        <v>9488</v>
      </c>
      <c r="N995" s="51" t="s">
        <v>9489</v>
      </c>
      <c r="O995" s="29" t="s">
        <v>1460</v>
      </c>
      <c r="P995" s="29" t="s">
        <v>9490</v>
      </c>
      <c r="Q995" s="29" t="s">
        <v>1460</v>
      </c>
      <c r="R995" s="29" t="s">
        <v>2758</v>
      </c>
      <c r="S995" s="28" t="s">
        <v>1862</v>
      </c>
      <c r="T995" s="28" t="s">
        <v>2642</v>
      </c>
      <c r="U995" s="28" t="s">
        <v>1442</v>
      </c>
      <c r="V995" s="28" t="s">
        <v>1678</v>
      </c>
      <c r="W995" s="28" t="s">
        <v>9491</v>
      </c>
      <c r="X995" s="17">
        <v>1</v>
      </c>
      <c r="CJ995" s="26" t="s">
        <v>1401</v>
      </c>
      <c r="CK995" s="26" t="s">
        <v>3004</v>
      </c>
      <c r="CL995" s="26" t="str">
        <f t="shared" si="61"/>
        <v>三重県鈴鹿亀山地区広域連合</v>
      </c>
      <c r="CM995" s="49">
        <v>990</v>
      </c>
      <c r="CN995" s="17" t="str">
        <f t="shared" si="60"/>
        <v>1090</v>
      </c>
      <c r="CO995" s="17" t="str">
        <f t="shared" si="62"/>
        <v>9901090鈴鹿亀山地区広域連合</v>
      </c>
      <c r="CP995" s="17" t="s">
        <v>9492</v>
      </c>
      <c r="CQ995" s="17" t="b">
        <f t="shared" si="63"/>
        <v>1</v>
      </c>
    </row>
    <row r="996" spans="6:95">
      <c r="F996" s="23"/>
      <c r="I996" s="23"/>
      <c r="L996" s="50" t="s">
        <v>9493</v>
      </c>
      <c r="M996" s="17" t="s">
        <v>9494</v>
      </c>
      <c r="N996" s="51" t="s">
        <v>9495</v>
      </c>
      <c r="O996" s="29" t="s">
        <v>1460</v>
      </c>
      <c r="P996" s="29" t="s">
        <v>9496</v>
      </c>
      <c r="Q996" s="29" t="s">
        <v>1460</v>
      </c>
      <c r="R996" s="29" t="s">
        <v>2800</v>
      </c>
      <c r="S996" s="28" t="s">
        <v>1502</v>
      </c>
      <c r="T996" s="28" t="s">
        <v>2688</v>
      </c>
      <c r="U996" s="28" t="s">
        <v>1442</v>
      </c>
      <c r="V996" s="28" t="s">
        <v>1678</v>
      </c>
      <c r="W996" s="28" t="s">
        <v>9497</v>
      </c>
      <c r="X996" s="17">
        <v>1</v>
      </c>
      <c r="CJ996" s="26" t="s">
        <v>1402</v>
      </c>
      <c r="CK996" s="26" t="s">
        <v>1528</v>
      </c>
      <c r="CL996" s="26" t="str">
        <f t="shared" si="61"/>
        <v>滋賀県大津市</v>
      </c>
      <c r="CM996" s="49">
        <v>991</v>
      </c>
      <c r="CN996" s="17" t="str">
        <f t="shared" si="60"/>
        <v>1093</v>
      </c>
      <c r="CO996" s="17" t="str">
        <f t="shared" si="62"/>
        <v>9911093大津市</v>
      </c>
      <c r="CP996" s="17" t="s">
        <v>9498</v>
      </c>
      <c r="CQ996" s="17" t="b">
        <f t="shared" si="63"/>
        <v>1</v>
      </c>
    </row>
    <row r="997" spans="6:95">
      <c r="F997" s="23"/>
      <c r="I997" s="23"/>
      <c r="L997" s="50" t="s">
        <v>9499</v>
      </c>
      <c r="M997" s="17" t="s">
        <v>9500</v>
      </c>
      <c r="N997" s="51" t="s">
        <v>9501</v>
      </c>
      <c r="O997" s="29" t="s">
        <v>1460</v>
      </c>
      <c r="P997" s="29" t="s">
        <v>9502</v>
      </c>
      <c r="Q997" s="29" t="s">
        <v>1460</v>
      </c>
      <c r="R997" s="29" t="s">
        <v>2842</v>
      </c>
      <c r="S997" s="28" t="s">
        <v>2525</v>
      </c>
      <c r="T997" s="28" t="s">
        <v>2734</v>
      </c>
      <c r="U997" s="28" t="s">
        <v>1442</v>
      </c>
      <c r="V997" s="28" t="s">
        <v>1678</v>
      </c>
      <c r="W997" s="28" t="s">
        <v>9503</v>
      </c>
      <c r="X997" s="17">
        <v>1</v>
      </c>
      <c r="CJ997" s="26" t="s">
        <v>1402</v>
      </c>
      <c r="CK997" s="26" t="s">
        <v>1590</v>
      </c>
      <c r="CL997" s="26" t="str">
        <f t="shared" si="61"/>
        <v>滋賀県彦根市</v>
      </c>
      <c r="CM997" s="49">
        <v>992</v>
      </c>
      <c r="CN997" s="17" t="str">
        <f t="shared" si="60"/>
        <v>1094</v>
      </c>
      <c r="CO997" s="17" t="str">
        <f t="shared" si="62"/>
        <v>9921094彦根市</v>
      </c>
      <c r="CP997" s="17" t="s">
        <v>9504</v>
      </c>
      <c r="CQ997" s="17" t="b">
        <f t="shared" si="63"/>
        <v>1</v>
      </c>
    </row>
    <row r="998" spans="6:95">
      <c r="F998" s="23"/>
      <c r="I998" s="23"/>
      <c r="L998" s="50" t="s">
        <v>9505</v>
      </c>
      <c r="M998" s="17" t="s">
        <v>9506</v>
      </c>
      <c r="N998" s="51" t="s">
        <v>9507</v>
      </c>
      <c r="O998" s="29" t="s">
        <v>1460</v>
      </c>
      <c r="P998" s="29" t="s">
        <v>9508</v>
      </c>
      <c r="Q998" s="29" t="s">
        <v>1460</v>
      </c>
      <c r="R998" s="29" t="s">
        <v>4653</v>
      </c>
      <c r="S998" s="28" t="s">
        <v>1977</v>
      </c>
      <c r="T998" s="28" t="s">
        <v>2778</v>
      </c>
      <c r="U998" s="28" t="s">
        <v>1442</v>
      </c>
      <c r="V998" s="28" t="s">
        <v>1678</v>
      </c>
      <c r="W998" s="28" t="s">
        <v>9509</v>
      </c>
      <c r="X998" s="17">
        <v>1</v>
      </c>
      <c r="CJ998" s="26" t="s">
        <v>1402</v>
      </c>
      <c r="CK998" s="26" t="s">
        <v>1652</v>
      </c>
      <c r="CL998" s="26" t="str">
        <f t="shared" si="61"/>
        <v>滋賀県長浜市</v>
      </c>
      <c r="CM998" s="49">
        <v>993</v>
      </c>
      <c r="CN998" s="17" t="str">
        <f t="shared" si="60"/>
        <v>1095</v>
      </c>
      <c r="CO998" s="17" t="str">
        <f t="shared" si="62"/>
        <v>9931095長浜市</v>
      </c>
      <c r="CP998" s="17" t="s">
        <v>9510</v>
      </c>
      <c r="CQ998" s="17" t="b">
        <f t="shared" si="63"/>
        <v>1</v>
      </c>
    </row>
    <row r="999" spans="6:95">
      <c r="F999" s="23"/>
      <c r="I999" s="23"/>
      <c r="L999" s="50" t="s">
        <v>9511</v>
      </c>
      <c r="M999" s="17" t="s">
        <v>9512</v>
      </c>
      <c r="N999" s="51" t="s">
        <v>9513</v>
      </c>
      <c r="O999" s="29" t="s">
        <v>1460</v>
      </c>
      <c r="P999" s="29" t="s">
        <v>9514</v>
      </c>
      <c r="Q999" s="29" t="s">
        <v>1460</v>
      </c>
      <c r="R999" s="29" t="s">
        <v>5017</v>
      </c>
      <c r="S999" s="28" t="s">
        <v>1743</v>
      </c>
      <c r="T999" s="28" t="s">
        <v>2820</v>
      </c>
      <c r="U999" s="28" t="s">
        <v>1442</v>
      </c>
      <c r="V999" s="28" t="s">
        <v>1678</v>
      </c>
      <c r="W999" s="28" t="s">
        <v>9515</v>
      </c>
      <c r="X999" s="17">
        <v>1</v>
      </c>
      <c r="CJ999" s="26" t="s">
        <v>1402</v>
      </c>
      <c r="CK999" s="26" t="s">
        <v>1710</v>
      </c>
      <c r="CL999" s="26" t="str">
        <f t="shared" si="61"/>
        <v>滋賀県近江八幡市</v>
      </c>
      <c r="CM999" s="49">
        <v>994</v>
      </c>
      <c r="CN999" s="17" t="str">
        <f t="shared" si="60"/>
        <v>1096</v>
      </c>
      <c r="CO999" s="17" t="str">
        <f t="shared" si="62"/>
        <v>9941096近江八幡市</v>
      </c>
      <c r="CP999" s="17" t="s">
        <v>9516</v>
      </c>
      <c r="CQ999" s="17" t="b">
        <f t="shared" si="63"/>
        <v>1</v>
      </c>
    </row>
    <row r="1000" spans="6:95">
      <c r="F1000" s="23"/>
      <c r="I1000" s="23"/>
      <c r="L1000" s="50" t="s">
        <v>9517</v>
      </c>
      <c r="M1000" s="17" t="s">
        <v>9518</v>
      </c>
      <c r="N1000" s="51" t="s">
        <v>9519</v>
      </c>
      <c r="O1000" s="29" t="s">
        <v>1460</v>
      </c>
      <c r="P1000" s="29" t="s">
        <v>9520</v>
      </c>
      <c r="Q1000" s="29" t="s">
        <v>1460</v>
      </c>
      <c r="R1000" s="29" t="s">
        <v>3173</v>
      </c>
      <c r="S1000" s="28" t="s">
        <v>1862</v>
      </c>
      <c r="T1000" s="28" t="s">
        <v>2860</v>
      </c>
      <c r="U1000" s="28" t="s">
        <v>1442</v>
      </c>
      <c r="V1000" s="28" t="s">
        <v>1678</v>
      </c>
      <c r="W1000" s="28" t="s">
        <v>9521</v>
      </c>
      <c r="X1000" s="17">
        <v>1</v>
      </c>
      <c r="CJ1000" s="26" t="s">
        <v>1402</v>
      </c>
      <c r="CK1000" s="26" t="s">
        <v>1769</v>
      </c>
      <c r="CL1000" s="26" t="str">
        <f t="shared" si="61"/>
        <v>滋賀県草津市</v>
      </c>
      <c r="CM1000" s="49">
        <v>995</v>
      </c>
      <c r="CN1000" s="17" t="str">
        <f t="shared" si="60"/>
        <v>1097</v>
      </c>
      <c r="CO1000" s="17" t="str">
        <f t="shared" si="62"/>
        <v>9951097草津市</v>
      </c>
      <c r="CP1000" s="17" t="s">
        <v>9522</v>
      </c>
      <c r="CQ1000" s="17" t="b">
        <f t="shared" si="63"/>
        <v>1</v>
      </c>
    </row>
    <row r="1001" spans="6:95">
      <c r="F1001" s="23"/>
      <c r="I1001" s="23"/>
      <c r="L1001" s="50" t="s">
        <v>9523</v>
      </c>
      <c r="M1001" s="17" t="s">
        <v>9524</v>
      </c>
      <c r="N1001" s="51" t="s">
        <v>9525</v>
      </c>
      <c r="O1001" s="29" t="s">
        <v>1460</v>
      </c>
      <c r="P1001" s="29" t="s">
        <v>9526</v>
      </c>
      <c r="Q1001" s="29" t="s">
        <v>1460</v>
      </c>
      <c r="R1001" s="29" t="s">
        <v>7681</v>
      </c>
      <c r="S1001" s="28" t="s">
        <v>1502</v>
      </c>
      <c r="T1001" s="28" t="s">
        <v>2899</v>
      </c>
      <c r="U1001" s="28" t="s">
        <v>1442</v>
      </c>
      <c r="V1001" s="28" t="s">
        <v>1678</v>
      </c>
      <c r="W1001" s="28" t="s">
        <v>9527</v>
      </c>
      <c r="X1001" s="17">
        <v>1</v>
      </c>
      <c r="CJ1001" s="26" t="s">
        <v>1402</v>
      </c>
      <c r="CK1001" s="26" t="s">
        <v>1829</v>
      </c>
      <c r="CL1001" s="26" t="str">
        <f t="shared" si="61"/>
        <v>滋賀県守山市</v>
      </c>
      <c r="CM1001" s="49">
        <v>996</v>
      </c>
      <c r="CN1001" s="17" t="str">
        <f t="shared" si="60"/>
        <v>1098</v>
      </c>
      <c r="CO1001" s="17" t="str">
        <f t="shared" si="62"/>
        <v>9961098守山市</v>
      </c>
      <c r="CP1001" s="17" t="s">
        <v>9528</v>
      </c>
      <c r="CQ1001" s="17" t="b">
        <f t="shared" si="63"/>
        <v>1</v>
      </c>
    </row>
    <row r="1002" spans="6:95">
      <c r="F1002" s="23"/>
      <c r="I1002" s="23"/>
      <c r="L1002" s="50" t="s">
        <v>9529</v>
      </c>
      <c r="M1002" s="17" t="s">
        <v>9530</v>
      </c>
      <c r="N1002" s="51" t="s">
        <v>9531</v>
      </c>
      <c r="O1002" s="29" t="s">
        <v>1460</v>
      </c>
      <c r="P1002" s="29" t="s">
        <v>9532</v>
      </c>
      <c r="Q1002" s="29" t="s">
        <v>1460</v>
      </c>
      <c r="R1002" s="29" t="s">
        <v>8722</v>
      </c>
      <c r="S1002" s="28" t="s">
        <v>2525</v>
      </c>
      <c r="T1002" s="28" t="s">
        <v>2935</v>
      </c>
      <c r="U1002" s="28" t="s">
        <v>1442</v>
      </c>
      <c r="V1002" s="28" t="s">
        <v>1678</v>
      </c>
      <c r="W1002" s="28" t="s">
        <v>9533</v>
      </c>
      <c r="X1002" s="17">
        <v>1</v>
      </c>
      <c r="CJ1002" s="26" t="s">
        <v>1402</v>
      </c>
      <c r="CK1002" s="26" t="s">
        <v>1888</v>
      </c>
      <c r="CL1002" s="26" t="str">
        <f t="shared" si="61"/>
        <v>滋賀県甲賀市</v>
      </c>
      <c r="CM1002" s="49">
        <v>997</v>
      </c>
      <c r="CN1002" s="17" t="str">
        <f t="shared" si="60"/>
        <v>1099</v>
      </c>
      <c r="CO1002" s="17" t="str">
        <f t="shared" si="62"/>
        <v>9971099甲賀市</v>
      </c>
      <c r="CP1002" s="17" t="s">
        <v>9534</v>
      </c>
      <c r="CQ1002" s="17" t="b">
        <f t="shared" si="63"/>
        <v>1</v>
      </c>
    </row>
    <row r="1003" spans="6:95">
      <c r="F1003" s="23"/>
      <c r="I1003" s="23"/>
      <c r="L1003" s="50" t="s">
        <v>9535</v>
      </c>
      <c r="M1003" s="17" t="s">
        <v>9536</v>
      </c>
      <c r="N1003" s="51" t="s">
        <v>9537</v>
      </c>
      <c r="O1003" s="29" t="s">
        <v>1460</v>
      </c>
      <c r="P1003" s="29" t="s">
        <v>9538</v>
      </c>
      <c r="Q1003" s="29" t="s">
        <v>1460</v>
      </c>
      <c r="R1003" s="29" t="s">
        <v>9539</v>
      </c>
      <c r="S1003" s="28" t="s">
        <v>2525</v>
      </c>
      <c r="T1003" s="28" t="s">
        <v>2968</v>
      </c>
      <c r="U1003" s="28" t="s">
        <v>1442</v>
      </c>
      <c r="V1003" s="28" t="s">
        <v>1678</v>
      </c>
      <c r="W1003" s="28" t="s">
        <v>9538</v>
      </c>
      <c r="X1003" s="17">
        <v>1</v>
      </c>
      <c r="CJ1003" s="26" t="s">
        <v>1402</v>
      </c>
      <c r="CK1003" s="26" t="s">
        <v>1946</v>
      </c>
      <c r="CL1003" s="26" t="str">
        <f t="shared" si="61"/>
        <v>滋賀県野洲市</v>
      </c>
      <c r="CM1003" s="49">
        <v>998</v>
      </c>
      <c r="CN1003" s="17" t="str">
        <f t="shared" si="60"/>
        <v>1100</v>
      </c>
      <c r="CO1003" s="17" t="str">
        <f t="shared" si="62"/>
        <v>9981100野洲市</v>
      </c>
      <c r="CP1003" s="17" t="s">
        <v>9540</v>
      </c>
      <c r="CQ1003" s="17" t="b">
        <f t="shared" si="63"/>
        <v>1</v>
      </c>
    </row>
    <row r="1004" spans="6:95">
      <c r="F1004" s="23"/>
      <c r="I1004" s="23"/>
      <c r="L1004" s="50" t="s">
        <v>9541</v>
      </c>
      <c r="M1004" s="17" t="s">
        <v>9542</v>
      </c>
      <c r="N1004" s="51" t="s">
        <v>9543</v>
      </c>
      <c r="O1004" s="29" t="s">
        <v>1460</v>
      </c>
      <c r="P1004" s="29" t="s">
        <v>9544</v>
      </c>
      <c r="Q1004" s="29" t="s">
        <v>1460</v>
      </c>
      <c r="R1004" s="29" t="s">
        <v>5197</v>
      </c>
      <c r="S1004" s="28" t="s">
        <v>1803</v>
      </c>
      <c r="T1004" s="28" t="s">
        <v>3002</v>
      </c>
      <c r="U1004" s="28" t="s">
        <v>1442</v>
      </c>
      <c r="V1004" s="28" t="s">
        <v>1678</v>
      </c>
      <c r="W1004" s="28" t="s">
        <v>9545</v>
      </c>
      <c r="X1004" s="17">
        <v>1</v>
      </c>
      <c r="CJ1004" s="26" t="s">
        <v>1402</v>
      </c>
      <c r="CK1004" s="26" t="s">
        <v>2003</v>
      </c>
      <c r="CL1004" s="26" t="str">
        <f t="shared" si="61"/>
        <v>滋賀県湖南市</v>
      </c>
      <c r="CM1004" s="49">
        <v>999</v>
      </c>
      <c r="CN1004" s="17" t="str">
        <f t="shared" si="60"/>
        <v>1101</v>
      </c>
      <c r="CO1004" s="17" t="str">
        <f t="shared" si="62"/>
        <v>9991101湖南市</v>
      </c>
      <c r="CP1004" s="17" t="s">
        <v>9546</v>
      </c>
      <c r="CQ1004" s="17" t="b">
        <f t="shared" si="63"/>
        <v>1</v>
      </c>
    </row>
    <row r="1005" spans="6:95">
      <c r="F1005" s="23"/>
      <c r="I1005" s="23"/>
      <c r="L1005" s="50" t="s">
        <v>9547</v>
      </c>
      <c r="M1005" s="17" t="s">
        <v>9548</v>
      </c>
      <c r="N1005" s="51" t="s">
        <v>9549</v>
      </c>
      <c r="O1005" s="29" t="s">
        <v>1460</v>
      </c>
      <c r="P1005" s="29" t="s">
        <v>9550</v>
      </c>
      <c r="Q1005" s="29" t="s">
        <v>1460</v>
      </c>
      <c r="R1005" s="29" t="s">
        <v>5760</v>
      </c>
      <c r="S1005" s="28" t="s">
        <v>1862</v>
      </c>
      <c r="T1005" s="28" t="s">
        <v>3035</v>
      </c>
      <c r="U1005" s="28" t="s">
        <v>1442</v>
      </c>
      <c r="V1005" s="28" t="s">
        <v>1678</v>
      </c>
      <c r="W1005" s="28" t="s">
        <v>9551</v>
      </c>
      <c r="X1005" s="17">
        <v>1</v>
      </c>
      <c r="CJ1005" s="26" t="s">
        <v>1402</v>
      </c>
      <c r="CK1005" s="26" t="s">
        <v>2059</v>
      </c>
      <c r="CL1005" s="26" t="str">
        <f t="shared" si="61"/>
        <v>滋賀県高島市</v>
      </c>
      <c r="CM1005" s="49">
        <v>1000</v>
      </c>
      <c r="CN1005" s="17" t="str">
        <f t="shared" si="60"/>
        <v>1102</v>
      </c>
      <c r="CO1005" s="17" t="str">
        <f t="shared" si="62"/>
        <v>10001102高島市</v>
      </c>
      <c r="CP1005" s="17" t="s">
        <v>9552</v>
      </c>
      <c r="CQ1005" s="17" t="b">
        <f t="shared" si="63"/>
        <v>1</v>
      </c>
    </row>
    <row r="1006" spans="6:95">
      <c r="F1006" s="23"/>
      <c r="I1006" s="23"/>
      <c r="L1006" s="50" t="s">
        <v>9553</v>
      </c>
      <c r="M1006" s="17" t="s">
        <v>9554</v>
      </c>
      <c r="N1006" s="51" t="s">
        <v>9555</v>
      </c>
      <c r="O1006" s="29" t="s">
        <v>1460</v>
      </c>
      <c r="P1006" s="29" t="s">
        <v>9556</v>
      </c>
      <c r="Q1006" s="29" t="s">
        <v>1460</v>
      </c>
      <c r="R1006" s="29" t="s">
        <v>5767</v>
      </c>
      <c r="S1006" s="28" t="s">
        <v>1977</v>
      </c>
      <c r="T1006" s="28" t="s">
        <v>3066</v>
      </c>
      <c r="U1006" s="28" t="s">
        <v>1442</v>
      </c>
      <c r="V1006" s="28" t="s">
        <v>1678</v>
      </c>
      <c r="W1006" s="28" t="s">
        <v>9557</v>
      </c>
      <c r="X1006" s="17">
        <v>1</v>
      </c>
      <c r="CJ1006" s="26" t="s">
        <v>1402</v>
      </c>
      <c r="CK1006" s="26" t="s">
        <v>2115</v>
      </c>
      <c r="CL1006" s="26" t="str">
        <f t="shared" si="61"/>
        <v>滋賀県東近江市</v>
      </c>
      <c r="CM1006" s="49">
        <v>1001</v>
      </c>
      <c r="CN1006" s="17" t="str">
        <f t="shared" si="60"/>
        <v>1103</v>
      </c>
      <c r="CO1006" s="17" t="str">
        <f t="shared" si="62"/>
        <v>10011103東近江市</v>
      </c>
      <c r="CP1006" s="17" t="s">
        <v>9558</v>
      </c>
      <c r="CQ1006" s="17" t="b">
        <f t="shared" si="63"/>
        <v>1</v>
      </c>
    </row>
    <row r="1007" spans="6:95">
      <c r="F1007" s="23"/>
      <c r="I1007" s="23"/>
      <c r="L1007" s="50" t="s">
        <v>9559</v>
      </c>
      <c r="M1007" s="17" t="s">
        <v>9560</v>
      </c>
      <c r="N1007" s="51" t="s">
        <v>9561</v>
      </c>
      <c r="O1007" s="29" t="s">
        <v>1460</v>
      </c>
      <c r="P1007" s="29" t="s">
        <v>9562</v>
      </c>
      <c r="Q1007" s="29" t="s">
        <v>1460</v>
      </c>
      <c r="R1007" s="29" t="s">
        <v>4389</v>
      </c>
      <c r="S1007" s="28" t="s">
        <v>1977</v>
      </c>
      <c r="T1007" s="28" t="s">
        <v>3096</v>
      </c>
      <c r="U1007" s="28" t="s">
        <v>1442</v>
      </c>
      <c r="V1007" s="28" t="s">
        <v>1678</v>
      </c>
      <c r="W1007" s="28" t="s">
        <v>9563</v>
      </c>
      <c r="X1007" s="17">
        <v>1</v>
      </c>
      <c r="CJ1007" s="26" t="s">
        <v>1402</v>
      </c>
      <c r="CK1007" s="26" t="s">
        <v>2171</v>
      </c>
      <c r="CL1007" s="26" t="str">
        <f t="shared" si="61"/>
        <v>滋賀県米原市</v>
      </c>
      <c r="CM1007" s="49">
        <v>1002</v>
      </c>
      <c r="CN1007" s="17" t="str">
        <f t="shared" si="60"/>
        <v>1104</v>
      </c>
      <c r="CO1007" s="17" t="str">
        <f t="shared" si="62"/>
        <v>10021104米原市</v>
      </c>
      <c r="CP1007" s="17" t="s">
        <v>9564</v>
      </c>
      <c r="CQ1007" s="17" t="b">
        <f t="shared" si="63"/>
        <v>1</v>
      </c>
    </row>
    <row r="1008" spans="6:95">
      <c r="F1008" s="23"/>
      <c r="I1008" s="23"/>
      <c r="L1008" s="50" t="s">
        <v>9565</v>
      </c>
      <c r="M1008" s="17" t="s">
        <v>9566</v>
      </c>
      <c r="N1008" s="51" t="s">
        <v>9567</v>
      </c>
      <c r="O1008" s="29" t="s">
        <v>1460</v>
      </c>
      <c r="P1008" s="29" t="s">
        <v>9568</v>
      </c>
      <c r="Q1008" s="29" t="s">
        <v>1460</v>
      </c>
      <c r="R1008" s="29" t="s">
        <v>3579</v>
      </c>
      <c r="S1008" s="28" t="s">
        <v>2525</v>
      </c>
      <c r="T1008" s="28" t="s">
        <v>3126</v>
      </c>
      <c r="U1008" s="28" t="s">
        <v>1442</v>
      </c>
      <c r="V1008" s="28" t="s">
        <v>1678</v>
      </c>
      <c r="W1008" s="28" t="s">
        <v>9569</v>
      </c>
      <c r="X1008" s="17">
        <v>1</v>
      </c>
      <c r="CJ1008" s="26" t="s">
        <v>1402</v>
      </c>
      <c r="CK1008" s="26" t="s">
        <v>2226</v>
      </c>
      <c r="CL1008" s="26" t="str">
        <f t="shared" si="61"/>
        <v>滋賀県栗東市</v>
      </c>
      <c r="CM1008" s="49">
        <v>1003</v>
      </c>
      <c r="CN1008" s="17" t="str">
        <f t="shared" si="60"/>
        <v>1105</v>
      </c>
      <c r="CO1008" s="17" t="str">
        <f t="shared" si="62"/>
        <v>10031105栗東市</v>
      </c>
      <c r="CP1008" s="17" t="s">
        <v>9570</v>
      </c>
      <c r="CQ1008" s="17" t="b">
        <f t="shared" si="63"/>
        <v>1</v>
      </c>
    </row>
    <row r="1009" spans="6:95">
      <c r="F1009" s="23"/>
      <c r="I1009" s="23"/>
      <c r="L1009" s="50" t="s">
        <v>9571</v>
      </c>
      <c r="M1009" s="17" t="s">
        <v>9572</v>
      </c>
      <c r="N1009" s="51" t="s">
        <v>9573</v>
      </c>
      <c r="O1009" s="29" t="s">
        <v>1460</v>
      </c>
      <c r="P1009" s="29" t="s">
        <v>9574</v>
      </c>
      <c r="Q1009" s="29" t="s">
        <v>1460</v>
      </c>
      <c r="R1009" s="29" t="s">
        <v>3707</v>
      </c>
      <c r="S1009" s="28" t="s">
        <v>1920</v>
      </c>
      <c r="T1009" s="28" t="s">
        <v>3157</v>
      </c>
      <c r="U1009" s="28" t="s">
        <v>1442</v>
      </c>
      <c r="V1009" s="28" t="s">
        <v>1678</v>
      </c>
      <c r="W1009" s="28" t="s">
        <v>9574</v>
      </c>
      <c r="X1009" s="17">
        <v>1</v>
      </c>
      <c r="CJ1009" s="26" t="s">
        <v>1402</v>
      </c>
      <c r="CK1009" s="26" t="s">
        <v>2281</v>
      </c>
      <c r="CL1009" s="26" t="str">
        <f t="shared" si="61"/>
        <v>滋賀県日野町</v>
      </c>
      <c r="CM1009" s="49">
        <v>1004</v>
      </c>
      <c r="CN1009" s="17" t="str">
        <f t="shared" si="60"/>
        <v>1106</v>
      </c>
      <c r="CO1009" s="17" t="str">
        <f t="shared" si="62"/>
        <v>10041106日野町</v>
      </c>
      <c r="CP1009" s="17" t="s">
        <v>9575</v>
      </c>
      <c r="CQ1009" s="17" t="b">
        <f t="shared" si="63"/>
        <v>1</v>
      </c>
    </row>
    <row r="1010" spans="6:95">
      <c r="F1010" s="23"/>
      <c r="I1010" s="23"/>
      <c r="L1010" s="50" t="s">
        <v>9576</v>
      </c>
      <c r="M1010" s="17" t="s">
        <v>9577</v>
      </c>
      <c r="N1010" s="51" t="s">
        <v>9578</v>
      </c>
      <c r="O1010" s="29" t="s">
        <v>1461</v>
      </c>
      <c r="P1010" s="29" t="s">
        <v>9579</v>
      </c>
      <c r="Q1010" s="29" t="s">
        <v>1461</v>
      </c>
      <c r="R1010" s="29" t="s">
        <v>1501</v>
      </c>
      <c r="S1010" s="28" t="s">
        <v>1564</v>
      </c>
      <c r="T1010" s="28" t="s">
        <v>1526</v>
      </c>
      <c r="U1010" s="28" t="s">
        <v>1442</v>
      </c>
      <c r="V1010" s="28" t="s">
        <v>1678</v>
      </c>
      <c r="W1010" s="28" t="s">
        <v>9580</v>
      </c>
      <c r="X1010" s="17">
        <v>1</v>
      </c>
      <c r="CJ1010" s="26" t="s">
        <v>1402</v>
      </c>
      <c r="CK1010" s="26" t="s">
        <v>2337</v>
      </c>
      <c r="CL1010" s="26" t="str">
        <f t="shared" si="61"/>
        <v>滋賀県竜王町</v>
      </c>
      <c r="CM1010" s="49">
        <v>1005</v>
      </c>
      <c r="CN1010" s="17" t="str">
        <f t="shared" si="60"/>
        <v>1107</v>
      </c>
      <c r="CO1010" s="17" t="str">
        <f t="shared" si="62"/>
        <v>10051107竜王町</v>
      </c>
      <c r="CP1010" s="17" t="s">
        <v>9581</v>
      </c>
      <c r="CQ1010" s="17" t="b">
        <f t="shared" si="63"/>
        <v>1</v>
      </c>
    </row>
    <row r="1011" spans="6:95">
      <c r="F1011" s="23"/>
      <c r="I1011" s="23"/>
      <c r="L1011" s="50" t="s">
        <v>9582</v>
      </c>
      <c r="M1011" s="17" t="s">
        <v>9583</v>
      </c>
      <c r="N1011" s="51" t="s">
        <v>9584</v>
      </c>
      <c r="O1011" s="29" t="s">
        <v>1461</v>
      </c>
      <c r="P1011" s="29" t="s">
        <v>9585</v>
      </c>
      <c r="Q1011" s="29" t="s">
        <v>1461</v>
      </c>
      <c r="R1011" s="29" t="s">
        <v>1563</v>
      </c>
      <c r="S1011" s="28" t="s">
        <v>2525</v>
      </c>
      <c r="T1011" s="28" t="s">
        <v>1588</v>
      </c>
      <c r="U1011" s="28" t="s">
        <v>1442</v>
      </c>
      <c r="V1011" s="28" t="s">
        <v>1678</v>
      </c>
      <c r="W1011" s="28" t="s">
        <v>9585</v>
      </c>
      <c r="X1011" s="17">
        <v>1</v>
      </c>
      <c r="CJ1011" s="26" t="s">
        <v>1402</v>
      </c>
      <c r="CK1011" s="26" t="s">
        <v>2391</v>
      </c>
      <c r="CL1011" s="26" t="str">
        <f t="shared" si="61"/>
        <v>滋賀県愛荘町</v>
      </c>
      <c r="CM1011" s="49">
        <v>1006</v>
      </c>
      <c r="CN1011" s="17" t="str">
        <f t="shared" si="60"/>
        <v>1108</v>
      </c>
      <c r="CO1011" s="17" t="str">
        <f t="shared" si="62"/>
        <v>10061108愛荘町</v>
      </c>
      <c r="CP1011" s="17" t="s">
        <v>9586</v>
      </c>
      <c r="CQ1011" s="17" t="b">
        <f t="shared" si="63"/>
        <v>1</v>
      </c>
    </row>
    <row r="1012" spans="6:95">
      <c r="F1012" s="23"/>
      <c r="I1012" s="23"/>
      <c r="L1012" s="50" t="s">
        <v>9587</v>
      </c>
      <c r="M1012" s="17" t="s">
        <v>9588</v>
      </c>
      <c r="N1012" s="51" t="s">
        <v>9589</v>
      </c>
      <c r="O1012" s="29" t="s">
        <v>1461</v>
      </c>
      <c r="P1012" s="29" t="s">
        <v>9590</v>
      </c>
      <c r="Q1012" s="29" t="s">
        <v>1461</v>
      </c>
      <c r="R1012" s="29" t="s">
        <v>1625</v>
      </c>
      <c r="S1012" s="28" t="s">
        <v>2311</v>
      </c>
      <c r="T1012" s="28" t="s">
        <v>1650</v>
      </c>
      <c r="U1012" s="28" t="s">
        <v>1442</v>
      </c>
      <c r="V1012" s="28" t="s">
        <v>1678</v>
      </c>
      <c r="W1012" s="28" t="s">
        <v>9590</v>
      </c>
      <c r="X1012" s="17">
        <v>1</v>
      </c>
      <c r="CJ1012" s="26" t="s">
        <v>1402</v>
      </c>
      <c r="CK1012" s="26" t="s">
        <v>2446</v>
      </c>
      <c r="CL1012" s="26" t="str">
        <f t="shared" si="61"/>
        <v>滋賀県豊郷町</v>
      </c>
      <c r="CM1012" s="49">
        <v>1007</v>
      </c>
      <c r="CN1012" s="17" t="str">
        <f t="shared" si="60"/>
        <v>1109</v>
      </c>
      <c r="CO1012" s="17" t="str">
        <f t="shared" si="62"/>
        <v>10071109豊郷町</v>
      </c>
      <c r="CP1012" s="17" t="s">
        <v>9591</v>
      </c>
      <c r="CQ1012" s="17" t="b">
        <f t="shared" si="63"/>
        <v>1</v>
      </c>
    </row>
    <row r="1013" spans="6:95">
      <c r="F1013" s="23"/>
      <c r="I1013" s="23"/>
      <c r="L1013" s="50" t="s">
        <v>9592</v>
      </c>
      <c r="M1013" s="17" t="s">
        <v>9593</v>
      </c>
      <c r="N1013" s="51" t="s">
        <v>9594</v>
      </c>
      <c r="O1013" s="29" t="s">
        <v>1461</v>
      </c>
      <c r="P1013" s="29" t="s">
        <v>9595</v>
      </c>
      <c r="Q1013" s="29" t="s">
        <v>1461</v>
      </c>
      <c r="R1013" s="29" t="s">
        <v>1684</v>
      </c>
      <c r="S1013" s="28" t="s">
        <v>1564</v>
      </c>
      <c r="T1013" s="28" t="s">
        <v>1708</v>
      </c>
      <c r="U1013" s="28" t="s">
        <v>1442</v>
      </c>
      <c r="V1013" s="28" t="s">
        <v>1678</v>
      </c>
      <c r="W1013" s="28" t="s">
        <v>9595</v>
      </c>
      <c r="X1013" s="17">
        <v>1</v>
      </c>
      <c r="CJ1013" s="26" t="s">
        <v>1402</v>
      </c>
      <c r="CK1013" s="26" t="s">
        <v>2497</v>
      </c>
      <c r="CL1013" s="26" t="str">
        <f t="shared" si="61"/>
        <v>滋賀県甲良町</v>
      </c>
      <c r="CM1013" s="49">
        <v>1008</v>
      </c>
      <c r="CN1013" s="17" t="str">
        <f t="shared" si="60"/>
        <v>1110</v>
      </c>
      <c r="CO1013" s="17" t="str">
        <f t="shared" si="62"/>
        <v>10081110甲良町</v>
      </c>
      <c r="CP1013" s="17" t="s">
        <v>9596</v>
      </c>
      <c r="CQ1013" s="17" t="b">
        <f t="shared" si="63"/>
        <v>1</v>
      </c>
    </row>
    <row r="1014" spans="6:95">
      <c r="F1014" s="23"/>
      <c r="I1014" s="23"/>
      <c r="L1014" s="50" t="s">
        <v>9597</v>
      </c>
      <c r="M1014" s="17" t="s">
        <v>9598</v>
      </c>
      <c r="N1014" s="51" t="s">
        <v>9599</v>
      </c>
      <c r="O1014" s="29" t="s">
        <v>1461</v>
      </c>
      <c r="P1014" s="29" t="s">
        <v>9600</v>
      </c>
      <c r="Q1014" s="29" t="s">
        <v>1461</v>
      </c>
      <c r="R1014" s="29" t="s">
        <v>1742</v>
      </c>
      <c r="S1014" s="28" t="s">
        <v>1920</v>
      </c>
      <c r="T1014" s="28" t="s">
        <v>1767</v>
      </c>
      <c r="U1014" s="28" t="s">
        <v>1442</v>
      </c>
      <c r="V1014" s="28" t="s">
        <v>1678</v>
      </c>
      <c r="W1014" s="28" t="s">
        <v>9601</v>
      </c>
      <c r="X1014" s="17">
        <v>1</v>
      </c>
      <c r="CJ1014" s="26" t="s">
        <v>1402</v>
      </c>
      <c r="CK1014" s="26" t="s">
        <v>2549</v>
      </c>
      <c r="CL1014" s="26" t="str">
        <f t="shared" si="61"/>
        <v>滋賀県多賀町</v>
      </c>
      <c r="CM1014" s="49">
        <v>1009</v>
      </c>
      <c r="CN1014" s="17" t="str">
        <f t="shared" si="60"/>
        <v>1111</v>
      </c>
      <c r="CO1014" s="17" t="str">
        <f t="shared" si="62"/>
        <v>10091111多賀町</v>
      </c>
      <c r="CP1014" s="17" t="s">
        <v>9602</v>
      </c>
      <c r="CQ1014" s="17" t="b">
        <f t="shared" si="63"/>
        <v>1</v>
      </c>
    </row>
    <row r="1015" spans="6:95">
      <c r="F1015" s="23"/>
      <c r="I1015" s="23"/>
      <c r="L1015" s="50" t="s">
        <v>9603</v>
      </c>
      <c r="M1015" s="17" t="s">
        <v>9604</v>
      </c>
      <c r="N1015" s="51" t="s">
        <v>9605</v>
      </c>
      <c r="O1015" s="29" t="s">
        <v>1461</v>
      </c>
      <c r="P1015" s="29" t="s">
        <v>9606</v>
      </c>
      <c r="Q1015" s="29" t="s">
        <v>1461</v>
      </c>
      <c r="R1015" s="29" t="s">
        <v>1802</v>
      </c>
      <c r="S1015" s="28" t="s">
        <v>1977</v>
      </c>
      <c r="T1015" s="28" t="s">
        <v>1827</v>
      </c>
      <c r="U1015" s="28" t="s">
        <v>1442</v>
      </c>
      <c r="V1015" s="28" t="s">
        <v>1678</v>
      </c>
      <c r="W1015" s="28" t="s">
        <v>9607</v>
      </c>
      <c r="X1015" s="17">
        <v>1</v>
      </c>
      <c r="CJ1015" s="26" t="s">
        <v>1403</v>
      </c>
      <c r="CK1015" s="26" t="s">
        <v>1529</v>
      </c>
      <c r="CL1015" s="26" t="str">
        <f t="shared" si="61"/>
        <v>京都府京都市</v>
      </c>
      <c r="CM1015" s="49">
        <v>1010</v>
      </c>
      <c r="CN1015" s="17" t="str">
        <f t="shared" si="60"/>
        <v>1112</v>
      </c>
      <c r="CO1015" s="17" t="str">
        <f t="shared" si="62"/>
        <v>10101112京都市</v>
      </c>
      <c r="CP1015" s="17" t="s">
        <v>9608</v>
      </c>
      <c r="CQ1015" s="17" t="b">
        <f t="shared" si="63"/>
        <v>1</v>
      </c>
    </row>
    <row r="1016" spans="6:95">
      <c r="F1016" s="23"/>
      <c r="I1016" s="23"/>
      <c r="L1016" s="50" t="s">
        <v>9609</v>
      </c>
      <c r="M1016" s="17" t="s">
        <v>9610</v>
      </c>
      <c r="N1016" s="51" t="s">
        <v>9611</v>
      </c>
      <c r="O1016" s="29" t="s">
        <v>1461</v>
      </c>
      <c r="P1016" s="29" t="s">
        <v>9612</v>
      </c>
      <c r="Q1016" s="29" t="s">
        <v>1461</v>
      </c>
      <c r="R1016" s="29" t="s">
        <v>1919</v>
      </c>
      <c r="S1016" s="28" t="s">
        <v>1803</v>
      </c>
      <c r="T1016" s="28" t="s">
        <v>1886</v>
      </c>
      <c r="U1016" s="28" t="s">
        <v>1442</v>
      </c>
      <c r="V1016" s="28" t="s">
        <v>1678</v>
      </c>
      <c r="W1016" s="28" t="s">
        <v>9613</v>
      </c>
      <c r="X1016" s="17">
        <v>1</v>
      </c>
      <c r="CJ1016" s="26" t="s">
        <v>1403</v>
      </c>
      <c r="CK1016" s="26" t="s">
        <v>1591</v>
      </c>
      <c r="CL1016" s="26" t="str">
        <f t="shared" si="61"/>
        <v>京都府福知山市</v>
      </c>
      <c r="CM1016" s="49">
        <v>1011</v>
      </c>
      <c r="CN1016" s="17" t="str">
        <f t="shared" si="60"/>
        <v>1113</v>
      </c>
      <c r="CO1016" s="17" t="str">
        <f t="shared" si="62"/>
        <v>10111113福知山市</v>
      </c>
      <c r="CP1016" s="17" t="s">
        <v>9614</v>
      </c>
      <c r="CQ1016" s="17" t="b">
        <f t="shared" si="63"/>
        <v>1</v>
      </c>
    </row>
    <row r="1017" spans="6:95">
      <c r="F1017" s="23"/>
      <c r="I1017" s="23"/>
      <c r="L1017" s="50" t="s">
        <v>9615</v>
      </c>
      <c r="M1017" s="17" t="s">
        <v>9616</v>
      </c>
      <c r="N1017" s="51" t="s">
        <v>9617</v>
      </c>
      <c r="O1017" s="29" t="s">
        <v>1461</v>
      </c>
      <c r="P1017" s="29" t="s">
        <v>9618</v>
      </c>
      <c r="Q1017" s="29" t="s">
        <v>1461</v>
      </c>
      <c r="R1017" s="29" t="s">
        <v>1976</v>
      </c>
      <c r="S1017" s="28" t="s">
        <v>1862</v>
      </c>
      <c r="T1017" s="28" t="s">
        <v>1944</v>
      </c>
      <c r="U1017" s="28" t="s">
        <v>1442</v>
      </c>
      <c r="V1017" s="28" t="s">
        <v>1678</v>
      </c>
      <c r="W1017" s="28" t="s">
        <v>9619</v>
      </c>
      <c r="X1017" s="17">
        <v>1</v>
      </c>
      <c r="CJ1017" s="26" t="s">
        <v>1403</v>
      </c>
      <c r="CK1017" s="26" t="s">
        <v>1653</v>
      </c>
      <c r="CL1017" s="26" t="str">
        <f t="shared" si="61"/>
        <v>京都府舞鶴市</v>
      </c>
      <c r="CM1017" s="49">
        <v>1012</v>
      </c>
      <c r="CN1017" s="17" t="str">
        <f t="shared" si="60"/>
        <v>1114</v>
      </c>
      <c r="CO1017" s="17" t="str">
        <f t="shared" si="62"/>
        <v>10121114舞鶴市</v>
      </c>
      <c r="CP1017" s="17" t="s">
        <v>9620</v>
      </c>
      <c r="CQ1017" s="17" t="b">
        <f t="shared" si="63"/>
        <v>1</v>
      </c>
    </row>
    <row r="1018" spans="6:95">
      <c r="F1018" s="23"/>
      <c r="I1018" s="23"/>
      <c r="L1018" s="50" t="s">
        <v>9621</v>
      </c>
      <c r="M1018" s="17" t="s">
        <v>9622</v>
      </c>
      <c r="N1018" s="51" t="s">
        <v>9623</v>
      </c>
      <c r="O1018" s="29" t="s">
        <v>1461</v>
      </c>
      <c r="P1018" s="29" t="s">
        <v>9624</v>
      </c>
      <c r="Q1018" s="29" t="s">
        <v>1461</v>
      </c>
      <c r="R1018" s="29" t="s">
        <v>2033</v>
      </c>
      <c r="S1018" s="28" t="s">
        <v>1920</v>
      </c>
      <c r="T1018" s="28" t="s">
        <v>2001</v>
      </c>
      <c r="U1018" s="28" t="s">
        <v>1442</v>
      </c>
      <c r="V1018" s="28" t="s">
        <v>1678</v>
      </c>
      <c r="W1018" s="28" t="s">
        <v>9625</v>
      </c>
      <c r="X1018" s="17">
        <v>1</v>
      </c>
      <c r="CJ1018" s="26" t="s">
        <v>1403</v>
      </c>
      <c r="CK1018" s="26" t="s">
        <v>1711</v>
      </c>
      <c r="CL1018" s="26" t="str">
        <f t="shared" si="61"/>
        <v>京都府綾部市</v>
      </c>
      <c r="CM1018" s="49">
        <v>1013</v>
      </c>
      <c r="CN1018" s="17" t="str">
        <f t="shared" si="60"/>
        <v>1115</v>
      </c>
      <c r="CO1018" s="17" t="str">
        <f t="shared" si="62"/>
        <v>10131115綾部市</v>
      </c>
      <c r="CP1018" s="17" t="s">
        <v>9626</v>
      </c>
      <c r="CQ1018" s="17" t="b">
        <f t="shared" si="63"/>
        <v>1</v>
      </c>
    </row>
    <row r="1019" spans="6:95">
      <c r="F1019" s="23"/>
      <c r="I1019" s="23"/>
      <c r="L1019" s="50" t="s">
        <v>9627</v>
      </c>
      <c r="M1019" s="17" t="s">
        <v>9628</v>
      </c>
      <c r="N1019" s="51" t="s">
        <v>9629</v>
      </c>
      <c r="O1019" s="29" t="s">
        <v>1461</v>
      </c>
      <c r="P1019" s="29" t="s">
        <v>9630</v>
      </c>
      <c r="Q1019" s="29" t="s">
        <v>1461</v>
      </c>
      <c r="R1019" s="29" t="s">
        <v>2089</v>
      </c>
      <c r="S1019" s="28" t="s">
        <v>1977</v>
      </c>
      <c r="T1019" s="28" t="s">
        <v>2057</v>
      </c>
      <c r="U1019" s="28" t="s">
        <v>1442</v>
      </c>
      <c r="V1019" s="28" t="s">
        <v>1678</v>
      </c>
      <c r="W1019" s="28" t="s">
        <v>9631</v>
      </c>
      <c r="X1019" s="17">
        <v>1</v>
      </c>
      <c r="CJ1019" s="26" t="s">
        <v>1403</v>
      </c>
      <c r="CK1019" s="26" t="s">
        <v>1770</v>
      </c>
      <c r="CL1019" s="26" t="str">
        <f t="shared" si="61"/>
        <v>京都府宇治市</v>
      </c>
      <c r="CM1019" s="49">
        <v>1014</v>
      </c>
      <c r="CN1019" s="17" t="str">
        <f t="shared" si="60"/>
        <v>1116</v>
      </c>
      <c r="CO1019" s="17" t="str">
        <f t="shared" si="62"/>
        <v>10141116宇治市</v>
      </c>
      <c r="CP1019" s="17" t="s">
        <v>9632</v>
      </c>
      <c r="CQ1019" s="17" t="b">
        <f t="shared" si="63"/>
        <v>1</v>
      </c>
    </row>
    <row r="1020" spans="6:95">
      <c r="F1020" s="23"/>
      <c r="I1020" s="23"/>
      <c r="L1020" s="50" t="s">
        <v>9633</v>
      </c>
      <c r="M1020" s="17" t="s">
        <v>9634</v>
      </c>
      <c r="N1020" s="51" t="s">
        <v>9635</v>
      </c>
      <c r="O1020" s="29" t="s">
        <v>1461</v>
      </c>
      <c r="P1020" s="29" t="s">
        <v>9636</v>
      </c>
      <c r="Q1020" s="29" t="s">
        <v>1461</v>
      </c>
      <c r="R1020" s="29" t="s">
        <v>2145</v>
      </c>
      <c r="S1020" s="28" t="s">
        <v>1743</v>
      </c>
      <c r="T1020" s="28" t="s">
        <v>2113</v>
      </c>
      <c r="U1020" s="28" t="s">
        <v>1442</v>
      </c>
      <c r="V1020" s="28" t="s">
        <v>1678</v>
      </c>
      <c r="W1020" s="28" t="s">
        <v>9637</v>
      </c>
      <c r="X1020" s="17">
        <v>1</v>
      </c>
      <c r="CJ1020" s="26" t="s">
        <v>1403</v>
      </c>
      <c r="CK1020" s="26" t="s">
        <v>1830</v>
      </c>
      <c r="CL1020" s="26" t="str">
        <f t="shared" si="61"/>
        <v>京都府宮津市</v>
      </c>
      <c r="CM1020" s="49">
        <v>1015</v>
      </c>
      <c r="CN1020" s="17" t="str">
        <f t="shared" si="60"/>
        <v>1117</v>
      </c>
      <c r="CO1020" s="17" t="str">
        <f t="shared" si="62"/>
        <v>10151117宮津市</v>
      </c>
      <c r="CP1020" s="17" t="s">
        <v>9638</v>
      </c>
      <c r="CQ1020" s="17" t="b">
        <f t="shared" si="63"/>
        <v>1</v>
      </c>
    </row>
    <row r="1021" spans="6:95">
      <c r="F1021" s="23"/>
      <c r="I1021" s="23"/>
      <c r="L1021" s="50" t="s">
        <v>9639</v>
      </c>
      <c r="M1021" s="17" t="s">
        <v>9640</v>
      </c>
      <c r="N1021" s="51" t="s">
        <v>9641</v>
      </c>
      <c r="O1021" s="29" t="s">
        <v>1461</v>
      </c>
      <c r="P1021" s="29" t="s">
        <v>9642</v>
      </c>
      <c r="Q1021" s="29" t="s">
        <v>1461</v>
      </c>
      <c r="R1021" s="29" t="s">
        <v>2200</v>
      </c>
      <c r="S1021" s="28" t="s">
        <v>1803</v>
      </c>
      <c r="T1021" s="28" t="s">
        <v>2169</v>
      </c>
      <c r="U1021" s="28" t="s">
        <v>1442</v>
      </c>
      <c r="V1021" s="28" t="s">
        <v>1678</v>
      </c>
      <c r="W1021" s="28" t="s">
        <v>9643</v>
      </c>
      <c r="X1021" s="17">
        <v>1</v>
      </c>
      <c r="CJ1021" s="26" t="s">
        <v>1403</v>
      </c>
      <c r="CK1021" s="26" t="s">
        <v>1889</v>
      </c>
      <c r="CL1021" s="26" t="str">
        <f t="shared" si="61"/>
        <v>京都府亀岡市</v>
      </c>
      <c r="CM1021" s="49">
        <v>1016</v>
      </c>
      <c r="CN1021" s="17" t="str">
        <f t="shared" si="60"/>
        <v>1118</v>
      </c>
      <c r="CO1021" s="17" t="str">
        <f t="shared" si="62"/>
        <v>10161118亀岡市</v>
      </c>
      <c r="CP1021" s="17" t="s">
        <v>9644</v>
      </c>
      <c r="CQ1021" s="17" t="b">
        <f t="shared" si="63"/>
        <v>1</v>
      </c>
    </row>
    <row r="1022" spans="6:95">
      <c r="F1022" s="23"/>
      <c r="I1022" s="23"/>
      <c r="L1022" s="50" t="s">
        <v>9645</v>
      </c>
      <c r="M1022" s="17" t="s">
        <v>9646</v>
      </c>
      <c r="N1022" s="51" t="s">
        <v>9647</v>
      </c>
      <c r="O1022" s="29" t="s">
        <v>1461</v>
      </c>
      <c r="P1022" s="29" t="s">
        <v>9648</v>
      </c>
      <c r="Q1022" s="29" t="s">
        <v>1461</v>
      </c>
      <c r="R1022" s="29" t="s">
        <v>2310</v>
      </c>
      <c r="S1022" s="28" t="s">
        <v>1502</v>
      </c>
      <c r="T1022" s="28" t="s">
        <v>2224</v>
      </c>
      <c r="U1022" s="28" t="s">
        <v>1442</v>
      </c>
      <c r="V1022" s="28" t="s">
        <v>1678</v>
      </c>
      <c r="W1022" s="28" t="s">
        <v>9648</v>
      </c>
      <c r="X1022" s="17">
        <v>1</v>
      </c>
      <c r="CJ1022" s="26" t="s">
        <v>1403</v>
      </c>
      <c r="CK1022" s="26" t="s">
        <v>1947</v>
      </c>
      <c r="CL1022" s="26" t="str">
        <f t="shared" si="61"/>
        <v>京都府城陽市</v>
      </c>
      <c r="CM1022" s="49">
        <v>1017</v>
      </c>
      <c r="CN1022" s="17" t="str">
        <f t="shared" si="60"/>
        <v>1119</v>
      </c>
      <c r="CO1022" s="17" t="str">
        <f t="shared" si="62"/>
        <v>10171119城陽市</v>
      </c>
      <c r="CP1022" s="17" t="s">
        <v>9649</v>
      </c>
      <c r="CQ1022" s="17" t="b">
        <f t="shared" si="63"/>
        <v>1</v>
      </c>
    </row>
    <row r="1023" spans="6:95">
      <c r="F1023" s="23"/>
      <c r="I1023" s="23"/>
      <c r="L1023" s="50" t="s">
        <v>9650</v>
      </c>
      <c r="M1023" s="17" t="s">
        <v>9651</v>
      </c>
      <c r="N1023" s="51" t="s">
        <v>9652</v>
      </c>
      <c r="O1023" s="29" t="s">
        <v>1461</v>
      </c>
      <c r="P1023" s="29" t="s">
        <v>9653</v>
      </c>
      <c r="Q1023" s="29" t="s">
        <v>1461</v>
      </c>
      <c r="R1023" s="29" t="s">
        <v>2365</v>
      </c>
      <c r="S1023" s="28" t="s">
        <v>2525</v>
      </c>
      <c r="T1023" s="28" t="s">
        <v>2279</v>
      </c>
      <c r="U1023" s="28" t="s">
        <v>1442</v>
      </c>
      <c r="V1023" s="28" t="s">
        <v>1678</v>
      </c>
      <c r="W1023" s="28" t="s">
        <v>9653</v>
      </c>
      <c r="X1023" s="17">
        <v>1</v>
      </c>
      <c r="CJ1023" s="26" t="s">
        <v>1403</v>
      </c>
      <c r="CK1023" s="26" t="s">
        <v>2004</v>
      </c>
      <c r="CL1023" s="26" t="str">
        <f t="shared" si="61"/>
        <v>京都府向日市</v>
      </c>
      <c r="CM1023" s="49">
        <v>1018</v>
      </c>
      <c r="CN1023" s="17" t="str">
        <f t="shared" si="60"/>
        <v>1120</v>
      </c>
      <c r="CO1023" s="17" t="str">
        <f t="shared" si="62"/>
        <v>10181120向日市</v>
      </c>
      <c r="CP1023" s="17" t="s">
        <v>9654</v>
      </c>
      <c r="CQ1023" s="17" t="b">
        <f t="shared" si="63"/>
        <v>1</v>
      </c>
    </row>
    <row r="1024" spans="6:95">
      <c r="F1024" s="23"/>
      <c r="I1024" s="23"/>
      <c r="L1024" s="50" t="s">
        <v>9655</v>
      </c>
      <c r="M1024" s="17" t="s">
        <v>9656</v>
      </c>
      <c r="N1024" s="51" t="s">
        <v>9657</v>
      </c>
      <c r="O1024" s="29" t="s">
        <v>1461</v>
      </c>
      <c r="P1024" s="29" t="s">
        <v>9658</v>
      </c>
      <c r="Q1024" s="29" t="s">
        <v>1461</v>
      </c>
      <c r="R1024" s="29" t="s">
        <v>2420</v>
      </c>
      <c r="S1024" s="28" t="s">
        <v>2311</v>
      </c>
      <c r="T1024" s="28" t="s">
        <v>2335</v>
      </c>
      <c r="U1024" s="28" t="s">
        <v>1442</v>
      </c>
      <c r="V1024" s="28" t="s">
        <v>1678</v>
      </c>
      <c r="W1024" s="28" t="s">
        <v>9658</v>
      </c>
      <c r="X1024" s="17">
        <v>1</v>
      </c>
      <c r="CJ1024" s="26" t="s">
        <v>1403</v>
      </c>
      <c r="CK1024" s="26" t="s">
        <v>2060</v>
      </c>
      <c r="CL1024" s="26" t="str">
        <f t="shared" si="61"/>
        <v>京都府長岡京市</v>
      </c>
      <c r="CM1024" s="49">
        <v>1019</v>
      </c>
      <c r="CN1024" s="17" t="str">
        <f t="shared" si="60"/>
        <v>1121</v>
      </c>
      <c r="CO1024" s="17" t="str">
        <f t="shared" si="62"/>
        <v>10191121長岡京市</v>
      </c>
      <c r="CP1024" s="17" t="s">
        <v>9659</v>
      </c>
      <c r="CQ1024" s="17" t="b">
        <f t="shared" si="63"/>
        <v>1</v>
      </c>
    </row>
    <row r="1025" spans="6:95">
      <c r="F1025" s="23"/>
      <c r="I1025" s="23"/>
      <c r="L1025" s="50" t="s">
        <v>9660</v>
      </c>
      <c r="M1025" s="17" t="s">
        <v>9661</v>
      </c>
      <c r="N1025" s="51" t="s">
        <v>9662</v>
      </c>
      <c r="O1025" s="29" t="s">
        <v>1461</v>
      </c>
      <c r="P1025" s="29" t="s">
        <v>9663</v>
      </c>
      <c r="Q1025" s="29" t="s">
        <v>1461</v>
      </c>
      <c r="R1025" s="29" t="s">
        <v>2524</v>
      </c>
      <c r="S1025" s="28" t="s">
        <v>1626</v>
      </c>
      <c r="T1025" s="28" t="s">
        <v>2389</v>
      </c>
      <c r="U1025" s="28" t="s">
        <v>1442</v>
      </c>
      <c r="V1025" s="28" t="s">
        <v>1678</v>
      </c>
      <c r="W1025" s="28" t="s">
        <v>9664</v>
      </c>
      <c r="X1025" s="17">
        <v>1</v>
      </c>
      <c r="CJ1025" s="26" t="s">
        <v>1403</v>
      </c>
      <c r="CK1025" s="26" t="s">
        <v>2116</v>
      </c>
      <c r="CL1025" s="26" t="str">
        <f t="shared" si="61"/>
        <v>京都府八幡市</v>
      </c>
      <c r="CM1025" s="49">
        <v>1020</v>
      </c>
      <c r="CN1025" s="17" t="str">
        <f t="shared" si="60"/>
        <v>1122</v>
      </c>
      <c r="CO1025" s="17" t="str">
        <f t="shared" si="62"/>
        <v>10201122八幡市</v>
      </c>
      <c r="CP1025" s="17" t="s">
        <v>9665</v>
      </c>
      <c r="CQ1025" s="17" t="b">
        <f t="shared" si="63"/>
        <v>1</v>
      </c>
    </row>
    <row r="1026" spans="6:95">
      <c r="F1026" s="23"/>
      <c r="I1026" s="23"/>
      <c r="L1026" s="50" t="s">
        <v>9666</v>
      </c>
      <c r="M1026" s="17" t="s">
        <v>9667</v>
      </c>
      <c r="N1026" s="51" t="s">
        <v>9668</v>
      </c>
      <c r="O1026" s="29" t="s">
        <v>1461</v>
      </c>
      <c r="P1026" s="29" t="s">
        <v>9669</v>
      </c>
      <c r="Q1026" s="29" t="s">
        <v>1461</v>
      </c>
      <c r="R1026" s="29" t="s">
        <v>2576</v>
      </c>
      <c r="S1026" s="28" t="s">
        <v>1502</v>
      </c>
      <c r="T1026" s="28" t="s">
        <v>2444</v>
      </c>
      <c r="U1026" s="28" t="s">
        <v>1442</v>
      </c>
      <c r="V1026" s="28" t="s">
        <v>1678</v>
      </c>
      <c r="W1026" s="28" t="s">
        <v>9670</v>
      </c>
      <c r="X1026" s="17">
        <v>1</v>
      </c>
      <c r="CJ1026" s="26" t="s">
        <v>1403</v>
      </c>
      <c r="CK1026" s="26" t="s">
        <v>2172</v>
      </c>
      <c r="CL1026" s="26" t="str">
        <f t="shared" si="61"/>
        <v>京都府京田辺市</v>
      </c>
      <c r="CM1026" s="49">
        <v>1021</v>
      </c>
      <c r="CN1026" s="17" t="str">
        <f t="shared" si="60"/>
        <v>1123</v>
      </c>
      <c r="CO1026" s="17" t="str">
        <f t="shared" si="62"/>
        <v>10211123京田辺市</v>
      </c>
      <c r="CP1026" s="17" t="s">
        <v>9671</v>
      </c>
      <c r="CQ1026" s="17" t="b">
        <f t="shared" si="63"/>
        <v>1</v>
      </c>
    </row>
    <row r="1027" spans="6:95">
      <c r="F1027" s="23"/>
      <c r="I1027" s="23"/>
      <c r="L1027" s="50" t="s">
        <v>9672</v>
      </c>
      <c r="M1027" s="17" t="s">
        <v>9673</v>
      </c>
      <c r="N1027" s="51" t="s">
        <v>9674</v>
      </c>
      <c r="O1027" s="29" t="s">
        <v>1461</v>
      </c>
      <c r="P1027" s="29" t="s">
        <v>9675</v>
      </c>
      <c r="Q1027" s="29" t="s">
        <v>1461</v>
      </c>
      <c r="R1027" s="29" t="s">
        <v>2800</v>
      </c>
      <c r="S1027" s="28" t="s">
        <v>1977</v>
      </c>
      <c r="T1027" s="28" t="s">
        <v>2495</v>
      </c>
      <c r="U1027" s="28" t="s">
        <v>1442</v>
      </c>
      <c r="V1027" s="28" t="s">
        <v>1678</v>
      </c>
      <c r="W1027" s="28" t="s">
        <v>9676</v>
      </c>
      <c r="X1027" s="17">
        <v>1</v>
      </c>
      <c r="CJ1027" s="26" t="s">
        <v>1403</v>
      </c>
      <c r="CK1027" s="26" t="s">
        <v>2227</v>
      </c>
      <c r="CL1027" s="26" t="str">
        <f t="shared" si="61"/>
        <v>京都府京丹後市</v>
      </c>
      <c r="CM1027" s="49">
        <v>1022</v>
      </c>
      <c r="CN1027" s="17" t="str">
        <f t="shared" si="60"/>
        <v>1124</v>
      </c>
      <c r="CO1027" s="17" t="str">
        <f t="shared" si="62"/>
        <v>10221124京丹後市</v>
      </c>
      <c r="CP1027" s="17" t="s">
        <v>9677</v>
      </c>
      <c r="CQ1027" s="17" t="b">
        <f t="shared" si="63"/>
        <v>1</v>
      </c>
    </row>
    <row r="1028" spans="6:95">
      <c r="F1028" s="23"/>
      <c r="I1028" s="23"/>
      <c r="L1028" s="50" t="s">
        <v>9678</v>
      </c>
      <c r="M1028" s="17" t="s">
        <v>9679</v>
      </c>
      <c r="N1028" s="51" t="s">
        <v>9680</v>
      </c>
      <c r="O1028" s="29" t="s">
        <v>1461</v>
      </c>
      <c r="P1028" s="29" t="s">
        <v>9681</v>
      </c>
      <c r="Q1028" s="29" t="s">
        <v>1461</v>
      </c>
      <c r="R1028" s="29" t="s">
        <v>2842</v>
      </c>
      <c r="S1028" s="28" t="s">
        <v>1743</v>
      </c>
      <c r="T1028" s="28" t="s">
        <v>2547</v>
      </c>
      <c r="U1028" s="28" t="s">
        <v>1442</v>
      </c>
      <c r="V1028" s="28" t="s">
        <v>1678</v>
      </c>
      <c r="W1028" s="28" t="s">
        <v>9682</v>
      </c>
      <c r="X1028" s="17">
        <v>1</v>
      </c>
      <c r="CJ1028" s="26" t="s">
        <v>1403</v>
      </c>
      <c r="CK1028" s="26" t="s">
        <v>2282</v>
      </c>
      <c r="CL1028" s="26" t="str">
        <f t="shared" si="61"/>
        <v>京都府南丹市</v>
      </c>
      <c r="CM1028" s="49">
        <v>1023</v>
      </c>
      <c r="CN1028" s="17" t="str">
        <f t="shared" si="60"/>
        <v>1125</v>
      </c>
      <c r="CO1028" s="17" t="str">
        <f t="shared" si="62"/>
        <v>10231125南丹市</v>
      </c>
      <c r="CP1028" s="17" t="s">
        <v>9683</v>
      </c>
      <c r="CQ1028" s="17" t="b">
        <f t="shared" si="63"/>
        <v>1</v>
      </c>
    </row>
    <row r="1029" spans="6:95">
      <c r="F1029" s="23"/>
      <c r="I1029" s="23"/>
      <c r="L1029" s="50" t="s">
        <v>9684</v>
      </c>
      <c r="M1029" s="17" t="s">
        <v>9685</v>
      </c>
      <c r="N1029" s="51" t="s">
        <v>9686</v>
      </c>
      <c r="O1029" s="29" t="s">
        <v>1461</v>
      </c>
      <c r="P1029" s="29" t="s">
        <v>9687</v>
      </c>
      <c r="Q1029" s="29" t="s">
        <v>1461</v>
      </c>
      <c r="R1029" s="29" t="s">
        <v>4381</v>
      </c>
      <c r="S1029" s="28" t="s">
        <v>1803</v>
      </c>
      <c r="T1029" s="28" t="s">
        <v>2596</v>
      </c>
      <c r="U1029" s="28" t="s">
        <v>1442</v>
      </c>
      <c r="V1029" s="28" t="s">
        <v>1678</v>
      </c>
      <c r="W1029" s="28" t="s">
        <v>9688</v>
      </c>
      <c r="X1029" s="17">
        <v>1</v>
      </c>
      <c r="CJ1029" s="26" t="s">
        <v>1403</v>
      </c>
      <c r="CK1029" s="26" t="s">
        <v>2338</v>
      </c>
      <c r="CL1029" s="26" t="str">
        <f t="shared" si="61"/>
        <v>京都府木津川市</v>
      </c>
      <c r="CM1029" s="49">
        <v>1024</v>
      </c>
      <c r="CN1029" s="17" t="str">
        <f t="shared" si="60"/>
        <v>1126</v>
      </c>
      <c r="CO1029" s="17" t="str">
        <f t="shared" si="62"/>
        <v>10241126木津川市</v>
      </c>
      <c r="CP1029" s="17" t="s">
        <v>9689</v>
      </c>
      <c r="CQ1029" s="17" t="b">
        <f t="shared" si="63"/>
        <v>1</v>
      </c>
    </row>
    <row r="1030" spans="6:95">
      <c r="F1030" s="23"/>
      <c r="I1030" s="23"/>
      <c r="L1030" s="50" t="s">
        <v>9690</v>
      </c>
      <c r="M1030" s="17" t="s">
        <v>9691</v>
      </c>
      <c r="N1030" s="51" t="s">
        <v>9692</v>
      </c>
      <c r="O1030" s="29" t="s">
        <v>1461</v>
      </c>
      <c r="P1030" s="29" t="s">
        <v>9693</v>
      </c>
      <c r="Q1030" s="29" t="s">
        <v>1461</v>
      </c>
      <c r="R1030" s="29" t="s">
        <v>2881</v>
      </c>
      <c r="S1030" s="28" t="s">
        <v>1862</v>
      </c>
      <c r="T1030" s="28" t="s">
        <v>2643</v>
      </c>
      <c r="U1030" s="28" t="s">
        <v>1442</v>
      </c>
      <c r="V1030" s="28" t="s">
        <v>1678</v>
      </c>
      <c r="W1030" s="28" t="s">
        <v>9694</v>
      </c>
      <c r="X1030" s="17">
        <v>1</v>
      </c>
      <c r="CJ1030" s="26" t="s">
        <v>1403</v>
      </c>
      <c r="CK1030" s="26" t="s">
        <v>2392</v>
      </c>
      <c r="CL1030" s="26" t="str">
        <f t="shared" si="61"/>
        <v>京都府大山崎町</v>
      </c>
      <c r="CM1030" s="49">
        <v>1025</v>
      </c>
      <c r="CN1030" s="17" t="str">
        <f t="shared" ref="CN1030:CN1093" si="64">VLOOKUP(CL1030,$M$6:$N$1784,2,FALSE)</f>
        <v>1127</v>
      </c>
      <c r="CO1030" s="17" t="str">
        <f t="shared" si="62"/>
        <v>10251127大山崎町</v>
      </c>
      <c r="CP1030" s="17" t="s">
        <v>9695</v>
      </c>
      <c r="CQ1030" s="17" t="b">
        <f t="shared" si="63"/>
        <v>1</v>
      </c>
    </row>
    <row r="1031" spans="6:95">
      <c r="F1031" s="23"/>
      <c r="I1031" s="23"/>
      <c r="L1031" s="50" t="s">
        <v>9696</v>
      </c>
      <c r="M1031" s="17" t="s">
        <v>9697</v>
      </c>
      <c r="N1031" s="51" t="s">
        <v>9698</v>
      </c>
      <c r="O1031" s="29" t="s">
        <v>1461</v>
      </c>
      <c r="P1031" s="29" t="s">
        <v>9699</v>
      </c>
      <c r="Q1031" s="29" t="s">
        <v>1461</v>
      </c>
      <c r="R1031" s="29" t="s">
        <v>2918</v>
      </c>
      <c r="S1031" s="28" t="s">
        <v>1920</v>
      </c>
      <c r="T1031" s="28" t="s">
        <v>2689</v>
      </c>
      <c r="U1031" s="28" t="s">
        <v>1442</v>
      </c>
      <c r="V1031" s="28" t="s">
        <v>1678</v>
      </c>
      <c r="W1031" s="28" t="s">
        <v>9700</v>
      </c>
      <c r="X1031" s="17">
        <v>1</v>
      </c>
      <c r="CJ1031" s="26" t="s">
        <v>1403</v>
      </c>
      <c r="CK1031" s="26" t="s">
        <v>2447</v>
      </c>
      <c r="CL1031" s="26" t="str">
        <f t="shared" si="61"/>
        <v>京都府久御山町</v>
      </c>
      <c r="CM1031" s="49">
        <v>1026</v>
      </c>
      <c r="CN1031" s="17" t="str">
        <f t="shared" si="64"/>
        <v>1128</v>
      </c>
      <c r="CO1031" s="17" t="str">
        <f t="shared" si="62"/>
        <v>10261128久御山町</v>
      </c>
      <c r="CP1031" s="17" t="s">
        <v>9701</v>
      </c>
      <c r="CQ1031" s="17" t="b">
        <f t="shared" si="63"/>
        <v>1</v>
      </c>
    </row>
    <row r="1032" spans="6:95">
      <c r="F1032" s="23"/>
      <c r="I1032" s="23"/>
      <c r="L1032" s="50" t="s">
        <v>9702</v>
      </c>
      <c r="M1032" s="17" t="s">
        <v>9703</v>
      </c>
      <c r="N1032" s="51" t="s">
        <v>9704</v>
      </c>
      <c r="O1032" s="29" t="s">
        <v>1461</v>
      </c>
      <c r="P1032" s="29" t="s">
        <v>9705</v>
      </c>
      <c r="Q1032" s="29" t="s">
        <v>1461</v>
      </c>
      <c r="R1032" s="29" t="s">
        <v>2953</v>
      </c>
      <c r="S1032" s="28" t="s">
        <v>1977</v>
      </c>
      <c r="T1032" s="28" t="s">
        <v>2735</v>
      </c>
      <c r="U1032" s="28" t="s">
        <v>1442</v>
      </c>
      <c r="V1032" s="28" t="s">
        <v>1678</v>
      </c>
      <c r="W1032" s="28" t="s">
        <v>9706</v>
      </c>
      <c r="X1032" s="17">
        <v>1</v>
      </c>
      <c r="CJ1032" s="26" t="s">
        <v>1403</v>
      </c>
      <c r="CK1032" s="26" t="s">
        <v>2498</v>
      </c>
      <c r="CL1032" s="26" t="str">
        <f t="shared" ref="CL1032:CL1095" si="65">CJ1032&amp;CK1032</f>
        <v>京都府井手町</v>
      </c>
      <c r="CM1032" s="49">
        <v>1027</v>
      </c>
      <c r="CN1032" s="17" t="str">
        <f t="shared" si="64"/>
        <v>1129</v>
      </c>
      <c r="CO1032" s="17" t="str">
        <f t="shared" ref="CO1032:CO1095" si="66">CM1032&amp;TEXT(CN1032,0)&amp;CK1032</f>
        <v>10271129井手町</v>
      </c>
      <c r="CP1032" s="17" t="s">
        <v>9707</v>
      </c>
      <c r="CQ1032" s="17" t="b">
        <f t="shared" ref="CQ1032:CQ1095" si="67">CO1032=CP1032</f>
        <v>1</v>
      </c>
    </row>
    <row r="1033" spans="6:95">
      <c r="F1033" s="23"/>
      <c r="I1033" s="23"/>
      <c r="L1033" s="50" t="s">
        <v>9708</v>
      </c>
      <c r="M1033" s="17" t="s">
        <v>9709</v>
      </c>
      <c r="N1033" s="51" t="s">
        <v>9710</v>
      </c>
      <c r="O1033" s="29" t="s">
        <v>1461</v>
      </c>
      <c r="P1033" s="29" t="s">
        <v>9711</v>
      </c>
      <c r="Q1033" s="29" t="s">
        <v>1461</v>
      </c>
      <c r="R1033" s="29" t="s">
        <v>6180</v>
      </c>
      <c r="S1033" s="28" t="s">
        <v>1803</v>
      </c>
      <c r="T1033" s="28" t="s">
        <v>2779</v>
      </c>
      <c r="U1033" s="28" t="s">
        <v>1442</v>
      </c>
      <c r="V1033" s="28" t="s">
        <v>1678</v>
      </c>
      <c r="W1033" s="28" t="s">
        <v>9712</v>
      </c>
      <c r="X1033" s="17">
        <v>1</v>
      </c>
      <c r="CJ1033" s="26" t="s">
        <v>1403</v>
      </c>
      <c r="CK1033" s="26" t="s">
        <v>2550</v>
      </c>
      <c r="CL1033" s="26" t="str">
        <f t="shared" si="65"/>
        <v>京都府宇治田原町</v>
      </c>
      <c r="CM1033" s="49">
        <v>1028</v>
      </c>
      <c r="CN1033" s="17" t="str">
        <f t="shared" si="64"/>
        <v>1130</v>
      </c>
      <c r="CO1033" s="17" t="str">
        <f t="shared" si="66"/>
        <v>10281130宇治田原町</v>
      </c>
      <c r="CP1033" s="17" t="s">
        <v>9713</v>
      </c>
      <c r="CQ1033" s="17" t="b">
        <f t="shared" si="67"/>
        <v>1</v>
      </c>
    </row>
    <row r="1034" spans="6:95">
      <c r="F1034" s="23"/>
      <c r="I1034" s="23"/>
      <c r="L1034" s="50" t="s">
        <v>9714</v>
      </c>
      <c r="M1034" s="17" t="s">
        <v>9715</v>
      </c>
      <c r="N1034" s="51" t="s">
        <v>9716</v>
      </c>
      <c r="O1034" s="29" t="s">
        <v>1461</v>
      </c>
      <c r="P1034" s="29" t="s">
        <v>9717</v>
      </c>
      <c r="Q1034" s="29" t="s">
        <v>1461</v>
      </c>
      <c r="R1034" s="29" t="s">
        <v>3020</v>
      </c>
      <c r="S1034" s="28" t="s">
        <v>1862</v>
      </c>
      <c r="T1034" s="28" t="s">
        <v>2821</v>
      </c>
      <c r="U1034" s="28" t="s">
        <v>1442</v>
      </c>
      <c r="V1034" s="28" t="s">
        <v>1678</v>
      </c>
      <c r="W1034" s="28" t="s">
        <v>9718</v>
      </c>
      <c r="X1034" s="17">
        <v>1</v>
      </c>
      <c r="CJ1034" s="26" t="s">
        <v>1403</v>
      </c>
      <c r="CK1034" s="26" t="s">
        <v>2598</v>
      </c>
      <c r="CL1034" s="26" t="str">
        <f t="shared" si="65"/>
        <v>京都府笠置町</v>
      </c>
      <c r="CM1034" s="49">
        <v>1029</v>
      </c>
      <c r="CN1034" s="17" t="str">
        <f t="shared" si="64"/>
        <v>1131</v>
      </c>
      <c r="CO1034" s="17" t="str">
        <f t="shared" si="66"/>
        <v>10291131笠置町</v>
      </c>
      <c r="CP1034" s="17" t="s">
        <v>9719</v>
      </c>
      <c r="CQ1034" s="17" t="b">
        <f t="shared" si="67"/>
        <v>1</v>
      </c>
    </row>
    <row r="1035" spans="6:95">
      <c r="F1035" s="23"/>
      <c r="I1035" s="23"/>
      <c r="L1035" s="50" t="s">
        <v>9720</v>
      </c>
      <c r="M1035" s="17" t="s">
        <v>9721</v>
      </c>
      <c r="N1035" s="51" t="s">
        <v>9722</v>
      </c>
      <c r="O1035" s="29" t="s">
        <v>1461</v>
      </c>
      <c r="P1035" s="29" t="s">
        <v>9723</v>
      </c>
      <c r="Q1035" s="29" t="s">
        <v>1461</v>
      </c>
      <c r="R1035" s="29" t="s">
        <v>3052</v>
      </c>
      <c r="S1035" s="28" t="s">
        <v>1920</v>
      </c>
      <c r="T1035" s="28" t="s">
        <v>2861</v>
      </c>
      <c r="U1035" s="28" t="s">
        <v>1442</v>
      </c>
      <c r="V1035" s="28" t="s">
        <v>1678</v>
      </c>
      <c r="W1035" s="28" t="s">
        <v>9724</v>
      </c>
      <c r="X1035" s="17">
        <v>1</v>
      </c>
      <c r="CJ1035" s="26" t="s">
        <v>1403</v>
      </c>
      <c r="CK1035" s="26" t="s">
        <v>2645</v>
      </c>
      <c r="CL1035" s="26" t="str">
        <f t="shared" si="65"/>
        <v>京都府和束町</v>
      </c>
      <c r="CM1035" s="49">
        <v>1030</v>
      </c>
      <c r="CN1035" s="17" t="str">
        <f t="shared" si="64"/>
        <v>1132</v>
      </c>
      <c r="CO1035" s="17" t="str">
        <f t="shared" si="66"/>
        <v>10301132和束町</v>
      </c>
      <c r="CP1035" s="17" t="s">
        <v>9725</v>
      </c>
      <c r="CQ1035" s="17" t="b">
        <f t="shared" si="67"/>
        <v>1</v>
      </c>
    </row>
    <row r="1036" spans="6:95">
      <c r="F1036" s="23"/>
      <c r="I1036" s="23"/>
      <c r="L1036" s="50" t="s">
        <v>9726</v>
      </c>
      <c r="M1036" s="17" t="s">
        <v>9727</v>
      </c>
      <c r="N1036" s="51" t="s">
        <v>9728</v>
      </c>
      <c r="O1036" s="29" t="s">
        <v>1461</v>
      </c>
      <c r="P1036" s="29" t="s">
        <v>9729</v>
      </c>
      <c r="Q1036" s="29" t="s">
        <v>1461</v>
      </c>
      <c r="R1036" s="29" t="s">
        <v>3083</v>
      </c>
      <c r="S1036" s="28" t="s">
        <v>2525</v>
      </c>
      <c r="T1036" s="28" t="s">
        <v>2900</v>
      </c>
      <c r="U1036" s="28" t="s">
        <v>1442</v>
      </c>
      <c r="V1036" s="28" t="s">
        <v>1678</v>
      </c>
      <c r="W1036" s="28" t="s">
        <v>9730</v>
      </c>
      <c r="X1036" s="17">
        <v>1</v>
      </c>
      <c r="CJ1036" s="26" t="s">
        <v>1403</v>
      </c>
      <c r="CK1036" s="26" t="s">
        <v>2691</v>
      </c>
      <c r="CL1036" s="26" t="str">
        <f t="shared" si="65"/>
        <v>京都府精華町</v>
      </c>
      <c r="CM1036" s="49">
        <v>1031</v>
      </c>
      <c r="CN1036" s="17" t="str">
        <f t="shared" si="64"/>
        <v>1133</v>
      </c>
      <c r="CO1036" s="17" t="str">
        <f t="shared" si="66"/>
        <v>10311133精華町</v>
      </c>
      <c r="CP1036" s="17" t="s">
        <v>9731</v>
      </c>
      <c r="CQ1036" s="17" t="b">
        <f t="shared" si="67"/>
        <v>1</v>
      </c>
    </row>
    <row r="1037" spans="6:95">
      <c r="F1037" s="23"/>
      <c r="I1037" s="23"/>
      <c r="L1037" s="50" t="s">
        <v>9732</v>
      </c>
      <c r="M1037" s="17" t="s">
        <v>9733</v>
      </c>
      <c r="N1037" s="51" t="s">
        <v>9734</v>
      </c>
      <c r="O1037" s="29" t="s">
        <v>1461</v>
      </c>
      <c r="P1037" s="29" t="s">
        <v>9735</v>
      </c>
      <c r="Q1037" s="29" t="s">
        <v>1461</v>
      </c>
      <c r="R1037" s="29" t="s">
        <v>3112</v>
      </c>
      <c r="S1037" s="28" t="s">
        <v>2311</v>
      </c>
      <c r="T1037" s="28" t="s">
        <v>2936</v>
      </c>
      <c r="U1037" s="28" t="s">
        <v>1442</v>
      </c>
      <c r="V1037" s="28" t="s">
        <v>1678</v>
      </c>
      <c r="W1037" s="28" t="s">
        <v>9736</v>
      </c>
      <c r="X1037" s="17">
        <v>1</v>
      </c>
      <c r="CJ1037" s="26" t="s">
        <v>1403</v>
      </c>
      <c r="CK1037" s="26" t="s">
        <v>2737</v>
      </c>
      <c r="CL1037" s="26" t="str">
        <f t="shared" si="65"/>
        <v>京都府南山城村</v>
      </c>
      <c r="CM1037" s="49">
        <v>1032</v>
      </c>
      <c r="CN1037" s="17" t="str">
        <f t="shared" si="64"/>
        <v>1134</v>
      </c>
      <c r="CO1037" s="17" t="str">
        <f t="shared" si="66"/>
        <v>10321134南山城村</v>
      </c>
      <c r="CP1037" s="17" t="s">
        <v>9737</v>
      </c>
      <c r="CQ1037" s="17" t="b">
        <f t="shared" si="67"/>
        <v>1</v>
      </c>
    </row>
    <row r="1038" spans="6:95">
      <c r="F1038" s="23"/>
      <c r="I1038" s="23"/>
      <c r="L1038" s="50" t="s">
        <v>9738</v>
      </c>
      <c r="M1038" s="17" t="s">
        <v>9739</v>
      </c>
      <c r="N1038" s="51" t="s">
        <v>9740</v>
      </c>
      <c r="O1038" s="29" t="s">
        <v>1461</v>
      </c>
      <c r="P1038" s="29" t="s">
        <v>9741</v>
      </c>
      <c r="Q1038" s="29" t="s">
        <v>1461</v>
      </c>
      <c r="R1038" s="29" t="s">
        <v>6819</v>
      </c>
      <c r="S1038" s="28" t="s">
        <v>1564</v>
      </c>
      <c r="T1038" s="28" t="s">
        <v>2969</v>
      </c>
      <c r="U1038" s="28" t="s">
        <v>1442</v>
      </c>
      <c r="V1038" s="28" t="s">
        <v>1678</v>
      </c>
      <c r="W1038" s="28" t="s">
        <v>9742</v>
      </c>
      <c r="X1038" s="17">
        <v>1</v>
      </c>
      <c r="CJ1038" s="26" t="s">
        <v>1403</v>
      </c>
      <c r="CK1038" s="26" t="s">
        <v>2781</v>
      </c>
      <c r="CL1038" s="26" t="str">
        <f t="shared" si="65"/>
        <v>京都府京丹波町</v>
      </c>
      <c r="CM1038" s="49">
        <v>1033</v>
      </c>
      <c r="CN1038" s="17" t="str">
        <f t="shared" si="64"/>
        <v>1135</v>
      </c>
      <c r="CO1038" s="17" t="str">
        <f t="shared" si="66"/>
        <v>10331135京丹波町</v>
      </c>
      <c r="CP1038" s="17" t="s">
        <v>9743</v>
      </c>
      <c r="CQ1038" s="17" t="b">
        <f t="shared" si="67"/>
        <v>1</v>
      </c>
    </row>
    <row r="1039" spans="6:95">
      <c r="F1039" s="23"/>
      <c r="I1039" s="23"/>
      <c r="L1039" s="50" t="s">
        <v>9744</v>
      </c>
      <c r="M1039" s="17" t="s">
        <v>9745</v>
      </c>
      <c r="N1039" s="51" t="s">
        <v>9746</v>
      </c>
      <c r="O1039" s="29" t="s">
        <v>1461</v>
      </c>
      <c r="P1039" s="29" t="s">
        <v>9747</v>
      </c>
      <c r="Q1039" s="29" t="s">
        <v>1461</v>
      </c>
      <c r="R1039" s="29" t="s">
        <v>6826</v>
      </c>
      <c r="S1039" s="28" t="s">
        <v>1626</v>
      </c>
      <c r="T1039" s="28" t="s">
        <v>3003</v>
      </c>
      <c r="U1039" s="28" t="s">
        <v>1442</v>
      </c>
      <c r="V1039" s="28" t="s">
        <v>1678</v>
      </c>
      <c r="W1039" s="28" t="s">
        <v>9748</v>
      </c>
      <c r="X1039" s="17">
        <v>1</v>
      </c>
      <c r="CJ1039" s="26" t="s">
        <v>1403</v>
      </c>
      <c r="CK1039" s="26" t="s">
        <v>2823</v>
      </c>
      <c r="CL1039" s="26" t="str">
        <f t="shared" si="65"/>
        <v>京都府伊根町</v>
      </c>
      <c r="CM1039" s="49">
        <v>1034</v>
      </c>
      <c r="CN1039" s="17" t="str">
        <f t="shared" si="64"/>
        <v>1136</v>
      </c>
      <c r="CO1039" s="17" t="str">
        <f t="shared" si="66"/>
        <v>10341136伊根町</v>
      </c>
      <c r="CP1039" s="17" t="s">
        <v>9749</v>
      </c>
      <c r="CQ1039" s="17" t="b">
        <f t="shared" si="67"/>
        <v>1</v>
      </c>
    </row>
    <row r="1040" spans="6:95">
      <c r="F1040" s="23"/>
      <c r="I1040" s="23"/>
      <c r="L1040" s="50" t="s">
        <v>9750</v>
      </c>
      <c r="M1040" s="17" t="s">
        <v>9751</v>
      </c>
      <c r="N1040" s="51" t="s">
        <v>9752</v>
      </c>
      <c r="O1040" s="29" t="s">
        <v>1461</v>
      </c>
      <c r="P1040" s="29" t="s">
        <v>9753</v>
      </c>
      <c r="Q1040" s="29" t="s">
        <v>1461</v>
      </c>
      <c r="R1040" s="29" t="s">
        <v>5017</v>
      </c>
      <c r="S1040" s="28" t="s">
        <v>2311</v>
      </c>
      <c r="T1040" s="28" t="s">
        <v>3036</v>
      </c>
      <c r="U1040" s="28" t="s">
        <v>1442</v>
      </c>
      <c r="V1040" s="28" t="s">
        <v>1678</v>
      </c>
      <c r="W1040" s="28" t="s">
        <v>9754</v>
      </c>
      <c r="X1040" s="17">
        <v>1</v>
      </c>
      <c r="CJ1040" s="26" t="s">
        <v>1403</v>
      </c>
      <c r="CK1040" s="26" t="s">
        <v>2863</v>
      </c>
      <c r="CL1040" s="26" t="str">
        <f t="shared" si="65"/>
        <v>京都府与謝野町</v>
      </c>
      <c r="CM1040" s="49">
        <v>1035</v>
      </c>
      <c r="CN1040" s="17" t="str">
        <f t="shared" si="64"/>
        <v>1137</v>
      </c>
      <c r="CO1040" s="17" t="str">
        <f t="shared" si="66"/>
        <v>10351137与謝野町</v>
      </c>
      <c r="CP1040" s="17" t="s">
        <v>9755</v>
      </c>
      <c r="CQ1040" s="17" t="b">
        <f t="shared" si="67"/>
        <v>1</v>
      </c>
    </row>
    <row r="1041" spans="6:95">
      <c r="F1041" s="23"/>
      <c r="I1041" s="23"/>
      <c r="L1041" s="50" t="s">
        <v>9756</v>
      </c>
      <c r="M1041" s="17" t="s">
        <v>9757</v>
      </c>
      <c r="N1041" s="51" t="s">
        <v>9758</v>
      </c>
      <c r="O1041" s="29" t="s">
        <v>1461</v>
      </c>
      <c r="P1041" s="29" t="s">
        <v>9759</v>
      </c>
      <c r="Q1041" s="29" t="s">
        <v>1461</v>
      </c>
      <c r="R1041" s="29" t="s">
        <v>5760</v>
      </c>
      <c r="S1041" s="28" t="s">
        <v>1626</v>
      </c>
      <c r="T1041" s="28" t="s">
        <v>3067</v>
      </c>
      <c r="U1041" s="28" t="s">
        <v>1442</v>
      </c>
      <c r="V1041" s="28" t="s">
        <v>1678</v>
      </c>
      <c r="W1041" s="28" t="s">
        <v>9760</v>
      </c>
      <c r="X1041" s="17">
        <v>1</v>
      </c>
      <c r="CJ1041" s="26" t="s">
        <v>1404</v>
      </c>
      <c r="CK1041" s="26" t="s">
        <v>1530</v>
      </c>
      <c r="CL1041" s="26" t="str">
        <f t="shared" si="65"/>
        <v>大阪府大阪市</v>
      </c>
      <c r="CM1041" s="49">
        <v>1036</v>
      </c>
      <c r="CN1041" s="17" t="str">
        <f t="shared" si="64"/>
        <v>1138</v>
      </c>
      <c r="CO1041" s="17" t="str">
        <f t="shared" si="66"/>
        <v>10361138大阪市</v>
      </c>
      <c r="CP1041" s="17" t="s">
        <v>9761</v>
      </c>
      <c r="CQ1041" s="17" t="b">
        <f t="shared" si="67"/>
        <v>1</v>
      </c>
    </row>
    <row r="1042" spans="6:95">
      <c r="F1042" s="23"/>
      <c r="I1042" s="23"/>
      <c r="L1042" s="50" t="s">
        <v>9762</v>
      </c>
      <c r="M1042" s="17" t="s">
        <v>9763</v>
      </c>
      <c r="N1042" s="51" t="s">
        <v>9764</v>
      </c>
      <c r="O1042" s="29" t="s">
        <v>1461</v>
      </c>
      <c r="P1042" s="29" t="s">
        <v>9765</v>
      </c>
      <c r="Q1042" s="29" t="s">
        <v>1461</v>
      </c>
      <c r="R1042" s="29" t="s">
        <v>3395</v>
      </c>
      <c r="S1042" s="28" t="s">
        <v>1626</v>
      </c>
      <c r="T1042" s="28" t="s">
        <v>3097</v>
      </c>
      <c r="U1042" s="28" t="s">
        <v>1442</v>
      </c>
      <c r="V1042" s="28" t="s">
        <v>1678</v>
      </c>
      <c r="W1042" s="28" t="s">
        <v>9766</v>
      </c>
      <c r="X1042" s="17">
        <v>1</v>
      </c>
      <c r="CJ1042" s="26" t="s">
        <v>1404</v>
      </c>
      <c r="CK1042" s="26" t="s">
        <v>1592</v>
      </c>
      <c r="CL1042" s="26" t="str">
        <f t="shared" si="65"/>
        <v>大阪府堺市</v>
      </c>
      <c r="CM1042" s="49">
        <v>1037</v>
      </c>
      <c r="CN1042" s="17" t="str">
        <f t="shared" si="64"/>
        <v>1139</v>
      </c>
      <c r="CO1042" s="17" t="str">
        <f t="shared" si="66"/>
        <v>10371139堺市</v>
      </c>
      <c r="CP1042" s="17" t="s">
        <v>9767</v>
      </c>
      <c r="CQ1042" s="17" t="b">
        <f t="shared" si="67"/>
        <v>1</v>
      </c>
    </row>
    <row r="1043" spans="6:95">
      <c r="F1043" s="23"/>
      <c r="I1043" s="23"/>
      <c r="L1043" s="50" t="s">
        <v>9768</v>
      </c>
      <c r="M1043" s="17" t="s">
        <v>9769</v>
      </c>
      <c r="N1043" s="51" t="s">
        <v>9770</v>
      </c>
      <c r="O1043" s="29" t="s">
        <v>1461</v>
      </c>
      <c r="P1043" s="29" t="s">
        <v>9771</v>
      </c>
      <c r="Q1043" s="29" t="s">
        <v>1461</v>
      </c>
      <c r="R1043" s="29" t="s">
        <v>3411</v>
      </c>
      <c r="S1043" s="28" t="s">
        <v>1502</v>
      </c>
      <c r="T1043" s="28" t="s">
        <v>3127</v>
      </c>
      <c r="U1043" s="28" t="s">
        <v>1442</v>
      </c>
      <c r="V1043" s="28" t="s">
        <v>1678</v>
      </c>
      <c r="W1043" s="28" t="s">
        <v>9772</v>
      </c>
      <c r="X1043" s="17">
        <v>1</v>
      </c>
      <c r="CJ1043" s="26" t="s">
        <v>1404</v>
      </c>
      <c r="CK1043" s="26" t="s">
        <v>1654</v>
      </c>
      <c r="CL1043" s="26" t="str">
        <f t="shared" si="65"/>
        <v>大阪府岸和田市</v>
      </c>
      <c r="CM1043" s="49">
        <v>1038</v>
      </c>
      <c r="CN1043" s="17" t="str">
        <f t="shared" si="64"/>
        <v>1140</v>
      </c>
      <c r="CO1043" s="17" t="str">
        <f t="shared" si="66"/>
        <v>10381140岸和田市</v>
      </c>
      <c r="CP1043" s="17" t="s">
        <v>9773</v>
      </c>
      <c r="CQ1043" s="17" t="b">
        <f t="shared" si="67"/>
        <v>1</v>
      </c>
    </row>
    <row r="1044" spans="6:95">
      <c r="F1044" s="23"/>
      <c r="I1044" s="23"/>
      <c r="L1044" s="50" t="s">
        <v>9774</v>
      </c>
      <c r="M1044" s="17" t="s">
        <v>9775</v>
      </c>
      <c r="N1044" s="51" t="s">
        <v>9776</v>
      </c>
      <c r="O1044" s="29" t="s">
        <v>1461</v>
      </c>
      <c r="P1044" s="29" t="s">
        <v>9777</v>
      </c>
      <c r="Q1044" s="29" t="s">
        <v>1461</v>
      </c>
      <c r="R1044" s="29" t="s">
        <v>4389</v>
      </c>
      <c r="S1044" s="28" t="s">
        <v>2525</v>
      </c>
      <c r="T1044" s="28" t="s">
        <v>3158</v>
      </c>
      <c r="U1044" s="28" t="s">
        <v>1442</v>
      </c>
      <c r="V1044" s="28" t="s">
        <v>1678</v>
      </c>
      <c r="W1044" s="28" t="s">
        <v>9778</v>
      </c>
      <c r="X1044" s="17">
        <v>1</v>
      </c>
      <c r="CJ1044" s="26" t="s">
        <v>1404</v>
      </c>
      <c r="CK1044" s="26" t="s">
        <v>1712</v>
      </c>
      <c r="CL1044" s="26" t="str">
        <f t="shared" si="65"/>
        <v>大阪府豊中市</v>
      </c>
      <c r="CM1044" s="49">
        <v>1039</v>
      </c>
      <c r="CN1044" s="17" t="str">
        <f t="shared" si="64"/>
        <v>1141</v>
      </c>
      <c r="CO1044" s="17" t="str">
        <f t="shared" si="66"/>
        <v>10391141豊中市</v>
      </c>
      <c r="CP1044" s="17" t="s">
        <v>9779</v>
      </c>
      <c r="CQ1044" s="17" t="b">
        <f t="shared" si="67"/>
        <v>1</v>
      </c>
    </row>
    <row r="1045" spans="6:95">
      <c r="F1045" s="23"/>
      <c r="I1045" s="23"/>
      <c r="L1045" s="50" t="s">
        <v>9780</v>
      </c>
      <c r="M1045" s="17" t="s">
        <v>9781</v>
      </c>
      <c r="N1045" s="51" t="s">
        <v>9782</v>
      </c>
      <c r="O1045" s="29" t="s">
        <v>1461</v>
      </c>
      <c r="P1045" s="29" t="s">
        <v>9783</v>
      </c>
      <c r="Q1045" s="29" t="s">
        <v>1461</v>
      </c>
      <c r="R1045" s="29" t="s">
        <v>4397</v>
      </c>
      <c r="S1045" s="28" t="s">
        <v>1803</v>
      </c>
      <c r="T1045" s="28" t="s">
        <v>3185</v>
      </c>
      <c r="U1045" s="28" t="s">
        <v>1442</v>
      </c>
      <c r="V1045" s="28" t="s">
        <v>1678</v>
      </c>
      <c r="W1045" s="28" t="s">
        <v>9784</v>
      </c>
      <c r="X1045" s="17">
        <v>1</v>
      </c>
      <c r="CJ1045" s="26" t="s">
        <v>1404</v>
      </c>
      <c r="CK1045" s="26" t="s">
        <v>1771</v>
      </c>
      <c r="CL1045" s="26" t="str">
        <f t="shared" si="65"/>
        <v>大阪府池田市</v>
      </c>
      <c r="CM1045" s="49">
        <v>1040</v>
      </c>
      <c r="CN1045" s="17" t="str">
        <f t="shared" si="64"/>
        <v>1142</v>
      </c>
      <c r="CO1045" s="17" t="str">
        <f t="shared" si="66"/>
        <v>10401142池田市</v>
      </c>
      <c r="CP1045" s="17" t="s">
        <v>9785</v>
      </c>
      <c r="CQ1045" s="17" t="b">
        <f t="shared" si="67"/>
        <v>1</v>
      </c>
    </row>
    <row r="1046" spans="6:95">
      <c r="F1046" s="23"/>
      <c r="I1046" s="23"/>
      <c r="L1046" s="50" t="s">
        <v>9786</v>
      </c>
      <c r="M1046" s="17" t="s">
        <v>9787</v>
      </c>
      <c r="N1046" s="51" t="s">
        <v>9788</v>
      </c>
      <c r="O1046" s="29" t="s">
        <v>1461</v>
      </c>
      <c r="P1046" s="29" t="s">
        <v>9789</v>
      </c>
      <c r="Q1046" s="29" t="s">
        <v>1461</v>
      </c>
      <c r="R1046" s="29" t="s">
        <v>3553</v>
      </c>
      <c r="S1046" s="28" t="s">
        <v>1920</v>
      </c>
      <c r="T1046" s="28" t="s">
        <v>3210</v>
      </c>
      <c r="U1046" s="28" t="s">
        <v>1442</v>
      </c>
      <c r="V1046" s="28" t="s">
        <v>1678</v>
      </c>
      <c r="W1046" s="28" t="s">
        <v>9790</v>
      </c>
      <c r="X1046" s="17">
        <v>1</v>
      </c>
      <c r="CJ1046" s="26" t="s">
        <v>1404</v>
      </c>
      <c r="CK1046" s="26" t="s">
        <v>1831</v>
      </c>
      <c r="CL1046" s="26" t="str">
        <f t="shared" si="65"/>
        <v>大阪府吹田市</v>
      </c>
      <c r="CM1046" s="49">
        <v>1041</v>
      </c>
      <c r="CN1046" s="17" t="str">
        <f t="shared" si="64"/>
        <v>1143</v>
      </c>
      <c r="CO1046" s="17" t="str">
        <f t="shared" si="66"/>
        <v>10411143吹田市</v>
      </c>
      <c r="CP1046" s="17" t="s">
        <v>9791</v>
      </c>
      <c r="CQ1046" s="17" t="b">
        <f t="shared" si="67"/>
        <v>1</v>
      </c>
    </row>
    <row r="1047" spans="6:95">
      <c r="F1047" s="23"/>
      <c r="I1047" s="23"/>
      <c r="L1047" s="50" t="s">
        <v>9792</v>
      </c>
      <c r="M1047" s="17" t="s">
        <v>9793</v>
      </c>
      <c r="N1047" s="51" t="s">
        <v>9794</v>
      </c>
      <c r="O1047" s="29" t="s">
        <v>1461</v>
      </c>
      <c r="P1047" s="29" t="s">
        <v>9795</v>
      </c>
      <c r="Q1047" s="29" t="s">
        <v>1461</v>
      </c>
      <c r="R1047" s="29" t="s">
        <v>4806</v>
      </c>
      <c r="S1047" s="28" t="s">
        <v>1626</v>
      </c>
      <c r="T1047" s="28" t="s">
        <v>3234</v>
      </c>
      <c r="U1047" s="28" t="s">
        <v>1442</v>
      </c>
      <c r="V1047" s="28" t="s">
        <v>1678</v>
      </c>
      <c r="W1047" s="28" t="s">
        <v>9795</v>
      </c>
      <c r="X1047" s="17">
        <v>1</v>
      </c>
      <c r="CJ1047" s="26" t="s">
        <v>1404</v>
      </c>
      <c r="CK1047" s="26" t="s">
        <v>1890</v>
      </c>
      <c r="CL1047" s="26" t="str">
        <f t="shared" si="65"/>
        <v>大阪府泉大津市</v>
      </c>
      <c r="CM1047" s="49">
        <v>1042</v>
      </c>
      <c r="CN1047" s="17" t="str">
        <f t="shared" si="64"/>
        <v>1144</v>
      </c>
      <c r="CO1047" s="17" t="str">
        <f t="shared" si="66"/>
        <v>10421144泉大津市</v>
      </c>
      <c r="CP1047" s="17" t="s">
        <v>9796</v>
      </c>
      <c r="CQ1047" s="17" t="b">
        <f t="shared" si="67"/>
        <v>1</v>
      </c>
    </row>
    <row r="1048" spans="6:95">
      <c r="F1048" s="23"/>
      <c r="I1048" s="23"/>
      <c r="L1048" s="50" t="s">
        <v>9797</v>
      </c>
      <c r="M1048" s="17" t="s">
        <v>9798</v>
      </c>
      <c r="N1048" s="51" t="s">
        <v>9799</v>
      </c>
      <c r="O1048" s="29" t="s">
        <v>1461</v>
      </c>
      <c r="P1048" s="29" t="s">
        <v>9800</v>
      </c>
      <c r="Q1048" s="29" t="s">
        <v>1461</v>
      </c>
      <c r="R1048" s="29" t="s">
        <v>4825</v>
      </c>
      <c r="S1048" s="28" t="s">
        <v>1862</v>
      </c>
      <c r="T1048" s="28" t="s">
        <v>3257</v>
      </c>
      <c r="U1048" s="28" t="s">
        <v>1442</v>
      </c>
      <c r="V1048" s="28" t="s">
        <v>1678</v>
      </c>
      <c r="W1048" s="28" t="s">
        <v>9801</v>
      </c>
      <c r="X1048" s="17">
        <v>1</v>
      </c>
      <c r="CJ1048" s="26" t="s">
        <v>1404</v>
      </c>
      <c r="CK1048" s="26" t="s">
        <v>1948</v>
      </c>
      <c r="CL1048" s="26" t="str">
        <f t="shared" si="65"/>
        <v>大阪府高槻市</v>
      </c>
      <c r="CM1048" s="49">
        <v>1043</v>
      </c>
      <c r="CN1048" s="17" t="str">
        <f t="shared" si="64"/>
        <v>1145</v>
      </c>
      <c r="CO1048" s="17" t="str">
        <f t="shared" si="66"/>
        <v>10431145高槻市</v>
      </c>
      <c r="CP1048" s="17" t="s">
        <v>9802</v>
      </c>
      <c r="CQ1048" s="17" t="b">
        <f t="shared" si="67"/>
        <v>1</v>
      </c>
    </row>
    <row r="1049" spans="6:95">
      <c r="F1049" s="23"/>
      <c r="I1049" s="23"/>
      <c r="L1049" s="50" t="s">
        <v>9803</v>
      </c>
      <c r="M1049" s="17" t="s">
        <v>9804</v>
      </c>
      <c r="N1049" s="51" t="s">
        <v>9805</v>
      </c>
      <c r="O1049" s="29" t="s">
        <v>1461</v>
      </c>
      <c r="P1049" s="29" t="s">
        <v>9806</v>
      </c>
      <c r="Q1049" s="29" t="s">
        <v>1461</v>
      </c>
      <c r="R1049" s="29" t="s">
        <v>4832</v>
      </c>
      <c r="S1049" s="28" t="s">
        <v>1920</v>
      </c>
      <c r="T1049" s="28" t="s">
        <v>2164</v>
      </c>
      <c r="U1049" s="28" t="s">
        <v>1442</v>
      </c>
      <c r="V1049" s="28" t="s">
        <v>1678</v>
      </c>
      <c r="W1049" s="28" t="s">
        <v>9807</v>
      </c>
      <c r="X1049" s="17">
        <v>1</v>
      </c>
      <c r="CJ1049" s="26" t="s">
        <v>1404</v>
      </c>
      <c r="CK1049" s="26" t="s">
        <v>2005</v>
      </c>
      <c r="CL1049" s="26" t="str">
        <f t="shared" si="65"/>
        <v>大阪府貝塚市</v>
      </c>
      <c r="CM1049" s="49">
        <v>1044</v>
      </c>
      <c r="CN1049" s="17" t="str">
        <f t="shared" si="64"/>
        <v>1146</v>
      </c>
      <c r="CO1049" s="17" t="str">
        <f t="shared" si="66"/>
        <v>10441146貝塚市</v>
      </c>
      <c r="CP1049" s="17" t="s">
        <v>9808</v>
      </c>
      <c r="CQ1049" s="17" t="b">
        <f t="shared" si="67"/>
        <v>1</v>
      </c>
    </row>
    <row r="1050" spans="6:95">
      <c r="F1050" s="23"/>
      <c r="I1050" s="23"/>
      <c r="L1050" s="50" t="s">
        <v>9809</v>
      </c>
      <c r="M1050" s="17" t="s">
        <v>9810</v>
      </c>
      <c r="N1050" s="51" t="s">
        <v>9811</v>
      </c>
      <c r="O1050" s="29" t="s">
        <v>1461</v>
      </c>
      <c r="P1050" s="29" t="s">
        <v>9812</v>
      </c>
      <c r="Q1050" s="29" t="s">
        <v>1461</v>
      </c>
      <c r="R1050" s="29" t="s">
        <v>5857</v>
      </c>
      <c r="S1050" s="28" t="s">
        <v>1977</v>
      </c>
      <c r="T1050" s="28" t="s">
        <v>3303</v>
      </c>
      <c r="U1050" s="28" t="s">
        <v>1442</v>
      </c>
      <c r="V1050" s="28" t="s">
        <v>1678</v>
      </c>
      <c r="W1050" s="28" t="s">
        <v>9813</v>
      </c>
      <c r="X1050" s="17">
        <v>1</v>
      </c>
      <c r="CJ1050" s="26" t="s">
        <v>1404</v>
      </c>
      <c r="CK1050" s="26" t="s">
        <v>2061</v>
      </c>
      <c r="CL1050" s="26" t="str">
        <f t="shared" si="65"/>
        <v>大阪府枚方市</v>
      </c>
      <c r="CM1050" s="49">
        <v>1045</v>
      </c>
      <c r="CN1050" s="17" t="str">
        <f t="shared" si="64"/>
        <v>1147</v>
      </c>
      <c r="CO1050" s="17" t="str">
        <f t="shared" si="66"/>
        <v>10451147枚方市</v>
      </c>
      <c r="CP1050" s="17" t="s">
        <v>9814</v>
      </c>
      <c r="CQ1050" s="17" t="b">
        <f t="shared" si="67"/>
        <v>1</v>
      </c>
    </row>
    <row r="1051" spans="6:95">
      <c r="F1051" s="23"/>
      <c r="I1051" s="23"/>
      <c r="L1051" s="50" t="s">
        <v>9815</v>
      </c>
      <c r="M1051" s="17" t="s">
        <v>9816</v>
      </c>
      <c r="N1051" s="51" t="s">
        <v>9817</v>
      </c>
      <c r="O1051" s="29" t="s">
        <v>1461</v>
      </c>
      <c r="P1051" s="29" t="s">
        <v>9818</v>
      </c>
      <c r="Q1051" s="29" t="s">
        <v>1461</v>
      </c>
      <c r="R1051" s="29" t="s">
        <v>4984</v>
      </c>
      <c r="S1051" s="28" t="s">
        <v>1862</v>
      </c>
      <c r="T1051" s="28" t="s">
        <v>3326</v>
      </c>
      <c r="U1051" s="28" t="s">
        <v>1442</v>
      </c>
      <c r="V1051" s="28" t="s">
        <v>1678</v>
      </c>
      <c r="W1051" s="28" t="s">
        <v>9819</v>
      </c>
      <c r="X1051" s="17">
        <v>1</v>
      </c>
      <c r="CJ1051" s="26" t="s">
        <v>1404</v>
      </c>
      <c r="CK1051" s="26" t="s">
        <v>2117</v>
      </c>
      <c r="CL1051" s="26" t="str">
        <f t="shared" si="65"/>
        <v>大阪府茨木市</v>
      </c>
      <c r="CM1051" s="49">
        <v>1046</v>
      </c>
      <c r="CN1051" s="17" t="str">
        <f t="shared" si="64"/>
        <v>1148</v>
      </c>
      <c r="CO1051" s="17" t="str">
        <f t="shared" si="66"/>
        <v>10461148茨木市</v>
      </c>
      <c r="CP1051" s="17" t="s">
        <v>9820</v>
      </c>
      <c r="CQ1051" s="17" t="b">
        <f t="shared" si="67"/>
        <v>1</v>
      </c>
    </row>
    <row r="1052" spans="6:95">
      <c r="F1052" s="23"/>
      <c r="I1052" s="23"/>
      <c r="L1052" s="50" t="s">
        <v>9821</v>
      </c>
      <c r="M1052" s="17" t="s">
        <v>9822</v>
      </c>
      <c r="N1052" s="51" t="s">
        <v>9823</v>
      </c>
      <c r="O1052" s="29" t="s">
        <v>1461</v>
      </c>
      <c r="P1052" s="29" t="s">
        <v>9824</v>
      </c>
      <c r="Q1052" s="29" t="s">
        <v>1461</v>
      </c>
      <c r="R1052" s="29" t="s">
        <v>9825</v>
      </c>
      <c r="S1052" s="28" t="s">
        <v>1920</v>
      </c>
      <c r="T1052" s="28" t="s">
        <v>3347</v>
      </c>
      <c r="U1052" s="28" t="s">
        <v>1442</v>
      </c>
      <c r="V1052" s="28" t="s">
        <v>1678</v>
      </c>
      <c r="W1052" s="28" t="s">
        <v>9824</v>
      </c>
      <c r="X1052" s="17">
        <v>1</v>
      </c>
      <c r="CJ1052" s="26" t="s">
        <v>1404</v>
      </c>
      <c r="CK1052" s="26" t="s">
        <v>2173</v>
      </c>
      <c r="CL1052" s="26" t="str">
        <f t="shared" si="65"/>
        <v>大阪府八尾市</v>
      </c>
      <c r="CM1052" s="49">
        <v>1047</v>
      </c>
      <c r="CN1052" s="17" t="str">
        <f t="shared" si="64"/>
        <v>1149</v>
      </c>
      <c r="CO1052" s="17" t="str">
        <f t="shared" si="66"/>
        <v>10471149八尾市</v>
      </c>
      <c r="CP1052" s="17" t="s">
        <v>9826</v>
      </c>
      <c r="CQ1052" s="17" t="b">
        <f t="shared" si="67"/>
        <v>1</v>
      </c>
    </row>
    <row r="1053" spans="6:95">
      <c r="F1053" s="23"/>
      <c r="I1053" s="23"/>
      <c r="L1053" s="50" t="s">
        <v>9827</v>
      </c>
      <c r="M1053" s="17" t="s">
        <v>9828</v>
      </c>
      <c r="N1053" s="51" t="s">
        <v>9829</v>
      </c>
      <c r="O1053" s="29" t="s">
        <v>1461</v>
      </c>
      <c r="P1053" s="29" t="s">
        <v>9830</v>
      </c>
      <c r="Q1053" s="29" t="s">
        <v>1461</v>
      </c>
      <c r="R1053" s="29" t="s">
        <v>2668</v>
      </c>
      <c r="S1053" s="28" t="s">
        <v>2311</v>
      </c>
      <c r="T1053" s="28" t="s">
        <v>3368</v>
      </c>
      <c r="U1053" s="28" t="s">
        <v>1442</v>
      </c>
      <c r="V1053" s="28" t="s">
        <v>1678</v>
      </c>
      <c r="W1053" s="28" t="s">
        <v>9831</v>
      </c>
      <c r="X1053" s="17">
        <v>2</v>
      </c>
      <c r="CJ1053" s="26" t="s">
        <v>1404</v>
      </c>
      <c r="CK1053" s="26" t="s">
        <v>2228</v>
      </c>
      <c r="CL1053" s="26" t="str">
        <f t="shared" si="65"/>
        <v>大阪府泉佐野市</v>
      </c>
      <c r="CM1053" s="49">
        <v>1048</v>
      </c>
      <c r="CN1053" s="17" t="str">
        <f t="shared" si="64"/>
        <v>1150</v>
      </c>
      <c r="CO1053" s="17" t="str">
        <f t="shared" si="66"/>
        <v>10481150泉佐野市</v>
      </c>
      <c r="CP1053" s="17" t="s">
        <v>9832</v>
      </c>
      <c r="CQ1053" s="17" t="b">
        <f t="shared" si="67"/>
        <v>1</v>
      </c>
    </row>
    <row r="1054" spans="6:95">
      <c r="F1054" s="23"/>
      <c r="I1054" s="23"/>
      <c r="L1054" s="50" t="s">
        <v>9833</v>
      </c>
      <c r="M1054" s="17" t="s">
        <v>9834</v>
      </c>
      <c r="N1054" s="51" t="s">
        <v>9835</v>
      </c>
      <c r="O1054" s="29" t="s">
        <v>1461</v>
      </c>
      <c r="P1054" s="29" t="s">
        <v>9836</v>
      </c>
      <c r="Q1054" s="29" t="s">
        <v>1461</v>
      </c>
      <c r="R1054" s="29" t="s">
        <v>2714</v>
      </c>
      <c r="S1054" s="28" t="s">
        <v>1564</v>
      </c>
      <c r="T1054" s="28" t="s">
        <v>3386</v>
      </c>
      <c r="U1054" s="28" t="s">
        <v>1442</v>
      </c>
      <c r="V1054" s="28" t="s">
        <v>1678</v>
      </c>
      <c r="W1054" s="28" t="s">
        <v>9837</v>
      </c>
      <c r="X1054" s="17">
        <v>3</v>
      </c>
      <c r="CJ1054" s="26" t="s">
        <v>1404</v>
      </c>
      <c r="CK1054" s="26" t="s">
        <v>2283</v>
      </c>
      <c r="CL1054" s="26" t="str">
        <f t="shared" si="65"/>
        <v>大阪府富田林市</v>
      </c>
      <c r="CM1054" s="49">
        <v>1049</v>
      </c>
      <c r="CN1054" s="17" t="str">
        <f t="shared" si="64"/>
        <v>1151</v>
      </c>
      <c r="CO1054" s="17" t="str">
        <f t="shared" si="66"/>
        <v>10491151富田林市</v>
      </c>
      <c r="CP1054" s="17" t="s">
        <v>9838</v>
      </c>
      <c r="CQ1054" s="17" t="b">
        <f t="shared" si="67"/>
        <v>1</v>
      </c>
    </row>
    <row r="1055" spans="6:95">
      <c r="F1055" s="23"/>
      <c r="I1055" s="23"/>
      <c r="L1055" s="50" t="s">
        <v>9839</v>
      </c>
      <c r="M1055" s="17" t="s">
        <v>9840</v>
      </c>
      <c r="N1055" s="51" t="s">
        <v>9841</v>
      </c>
      <c r="O1055" s="29" t="s">
        <v>1461</v>
      </c>
      <c r="P1055" s="29" t="s">
        <v>9842</v>
      </c>
      <c r="Q1055" s="29" t="s">
        <v>1461</v>
      </c>
      <c r="R1055" s="29" t="s">
        <v>2758</v>
      </c>
      <c r="S1055" s="28" t="s">
        <v>1626</v>
      </c>
      <c r="T1055" s="28" t="s">
        <v>3403</v>
      </c>
      <c r="U1055" s="28" t="s">
        <v>1442</v>
      </c>
      <c r="V1055" s="28" t="s">
        <v>1678</v>
      </c>
      <c r="W1055" s="28" t="s">
        <v>9843</v>
      </c>
      <c r="X1055" s="17">
        <v>4</v>
      </c>
      <c r="CJ1055" s="26" t="s">
        <v>1404</v>
      </c>
      <c r="CK1055" s="26" t="s">
        <v>2339</v>
      </c>
      <c r="CL1055" s="26" t="str">
        <f t="shared" si="65"/>
        <v>大阪府寝屋川市</v>
      </c>
      <c r="CM1055" s="49">
        <v>1050</v>
      </c>
      <c r="CN1055" s="17" t="str">
        <f t="shared" si="64"/>
        <v>1152</v>
      </c>
      <c r="CO1055" s="17" t="str">
        <f t="shared" si="66"/>
        <v>10501152寝屋川市</v>
      </c>
      <c r="CP1055" s="17" t="s">
        <v>9844</v>
      </c>
      <c r="CQ1055" s="17" t="b">
        <f t="shared" si="67"/>
        <v>1</v>
      </c>
    </row>
    <row r="1056" spans="6:95">
      <c r="F1056" s="23"/>
      <c r="I1056" s="23"/>
      <c r="L1056" s="50" t="s">
        <v>9845</v>
      </c>
      <c r="M1056" s="17" t="s">
        <v>9846</v>
      </c>
      <c r="N1056" s="51" t="s">
        <v>9847</v>
      </c>
      <c r="O1056" s="29" t="s">
        <v>1461</v>
      </c>
      <c r="P1056" s="29" t="s">
        <v>9848</v>
      </c>
      <c r="Q1056" s="29" t="s">
        <v>1461</v>
      </c>
      <c r="R1056" s="29" t="s">
        <v>4812</v>
      </c>
      <c r="S1056" s="28" t="s">
        <v>1502</v>
      </c>
      <c r="T1056" s="28" t="s">
        <v>3419</v>
      </c>
      <c r="U1056" s="28" t="s">
        <v>1442</v>
      </c>
      <c r="V1056" s="28" t="s">
        <v>1678</v>
      </c>
      <c r="W1056" s="28" t="s">
        <v>9848</v>
      </c>
      <c r="X1056" s="17">
        <v>5</v>
      </c>
      <c r="CJ1056" s="26" t="s">
        <v>1404</v>
      </c>
      <c r="CK1056" s="26" t="s">
        <v>2393</v>
      </c>
      <c r="CL1056" s="26" t="str">
        <f t="shared" si="65"/>
        <v>大阪府河内長野市</v>
      </c>
      <c r="CM1056" s="49">
        <v>1051</v>
      </c>
      <c r="CN1056" s="17" t="str">
        <f t="shared" si="64"/>
        <v>1153</v>
      </c>
      <c r="CO1056" s="17" t="str">
        <f t="shared" si="66"/>
        <v>10511153河内長野市</v>
      </c>
      <c r="CP1056" s="17" t="s">
        <v>9849</v>
      </c>
      <c r="CQ1056" s="17" t="b">
        <f t="shared" si="67"/>
        <v>1</v>
      </c>
    </row>
    <row r="1057" spans="6:95">
      <c r="F1057" s="23"/>
      <c r="I1057" s="23"/>
      <c r="L1057" s="50" t="s">
        <v>9850</v>
      </c>
      <c r="M1057" s="17" t="s">
        <v>9851</v>
      </c>
      <c r="N1057" s="51" t="s">
        <v>9852</v>
      </c>
      <c r="O1057" s="29" t="s">
        <v>1461</v>
      </c>
      <c r="P1057" s="29" t="s">
        <v>9853</v>
      </c>
      <c r="Q1057" s="29" t="s">
        <v>1461</v>
      </c>
      <c r="R1057" s="29" t="s">
        <v>9854</v>
      </c>
      <c r="S1057" s="28" t="s">
        <v>2525</v>
      </c>
      <c r="T1057" s="28" t="s">
        <v>3434</v>
      </c>
      <c r="U1057" s="28" t="s">
        <v>1442</v>
      </c>
      <c r="V1057" s="28" t="s">
        <v>1678</v>
      </c>
      <c r="W1057" s="28" t="s">
        <v>9855</v>
      </c>
      <c r="X1057" s="17">
        <v>1</v>
      </c>
      <c r="CJ1057" s="26" t="s">
        <v>1404</v>
      </c>
      <c r="CK1057" s="26" t="s">
        <v>2448</v>
      </c>
      <c r="CL1057" s="26" t="str">
        <f t="shared" si="65"/>
        <v>大阪府松原市</v>
      </c>
      <c r="CM1057" s="49">
        <v>1052</v>
      </c>
      <c r="CN1057" s="17" t="str">
        <f t="shared" si="64"/>
        <v>1154</v>
      </c>
      <c r="CO1057" s="17" t="str">
        <f t="shared" si="66"/>
        <v>10521154松原市</v>
      </c>
      <c r="CP1057" s="17" t="s">
        <v>9856</v>
      </c>
      <c r="CQ1057" s="17" t="b">
        <f t="shared" si="67"/>
        <v>1</v>
      </c>
    </row>
    <row r="1058" spans="6:95">
      <c r="F1058" s="23"/>
      <c r="I1058" s="23"/>
      <c r="L1058" s="50" t="s">
        <v>9857</v>
      </c>
      <c r="M1058" s="17" t="s">
        <v>9858</v>
      </c>
      <c r="N1058" s="51" t="s">
        <v>9859</v>
      </c>
      <c r="O1058" s="29" t="s">
        <v>1461</v>
      </c>
      <c r="P1058" s="29" t="s">
        <v>9860</v>
      </c>
      <c r="Q1058" s="29" t="s">
        <v>1461</v>
      </c>
      <c r="R1058" s="29" t="s">
        <v>4593</v>
      </c>
      <c r="S1058" s="28" t="s">
        <v>1502</v>
      </c>
      <c r="T1058" s="28" t="s">
        <v>3449</v>
      </c>
      <c r="U1058" s="28" t="s">
        <v>1442</v>
      </c>
      <c r="V1058" s="28" t="s">
        <v>1678</v>
      </c>
      <c r="W1058" s="28" t="s">
        <v>9860</v>
      </c>
      <c r="X1058" s="17">
        <v>2</v>
      </c>
      <c r="CJ1058" s="26" t="s">
        <v>1404</v>
      </c>
      <c r="CK1058" s="26" t="s">
        <v>2499</v>
      </c>
      <c r="CL1058" s="26" t="str">
        <f t="shared" si="65"/>
        <v>大阪府大東市</v>
      </c>
      <c r="CM1058" s="49">
        <v>1053</v>
      </c>
      <c r="CN1058" s="17" t="str">
        <f t="shared" si="64"/>
        <v>1155</v>
      </c>
      <c r="CO1058" s="17" t="str">
        <f t="shared" si="66"/>
        <v>10531155大東市</v>
      </c>
      <c r="CP1058" s="17" t="s">
        <v>9861</v>
      </c>
      <c r="CQ1058" s="17" t="b">
        <f t="shared" si="67"/>
        <v>1</v>
      </c>
    </row>
    <row r="1059" spans="6:95">
      <c r="F1059" s="23"/>
      <c r="I1059" s="23"/>
      <c r="L1059" s="50" t="s">
        <v>9862</v>
      </c>
      <c r="M1059" s="17" t="s">
        <v>9863</v>
      </c>
      <c r="N1059" s="51" t="s">
        <v>9864</v>
      </c>
      <c r="O1059" s="29" t="s">
        <v>1461</v>
      </c>
      <c r="P1059" s="29" t="s">
        <v>9865</v>
      </c>
      <c r="Q1059" s="29" t="s">
        <v>1461</v>
      </c>
      <c r="R1059" s="29" t="s">
        <v>1861</v>
      </c>
      <c r="S1059" s="28" t="s">
        <v>1743</v>
      </c>
      <c r="T1059" s="28" t="s">
        <v>3464</v>
      </c>
      <c r="U1059" s="28" t="s">
        <v>1442</v>
      </c>
      <c r="V1059" s="28" t="s">
        <v>1678</v>
      </c>
      <c r="W1059" s="28" t="s">
        <v>9866</v>
      </c>
      <c r="X1059" s="17">
        <v>3</v>
      </c>
      <c r="CJ1059" s="26" t="s">
        <v>1404</v>
      </c>
      <c r="CK1059" s="26" t="s">
        <v>2551</v>
      </c>
      <c r="CL1059" s="26" t="str">
        <f t="shared" si="65"/>
        <v>大阪府和泉市</v>
      </c>
      <c r="CM1059" s="49">
        <v>1054</v>
      </c>
      <c r="CN1059" s="17" t="str">
        <f t="shared" si="64"/>
        <v>1156</v>
      </c>
      <c r="CO1059" s="17" t="str">
        <f t="shared" si="66"/>
        <v>10541156和泉市</v>
      </c>
      <c r="CP1059" s="17" t="s">
        <v>9867</v>
      </c>
      <c r="CQ1059" s="17" t="b">
        <f t="shared" si="67"/>
        <v>1</v>
      </c>
    </row>
    <row r="1060" spans="6:95">
      <c r="F1060" s="23"/>
      <c r="I1060" s="23"/>
      <c r="L1060" s="50" t="s">
        <v>9868</v>
      </c>
      <c r="M1060" s="17" t="s">
        <v>9869</v>
      </c>
      <c r="N1060" s="51" t="s">
        <v>9870</v>
      </c>
      <c r="O1060" s="29" t="s">
        <v>1461</v>
      </c>
      <c r="P1060" s="29" t="s">
        <v>9871</v>
      </c>
      <c r="Q1060" s="29" t="s">
        <v>1461</v>
      </c>
      <c r="R1060" s="29" t="s">
        <v>2255</v>
      </c>
      <c r="S1060" s="28" t="s">
        <v>1862</v>
      </c>
      <c r="T1060" s="28" t="s">
        <v>3477</v>
      </c>
      <c r="U1060" s="28" t="s">
        <v>1442</v>
      </c>
      <c r="V1060" s="28" t="s">
        <v>1678</v>
      </c>
      <c r="W1060" s="28" t="s">
        <v>9872</v>
      </c>
      <c r="X1060" s="17">
        <v>4</v>
      </c>
      <c r="CJ1060" s="26" t="s">
        <v>1404</v>
      </c>
      <c r="CK1060" s="26" t="s">
        <v>2599</v>
      </c>
      <c r="CL1060" s="26" t="str">
        <f t="shared" si="65"/>
        <v>大阪府箕面市</v>
      </c>
      <c r="CM1060" s="49">
        <v>1055</v>
      </c>
      <c r="CN1060" s="17" t="str">
        <f t="shared" si="64"/>
        <v>1157</v>
      </c>
      <c r="CO1060" s="17" t="str">
        <f t="shared" si="66"/>
        <v>10551157箕面市</v>
      </c>
      <c r="CP1060" s="17" t="s">
        <v>9873</v>
      </c>
      <c r="CQ1060" s="17" t="b">
        <f t="shared" si="67"/>
        <v>1</v>
      </c>
    </row>
    <row r="1061" spans="6:95">
      <c r="F1061" s="23"/>
      <c r="I1061" s="23"/>
      <c r="L1061" s="50" t="s">
        <v>9874</v>
      </c>
      <c r="M1061" s="17" t="s">
        <v>9875</v>
      </c>
      <c r="N1061" s="51" t="s">
        <v>9876</v>
      </c>
      <c r="O1061" s="29" t="s">
        <v>1461</v>
      </c>
      <c r="P1061" s="29" t="s">
        <v>9877</v>
      </c>
      <c r="Q1061" s="29" t="s">
        <v>1461</v>
      </c>
      <c r="R1061" s="29" t="s">
        <v>2623</v>
      </c>
      <c r="S1061" s="28" t="s">
        <v>2525</v>
      </c>
      <c r="T1061" s="28" t="s">
        <v>3491</v>
      </c>
      <c r="U1061" s="28" t="s">
        <v>1442</v>
      </c>
      <c r="V1061" s="28" t="s">
        <v>1678</v>
      </c>
      <c r="W1061" s="28" t="s">
        <v>9878</v>
      </c>
      <c r="X1061" s="17">
        <v>5</v>
      </c>
      <c r="CJ1061" s="26" t="s">
        <v>1404</v>
      </c>
      <c r="CK1061" s="26" t="s">
        <v>2646</v>
      </c>
      <c r="CL1061" s="26" t="str">
        <f t="shared" si="65"/>
        <v>大阪府柏原市</v>
      </c>
      <c r="CM1061" s="49">
        <v>1056</v>
      </c>
      <c r="CN1061" s="17" t="str">
        <f t="shared" si="64"/>
        <v>1158</v>
      </c>
      <c r="CO1061" s="17" t="str">
        <f t="shared" si="66"/>
        <v>10561158柏原市</v>
      </c>
      <c r="CP1061" s="17" t="s">
        <v>9879</v>
      </c>
      <c r="CQ1061" s="17" t="b">
        <f t="shared" si="67"/>
        <v>1</v>
      </c>
    </row>
    <row r="1062" spans="6:95">
      <c r="F1062" s="23"/>
      <c r="I1062" s="23"/>
      <c r="L1062" s="50" t="s">
        <v>9880</v>
      </c>
      <c r="M1062" s="17" t="s">
        <v>9881</v>
      </c>
      <c r="N1062" s="51" t="s">
        <v>9882</v>
      </c>
      <c r="O1062" s="29" t="s">
        <v>1461</v>
      </c>
      <c r="P1062" s="29" t="s">
        <v>9883</v>
      </c>
      <c r="Q1062" s="29" t="s">
        <v>1461</v>
      </c>
      <c r="R1062" s="29" t="s">
        <v>2986</v>
      </c>
      <c r="S1062" s="28" t="s">
        <v>1743</v>
      </c>
      <c r="T1062" s="28" t="s">
        <v>3505</v>
      </c>
      <c r="U1062" s="28" t="s">
        <v>1442</v>
      </c>
      <c r="V1062" s="28" t="s">
        <v>1678</v>
      </c>
      <c r="W1062" s="28" t="s">
        <v>9884</v>
      </c>
      <c r="X1062" s="17">
        <v>6</v>
      </c>
      <c r="CJ1062" s="26" t="s">
        <v>1404</v>
      </c>
      <c r="CK1062" s="26" t="s">
        <v>2692</v>
      </c>
      <c r="CL1062" s="26" t="str">
        <f t="shared" si="65"/>
        <v>大阪府羽曳野市</v>
      </c>
      <c r="CM1062" s="49">
        <v>1057</v>
      </c>
      <c r="CN1062" s="17" t="str">
        <f t="shared" si="64"/>
        <v>1159</v>
      </c>
      <c r="CO1062" s="17" t="str">
        <f t="shared" si="66"/>
        <v>10571159羽曳野市</v>
      </c>
      <c r="CP1062" s="17" t="s">
        <v>9885</v>
      </c>
      <c r="CQ1062" s="17" t="b">
        <f t="shared" si="67"/>
        <v>1</v>
      </c>
    </row>
    <row r="1063" spans="6:95">
      <c r="F1063" s="23"/>
      <c r="I1063" s="23"/>
      <c r="L1063" s="50" t="s">
        <v>9886</v>
      </c>
      <c r="M1063" s="17" t="s">
        <v>9887</v>
      </c>
      <c r="N1063" s="51" t="s">
        <v>9888</v>
      </c>
      <c r="O1063" s="29" t="s">
        <v>1461</v>
      </c>
      <c r="P1063" s="29" t="s">
        <v>9889</v>
      </c>
      <c r="Q1063" s="29" t="s">
        <v>1461</v>
      </c>
      <c r="R1063" s="29" t="s">
        <v>4000</v>
      </c>
      <c r="S1063" s="28" t="s">
        <v>1743</v>
      </c>
      <c r="T1063" s="28" t="s">
        <v>3520</v>
      </c>
      <c r="U1063" s="28" t="s">
        <v>1442</v>
      </c>
      <c r="V1063" s="28" t="s">
        <v>1678</v>
      </c>
      <c r="W1063" s="28" t="s">
        <v>9890</v>
      </c>
      <c r="X1063" s="17">
        <v>7</v>
      </c>
      <c r="CJ1063" s="26" t="s">
        <v>1404</v>
      </c>
      <c r="CK1063" s="26" t="s">
        <v>2738</v>
      </c>
      <c r="CL1063" s="26" t="str">
        <f t="shared" si="65"/>
        <v>大阪府摂津市</v>
      </c>
      <c r="CM1063" s="49">
        <v>1058</v>
      </c>
      <c r="CN1063" s="17" t="str">
        <f t="shared" si="64"/>
        <v>1160</v>
      </c>
      <c r="CO1063" s="17" t="str">
        <f t="shared" si="66"/>
        <v>10581160摂津市</v>
      </c>
      <c r="CP1063" s="17" t="s">
        <v>9891</v>
      </c>
      <c r="CQ1063" s="17" t="b">
        <f t="shared" si="67"/>
        <v>1</v>
      </c>
    </row>
    <row r="1064" spans="6:95">
      <c r="F1064" s="23"/>
      <c r="I1064" s="23"/>
      <c r="L1064" s="50" t="s">
        <v>9892</v>
      </c>
      <c r="M1064" s="17" t="s">
        <v>9893</v>
      </c>
      <c r="N1064" s="51" t="s">
        <v>9894</v>
      </c>
      <c r="O1064" s="29" t="s">
        <v>1461</v>
      </c>
      <c r="P1064" s="29" t="s">
        <v>9895</v>
      </c>
      <c r="Q1064" s="29" t="s">
        <v>1461</v>
      </c>
      <c r="R1064" s="29" t="s">
        <v>4007</v>
      </c>
      <c r="S1064" s="28" t="s">
        <v>1803</v>
      </c>
      <c r="T1064" s="28" t="s">
        <v>3533</v>
      </c>
      <c r="U1064" s="28" t="s">
        <v>1442</v>
      </c>
      <c r="V1064" s="28" t="s">
        <v>1678</v>
      </c>
      <c r="W1064" s="28" t="s">
        <v>9896</v>
      </c>
      <c r="X1064" s="17">
        <v>8</v>
      </c>
      <c r="CJ1064" s="26" t="s">
        <v>1404</v>
      </c>
      <c r="CK1064" s="26" t="s">
        <v>2782</v>
      </c>
      <c r="CL1064" s="26" t="str">
        <f t="shared" si="65"/>
        <v>大阪府高石市</v>
      </c>
      <c r="CM1064" s="49">
        <v>1059</v>
      </c>
      <c r="CN1064" s="17" t="str">
        <f t="shared" si="64"/>
        <v>1161</v>
      </c>
      <c r="CO1064" s="17" t="str">
        <f t="shared" si="66"/>
        <v>10591161高石市</v>
      </c>
      <c r="CP1064" s="17" t="s">
        <v>9897</v>
      </c>
      <c r="CQ1064" s="17" t="b">
        <f t="shared" si="67"/>
        <v>1</v>
      </c>
    </row>
    <row r="1065" spans="6:95">
      <c r="F1065" s="23"/>
      <c r="I1065" s="23"/>
      <c r="L1065" s="50" t="s">
        <v>9898</v>
      </c>
      <c r="M1065" s="17" t="s">
        <v>9899</v>
      </c>
      <c r="N1065" s="51" t="s">
        <v>9900</v>
      </c>
      <c r="O1065" s="29" t="s">
        <v>1461</v>
      </c>
      <c r="P1065" s="29" t="s">
        <v>9901</v>
      </c>
      <c r="Q1065" s="29" t="s">
        <v>1461</v>
      </c>
      <c r="R1065" s="29" t="s">
        <v>4014</v>
      </c>
      <c r="S1065" s="28" t="s">
        <v>1862</v>
      </c>
      <c r="T1065" s="28" t="s">
        <v>3546</v>
      </c>
      <c r="U1065" s="28" t="s">
        <v>1442</v>
      </c>
      <c r="V1065" s="28" t="s">
        <v>1678</v>
      </c>
      <c r="W1065" s="28" t="s">
        <v>9902</v>
      </c>
      <c r="X1065" s="17">
        <v>9</v>
      </c>
      <c r="CJ1065" s="26" t="s">
        <v>1404</v>
      </c>
      <c r="CK1065" s="26" t="s">
        <v>2824</v>
      </c>
      <c r="CL1065" s="26" t="str">
        <f t="shared" si="65"/>
        <v>大阪府藤井寺市</v>
      </c>
      <c r="CM1065" s="49">
        <v>1060</v>
      </c>
      <c r="CN1065" s="17" t="str">
        <f t="shared" si="64"/>
        <v>1162</v>
      </c>
      <c r="CO1065" s="17" t="str">
        <f t="shared" si="66"/>
        <v>10601162藤井寺市</v>
      </c>
      <c r="CP1065" s="17" t="s">
        <v>9903</v>
      </c>
      <c r="CQ1065" s="17" t="b">
        <f t="shared" si="67"/>
        <v>1</v>
      </c>
    </row>
    <row r="1066" spans="6:95">
      <c r="F1066" s="23"/>
      <c r="I1066" s="23"/>
      <c r="L1066" s="50" t="s">
        <v>9904</v>
      </c>
      <c r="M1066" s="17" t="s">
        <v>9905</v>
      </c>
      <c r="N1066" s="51" t="s">
        <v>9906</v>
      </c>
      <c r="O1066" s="29" t="s">
        <v>1462</v>
      </c>
      <c r="P1066" s="29" t="s">
        <v>9907</v>
      </c>
      <c r="Q1066" s="29" t="s">
        <v>1462</v>
      </c>
      <c r="R1066" s="29" t="s">
        <v>4593</v>
      </c>
      <c r="S1066" s="28" t="s">
        <v>1977</v>
      </c>
      <c r="T1066" s="28" t="s">
        <v>1527</v>
      </c>
      <c r="U1066" s="28" t="s">
        <v>1442</v>
      </c>
      <c r="V1066" s="28" t="s">
        <v>1678</v>
      </c>
      <c r="W1066" s="28" t="s">
        <v>9908</v>
      </c>
      <c r="X1066" s="17">
        <v>1</v>
      </c>
      <c r="CJ1066" s="26" t="s">
        <v>1404</v>
      </c>
      <c r="CK1066" s="26" t="s">
        <v>2864</v>
      </c>
      <c r="CL1066" s="26" t="str">
        <f t="shared" si="65"/>
        <v>大阪府東大阪市</v>
      </c>
      <c r="CM1066" s="49">
        <v>1061</v>
      </c>
      <c r="CN1066" s="17" t="str">
        <f t="shared" si="64"/>
        <v>1163</v>
      </c>
      <c r="CO1066" s="17" t="str">
        <f t="shared" si="66"/>
        <v>10611163東大阪市</v>
      </c>
      <c r="CP1066" s="17" t="s">
        <v>9909</v>
      </c>
      <c r="CQ1066" s="17" t="b">
        <f t="shared" si="67"/>
        <v>1</v>
      </c>
    </row>
    <row r="1067" spans="6:95">
      <c r="F1067" s="23"/>
      <c r="I1067" s="23"/>
      <c r="L1067" s="50" t="s">
        <v>9910</v>
      </c>
      <c r="M1067" s="17" t="s">
        <v>9911</v>
      </c>
      <c r="N1067" s="51" t="s">
        <v>9912</v>
      </c>
      <c r="O1067" s="29" t="s">
        <v>1462</v>
      </c>
      <c r="P1067" s="29" t="s">
        <v>9913</v>
      </c>
      <c r="Q1067" s="29" t="s">
        <v>1462</v>
      </c>
      <c r="R1067" s="29" t="s">
        <v>1563</v>
      </c>
      <c r="S1067" s="28" t="s">
        <v>1743</v>
      </c>
      <c r="T1067" s="28" t="s">
        <v>1589</v>
      </c>
      <c r="U1067" s="28" t="s">
        <v>1442</v>
      </c>
      <c r="V1067" s="28" t="s">
        <v>1678</v>
      </c>
      <c r="W1067" s="28" t="s">
        <v>9914</v>
      </c>
      <c r="X1067" s="17">
        <v>1</v>
      </c>
      <c r="CJ1067" s="26" t="s">
        <v>1404</v>
      </c>
      <c r="CK1067" s="26" t="s">
        <v>2902</v>
      </c>
      <c r="CL1067" s="26" t="str">
        <f t="shared" si="65"/>
        <v>大阪府泉南市</v>
      </c>
      <c r="CM1067" s="49">
        <v>1062</v>
      </c>
      <c r="CN1067" s="17" t="str">
        <f t="shared" si="64"/>
        <v>1164</v>
      </c>
      <c r="CO1067" s="17" t="str">
        <f t="shared" si="66"/>
        <v>10621164泉南市</v>
      </c>
      <c r="CP1067" s="17" t="s">
        <v>9915</v>
      </c>
      <c r="CQ1067" s="17" t="b">
        <f t="shared" si="67"/>
        <v>1</v>
      </c>
    </row>
    <row r="1068" spans="6:95">
      <c r="F1068" s="23"/>
      <c r="I1068" s="23"/>
      <c r="L1068" s="50" t="s">
        <v>9916</v>
      </c>
      <c r="M1068" s="17" t="s">
        <v>9917</v>
      </c>
      <c r="N1068" s="51" t="s">
        <v>9918</v>
      </c>
      <c r="O1068" s="29" t="s">
        <v>1462</v>
      </c>
      <c r="P1068" s="29" t="s">
        <v>9919</v>
      </c>
      <c r="Q1068" s="29" t="s">
        <v>1462</v>
      </c>
      <c r="R1068" s="29" t="s">
        <v>1625</v>
      </c>
      <c r="S1068" s="28" t="s">
        <v>1803</v>
      </c>
      <c r="T1068" s="28" t="s">
        <v>1651</v>
      </c>
      <c r="U1068" s="28" t="s">
        <v>1442</v>
      </c>
      <c r="V1068" s="28" t="s">
        <v>1678</v>
      </c>
      <c r="W1068" s="28" t="s">
        <v>9920</v>
      </c>
      <c r="X1068" s="17">
        <v>1</v>
      </c>
      <c r="CJ1068" s="26" t="s">
        <v>1404</v>
      </c>
      <c r="CK1068" s="26" t="s">
        <v>2938</v>
      </c>
      <c r="CL1068" s="26" t="str">
        <f t="shared" si="65"/>
        <v>大阪府交野市</v>
      </c>
      <c r="CM1068" s="49">
        <v>1063</v>
      </c>
      <c r="CN1068" s="17" t="str">
        <f t="shared" si="64"/>
        <v>1165</v>
      </c>
      <c r="CO1068" s="17" t="str">
        <f t="shared" si="66"/>
        <v>10631165交野市</v>
      </c>
      <c r="CP1068" s="17" t="s">
        <v>9921</v>
      </c>
      <c r="CQ1068" s="17" t="b">
        <f t="shared" si="67"/>
        <v>1</v>
      </c>
    </row>
    <row r="1069" spans="6:95">
      <c r="F1069" s="23"/>
      <c r="I1069" s="23"/>
      <c r="L1069" s="50" t="s">
        <v>9922</v>
      </c>
      <c r="M1069" s="17" t="s">
        <v>9923</v>
      </c>
      <c r="N1069" s="51" t="s">
        <v>9924</v>
      </c>
      <c r="O1069" s="29" t="s">
        <v>1462</v>
      </c>
      <c r="P1069" s="29" t="s">
        <v>9925</v>
      </c>
      <c r="Q1069" s="29" t="s">
        <v>1462</v>
      </c>
      <c r="R1069" s="29" t="s">
        <v>1684</v>
      </c>
      <c r="S1069" s="28" t="s">
        <v>1862</v>
      </c>
      <c r="T1069" s="28" t="s">
        <v>1709</v>
      </c>
      <c r="U1069" s="28" t="s">
        <v>1442</v>
      </c>
      <c r="V1069" s="28" t="s">
        <v>1678</v>
      </c>
      <c r="W1069" s="28" t="s">
        <v>9926</v>
      </c>
      <c r="X1069" s="17">
        <v>1</v>
      </c>
      <c r="CJ1069" s="26" t="s">
        <v>1404</v>
      </c>
      <c r="CK1069" s="26" t="s">
        <v>2971</v>
      </c>
      <c r="CL1069" s="26" t="str">
        <f t="shared" si="65"/>
        <v>大阪府大阪狭山市</v>
      </c>
      <c r="CM1069" s="49">
        <v>1064</v>
      </c>
      <c r="CN1069" s="17" t="str">
        <f t="shared" si="64"/>
        <v>1166</v>
      </c>
      <c r="CO1069" s="17" t="str">
        <f t="shared" si="66"/>
        <v>10641166大阪狭山市</v>
      </c>
      <c r="CP1069" s="17" t="s">
        <v>9927</v>
      </c>
      <c r="CQ1069" s="17" t="b">
        <f t="shared" si="67"/>
        <v>1</v>
      </c>
    </row>
    <row r="1070" spans="6:95">
      <c r="F1070" s="23"/>
      <c r="I1070" s="23"/>
      <c r="L1070" s="50" t="s">
        <v>9928</v>
      </c>
      <c r="M1070" s="17" t="s">
        <v>9929</v>
      </c>
      <c r="N1070" s="51" t="s">
        <v>9930</v>
      </c>
      <c r="O1070" s="29" t="s">
        <v>1462</v>
      </c>
      <c r="P1070" s="29" t="s">
        <v>9931</v>
      </c>
      <c r="Q1070" s="29" t="s">
        <v>1462</v>
      </c>
      <c r="R1070" s="29" t="s">
        <v>1742</v>
      </c>
      <c r="S1070" s="28" t="s">
        <v>1502</v>
      </c>
      <c r="T1070" s="28" t="s">
        <v>1768</v>
      </c>
      <c r="U1070" s="28" t="s">
        <v>1442</v>
      </c>
      <c r="V1070" s="28" t="s">
        <v>1678</v>
      </c>
      <c r="W1070" s="28" t="s">
        <v>9932</v>
      </c>
      <c r="X1070" s="17">
        <v>1</v>
      </c>
      <c r="CJ1070" s="26" t="s">
        <v>1404</v>
      </c>
      <c r="CK1070" s="26" t="s">
        <v>3005</v>
      </c>
      <c r="CL1070" s="26" t="str">
        <f t="shared" si="65"/>
        <v>大阪府阪南市</v>
      </c>
      <c r="CM1070" s="49">
        <v>1065</v>
      </c>
      <c r="CN1070" s="17" t="str">
        <f t="shared" si="64"/>
        <v>1167</v>
      </c>
      <c r="CO1070" s="17" t="str">
        <f t="shared" si="66"/>
        <v>10651167阪南市</v>
      </c>
      <c r="CP1070" s="17" t="s">
        <v>9933</v>
      </c>
      <c r="CQ1070" s="17" t="b">
        <f t="shared" si="67"/>
        <v>1</v>
      </c>
    </row>
    <row r="1071" spans="6:95">
      <c r="F1071" s="23"/>
      <c r="I1071" s="23"/>
      <c r="L1071" s="50" t="s">
        <v>9934</v>
      </c>
      <c r="M1071" s="17" t="s">
        <v>9935</v>
      </c>
      <c r="N1071" s="51" t="s">
        <v>9936</v>
      </c>
      <c r="O1071" s="29" t="s">
        <v>1462</v>
      </c>
      <c r="P1071" s="29" t="s">
        <v>9937</v>
      </c>
      <c r="Q1071" s="29" t="s">
        <v>1462</v>
      </c>
      <c r="R1071" s="29" t="s">
        <v>1919</v>
      </c>
      <c r="S1071" s="28" t="s">
        <v>1564</v>
      </c>
      <c r="T1071" s="28" t="s">
        <v>1828</v>
      </c>
      <c r="U1071" s="28" t="s">
        <v>1442</v>
      </c>
      <c r="V1071" s="28" t="s">
        <v>1678</v>
      </c>
      <c r="W1071" s="28" t="s">
        <v>9938</v>
      </c>
      <c r="X1071" s="17">
        <v>1</v>
      </c>
      <c r="CJ1071" s="26" t="s">
        <v>1404</v>
      </c>
      <c r="CK1071" s="26" t="s">
        <v>3038</v>
      </c>
      <c r="CL1071" s="26" t="str">
        <f t="shared" si="65"/>
        <v>大阪府島本町</v>
      </c>
      <c r="CM1071" s="49">
        <v>1066</v>
      </c>
      <c r="CN1071" s="17" t="str">
        <f t="shared" si="64"/>
        <v>1168</v>
      </c>
      <c r="CO1071" s="17" t="str">
        <f t="shared" si="66"/>
        <v>10661168島本町</v>
      </c>
      <c r="CP1071" s="17" t="s">
        <v>9939</v>
      </c>
      <c r="CQ1071" s="17" t="b">
        <f t="shared" si="67"/>
        <v>1</v>
      </c>
    </row>
    <row r="1072" spans="6:95">
      <c r="F1072" s="23"/>
      <c r="I1072" s="23"/>
      <c r="L1072" s="50" t="s">
        <v>9940</v>
      </c>
      <c r="M1072" s="17" t="s">
        <v>9941</v>
      </c>
      <c r="N1072" s="51" t="s">
        <v>9942</v>
      </c>
      <c r="O1072" s="29" t="s">
        <v>1462</v>
      </c>
      <c r="P1072" s="29" t="s">
        <v>9943</v>
      </c>
      <c r="Q1072" s="29" t="s">
        <v>1462</v>
      </c>
      <c r="R1072" s="29" t="s">
        <v>2089</v>
      </c>
      <c r="S1072" s="28" t="s">
        <v>2525</v>
      </c>
      <c r="T1072" s="28" t="s">
        <v>1887</v>
      </c>
      <c r="U1072" s="28" t="s">
        <v>1442</v>
      </c>
      <c r="V1072" s="28" t="s">
        <v>1678</v>
      </c>
      <c r="W1072" s="28" t="s">
        <v>9944</v>
      </c>
      <c r="X1072" s="17">
        <v>1</v>
      </c>
      <c r="CJ1072" s="26" t="s">
        <v>1404</v>
      </c>
      <c r="CK1072" s="26" t="s">
        <v>3069</v>
      </c>
      <c r="CL1072" s="26" t="str">
        <f t="shared" si="65"/>
        <v>大阪府豊能町</v>
      </c>
      <c r="CM1072" s="49">
        <v>1067</v>
      </c>
      <c r="CN1072" s="17" t="str">
        <f t="shared" si="64"/>
        <v>1169</v>
      </c>
      <c r="CO1072" s="17" t="str">
        <f t="shared" si="66"/>
        <v>10671169豊能町</v>
      </c>
      <c r="CP1072" s="17" t="s">
        <v>9945</v>
      </c>
      <c r="CQ1072" s="17" t="b">
        <f t="shared" si="67"/>
        <v>1</v>
      </c>
    </row>
    <row r="1073" spans="6:95">
      <c r="F1073" s="23"/>
      <c r="I1073" s="23"/>
      <c r="L1073" s="50" t="s">
        <v>9946</v>
      </c>
      <c r="M1073" s="17" t="s">
        <v>9947</v>
      </c>
      <c r="N1073" s="51" t="s">
        <v>9948</v>
      </c>
      <c r="O1073" s="29" t="s">
        <v>1462</v>
      </c>
      <c r="P1073" s="29" t="s">
        <v>9949</v>
      </c>
      <c r="Q1073" s="29" t="s">
        <v>1462</v>
      </c>
      <c r="R1073" s="29" t="s">
        <v>2255</v>
      </c>
      <c r="S1073" s="28" t="s">
        <v>1626</v>
      </c>
      <c r="T1073" s="28" t="s">
        <v>1945</v>
      </c>
      <c r="U1073" s="28" t="s">
        <v>1442</v>
      </c>
      <c r="V1073" s="28" t="s">
        <v>1678</v>
      </c>
      <c r="W1073" s="28" t="s">
        <v>9950</v>
      </c>
      <c r="X1073" s="17">
        <v>1</v>
      </c>
      <c r="CJ1073" s="26" t="s">
        <v>1404</v>
      </c>
      <c r="CK1073" s="26" t="s">
        <v>3098</v>
      </c>
      <c r="CL1073" s="26" t="str">
        <f t="shared" si="65"/>
        <v>大阪府能勢町</v>
      </c>
      <c r="CM1073" s="49">
        <v>1068</v>
      </c>
      <c r="CN1073" s="17" t="str">
        <f t="shared" si="64"/>
        <v>1170</v>
      </c>
      <c r="CO1073" s="17" t="str">
        <f t="shared" si="66"/>
        <v>10681170能勢町</v>
      </c>
      <c r="CP1073" s="17" t="s">
        <v>9951</v>
      </c>
      <c r="CQ1073" s="17" t="b">
        <f t="shared" si="67"/>
        <v>1</v>
      </c>
    </row>
    <row r="1074" spans="6:95">
      <c r="F1074" s="23"/>
      <c r="I1074" s="23"/>
      <c r="L1074" s="50" t="s">
        <v>9952</v>
      </c>
      <c r="M1074" s="17" t="s">
        <v>9953</v>
      </c>
      <c r="N1074" s="51" t="s">
        <v>9954</v>
      </c>
      <c r="O1074" s="29" t="s">
        <v>1462</v>
      </c>
      <c r="P1074" s="29" t="s">
        <v>9955</v>
      </c>
      <c r="Q1074" s="29" t="s">
        <v>1462</v>
      </c>
      <c r="R1074" s="29" t="s">
        <v>2310</v>
      </c>
      <c r="S1074" s="28" t="s">
        <v>1977</v>
      </c>
      <c r="T1074" s="28" t="s">
        <v>2002</v>
      </c>
      <c r="U1074" s="28" t="s">
        <v>1442</v>
      </c>
      <c r="V1074" s="28" t="s">
        <v>1678</v>
      </c>
      <c r="W1074" s="28" t="s">
        <v>9956</v>
      </c>
      <c r="X1074" s="17">
        <v>1</v>
      </c>
      <c r="CJ1074" s="26" t="s">
        <v>1404</v>
      </c>
      <c r="CK1074" s="26" t="s">
        <v>3128</v>
      </c>
      <c r="CL1074" s="26" t="str">
        <f t="shared" si="65"/>
        <v>大阪府忠岡町</v>
      </c>
      <c r="CM1074" s="49">
        <v>1069</v>
      </c>
      <c r="CN1074" s="17" t="str">
        <f t="shared" si="64"/>
        <v>1171</v>
      </c>
      <c r="CO1074" s="17" t="str">
        <f t="shared" si="66"/>
        <v>10691171忠岡町</v>
      </c>
      <c r="CP1074" s="17" t="s">
        <v>9957</v>
      </c>
      <c r="CQ1074" s="17" t="b">
        <f t="shared" si="67"/>
        <v>1</v>
      </c>
    </row>
    <row r="1075" spans="6:95">
      <c r="F1075" s="23"/>
      <c r="I1075" s="23"/>
      <c r="L1075" s="50" t="s">
        <v>9958</v>
      </c>
      <c r="M1075" s="17" t="s">
        <v>9959</v>
      </c>
      <c r="N1075" s="51" t="s">
        <v>9960</v>
      </c>
      <c r="O1075" s="29" t="s">
        <v>1462</v>
      </c>
      <c r="P1075" s="29" t="s">
        <v>9961</v>
      </c>
      <c r="Q1075" s="29" t="s">
        <v>1462</v>
      </c>
      <c r="R1075" s="29" t="s">
        <v>2365</v>
      </c>
      <c r="S1075" s="28" t="s">
        <v>1743</v>
      </c>
      <c r="T1075" s="28" t="s">
        <v>2058</v>
      </c>
      <c r="U1075" s="28" t="s">
        <v>1442</v>
      </c>
      <c r="V1075" s="28" t="s">
        <v>1678</v>
      </c>
      <c r="W1075" s="28" t="s">
        <v>9962</v>
      </c>
      <c r="X1075" s="17">
        <v>1</v>
      </c>
      <c r="CJ1075" s="26" t="s">
        <v>1404</v>
      </c>
      <c r="CK1075" s="26" t="s">
        <v>3159</v>
      </c>
      <c r="CL1075" s="26" t="str">
        <f t="shared" si="65"/>
        <v>大阪府熊取町</v>
      </c>
      <c r="CM1075" s="49">
        <v>1070</v>
      </c>
      <c r="CN1075" s="17" t="str">
        <f t="shared" si="64"/>
        <v>1172</v>
      </c>
      <c r="CO1075" s="17" t="str">
        <f t="shared" si="66"/>
        <v>10701172熊取町</v>
      </c>
      <c r="CP1075" s="17" t="s">
        <v>9963</v>
      </c>
      <c r="CQ1075" s="17" t="b">
        <f t="shared" si="67"/>
        <v>1</v>
      </c>
    </row>
    <row r="1076" spans="6:95">
      <c r="F1076" s="23"/>
      <c r="I1076" s="23"/>
      <c r="L1076" s="50" t="s">
        <v>9964</v>
      </c>
      <c r="M1076" s="17" t="s">
        <v>9965</v>
      </c>
      <c r="N1076" s="51" t="s">
        <v>9966</v>
      </c>
      <c r="O1076" s="29" t="s">
        <v>1462</v>
      </c>
      <c r="P1076" s="29" t="s">
        <v>9967</v>
      </c>
      <c r="Q1076" s="29" t="s">
        <v>1462</v>
      </c>
      <c r="R1076" s="29" t="s">
        <v>3142</v>
      </c>
      <c r="S1076" s="28" t="s">
        <v>1862</v>
      </c>
      <c r="T1076" s="28" t="s">
        <v>2114</v>
      </c>
      <c r="U1076" s="28" t="s">
        <v>1442</v>
      </c>
      <c r="V1076" s="28" t="s">
        <v>1678</v>
      </c>
      <c r="W1076" s="28" t="s">
        <v>9968</v>
      </c>
      <c r="X1076" s="17">
        <v>1</v>
      </c>
      <c r="CJ1076" s="26" t="s">
        <v>1404</v>
      </c>
      <c r="CK1076" s="26" t="s">
        <v>3186</v>
      </c>
      <c r="CL1076" s="26" t="str">
        <f t="shared" si="65"/>
        <v>大阪府田尻町</v>
      </c>
      <c r="CM1076" s="49">
        <v>1071</v>
      </c>
      <c r="CN1076" s="17" t="str">
        <f t="shared" si="64"/>
        <v>1173</v>
      </c>
      <c r="CO1076" s="17" t="str">
        <f t="shared" si="66"/>
        <v>10711173田尻町</v>
      </c>
      <c r="CP1076" s="17" t="s">
        <v>9969</v>
      </c>
      <c r="CQ1076" s="17" t="b">
        <f t="shared" si="67"/>
        <v>1</v>
      </c>
    </row>
    <row r="1077" spans="6:95">
      <c r="F1077" s="23"/>
      <c r="I1077" s="23"/>
      <c r="L1077" s="50" t="s">
        <v>9970</v>
      </c>
      <c r="M1077" s="17" t="s">
        <v>9971</v>
      </c>
      <c r="N1077" s="51" t="s">
        <v>9972</v>
      </c>
      <c r="O1077" s="29" t="s">
        <v>1462</v>
      </c>
      <c r="P1077" s="29" t="s">
        <v>9973</v>
      </c>
      <c r="Q1077" s="29" t="s">
        <v>1462</v>
      </c>
      <c r="R1077" s="29" t="s">
        <v>5190</v>
      </c>
      <c r="S1077" s="28" t="s">
        <v>1977</v>
      </c>
      <c r="T1077" s="28" t="s">
        <v>2170</v>
      </c>
      <c r="U1077" s="28" t="s">
        <v>1442</v>
      </c>
      <c r="V1077" s="28" t="s">
        <v>1678</v>
      </c>
      <c r="W1077" s="28" t="s">
        <v>9974</v>
      </c>
      <c r="X1077" s="17">
        <v>1</v>
      </c>
      <c r="CJ1077" s="26" t="s">
        <v>1404</v>
      </c>
      <c r="CK1077" s="26" t="s">
        <v>3211</v>
      </c>
      <c r="CL1077" s="26" t="str">
        <f t="shared" si="65"/>
        <v>大阪府岬町</v>
      </c>
      <c r="CM1077" s="49">
        <v>1072</v>
      </c>
      <c r="CN1077" s="17" t="str">
        <f t="shared" si="64"/>
        <v>1174</v>
      </c>
      <c r="CO1077" s="17" t="str">
        <f t="shared" si="66"/>
        <v>10721174岬町</v>
      </c>
      <c r="CP1077" s="17" t="s">
        <v>9975</v>
      </c>
      <c r="CQ1077" s="17" t="b">
        <f t="shared" si="67"/>
        <v>1</v>
      </c>
    </row>
    <row r="1078" spans="6:95">
      <c r="F1078" s="23"/>
      <c r="I1078" s="23"/>
      <c r="L1078" s="50" t="s">
        <v>9976</v>
      </c>
      <c r="M1078" s="17" t="s">
        <v>9977</v>
      </c>
      <c r="N1078" s="51" t="s">
        <v>9978</v>
      </c>
      <c r="O1078" s="29" t="s">
        <v>1462</v>
      </c>
      <c r="P1078" s="29" t="s">
        <v>9979</v>
      </c>
      <c r="Q1078" s="29" t="s">
        <v>1462</v>
      </c>
      <c r="R1078" s="29" t="s">
        <v>5197</v>
      </c>
      <c r="S1078" s="28" t="s">
        <v>1862</v>
      </c>
      <c r="T1078" s="28" t="s">
        <v>2225</v>
      </c>
      <c r="U1078" s="28" t="s">
        <v>1442</v>
      </c>
      <c r="V1078" s="28" t="s">
        <v>1678</v>
      </c>
      <c r="W1078" s="28" t="s">
        <v>9980</v>
      </c>
      <c r="X1078" s="17">
        <v>1</v>
      </c>
      <c r="CJ1078" s="26" t="s">
        <v>1404</v>
      </c>
      <c r="CK1078" s="26" t="s">
        <v>3212</v>
      </c>
      <c r="CL1078" s="26" t="str">
        <f t="shared" si="65"/>
        <v>大阪府太子町</v>
      </c>
      <c r="CM1078" s="49">
        <v>1073</v>
      </c>
      <c r="CN1078" s="17" t="str">
        <f t="shared" si="64"/>
        <v>1175</v>
      </c>
      <c r="CO1078" s="17" t="str">
        <f t="shared" si="66"/>
        <v>10731175太子町</v>
      </c>
      <c r="CP1078" s="17" t="s">
        <v>9981</v>
      </c>
      <c r="CQ1078" s="17" t="b">
        <f t="shared" si="67"/>
        <v>1</v>
      </c>
    </row>
    <row r="1079" spans="6:95">
      <c r="F1079" s="23"/>
      <c r="I1079" s="23"/>
      <c r="L1079" s="50" t="s">
        <v>9982</v>
      </c>
      <c r="M1079" s="17" t="s">
        <v>9983</v>
      </c>
      <c r="N1079" s="51" t="s">
        <v>9984</v>
      </c>
      <c r="O1079" s="29" t="s">
        <v>1462</v>
      </c>
      <c r="P1079" s="29" t="s">
        <v>9985</v>
      </c>
      <c r="Q1079" s="29" t="s">
        <v>1462</v>
      </c>
      <c r="R1079" s="29" t="s">
        <v>3316</v>
      </c>
      <c r="S1079" s="28" t="s">
        <v>1977</v>
      </c>
      <c r="T1079" s="28" t="s">
        <v>2280</v>
      </c>
      <c r="U1079" s="28" t="s">
        <v>1442</v>
      </c>
      <c r="V1079" s="28" t="s">
        <v>1678</v>
      </c>
      <c r="W1079" s="28" t="s">
        <v>9986</v>
      </c>
      <c r="X1079" s="17">
        <v>1</v>
      </c>
      <c r="CJ1079" s="26" t="s">
        <v>1404</v>
      </c>
      <c r="CK1079" s="26" t="s">
        <v>3258</v>
      </c>
      <c r="CL1079" s="26" t="str">
        <f t="shared" si="65"/>
        <v>大阪府河南町</v>
      </c>
      <c r="CM1079" s="49">
        <v>1074</v>
      </c>
      <c r="CN1079" s="17" t="str">
        <f t="shared" si="64"/>
        <v>1176</v>
      </c>
      <c r="CO1079" s="17" t="str">
        <f t="shared" si="66"/>
        <v>10741176河南町</v>
      </c>
      <c r="CP1079" s="17" t="s">
        <v>9987</v>
      </c>
      <c r="CQ1079" s="17" t="b">
        <f t="shared" si="67"/>
        <v>1</v>
      </c>
    </row>
    <row r="1080" spans="6:95">
      <c r="F1080" s="23"/>
      <c r="I1080" s="23"/>
      <c r="L1080" s="50" t="s">
        <v>9988</v>
      </c>
      <c r="M1080" s="17" t="s">
        <v>9989</v>
      </c>
      <c r="N1080" s="51" t="s">
        <v>9990</v>
      </c>
      <c r="O1080" s="29" t="s">
        <v>1462</v>
      </c>
      <c r="P1080" s="29" t="s">
        <v>9991</v>
      </c>
      <c r="Q1080" s="29" t="s">
        <v>1462</v>
      </c>
      <c r="R1080" s="29" t="s">
        <v>5767</v>
      </c>
      <c r="S1080" s="28" t="s">
        <v>1743</v>
      </c>
      <c r="T1080" s="28" t="s">
        <v>2336</v>
      </c>
      <c r="U1080" s="28" t="s">
        <v>1442</v>
      </c>
      <c r="V1080" s="28" t="s">
        <v>1678</v>
      </c>
      <c r="W1080" s="28" t="s">
        <v>9992</v>
      </c>
      <c r="X1080" s="17">
        <v>1</v>
      </c>
      <c r="CJ1080" s="26" t="s">
        <v>1404</v>
      </c>
      <c r="CK1080" s="26" t="s">
        <v>3282</v>
      </c>
      <c r="CL1080" s="26" t="str">
        <f t="shared" si="65"/>
        <v>大阪府千早赤阪村</v>
      </c>
      <c r="CM1080" s="49">
        <v>1075</v>
      </c>
      <c r="CN1080" s="17" t="str">
        <f t="shared" si="64"/>
        <v>1177</v>
      </c>
      <c r="CO1080" s="17" t="str">
        <f t="shared" si="66"/>
        <v>10751177千早赤阪村</v>
      </c>
      <c r="CP1080" s="17" t="s">
        <v>9993</v>
      </c>
      <c r="CQ1080" s="17" t="b">
        <f t="shared" si="67"/>
        <v>1</v>
      </c>
    </row>
    <row r="1081" spans="6:95">
      <c r="F1081" s="23"/>
      <c r="I1081" s="23"/>
      <c r="L1081" s="50" t="s">
        <v>9994</v>
      </c>
      <c r="M1081" s="17" t="s">
        <v>9995</v>
      </c>
      <c r="N1081" s="51" t="s">
        <v>9996</v>
      </c>
      <c r="O1081" s="29" t="s">
        <v>1462</v>
      </c>
      <c r="P1081" s="29" t="s">
        <v>9997</v>
      </c>
      <c r="Q1081" s="29" t="s">
        <v>1462</v>
      </c>
      <c r="R1081" s="29" t="s">
        <v>4806</v>
      </c>
      <c r="S1081" s="28" t="s">
        <v>1920</v>
      </c>
      <c r="T1081" s="28" t="s">
        <v>2390</v>
      </c>
      <c r="U1081" s="28" t="s">
        <v>1442</v>
      </c>
      <c r="V1081" s="28" t="s">
        <v>1678</v>
      </c>
      <c r="W1081" s="28" t="s">
        <v>9998</v>
      </c>
      <c r="X1081" s="17">
        <v>1</v>
      </c>
      <c r="CJ1081" s="26" t="s">
        <v>1404</v>
      </c>
      <c r="CK1081" s="26" t="s">
        <v>3304</v>
      </c>
      <c r="CL1081" s="26" t="str">
        <f>CJ1081&amp;CK1081</f>
        <v>大阪府守口市</v>
      </c>
      <c r="CM1081" s="49">
        <v>1076</v>
      </c>
      <c r="CN1081" s="17" t="str">
        <f t="shared" si="64"/>
        <v>1178</v>
      </c>
      <c r="CO1081" s="17" t="str">
        <f t="shared" si="66"/>
        <v>10761178守口市</v>
      </c>
      <c r="CP1081" s="17" t="s">
        <v>9999</v>
      </c>
      <c r="CQ1081" s="17" t="b">
        <f t="shared" si="67"/>
        <v>1</v>
      </c>
    </row>
    <row r="1082" spans="6:95">
      <c r="F1082" s="23"/>
      <c r="I1082" s="23"/>
      <c r="L1082" s="50" t="s">
        <v>10000</v>
      </c>
      <c r="M1082" s="17" t="s">
        <v>10001</v>
      </c>
      <c r="N1082" s="51" t="s">
        <v>10002</v>
      </c>
      <c r="O1082" s="29" t="s">
        <v>1462</v>
      </c>
      <c r="P1082" s="29" t="s">
        <v>10003</v>
      </c>
      <c r="Q1082" s="29" t="s">
        <v>1462</v>
      </c>
      <c r="R1082" s="29" t="s">
        <v>4812</v>
      </c>
      <c r="S1082" s="28" t="s">
        <v>1977</v>
      </c>
      <c r="T1082" s="28" t="s">
        <v>2445</v>
      </c>
      <c r="U1082" s="28" t="s">
        <v>1442</v>
      </c>
      <c r="V1082" s="28" t="s">
        <v>1678</v>
      </c>
      <c r="W1082" s="28" t="s">
        <v>10004</v>
      </c>
      <c r="X1082" s="17">
        <v>1</v>
      </c>
      <c r="CJ1082" s="26" t="s">
        <v>1404</v>
      </c>
      <c r="CK1082" s="18" t="s">
        <v>3327</v>
      </c>
      <c r="CL1082" s="26" t="str">
        <f t="shared" si="65"/>
        <v>大阪府門真市</v>
      </c>
      <c r="CM1082" s="49">
        <v>1077</v>
      </c>
      <c r="CN1082" s="17" t="str">
        <f t="shared" si="64"/>
        <v>1179</v>
      </c>
      <c r="CO1082" s="17" t="str">
        <f t="shared" si="66"/>
        <v>10771179門真市</v>
      </c>
      <c r="CP1082" s="17" t="s">
        <v>10005</v>
      </c>
      <c r="CQ1082" s="17" t="b">
        <f t="shared" si="67"/>
        <v>1</v>
      </c>
    </row>
    <row r="1083" spans="6:95">
      <c r="F1083" s="23"/>
      <c r="I1083" s="23"/>
      <c r="L1083" s="50" t="s">
        <v>10006</v>
      </c>
      <c r="M1083" s="17" t="s">
        <v>10007</v>
      </c>
      <c r="N1083" s="51" t="s">
        <v>10008</v>
      </c>
      <c r="O1083" s="29" t="s">
        <v>1462</v>
      </c>
      <c r="P1083" s="29" t="s">
        <v>10009</v>
      </c>
      <c r="Q1083" s="29" t="s">
        <v>1462</v>
      </c>
      <c r="R1083" s="29" t="s">
        <v>4818</v>
      </c>
      <c r="S1083" s="28" t="s">
        <v>1743</v>
      </c>
      <c r="T1083" s="28" t="s">
        <v>2496</v>
      </c>
      <c r="U1083" s="28" t="s">
        <v>1442</v>
      </c>
      <c r="V1083" s="28" t="s">
        <v>1678</v>
      </c>
      <c r="W1083" s="28" t="s">
        <v>10010</v>
      </c>
      <c r="X1083" s="17">
        <v>1</v>
      </c>
      <c r="CJ1083" s="26" t="s">
        <v>1404</v>
      </c>
      <c r="CK1083" s="18" t="s">
        <v>3348</v>
      </c>
      <c r="CL1083" s="26" t="str">
        <f t="shared" si="65"/>
        <v>大阪府四條畷市</v>
      </c>
      <c r="CM1083" s="49">
        <v>1078</v>
      </c>
      <c r="CN1083" s="17" t="str">
        <f t="shared" si="64"/>
        <v>1180</v>
      </c>
      <c r="CO1083" s="17" t="str">
        <f t="shared" si="66"/>
        <v>10781180四條畷市</v>
      </c>
      <c r="CP1083" s="17" t="s">
        <v>10011</v>
      </c>
      <c r="CQ1083" s="17" t="b">
        <f t="shared" si="67"/>
        <v>1</v>
      </c>
    </row>
    <row r="1084" spans="6:95">
      <c r="F1084" s="23"/>
      <c r="I1084" s="23"/>
      <c r="L1084" s="50" t="s">
        <v>10012</v>
      </c>
      <c r="M1084" s="17" t="s">
        <v>10013</v>
      </c>
      <c r="N1084" s="51" t="s">
        <v>10014</v>
      </c>
      <c r="O1084" s="29" t="s">
        <v>1462</v>
      </c>
      <c r="P1084" s="29" t="s">
        <v>10015</v>
      </c>
      <c r="Q1084" s="29" t="s">
        <v>1462</v>
      </c>
      <c r="R1084" s="29" t="s">
        <v>3707</v>
      </c>
      <c r="S1084" s="28" t="s">
        <v>1977</v>
      </c>
      <c r="T1084" s="28" t="s">
        <v>2548</v>
      </c>
      <c r="U1084" s="28" t="s">
        <v>1442</v>
      </c>
      <c r="V1084" s="28" t="s">
        <v>1678</v>
      </c>
      <c r="W1084" s="28" t="s">
        <v>10016</v>
      </c>
      <c r="X1084" s="17">
        <v>1</v>
      </c>
      <c r="CJ1084" s="26" t="s">
        <v>1405</v>
      </c>
      <c r="CK1084" s="26" t="s">
        <v>1531</v>
      </c>
      <c r="CL1084" s="26" t="str">
        <f t="shared" si="65"/>
        <v>兵庫県神戸市</v>
      </c>
      <c r="CM1084" s="49">
        <v>1079</v>
      </c>
      <c r="CN1084" s="17" t="str">
        <f t="shared" si="64"/>
        <v>1181</v>
      </c>
      <c r="CO1084" s="17" t="str">
        <f t="shared" si="66"/>
        <v>10791181神戸市</v>
      </c>
      <c r="CP1084" s="17" t="s">
        <v>10017</v>
      </c>
      <c r="CQ1084" s="17" t="b">
        <f t="shared" si="67"/>
        <v>1</v>
      </c>
    </row>
    <row r="1085" spans="6:95">
      <c r="F1085" s="23"/>
      <c r="I1085" s="23"/>
      <c r="L1085" s="50" t="s">
        <v>10018</v>
      </c>
      <c r="M1085" s="17" t="s">
        <v>10019</v>
      </c>
      <c r="N1085" s="51" t="s">
        <v>10020</v>
      </c>
      <c r="O1085" s="29" t="s">
        <v>1462</v>
      </c>
      <c r="P1085" s="29" t="s">
        <v>10021</v>
      </c>
      <c r="Q1085" s="29" t="s">
        <v>1462</v>
      </c>
      <c r="R1085" s="29" t="s">
        <v>3768</v>
      </c>
      <c r="S1085" s="28" t="s">
        <v>1502</v>
      </c>
      <c r="T1085" s="28" t="s">
        <v>2597</v>
      </c>
      <c r="U1085" s="28" t="s">
        <v>1442</v>
      </c>
      <c r="V1085" s="28" t="s">
        <v>1678</v>
      </c>
      <c r="W1085" s="28" t="s">
        <v>10022</v>
      </c>
      <c r="X1085" s="17">
        <v>1</v>
      </c>
      <c r="CJ1085" s="26" t="s">
        <v>1405</v>
      </c>
      <c r="CK1085" s="26" t="s">
        <v>1593</v>
      </c>
      <c r="CL1085" s="26" t="str">
        <f t="shared" si="65"/>
        <v>兵庫県姫路市</v>
      </c>
      <c r="CM1085" s="49">
        <v>1080</v>
      </c>
      <c r="CN1085" s="17" t="str">
        <f t="shared" si="64"/>
        <v>1182</v>
      </c>
      <c r="CO1085" s="17" t="str">
        <f t="shared" si="66"/>
        <v>10801182姫路市</v>
      </c>
      <c r="CP1085" s="17" t="s">
        <v>10023</v>
      </c>
      <c r="CQ1085" s="17" t="b">
        <f t="shared" si="67"/>
        <v>1</v>
      </c>
    </row>
    <row r="1086" spans="6:95">
      <c r="F1086" s="23"/>
      <c r="I1086" s="23"/>
      <c r="L1086" s="50" t="s">
        <v>10024</v>
      </c>
      <c r="M1086" s="17" t="s">
        <v>10025</v>
      </c>
      <c r="N1086" s="51" t="s">
        <v>10026</v>
      </c>
      <c r="O1086" s="29" t="s">
        <v>1462</v>
      </c>
      <c r="P1086" s="29" t="s">
        <v>10027</v>
      </c>
      <c r="Q1086" s="29" t="s">
        <v>1462</v>
      </c>
      <c r="R1086" s="29" t="s">
        <v>3777</v>
      </c>
      <c r="S1086" s="28" t="s">
        <v>2525</v>
      </c>
      <c r="T1086" s="28" t="s">
        <v>2644</v>
      </c>
      <c r="U1086" s="28" t="s">
        <v>1442</v>
      </c>
      <c r="V1086" s="28" t="s">
        <v>1678</v>
      </c>
      <c r="W1086" s="28" t="s">
        <v>10028</v>
      </c>
      <c r="X1086" s="17">
        <v>1</v>
      </c>
      <c r="CJ1086" s="26" t="s">
        <v>1405</v>
      </c>
      <c r="CK1086" s="26" t="s">
        <v>1655</v>
      </c>
      <c r="CL1086" s="26" t="str">
        <f t="shared" si="65"/>
        <v>兵庫県尼崎市</v>
      </c>
      <c r="CM1086" s="49">
        <v>1081</v>
      </c>
      <c r="CN1086" s="17" t="str">
        <f t="shared" si="64"/>
        <v>1183</v>
      </c>
      <c r="CO1086" s="17" t="str">
        <f t="shared" si="66"/>
        <v>10811183尼崎市</v>
      </c>
      <c r="CP1086" s="17" t="s">
        <v>10029</v>
      </c>
      <c r="CQ1086" s="17" t="b">
        <f t="shared" si="67"/>
        <v>1</v>
      </c>
    </row>
    <row r="1087" spans="6:95">
      <c r="F1087" s="23"/>
      <c r="I1087" s="23"/>
      <c r="L1087" s="50" t="s">
        <v>10030</v>
      </c>
      <c r="M1087" s="17" t="s">
        <v>10031</v>
      </c>
      <c r="N1087" s="51" t="s">
        <v>10032</v>
      </c>
      <c r="O1087" s="29" t="s">
        <v>1462</v>
      </c>
      <c r="P1087" s="29" t="s">
        <v>10033</v>
      </c>
      <c r="Q1087" s="29" t="s">
        <v>1462</v>
      </c>
      <c r="R1087" s="29" t="s">
        <v>10034</v>
      </c>
      <c r="S1087" s="28" t="s">
        <v>2311</v>
      </c>
      <c r="T1087" s="28" t="s">
        <v>2690</v>
      </c>
      <c r="U1087" s="28" t="s">
        <v>1442</v>
      </c>
      <c r="V1087" s="28" t="s">
        <v>1678</v>
      </c>
      <c r="W1087" s="28" t="s">
        <v>10035</v>
      </c>
      <c r="X1087" s="17">
        <v>1</v>
      </c>
      <c r="CJ1087" s="26" t="s">
        <v>1405</v>
      </c>
      <c r="CK1087" s="26" t="s">
        <v>1713</v>
      </c>
      <c r="CL1087" s="26" t="str">
        <f t="shared" si="65"/>
        <v>兵庫県明石市</v>
      </c>
      <c r="CM1087" s="49">
        <v>1082</v>
      </c>
      <c r="CN1087" s="17" t="str">
        <f t="shared" si="64"/>
        <v>1184</v>
      </c>
      <c r="CO1087" s="17" t="str">
        <f t="shared" si="66"/>
        <v>10821184明石市</v>
      </c>
      <c r="CP1087" s="17" t="s">
        <v>10036</v>
      </c>
      <c r="CQ1087" s="17" t="b">
        <f t="shared" si="67"/>
        <v>1</v>
      </c>
    </row>
    <row r="1088" spans="6:95">
      <c r="F1088" s="23"/>
      <c r="I1088" s="23"/>
      <c r="L1088" s="50" t="s">
        <v>10037</v>
      </c>
      <c r="M1088" s="17" t="s">
        <v>10038</v>
      </c>
      <c r="N1088" s="51" t="s">
        <v>10039</v>
      </c>
      <c r="O1088" s="29" t="s">
        <v>1462</v>
      </c>
      <c r="P1088" s="29" t="s">
        <v>10040</v>
      </c>
      <c r="Q1088" s="29" t="s">
        <v>1462</v>
      </c>
      <c r="R1088" s="29" t="s">
        <v>10041</v>
      </c>
      <c r="S1088" s="28" t="s">
        <v>1626</v>
      </c>
      <c r="T1088" s="28" t="s">
        <v>2736</v>
      </c>
      <c r="U1088" s="28" t="s">
        <v>1442</v>
      </c>
      <c r="V1088" s="28" t="s">
        <v>1678</v>
      </c>
      <c r="W1088" s="28" t="s">
        <v>10042</v>
      </c>
      <c r="X1088" s="17">
        <v>1</v>
      </c>
      <c r="CJ1088" s="26" t="s">
        <v>1405</v>
      </c>
      <c r="CK1088" s="26" t="s">
        <v>1772</v>
      </c>
      <c r="CL1088" s="26" t="str">
        <f t="shared" si="65"/>
        <v>兵庫県西宮市</v>
      </c>
      <c r="CM1088" s="49">
        <v>1083</v>
      </c>
      <c r="CN1088" s="17" t="str">
        <f t="shared" si="64"/>
        <v>1185</v>
      </c>
      <c r="CO1088" s="17" t="str">
        <f t="shared" si="66"/>
        <v>10831185西宮市</v>
      </c>
      <c r="CP1088" s="17" t="s">
        <v>10043</v>
      </c>
      <c r="CQ1088" s="17" t="b">
        <f t="shared" si="67"/>
        <v>1</v>
      </c>
    </row>
    <row r="1089" spans="6:95">
      <c r="F1089" s="23"/>
      <c r="I1089" s="23"/>
      <c r="L1089" s="50" t="s">
        <v>10044</v>
      </c>
      <c r="M1089" s="17" t="s">
        <v>10045</v>
      </c>
      <c r="N1089" s="51" t="s">
        <v>10046</v>
      </c>
      <c r="O1089" s="29" t="s">
        <v>1462</v>
      </c>
      <c r="P1089" s="29" t="s">
        <v>10047</v>
      </c>
      <c r="Q1089" s="29" t="s">
        <v>1462</v>
      </c>
      <c r="R1089" s="29" t="s">
        <v>1976</v>
      </c>
      <c r="S1089" s="28" t="s">
        <v>1626</v>
      </c>
      <c r="T1089" s="28" t="s">
        <v>2780</v>
      </c>
      <c r="U1089" s="28" t="s">
        <v>1442</v>
      </c>
      <c r="V1089" s="28" t="s">
        <v>1678</v>
      </c>
      <c r="W1089" s="28" t="s">
        <v>10048</v>
      </c>
      <c r="X1089" s="17">
        <v>2</v>
      </c>
      <c r="CJ1089" s="26" t="s">
        <v>1405</v>
      </c>
      <c r="CK1089" s="26" t="s">
        <v>1832</v>
      </c>
      <c r="CL1089" s="26" t="str">
        <f t="shared" si="65"/>
        <v>兵庫県洲本市</v>
      </c>
      <c r="CM1089" s="49">
        <v>1084</v>
      </c>
      <c r="CN1089" s="17" t="str">
        <f t="shared" si="64"/>
        <v>1186</v>
      </c>
      <c r="CO1089" s="17" t="str">
        <f t="shared" si="66"/>
        <v>10841186洲本市</v>
      </c>
      <c r="CP1089" s="17" t="s">
        <v>10049</v>
      </c>
      <c r="CQ1089" s="17" t="b">
        <f t="shared" si="67"/>
        <v>1</v>
      </c>
    </row>
    <row r="1090" spans="6:95">
      <c r="F1090" s="23"/>
      <c r="I1090" s="23"/>
      <c r="L1090" s="50" t="s">
        <v>10050</v>
      </c>
      <c r="M1090" s="17" t="s">
        <v>10051</v>
      </c>
      <c r="N1090" s="51" t="s">
        <v>10052</v>
      </c>
      <c r="O1090" s="29" t="s">
        <v>1462</v>
      </c>
      <c r="P1090" s="29" t="s">
        <v>10053</v>
      </c>
      <c r="Q1090" s="29" t="s">
        <v>1462</v>
      </c>
      <c r="R1090" s="29" t="s">
        <v>3912</v>
      </c>
      <c r="S1090" s="28" t="s">
        <v>1564</v>
      </c>
      <c r="T1090" s="28" t="s">
        <v>2822</v>
      </c>
      <c r="U1090" s="28" t="s">
        <v>1442</v>
      </c>
      <c r="V1090" s="28" t="s">
        <v>1678</v>
      </c>
      <c r="W1090" s="28" t="s">
        <v>10054</v>
      </c>
      <c r="X1090" s="17">
        <v>3</v>
      </c>
      <c r="CJ1090" s="26" t="s">
        <v>1405</v>
      </c>
      <c r="CK1090" s="26" t="s">
        <v>1891</v>
      </c>
      <c r="CL1090" s="26" t="str">
        <f t="shared" si="65"/>
        <v>兵庫県芦屋市</v>
      </c>
      <c r="CM1090" s="49">
        <v>1085</v>
      </c>
      <c r="CN1090" s="17" t="str">
        <f t="shared" si="64"/>
        <v>1187</v>
      </c>
      <c r="CO1090" s="17" t="str">
        <f t="shared" si="66"/>
        <v>10851187芦屋市</v>
      </c>
      <c r="CP1090" s="17" t="s">
        <v>10055</v>
      </c>
      <c r="CQ1090" s="17" t="b">
        <f t="shared" si="67"/>
        <v>1</v>
      </c>
    </row>
    <row r="1091" spans="6:95">
      <c r="F1091" s="23"/>
      <c r="I1091" s="23"/>
      <c r="L1091" s="50" t="s">
        <v>10056</v>
      </c>
      <c r="M1091" s="17" t="s">
        <v>10057</v>
      </c>
      <c r="N1091" s="51" t="s">
        <v>10058</v>
      </c>
      <c r="O1091" s="29" t="s">
        <v>1462</v>
      </c>
      <c r="P1091" s="29" t="s">
        <v>10059</v>
      </c>
      <c r="Q1091" s="29" t="s">
        <v>1462</v>
      </c>
      <c r="R1091" s="29" t="s">
        <v>10060</v>
      </c>
      <c r="S1091" s="28" t="s">
        <v>1502</v>
      </c>
      <c r="T1091" s="28" t="s">
        <v>2862</v>
      </c>
      <c r="U1091" s="28" t="s">
        <v>1442</v>
      </c>
      <c r="V1091" s="28" t="s">
        <v>1678</v>
      </c>
      <c r="W1091" s="28" t="s">
        <v>10061</v>
      </c>
      <c r="X1091" s="17">
        <v>1</v>
      </c>
      <c r="CJ1091" s="26" t="s">
        <v>1405</v>
      </c>
      <c r="CK1091" s="26" t="s">
        <v>1949</v>
      </c>
      <c r="CL1091" s="26" t="str">
        <f t="shared" si="65"/>
        <v>兵庫県伊丹市</v>
      </c>
      <c r="CM1091" s="49">
        <v>1086</v>
      </c>
      <c r="CN1091" s="17" t="str">
        <f t="shared" si="64"/>
        <v>1188</v>
      </c>
      <c r="CO1091" s="17" t="str">
        <f t="shared" si="66"/>
        <v>10861188伊丹市</v>
      </c>
      <c r="CP1091" s="17" t="s">
        <v>10062</v>
      </c>
      <c r="CQ1091" s="17" t="b">
        <f t="shared" si="67"/>
        <v>1</v>
      </c>
    </row>
    <row r="1092" spans="6:95">
      <c r="F1092" s="23"/>
      <c r="I1092" s="23"/>
      <c r="L1092" s="50" t="s">
        <v>10063</v>
      </c>
      <c r="M1092" s="17" t="s">
        <v>10064</v>
      </c>
      <c r="N1092" s="51" t="s">
        <v>10065</v>
      </c>
      <c r="O1092" s="29" t="s">
        <v>1462</v>
      </c>
      <c r="P1092" s="29" t="s">
        <v>10066</v>
      </c>
      <c r="Q1092" s="29" t="s">
        <v>1462</v>
      </c>
      <c r="R1092" s="29" t="s">
        <v>2145</v>
      </c>
      <c r="S1092" s="28" t="s">
        <v>2311</v>
      </c>
      <c r="T1092" s="28" t="s">
        <v>2901</v>
      </c>
      <c r="U1092" s="28" t="s">
        <v>1442</v>
      </c>
      <c r="V1092" s="28" t="s">
        <v>1678</v>
      </c>
      <c r="W1092" s="28" t="s">
        <v>10067</v>
      </c>
      <c r="X1092" s="17">
        <v>2</v>
      </c>
      <c r="CJ1092" s="26" t="s">
        <v>1405</v>
      </c>
      <c r="CK1092" s="26" t="s">
        <v>2006</v>
      </c>
      <c r="CL1092" s="26" t="str">
        <f t="shared" si="65"/>
        <v>兵庫県相生市</v>
      </c>
      <c r="CM1092" s="49">
        <v>1087</v>
      </c>
      <c r="CN1092" s="17" t="str">
        <f t="shared" si="64"/>
        <v>1189</v>
      </c>
      <c r="CO1092" s="17" t="str">
        <f t="shared" si="66"/>
        <v>10871189相生市</v>
      </c>
      <c r="CP1092" s="17" t="s">
        <v>10068</v>
      </c>
      <c r="CQ1092" s="17" t="b">
        <f t="shared" si="67"/>
        <v>1</v>
      </c>
    </row>
    <row r="1093" spans="6:95">
      <c r="F1093" s="23"/>
      <c r="I1093" s="23"/>
      <c r="L1093" s="50" t="s">
        <v>10069</v>
      </c>
      <c r="M1093" s="17" t="s">
        <v>10070</v>
      </c>
      <c r="N1093" s="51" t="s">
        <v>10071</v>
      </c>
      <c r="O1093" s="29" t="s">
        <v>1462</v>
      </c>
      <c r="P1093" s="29" t="s">
        <v>10072</v>
      </c>
      <c r="Q1093" s="29" t="s">
        <v>1462</v>
      </c>
      <c r="R1093" s="29" t="s">
        <v>4000</v>
      </c>
      <c r="S1093" s="28" t="s">
        <v>2311</v>
      </c>
      <c r="T1093" s="28" t="s">
        <v>2937</v>
      </c>
      <c r="U1093" s="28" t="s">
        <v>1442</v>
      </c>
      <c r="V1093" s="28" t="s">
        <v>1678</v>
      </c>
      <c r="W1093" s="28" t="s">
        <v>10073</v>
      </c>
      <c r="X1093" s="17">
        <v>3</v>
      </c>
      <c r="CJ1093" s="26" t="s">
        <v>1405</v>
      </c>
      <c r="CK1093" s="26" t="s">
        <v>2062</v>
      </c>
      <c r="CL1093" s="26" t="str">
        <f t="shared" si="65"/>
        <v>兵庫県豊岡市</v>
      </c>
      <c r="CM1093" s="49">
        <v>1088</v>
      </c>
      <c r="CN1093" s="17" t="str">
        <f t="shared" si="64"/>
        <v>1190</v>
      </c>
      <c r="CO1093" s="17" t="str">
        <f t="shared" si="66"/>
        <v>10881190豊岡市</v>
      </c>
      <c r="CP1093" s="17" t="s">
        <v>10074</v>
      </c>
      <c r="CQ1093" s="17" t="b">
        <f t="shared" si="67"/>
        <v>1</v>
      </c>
    </row>
    <row r="1094" spans="6:95">
      <c r="F1094" s="23"/>
      <c r="I1094" s="23"/>
      <c r="L1094" s="50" t="s">
        <v>10075</v>
      </c>
      <c r="M1094" s="17" t="s">
        <v>10076</v>
      </c>
      <c r="N1094" s="51" t="s">
        <v>10077</v>
      </c>
      <c r="O1094" s="29" t="s">
        <v>1462</v>
      </c>
      <c r="P1094" s="29" t="s">
        <v>10078</v>
      </c>
      <c r="Q1094" s="29" t="s">
        <v>1462</v>
      </c>
      <c r="R1094" s="29" t="s">
        <v>4007</v>
      </c>
      <c r="S1094" s="28" t="s">
        <v>1564</v>
      </c>
      <c r="T1094" s="28" t="s">
        <v>2970</v>
      </c>
      <c r="U1094" s="28" t="s">
        <v>1442</v>
      </c>
      <c r="V1094" s="28" t="s">
        <v>1678</v>
      </c>
      <c r="W1094" s="28" t="s">
        <v>10079</v>
      </c>
      <c r="X1094" s="17">
        <v>4</v>
      </c>
      <c r="CJ1094" s="26" t="s">
        <v>1405</v>
      </c>
      <c r="CK1094" s="26" t="s">
        <v>2118</v>
      </c>
      <c r="CL1094" s="26" t="str">
        <f t="shared" si="65"/>
        <v>兵庫県加古川市</v>
      </c>
      <c r="CM1094" s="49">
        <v>1089</v>
      </c>
      <c r="CN1094" s="17" t="str">
        <f t="shared" ref="CN1094:CN1157" si="68">VLOOKUP(CL1094,$M$6:$N$1784,2,FALSE)</f>
        <v>1191</v>
      </c>
      <c r="CO1094" s="17" t="str">
        <f t="shared" si="66"/>
        <v>10891191加古川市</v>
      </c>
      <c r="CP1094" s="17" t="s">
        <v>10080</v>
      </c>
      <c r="CQ1094" s="17" t="b">
        <f t="shared" si="67"/>
        <v>1</v>
      </c>
    </row>
    <row r="1095" spans="6:95">
      <c r="F1095" s="23"/>
      <c r="I1095" s="23"/>
      <c r="L1095" s="50" t="s">
        <v>10081</v>
      </c>
      <c r="M1095" s="17" t="s">
        <v>10082</v>
      </c>
      <c r="N1095" s="51" t="s">
        <v>10083</v>
      </c>
      <c r="O1095" s="29" t="s">
        <v>1462</v>
      </c>
      <c r="P1095" s="29" t="s">
        <v>10084</v>
      </c>
      <c r="Q1095" s="29" t="s">
        <v>1462</v>
      </c>
      <c r="R1095" s="29" t="s">
        <v>9019</v>
      </c>
      <c r="S1095" s="28" t="s">
        <v>1977</v>
      </c>
      <c r="T1095" s="28" t="s">
        <v>3004</v>
      </c>
      <c r="U1095" s="28" t="s">
        <v>1442</v>
      </c>
      <c r="V1095" s="28" t="s">
        <v>1678</v>
      </c>
      <c r="W1095" s="28" t="s">
        <v>10085</v>
      </c>
      <c r="X1095" s="17">
        <v>1</v>
      </c>
      <c r="CJ1095" s="26" t="s">
        <v>1405</v>
      </c>
      <c r="CK1095" s="26" t="s">
        <v>2174</v>
      </c>
      <c r="CL1095" s="26" t="str">
        <f t="shared" si="65"/>
        <v>兵庫県赤穂市</v>
      </c>
      <c r="CM1095" s="49">
        <v>1090</v>
      </c>
      <c r="CN1095" s="17" t="str">
        <f t="shared" si="68"/>
        <v>1192</v>
      </c>
      <c r="CO1095" s="17" t="str">
        <f t="shared" si="66"/>
        <v>10901192赤穂市</v>
      </c>
      <c r="CP1095" s="17" t="s">
        <v>10086</v>
      </c>
      <c r="CQ1095" s="17" t="b">
        <f t="shared" si="67"/>
        <v>1</v>
      </c>
    </row>
    <row r="1096" spans="6:95">
      <c r="F1096" s="23"/>
      <c r="I1096" s="23"/>
      <c r="L1096" s="50" t="s">
        <v>10087</v>
      </c>
      <c r="M1096" s="17" t="s">
        <v>10088</v>
      </c>
      <c r="N1096" s="51" t="s">
        <v>10089</v>
      </c>
      <c r="O1096" s="29" t="s">
        <v>1462</v>
      </c>
      <c r="P1096" s="29" t="s">
        <v>10090</v>
      </c>
      <c r="Q1096" s="29" t="s">
        <v>1462</v>
      </c>
      <c r="R1096" s="29" t="s">
        <v>1861</v>
      </c>
      <c r="S1096" s="28" t="s">
        <v>2311</v>
      </c>
      <c r="T1096" s="28" t="s">
        <v>3037</v>
      </c>
      <c r="U1096" s="28" t="s">
        <v>1442</v>
      </c>
      <c r="V1096" s="28" t="s">
        <v>1678</v>
      </c>
      <c r="W1096" s="28" t="s">
        <v>10091</v>
      </c>
      <c r="X1096" s="17">
        <v>2</v>
      </c>
      <c r="CJ1096" s="26" t="s">
        <v>1405</v>
      </c>
      <c r="CK1096" s="26" t="s">
        <v>2229</v>
      </c>
      <c r="CL1096" s="26" t="str">
        <f t="shared" ref="CL1096:CL1159" si="69">CJ1096&amp;CK1096</f>
        <v>兵庫県西脇市</v>
      </c>
      <c r="CM1096" s="49">
        <v>1091</v>
      </c>
      <c r="CN1096" s="17" t="str">
        <f t="shared" si="68"/>
        <v>1193</v>
      </c>
      <c r="CO1096" s="17" t="str">
        <f t="shared" ref="CO1096:CO1159" si="70">CM1096&amp;TEXT(CN1096,0)&amp;CK1096</f>
        <v>10911193西脇市</v>
      </c>
      <c r="CP1096" s="17" t="s">
        <v>10092</v>
      </c>
      <c r="CQ1096" s="17" t="b">
        <f t="shared" ref="CQ1096:CQ1159" si="71">CO1096=CP1096</f>
        <v>1</v>
      </c>
    </row>
    <row r="1097" spans="6:95">
      <c r="F1097" s="23"/>
      <c r="I1097" s="23"/>
      <c r="L1097" s="50" t="s">
        <v>10093</v>
      </c>
      <c r="M1097" s="17" t="s">
        <v>10094</v>
      </c>
      <c r="N1097" s="51" t="s">
        <v>10095</v>
      </c>
      <c r="O1097" s="29" t="s">
        <v>1462</v>
      </c>
      <c r="P1097" s="29" t="s">
        <v>10096</v>
      </c>
      <c r="Q1097" s="29" t="s">
        <v>1462</v>
      </c>
      <c r="R1097" s="29" t="s">
        <v>2033</v>
      </c>
      <c r="S1097" s="28" t="s">
        <v>1502</v>
      </c>
      <c r="T1097" s="28" t="s">
        <v>3068</v>
      </c>
      <c r="U1097" s="28" t="s">
        <v>1442</v>
      </c>
      <c r="V1097" s="28" t="s">
        <v>1678</v>
      </c>
      <c r="W1097" s="28" t="s">
        <v>10097</v>
      </c>
      <c r="X1097" s="17">
        <v>3</v>
      </c>
      <c r="CJ1097" s="26" t="s">
        <v>1405</v>
      </c>
      <c r="CK1097" s="26" t="s">
        <v>2284</v>
      </c>
      <c r="CL1097" s="26" t="str">
        <f t="shared" si="69"/>
        <v>兵庫県宝塚市</v>
      </c>
      <c r="CM1097" s="49">
        <v>1092</v>
      </c>
      <c r="CN1097" s="17" t="str">
        <f t="shared" si="68"/>
        <v>1194</v>
      </c>
      <c r="CO1097" s="17" t="str">
        <f t="shared" si="70"/>
        <v>10921194宝塚市</v>
      </c>
      <c r="CP1097" s="17" t="s">
        <v>10098</v>
      </c>
      <c r="CQ1097" s="17" t="b">
        <f t="shared" si="71"/>
        <v>1</v>
      </c>
    </row>
    <row r="1098" spans="6:95">
      <c r="F1098" s="23"/>
      <c r="I1098" s="23"/>
      <c r="L1098" s="50" t="s">
        <v>10099</v>
      </c>
      <c r="M1098" s="17" t="s">
        <v>10100</v>
      </c>
      <c r="N1098" s="51" t="s">
        <v>10101</v>
      </c>
      <c r="O1098" s="29" t="s">
        <v>1463</v>
      </c>
      <c r="P1098" s="29" t="s">
        <v>10102</v>
      </c>
      <c r="Q1098" s="29" t="s">
        <v>1463</v>
      </c>
      <c r="R1098" s="29" t="s">
        <v>4593</v>
      </c>
      <c r="S1098" s="28" t="s">
        <v>2525</v>
      </c>
      <c r="T1098" s="28" t="s">
        <v>1528</v>
      </c>
      <c r="U1098" s="28" t="s">
        <v>1443</v>
      </c>
      <c r="V1098" s="28" t="s">
        <v>1736</v>
      </c>
      <c r="W1098" s="28" t="s">
        <v>10103</v>
      </c>
      <c r="X1098" s="17">
        <v>1</v>
      </c>
      <c r="CJ1098" s="26" t="s">
        <v>1405</v>
      </c>
      <c r="CK1098" s="26" t="s">
        <v>2340</v>
      </c>
      <c r="CL1098" s="26" t="str">
        <f t="shared" si="69"/>
        <v>兵庫県三木市</v>
      </c>
      <c r="CM1098" s="49">
        <v>1093</v>
      </c>
      <c r="CN1098" s="17" t="str">
        <f t="shared" si="68"/>
        <v>1195</v>
      </c>
      <c r="CO1098" s="17" t="str">
        <f t="shared" si="70"/>
        <v>10931195三木市</v>
      </c>
      <c r="CP1098" s="17" t="s">
        <v>10104</v>
      </c>
      <c r="CQ1098" s="17" t="b">
        <f t="shared" si="71"/>
        <v>1</v>
      </c>
    </row>
    <row r="1099" spans="6:95">
      <c r="F1099" s="23"/>
      <c r="I1099" s="23"/>
      <c r="L1099" s="50" t="s">
        <v>10105</v>
      </c>
      <c r="M1099" s="17" t="s">
        <v>10106</v>
      </c>
      <c r="N1099" s="51" t="s">
        <v>10107</v>
      </c>
      <c r="O1099" s="29" t="s">
        <v>1463</v>
      </c>
      <c r="P1099" s="29" t="s">
        <v>10108</v>
      </c>
      <c r="Q1099" s="29" t="s">
        <v>1463</v>
      </c>
      <c r="R1099" s="29" t="s">
        <v>1563</v>
      </c>
      <c r="S1099" s="28" t="s">
        <v>2311</v>
      </c>
      <c r="T1099" s="28" t="s">
        <v>1590</v>
      </c>
      <c r="U1099" s="28" t="s">
        <v>1443</v>
      </c>
      <c r="V1099" s="28" t="s">
        <v>1736</v>
      </c>
      <c r="W1099" s="28" t="s">
        <v>10109</v>
      </c>
      <c r="X1099" s="17">
        <v>1</v>
      </c>
      <c r="CJ1099" s="26" t="s">
        <v>1405</v>
      </c>
      <c r="CK1099" s="26" t="s">
        <v>2394</v>
      </c>
      <c r="CL1099" s="26" t="str">
        <f t="shared" si="69"/>
        <v>兵庫県高砂市</v>
      </c>
      <c r="CM1099" s="49">
        <v>1094</v>
      </c>
      <c r="CN1099" s="17" t="str">
        <f t="shared" si="68"/>
        <v>1196</v>
      </c>
      <c r="CO1099" s="17" t="str">
        <f t="shared" si="70"/>
        <v>10941196高砂市</v>
      </c>
      <c r="CP1099" s="17" t="s">
        <v>10110</v>
      </c>
      <c r="CQ1099" s="17" t="b">
        <f t="shared" si="71"/>
        <v>1</v>
      </c>
    </row>
    <row r="1100" spans="6:95">
      <c r="F1100" s="23"/>
      <c r="I1100" s="23"/>
      <c r="L1100" s="50" t="s">
        <v>10111</v>
      </c>
      <c r="M1100" s="17" t="s">
        <v>10112</v>
      </c>
      <c r="N1100" s="51" t="s">
        <v>10113</v>
      </c>
      <c r="O1100" s="29" t="s">
        <v>1463</v>
      </c>
      <c r="P1100" s="29" t="s">
        <v>10114</v>
      </c>
      <c r="Q1100" s="29" t="s">
        <v>1463</v>
      </c>
      <c r="R1100" s="29" t="s">
        <v>1625</v>
      </c>
      <c r="S1100" s="28" t="s">
        <v>1564</v>
      </c>
      <c r="T1100" s="28" t="s">
        <v>1652</v>
      </c>
      <c r="U1100" s="28" t="s">
        <v>1443</v>
      </c>
      <c r="V1100" s="28" t="s">
        <v>1736</v>
      </c>
      <c r="W1100" s="28" t="s">
        <v>10115</v>
      </c>
      <c r="X1100" s="17">
        <v>1</v>
      </c>
      <c r="CJ1100" s="26" t="s">
        <v>1405</v>
      </c>
      <c r="CK1100" s="26" t="s">
        <v>2449</v>
      </c>
      <c r="CL1100" s="26" t="str">
        <f t="shared" si="69"/>
        <v>兵庫県川西市</v>
      </c>
      <c r="CM1100" s="49">
        <v>1095</v>
      </c>
      <c r="CN1100" s="17" t="str">
        <f t="shared" si="68"/>
        <v>1197</v>
      </c>
      <c r="CO1100" s="17" t="str">
        <f t="shared" si="70"/>
        <v>10951197川西市</v>
      </c>
      <c r="CP1100" s="17" t="s">
        <v>10116</v>
      </c>
      <c r="CQ1100" s="17" t="b">
        <f t="shared" si="71"/>
        <v>1</v>
      </c>
    </row>
    <row r="1101" spans="6:95">
      <c r="F1101" s="23"/>
      <c r="I1101" s="23"/>
      <c r="L1101" s="50" t="s">
        <v>10117</v>
      </c>
      <c r="M1101" s="17" t="s">
        <v>10118</v>
      </c>
      <c r="N1101" s="51" t="s">
        <v>10119</v>
      </c>
      <c r="O1101" s="29" t="s">
        <v>1463</v>
      </c>
      <c r="P1101" s="29" t="s">
        <v>10120</v>
      </c>
      <c r="Q1101" s="29" t="s">
        <v>1463</v>
      </c>
      <c r="R1101" s="29" t="s">
        <v>1684</v>
      </c>
      <c r="S1101" s="28" t="s">
        <v>1626</v>
      </c>
      <c r="T1101" s="28" t="s">
        <v>1710</v>
      </c>
      <c r="U1101" s="28" t="s">
        <v>1443</v>
      </c>
      <c r="V1101" s="28" t="s">
        <v>1736</v>
      </c>
      <c r="W1101" s="28" t="s">
        <v>10121</v>
      </c>
      <c r="X1101" s="17">
        <v>1</v>
      </c>
      <c r="CJ1101" s="26" t="s">
        <v>1405</v>
      </c>
      <c r="CK1101" s="26" t="s">
        <v>2500</v>
      </c>
      <c r="CL1101" s="26" t="str">
        <f t="shared" si="69"/>
        <v>兵庫県小野市</v>
      </c>
      <c r="CM1101" s="49">
        <v>1096</v>
      </c>
      <c r="CN1101" s="17" t="str">
        <f t="shared" si="68"/>
        <v>1198</v>
      </c>
      <c r="CO1101" s="17" t="str">
        <f t="shared" si="70"/>
        <v>10961198小野市</v>
      </c>
      <c r="CP1101" s="17" t="s">
        <v>10122</v>
      </c>
      <c r="CQ1101" s="17" t="b">
        <f t="shared" si="71"/>
        <v>1</v>
      </c>
    </row>
    <row r="1102" spans="6:95">
      <c r="F1102" s="23"/>
      <c r="I1102" s="23"/>
      <c r="L1102" s="50" t="s">
        <v>10123</v>
      </c>
      <c r="M1102" s="17" t="s">
        <v>10124</v>
      </c>
      <c r="N1102" s="51" t="s">
        <v>10125</v>
      </c>
      <c r="O1102" s="29" t="s">
        <v>1463</v>
      </c>
      <c r="P1102" s="29" t="s">
        <v>10126</v>
      </c>
      <c r="Q1102" s="29" t="s">
        <v>1463</v>
      </c>
      <c r="R1102" s="29" t="s">
        <v>1802</v>
      </c>
      <c r="S1102" s="28" t="s">
        <v>1743</v>
      </c>
      <c r="T1102" s="28" t="s">
        <v>1769</v>
      </c>
      <c r="U1102" s="28" t="s">
        <v>1443</v>
      </c>
      <c r="V1102" s="28" t="s">
        <v>1736</v>
      </c>
      <c r="W1102" s="28" t="s">
        <v>10127</v>
      </c>
      <c r="X1102" s="17">
        <v>1</v>
      </c>
      <c r="CJ1102" s="26" t="s">
        <v>1405</v>
      </c>
      <c r="CK1102" s="26" t="s">
        <v>2552</v>
      </c>
      <c r="CL1102" s="26" t="str">
        <f t="shared" si="69"/>
        <v>兵庫県三田市</v>
      </c>
      <c r="CM1102" s="49">
        <v>1097</v>
      </c>
      <c r="CN1102" s="17" t="str">
        <f t="shared" si="68"/>
        <v>1199</v>
      </c>
      <c r="CO1102" s="17" t="str">
        <f t="shared" si="70"/>
        <v>10971199三田市</v>
      </c>
      <c r="CP1102" s="17" t="s">
        <v>10128</v>
      </c>
      <c r="CQ1102" s="17" t="b">
        <f t="shared" si="71"/>
        <v>1</v>
      </c>
    </row>
    <row r="1103" spans="6:95">
      <c r="F1103" s="23"/>
      <c r="I1103" s="23"/>
      <c r="L1103" s="50" t="s">
        <v>10129</v>
      </c>
      <c r="M1103" s="17" t="s">
        <v>10130</v>
      </c>
      <c r="N1103" s="51" t="s">
        <v>10131</v>
      </c>
      <c r="O1103" s="29" t="s">
        <v>1463</v>
      </c>
      <c r="P1103" s="29" t="s">
        <v>10132</v>
      </c>
      <c r="Q1103" s="29" t="s">
        <v>1463</v>
      </c>
      <c r="R1103" s="29" t="s">
        <v>1861</v>
      </c>
      <c r="S1103" s="28" t="s">
        <v>1803</v>
      </c>
      <c r="T1103" s="28" t="s">
        <v>1829</v>
      </c>
      <c r="U1103" s="28" t="s">
        <v>1443</v>
      </c>
      <c r="V1103" s="28" t="s">
        <v>1736</v>
      </c>
      <c r="W1103" s="28" t="s">
        <v>10133</v>
      </c>
      <c r="X1103" s="17">
        <v>1</v>
      </c>
      <c r="CJ1103" s="26" t="s">
        <v>1405</v>
      </c>
      <c r="CK1103" s="26" t="s">
        <v>2600</v>
      </c>
      <c r="CL1103" s="26" t="str">
        <f t="shared" si="69"/>
        <v>兵庫県加西市</v>
      </c>
      <c r="CM1103" s="49">
        <v>1098</v>
      </c>
      <c r="CN1103" s="17" t="str">
        <f t="shared" si="68"/>
        <v>1200</v>
      </c>
      <c r="CO1103" s="17" t="str">
        <f t="shared" si="70"/>
        <v>10981200加西市</v>
      </c>
      <c r="CP1103" s="17" t="s">
        <v>10134</v>
      </c>
      <c r="CQ1103" s="17" t="b">
        <f t="shared" si="71"/>
        <v>1</v>
      </c>
    </row>
    <row r="1104" spans="6:95">
      <c r="F1104" s="23"/>
      <c r="I1104" s="23"/>
      <c r="L1104" s="50" t="s">
        <v>10135</v>
      </c>
      <c r="M1104" s="17" t="s">
        <v>10136</v>
      </c>
      <c r="N1104" s="51" t="s">
        <v>10137</v>
      </c>
      <c r="O1104" s="29" t="s">
        <v>1463</v>
      </c>
      <c r="P1104" s="29" t="s">
        <v>10138</v>
      </c>
      <c r="Q1104" s="29" t="s">
        <v>1463</v>
      </c>
      <c r="R1104" s="29" t="s">
        <v>1976</v>
      </c>
      <c r="S1104" s="28" t="s">
        <v>1920</v>
      </c>
      <c r="T1104" s="28" t="s">
        <v>1888</v>
      </c>
      <c r="U1104" s="28" t="s">
        <v>1443</v>
      </c>
      <c r="V1104" s="28" t="s">
        <v>1736</v>
      </c>
      <c r="W1104" s="28" t="s">
        <v>10139</v>
      </c>
      <c r="X1104" s="17">
        <v>1</v>
      </c>
      <c r="CJ1104" s="26" t="s">
        <v>1405</v>
      </c>
      <c r="CK1104" s="26" t="s">
        <v>2647</v>
      </c>
      <c r="CL1104" s="26" t="str">
        <f t="shared" si="69"/>
        <v>兵庫県丹波篠山市</v>
      </c>
      <c r="CM1104" s="49">
        <v>1099</v>
      </c>
      <c r="CN1104" s="17" t="str">
        <f t="shared" si="68"/>
        <v>1201</v>
      </c>
      <c r="CO1104" s="17" t="str">
        <f t="shared" si="70"/>
        <v>10991201丹波篠山市</v>
      </c>
      <c r="CP1104" s="17" t="s">
        <v>10140</v>
      </c>
      <c r="CQ1104" s="17" t="b">
        <f t="shared" si="71"/>
        <v>1</v>
      </c>
    </row>
    <row r="1105" spans="6:95">
      <c r="F1105" s="23"/>
      <c r="I1105" s="23"/>
      <c r="L1105" s="50" t="s">
        <v>10141</v>
      </c>
      <c r="M1105" s="17" t="s">
        <v>10142</v>
      </c>
      <c r="N1105" s="51" t="s">
        <v>10143</v>
      </c>
      <c r="O1105" s="29" t="s">
        <v>1463</v>
      </c>
      <c r="P1105" s="29" t="s">
        <v>10144</v>
      </c>
      <c r="Q1105" s="29" t="s">
        <v>1463</v>
      </c>
      <c r="R1105" s="29" t="s">
        <v>2033</v>
      </c>
      <c r="S1105" s="28" t="s">
        <v>1977</v>
      </c>
      <c r="T1105" s="28" t="s">
        <v>1946</v>
      </c>
      <c r="U1105" s="28" t="s">
        <v>1443</v>
      </c>
      <c r="V1105" s="28" t="s">
        <v>1736</v>
      </c>
      <c r="W1105" s="28" t="s">
        <v>10145</v>
      </c>
      <c r="X1105" s="17">
        <v>1</v>
      </c>
      <c r="CJ1105" s="26" t="s">
        <v>1405</v>
      </c>
      <c r="CK1105" s="26" t="s">
        <v>2693</v>
      </c>
      <c r="CL1105" s="26" t="str">
        <f t="shared" si="69"/>
        <v>兵庫県養父市</v>
      </c>
      <c r="CM1105" s="49">
        <v>1100</v>
      </c>
      <c r="CN1105" s="17" t="str">
        <f t="shared" si="68"/>
        <v>1202</v>
      </c>
      <c r="CO1105" s="17" t="str">
        <f t="shared" si="70"/>
        <v>11001202養父市</v>
      </c>
      <c r="CP1105" s="17" t="s">
        <v>10146</v>
      </c>
      <c r="CQ1105" s="17" t="b">
        <f t="shared" si="71"/>
        <v>1</v>
      </c>
    </row>
    <row r="1106" spans="6:95">
      <c r="F1106" s="23"/>
      <c r="I1106" s="23"/>
      <c r="L1106" s="50" t="s">
        <v>10147</v>
      </c>
      <c r="M1106" s="17" t="s">
        <v>10148</v>
      </c>
      <c r="N1106" s="51" t="s">
        <v>10149</v>
      </c>
      <c r="O1106" s="29" t="s">
        <v>1463</v>
      </c>
      <c r="P1106" s="29" t="s">
        <v>10150</v>
      </c>
      <c r="Q1106" s="29" t="s">
        <v>1463</v>
      </c>
      <c r="R1106" s="29" t="s">
        <v>2089</v>
      </c>
      <c r="S1106" s="28" t="s">
        <v>1743</v>
      </c>
      <c r="T1106" s="28" t="s">
        <v>2003</v>
      </c>
      <c r="U1106" s="28" t="s">
        <v>1443</v>
      </c>
      <c r="V1106" s="28" t="s">
        <v>1736</v>
      </c>
      <c r="W1106" s="28" t="s">
        <v>10151</v>
      </c>
      <c r="X1106" s="17">
        <v>1</v>
      </c>
      <c r="CJ1106" s="26" t="s">
        <v>1405</v>
      </c>
      <c r="CK1106" s="26" t="s">
        <v>2739</v>
      </c>
      <c r="CL1106" s="26" t="str">
        <f t="shared" si="69"/>
        <v>兵庫県丹波市</v>
      </c>
      <c r="CM1106" s="49">
        <v>1101</v>
      </c>
      <c r="CN1106" s="17" t="str">
        <f t="shared" si="68"/>
        <v>1203</v>
      </c>
      <c r="CO1106" s="17" t="str">
        <f t="shared" si="70"/>
        <v>11011203丹波市</v>
      </c>
      <c r="CP1106" s="17" t="s">
        <v>10152</v>
      </c>
      <c r="CQ1106" s="17" t="b">
        <f t="shared" si="71"/>
        <v>1</v>
      </c>
    </row>
    <row r="1107" spans="6:95">
      <c r="F1107" s="23"/>
      <c r="I1107" s="23"/>
      <c r="L1107" s="50" t="s">
        <v>10153</v>
      </c>
      <c r="M1107" s="17" t="s">
        <v>10154</v>
      </c>
      <c r="N1107" s="51" t="s">
        <v>10155</v>
      </c>
      <c r="O1107" s="29" t="s">
        <v>1463</v>
      </c>
      <c r="P1107" s="29" t="s">
        <v>10156</v>
      </c>
      <c r="Q1107" s="29" t="s">
        <v>1463</v>
      </c>
      <c r="R1107" s="29" t="s">
        <v>2145</v>
      </c>
      <c r="S1107" s="28" t="s">
        <v>1803</v>
      </c>
      <c r="T1107" s="28" t="s">
        <v>2059</v>
      </c>
      <c r="U1107" s="28" t="s">
        <v>1443</v>
      </c>
      <c r="V1107" s="28" t="s">
        <v>1736</v>
      </c>
      <c r="W1107" s="28" t="s">
        <v>10157</v>
      </c>
      <c r="X1107" s="17">
        <v>1</v>
      </c>
      <c r="CJ1107" s="26" t="s">
        <v>1405</v>
      </c>
      <c r="CK1107" s="26" t="s">
        <v>2783</v>
      </c>
      <c r="CL1107" s="26" t="str">
        <f t="shared" si="69"/>
        <v>兵庫県南あわじ市</v>
      </c>
      <c r="CM1107" s="49">
        <v>1102</v>
      </c>
      <c r="CN1107" s="17" t="str">
        <f t="shared" si="68"/>
        <v>1204</v>
      </c>
      <c r="CO1107" s="17" t="str">
        <f t="shared" si="70"/>
        <v>11021204南あわじ市</v>
      </c>
      <c r="CP1107" s="17" t="s">
        <v>10158</v>
      </c>
      <c r="CQ1107" s="17" t="b">
        <f t="shared" si="71"/>
        <v>1</v>
      </c>
    </row>
    <row r="1108" spans="6:95">
      <c r="F1108" s="23"/>
      <c r="I1108" s="23"/>
      <c r="L1108" s="50" t="s">
        <v>10159</v>
      </c>
      <c r="M1108" s="17" t="s">
        <v>10160</v>
      </c>
      <c r="N1108" s="51" t="s">
        <v>10161</v>
      </c>
      <c r="O1108" s="29" t="s">
        <v>1463</v>
      </c>
      <c r="P1108" s="29" t="s">
        <v>10162</v>
      </c>
      <c r="Q1108" s="29" t="s">
        <v>1463</v>
      </c>
      <c r="R1108" s="29" t="s">
        <v>2200</v>
      </c>
      <c r="S1108" s="28" t="s">
        <v>1862</v>
      </c>
      <c r="T1108" s="28" t="s">
        <v>2115</v>
      </c>
      <c r="U1108" s="28" t="s">
        <v>1443</v>
      </c>
      <c r="V1108" s="28" t="s">
        <v>1736</v>
      </c>
      <c r="W1108" s="28" t="s">
        <v>10163</v>
      </c>
      <c r="X1108" s="17">
        <v>1</v>
      </c>
      <c r="CJ1108" s="26" t="s">
        <v>1405</v>
      </c>
      <c r="CK1108" s="26" t="s">
        <v>2825</v>
      </c>
      <c r="CL1108" s="26" t="str">
        <f t="shared" si="69"/>
        <v>兵庫県朝来市</v>
      </c>
      <c r="CM1108" s="49">
        <v>1103</v>
      </c>
      <c r="CN1108" s="17" t="str">
        <f t="shared" si="68"/>
        <v>1205</v>
      </c>
      <c r="CO1108" s="17" t="str">
        <f t="shared" si="70"/>
        <v>11031205朝来市</v>
      </c>
      <c r="CP1108" s="17" t="s">
        <v>10164</v>
      </c>
      <c r="CQ1108" s="17" t="b">
        <f t="shared" si="71"/>
        <v>1</v>
      </c>
    </row>
    <row r="1109" spans="6:95">
      <c r="F1109" s="23"/>
      <c r="I1109" s="23"/>
      <c r="L1109" s="50" t="s">
        <v>10165</v>
      </c>
      <c r="M1109" s="17" t="s">
        <v>10166</v>
      </c>
      <c r="N1109" s="51" t="s">
        <v>10167</v>
      </c>
      <c r="O1109" s="29" t="s">
        <v>1463</v>
      </c>
      <c r="P1109" s="29" t="s">
        <v>10168</v>
      </c>
      <c r="Q1109" s="29" t="s">
        <v>1463</v>
      </c>
      <c r="R1109" s="29" t="s">
        <v>2255</v>
      </c>
      <c r="S1109" s="28" t="s">
        <v>1920</v>
      </c>
      <c r="T1109" s="28" t="s">
        <v>2171</v>
      </c>
      <c r="U1109" s="28" t="s">
        <v>1443</v>
      </c>
      <c r="V1109" s="28" t="s">
        <v>1736</v>
      </c>
      <c r="W1109" s="28" t="s">
        <v>10169</v>
      </c>
      <c r="X1109" s="17">
        <v>1</v>
      </c>
      <c r="CJ1109" s="26" t="s">
        <v>1405</v>
      </c>
      <c r="CK1109" s="26" t="s">
        <v>2865</v>
      </c>
      <c r="CL1109" s="26" t="str">
        <f t="shared" si="69"/>
        <v>兵庫県淡路市</v>
      </c>
      <c r="CM1109" s="49">
        <v>1104</v>
      </c>
      <c r="CN1109" s="17" t="str">
        <f t="shared" si="68"/>
        <v>1206</v>
      </c>
      <c r="CO1109" s="17" t="str">
        <f t="shared" si="70"/>
        <v>11041206淡路市</v>
      </c>
      <c r="CP1109" s="17" t="s">
        <v>10170</v>
      </c>
      <c r="CQ1109" s="17" t="b">
        <f t="shared" si="71"/>
        <v>1</v>
      </c>
    </row>
    <row r="1110" spans="6:95">
      <c r="F1110" s="23"/>
      <c r="I1110" s="23"/>
      <c r="L1110" s="50" t="s">
        <v>10171</v>
      </c>
      <c r="M1110" s="17" t="s">
        <v>10172</v>
      </c>
      <c r="N1110" s="51" t="s">
        <v>10173</v>
      </c>
      <c r="O1110" s="29" t="s">
        <v>1463</v>
      </c>
      <c r="P1110" s="29" t="s">
        <v>10174</v>
      </c>
      <c r="Q1110" s="29" t="s">
        <v>1463</v>
      </c>
      <c r="R1110" s="29" t="s">
        <v>4679</v>
      </c>
      <c r="S1110" s="28" t="s">
        <v>1564</v>
      </c>
      <c r="T1110" s="28" t="s">
        <v>2226</v>
      </c>
      <c r="U1110" s="28" t="s">
        <v>1443</v>
      </c>
      <c r="V1110" s="28" t="s">
        <v>1736</v>
      </c>
      <c r="W1110" s="28" t="s">
        <v>10175</v>
      </c>
      <c r="X1110" s="17">
        <v>1</v>
      </c>
      <c r="CJ1110" s="26" t="s">
        <v>1405</v>
      </c>
      <c r="CK1110" s="26" t="s">
        <v>2903</v>
      </c>
      <c r="CL1110" s="26" t="str">
        <f t="shared" si="69"/>
        <v>兵庫県宍粟市</v>
      </c>
      <c r="CM1110" s="49">
        <v>1105</v>
      </c>
      <c r="CN1110" s="17" t="str">
        <f t="shared" si="68"/>
        <v>1207</v>
      </c>
      <c r="CO1110" s="17" t="str">
        <f t="shared" si="70"/>
        <v>11051207宍粟市</v>
      </c>
      <c r="CP1110" s="17" t="s">
        <v>10176</v>
      </c>
      <c r="CQ1110" s="17" t="b">
        <f t="shared" si="71"/>
        <v>1</v>
      </c>
    </row>
    <row r="1111" spans="6:95">
      <c r="F1111" s="23"/>
      <c r="I1111" s="23"/>
      <c r="L1111" s="50" t="s">
        <v>10177</v>
      </c>
      <c r="M1111" s="17" t="s">
        <v>10178</v>
      </c>
      <c r="N1111" s="51" t="s">
        <v>10179</v>
      </c>
      <c r="O1111" s="29" t="s">
        <v>1463</v>
      </c>
      <c r="P1111" s="29" t="s">
        <v>10180</v>
      </c>
      <c r="Q1111" s="29" t="s">
        <v>1463</v>
      </c>
      <c r="R1111" s="29" t="s">
        <v>6536</v>
      </c>
      <c r="S1111" s="28" t="s">
        <v>1564</v>
      </c>
      <c r="T1111" s="28" t="s">
        <v>2281</v>
      </c>
      <c r="U1111" s="28" t="s">
        <v>1443</v>
      </c>
      <c r="V1111" s="28" t="s">
        <v>1736</v>
      </c>
      <c r="W1111" s="28" t="s">
        <v>10181</v>
      </c>
      <c r="X1111" s="17">
        <v>1</v>
      </c>
      <c r="CJ1111" s="26" t="s">
        <v>1405</v>
      </c>
      <c r="CK1111" s="26" t="s">
        <v>2939</v>
      </c>
      <c r="CL1111" s="26" t="str">
        <f t="shared" si="69"/>
        <v>兵庫県加東市</v>
      </c>
      <c r="CM1111" s="49">
        <v>1106</v>
      </c>
      <c r="CN1111" s="17" t="str">
        <f t="shared" si="68"/>
        <v>1208</v>
      </c>
      <c r="CO1111" s="17" t="str">
        <f t="shared" si="70"/>
        <v>11061208加東市</v>
      </c>
      <c r="CP1111" s="17" t="s">
        <v>10182</v>
      </c>
      <c r="CQ1111" s="17" t="b">
        <f t="shared" si="71"/>
        <v>1</v>
      </c>
    </row>
    <row r="1112" spans="6:95">
      <c r="F1112" s="23"/>
      <c r="I1112" s="23"/>
      <c r="L1112" s="50" t="s">
        <v>10183</v>
      </c>
      <c r="M1112" s="17" t="s">
        <v>10184</v>
      </c>
      <c r="N1112" s="51" t="s">
        <v>10185</v>
      </c>
      <c r="O1112" s="29" t="s">
        <v>1463</v>
      </c>
      <c r="P1112" s="29" t="s">
        <v>10186</v>
      </c>
      <c r="Q1112" s="29" t="s">
        <v>1463</v>
      </c>
      <c r="R1112" s="29" t="s">
        <v>4723</v>
      </c>
      <c r="S1112" s="28" t="s">
        <v>1626</v>
      </c>
      <c r="T1112" s="28" t="s">
        <v>2337</v>
      </c>
      <c r="U1112" s="28" t="s">
        <v>1443</v>
      </c>
      <c r="V1112" s="28" t="s">
        <v>1736</v>
      </c>
      <c r="W1112" s="28" t="s">
        <v>10187</v>
      </c>
      <c r="X1112" s="17">
        <v>1</v>
      </c>
      <c r="CJ1112" s="26" t="s">
        <v>1405</v>
      </c>
      <c r="CK1112" s="26" t="s">
        <v>2972</v>
      </c>
      <c r="CL1112" s="26" t="str">
        <f t="shared" si="69"/>
        <v>兵庫県たつの市</v>
      </c>
      <c r="CM1112" s="49">
        <v>1107</v>
      </c>
      <c r="CN1112" s="17" t="str">
        <f t="shared" si="68"/>
        <v>1209</v>
      </c>
      <c r="CO1112" s="17" t="str">
        <f t="shared" si="70"/>
        <v>11071209たつの市</v>
      </c>
      <c r="CP1112" s="17" t="s">
        <v>10188</v>
      </c>
      <c r="CQ1112" s="17" t="b">
        <f t="shared" si="71"/>
        <v>1</v>
      </c>
    </row>
    <row r="1113" spans="6:95">
      <c r="F1113" s="23"/>
      <c r="I1113" s="23"/>
      <c r="L1113" s="50" t="s">
        <v>10189</v>
      </c>
      <c r="M1113" s="17" t="s">
        <v>10190</v>
      </c>
      <c r="N1113" s="51" t="s">
        <v>10191</v>
      </c>
      <c r="O1113" s="29" t="s">
        <v>1463</v>
      </c>
      <c r="P1113" s="29" t="s">
        <v>10192</v>
      </c>
      <c r="Q1113" s="29" t="s">
        <v>1463</v>
      </c>
      <c r="R1113" s="29" t="s">
        <v>4397</v>
      </c>
      <c r="S1113" s="28" t="s">
        <v>1862</v>
      </c>
      <c r="T1113" s="28" t="s">
        <v>2391</v>
      </c>
      <c r="U1113" s="28" t="s">
        <v>1443</v>
      </c>
      <c r="V1113" s="28" t="s">
        <v>1736</v>
      </c>
      <c r="W1113" s="28" t="s">
        <v>10193</v>
      </c>
      <c r="X1113" s="17">
        <v>1</v>
      </c>
      <c r="CJ1113" s="26" t="s">
        <v>1405</v>
      </c>
      <c r="CK1113" s="26" t="s">
        <v>3006</v>
      </c>
      <c r="CL1113" s="26" t="str">
        <f t="shared" si="69"/>
        <v>兵庫県猪名川町</v>
      </c>
      <c r="CM1113" s="49">
        <v>1108</v>
      </c>
      <c r="CN1113" s="17" t="str">
        <f t="shared" si="68"/>
        <v>1210</v>
      </c>
      <c r="CO1113" s="17" t="str">
        <f t="shared" si="70"/>
        <v>11081210猪名川町</v>
      </c>
      <c r="CP1113" s="17" t="s">
        <v>10194</v>
      </c>
      <c r="CQ1113" s="17" t="b">
        <f t="shared" si="71"/>
        <v>1</v>
      </c>
    </row>
    <row r="1114" spans="6:95">
      <c r="F1114" s="23"/>
      <c r="I1114" s="23"/>
      <c r="L1114" s="50" t="s">
        <v>10195</v>
      </c>
      <c r="M1114" s="17" t="s">
        <v>10196</v>
      </c>
      <c r="N1114" s="51" t="s">
        <v>10197</v>
      </c>
      <c r="O1114" s="29" t="s">
        <v>1463</v>
      </c>
      <c r="P1114" s="29" t="s">
        <v>10198</v>
      </c>
      <c r="Q1114" s="29" t="s">
        <v>1463</v>
      </c>
      <c r="R1114" s="29" t="s">
        <v>4806</v>
      </c>
      <c r="S1114" s="28" t="s">
        <v>1502</v>
      </c>
      <c r="T1114" s="28" t="s">
        <v>2446</v>
      </c>
      <c r="U1114" s="28" t="s">
        <v>1443</v>
      </c>
      <c r="V1114" s="28" t="s">
        <v>1736</v>
      </c>
      <c r="W1114" s="28" t="s">
        <v>10199</v>
      </c>
      <c r="X1114" s="17">
        <v>1</v>
      </c>
      <c r="CJ1114" s="26" t="s">
        <v>1405</v>
      </c>
      <c r="CK1114" s="26" t="s">
        <v>3039</v>
      </c>
      <c r="CL1114" s="26" t="str">
        <f t="shared" si="69"/>
        <v>兵庫県多可町</v>
      </c>
      <c r="CM1114" s="49">
        <v>1109</v>
      </c>
      <c r="CN1114" s="17" t="str">
        <f t="shared" si="68"/>
        <v>1211</v>
      </c>
      <c r="CO1114" s="17" t="str">
        <f t="shared" si="70"/>
        <v>11091211多可町</v>
      </c>
      <c r="CP1114" s="17" t="s">
        <v>10200</v>
      </c>
      <c r="CQ1114" s="17" t="b">
        <f t="shared" si="71"/>
        <v>1</v>
      </c>
    </row>
    <row r="1115" spans="6:95">
      <c r="F1115" s="23"/>
      <c r="I1115" s="23"/>
      <c r="L1115" s="50" t="s">
        <v>10201</v>
      </c>
      <c r="M1115" s="17" t="s">
        <v>10202</v>
      </c>
      <c r="N1115" s="51" t="s">
        <v>10203</v>
      </c>
      <c r="O1115" s="29" t="s">
        <v>1463</v>
      </c>
      <c r="P1115" s="29" t="s">
        <v>10204</v>
      </c>
      <c r="Q1115" s="29" t="s">
        <v>1463</v>
      </c>
      <c r="R1115" s="29" t="s">
        <v>4812</v>
      </c>
      <c r="S1115" s="28" t="s">
        <v>2525</v>
      </c>
      <c r="T1115" s="28" t="s">
        <v>2497</v>
      </c>
      <c r="U1115" s="28" t="s">
        <v>1443</v>
      </c>
      <c r="V1115" s="28" t="s">
        <v>1736</v>
      </c>
      <c r="W1115" s="28" t="s">
        <v>10205</v>
      </c>
      <c r="X1115" s="17">
        <v>1</v>
      </c>
      <c r="CJ1115" s="26" t="s">
        <v>1405</v>
      </c>
      <c r="CK1115" s="26" t="s">
        <v>3070</v>
      </c>
      <c r="CL1115" s="26" t="str">
        <f t="shared" si="69"/>
        <v>兵庫県稲美町</v>
      </c>
      <c r="CM1115" s="49">
        <v>1110</v>
      </c>
      <c r="CN1115" s="17" t="str">
        <f t="shared" si="68"/>
        <v>1212</v>
      </c>
      <c r="CO1115" s="17" t="str">
        <f t="shared" si="70"/>
        <v>11101212稲美町</v>
      </c>
      <c r="CP1115" s="17" t="s">
        <v>10206</v>
      </c>
      <c r="CQ1115" s="17" t="b">
        <f t="shared" si="71"/>
        <v>1</v>
      </c>
    </row>
    <row r="1116" spans="6:95">
      <c r="F1116" s="23"/>
      <c r="I1116" s="23"/>
      <c r="L1116" s="50" t="s">
        <v>10207</v>
      </c>
      <c r="M1116" s="17" t="s">
        <v>10208</v>
      </c>
      <c r="N1116" s="51" t="s">
        <v>10209</v>
      </c>
      <c r="O1116" s="29" t="s">
        <v>1463</v>
      </c>
      <c r="P1116" s="29" t="s">
        <v>10210</v>
      </c>
      <c r="Q1116" s="29" t="s">
        <v>1463</v>
      </c>
      <c r="R1116" s="29" t="s">
        <v>4818</v>
      </c>
      <c r="S1116" s="28" t="s">
        <v>2311</v>
      </c>
      <c r="T1116" s="28" t="s">
        <v>2549</v>
      </c>
      <c r="U1116" s="28" t="s">
        <v>1443</v>
      </c>
      <c r="V1116" s="28" t="s">
        <v>1736</v>
      </c>
      <c r="W1116" s="28" t="s">
        <v>10211</v>
      </c>
      <c r="X1116" s="17">
        <v>1</v>
      </c>
      <c r="CJ1116" s="26" t="s">
        <v>1405</v>
      </c>
      <c r="CK1116" s="26" t="s">
        <v>3099</v>
      </c>
      <c r="CL1116" s="26" t="str">
        <f t="shared" si="69"/>
        <v>兵庫県播磨町</v>
      </c>
      <c r="CM1116" s="49">
        <v>1111</v>
      </c>
      <c r="CN1116" s="17" t="str">
        <f t="shared" si="68"/>
        <v>1213</v>
      </c>
      <c r="CO1116" s="17" t="str">
        <f t="shared" si="70"/>
        <v>11111213播磨町</v>
      </c>
      <c r="CP1116" s="17" t="s">
        <v>10212</v>
      </c>
      <c r="CQ1116" s="17" t="b">
        <f t="shared" si="71"/>
        <v>1</v>
      </c>
    </row>
    <row r="1117" spans="6:95">
      <c r="F1117" s="23"/>
      <c r="I1117" s="23"/>
      <c r="L1117" s="50" t="s">
        <v>10213</v>
      </c>
      <c r="M1117" s="17" t="s">
        <v>10214</v>
      </c>
      <c r="N1117" s="51" t="s">
        <v>10215</v>
      </c>
      <c r="O1117" s="29" t="s">
        <v>1464</v>
      </c>
      <c r="P1117" s="29" t="s">
        <v>10216</v>
      </c>
      <c r="Q1117" s="29" t="s">
        <v>1464</v>
      </c>
      <c r="R1117" s="29" t="s">
        <v>1501</v>
      </c>
      <c r="S1117" s="28" t="s">
        <v>1920</v>
      </c>
      <c r="T1117" s="28" t="s">
        <v>1529</v>
      </c>
      <c r="U1117" s="28" t="s">
        <v>1443</v>
      </c>
      <c r="V1117" s="28" t="s">
        <v>1736</v>
      </c>
      <c r="W1117" s="28" t="s">
        <v>10217</v>
      </c>
      <c r="X1117" s="17">
        <v>1</v>
      </c>
      <c r="CJ1117" s="26" t="s">
        <v>1405</v>
      </c>
      <c r="CK1117" s="26" t="s">
        <v>3129</v>
      </c>
      <c r="CL1117" s="26" t="str">
        <f t="shared" si="69"/>
        <v>兵庫県市川町</v>
      </c>
      <c r="CM1117" s="49">
        <v>1112</v>
      </c>
      <c r="CN1117" s="17" t="str">
        <f t="shared" si="68"/>
        <v>1214</v>
      </c>
      <c r="CO1117" s="17" t="str">
        <f t="shared" si="70"/>
        <v>11121214市川町</v>
      </c>
      <c r="CP1117" s="17" t="s">
        <v>10218</v>
      </c>
      <c r="CQ1117" s="17" t="b">
        <f t="shared" si="71"/>
        <v>1</v>
      </c>
    </row>
    <row r="1118" spans="6:95">
      <c r="F1118" s="23"/>
      <c r="I1118" s="23"/>
      <c r="L1118" s="50" t="s">
        <v>10219</v>
      </c>
      <c r="M1118" s="17" t="s">
        <v>10220</v>
      </c>
      <c r="N1118" s="51" t="s">
        <v>10221</v>
      </c>
      <c r="O1118" s="29" t="s">
        <v>1464</v>
      </c>
      <c r="P1118" s="29" t="s">
        <v>10222</v>
      </c>
      <c r="Q1118" s="29" t="s">
        <v>1464</v>
      </c>
      <c r="R1118" s="29" t="s">
        <v>4593</v>
      </c>
      <c r="S1118" s="28" t="s">
        <v>1743</v>
      </c>
      <c r="T1118" s="28" t="s">
        <v>1591</v>
      </c>
      <c r="U1118" s="28" t="s">
        <v>1443</v>
      </c>
      <c r="V1118" s="28" t="s">
        <v>1736</v>
      </c>
      <c r="W1118" s="28" t="s">
        <v>10223</v>
      </c>
      <c r="X1118" s="17">
        <v>1</v>
      </c>
      <c r="CJ1118" s="26" t="s">
        <v>1405</v>
      </c>
      <c r="CK1118" s="26" t="s">
        <v>3160</v>
      </c>
      <c r="CL1118" s="26" t="str">
        <f t="shared" si="69"/>
        <v>兵庫県福崎町</v>
      </c>
      <c r="CM1118" s="49">
        <v>1113</v>
      </c>
      <c r="CN1118" s="17" t="str">
        <f t="shared" si="68"/>
        <v>1215</v>
      </c>
      <c r="CO1118" s="17" t="str">
        <f t="shared" si="70"/>
        <v>11131215福崎町</v>
      </c>
      <c r="CP1118" s="17" t="s">
        <v>10224</v>
      </c>
      <c r="CQ1118" s="17" t="b">
        <f t="shared" si="71"/>
        <v>1</v>
      </c>
    </row>
    <row r="1119" spans="6:95">
      <c r="F1119" s="23"/>
      <c r="I1119" s="23"/>
      <c r="L1119" s="50" t="s">
        <v>10225</v>
      </c>
      <c r="M1119" s="17" t="s">
        <v>10226</v>
      </c>
      <c r="N1119" s="51" t="s">
        <v>10227</v>
      </c>
      <c r="O1119" s="29" t="s">
        <v>1464</v>
      </c>
      <c r="P1119" s="29" t="s">
        <v>10228</v>
      </c>
      <c r="Q1119" s="29" t="s">
        <v>1464</v>
      </c>
      <c r="R1119" s="29" t="s">
        <v>1563</v>
      </c>
      <c r="S1119" s="28" t="s">
        <v>1803</v>
      </c>
      <c r="T1119" s="28" t="s">
        <v>1653</v>
      </c>
      <c r="U1119" s="28" t="s">
        <v>1443</v>
      </c>
      <c r="V1119" s="28" t="s">
        <v>1736</v>
      </c>
      <c r="W1119" s="28" t="s">
        <v>10229</v>
      </c>
      <c r="X1119" s="17">
        <v>1</v>
      </c>
      <c r="CJ1119" s="26" t="s">
        <v>1405</v>
      </c>
      <c r="CK1119" s="26" t="s">
        <v>3187</v>
      </c>
      <c r="CL1119" s="26" t="str">
        <f t="shared" si="69"/>
        <v>兵庫県神河町</v>
      </c>
      <c r="CM1119" s="49">
        <v>1114</v>
      </c>
      <c r="CN1119" s="17" t="str">
        <f t="shared" si="68"/>
        <v>1216</v>
      </c>
      <c r="CO1119" s="17" t="str">
        <f t="shared" si="70"/>
        <v>11141216神河町</v>
      </c>
      <c r="CP1119" s="17" t="s">
        <v>10230</v>
      </c>
      <c r="CQ1119" s="17" t="b">
        <f t="shared" si="71"/>
        <v>1</v>
      </c>
    </row>
    <row r="1120" spans="6:95">
      <c r="F1120" s="23"/>
      <c r="I1120" s="23"/>
      <c r="L1120" s="50" t="s">
        <v>10231</v>
      </c>
      <c r="M1120" s="17" t="s">
        <v>10232</v>
      </c>
      <c r="N1120" s="51" t="s">
        <v>10233</v>
      </c>
      <c r="O1120" s="29" t="s">
        <v>1464</v>
      </c>
      <c r="P1120" s="29" t="s">
        <v>10234</v>
      </c>
      <c r="Q1120" s="29" t="s">
        <v>1464</v>
      </c>
      <c r="R1120" s="29" t="s">
        <v>1625</v>
      </c>
      <c r="S1120" s="28" t="s">
        <v>1862</v>
      </c>
      <c r="T1120" s="28" t="s">
        <v>1711</v>
      </c>
      <c r="U1120" s="28" t="s">
        <v>1443</v>
      </c>
      <c r="V1120" s="28" t="s">
        <v>1736</v>
      </c>
      <c r="W1120" s="28" t="s">
        <v>10234</v>
      </c>
      <c r="X1120" s="17">
        <v>1</v>
      </c>
      <c r="CJ1120" s="26" t="s">
        <v>1405</v>
      </c>
      <c r="CK1120" s="26" t="s">
        <v>3212</v>
      </c>
      <c r="CL1120" s="26" t="str">
        <f t="shared" si="69"/>
        <v>兵庫県太子町</v>
      </c>
      <c r="CM1120" s="49">
        <v>1115</v>
      </c>
      <c r="CN1120" s="17" t="str">
        <f t="shared" si="68"/>
        <v>1217</v>
      </c>
      <c r="CO1120" s="17" t="str">
        <f t="shared" si="70"/>
        <v>11151217太子町</v>
      </c>
      <c r="CP1120" s="17" t="s">
        <v>10235</v>
      </c>
      <c r="CQ1120" s="17" t="b">
        <f t="shared" si="71"/>
        <v>1</v>
      </c>
    </row>
    <row r="1121" spans="6:95">
      <c r="F1121" s="23"/>
      <c r="I1121" s="23"/>
      <c r="L1121" s="50" t="s">
        <v>10236</v>
      </c>
      <c r="M1121" s="17" t="s">
        <v>10237</v>
      </c>
      <c r="N1121" s="51" t="s">
        <v>10238</v>
      </c>
      <c r="O1121" s="29" t="s">
        <v>1464</v>
      </c>
      <c r="P1121" s="29" t="s">
        <v>10239</v>
      </c>
      <c r="Q1121" s="29" t="s">
        <v>1464</v>
      </c>
      <c r="R1121" s="29" t="s">
        <v>1684</v>
      </c>
      <c r="S1121" s="28" t="s">
        <v>1920</v>
      </c>
      <c r="T1121" s="28" t="s">
        <v>1770</v>
      </c>
      <c r="U1121" s="28" t="s">
        <v>1443</v>
      </c>
      <c r="V1121" s="28" t="s">
        <v>1736</v>
      </c>
      <c r="W1121" s="28" t="s">
        <v>10239</v>
      </c>
      <c r="X1121" s="17">
        <v>1</v>
      </c>
      <c r="CJ1121" s="26" t="s">
        <v>1405</v>
      </c>
      <c r="CK1121" s="26" t="s">
        <v>3235</v>
      </c>
      <c r="CL1121" s="26" t="str">
        <f t="shared" si="69"/>
        <v>兵庫県上郡町</v>
      </c>
      <c r="CM1121" s="49">
        <v>1116</v>
      </c>
      <c r="CN1121" s="17" t="str">
        <f t="shared" si="68"/>
        <v>1218</v>
      </c>
      <c r="CO1121" s="17" t="str">
        <f t="shared" si="70"/>
        <v>11161218上郡町</v>
      </c>
      <c r="CP1121" s="17" t="s">
        <v>10240</v>
      </c>
      <c r="CQ1121" s="17" t="b">
        <f t="shared" si="71"/>
        <v>1</v>
      </c>
    </row>
    <row r="1122" spans="6:95">
      <c r="F1122" s="23"/>
      <c r="I1122" s="23"/>
      <c r="L1122" s="50" t="s">
        <v>10241</v>
      </c>
      <c r="M1122" s="17" t="s">
        <v>10242</v>
      </c>
      <c r="N1122" s="51" t="s">
        <v>10243</v>
      </c>
      <c r="O1122" s="29" t="s">
        <v>1464</v>
      </c>
      <c r="P1122" s="29" t="s">
        <v>10244</v>
      </c>
      <c r="Q1122" s="29" t="s">
        <v>1464</v>
      </c>
      <c r="R1122" s="29" t="s">
        <v>1742</v>
      </c>
      <c r="S1122" s="28" t="s">
        <v>2525</v>
      </c>
      <c r="T1122" s="28" t="s">
        <v>1830</v>
      </c>
      <c r="U1122" s="28" t="s">
        <v>1443</v>
      </c>
      <c r="V1122" s="28" t="s">
        <v>1736</v>
      </c>
      <c r="W1122" s="28" t="s">
        <v>10245</v>
      </c>
      <c r="X1122" s="17">
        <v>1</v>
      </c>
      <c r="CJ1122" s="26" t="s">
        <v>1405</v>
      </c>
      <c r="CK1122" s="26" t="s">
        <v>3259</v>
      </c>
      <c r="CL1122" s="26" t="str">
        <f t="shared" si="69"/>
        <v>兵庫県佐用町</v>
      </c>
      <c r="CM1122" s="49">
        <v>1117</v>
      </c>
      <c r="CN1122" s="17" t="str">
        <f t="shared" si="68"/>
        <v>1219</v>
      </c>
      <c r="CO1122" s="17" t="str">
        <f t="shared" si="70"/>
        <v>11171219佐用町</v>
      </c>
      <c r="CP1122" s="17" t="s">
        <v>10246</v>
      </c>
      <c r="CQ1122" s="17" t="b">
        <f t="shared" si="71"/>
        <v>1</v>
      </c>
    </row>
    <row r="1123" spans="6:95">
      <c r="F1123" s="23"/>
      <c r="I1123" s="23"/>
      <c r="L1123" s="50" t="s">
        <v>10247</v>
      </c>
      <c r="M1123" s="17" t="s">
        <v>10248</v>
      </c>
      <c r="N1123" s="51" t="s">
        <v>10249</v>
      </c>
      <c r="O1123" s="29" t="s">
        <v>1464</v>
      </c>
      <c r="P1123" s="29" t="s">
        <v>10250</v>
      </c>
      <c r="Q1123" s="29" t="s">
        <v>1464</v>
      </c>
      <c r="R1123" s="29" t="s">
        <v>1802</v>
      </c>
      <c r="S1123" s="28" t="s">
        <v>2311</v>
      </c>
      <c r="T1123" s="28" t="s">
        <v>1889</v>
      </c>
      <c r="U1123" s="28" t="s">
        <v>1443</v>
      </c>
      <c r="V1123" s="28" t="s">
        <v>1736</v>
      </c>
      <c r="W1123" s="28" t="s">
        <v>10251</v>
      </c>
      <c r="X1123" s="17">
        <v>1</v>
      </c>
      <c r="CJ1123" s="26" t="s">
        <v>1405</v>
      </c>
      <c r="CK1123" s="26" t="s">
        <v>3283</v>
      </c>
      <c r="CL1123" s="26" t="str">
        <f t="shared" si="69"/>
        <v>兵庫県香美町</v>
      </c>
      <c r="CM1123" s="49">
        <v>1118</v>
      </c>
      <c r="CN1123" s="17" t="str">
        <f t="shared" si="68"/>
        <v>1220</v>
      </c>
      <c r="CO1123" s="17" t="str">
        <f t="shared" si="70"/>
        <v>11181220香美町</v>
      </c>
      <c r="CP1123" s="17" t="s">
        <v>10252</v>
      </c>
      <c r="CQ1123" s="17" t="b">
        <f t="shared" si="71"/>
        <v>1</v>
      </c>
    </row>
    <row r="1124" spans="6:95">
      <c r="F1124" s="23"/>
      <c r="I1124" s="23"/>
      <c r="L1124" s="50" t="s">
        <v>10253</v>
      </c>
      <c r="M1124" s="17" t="s">
        <v>10254</v>
      </c>
      <c r="N1124" s="51" t="s">
        <v>10255</v>
      </c>
      <c r="O1124" s="29" t="s">
        <v>1464</v>
      </c>
      <c r="P1124" s="29" t="s">
        <v>10256</v>
      </c>
      <c r="Q1124" s="29" t="s">
        <v>1464</v>
      </c>
      <c r="R1124" s="29" t="s">
        <v>1861</v>
      </c>
      <c r="S1124" s="28" t="s">
        <v>1564</v>
      </c>
      <c r="T1124" s="28" t="s">
        <v>1947</v>
      </c>
      <c r="U1124" s="28" t="s">
        <v>1443</v>
      </c>
      <c r="V1124" s="28" t="s">
        <v>1736</v>
      </c>
      <c r="W1124" s="28" t="s">
        <v>10257</v>
      </c>
      <c r="X1124" s="17">
        <v>1</v>
      </c>
      <c r="CJ1124" s="26" t="s">
        <v>1405</v>
      </c>
      <c r="CK1124" s="26" t="s">
        <v>3305</v>
      </c>
      <c r="CL1124" s="26" t="str">
        <f t="shared" si="69"/>
        <v>兵庫県新温泉町</v>
      </c>
      <c r="CM1124" s="49">
        <v>1119</v>
      </c>
      <c r="CN1124" s="17" t="str">
        <f t="shared" si="68"/>
        <v>1221</v>
      </c>
      <c r="CO1124" s="17" t="str">
        <f t="shared" si="70"/>
        <v>11191221新温泉町</v>
      </c>
      <c r="CP1124" s="17" t="s">
        <v>10258</v>
      </c>
      <c r="CQ1124" s="17" t="b">
        <f t="shared" si="71"/>
        <v>1</v>
      </c>
    </row>
    <row r="1125" spans="6:95">
      <c r="F1125" s="23"/>
      <c r="I1125" s="23"/>
      <c r="L1125" s="50" t="s">
        <v>10259</v>
      </c>
      <c r="M1125" s="17" t="s">
        <v>10260</v>
      </c>
      <c r="N1125" s="51" t="s">
        <v>10261</v>
      </c>
      <c r="O1125" s="29" t="s">
        <v>1464</v>
      </c>
      <c r="P1125" s="29" t="s">
        <v>10262</v>
      </c>
      <c r="Q1125" s="29" t="s">
        <v>1464</v>
      </c>
      <c r="R1125" s="29" t="s">
        <v>1919</v>
      </c>
      <c r="S1125" s="28" t="s">
        <v>1626</v>
      </c>
      <c r="T1125" s="28" t="s">
        <v>2004</v>
      </c>
      <c r="U1125" s="28" t="s">
        <v>1443</v>
      </c>
      <c r="V1125" s="28" t="s">
        <v>1736</v>
      </c>
      <c r="W1125" s="28" t="s">
        <v>10263</v>
      </c>
      <c r="X1125" s="17">
        <v>1</v>
      </c>
      <c r="CJ1125" s="26" t="s">
        <v>1406</v>
      </c>
      <c r="CK1125" s="26" t="s">
        <v>1532</v>
      </c>
      <c r="CL1125" s="26" t="str">
        <f t="shared" si="69"/>
        <v>奈良県奈良市</v>
      </c>
      <c r="CM1125" s="49">
        <v>1120</v>
      </c>
      <c r="CN1125" s="17" t="str">
        <f t="shared" si="68"/>
        <v>1222</v>
      </c>
      <c r="CO1125" s="17" t="str">
        <f t="shared" si="70"/>
        <v>11201222奈良市</v>
      </c>
      <c r="CP1125" s="17" t="s">
        <v>10264</v>
      </c>
      <c r="CQ1125" s="17" t="b">
        <f t="shared" si="71"/>
        <v>1</v>
      </c>
    </row>
    <row r="1126" spans="6:95">
      <c r="F1126" s="23"/>
      <c r="I1126" s="23"/>
      <c r="L1126" s="50" t="s">
        <v>10265</v>
      </c>
      <c r="M1126" s="17" t="s">
        <v>10266</v>
      </c>
      <c r="N1126" s="51" t="s">
        <v>10267</v>
      </c>
      <c r="O1126" s="29" t="s">
        <v>1464</v>
      </c>
      <c r="P1126" s="29" t="s">
        <v>10268</v>
      </c>
      <c r="Q1126" s="29" t="s">
        <v>1464</v>
      </c>
      <c r="R1126" s="29" t="s">
        <v>1976</v>
      </c>
      <c r="S1126" s="28" t="s">
        <v>1502</v>
      </c>
      <c r="T1126" s="28" t="s">
        <v>2060</v>
      </c>
      <c r="U1126" s="28" t="s">
        <v>1443</v>
      </c>
      <c r="V1126" s="28" t="s">
        <v>1736</v>
      </c>
      <c r="W1126" s="28" t="s">
        <v>10269</v>
      </c>
      <c r="X1126" s="17">
        <v>1</v>
      </c>
      <c r="CJ1126" s="26" t="s">
        <v>1406</v>
      </c>
      <c r="CK1126" s="26" t="s">
        <v>1594</v>
      </c>
      <c r="CL1126" s="26" t="str">
        <f t="shared" si="69"/>
        <v>奈良県大和高田市</v>
      </c>
      <c r="CM1126" s="49">
        <v>1121</v>
      </c>
      <c r="CN1126" s="17" t="str">
        <f t="shared" si="68"/>
        <v>1223</v>
      </c>
      <c r="CO1126" s="17" t="str">
        <f t="shared" si="70"/>
        <v>11211223大和高田市</v>
      </c>
      <c r="CP1126" s="17" t="s">
        <v>10270</v>
      </c>
      <c r="CQ1126" s="17" t="b">
        <f t="shared" si="71"/>
        <v>1</v>
      </c>
    </row>
    <row r="1127" spans="6:95">
      <c r="F1127" s="23"/>
      <c r="I1127" s="23"/>
      <c r="L1127" s="50" t="s">
        <v>10271</v>
      </c>
      <c r="M1127" s="17" t="s">
        <v>10272</v>
      </c>
      <c r="N1127" s="51" t="s">
        <v>10273</v>
      </c>
      <c r="O1127" s="29" t="s">
        <v>1464</v>
      </c>
      <c r="P1127" s="29" t="s">
        <v>10274</v>
      </c>
      <c r="Q1127" s="29" t="s">
        <v>1464</v>
      </c>
      <c r="R1127" s="29" t="s">
        <v>2033</v>
      </c>
      <c r="S1127" s="28" t="s">
        <v>2525</v>
      </c>
      <c r="T1127" s="28" t="s">
        <v>2116</v>
      </c>
      <c r="U1127" s="28" t="s">
        <v>1443</v>
      </c>
      <c r="V1127" s="28" t="s">
        <v>1736</v>
      </c>
      <c r="W1127" s="28" t="s">
        <v>10275</v>
      </c>
      <c r="X1127" s="17">
        <v>1</v>
      </c>
      <c r="CJ1127" s="26" t="s">
        <v>1406</v>
      </c>
      <c r="CK1127" s="26" t="s">
        <v>1656</v>
      </c>
      <c r="CL1127" s="26" t="str">
        <f t="shared" si="69"/>
        <v>奈良県大和郡山市</v>
      </c>
      <c r="CM1127" s="49">
        <v>1122</v>
      </c>
      <c r="CN1127" s="17" t="str">
        <f t="shared" si="68"/>
        <v>1224</v>
      </c>
      <c r="CO1127" s="17" t="str">
        <f t="shared" si="70"/>
        <v>11221224大和郡山市</v>
      </c>
      <c r="CP1127" s="17" t="s">
        <v>10276</v>
      </c>
      <c r="CQ1127" s="17" t="b">
        <f t="shared" si="71"/>
        <v>1</v>
      </c>
    </row>
    <row r="1128" spans="6:95">
      <c r="F1128" s="23"/>
      <c r="I1128" s="23"/>
      <c r="L1128" s="50" t="s">
        <v>10277</v>
      </c>
      <c r="M1128" s="17" t="s">
        <v>10278</v>
      </c>
      <c r="N1128" s="51" t="s">
        <v>10279</v>
      </c>
      <c r="O1128" s="29" t="s">
        <v>1464</v>
      </c>
      <c r="P1128" s="29" t="s">
        <v>10280</v>
      </c>
      <c r="Q1128" s="29" t="s">
        <v>1464</v>
      </c>
      <c r="R1128" s="29" t="s">
        <v>2089</v>
      </c>
      <c r="S1128" s="28" t="s">
        <v>2311</v>
      </c>
      <c r="T1128" s="28" t="s">
        <v>2172</v>
      </c>
      <c r="U1128" s="28" t="s">
        <v>1443</v>
      </c>
      <c r="V1128" s="28" t="s">
        <v>1736</v>
      </c>
      <c r="W1128" s="28" t="s">
        <v>10281</v>
      </c>
      <c r="X1128" s="17">
        <v>1</v>
      </c>
      <c r="CJ1128" s="26" t="s">
        <v>1406</v>
      </c>
      <c r="CK1128" s="26" t="s">
        <v>1714</v>
      </c>
      <c r="CL1128" s="26" t="str">
        <f t="shared" si="69"/>
        <v>奈良県天理市</v>
      </c>
      <c r="CM1128" s="49">
        <v>1123</v>
      </c>
      <c r="CN1128" s="17" t="str">
        <f t="shared" si="68"/>
        <v>1225</v>
      </c>
      <c r="CO1128" s="17" t="str">
        <f t="shared" si="70"/>
        <v>11231225天理市</v>
      </c>
      <c r="CP1128" s="17" t="s">
        <v>10282</v>
      </c>
      <c r="CQ1128" s="17" t="b">
        <f t="shared" si="71"/>
        <v>1</v>
      </c>
    </row>
    <row r="1129" spans="6:95">
      <c r="F1129" s="23"/>
      <c r="I1129" s="23"/>
      <c r="L1129" s="50" t="s">
        <v>10283</v>
      </c>
      <c r="M1129" s="17" t="s">
        <v>10284</v>
      </c>
      <c r="N1129" s="51" t="s">
        <v>10285</v>
      </c>
      <c r="O1129" s="29" t="s">
        <v>1464</v>
      </c>
      <c r="P1129" s="29" t="s">
        <v>10286</v>
      </c>
      <c r="Q1129" s="29" t="s">
        <v>1464</v>
      </c>
      <c r="R1129" s="29" t="s">
        <v>2145</v>
      </c>
      <c r="S1129" s="28" t="s">
        <v>1564</v>
      </c>
      <c r="T1129" s="28" t="s">
        <v>2227</v>
      </c>
      <c r="U1129" s="28" t="s">
        <v>1443</v>
      </c>
      <c r="V1129" s="28" t="s">
        <v>1736</v>
      </c>
      <c r="W1129" s="28" t="s">
        <v>10287</v>
      </c>
      <c r="X1129" s="17">
        <v>1</v>
      </c>
      <c r="CJ1129" s="26" t="s">
        <v>1406</v>
      </c>
      <c r="CK1129" s="26" t="s">
        <v>1773</v>
      </c>
      <c r="CL1129" s="26" t="str">
        <f t="shared" si="69"/>
        <v>奈良県橿原市</v>
      </c>
      <c r="CM1129" s="49">
        <v>1124</v>
      </c>
      <c r="CN1129" s="17" t="str">
        <f t="shared" si="68"/>
        <v>1226</v>
      </c>
      <c r="CO1129" s="17" t="str">
        <f t="shared" si="70"/>
        <v>11241226橿原市</v>
      </c>
      <c r="CP1129" s="17" t="s">
        <v>10288</v>
      </c>
      <c r="CQ1129" s="17" t="b">
        <f t="shared" si="71"/>
        <v>1</v>
      </c>
    </row>
    <row r="1130" spans="6:95">
      <c r="F1130" s="23"/>
      <c r="I1130" s="23"/>
      <c r="L1130" s="50" t="s">
        <v>10289</v>
      </c>
      <c r="M1130" s="17" t="s">
        <v>10290</v>
      </c>
      <c r="N1130" s="51" t="s">
        <v>10291</v>
      </c>
      <c r="O1130" s="29" t="s">
        <v>1464</v>
      </c>
      <c r="P1130" s="29" t="s">
        <v>10292</v>
      </c>
      <c r="Q1130" s="29" t="s">
        <v>1464</v>
      </c>
      <c r="R1130" s="29" t="s">
        <v>2200</v>
      </c>
      <c r="S1130" s="28" t="s">
        <v>1626</v>
      </c>
      <c r="T1130" s="28" t="s">
        <v>2282</v>
      </c>
      <c r="U1130" s="28" t="s">
        <v>1443</v>
      </c>
      <c r="V1130" s="28" t="s">
        <v>1736</v>
      </c>
      <c r="W1130" s="28" t="s">
        <v>10293</v>
      </c>
      <c r="X1130" s="17">
        <v>1</v>
      </c>
      <c r="CJ1130" s="26" t="s">
        <v>1406</v>
      </c>
      <c r="CK1130" s="26" t="s">
        <v>1833</v>
      </c>
      <c r="CL1130" s="26" t="str">
        <f t="shared" si="69"/>
        <v>奈良県桜井市</v>
      </c>
      <c r="CM1130" s="49">
        <v>1125</v>
      </c>
      <c r="CN1130" s="17" t="str">
        <f t="shared" si="68"/>
        <v>1227</v>
      </c>
      <c r="CO1130" s="17" t="str">
        <f t="shared" si="70"/>
        <v>11251227桜井市</v>
      </c>
      <c r="CP1130" s="17" t="s">
        <v>10294</v>
      </c>
      <c r="CQ1130" s="17" t="b">
        <f t="shared" si="71"/>
        <v>1</v>
      </c>
    </row>
    <row r="1131" spans="6:95">
      <c r="F1131" s="23"/>
      <c r="I1131" s="23"/>
      <c r="L1131" s="50" t="s">
        <v>10295</v>
      </c>
      <c r="M1131" s="17" t="s">
        <v>10296</v>
      </c>
      <c r="N1131" s="51" t="s">
        <v>10297</v>
      </c>
      <c r="O1131" s="29" t="s">
        <v>1464</v>
      </c>
      <c r="P1131" s="29" t="s">
        <v>10298</v>
      </c>
      <c r="Q1131" s="29" t="s">
        <v>1464</v>
      </c>
      <c r="R1131" s="29" t="s">
        <v>2255</v>
      </c>
      <c r="S1131" s="28" t="s">
        <v>1502</v>
      </c>
      <c r="T1131" s="28" t="s">
        <v>2338</v>
      </c>
      <c r="U1131" s="28" t="s">
        <v>1443</v>
      </c>
      <c r="V1131" s="28" t="s">
        <v>1736</v>
      </c>
      <c r="W1131" s="28" t="s">
        <v>10299</v>
      </c>
      <c r="X1131" s="17">
        <v>1</v>
      </c>
      <c r="CJ1131" s="26" t="s">
        <v>1406</v>
      </c>
      <c r="CK1131" s="26" t="s">
        <v>1892</v>
      </c>
      <c r="CL1131" s="26" t="str">
        <f t="shared" si="69"/>
        <v>奈良県五條市</v>
      </c>
      <c r="CM1131" s="49">
        <v>1126</v>
      </c>
      <c r="CN1131" s="17" t="str">
        <f t="shared" si="68"/>
        <v>1228</v>
      </c>
      <c r="CO1131" s="17" t="str">
        <f t="shared" si="70"/>
        <v>11261228五條市</v>
      </c>
      <c r="CP1131" s="17" t="s">
        <v>10300</v>
      </c>
      <c r="CQ1131" s="17" t="b">
        <f t="shared" si="71"/>
        <v>1</v>
      </c>
    </row>
    <row r="1132" spans="6:95">
      <c r="F1132" s="23"/>
      <c r="I1132" s="23"/>
      <c r="L1132" s="50" t="s">
        <v>10301</v>
      </c>
      <c r="M1132" s="17" t="s">
        <v>10302</v>
      </c>
      <c r="N1132" s="51" t="s">
        <v>10303</v>
      </c>
      <c r="O1132" s="29" t="s">
        <v>1464</v>
      </c>
      <c r="P1132" s="29" t="s">
        <v>10304</v>
      </c>
      <c r="Q1132" s="29" t="s">
        <v>1464</v>
      </c>
      <c r="R1132" s="29" t="s">
        <v>3142</v>
      </c>
      <c r="S1132" s="28" t="s">
        <v>1920</v>
      </c>
      <c r="T1132" s="28" t="s">
        <v>2392</v>
      </c>
      <c r="U1132" s="28" t="s">
        <v>1443</v>
      </c>
      <c r="V1132" s="28" t="s">
        <v>1736</v>
      </c>
      <c r="W1132" s="28" t="s">
        <v>10305</v>
      </c>
      <c r="X1132" s="17">
        <v>1</v>
      </c>
      <c r="CJ1132" s="26" t="s">
        <v>1406</v>
      </c>
      <c r="CK1132" s="26" t="s">
        <v>1950</v>
      </c>
      <c r="CL1132" s="26" t="str">
        <f t="shared" si="69"/>
        <v>奈良県御所市</v>
      </c>
      <c r="CM1132" s="49">
        <v>1127</v>
      </c>
      <c r="CN1132" s="17" t="str">
        <f t="shared" si="68"/>
        <v>1229</v>
      </c>
      <c r="CO1132" s="17" t="str">
        <f t="shared" si="70"/>
        <v>11271229御所市</v>
      </c>
      <c r="CP1132" s="17" t="s">
        <v>10306</v>
      </c>
      <c r="CQ1132" s="17" t="b">
        <f t="shared" si="71"/>
        <v>1</v>
      </c>
    </row>
    <row r="1133" spans="6:95">
      <c r="F1133" s="23"/>
      <c r="I1133" s="23"/>
      <c r="L1133" s="50" t="s">
        <v>10307</v>
      </c>
      <c r="M1133" s="17" t="s">
        <v>10308</v>
      </c>
      <c r="N1133" s="51" t="s">
        <v>10309</v>
      </c>
      <c r="O1133" s="29" t="s">
        <v>1464</v>
      </c>
      <c r="P1133" s="29" t="s">
        <v>10310</v>
      </c>
      <c r="Q1133" s="29" t="s">
        <v>1464</v>
      </c>
      <c r="R1133" s="29" t="s">
        <v>4918</v>
      </c>
      <c r="S1133" s="28" t="s">
        <v>1920</v>
      </c>
      <c r="T1133" s="28" t="s">
        <v>2447</v>
      </c>
      <c r="U1133" s="28" t="s">
        <v>1443</v>
      </c>
      <c r="V1133" s="28" t="s">
        <v>1736</v>
      </c>
      <c r="W1133" s="28" t="s">
        <v>10311</v>
      </c>
      <c r="X1133" s="17">
        <v>1</v>
      </c>
      <c r="CJ1133" s="26" t="s">
        <v>1406</v>
      </c>
      <c r="CK1133" s="26" t="s">
        <v>2007</v>
      </c>
      <c r="CL1133" s="26" t="str">
        <f t="shared" si="69"/>
        <v>奈良県生駒市</v>
      </c>
      <c r="CM1133" s="49">
        <v>1128</v>
      </c>
      <c r="CN1133" s="17" t="str">
        <f t="shared" si="68"/>
        <v>1230</v>
      </c>
      <c r="CO1133" s="17" t="str">
        <f t="shared" si="70"/>
        <v>11281230生駒市</v>
      </c>
      <c r="CP1133" s="17" t="s">
        <v>10312</v>
      </c>
      <c r="CQ1133" s="17" t="b">
        <f t="shared" si="71"/>
        <v>1</v>
      </c>
    </row>
    <row r="1134" spans="6:95">
      <c r="F1134" s="23"/>
      <c r="I1134" s="23"/>
      <c r="L1134" s="50" t="s">
        <v>10313</v>
      </c>
      <c r="M1134" s="17" t="s">
        <v>10314</v>
      </c>
      <c r="N1134" s="51" t="s">
        <v>10315</v>
      </c>
      <c r="O1134" s="29" t="s">
        <v>1464</v>
      </c>
      <c r="P1134" s="29" t="s">
        <v>10316</v>
      </c>
      <c r="Q1134" s="29" t="s">
        <v>1464</v>
      </c>
      <c r="R1134" s="29" t="s">
        <v>3316</v>
      </c>
      <c r="S1134" s="28" t="s">
        <v>1743</v>
      </c>
      <c r="T1134" s="28" t="s">
        <v>2498</v>
      </c>
      <c r="U1134" s="28" t="s">
        <v>1443</v>
      </c>
      <c r="V1134" s="28" t="s">
        <v>1736</v>
      </c>
      <c r="W1134" s="28" t="s">
        <v>10317</v>
      </c>
      <c r="X1134" s="17">
        <v>1</v>
      </c>
      <c r="CJ1134" s="26" t="s">
        <v>1406</v>
      </c>
      <c r="CK1134" s="26" t="s">
        <v>2063</v>
      </c>
      <c r="CL1134" s="26" t="str">
        <f t="shared" si="69"/>
        <v>奈良県香芝市</v>
      </c>
      <c r="CM1134" s="49">
        <v>1129</v>
      </c>
      <c r="CN1134" s="17" t="str">
        <f t="shared" si="68"/>
        <v>1231</v>
      </c>
      <c r="CO1134" s="17" t="str">
        <f t="shared" si="70"/>
        <v>11291231香芝市</v>
      </c>
      <c r="CP1134" s="17" t="s">
        <v>10318</v>
      </c>
      <c r="CQ1134" s="17" t="b">
        <f t="shared" si="71"/>
        <v>1</v>
      </c>
    </row>
    <row r="1135" spans="6:95">
      <c r="F1135" s="23"/>
      <c r="I1135" s="23"/>
      <c r="L1135" s="50" t="s">
        <v>10319</v>
      </c>
      <c r="M1135" s="17" t="s">
        <v>10320</v>
      </c>
      <c r="N1135" s="51" t="s">
        <v>10321</v>
      </c>
      <c r="O1135" s="29" t="s">
        <v>1464</v>
      </c>
      <c r="P1135" s="29" t="s">
        <v>10322</v>
      </c>
      <c r="Q1135" s="29" t="s">
        <v>1464</v>
      </c>
      <c r="R1135" s="29" t="s">
        <v>5767</v>
      </c>
      <c r="S1135" s="28" t="s">
        <v>1803</v>
      </c>
      <c r="T1135" s="28" t="s">
        <v>2550</v>
      </c>
      <c r="U1135" s="28" t="s">
        <v>1443</v>
      </c>
      <c r="V1135" s="28" t="s">
        <v>1736</v>
      </c>
      <c r="W1135" s="28" t="s">
        <v>10323</v>
      </c>
      <c r="X1135" s="17">
        <v>1</v>
      </c>
      <c r="CJ1135" s="26" t="s">
        <v>1406</v>
      </c>
      <c r="CK1135" s="26" t="s">
        <v>2119</v>
      </c>
      <c r="CL1135" s="26" t="str">
        <f t="shared" si="69"/>
        <v>奈良県葛城市</v>
      </c>
      <c r="CM1135" s="49">
        <v>1130</v>
      </c>
      <c r="CN1135" s="17" t="str">
        <f t="shared" si="68"/>
        <v>1232</v>
      </c>
      <c r="CO1135" s="17" t="str">
        <f t="shared" si="70"/>
        <v>11301232葛城市</v>
      </c>
      <c r="CP1135" s="17" t="s">
        <v>10324</v>
      </c>
      <c r="CQ1135" s="17" t="b">
        <f t="shared" si="71"/>
        <v>1</v>
      </c>
    </row>
    <row r="1136" spans="6:95">
      <c r="F1136" s="23"/>
      <c r="I1136" s="23"/>
      <c r="L1136" s="50" t="s">
        <v>10325</v>
      </c>
      <c r="M1136" s="17" t="s">
        <v>10326</v>
      </c>
      <c r="N1136" s="51" t="s">
        <v>10327</v>
      </c>
      <c r="O1136" s="29" t="s">
        <v>1464</v>
      </c>
      <c r="P1136" s="29" t="s">
        <v>10328</v>
      </c>
      <c r="Q1136" s="29" t="s">
        <v>1464</v>
      </c>
      <c r="R1136" s="29" t="s">
        <v>3441</v>
      </c>
      <c r="S1136" s="28" t="s">
        <v>1862</v>
      </c>
      <c r="T1136" s="28" t="s">
        <v>2598</v>
      </c>
      <c r="U1136" s="28" t="s">
        <v>1443</v>
      </c>
      <c r="V1136" s="28" t="s">
        <v>1736</v>
      </c>
      <c r="W1136" s="28" t="s">
        <v>10329</v>
      </c>
      <c r="X1136" s="17">
        <v>1</v>
      </c>
      <c r="CJ1136" s="26" t="s">
        <v>1406</v>
      </c>
      <c r="CK1136" s="26" t="s">
        <v>2175</v>
      </c>
      <c r="CL1136" s="26" t="str">
        <f t="shared" si="69"/>
        <v>奈良県宇陀市</v>
      </c>
      <c r="CM1136" s="49">
        <v>1131</v>
      </c>
      <c r="CN1136" s="17" t="str">
        <f t="shared" si="68"/>
        <v>1233</v>
      </c>
      <c r="CO1136" s="17" t="str">
        <f t="shared" si="70"/>
        <v>11311233宇陀市</v>
      </c>
      <c r="CP1136" s="17" t="s">
        <v>10330</v>
      </c>
      <c r="CQ1136" s="17" t="b">
        <f t="shared" si="71"/>
        <v>1</v>
      </c>
    </row>
    <row r="1137" spans="6:95">
      <c r="F1137" s="23"/>
      <c r="I1137" s="23"/>
      <c r="L1137" s="50" t="s">
        <v>10331</v>
      </c>
      <c r="M1137" s="17" t="s">
        <v>10332</v>
      </c>
      <c r="N1137" s="51" t="s">
        <v>10333</v>
      </c>
      <c r="O1137" s="29" t="s">
        <v>1464</v>
      </c>
      <c r="P1137" s="29" t="s">
        <v>10334</v>
      </c>
      <c r="Q1137" s="29" t="s">
        <v>1464</v>
      </c>
      <c r="R1137" s="29" t="s">
        <v>5589</v>
      </c>
      <c r="S1137" s="28" t="s">
        <v>1502</v>
      </c>
      <c r="T1137" s="28" t="s">
        <v>2645</v>
      </c>
      <c r="U1137" s="28" t="s">
        <v>1443</v>
      </c>
      <c r="V1137" s="28" t="s">
        <v>1736</v>
      </c>
      <c r="W1137" s="28" t="s">
        <v>10335</v>
      </c>
      <c r="X1137" s="17">
        <v>1</v>
      </c>
      <c r="CJ1137" s="26" t="s">
        <v>1406</v>
      </c>
      <c r="CK1137" s="26" t="s">
        <v>2230</v>
      </c>
      <c r="CL1137" s="26" t="str">
        <f t="shared" si="69"/>
        <v>奈良県山添村</v>
      </c>
      <c r="CM1137" s="49">
        <v>1132</v>
      </c>
      <c r="CN1137" s="17" t="str">
        <f t="shared" si="68"/>
        <v>1234</v>
      </c>
      <c r="CO1137" s="17" t="str">
        <f t="shared" si="70"/>
        <v>11321234山添村</v>
      </c>
      <c r="CP1137" s="17" t="s">
        <v>10336</v>
      </c>
      <c r="CQ1137" s="17" t="b">
        <f t="shared" si="71"/>
        <v>1</v>
      </c>
    </row>
    <row r="1138" spans="6:95">
      <c r="F1138" s="23"/>
      <c r="I1138" s="23"/>
      <c r="L1138" s="50" t="s">
        <v>10337</v>
      </c>
      <c r="M1138" s="17" t="s">
        <v>10338</v>
      </c>
      <c r="N1138" s="51" t="s">
        <v>10339</v>
      </c>
      <c r="O1138" s="29" t="s">
        <v>1464</v>
      </c>
      <c r="P1138" s="29" t="s">
        <v>10340</v>
      </c>
      <c r="Q1138" s="29" t="s">
        <v>1464</v>
      </c>
      <c r="R1138" s="29" t="s">
        <v>4925</v>
      </c>
      <c r="S1138" s="28" t="s">
        <v>2525</v>
      </c>
      <c r="T1138" s="28" t="s">
        <v>2691</v>
      </c>
      <c r="U1138" s="28" t="s">
        <v>1443</v>
      </c>
      <c r="V1138" s="28" t="s">
        <v>1736</v>
      </c>
      <c r="W1138" s="28" t="s">
        <v>10341</v>
      </c>
      <c r="X1138" s="17">
        <v>1</v>
      </c>
      <c r="CJ1138" s="26" t="s">
        <v>1406</v>
      </c>
      <c r="CK1138" s="26" t="s">
        <v>2285</v>
      </c>
      <c r="CL1138" s="26" t="str">
        <f t="shared" si="69"/>
        <v>奈良県平群町</v>
      </c>
      <c r="CM1138" s="49">
        <v>1133</v>
      </c>
      <c r="CN1138" s="17" t="str">
        <f t="shared" si="68"/>
        <v>1235</v>
      </c>
      <c r="CO1138" s="17" t="str">
        <f t="shared" si="70"/>
        <v>11331235平群町</v>
      </c>
      <c r="CP1138" s="17" t="s">
        <v>10342</v>
      </c>
      <c r="CQ1138" s="17" t="b">
        <f t="shared" si="71"/>
        <v>1</v>
      </c>
    </row>
    <row r="1139" spans="6:95">
      <c r="F1139" s="23"/>
      <c r="I1139" s="23"/>
      <c r="L1139" s="50" t="s">
        <v>10343</v>
      </c>
      <c r="M1139" s="17" t="s">
        <v>10344</v>
      </c>
      <c r="N1139" s="51" t="s">
        <v>10345</v>
      </c>
      <c r="O1139" s="29" t="s">
        <v>1464</v>
      </c>
      <c r="P1139" s="29" t="s">
        <v>10346</v>
      </c>
      <c r="Q1139" s="29" t="s">
        <v>1464</v>
      </c>
      <c r="R1139" s="29" t="s">
        <v>3456</v>
      </c>
      <c r="S1139" s="28" t="s">
        <v>2311</v>
      </c>
      <c r="T1139" s="28" t="s">
        <v>2737</v>
      </c>
      <c r="U1139" s="28" t="s">
        <v>1443</v>
      </c>
      <c r="V1139" s="28" t="s">
        <v>1736</v>
      </c>
      <c r="W1139" s="28" t="s">
        <v>10347</v>
      </c>
      <c r="X1139" s="17">
        <v>1</v>
      </c>
      <c r="CJ1139" s="26" t="s">
        <v>1406</v>
      </c>
      <c r="CK1139" s="26" t="s">
        <v>2341</v>
      </c>
      <c r="CL1139" s="26" t="str">
        <f t="shared" si="69"/>
        <v>奈良県三郷町</v>
      </c>
      <c r="CM1139" s="49">
        <v>1134</v>
      </c>
      <c r="CN1139" s="17" t="str">
        <f t="shared" si="68"/>
        <v>1236</v>
      </c>
      <c r="CO1139" s="17" t="str">
        <f t="shared" si="70"/>
        <v>11341236三郷町</v>
      </c>
      <c r="CP1139" s="17" t="s">
        <v>10348</v>
      </c>
      <c r="CQ1139" s="17" t="b">
        <f t="shared" si="71"/>
        <v>1</v>
      </c>
    </row>
    <row r="1140" spans="6:95">
      <c r="F1140" s="23"/>
      <c r="I1140" s="23"/>
      <c r="L1140" s="50" t="s">
        <v>10349</v>
      </c>
      <c r="M1140" s="17" t="s">
        <v>10350</v>
      </c>
      <c r="N1140" s="51" t="s">
        <v>10351</v>
      </c>
      <c r="O1140" s="29" t="s">
        <v>1464</v>
      </c>
      <c r="P1140" s="29" t="s">
        <v>10352</v>
      </c>
      <c r="Q1140" s="29" t="s">
        <v>1464</v>
      </c>
      <c r="R1140" s="29" t="s">
        <v>4547</v>
      </c>
      <c r="S1140" s="28" t="s">
        <v>1502</v>
      </c>
      <c r="T1140" s="28" t="s">
        <v>2781</v>
      </c>
      <c r="U1140" s="28" t="s">
        <v>1443</v>
      </c>
      <c r="V1140" s="28" t="s">
        <v>1736</v>
      </c>
      <c r="W1140" s="28" t="s">
        <v>10353</v>
      </c>
      <c r="X1140" s="17">
        <v>1</v>
      </c>
      <c r="CJ1140" s="26" t="s">
        <v>1406</v>
      </c>
      <c r="CK1140" s="26" t="s">
        <v>2395</v>
      </c>
      <c r="CL1140" s="26" t="str">
        <f t="shared" si="69"/>
        <v>奈良県斑鳩町</v>
      </c>
      <c r="CM1140" s="49">
        <v>1135</v>
      </c>
      <c r="CN1140" s="17" t="str">
        <f t="shared" si="68"/>
        <v>1237</v>
      </c>
      <c r="CO1140" s="17" t="str">
        <f t="shared" si="70"/>
        <v>11351237斑鳩町</v>
      </c>
      <c r="CP1140" s="17" t="s">
        <v>10354</v>
      </c>
      <c r="CQ1140" s="17" t="b">
        <f t="shared" si="71"/>
        <v>1</v>
      </c>
    </row>
    <row r="1141" spans="6:95">
      <c r="F1141" s="23"/>
      <c r="I1141" s="23"/>
      <c r="L1141" s="50" t="s">
        <v>10355</v>
      </c>
      <c r="M1141" s="17" t="s">
        <v>10356</v>
      </c>
      <c r="N1141" s="51" t="s">
        <v>10357</v>
      </c>
      <c r="O1141" s="29" t="s">
        <v>1464</v>
      </c>
      <c r="P1141" s="29" t="s">
        <v>10358</v>
      </c>
      <c r="Q1141" s="29" t="s">
        <v>1464</v>
      </c>
      <c r="R1141" s="29" t="s">
        <v>3723</v>
      </c>
      <c r="S1141" s="28" t="s">
        <v>1862</v>
      </c>
      <c r="T1141" s="28" t="s">
        <v>2823</v>
      </c>
      <c r="U1141" s="28" t="s">
        <v>1443</v>
      </c>
      <c r="V1141" s="28" t="s">
        <v>1736</v>
      </c>
      <c r="W1141" s="28" t="s">
        <v>10359</v>
      </c>
      <c r="X1141" s="17">
        <v>1</v>
      </c>
      <c r="CJ1141" s="26" t="s">
        <v>1406</v>
      </c>
      <c r="CK1141" s="26" t="s">
        <v>2450</v>
      </c>
      <c r="CL1141" s="26" t="str">
        <f t="shared" si="69"/>
        <v>奈良県安堵町</v>
      </c>
      <c r="CM1141" s="49">
        <v>1136</v>
      </c>
      <c r="CN1141" s="17" t="str">
        <f t="shared" si="68"/>
        <v>1238</v>
      </c>
      <c r="CO1141" s="17" t="str">
        <f t="shared" si="70"/>
        <v>11361238安堵町</v>
      </c>
      <c r="CP1141" s="17" t="s">
        <v>10360</v>
      </c>
      <c r="CQ1141" s="17" t="b">
        <f t="shared" si="71"/>
        <v>1</v>
      </c>
    </row>
    <row r="1142" spans="6:95">
      <c r="F1142" s="23"/>
      <c r="I1142" s="23"/>
      <c r="L1142" s="50" t="s">
        <v>10361</v>
      </c>
      <c r="M1142" s="17" t="s">
        <v>10362</v>
      </c>
      <c r="N1142" s="51" t="s">
        <v>10363</v>
      </c>
      <c r="O1142" s="29" t="s">
        <v>1464</v>
      </c>
      <c r="P1142" s="29" t="s">
        <v>10364</v>
      </c>
      <c r="Q1142" s="29" t="s">
        <v>1464</v>
      </c>
      <c r="R1142" s="29" t="s">
        <v>3741</v>
      </c>
      <c r="S1142" s="28" t="s">
        <v>2525</v>
      </c>
      <c r="T1142" s="28" t="s">
        <v>2863</v>
      </c>
      <c r="U1142" s="28" t="s">
        <v>1443</v>
      </c>
      <c r="V1142" s="28" t="s">
        <v>1736</v>
      </c>
      <c r="W1142" s="28" t="s">
        <v>10365</v>
      </c>
      <c r="X1142" s="17">
        <v>1</v>
      </c>
      <c r="CJ1142" s="26" t="s">
        <v>1406</v>
      </c>
      <c r="CK1142" s="26" t="s">
        <v>2501</v>
      </c>
      <c r="CL1142" s="26" t="str">
        <f t="shared" si="69"/>
        <v>奈良県川西町</v>
      </c>
      <c r="CM1142" s="49">
        <v>1137</v>
      </c>
      <c r="CN1142" s="17" t="str">
        <f t="shared" si="68"/>
        <v>1239</v>
      </c>
      <c r="CO1142" s="17" t="str">
        <f t="shared" si="70"/>
        <v>11371239川西町</v>
      </c>
      <c r="CP1142" s="17" t="s">
        <v>10366</v>
      </c>
      <c r="CQ1142" s="17" t="b">
        <f t="shared" si="71"/>
        <v>1</v>
      </c>
    </row>
    <row r="1143" spans="6:95">
      <c r="F1143" s="23"/>
      <c r="I1143" s="23"/>
      <c r="L1143" s="50" t="s">
        <v>10367</v>
      </c>
      <c r="M1143" s="17" t="s">
        <v>10368</v>
      </c>
      <c r="N1143" s="51" t="s">
        <v>10369</v>
      </c>
      <c r="O1143" s="29" t="s">
        <v>1465</v>
      </c>
      <c r="P1143" s="29" t="s">
        <v>10370</v>
      </c>
      <c r="Q1143" s="29" t="s">
        <v>1465</v>
      </c>
      <c r="R1143" s="29" t="s">
        <v>1501</v>
      </c>
      <c r="S1143" s="28" t="s">
        <v>1502</v>
      </c>
      <c r="T1143" s="28" t="s">
        <v>1530</v>
      </c>
      <c r="U1143" s="28" t="s">
        <v>1443</v>
      </c>
      <c r="V1143" s="28" t="s">
        <v>1736</v>
      </c>
      <c r="W1143" s="28" t="s">
        <v>10371</v>
      </c>
      <c r="X1143" s="17">
        <v>1</v>
      </c>
      <c r="CJ1143" s="26" t="s">
        <v>1406</v>
      </c>
      <c r="CK1143" s="26" t="s">
        <v>2553</v>
      </c>
      <c r="CL1143" s="26" t="str">
        <f t="shared" si="69"/>
        <v>奈良県三宅町</v>
      </c>
      <c r="CM1143" s="49">
        <v>1138</v>
      </c>
      <c r="CN1143" s="17" t="str">
        <f t="shared" si="68"/>
        <v>1240</v>
      </c>
      <c r="CO1143" s="17" t="str">
        <f t="shared" si="70"/>
        <v>11381240三宅町</v>
      </c>
      <c r="CP1143" s="17" t="s">
        <v>10372</v>
      </c>
      <c r="CQ1143" s="17" t="b">
        <f t="shared" si="71"/>
        <v>1</v>
      </c>
    </row>
    <row r="1144" spans="6:95">
      <c r="F1144" s="23"/>
      <c r="I1144" s="23"/>
      <c r="L1144" s="50" t="s">
        <v>10373</v>
      </c>
      <c r="M1144" s="17" t="s">
        <v>10374</v>
      </c>
      <c r="N1144" s="51" t="s">
        <v>10375</v>
      </c>
      <c r="O1144" s="29" t="s">
        <v>1465</v>
      </c>
      <c r="P1144" s="29" t="s">
        <v>10376</v>
      </c>
      <c r="Q1144" s="29" t="s">
        <v>1465</v>
      </c>
      <c r="R1144" s="29" t="s">
        <v>10377</v>
      </c>
      <c r="S1144" s="28" t="s">
        <v>2311</v>
      </c>
      <c r="T1144" s="28" t="s">
        <v>1592</v>
      </c>
      <c r="U1144" s="28" t="s">
        <v>1443</v>
      </c>
      <c r="V1144" s="28" t="s">
        <v>1736</v>
      </c>
      <c r="W1144" s="28" t="s">
        <v>10376</v>
      </c>
      <c r="X1144" s="17">
        <v>1</v>
      </c>
      <c r="CJ1144" s="26" t="s">
        <v>1406</v>
      </c>
      <c r="CK1144" s="26" t="s">
        <v>2601</v>
      </c>
      <c r="CL1144" s="26" t="str">
        <f t="shared" si="69"/>
        <v>奈良県田原本町</v>
      </c>
      <c r="CM1144" s="49">
        <v>1139</v>
      </c>
      <c r="CN1144" s="17" t="str">
        <f t="shared" si="68"/>
        <v>1241</v>
      </c>
      <c r="CO1144" s="17" t="str">
        <f t="shared" si="70"/>
        <v>11391241田原本町</v>
      </c>
      <c r="CP1144" s="17" t="s">
        <v>10378</v>
      </c>
      <c r="CQ1144" s="17" t="b">
        <f t="shared" si="71"/>
        <v>1</v>
      </c>
    </row>
    <row r="1145" spans="6:95">
      <c r="F1145" s="23"/>
      <c r="I1145" s="23"/>
      <c r="L1145" s="50" t="s">
        <v>10379</v>
      </c>
      <c r="M1145" s="17" t="s">
        <v>10380</v>
      </c>
      <c r="N1145" s="51" t="s">
        <v>10381</v>
      </c>
      <c r="O1145" s="29" t="s">
        <v>1465</v>
      </c>
      <c r="P1145" s="29" t="s">
        <v>10382</v>
      </c>
      <c r="Q1145" s="29" t="s">
        <v>1465</v>
      </c>
      <c r="R1145" s="29" t="s">
        <v>1563</v>
      </c>
      <c r="S1145" s="28" t="s">
        <v>1564</v>
      </c>
      <c r="T1145" s="28" t="s">
        <v>1654</v>
      </c>
      <c r="U1145" s="28" t="s">
        <v>1443</v>
      </c>
      <c r="V1145" s="28" t="s">
        <v>1736</v>
      </c>
      <c r="W1145" s="28" t="s">
        <v>10383</v>
      </c>
      <c r="X1145" s="17">
        <v>1</v>
      </c>
      <c r="CJ1145" s="26" t="s">
        <v>1406</v>
      </c>
      <c r="CK1145" s="26" t="s">
        <v>2648</v>
      </c>
      <c r="CL1145" s="26" t="str">
        <f t="shared" si="69"/>
        <v>奈良県曽爾村</v>
      </c>
      <c r="CM1145" s="49">
        <v>1140</v>
      </c>
      <c r="CN1145" s="17" t="str">
        <f t="shared" si="68"/>
        <v>1242</v>
      </c>
      <c r="CO1145" s="17" t="str">
        <f t="shared" si="70"/>
        <v>11401242曽爾村</v>
      </c>
      <c r="CP1145" s="17" t="s">
        <v>10384</v>
      </c>
      <c r="CQ1145" s="17" t="b">
        <f t="shared" si="71"/>
        <v>1</v>
      </c>
    </row>
    <row r="1146" spans="6:95">
      <c r="F1146" s="23"/>
      <c r="I1146" s="23"/>
      <c r="L1146" s="50" t="s">
        <v>10385</v>
      </c>
      <c r="M1146" s="17" t="s">
        <v>10386</v>
      </c>
      <c r="N1146" s="51" t="s">
        <v>10387</v>
      </c>
      <c r="O1146" s="29" t="s">
        <v>1465</v>
      </c>
      <c r="P1146" s="29" t="s">
        <v>10388</v>
      </c>
      <c r="Q1146" s="29" t="s">
        <v>1465</v>
      </c>
      <c r="R1146" s="29" t="s">
        <v>1625</v>
      </c>
      <c r="S1146" s="28" t="s">
        <v>1626</v>
      </c>
      <c r="T1146" s="28" t="s">
        <v>1712</v>
      </c>
      <c r="U1146" s="28" t="s">
        <v>1443</v>
      </c>
      <c r="V1146" s="28" t="s">
        <v>1736</v>
      </c>
      <c r="W1146" s="28" t="s">
        <v>10389</v>
      </c>
      <c r="X1146" s="17">
        <v>1</v>
      </c>
      <c r="CJ1146" s="26" t="s">
        <v>1406</v>
      </c>
      <c r="CK1146" s="26" t="s">
        <v>2694</v>
      </c>
      <c r="CL1146" s="26" t="str">
        <f t="shared" si="69"/>
        <v>奈良県御杖村</v>
      </c>
      <c r="CM1146" s="49">
        <v>1141</v>
      </c>
      <c r="CN1146" s="17" t="str">
        <f t="shared" si="68"/>
        <v>1243</v>
      </c>
      <c r="CO1146" s="17" t="str">
        <f t="shared" si="70"/>
        <v>11411243御杖村</v>
      </c>
      <c r="CP1146" s="17" t="s">
        <v>10390</v>
      </c>
      <c r="CQ1146" s="17" t="b">
        <f t="shared" si="71"/>
        <v>1</v>
      </c>
    </row>
    <row r="1147" spans="6:95">
      <c r="F1147" s="23"/>
      <c r="I1147" s="23"/>
      <c r="L1147" s="50" t="s">
        <v>10391</v>
      </c>
      <c r="M1147" s="17" t="s">
        <v>10392</v>
      </c>
      <c r="N1147" s="51" t="s">
        <v>10393</v>
      </c>
      <c r="O1147" s="29" t="s">
        <v>1465</v>
      </c>
      <c r="P1147" s="29" t="s">
        <v>10394</v>
      </c>
      <c r="Q1147" s="29" t="s">
        <v>1465</v>
      </c>
      <c r="R1147" s="29" t="s">
        <v>1684</v>
      </c>
      <c r="S1147" s="28" t="s">
        <v>1502</v>
      </c>
      <c r="T1147" s="28" t="s">
        <v>1771</v>
      </c>
      <c r="U1147" s="28" t="s">
        <v>1443</v>
      </c>
      <c r="V1147" s="28" t="s">
        <v>1736</v>
      </c>
      <c r="W1147" s="28" t="s">
        <v>10395</v>
      </c>
      <c r="X1147" s="17">
        <v>1</v>
      </c>
      <c r="CJ1147" s="26" t="s">
        <v>1406</v>
      </c>
      <c r="CK1147" s="26" t="s">
        <v>2740</v>
      </c>
      <c r="CL1147" s="26" t="str">
        <f t="shared" si="69"/>
        <v>奈良県高取町</v>
      </c>
      <c r="CM1147" s="49">
        <v>1142</v>
      </c>
      <c r="CN1147" s="17" t="str">
        <f t="shared" si="68"/>
        <v>1244</v>
      </c>
      <c r="CO1147" s="17" t="str">
        <f t="shared" si="70"/>
        <v>11421244高取町</v>
      </c>
      <c r="CP1147" s="17" t="s">
        <v>10396</v>
      </c>
      <c r="CQ1147" s="17" t="b">
        <f t="shared" si="71"/>
        <v>1</v>
      </c>
    </row>
    <row r="1148" spans="6:95">
      <c r="F1148" s="23"/>
      <c r="I1148" s="23"/>
      <c r="L1148" s="50" t="s">
        <v>10397</v>
      </c>
      <c r="M1148" s="17" t="s">
        <v>10398</v>
      </c>
      <c r="N1148" s="51" t="s">
        <v>10399</v>
      </c>
      <c r="O1148" s="29" t="s">
        <v>1465</v>
      </c>
      <c r="P1148" s="29" t="s">
        <v>10400</v>
      </c>
      <c r="Q1148" s="29" t="s">
        <v>1465</v>
      </c>
      <c r="R1148" s="29" t="s">
        <v>1742</v>
      </c>
      <c r="S1148" s="28" t="s">
        <v>1743</v>
      </c>
      <c r="T1148" s="28" t="s">
        <v>1831</v>
      </c>
      <c r="U1148" s="28" t="s">
        <v>1443</v>
      </c>
      <c r="V1148" s="28" t="s">
        <v>1736</v>
      </c>
      <c r="W1148" s="28" t="s">
        <v>10401</v>
      </c>
      <c r="X1148" s="17">
        <v>1</v>
      </c>
      <c r="CJ1148" s="26" t="s">
        <v>1406</v>
      </c>
      <c r="CK1148" s="26" t="s">
        <v>2784</v>
      </c>
      <c r="CL1148" s="26" t="str">
        <f t="shared" si="69"/>
        <v>奈良県明日香村</v>
      </c>
      <c r="CM1148" s="49">
        <v>1143</v>
      </c>
      <c r="CN1148" s="17" t="str">
        <f t="shared" si="68"/>
        <v>1245</v>
      </c>
      <c r="CO1148" s="17" t="str">
        <f t="shared" si="70"/>
        <v>11431245明日香村</v>
      </c>
      <c r="CP1148" s="17" t="s">
        <v>10402</v>
      </c>
      <c r="CQ1148" s="17" t="b">
        <f t="shared" si="71"/>
        <v>1</v>
      </c>
    </row>
    <row r="1149" spans="6:95">
      <c r="F1149" s="23"/>
      <c r="I1149" s="23"/>
      <c r="L1149" s="50" t="s">
        <v>10403</v>
      </c>
      <c r="M1149" s="17" t="s">
        <v>10404</v>
      </c>
      <c r="N1149" s="51" t="s">
        <v>10405</v>
      </c>
      <c r="O1149" s="29" t="s">
        <v>1465</v>
      </c>
      <c r="P1149" s="29" t="s">
        <v>10406</v>
      </c>
      <c r="Q1149" s="29" t="s">
        <v>1465</v>
      </c>
      <c r="R1149" s="29" t="s">
        <v>1802</v>
      </c>
      <c r="S1149" s="28" t="s">
        <v>1803</v>
      </c>
      <c r="T1149" s="28" t="s">
        <v>1890</v>
      </c>
      <c r="U1149" s="28" t="s">
        <v>1443</v>
      </c>
      <c r="V1149" s="28" t="s">
        <v>1736</v>
      </c>
      <c r="W1149" s="28" t="s">
        <v>10407</v>
      </c>
      <c r="X1149" s="17">
        <v>1</v>
      </c>
      <c r="CJ1149" s="26" t="s">
        <v>1406</v>
      </c>
      <c r="CK1149" s="26" t="s">
        <v>2826</v>
      </c>
      <c r="CL1149" s="26" t="str">
        <f t="shared" si="69"/>
        <v>奈良県上牧町</v>
      </c>
      <c r="CM1149" s="49">
        <v>1144</v>
      </c>
      <c r="CN1149" s="17" t="str">
        <f t="shared" si="68"/>
        <v>1246</v>
      </c>
      <c r="CO1149" s="17" t="str">
        <f t="shared" si="70"/>
        <v>11441246上牧町</v>
      </c>
      <c r="CP1149" s="17" t="s">
        <v>10408</v>
      </c>
      <c r="CQ1149" s="17" t="b">
        <f t="shared" si="71"/>
        <v>1</v>
      </c>
    </row>
    <row r="1150" spans="6:95">
      <c r="F1150" s="23"/>
      <c r="I1150" s="23"/>
      <c r="L1150" s="50" t="s">
        <v>10409</v>
      </c>
      <c r="M1150" s="17" t="s">
        <v>10410</v>
      </c>
      <c r="N1150" s="51" t="s">
        <v>10411</v>
      </c>
      <c r="O1150" s="29" t="s">
        <v>1465</v>
      </c>
      <c r="P1150" s="29" t="s">
        <v>10412</v>
      </c>
      <c r="Q1150" s="29" t="s">
        <v>1465</v>
      </c>
      <c r="R1150" s="29" t="s">
        <v>1861</v>
      </c>
      <c r="S1150" s="28" t="s">
        <v>1862</v>
      </c>
      <c r="T1150" s="28" t="s">
        <v>1948</v>
      </c>
      <c r="U1150" s="28" t="s">
        <v>1443</v>
      </c>
      <c r="V1150" s="28" t="s">
        <v>1736</v>
      </c>
      <c r="W1150" s="28" t="s">
        <v>10413</v>
      </c>
      <c r="X1150" s="17">
        <v>1</v>
      </c>
      <c r="CJ1150" s="26" t="s">
        <v>1406</v>
      </c>
      <c r="CK1150" s="26" t="s">
        <v>2866</v>
      </c>
      <c r="CL1150" s="26" t="str">
        <f t="shared" si="69"/>
        <v>奈良県王寺町</v>
      </c>
      <c r="CM1150" s="49">
        <v>1145</v>
      </c>
      <c r="CN1150" s="17" t="str">
        <f t="shared" si="68"/>
        <v>1247</v>
      </c>
      <c r="CO1150" s="17" t="str">
        <f t="shared" si="70"/>
        <v>11451247王寺町</v>
      </c>
      <c r="CP1150" s="17" t="s">
        <v>10414</v>
      </c>
      <c r="CQ1150" s="17" t="b">
        <f t="shared" si="71"/>
        <v>1</v>
      </c>
    </row>
    <row r="1151" spans="6:95">
      <c r="F1151" s="23"/>
      <c r="I1151" s="23"/>
      <c r="L1151" s="50" t="s">
        <v>10415</v>
      </c>
      <c r="M1151" s="17" t="s">
        <v>10416</v>
      </c>
      <c r="N1151" s="51" t="s">
        <v>10417</v>
      </c>
      <c r="O1151" s="29" t="s">
        <v>1465</v>
      </c>
      <c r="P1151" s="29" t="s">
        <v>10418</v>
      </c>
      <c r="Q1151" s="29" t="s">
        <v>1465</v>
      </c>
      <c r="R1151" s="29" t="s">
        <v>1919</v>
      </c>
      <c r="S1151" s="28" t="s">
        <v>1920</v>
      </c>
      <c r="T1151" s="28" t="s">
        <v>2005</v>
      </c>
      <c r="U1151" s="28" t="s">
        <v>1443</v>
      </c>
      <c r="V1151" s="28" t="s">
        <v>1736</v>
      </c>
      <c r="W1151" s="28" t="s">
        <v>10419</v>
      </c>
      <c r="X1151" s="17">
        <v>1</v>
      </c>
      <c r="CJ1151" s="26" t="s">
        <v>1406</v>
      </c>
      <c r="CK1151" s="26" t="s">
        <v>2904</v>
      </c>
      <c r="CL1151" s="26" t="str">
        <f t="shared" si="69"/>
        <v>奈良県広陵町</v>
      </c>
      <c r="CM1151" s="49">
        <v>1146</v>
      </c>
      <c r="CN1151" s="17" t="str">
        <f t="shared" si="68"/>
        <v>1248</v>
      </c>
      <c r="CO1151" s="17" t="str">
        <f t="shared" si="70"/>
        <v>11461248広陵町</v>
      </c>
      <c r="CP1151" s="17" t="s">
        <v>10420</v>
      </c>
      <c r="CQ1151" s="17" t="b">
        <f t="shared" si="71"/>
        <v>1</v>
      </c>
    </row>
    <row r="1152" spans="6:95">
      <c r="F1152" s="23"/>
      <c r="I1152" s="23"/>
      <c r="L1152" s="50" t="s">
        <v>10421</v>
      </c>
      <c r="M1152" s="17" t="s">
        <v>10422</v>
      </c>
      <c r="N1152" s="51" t="s">
        <v>10423</v>
      </c>
      <c r="O1152" s="29" t="s">
        <v>1465</v>
      </c>
      <c r="P1152" s="29" t="s">
        <v>10424</v>
      </c>
      <c r="Q1152" s="29" t="s">
        <v>1465</v>
      </c>
      <c r="R1152" s="29" t="s">
        <v>2033</v>
      </c>
      <c r="S1152" s="28" t="s">
        <v>1743</v>
      </c>
      <c r="T1152" s="28" t="s">
        <v>2061</v>
      </c>
      <c r="U1152" s="28" t="s">
        <v>1443</v>
      </c>
      <c r="V1152" s="28" t="s">
        <v>1736</v>
      </c>
      <c r="W1152" s="28" t="s">
        <v>10425</v>
      </c>
      <c r="X1152" s="17">
        <v>1</v>
      </c>
      <c r="CJ1152" s="26" t="s">
        <v>1406</v>
      </c>
      <c r="CK1152" s="26" t="s">
        <v>2940</v>
      </c>
      <c r="CL1152" s="26" t="str">
        <f t="shared" si="69"/>
        <v>奈良県河合町</v>
      </c>
      <c r="CM1152" s="49">
        <v>1147</v>
      </c>
      <c r="CN1152" s="17" t="str">
        <f t="shared" si="68"/>
        <v>1249</v>
      </c>
      <c r="CO1152" s="17" t="str">
        <f t="shared" si="70"/>
        <v>11471249河合町</v>
      </c>
      <c r="CP1152" s="17" t="s">
        <v>10426</v>
      </c>
      <c r="CQ1152" s="17" t="b">
        <f t="shared" si="71"/>
        <v>1</v>
      </c>
    </row>
    <row r="1153" spans="6:95">
      <c r="F1153" s="23"/>
      <c r="I1153" s="23"/>
      <c r="L1153" s="50" t="s">
        <v>10427</v>
      </c>
      <c r="M1153" s="17" t="s">
        <v>10428</v>
      </c>
      <c r="N1153" s="51" t="s">
        <v>10429</v>
      </c>
      <c r="O1153" s="29" t="s">
        <v>1465</v>
      </c>
      <c r="P1153" s="29" t="s">
        <v>10430</v>
      </c>
      <c r="Q1153" s="29" t="s">
        <v>1465</v>
      </c>
      <c r="R1153" s="29" t="s">
        <v>2089</v>
      </c>
      <c r="S1153" s="28" t="s">
        <v>1803</v>
      </c>
      <c r="T1153" s="28" t="s">
        <v>2117</v>
      </c>
      <c r="U1153" s="28" t="s">
        <v>1443</v>
      </c>
      <c r="V1153" s="28" t="s">
        <v>1736</v>
      </c>
      <c r="W1153" s="28" t="s">
        <v>10431</v>
      </c>
      <c r="X1153" s="17">
        <v>1</v>
      </c>
      <c r="CJ1153" s="26" t="s">
        <v>1406</v>
      </c>
      <c r="CK1153" s="26" t="s">
        <v>2973</v>
      </c>
      <c r="CL1153" s="26" t="str">
        <f t="shared" si="69"/>
        <v>奈良県吉野町</v>
      </c>
      <c r="CM1153" s="49">
        <v>1148</v>
      </c>
      <c r="CN1153" s="17" t="str">
        <f t="shared" si="68"/>
        <v>1250</v>
      </c>
      <c r="CO1153" s="17" t="str">
        <f t="shared" si="70"/>
        <v>11481250吉野町</v>
      </c>
      <c r="CP1153" s="17" t="s">
        <v>10432</v>
      </c>
      <c r="CQ1153" s="17" t="b">
        <f t="shared" si="71"/>
        <v>1</v>
      </c>
    </row>
    <row r="1154" spans="6:95">
      <c r="F1154" s="23"/>
      <c r="I1154" s="23"/>
      <c r="L1154" s="50" t="s">
        <v>10433</v>
      </c>
      <c r="M1154" s="17" t="s">
        <v>10434</v>
      </c>
      <c r="N1154" s="51" t="s">
        <v>10435</v>
      </c>
      <c r="O1154" s="29" t="s">
        <v>1465</v>
      </c>
      <c r="P1154" s="29" t="s">
        <v>10436</v>
      </c>
      <c r="Q1154" s="29" t="s">
        <v>1465</v>
      </c>
      <c r="R1154" s="29" t="s">
        <v>2145</v>
      </c>
      <c r="S1154" s="28" t="s">
        <v>1862</v>
      </c>
      <c r="T1154" s="28" t="s">
        <v>2173</v>
      </c>
      <c r="U1154" s="28" t="s">
        <v>1443</v>
      </c>
      <c r="V1154" s="28" t="s">
        <v>1736</v>
      </c>
      <c r="W1154" s="28" t="s">
        <v>10437</v>
      </c>
      <c r="X1154" s="17">
        <v>1</v>
      </c>
      <c r="CJ1154" s="26" t="s">
        <v>1406</v>
      </c>
      <c r="CK1154" s="26" t="s">
        <v>3007</v>
      </c>
      <c r="CL1154" s="26" t="str">
        <f t="shared" si="69"/>
        <v>奈良県大淀町</v>
      </c>
      <c r="CM1154" s="49">
        <v>1149</v>
      </c>
      <c r="CN1154" s="17" t="str">
        <f t="shared" si="68"/>
        <v>1251</v>
      </c>
      <c r="CO1154" s="17" t="str">
        <f t="shared" si="70"/>
        <v>11491251大淀町</v>
      </c>
      <c r="CP1154" s="17" t="s">
        <v>10438</v>
      </c>
      <c r="CQ1154" s="17" t="b">
        <f t="shared" si="71"/>
        <v>1</v>
      </c>
    </row>
    <row r="1155" spans="6:95">
      <c r="F1155" s="23"/>
      <c r="I1155" s="23"/>
      <c r="L1155" s="50" t="s">
        <v>10439</v>
      </c>
      <c r="M1155" s="17" t="s">
        <v>10440</v>
      </c>
      <c r="N1155" s="51" t="s">
        <v>10441</v>
      </c>
      <c r="O1155" s="29" t="s">
        <v>1465</v>
      </c>
      <c r="P1155" s="29" t="s">
        <v>10442</v>
      </c>
      <c r="Q1155" s="29" t="s">
        <v>1465</v>
      </c>
      <c r="R1155" s="29" t="s">
        <v>2200</v>
      </c>
      <c r="S1155" s="28" t="s">
        <v>1920</v>
      </c>
      <c r="T1155" s="28" t="s">
        <v>2228</v>
      </c>
      <c r="U1155" s="28" t="s">
        <v>1443</v>
      </c>
      <c r="V1155" s="28" t="s">
        <v>1736</v>
      </c>
      <c r="W1155" s="28" t="s">
        <v>10443</v>
      </c>
      <c r="X1155" s="17">
        <v>1</v>
      </c>
      <c r="CJ1155" s="26" t="s">
        <v>1406</v>
      </c>
      <c r="CK1155" s="26" t="s">
        <v>3040</v>
      </c>
      <c r="CL1155" s="26" t="str">
        <f t="shared" si="69"/>
        <v>奈良県下市町</v>
      </c>
      <c r="CM1155" s="49">
        <v>1150</v>
      </c>
      <c r="CN1155" s="17" t="str">
        <f t="shared" si="68"/>
        <v>1252</v>
      </c>
      <c r="CO1155" s="17" t="str">
        <f t="shared" si="70"/>
        <v>11501252下市町</v>
      </c>
      <c r="CP1155" s="17" t="s">
        <v>10444</v>
      </c>
      <c r="CQ1155" s="17" t="b">
        <f t="shared" si="71"/>
        <v>1</v>
      </c>
    </row>
    <row r="1156" spans="6:95">
      <c r="F1156" s="23"/>
      <c r="I1156" s="23"/>
      <c r="L1156" s="50" t="s">
        <v>10445</v>
      </c>
      <c r="M1156" s="17" t="s">
        <v>10446</v>
      </c>
      <c r="N1156" s="51" t="s">
        <v>10447</v>
      </c>
      <c r="O1156" s="29" t="s">
        <v>1465</v>
      </c>
      <c r="P1156" s="29" t="s">
        <v>10448</v>
      </c>
      <c r="Q1156" s="29" t="s">
        <v>1465</v>
      </c>
      <c r="R1156" s="29" t="s">
        <v>2255</v>
      </c>
      <c r="S1156" s="28" t="s">
        <v>1977</v>
      </c>
      <c r="T1156" s="28" t="s">
        <v>2283</v>
      </c>
      <c r="U1156" s="28" t="s">
        <v>1443</v>
      </c>
      <c r="V1156" s="28" t="s">
        <v>1736</v>
      </c>
      <c r="W1156" s="28" t="s">
        <v>10449</v>
      </c>
      <c r="X1156" s="17">
        <v>1</v>
      </c>
      <c r="CJ1156" s="26" t="s">
        <v>1406</v>
      </c>
      <c r="CK1156" s="26" t="s">
        <v>3071</v>
      </c>
      <c r="CL1156" s="26" t="str">
        <f t="shared" si="69"/>
        <v>奈良県黒滝村</v>
      </c>
      <c r="CM1156" s="49">
        <v>1151</v>
      </c>
      <c r="CN1156" s="17" t="str">
        <f t="shared" si="68"/>
        <v>1253</v>
      </c>
      <c r="CO1156" s="17" t="str">
        <f t="shared" si="70"/>
        <v>11511253黒滝村</v>
      </c>
      <c r="CP1156" s="17" t="s">
        <v>10450</v>
      </c>
      <c r="CQ1156" s="17" t="b">
        <f t="shared" si="71"/>
        <v>1</v>
      </c>
    </row>
    <row r="1157" spans="6:95">
      <c r="F1157" s="23"/>
      <c r="I1157" s="23"/>
      <c r="L1157" s="50" t="s">
        <v>10451</v>
      </c>
      <c r="M1157" s="17" t="s">
        <v>10452</v>
      </c>
      <c r="N1157" s="51" t="s">
        <v>10453</v>
      </c>
      <c r="O1157" s="29" t="s">
        <v>1465</v>
      </c>
      <c r="P1157" s="29" t="s">
        <v>10454</v>
      </c>
      <c r="Q1157" s="29" t="s">
        <v>1465</v>
      </c>
      <c r="R1157" s="29" t="s">
        <v>2310</v>
      </c>
      <c r="S1157" s="28" t="s">
        <v>2311</v>
      </c>
      <c r="T1157" s="28" t="s">
        <v>2339</v>
      </c>
      <c r="U1157" s="28" t="s">
        <v>1443</v>
      </c>
      <c r="V1157" s="28" t="s">
        <v>1736</v>
      </c>
      <c r="W1157" s="28" t="s">
        <v>10455</v>
      </c>
      <c r="X1157" s="17">
        <v>1</v>
      </c>
      <c r="CJ1157" s="26" t="s">
        <v>1406</v>
      </c>
      <c r="CK1157" s="26" t="s">
        <v>3100</v>
      </c>
      <c r="CL1157" s="26" t="str">
        <f t="shared" si="69"/>
        <v>奈良県天川村</v>
      </c>
      <c r="CM1157" s="49">
        <v>1152</v>
      </c>
      <c r="CN1157" s="17" t="str">
        <f t="shared" si="68"/>
        <v>1254</v>
      </c>
      <c r="CO1157" s="17" t="str">
        <f t="shared" si="70"/>
        <v>11521254天川村</v>
      </c>
      <c r="CP1157" s="17" t="s">
        <v>10456</v>
      </c>
      <c r="CQ1157" s="17" t="b">
        <f t="shared" si="71"/>
        <v>1</v>
      </c>
    </row>
    <row r="1158" spans="6:95">
      <c r="F1158" s="23"/>
      <c r="I1158" s="23"/>
      <c r="L1158" s="50" t="s">
        <v>10457</v>
      </c>
      <c r="M1158" s="17" t="s">
        <v>10458</v>
      </c>
      <c r="N1158" s="51" t="s">
        <v>10459</v>
      </c>
      <c r="O1158" s="29" t="s">
        <v>1465</v>
      </c>
      <c r="P1158" s="29" t="s">
        <v>10460</v>
      </c>
      <c r="Q1158" s="29" t="s">
        <v>1465</v>
      </c>
      <c r="R1158" s="29" t="s">
        <v>2365</v>
      </c>
      <c r="S1158" s="28" t="s">
        <v>1564</v>
      </c>
      <c r="T1158" s="28" t="s">
        <v>2393</v>
      </c>
      <c r="U1158" s="28" t="s">
        <v>1443</v>
      </c>
      <c r="V1158" s="28" t="s">
        <v>1736</v>
      </c>
      <c r="W1158" s="28" t="s">
        <v>10461</v>
      </c>
      <c r="X1158" s="17">
        <v>1</v>
      </c>
      <c r="CJ1158" s="26" t="s">
        <v>1406</v>
      </c>
      <c r="CK1158" s="26" t="s">
        <v>3130</v>
      </c>
      <c r="CL1158" s="26" t="str">
        <f t="shared" si="69"/>
        <v>奈良県野迫川村</v>
      </c>
      <c r="CM1158" s="49">
        <v>1153</v>
      </c>
      <c r="CN1158" s="17" t="str">
        <f t="shared" ref="CN1158:CN1221" si="72">VLOOKUP(CL1158,$M$6:$N$1784,2,FALSE)</f>
        <v>1255</v>
      </c>
      <c r="CO1158" s="17" t="str">
        <f t="shared" si="70"/>
        <v>11531255野迫川村</v>
      </c>
      <c r="CP1158" s="17" t="s">
        <v>10462</v>
      </c>
      <c r="CQ1158" s="17" t="b">
        <f t="shared" si="71"/>
        <v>1</v>
      </c>
    </row>
    <row r="1159" spans="6:95">
      <c r="F1159" s="23"/>
      <c r="I1159" s="23"/>
      <c r="L1159" s="50" t="s">
        <v>10463</v>
      </c>
      <c r="M1159" s="17" t="s">
        <v>10464</v>
      </c>
      <c r="N1159" s="51" t="s">
        <v>10465</v>
      </c>
      <c r="O1159" s="29" t="s">
        <v>1465</v>
      </c>
      <c r="P1159" s="29" t="s">
        <v>10466</v>
      </c>
      <c r="Q1159" s="29" t="s">
        <v>1465</v>
      </c>
      <c r="R1159" s="29" t="s">
        <v>2420</v>
      </c>
      <c r="S1159" s="28" t="s">
        <v>1626</v>
      </c>
      <c r="T1159" s="28" t="s">
        <v>2448</v>
      </c>
      <c r="U1159" s="28" t="s">
        <v>1443</v>
      </c>
      <c r="V1159" s="28" t="s">
        <v>1736</v>
      </c>
      <c r="W1159" s="28" t="s">
        <v>10467</v>
      </c>
      <c r="X1159" s="17">
        <v>1</v>
      </c>
      <c r="CJ1159" s="26" t="s">
        <v>1406</v>
      </c>
      <c r="CK1159" s="26" t="s">
        <v>3161</v>
      </c>
      <c r="CL1159" s="26" t="str">
        <f t="shared" si="69"/>
        <v>奈良県十津川村</v>
      </c>
      <c r="CM1159" s="49">
        <v>1154</v>
      </c>
      <c r="CN1159" s="17" t="str">
        <f t="shared" si="72"/>
        <v>1256</v>
      </c>
      <c r="CO1159" s="17" t="str">
        <f t="shared" si="70"/>
        <v>11541256十津川村</v>
      </c>
      <c r="CP1159" s="17" t="s">
        <v>10468</v>
      </c>
      <c r="CQ1159" s="17" t="b">
        <f t="shared" si="71"/>
        <v>1</v>
      </c>
    </row>
    <row r="1160" spans="6:95">
      <c r="F1160" s="23"/>
      <c r="I1160" s="23"/>
      <c r="L1160" s="50" t="s">
        <v>10469</v>
      </c>
      <c r="M1160" s="17" t="s">
        <v>10470</v>
      </c>
      <c r="N1160" s="51" t="s">
        <v>10471</v>
      </c>
      <c r="O1160" s="29" t="s">
        <v>1465</v>
      </c>
      <c r="P1160" s="29" t="s">
        <v>10472</v>
      </c>
      <c r="Q1160" s="29" t="s">
        <v>1465</v>
      </c>
      <c r="R1160" s="29" t="s">
        <v>2474</v>
      </c>
      <c r="S1160" s="28" t="s">
        <v>1502</v>
      </c>
      <c r="T1160" s="28" t="s">
        <v>2499</v>
      </c>
      <c r="U1160" s="28" t="s">
        <v>1443</v>
      </c>
      <c r="V1160" s="28" t="s">
        <v>1736</v>
      </c>
      <c r="W1160" s="28" t="s">
        <v>10473</v>
      </c>
      <c r="X1160" s="17">
        <v>1</v>
      </c>
      <c r="CJ1160" s="26" t="s">
        <v>1406</v>
      </c>
      <c r="CK1160" s="26" t="s">
        <v>3188</v>
      </c>
      <c r="CL1160" s="26" t="str">
        <f t="shared" ref="CL1160:CL1223" si="73">CJ1160&amp;CK1160</f>
        <v>奈良県下北山村</v>
      </c>
      <c r="CM1160" s="49">
        <v>1155</v>
      </c>
      <c r="CN1160" s="17" t="str">
        <f t="shared" si="72"/>
        <v>1257</v>
      </c>
      <c r="CO1160" s="17" t="str">
        <f t="shared" ref="CO1160:CO1223" si="74">CM1160&amp;TEXT(CN1160,0)&amp;CK1160</f>
        <v>11551257下北山村</v>
      </c>
      <c r="CP1160" s="17" t="s">
        <v>10474</v>
      </c>
      <c r="CQ1160" s="17" t="b">
        <f t="shared" ref="CQ1160:CQ1223" si="75">CO1160=CP1160</f>
        <v>1</v>
      </c>
    </row>
    <row r="1161" spans="6:95">
      <c r="F1161" s="23"/>
      <c r="I1161" s="23"/>
      <c r="L1161" s="50" t="s">
        <v>10475</v>
      </c>
      <c r="M1161" s="17" t="s">
        <v>10476</v>
      </c>
      <c r="N1161" s="51" t="s">
        <v>10477</v>
      </c>
      <c r="O1161" s="29" t="s">
        <v>1465</v>
      </c>
      <c r="P1161" s="29" t="s">
        <v>10478</v>
      </c>
      <c r="Q1161" s="29" t="s">
        <v>1465</v>
      </c>
      <c r="R1161" s="29" t="s">
        <v>2524</v>
      </c>
      <c r="S1161" s="28" t="s">
        <v>2525</v>
      </c>
      <c r="T1161" s="28" t="s">
        <v>2551</v>
      </c>
      <c r="U1161" s="28" t="s">
        <v>1443</v>
      </c>
      <c r="V1161" s="28" t="s">
        <v>1736</v>
      </c>
      <c r="W1161" s="28" t="s">
        <v>10479</v>
      </c>
      <c r="X1161" s="17">
        <v>1</v>
      </c>
      <c r="CJ1161" s="26" t="s">
        <v>1406</v>
      </c>
      <c r="CK1161" s="26" t="s">
        <v>3213</v>
      </c>
      <c r="CL1161" s="26" t="str">
        <f t="shared" si="73"/>
        <v>奈良県上北山村</v>
      </c>
      <c r="CM1161" s="49">
        <v>1156</v>
      </c>
      <c r="CN1161" s="17" t="str">
        <f t="shared" si="72"/>
        <v>1258</v>
      </c>
      <c r="CO1161" s="17" t="str">
        <f t="shared" si="74"/>
        <v>11561258上北山村</v>
      </c>
      <c r="CP1161" s="17" t="s">
        <v>10480</v>
      </c>
      <c r="CQ1161" s="17" t="b">
        <f t="shared" si="75"/>
        <v>1</v>
      </c>
    </row>
    <row r="1162" spans="6:95">
      <c r="F1162" s="23"/>
      <c r="I1162" s="23"/>
      <c r="L1162" s="50" t="s">
        <v>10481</v>
      </c>
      <c r="M1162" s="17" t="s">
        <v>10482</v>
      </c>
      <c r="N1162" s="51" t="s">
        <v>10483</v>
      </c>
      <c r="O1162" s="29" t="s">
        <v>1465</v>
      </c>
      <c r="P1162" s="29" t="s">
        <v>10484</v>
      </c>
      <c r="Q1162" s="29" t="s">
        <v>1465</v>
      </c>
      <c r="R1162" s="29" t="s">
        <v>2576</v>
      </c>
      <c r="S1162" s="28" t="s">
        <v>2311</v>
      </c>
      <c r="T1162" s="28" t="s">
        <v>2599</v>
      </c>
      <c r="U1162" s="28" t="s">
        <v>1443</v>
      </c>
      <c r="V1162" s="28" t="s">
        <v>1736</v>
      </c>
      <c r="W1162" s="28" t="s">
        <v>10485</v>
      </c>
      <c r="X1162" s="17">
        <v>1</v>
      </c>
      <c r="CJ1162" s="26" t="s">
        <v>1406</v>
      </c>
      <c r="CK1162" s="26" t="s">
        <v>2441</v>
      </c>
      <c r="CL1162" s="26" t="str">
        <f t="shared" si="73"/>
        <v>奈良県川上村</v>
      </c>
      <c r="CM1162" s="49">
        <v>1157</v>
      </c>
      <c r="CN1162" s="17" t="str">
        <f t="shared" si="72"/>
        <v>1259</v>
      </c>
      <c r="CO1162" s="17" t="str">
        <f t="shared" si="74"/>
        <v>11571259川上村</v>
      </c>
      <c r="CP1162" s="17" t="s">
        <v>10486</v>
      </c>
      <c r="CQ1162" s="17" t="b">
        <f t="shared" si="75"/>
        <v>1</v>
      </c>
    </row>
    <row r="1163" spans="6:95">
      <c r="F1163" s="23"/>
      <c r="I1163" s="23"/>
      <c r="L1163" s="50" t="s">
        <v>10487</v>
      </c>
      <c r="M1163" s="17" t="s">
        <v>10488</v>
      </c>
      <c r="N1163" s="51" t="s">
        <v>10489</v>
      </c>
      <c r="O1163" s="29" t="s">
        <v>1465</v>
      </c>
      <c r="P1163" s="29" t="s">
        <v>10490</v>
      </c>
      <c r="Q1163" s="29" t="s">
        <v>1465</v>
      </c>
      <c r="R1163" s="29" t="s">
        <v>2623</v>
      </c>
      <c r="S1163" s="28" t="s">
        <v>1564</v>
      </c>
      <c r="T1163" s="28" t="s">
        <v>2646</v>
      </c>
      <c r="U1163" s="28" t="s">
        <v>1443</v>
      </c>
      <c r="V1163" s="28" t="s">
        <v>1736</v>
      </c>
      <c r="W1163" s="28" t="s">
        <v>10491</v>
      </c>
      <c r="X1163" s="17">
        <v>1</v>
      </c>
      <c r="CJ1163" s="26" t="s">
        <v>1406</v>
      </c>
      <c r="CK1163" s="26" t="s">
        <v>3260</v>
      </c>
      <c r="CL1163" s="26" t="str">
        <f t="shared" si="73"/>
        <v>奈良県東吉野村</v>
      </c>
      <c r="CM1163" s="49">
        <v>1158</v>
      </c>
      <c r="CN1163" s="17" t="str">
        <f t="shared" si="72"/>
        <v>1260</v>
      </c>
      <c r="CO1163" s="17" t="str">
        <f t="shared" si="74"/>
        <v>11581260東吉野村</v>
      </c>
      <c r="CP1163" s="17" t="s">
        <v>10492</v>
      </c>
      <c r="CQ1163" s="17" t="b">
        <f t="shared" si="75"/>
        <v>1</v>
      </c>
    </row>
    <row r="1164" spans="6:95">
      <c r="F1164" s="23"/>
      <c r="I1164" s="23"/>
      <c r="L1164" s="50" t="s">
        <v>10493</v>
      </c>
      <c r="M1164" s="17" t="s">
        <v>10494</v>
      </c>
      <c r="N1164" s="51" t="s">
        <v>10495</v>
      </c>
      <c r="O1164" s="29" t="s">
        <v>1465</v>
      </c>
      <c r="P1164" s="29" t="s">
        <v>10496</v>
      </c>
      <c r="Q1164" s="29" t="s">
        <v>1465</v>
      </c>
      <c r="R1164" s="29" t="s">
        <v>2668</v>
      </c>
      <c r="S1164" s="28" t="s">
        <v>1626</v>
      </c>
      <c r="T1164" s="28" t="s">
        <v>2692</v>
      </c>
      <c r="U1164" s="28" t="s">
        <v>1443</v>
      </c>
      <c r="V1164" s="28" t="s">
        <v>1736</v>
      </c>
      <c r="W1164" s="28" t="s">
        <v>10497</v>
      </c>
      <c r="X1164" s="17">
        <v>1</v>
      </c>
      <c r="CJ1164" s="26" t="s">
        <v>1407</v>
      </c>
      <c r="CK1164" s="26" t="s">
        <v>1533</v>
      </c>
      <c r="CL1164" s="26" t="str">
        <f t="shared" si="73"/>
        <v>和歌山県和歌山市</v>
      </c>
      <c r="CM1164" s="49">
        <v>1159</v>
      </c>
      <c r="CN1164" s="17" t="str">
        <f t="shared" si="72"/>
        <v>1261</v>
      </c>
      <c r="CO1164" s="17" t="str">
        <f t="shared" si="74"/>
        <v>11591261和歌山市</v>
      </c>
      <c r="CP1164" s="17" t="s">
        <v>10498</v>
      </c>
      <c r="CQ1164" s="17" t="b">
        <f t="shared" si="75"/>
        <v>1</v>
      </c>
    </row>
    <row r="1165" spans="6:95">
      <c r="F1165" s="23"/>
      <c r="I1165" s="23"/>
      <c r="L1165" s="50" t="s">
        <v>10499</v>
      </c>
      <c r="M1165" s="17" t="s">
        <v>10500</v>
      </c>
      <c r="N1165" s="51" t="s">
        <v>10501</v>
      </c>
      <c r="O1165" s="29" t="s">
        <v>1465</v>
      </c>
      <c r="P1165" s="29" t="s">
        <v>10502</v>
      </c>
      <c r="Q1165" s="29" t="s">
        <v>1465</v>
      </c>
      <c r="R1165" s="29" t="s">
        <v>2758</v>
      </c>
      <c r="S1165" s="28" t="s">
        <v>2525</v>
      </c>
      <c r="T1165" s="28" t="s">
        <v>2738</v>
      </c>
      <c r="U1165" s="28" t="s">
        <v>1443</v>
      </c>
      <c r="V1165" s="28" t="s">
        <v>1736</v>
      </c>
      <c r="W1165" s="28" t="s">
        <v>10503</v>
      </c>
      <c r="X1165" s="17">
        <v>1</v>
      </c>
      <c r="CJ1165" s="26" t="s">
        <v>1407</v>
      </c>
      <c r="CK1165" s="26" t="s">
        <v>1595</v>
      </c>
      <c r="CL1165" s="26" t="str">
        <f t="shared" si="73"/>
        <v>和歌山県海南市</v>
      </c>
      <c r="CM1165" s="49">
        <v>1160</v>
      </c>
      <c r="CN1165" s="17" t="str">
        <f t="shared" si="72"/>
        <v>1262</v>
      </c>
      <c r="CO1165" s="17" t="str">
        <f t="shared" si="74"/>
        <v>11601262海南市</v>
      </c>
      <c r="CP1165" s="17" t="s">
        <v>10504</v>
      </c>
      <c r="CQ1165" s="17" t="b">
        <f t="shared" si="75"/>
        <v>1</v>
      </c>
    </row>
    <row r="1166" spans="6:95">
      <c r="F1166" s="23"/>
      <c r="I1166" s="23"/>
      <c r="L1166" s="50" t="s">
        <v>10505</v>
      </c>
      <c r="M1166" s="17" t="s">
        <v>10506</v>
      </c>
      <c r="N1166" s="51" t="s">
        <v>10507</v>
      </c>
      <c r="O1166" s="29" t="s">
        <v>1465</v>
      </c>
      <c r="P1166" s="29" t="s">
        <v>10508</v>
      </c>
      <c r="Q1166" s="29" t="s">
        <v>1465</v>
      </c>
      <c r="R1166" s="29" t="s">
        <v>2800</v>
      </c>
      <c r="S1166" s="28" t="s">
        <v>1803</v>
      </c>
      <c r="T1166" s="28" t="s">
        <v>2782</v>
      </c>
      <c r="U1166" s="28" t="s">
        <v>1443</v>
      </c>
      <c r="V1166" s="28" t="s">
        <v>1736</v>
      </c>
      <c r="W1166" s="28" t="s">
        <v>10509</v>
      </c>
      <c r="X1166" s="17">
        <v>1</v>
      </c>
      <c r="CJ1166" s="26" t="s">
        <v>1407</v>
      </c>
      <c r="CK1166" s="26" t="s">
        <v>1657</v>
      </c>
      <c r="CL1166" s="26" t="str">
        <f t="shared" si="73"/>
        <v>和歌山県橋本市</v>
      </c>
      <c r="CM1166" s="49">
        <v>1161</v>
      </c>
      <c r="CN1166" s="17" t="str">
        <f t="shared" si="72"/>
        <v>1263</v>
      </c>
      <c r="CO1166" s="17" t="str">
        <f t="shared" si="74"/>
        <v>11611263橋本市</v>
      </c>
      <c r="CP1166" s="17" t="s">
        <v>10510</v>
      </c>
      <c r="CQ1166" s="17" t="b">
        <f t="shared" si="75"/>
        <v>1</v>
      </c>
    </row>
    <row r="1167" spans="6:95">
      <c r="F1167" s="23"/>
      <c r="I1167" s="23"/>
      <c r="L1167" s="50" t="s">
        <v>10511</v>
      </c>
      <c r="M1167" s="17" t="s">
        <v>10512</v>
      </c>
      <c r="N1167" s="51" t="s">
        <v>10513</v>
      </c>
      <c r="O1167" s="29" t="s">
        <v>1465</v>
      </c>
      <c r="P1167" s="29" t="s">
        <v>10514</v>
      </c>
      <c r="Q1167" s="29" t="s">
        <v>1465</v>
      </c>
      <c r="R1167" s="29" t="s">
        <v>2842</v>
      </c>
      <c r="S1167" s="28" t="s">
        <v>1862</v>
      </c>
      <c r="T1167" s="28" t="s">
        <v>2824</v>
      </c>
      <c r="U1167" s="28" t="s">
        <v>1443</v>
      </c>
      <c r="V1167" s="28" t="s">
        <v>1736</v>
      </c>
      <c r="W1167" s="28" t="s">
        <v>10515</v>
      </c>
      <c r="X1167" s="17">
        <v>1</v>
      </c>
      <c r="CJ1167" s="26" t="s">
        <v>1407</v>
      </c>
      <c r="CK1167" s="26" t="s">
        <v>1715</v>
      </c>
      <c r="CL1167" s="26" t="str">
        <f t="shared" si="73"/>
        <v>和歌山県有田市</v>
      </c>
      <c r="CM1167" s="49">
        <v>1162</v>
      </c>
      <c r="CN1167" s="17" t="str">
        <f t="shared" si="72"/>
        <v>1264</v>
      </c>
      <c r="CO1167" s="17" t="str">
        <f t="shared" si="74"/>
        <v>11621264有田市</v>
      </c>
      <c r="CP1167" s="17" t="s">
        <v>10516</v>
      </c>
      <c r="CQ1167" s="17" t="b">
        <f t="shared" si="75"/>
        <v>1</v>
      </c>
    </row>
    <row r="1168" spans="6:95">
      <c r="F1168" s="23"/>
      <c r="I1168" s="23"/>
      <c r="L1168" s="50" t="s">
        <v>10517</v>
      </c>
      <c r="M1168" s="17" t="s">
        <v>10518</v>
      </c>
      <c r="N1168" s="51" t="s">
        <v>10519</v>
      </c>
      <c r="O1168" s="29" t="s">
        <v>1465</v>
      </c>
      <c r="P1168" s="29" t="s">
        <v>10520</v>
      </c>
      <c r="Q1168" s="29" t="s">
        <v>1465</v>
      </c>
      <c r="R1168" s="29" t="s">
        <v>4381</v>
      </c>
      <c r="S1168" s="28" t="s">
        <v>1920</v>
      </c>
      <c r="T1168" s="28" t="s">
        <v>2864</v>
      </c>
      <c r="U1168" s="28" t="s">
        <v>1443</v>
      </c>
      <c r="V1168" s="28" t="s">
        <v>1736</v>
      </c>
      <c r="W1168" s="28" t="s">
        <v>10521</v>
      </c>
      <c r="X1168" s="17">
        <v>1</v>
      </c>
      <c r="CJ1168" s="26" t="s">
        <v>1407</v>
      </c>
      <c r="CK1168" s="26" t="s">
        <v>1774</v>
      </c>
      <c r="CL1168" s="26" t="str">
        <f t="shared" si="73"/>
        <v>和歌山県御坊市</v>
      </c>
      <c r="CM1168" s="49">
        <v>1163</v>
      </c>
      <c r="CN1168" s="17" t="str">
        <f t="shared" si="72"/>
        <v>1265</v>
      </c>
      <c r="CO1168" s="17" t="str">
        <f t="shared" si="74"/>
        <v>11631265御坊市</v>
      </c>
      <c r="CP1168" s="17" t="s">
        <v>10522</v>
      </c>
      <c r="CQ1168" s="17" t="b">
        <f t="shared" si="75"/>
        <v>1</v>
      </c>
    </row>
    <row r="1169" spans="6:95">
      <c r="F1169" s="23"/>
      <c r="I1169" s="23"/>
      <c r="L1169" s="50" t="s">
        <v>10523</v>
      </c>
      <c r="M1169" s="17" t="s">
        <v>10524</v>
      </c>
      <c r="N1169" s="51" t="s">
        <v>10525</v>
      </c>
      <c r="O1169" s="29" t="s">
        <v>1465</v>
      </c>
      <c r="P1169" s="29" t="s">
        <v>10526</v>
      </c>
      <c r="Q1169" s="29" t="s">
        <v>1465</v>
      </c>
      <c r="R1169" s="29" t="s">
        <v>2881</v>
      </c>
      <c r="S1169" s="28" t="s">
        <v>1977</v>
      </c>
      <c r="T1169" s="28" t="s">
        <v>2902</v>
      </c>
      <c r="U1169" s="28" t="s">
        <v>1443</v>
      </c>
      <c r="V1169" s="28" t="s">
        <v>1736</v>
      </c>
      <c r="W1169" s="28" t="s">
        <v>10527</v>
      </c>
      <c r="X1169" s="17">
        <v>1</v>
      </c>
      <c r="CJ1169" s="26" t="s">
        <v>1407</v>
      </c>
      <c r="CK1169" s="26" t="s">
        <v>1834</v>
      </c>
      <c r="CL1169" s="26" t="str">
        <f t="shared" si="73"/>
        <v>和歌山県田辺市</v>
      </c>
      <c r="CM1169" s="49">
        <v>1164</v>
      </c>
      <c r="CN1169" s="17" t="str">
        <f t="shared" si="72"/>
        <v>1266</v>
      </c>
      <c r="CO1169" s="17" t="str">
        <f t="shared" si="74"/>
        <v>11641266田辺市</v>
      </c>
      <c r="CP1169" s="17" t="s">
        <v>10528</v>
      </c>
      <c r="CQ1169" s="17" t="b">
        <f t="shared" si="75"/>
        <v>1</v>
      </c>
    </row>
    <row r="1170" spans="6:95">
      <c r="F1170" s="23"/>
      <c r="I1170" s="23"/>
      <c r="L1170" s="50" t="s">
        <v>10529</v>
      </c>
      <c r="M1170" s="17" t="s">
        <v>10530</v>
      </c>
      <c r="N1170" s="51" t="s">
        <v>10531</v>
      </c>
      <c r="O1170" s="29" t="s">
        <v>1465</v>
      </c>
      <c r="P1170" s="29" t="s">
        <v>10532</v>
      </c>
      <c r="Q1170" s="29" t="s">
        <v>1465</v>
      </c>
      <c r="R1170" s="29" t="s">
        <v>2953</v>
      </c>
      <c r="S1170" s="28" t="s">
        <v>1803</v>
      </c>
      <c r="T1170" s="28" t="s">
        <v>2938</v>
      </c>
      <c r="U1170" s="28" t="s">
        <v>1443</v>
      </c>
      <c r="V1170" s="28" t="s">
        <v>1736</v>
      </c>
      <c r="W1170" s="28" t="s">
        <v>10532</v>
      </c>
      <c r="X1170" s="17">
        <v>1</v>
      </c>
      <c r="CJ1170" s="26" t="s">
        <v>1407</v>
      </c>
      <c r="CK1170" s="26" t="s">
        <v>1893</v>
      </c>
      <c r="CL1170" s="26" t="str">
        <f t="shared" si="73"/>
        <v>和歌山県新宮市</v>
      </c>
      <c r="CM1170" s="49">
        <v>1165</v>
      </c>
      <c r="CN1170" s="17" t="str">
        <f t="shared" si="72"/>
        <v>1267</v>
      </c>
      <c r="CO1170" s="17" t="str">
        <f t="shared" si="74"/>
        <v>11651267新宮市</v>
      </c>
      <c r="CP1170" s="17" t="s">
        <v>10533</v>
      </c>
      <c r="CQ1170" s="17" t="b">
        <f t="shared" si="75"/>
        <v>1</v>
      </c>
    </row>
    <row r="1171" spans="6:95">
      <c r="F1171" s="23"/>
      <c r="I1171" s="23"/>
      <c r="L1171" s="50" t="s">
        <v>10534</v>
      </c>
      <c r="M1171" s="17" t="s">
        <v>10535</v>
      </c>
      <c r="N1171" s="51" t="s">
        <v>10536</v>
      </c>
      <c r="O1171" s="29" t="s">
        <v>1465</v>
      </c>
      <c r="P1171" s="29" t="s">
        <v>10537</v>
      </c>
      <c r="Q1171" s="29" t="s">
        <v>1465</v>
      </c>
      <c r="R1171" s="29" t="s">
        <v>2986</v>
      </c>
      <c r="S1171" s="28" t="s">
        <v>1862</v>
      </c>
      <c r="T1171" s="28" t="s">
        <v>2971</v>
      </c>
      <c r="U1171" s="28" t="s">
        <v>1443</v>
      </c>
      <c r="V1171" s="28" t="s">
        <v>1736</v>
      </c>
      <c r="W1171" s="28" t="s">
        <v>10538</v>
      </c>
      <c r="X1171" s="17">
        <v>1</v>
      </c>
      <c r="CJ1171" s="26" t="s">
        <v>1407</v>
      </c>
      <c r="CK1171" s="26" t="s">
        <v>1951</v>
      </c>
      <c r="CL1171" s="26" t="str">
        <f t="shared" si="73"/>
        <v>和歌山県紀の川市</v>
      </c>
      <c r="CM1171" s="49">
        <v>1166</v>
      </c>
      <c r="CN1171" s="17" t="str">
        <f t="shared" si="72"/>
        <v>1268</v>
      </c>
      <c r="CO1171" s="17" t="str">
        <f t="shared" si="74"/>
        <v>11661268紀の川市</v>
      </c>
      <c r="CP1171" s="17" t="s">
        <v>10539</v>
      </c>
      <c r="CQ1171" s="17" t="b">
        <f t="shared" si="75"/>
        <v>1</v>
      </c>
    </row>
    <row r="1172" spans="6:95">
      <c r="F1172" s="23"/>
      <c r="I1172" s="23"/>
      <c r="L1172" s="50" t="s">
        <v>10540</v>
      </c>
      <c r="M1172" s="17" t="s">
        <v>10541</v>
      </c>
      <c r="N1172" s="51" t="s">
        <v>10542</v>
      </c>
      <c r="O1172" s="29" t="s">
        <v>1465</v>
      </c>
      <c r="P1172" s="29" t="s">
        <v>10543</v>
      </c>
      <c r="Q1172" s="29" t="s">
        <v>1465</v>
      </c>
      <c r="R1172" s="29" t="s">
        <v>6180</v>
      </c>
      <c r="S1172" s="28" t="s">
        <v>1920</v>
      </c>
      <c r="T1172" s="28" t="s">
        <v>3005</v>
      </c>
      <c r="U1172" s="28" t="s">
        <v>1443</v>
      </c>
      <c r="V1172" s="28" t="s">
        <v>1736</v>
      </c>
      <c r="W1172" s="28" t="s">
        <v>10544</v>
      </c>
      <c r="X1172" s="17">
        <v>1</v>
      </c>
      <c r="CJ1172" s="26" t="s">
        <v>1407</v>
      </c>
      <c r="CK1172" s="26" t="s">
        <v>2008</v>
      </c>
      <c r="CL1172" s="26" t="str">
        <f t="shared" si="73"/>
        <v>和歌山県岩出市</v>
      </c>
      <c r="CM1172" s="49">
        <v>1167</v>
      </c>
      <c r="CN1172" s="17" t="str">
        <f t="shared" si="72"/>
        <v>1269</v>
      </c>
      <c r="CO1172" s="17" t="str">
        <f t="shared" si="74"/>
        <v>11671269岩出市</v>
      </c>
      <c r="CP1172" s="17" t="s">
        <v>10545</v>
      </c>
      <c r="CQ1172" s="17" t="b">
        <f t="shared" si="75"/>
        <v>1</v>
      </c>
    </row>
    <row r="1173" spans="6:95">
      <c r="F1173" s="23"/>
      <c r="I1173" s="23"/>
      <c r="L1173" s="50" t="s">
        <v>10546</v>
      </c>
      <c r="M1173" s="17" t="s">
        <v>10547</v>
      </c>
      <c r="N1173" s="51" t="s">
        <v>10548</v>
      </c>
      <c r="O1173" s="29" t="s">
        <v>1465</v>
      </c>
      <c r="P1173" s="29" t="s">
        <v>10549</v>
      </c>
      <c r="Q1173" s="29" t="s">
        <v>1465</v>
      </c>
      <c r="R1173" s="29" t="s">
        <v>4653</v>
      </c>
      <c r="S1173" s="28" t="s">
        <v>1564</v>
      </c>
      <c r="T1173" s="28" t="s">
        <v>3038</v>
      </c>
      <c r="U1173" s="28" t="s">
        <v>1443</v>
      </c>
      <c r="V1173" s="28" t="s">
        <v>1736</v>
      </c>
      <c r="W1173" s="28" t="s">
        <v>10550</v>
      </c>
      <c r="X1173" s="17">
        <v>1</v>
      </c>
      <c r="CJ1173" s="26" t="s">
        <v>1407</v>
      </c>
      <c r="CK1173" s="26" t="s">
        <v>2064</v>
      </c>
      <c r="CL1173" s="26" t="str">
        <f t="shared" si="73"/>
        <v>和歌山県紀美野町</v>
      </c>
      <c r="CM1173" s="49">
        <v>1168</v>
      </c>
      <c r="CN1173" s="17" t="str">
        <f t="shared" si="72"/>
        <v>1270</v>
      </c>
      <c r="CO1173" s="17" t="str">
        <f t="shared" si="74"/>
        <v>11681270紀美野町</v>
      </c>
      <c r="CP1173" s="17" t="s">
        <v>10551</v>
      </c>
      <c r="CQ1173" s="17" t="b">
        <f t="shared" si="75"/>
        <v>1</v>
      </c>
    </row>
    <row r="1174" spans="6:95">
      <c r="F1174" s="23"/>
      <c r="I1174" s="23"/>
      <c r="L1174" s="50" t="s">
        <v>10552</v>
      </c>
      <c r="M1174" s="17" t="s">
        <v>10553</v>
      </c>
      <c r="N1174" s="51" t="s">
        <v>10554</v>
      </c>
      <c r="O1174" s="29" t="s">
        <v>1465</v>
      </c>
      <c r="P1174" s="29" t="s">
        <v>10555</v>
      </c>
      <c r="Q1174" s="29" t="s">
        <v>1465</v>
      </c>
      <c r="R1174" s="29" t="s">
        <v>4679</v>
      </c>
      <c r="S1174" s="28" t="s">
        <v>1626</v>
      </c>
      <c r="T1174" s="28" t="s">
        <v>3069</v>
      </c>
      <c r="U1174" s="28" t="s">
        <v>1443</v>
      </c>
      <c r="V1174" s="28" t="s">
        <v>1736</v>
      </c>
      <c r="W1174" s="28" t="s">
        <v>10556</v>
      </c>
      <c r="X1174" s="17">
        <v>1</v>
      </c>
      <c r="CJ1174" s="26" t="s">
        <v>1407</v>
      </c>
      <c r="CK1174" s="26" t="s">
        <v>2120</v>
      </c>
      <c r="CL1174" s="26" t="str">
        <f t="shared" si="73"/>
        <v>和歌山県かつらぎ町</v>
      </c>
      <c r="CM1174" s="49">
        <v>1169</v>
      </c>
      <c r="CN1174" s="17" t="str">
        <f t="shared" si="72"/>
        <v>1271</v>
      </c>
      <c r="CO1174" s="17" t="str">
        <f t="shared" si="74"/>
        <v>11691271かつらぎ町</v>
      </c>
      <c r="CP1174" s="17" t="s">
        <v>10557</v>
      </c>
      <c r="CQ1174" s="17" t="b">
        <f t="shared" si="75"/>
        <v>1</v>
      </c>
    </row>
    <row r="1175" spans="6:95">
      <c r="F1175" s="23"/>
      <c r="I1175" s="23"/>
      <c r="L1175" s="50" t="s">
        <v>10558</v>
      </c>
      <c r="M1175" s="17" t="s">
        <v>10559</v>
      </c>
      <c r="N1175" s="51" t="s">
        <v>10560</v>
      </c>
      <c r="O1175" s="29" t="s">
        <v>1465</v>
      </c>
      <c r="P1175" s="29" t="s">
        <v>10561</v>
      </c>
      <c r="Q1175" s="29" t="s">
        <v>1465</v>
      </c>
      <c r="R1175" s="29" t="s">
        <v>4918</v>
      </c>
      <c r="S1175" s="28" t="s">
        <v>1502</v>
      </c>
      <c r="T1175" s="28" t="s">
        <v>3098</v>
      </c>
      <c r="U1175" s="28" t="s">
        <v>1443</v>
      </c>
      <c r="V1175" s="28" t="s">
        <v>1736</v>
      </c>
      <c r="W1175" s="28" t="s">
        <v>10562</v>
      </c>
      <c r="X1175" s="17">
        <v>1</v>
      </c>
      <c r="CJ1175" s="26" t="s">
        <v>1407</v>
      </c>
      <c r="CK1175" s="26" t="s">
        <v>2176</v>
      </c>
      <c r="CL1175" s="26" t="str">
        <f t="shared" si="73"/>
        <v>和歌山県九度山町</v>
      </c>
      <c r="CM1175" s="49">
        <v>1170</v>
      </c>
      <c r="CN1175" s="17" t="str">
        <f t="shared" si="72"/>
        <v>1272</v>
      </c>
      <c r="CO1175" s="17" t="str">
        <f t="shared" si="74"/>
        <v>11701272九度山町</v>
      </c>
      <c r="CP1175" s="17" t="s">
        <v>10563</v>
      </c>
      <c r="CQ1175" s="17" t="b">
        <f t="shared" si="75"/>
        <v>1</v>
      </c>
    </row>
    <row r="1176" spans="6:95">
      <c r="F1176" s="23"/>
      <c r="I1176" s="23"/>
      <c r="L1176" s="50" t="s">
        <v>10564</v>
      </c>
      <c r="M1176" s="17" t="s">
        <v>10565</v>
      </c>
      <c r="N1176" s="51" t="s">
        <v>10566</v>
      </c>
      <c r="O1176" s="29" t="s">
        <v>1465</v>
      </c>
      <c r="P1176" s="29" t="s">
        <v>10567</v>
      </c>
      <c r="Q1176" s="29" t="s">
        <v>1465</v>
      </c>
      <c r="R1176" s="29" t="s">
        <v>5197</v>
      </c>
      <c r="S1176" s="28" t="s">
        <v>1502</v>
      </c>
      <c r="T1176" s="28" t="s">
        <v>3128</v>
      </c>
      <c r="U1176" s="28" t="s">
        <v>1443</v>
      </c>
      <c r="V1176" s="28" t="s">
        <v>1736</v>
      </c>
      <c r="W1176" s="28" t="s">
        <v>10568</v>
      </c>
      <c r="X1176" s="17">
        <v>1</v>
      </c>
      <c r="CJ1176" s="26" t="s">
        <v>1407</v>
      </c>
      <c r="CK1176" s="26" t="s">
        <v>2231</v>
      </c>
      <c r="CL1176" s="26" t="str">
        <f t="shared" si="73"/>
        <v>和歌山県高野町</v>
      </c>
      <c r="CM1176" s="49">
        <v>1171</v>
      </c>
      <c r="CN1176" s="17" t="str">
        <f t="shared" si="72"/>
        <v>1273</v>
      </c>
      <c r="CO1176" s="17" t="str">
        <f t="shared" si="74"/>
        <v>11711273高野町</v>
      </c>
      <c r="CP1176" s="17" t="s">
        <v>10569</v>
      </c>
      <c r="CQ1176" s="17" t="b">
        <f t="shared" si="75"/>
        <v>1</v>
      </c>
    </row>
    <row r="1177" spans="6:95">
      <c r="F1177" s="23"/>
      <c r="I1177" s="23"/>
      <c r="L1177" s="50" t="s">
        <v>10570</v>
      </c>
      <c r="M1177" s="17" t="s">
        <v>10571</v>
      </c>
      <c r="N1177" s="51" t="s">
        <v>10572</v>
      </c>
      <c r="O1177" s="29" t="s">
        <v>1465</v>
      </c>
      <c r="P1177" s="29" t="s">
        <v>10573</v>
      </c>
      <c r="Q1177" s="29" t="s">
        <v>1465</v>
      </c>
      <c r="R1177" s="29" t="s">
        <v>3395</v>
      </c>
      <c r="S1177" s="28" t="s">
        <v>2525</v>
      </c>
      <c r="T1177" s="28" t="s">
        <v>3159</v>
      </c>
      <c r="U1177" s="28" t="s">
        <v>1443</v>
      </c>
      <c r="V1177" s="28" t="s">
        <v>1736</v>
      </c>
      <c r="W1177" s="28" t="s">
        <v>10574</v>
      </c>
      <c r="X1177" s="17">
        <v>1</v>
      </c>
      <c r="CJ1177" s="26" t="s">
        <v>1407</v>
      </c>
      <c r="CK1177" s="26" t="s">
        <v>2286</v>
      </c>
      <c r="CL1177" s="26" t="str">
        <f t="shared" si="73"/>
        <v>和歌山県湯浅町</v>
      </c>
      <c r="CM1177" s="49">
        <v>1172</v>
      </c>
      <c r="CN1177" s="17" t="str">
        <f t="shared" si="72"/>
        <v>1274</v>
      </c>
      <c r="CO1177" s="17" t="str">
        <f t="shared" si="74"/>
        <v>11721274湯浅町</v>
      </c>
      <c r="CP1177" s="17" t="s">
        <v>10575</v>
      </c>
      <c r="CQ1177" s="17" t="b">
        <f t="shared" si="75"/>
        <v>1</v>
      </c>
    </row>
    <row r="1178" spans="6:95">
      <c r="F1178" s="23"/>
      <c r="I1178" s="23"/>
      <c r="L1178" s="50" t="s">
        <v>10576</v>
      </c>
      <c r="M1178" s="17" t="s">
        <v>10577</v>
      </c>
      <c r="N1178" s="51" t="s">
        <v>10578</v>
      </c>
      <c r="O1178" s="29" t="s">
        <v>1465</v>
      </c>
      <c r="P1178" s="29" t="s">
        <v>10579</v>
      </c>
      <c r="Q1178" s="29" t="s">
        <v>1465</v>
      </c>
      <c r="R1178" s="29" t="s">
        <v>3411</v>
      </c>
      <c r="S1178" s="28" t="s">
        <v>2311</v>
      </c>
      <c r="T1178" s="28" t="s">
        <v>3186</v>
      </c>
      <c r="U1178" s="28" t="s">
        <v>1443</v>
      </c>
      <c r="V1178" s="28" t="s">
        <v>1736</v>
      </c>
      <c r="W1178" s="28" t="s">
        <v>10580</v>
      </c>
      <c r="X1178" s="17">
        <v>1</v>
      </c>
      <c r="CJ1178" s="26" t="s">
        <v>1407</v>
      </c>
      <c r="CK1178" s="26" t="s">
        <v>2342</v>
      </c>
      <c r="CL1178" s="26" t="str">
        <f t="shared" si="73"/>
        <v>和歌山県広川町</v>
      </c>
      <c r="CM1178" s="49">
        <v>1173</v>
      </c>
      <c r="CN1178" s="17" t="str">
        <f t="shared" si="72"/>
        <v>1275</v>
      </c>
      <c r="CO1178" s="17" t="str">
        <f t="shared" si="74"/>
        <v>11731275広川町</v>
      </c>
      <c r="CP1178" s="17" t="s">
        <v>10581</v>
      </c>
      <c r="CQ1178" s="17" t="b">
        <f t="shared" si="75"/>
        <v>1</v>
      </c>
    </row>
    <row r="1179" spans="6:95">
      <c r="F1179" s="23"/>
      <c r="I1179" s="23"/>
      <c r="L1179" s="50" t="s">
        <v>10582</v>
      </c>
      <c r="M1179" s="17" t="s">
        <v>10583</v>
      </c>
      <c r="N1179" s="51" t="s">
        <v>10584</v>
      </c>
      <c r="O1179" s="29" t="s">
        <v>1465</v>
      </c>
      <c r="P1179" s="29" t="s">
        <v>10585</v>
      </c>
      <c r="Q1179" s="29" t="s">
        <v>1465</v>
      </c>
      <c r="R1179" s="29" t="s">
        <v>4925</v>
      </c>
      <c r="S1179" s="28" t="s">
        <v>1743</v>
      </c>
      <c r="T1179" s="28" t="s">
        <v>3211</v>
      </c>
      <c r="U1179" s="28" t="s">
        <v>1443</v>
      </c>
      <c r="V1179" s="28" t="s">
        <v>1736</v>
      </c>
      <c r="W1179" s="28" t="s">
        <v>10586</v>
      </c>
      <c r="X1179" s="17">
        <v>1</v>
      </c>
      <c r="CJ1179" s="26" t="s">
        <v>1407</v>
      </c>
      <c r="CK1179" s="26" t="s">
        <v>2396</v>
      </c>
      <c r="CL1179" s="26" t="str">
        <f t="shared" si="73"/>
        <v>和歌山県有田川町</v>
      </c>
      <c r="CM1179" s="49">
        <v>1174</v>
      </c>
      <c r="CN1179" s="17" t="str">
        <f t="shared" si="72"/>
        <v>1276</v>
      </c>
      <c r="CO1179" s="17" t="str">
        <f t="shared" si="74"/>
        <v>11741276有田川町</v>
      </c>
      <c r="CP1179" s="17" t="s">
        <v>10587</v>
      </c>
      <c r="CQ1179" s="17" t="b">
        <f t="shared" si="75"/>
        <v>1</v>
      </c>
    </row>
    <row r="1180" spans="6:95">
      <c r="F1180" s="23"/>
      <c r="I1180" s="23"/>
      <c r="L1180" s="50" t="s">
        <v>10588</v>
      </c>
      <c r="M1180" s="17" t="s">
        <v>10589</v>
      </c>
      <c r="N1180" s="51" t="s">
        <v>10590</v>
      </c>
      <c r="O1180" s="29" t="s">
        <v>1465</v>
      </c>
      <c r="P1180" s="29" t="s">
        <v>10591</v>
      </c>
      <c r="Q1180" s="29" t="s">
        <v>1465</v>
      </c>
      <c r="R1180" s="29" t="s">
        <v>4716</v>
      </c>
      <c r="S1180" s="28" t="s">
        <v>2311</v>
      </c>
      <c r="T1180" s="28" t="s">
        <v>3212</v>
      </c>
      <c r="U1180" s="28" t="s">
        <v>1443</v>
      </c>
      <c r="V1180" s="28" t="s">
        <v>1736</v>
      </c>
      <c r="W1180" s="28" t="s">
        <v>10591</v>
      </c>
      <c r="X1180" s="17">
        <v>1</v>
      </c>
      <c r="CJ1180" s="26" t="s">
        <v>1407</v>
      </c>
      <c r="CK1180" s="26" t="s">
        <v>2164</v>
      </c>
      <c r="CL1180" s="26" t="str">
        <f t="shared" si="73"/>
        <v>和歌山県美浜町</v>
      </c>
      <c r="CM1180" s="49">
        <v>1175</v>
      </c>
      <c r="CN1180" s="17" t="str">
        <f t="shared" si="72"/>
        <v>1277</v>
      </c>
      <c r="CO1180" s="17" t="str">
        <f t="shared" si="74"/>
        <v>11751277美浜町</v>
      </c>
      <c r="CP1180" s="17" t="s">
        <v>10592</v>
      </c>
      <c r="CQ1180" s="17" t="b">
        <f t="shared" si="75"/>
        <v>1</v>
      </c>
    </row>
    <row r="1181" spans="6:95">
      <c r="F1181" s="23"/>
      <c r="I1181" s="23"/>
      <c r="L1181" s="50" t="s">
        <v>10593</v>
      </c>
      <c r="M1181" s="17" t="s">
        <v>10594</v>
      </c>
      <c r="N1181" s="51" t="s">
        <v>10595</v>
      </c>
      <c r="O1181" s="29" t="s">
        <v>1465</v>
      </c>
      <c r="P1181" s="29" t="s">
        <v>10596</v>
      </c>
      <c r="Q1181" s="29" t="s">
        <v>1465</v>
      </c>
      <c r="R1181" s="29" t="s">
        <v>5614</v>
      </c>
      <c r="S1181" s="28" t="s">
        <v>1564</v>
      </c>
      <c r="T1181" s="28" t="s">
        <v>3258</v>
      </c>
      <c r="U1181" s="28" t="s">
        <v>1443</v>
      </c>
      <c r="V1181" s="28" t="s">
        <v>1736</v>
      </c>
      <c r="W1181" s="28" t="s">
        <v>10596</v>
      </c>
      <c r="X1181" s="17">
        <v>1</v>
      </c>
      <c r="CJ1181" s="26" t="s">
        <v>1407</v>
      </c>
      <c r="CK1181" s="26" t="s">
        <v>2502</v>
      </c>
      <c r="CL1181" s="26" t="str">
        <f t="shared" si="73"/>
        <v>和歌山県日高町</v>
      </c>
      <c r="CM1181" s="49">
        <v>1176</v>
      </c>
      <c r="CN1181" s="17" t="str">
        <f t="shared" si="72"/>
        <v>1278</v>
      </c>
      <c r="CO1181" s="17" t="str">
        <f t="shared" si="74"/>
        <v>11761278日高町</v>
      </c>
      <c r="CP1181" s="17" t="s">
        <v>10597</v>
      </c>
      <c r="CQ1181" s="17" t="b">
        <f t="shared" si="75"/>
        <v>1</v>
      </c>
    </row>
    <row r="1182" spans="6:95">
      <c r="F1182" s="23"/>
      <c r="I1182" s="23"/>
      <c r="L1182" s="50" t="s">
        <v>10598</v>
      </c>
      <c r="M1182" s="17" t="s">
        <v>10599</v>
      </c>
      <c r="N1182" s="51" t="s">
        <v>10600</v>
      </c>
      <c r="O1182" s="29" t="s">
        <v>1465</v>
      </c>
      <c r="P1182" s="29" t="s">
        <v>10601</v>
      </c>
      <c r="Q1182" s="29" t="s">
        <v>1465</v>
      </c>
      <c r="R1182" s="29" t="s">
        <v>6536</v>
      </c>
      <c r="S1182" s="28" t="s">
        <v>1626</v>
      </c>
      <c r="T1182" s="28" t="s">
        <v>3282</v>
      </c>
      <c r="U1182" s="28" t="s">
        <v>1443</v>
      </c>
      <c r="V1182" s="28" t="s">
        <v>1736</v>
      </c>
      <c r="W1182" s="28" t="s">
        <v>10602</v>
      </c>
      <c r="X1182" s="17">
        <v>1</v>
      </c>
      <c r="CJ1182" s="26" t="s">
        <v>1407</v>
      </c>
      <c r="CK1182" s="26" t="s">
        <v>2554</v>
      </c>
      <c r="CL1182" s="26" t="str">
        <f t="shared" si="73"/>
        <v>和歌山県由良町</v>
      </c>
      <c r="CM1182" s="49">
        <v>1177</v>
      </c>
      <c r="CN1182" s="17" t="str">
        <f t="shared" si="72"/>
        <v>1279</v>
      </c>
      <c r="CO1182" s="17" t="str">
        <f t="shared" si="74"/>
        <v>11771279由良町</v>
      </c>
      <c r="CP1182" s="17" t="s">
        <v>10603</v>
      </c>
      <c r="CQ1182" s="17" t="b">
        <f t="shared" si="75"/>
        <v>1</v>
      </c>
    </row>
    <row r="1183" spans="6:95">
      <c r="F1183" s="23"/>
      <c r="I1183" s="23"/>
      <c r="L1183" s="50" t="s">
        <v>10604</v>
      </c>
      <c r="M1183" s="17" t="s">
        <v>10605</v>
      </c>
      <c r="N1183" s="51" t="s">
        <v>10606</v>
      </c>
      <c r="O1183" s="29" t="s">
        <v>1465</v>
      </c>
      <c r="P1183" s="29" t="s">
        <v>10607</v>
      </c>
      <c r="Q1183" s="29" t="s">
        <v>1465</v>
      </c>
      <c r="R1183" s="29" t="s">
        <v>1976</v>
      </c>
      <c r="S1183" s="28" t="s">
        <v>1977</v>
      </c>
      <c r="T1183" s="28" t="s">
        <v>3304</v>
      </c>
      <c r="U1183" s="28" t="s">
        <v>1443</v>
      </c>
      <c r="V1183" s="28" t="s">
        <v>1736</v>
      </c>
      <c r="W1183" s="28" t="s">
        <v>10608</v>
      </c>
      <c r="X1183" s="17">
        <v>1</v>
      </c>
      <c r="CJ1183" s="26" t="s">
        <v>1407</v>
      </c>
      <c r="CK1183" s="26" t="s">
        <v>2602</v>
      </c>
      <c r="CL1183" s="26" t="str">
        <f t="shared" si="73"/>
        <v>和歌山県印南町</v>
      </c>
      <c r="CM1183" s="49">
        <v>1178</v>
      </c>
      <c r="CN1183" s="17" t="str">
        <f t="shared" si="72"/>
        <v>1280</v>
      </c>
      <c r="CO1183" s="17" t="str">
        <f t="shared" si="74"/>
        <v>11781280印南町</v>
      </c>
      <c r="CP1183" s="17" t="s">
        <v>10609</v>
      </c>
      <c r="CQ1183" s="17" t="b">
        <f t="shared" si="75"/>
        <v>1</v>
      </c>
    </row>
    <row r="1184" spans="6:95">
      <c r="F1184" s="23"/>
      <c r="I1184" s="23"/>
      <c r="L1184" s="50" t="s">
        <v>10610</v>
      </c>
      <c r="M1184" s="17" t="s">
        <v>10611</v>
      </c>
      <c r="N1184" s="51" t="s">
        <v>10612</v>
      </c>
      <c r="O1184" s="29" t="s">
        <v>1465</v>
      </c>
      <c r="P1184" s="29" t="s">
        <v>10613</v>
      </c>
      <c r="Q1184" s="29" t="s">
        <v>1465</v>
      </c>
      <c r="R1184" s="29" t="s">
        <v>2714</v>
      </c>
      <c r="S1184" s="28" t="s">
        <v>1502</v>
      </c>
      <c r="T1184" s="28" t="s">
        <v>3327</v>
      </c>
      <c r="U1184" s="28" t="s">
        <v>1443</v>
      </c>
      <c r="V1184" s="28" t="s">
        <v>1736</v>
      </c>
      <c r="W1184" s="28" t="s">
        <v>10614</v>
      </c>
      <c r="X1184" s="17">
        <v>1</v>
      </c>
      <c r="CJ1184" s="26" t="s">
        <v>1407</v>
      </c>
      <c r="CK1184" s="26" t="s">
        <v>2649</v>
      </c>
      <c r="CL1184" s="26" t="str">
        <f t="shared" si="73"/>
        <v>和歌山県みなべ町</v>
      </c>
      <c r="CM1184" s="49">
        <v>1179</v>
      </c>
      <c r="CN1184" s="17" t="str">
        <f t="shared" si="72"/>
        <v>1281</v>
      </c>
      <c r="CO1184" s="17" t="str">
        <f t="shared" si="74"/>
        <v>11791281みなべ町</v>
      </c>
      <c r="CP1184" s="17" t="s">
        <v>10615</v>
      </c>
      <c r="CQ1184" s="17" t="b">
        <f t="shared" si="75"/>
        <v>1</v>
      </c>
    </row>
    <row r="1185" spans="6:95">
      <c r="F1185" s="23"/>
      <c r="I1185" s="23"/>
      <c r="L1185" s="50" t="s">
        <v>10616</v>
      </c>
      <c r="M1185" s="17" t="s">
        <v>10617</v>
      </c>
      <c r="N1185" s="51" t="s">
        <v>10618</v>
      </c>
      <c r="O1185" s="29" t="s">
        <v>1465</v>
      </c>
      <c r="P1185" s="29" t="s">
        <v>10619</v>
      </c>
      <c r="Q1185" s="29" t="s">
        <v>1465</v>
      </c>
      <c r="R1185" s="29" t="s">
        <v>2918</v>
      </c>
      <c r="S1185" s="28" t="s">
        <v>1743</v>
      </c>
      <c r="T1185" s="28" t="s">
        <v>3348</v>
      </c>
      <c r="U1185" s="28" t="s">
        <v>1443</v>
      </c>
      <c r="V1185" s="28" t="s">
        <v>1736</v>
      </c>
      <c r="W1185" s="28" t="s">
        <v>10620</v>
      </c>
      <c r="X1185" s="17">
        <v>1</v>
      </c>
      <c r="CJ1185" s="26" t="s">
        <v>1407</v>
      </c>
      <c r="CK1185" s="26" t="s">
        <v>2695</v>
      </c>
      <c r="CL1185" s="26" t="str">
        <f t="shared" si="73"/>
        <v>和歌山県日高川町</v>
      </c>
      <c r="CM1185" s="49">
        <v>1180</v>
      </c>
      <c r="CN1185" s="17" t="str">
        <f t="shared" si="72"/>
        <v>1282</v>
      </c>
      <c r="CO1185" s="17" t="str">
        <f t="shared" si="74"/>
        <v>11801282日高川町</v>
      </c>
      <c r="CP1185" s="17" t="s">
        <v>10621</v>
      </c>
      <c r="CQ1185" s="17" t="b">
        <f t="shared" si="75"/>
        <v>1</v>
      </c>
    </row>
    <row r="1186" spans="6:95">
      <c r="F1186" s="23"/>
      <c r="I1186" s="23"/>
      <c r="L1186" s="50" t="s">
        <v>10622</v>
      </c>
      <c r="M1186" s="17" t="s">
        <v>10623</v>
      </c>
      <c r="N1186" s="51" t="s">
        <v>10624</v>
      </c>
      <c r="O1186" s="29" t="s">
        <v>1466</v>
      </c>
      <c r="P1186" s="29" t="s">
        <v>10625</v>
      </c>
      <c r="Q1186" s="29" t="s">
        <v>1466</v>
      </c>
      <c r="R1186" s="29" t="s">
        <v>1501</v>
      </c>
      <c r="S1186" s="28" t="s">
        <v>1977</v>
      </c>
      <c r="T1186" s="28" t="s">
        <v>1531</v>
      </c>
      <c r="U1186" s="28" t="s">
        <v>1443</v>
      </c>
      <c r="V1186" s="28" t="s">
        <v>1736</v>
      </c>
      <c r="W1186" s="28" t="s">
        <v>10626</v>
      </c>
      <c r="X1186" s="17">
        <v>1</v>
      </c>
      <c r="CJ1186" s="26" t="s">
        <v>1407</v>
      </c>
      <c r="CK1186" s="26" t="s">
        <v>2741</v>
      </c>
      <c r="CL1186" s="26" t="str">
        <f t="shared" si="73"/>
        <v>和歌山県白浜町</v>
      </c>
      <c r="CM1186" s="49">
        <v>1181</v>
      </c>
      <c r="CN1186" s="17" t="str">
        <f t="shared" si="72"/>
        <v>1283</v>
      </c>
      <c r="CO1186" s="17" t="str">
        <f t="shared" si="74"/>
        <v>11811283白浜町</v>
      </c>
      <c r="CP1186" s="17" t="s">
        <v>10627</v>
      </c>
      <c r="CQ1186" s="17" t="b">
        <f t="shared" si="75"/>
        <v>1</v>
      </c>
    </row>
    <row r="1187" spans="6:95">
      <c r="F1187" s="23"/>
      <c r="I1187" s="23"/>
      <c r="L1187" s="50" t="s">
        <v>10628</v>
      </c>
      <c r="M1187" s="17" t="s">
        <v>10629</v>
      </c>
      <c r="N1187" s="51" t="s">
        <v>10630</v>
      </c>
      <c r="O1187" s="29" t="s">
        <v>1466</v>
      </c>
      <c r="P1187" s="29" t="s">
        <v>10631</v>
      </c>
      <c r="Q1187" s="29" t="s">
        <v>1466</v>
      </c>
      <c r="R1187" s="29" t="s">
        <v>4593</v>
      </c>
      <c r="S1187" s="28" t="s">
        <v>1803</v>
      </c>
      <c r="T1187" s="28" t="s">
        <v>1593</v>
      </c>
      <c r="U1187" s="28" t="s">
        <v>1443</v>
      </c>
      <c r="V1187" s="28" t="s">
        <v>1736</v>
      </c>
      <c r="W1187" s="28" t="s">
        <v>10632</v>
      </c>
      <c r="X1187" s="17">
        <v>1</v>
      </c>
      <c r="CJ1187" s="26" t="s">
        <v>1407</v>
      </c>
      <c r="CK1187" s="26" t="s">
        <v>2785</v>
      </c>
      <c r="CL1187" s="26" t="str">
        <f t="shared" si="73"/>
        <v>和歌山県上富田町</v>
      </c>
      <c r="CM1187" s="49">
        <v>1182</v>
      </c>
      <c r="CN1187" s="17" t="str">
        <f t="shared" si="72"/>
        <v>1284</v>
      </c>
      <c r="CO1187" s="17" t="str">
        <f t="shared" si="74"/>
        <v>11821284上富田町</v>
      </c>
      <c r="CP1187" s="17" t="s">
        <v>10633</v>
      </c>
      <c r="CQ1187" s="17" t="b">
        <f t="shared" si="75"/>
        <v>1</v>
      </c>
    </row>
    <row r="1188" spans="6:95">
      <c r="F1188" s="23"/>
      <c r="I1188" s="23"/>
      <c r="L1188" s="50" t="s">
        <v>10634</v>
      </c>
      <c r="M1188" s="17" t="s">
        <v>10635</v>
      </c>
      <c r="N1188" s="51" t="s">
        <v>10636</v>
      </c>
      <c r="O1188" s="29" t="s">
        <v>1466</v>
      </c>
      <c r="P1188" s="29" t="s">
        <v>10637</v>
      </c>
      <c r="Q1188" s="29" t="s">
        <v>1466</v>
      </c>
      <c r="R1188" s="29" t="s">
        <v>1563</v>
      </c>
      <c r="S1188" s="28" t="s">
        <v>1862</v>
      </c>
      <c r="T1188" s="28" t="s">
        <v>1655</v>
      </c>
      <c r="U1188" s="28" t="s">
        <v>1443</v>
      </c>
      <c r="V1188" s="28" t="s">
        <v>1736</v>
      </c>
      <c r="W1188" s="28" t="s">
        <v>10638</v>
      </c>
      <c r="X1188" s="17">
        <v>1</v>
      </c>
      <c r="CJ1188" s="26" t="s">
        <v>1407</v>
      </c>
      <c r="CK1188" s="26" t="s">
        <v>2827</v>
      </c>
      <c r="CL1188" s="26" t="str">
        <f t="shared" si="73"/>
        <v>和歌山県すさみ町</v>
      </c>
      <c r="CM1188" s="49">
        <v>1183</v>
      </c>
      <c r="CN1188" s="17" t="str">
        <f t="shared" si="72"/>
        <v>1285</v>
      </c>
      <c r="CO1188" s="17" t="str">
        <f t="shared" si="74"/>
        <v>11831285すさみ町</v>
      </c>
      <c r="CP1188" s="17" t="s">
        <v>10639</v>
      </c>
      <c r="CQ1188" s="17" t="b">
        <f t="shared" si="75"/>
        <v>1</v>
      </c>
    </row>
    <row r="1189" spans="6:95">
      <c r="F1189" s="23"/>
      <c r="I1189" s="23"/>
      <c r="L1189" s="50" t="s">
        <v>10640</v>
      </c>
      <c r="M1189" s="17" t="s">
        <v>10641</v>
      </c>
      <c r="N1189" s="51" t="s">
        <v>10642</v>
      </c>
      <c r="O1189" s="29" t="s">
        <v>1466</v>
      </c>
      <c r="P1189" s="29" t="s">
        <v>10643</v>
      </c>
      <c r="Q1189" s="29" t="s">
        <v>1466</v>
      </c>
      <c r="R1189" s="29" t="s">
        <v>1625</v>
      </c>
      <c r="S1189" s="28" t="s">
        <v>1920</v>
      </c>
      <c r="T1189" s="28" t="s">
        <v>1713</v>
      </c>
      <c r="U1189" s="28" t="s">
        <v>1443</v>
      </c>
      <c r="V1189" s="28" t="s">
        <v>1736</v>
      </c>
      <c r="W1189" s="28" t="s">
        <v>10644</v>
      </c>
      <c r="X1189" s="17">
        <v>1</v>
      </c>
      <c r="CJ1189" s="26" t="s">
        <v>1407</v>
      </c>
      <c r="CK1189" s="26" t="s">
        <v>2867</v>
      </c>
      <c r="CL1189" s="26" t="str">
        <f t="shared" si="73"/>
        <v>和歌山県那智勝浦町</v>
      </c>
      <c r="CM1189" s="49">
        <v>1184</v>
      </c>
      <c r="CN1189" s="17" t="str">
        <f t="shared" si="72"/>
        <v>1286</v>
      </c>
      <c r="CO1189" s="17" t="str">
        <f t="shared" si="74"/>
        <v>11841286那智勝浦町</v>
      </c>
      <c r="CP1189" s="17" t="s">
        <v>10645</v>
      </c>
      <c r="CQ1189" s="17" t="b">
        <f t="shared" si="75"/>
        <v>1</v>
      </c>
    </row>
    <row r="1190" spans="6:95">
      <c r="F1190" s="23"/>
      <c r="I1190" s="23"/>
      <c r="L1190" s="50" t="s">
        <v>10646</v>
      </c>
      <c r="M1190" s="17" t="s">
        <v>10647</v>
      </c>
      <c r="N1190" s="51" t="s">
        <v>10648</v>
      </c>
      <c r="O1190" s="29" t="s">
        <v>1466</v>
      </c>
      <c r="P1190" s="29" t="s">
        <v>10649</v>
      </c>
      <c r="Q1190" s="29" t="s">
        <v>1466</v>
      </c>
      <c r="R1190" s="29" t="s">
        <v>1684</v>
      </c>
      <c r="S1190" s="28" t="s">
        <v>1977</v>
      </c>
      <c r="T1190" s="28" t="s">
        <v>1772</v>
      </c>
      <c r="U1190" s="28" t="s">
        <v>1443</v>
      </c>
      <c r="V1190" s="28" t="s">
        <v>1736</v>
      </c>
      <c r="W1190" s="28" t="s">
        <v>10650</v>
      </c>
      <c r="X1190" s="17">
        <v>1</v>
      </c>
      <c r="CJ1190" s="26" t="s">
        <v>1407</v>
      </c>
      <c r="CK1190" s="26" t="s">
        <v>2905</v>
      </c>
      <c r="CL1190" s="26" t="str">
        <f t="shared" si="73"/>
        <v>和歌山県太地町</v>
      </c>
      <c r="CM1190" s="49">
        <v>1185</v>
      </c>
      <c r="CN1190" s="17" t="str">
        <f t="shared" si="72"/>
        <v>1287</v>
      </c>
      <c r="CO1190" s="17" t="str">
        <f t="shared" si="74"/>
        <v>11851287太地町</v>
      </c>
      <c r="CP1190" s="17" t="s">
        <v>10651</v>
      </c>
      <c r="CQ1190" s="17" t="b">
        <f t="shared" si="75"/>
        <v>1</v>
      </c>
    </row>
    <row r="1191" spans="6:95">
      <c r="F1191" s="23"/>
      <c r="I1191" s="23"/>
      <c r="L1191" s="50" t="s">
        <v>10652</v>
      </c>
      <c r="M1191" s="17" t="s">
        <v>10653</v>
      </c>
      <c r="N1191" s="51" t="s">
        <v>10654</v>
      </c>
      <c r="O1191" s="29" t="s">
        <v>1466</v>
      </c>
      <c r="P1191" s="29" t="s">
        <v>10655</v>
      </c>
      <c r="Q1191" s="29" t="s">
        <v>1466</v>
      </c>
      <c r="R1191" s="29" t="s">
        <v>1742</v>
      </c>
      <c r="S1191" s="28" t="s">
        <v>2311</v>
      </c>
      <c r="T1191" s="28" t="s">
        <v>1832</v>
      </c>
      <c r="U1191" s="28" t="s">
        <v>1443</v>
      </c>
      <c r="V1191" s="28" t="s">
        <v>1736</v>
      </c>
      <c r="W1191" s="28" t="s">
        <v>10656</v>
      </c>
      <c r="X1191" s="17">
        <v>1</v>
      </c>
      <c r="CJ1191" s="26" t="s">
        <v>1407</v>
      </c>
      <c r="CK1191" s="26" t="s">
        <v>2941</v>
      </c>
      <c r="CL1191" s="26" t="str">
        <f t="shared" si="73"/>
        <v>和歌山県古座川町</v>
      </c>
      <c r="CM1191" s="49">
        <v>1186</v>
      </c>
      <c r="CN1191" s="17" t="str">
        <f t="shared" si="72"/>
        <v>1288</v>
      </c>
      <c r="CO1191" s="17" t="str">
        <f t="shared" si="74"/>
        <v>11861288古座川町</v>
      </c>
      <c r="CP1191" s="17" t="s">
        <v>10657</v>
      </c>
      <c r="CQ1191" s="17" t="b">
        <f t="shared" si="75"/>
        <v>1</v>
      </c>
    </row>
    <row r="1192" spans="6:95">
      <c r="F1192" s="23"/>
      <c r="I1192" s="23"/>
      <c r="L1192" s="50" t="s">
        <v>10658</v>
      </c>
      <c r="M1192" s="17" t="s">
        <v>10659</v>
      </c>
      <c r="N1192" s="51" t="s">
        <v>10660</v>
      </c>
      <c r="O1192" s="29" t="s">
        <v>1466</v>
      </c>
      <c r="P1192" s="29" t="s">
        <v>10661</v>
      </c>
      <c r="Q1192" s="29" t="s">
        <v>1466</v>
      </c>
      <c r="R1192" s="29" t="s">
        <v>1802</v>
      </c>
      <c r="S1192" s="28" t="s">
        <v>1564</v>
      </c>
      <c r="T1192" s="28" t="s">
        <v>1891</v>
      </c>
      <c r="U1192" s="28" t="s">
        <v>1443</v>
      </c>
      <c r="V1192" s="28" t="s">
        <v>1736</v>
      </c>
      <c r="W1192" s="28" t="s">
        <v>10662</v>
      </c>
      <c r="X1192" s="17">
        <v>1</v>
      </c>
      <c r="CJ1192" s="26" t="s">
        <v>1407</v>
      </c>
      <c r="CK1192" s="26" t="s">
        <v>2974</v>
      </c>
      <c r="CL1192" s="26" t="str">
        <f t="shared" si="73"/>
        <v>和歌山県北山村</v>
      </c>
      <c r="CM1192" s="49">
        <v>1187</v>
      </c>
      <c r="CN1192" s="17" t="str">
        <f t="shared" si="72"/>
        <v>1289</v>
      </c>
      <c r="CO1192" s="17" t="str">
        <f t="shared" si="74"/>
        <v>11871289北山村</v>
      </c>
      <c r="CP1192" s="17" t="s">
        <v>10663</v>
      </c>
      <c r="CQ1192" s="17" t="b">
        <f t="shared" si="75"/>
        <v>1</v>
      </c>
    </row>
    <row r="1193" spans="6:95">
      <c r="F1193" s="23"/>
      <c r="I1193" s="23"/>
      <c r="L1193" s="50" t="s">
        <v>10664</v>
      </c>
      <c r="M1193" s="17" t="s">
        <v>10665</v>
      </c>
      <c r="N1193" s="51" t="s">
        <v>10666</v>
      </c>
      <c r="O1193" s="29" t="s">
        <v>1466</v>
      </c>
      <c r="P1193" s="29" t="s">
        <v>10667</v>
      </c>
      <c r="Q1193" s="29" t="s">
        <v>1466</v>
      </c>
      <c r="R1193" s="29" t="s">
        <v>1861</v>
      </c>
      <c r="S1193" s="28" t="s">
        <v>1626</v>
      </c>
      <c r="T1193" s="28" t="s">
        <v>1949</v>
      </c>
      <c r="U1193" s="28" t="s">
        <v>1443</v>
      </c>
      <c r="V1193" s="28" t="s">
        <v>1736</v>
      </c>
      <c r="W1193" s="28" t="s">
        <v>10668</v>
      </c>
      <c r="X1193" s="17">
        <v>1</v>
      </c>
      <c r="CJ1193" s="26" t="s">
        <v>1407</v>
      </c>
      <c r="CK1193" s="26" t="s">
        <v>3008</v>
      </c>
      <c r="CL1193" s="26" t="str">
        <f t="shared" si="73"/>
        <v>和歌山県串本町</v>
      </c>
      <c r="CM1193" s="49">
        <v>1188</v>
      </c>
      <c r="CN1193" s="17" t="str">
        <f t="shared" si="72"/>
        <v>1290</v>
      </c>
      <c r="CO1193" s="17" t="str">
        <f t="shared" si="74"/>
        <v>11881290串本町</v>
      </c>
      <c r="CP1193" s="17" t="s">
        <v>10669</v>
      </c>
      <c r="CQ1193" s="17" t="b">
        <f t="shared" si="75"/>
        <v>1</v>
      </c>
    </row>
    <row r="1194" spans="6:95">
      <c r="F1194" s="23"/>
      <c r="I1194" s="23"/>
      <c r="L1194" s="50" t="s">
        <v>10670</v>
      </c>
      <c r="M1194" s="17" t="s">
        <v>10671</v>
      </c>
      <c r="N1194" s="51" t="s">
        <v>10672</v>
      </c>
      <c r="O1194" s="29" t="s">
        <v>1466</v>
      </c>
      <c r="P1194" s="29" t="s">
        <v>10673</v>
      </c>
      <c r="Q1194" s="29" t="s">
        <v>1466</v>
      </c>
      <c r="R1194" s="29" t="s">
        <v>1919</v>
      </c>
      <c r="S1194" s="28" t="s">
        <v>1502</v>
      </c>
      <c r="T1194" s="28" t="s">
        <v>2006</v>
      </c>
      <c r="U1194" s="28" t="s">
        <v>1443</v>
      </c>
      <c r="V1194" s="28" t="s">
        <v>1736</v>
      </c>
      <c r="W1194" s="28" t="s">
        <v>10674</v>
      </c>
      <c r="X1194" s="17">
        <v>1</v>
      </c>
      <c r="CJ1194" s="26" t="s">
        <v>1408</v>
      </c>
      <c r="CK1194" s="26" t="s">
        <v>1534</v>
      </c>
      <c r="CL1194" s="26" t="str">
        <f t="shared" si="73"/>
        <v>鳥取県鳥取市</v>
      </c>
      <c r="CM1194" s="49">
        <v>1189</v>
      </c>
      <c r="CN1194" s="17" t="str">
        <f t="shared" si="72"/>
        <v>1291</v>
      </c>
      <c r="CO1194" s="17" t="str">
        <f t="shared" si="74"/>
        <v>11891291鳥取市</v>
      </c>
      <c r="CP1194" s="17" t="s">
        <v>10675</v>
      </c>
      <c r="CQ1194" s="17" t="b">
        <f t="shared" si="75"/>
        <v>1</v>
      </c>
    </row>
    <row r="1195" spans="6:95">
      <c r="F1195" s="23"/>
      <c r="I1195" s="23"/>
      <c r="L1195" s="50" t="s">
        <v>10676</v>
      </c>
      <c r="M1195" s="17" t="s">
        <v>10677</v>
      </c>
      <c r="N1195" s="51" t="s">
        <v>10678</v>
      </c>
      <c r="O1195" s="29" t="s">
        <v>1466</v>
      </c>
      <c r="P1195" s="29" t="s">
        <v>10679</v>
      </c>
      <c r="Q1195" s="29" t="s">
        <v>1466</v>
      </c>
      <c r="R1195" s="29" t="s">
        <v>1976</v>
      </c>
      <c r="S1195" s="28" t="s">
        <v>2525</v>
      </c>
      <c r="T1195" s="28" t="s">
        <v>2062</v>
      </c>
      <c r="U1195" s="28" t="s">
        <v>1443</v>
      </c>
      <c r="V1195" s="28" t="s">
        <v>1736</v>
      </c>
      <c r="W1195" s="28" t="s">
        <v>10680</v>
      </c>
      <c r="X1195" s="17">
        <v>1</v>
      </c>
      <c r="CJ1195" s="26" t="s">
        <v>1408</v>
      </c>
      <c r="CK1195" s="26" t="s">
        <v>1596</v>
      </c>
      <c r="CL1195" s="26" t="str">
        <f t="shared" si="73"/>
        <v>鳥取県米子市</v>
      </c>
      <c r="CM1195" s="49">
        <v>1190</v>
      </c>
      <c r="CN1195" s="17" t="str">
        <f t="shared" si="72"/>
        <v>1292</v>
      </c>
      <c r="CO1195" s="17" t="str">
        <f t="shared" si="74"/>
        <v>11901292米子市</v>
      </c>
      <c r="CP1195" s="17" t="s">
        <v>10681</v>
      </c>
      <c r="CQ1195" s="17" t="b">
        <f t="shared" si="75"/>
        <v>1</v>
      </c>
    </row>
    <row r="1196" spans="6:95">
      <c r="F1196" s="23"/>
      <c r="I1196" s="23"/>
      <c r="L1196" s="50" t="s">
        <v>10682</v>
      </c>
      <c r="M1196" s="17" t="s">
        <v>10683</v>
      </c>
      <c r="N1196" s="51" t="s">
        <v>10684</v>
      </c>
      <c r="O1196" s="29" t="s">
        <v>1466</v>
      </c>
      <c r="P1196" s="29" t="s">
        <v>10685</v>
      </c>
      <c r="Q1196" s="29" t="s">
        <v>1466</v>
      </c>
      <c r="R1196" s="29" t="s">
        <v>2033</v>
      </c>
      <c r="S1196" s="28" t="s">
        <v>2311</v>
      </c>
      <c r="T1196" s="28" t="s">
        <v>2118</v>
      </c>
      <c r="U1196" s="28" t="s">
        <v>1443</v>
      </c>
      <c r="V1196" s="28" t="s">
        <v>1736</v>
      </c>
      <c r="W1196" s="28" t="s">
        <v>10685</v>
      </c>
      <c r="X1196" s="17">
        <v>1</v>
      </c>
      <c r="CJ1196" s="26" t="s">
        <v>1408</v>
      </c>
      <c r="CK1196" s="26" t="s">
        <v>1658</v>
      </c>
      <c r="CL1196" s="26" t="str">
        <f t="shared" si="73"/>
        <v>鳥取県倉吉市</v>
      </c>
      <c r="CM1196" s="49">
        <v>1191</v>
      </c>
      <c r="CN1196" s="17" t="str">
        <f t="shared" si="72"/>
        <v>1293</v>
      </c>
      <c r="CO1196" s="17" t="str">
        <f t="shared" si="74"/>
        <v>11911293倉吉市</v>
      </c>
      <c r="CP1196" s="17" t="s">
        <v>10686</v>
      </c>
      <c r="CQ1196" s="17" t="b">
        <f t="shared" si="75"/>
        <v>1</v>
      </c>
    </row>
    <row r="1197" spans="6:95">
      <c r="F1197" s="23"/>
      <c r="I1197" s="23"/>
      <c r="L1197" s="50" t="s">
        <v>10687</v>
      </c>
      <c r="M1197" s="17" t="s">
        <v>10688</v>
      </c>
      <c r="N1197" s="51" t="s">
        <v>10689</v>
      </c>
      <c r="O1197" s="29" t="s">
        <v>1466</v>
      </c>
      <c r="P1197" s="29" t="s">
        <v>10690</v>
      </c>
      <c r="Q1197" s="29" t="s">
        <v>1466</v>
      </c>
      <c r="R1197" s="29" t="s">
        <v>2145</v>
      </c>
      <c r="S1197" s="28" t="s">
        <v>1626</v>
      </c>
      <c r="T1197" s="28" t="s">
        <v>2174</v>
      </c>
      <c r="U1197" s="28" t="s">
        <v>1443</v>
      </c>
      <c r="V1197" s="28" t="s">
        <v>1736</v>
      </c>
      <c r="W1197" s="28" t="s">
        <v>10691</v>
      </c>
      <c r="X1197" s="17">
        <v>1</v>
      </c>
      <c r="CJ1197" s="26" t="s">
        <v>1408</v>
      </c>
      <c r="CK1197" s="26" t="s">
        <v>1716</v>
      </c>
      <c r="CL1197" s="26" t="str">
        <f t="shared" si="73"/>
        <v>鳥取県境港市</v>
      </c>
      <c r="CM1197" s="49">
        <v>1192</v>
      </c>
      <c r="CN1197" s="17" t="str">
        <f t="shared" si="72"/>
        <v>1294</v>
      </c>
      <c r="CO1197" s="17" t="str">
        <f t="shared" si="74"/>
        <v>11921294境港市</v>
      </c>
      <c r="CP1197" s="17" t="s">
        <v>10692</v>
      </c>
      <c r="CQ1197" s="17" t="b">
        <f t="shared" si="75"/>
        <v>1</v>
      </c>
    </row>
    <row r="1198" spans="6:95">
      <c r="F1198" s="23"/>
      <c r="I1198" s="23"/>
      <c r="L1198" s="50" t="s">
        <v>10693</v>
      </c>
      <c r="M1198" s="17" t="s">
        <v>10694</v>
      </c>
      <c r="N1198" s="51" t="s">
        <v>10695</v>
      </c>
      <c r="O1198" s="29" t="s">
        <v>1466</v>
      </c>
      <c r="P1198" s="29" t="s">
        <v>10696</v>
      </c>
      <c r="Q1198" s="29" t="s">
        <v>1466</v>
      </c>
      <c r="R1198" s="29" t="s">
        <v>2200</v>
      </c>
      <c r="S1198" s="28" t="s">
        <v>1502</v>
      </c>
      <c r="T1198" s="28" t="s">
        <v>2229</v>
      </c>
      <c r="U1198" s="28" t="s">
        <v>1443</v>
      </c>
      <c r="V1198" s="28" t="s">
        <v>1736</v>
      </c>
      <c r="W1198" s="28" t="s">
        <v>10697</v>
      </c>
      <c r="X1198" s="17">
        <v>1</v>
      </c>
      <c r="CJ1198" s="26" t="s">
        <v>1408</v>
      </c>
      <c r="CK1198" s="26" t="s">
        <v>1775</v>
      </c>
      <c r="CL1198" s="26" t="str">
        <f t="shared" si="73"/>
        <v>鳥取県岩美町</v>
      </c>
      <c r="CM1198" s="49">
        <v>1193</v>
      </c>
      <c r="CN1198" s="17" t="str">
        <f t="shared" si="72"/>
        <v>1295</v>
      </c>
      <c r="CO1198" s="17" t="str">
        <f t="shared" si="74"/>
        <v>11931295岩美町</v>
      </c>
      <c r="CP1198" s="17" t="s">
        <v>10698</v>
      </c>
      <c r="CQ1198" s="17" t="b">
        <f t="shared" si="75"/>
        <v>1</v>
      </c>
    </row>
    <row r="1199" spans="6:95">
      <c r="F1199" s="23"/>
      <c r="I1199" s="23"/>
      <c r="L1199" s="50" t="s">
        <v>10699</v>
      </c>
      <c r="M1199" s="17" t="s">
        <v>10700</v>
      </c>
      <c r="N1199" s="51" t="s">
        <v>10701</v>
      </c>
      <c r="O1199" s="29" t="s">
        <v>1466</v>
      </c>
      <c r="P1199" s="29" t="s">
        <v>10702</v>
      </c>
      <c r="Q1199" s="29" t="s">
        <v>1466</v>
      </c>
      <c r="R1199" s="29" t="s">
        <v>2255</v>
      </c>
      <c r="S1199" s="28" t="s">
        <v>2525</v>
      </c>
      <c r="T1199" s="28" t="s">
        <v>2284</v>
      </c>
      <c r="U1199" s="28" t="s">
        <v>1443</v>
      </c>
      <c r="V1199" s="28" t="s">
        <v>1736</v>
      </c>
      <c r="W1199" s="28" t="s">
        <v>10703</v>
      </c>
      <c r="X1199" s="17">
        <v>1</v>
      </c>
      <c r="CJ1199" s="26" t="s">
        <v>1408</v>
      </c>
      <c r="CK1199" s="26" t="s">
        <v>1835</v>
      </c>
      <c r="CL1199" s="26" t="str">
        <f t="shared" si="73"/>
        <v>鳥取県若桜町</v>
      </c>
      <c r="CM1199" s="49">
        <v>1194</v>
      </c>
      <c r="CN1199" s="17" t="str">
        <f t="shared" si="72"/>
        <v>1296</v>
      </c>
      <c r="CO1199" s="17" t="str">
        <f t="shared" si="74"/>
        <v>11941296若桜町</v>
      </c>
      <c r="CP1199" s="17" t="s">
        <v>10704</v>
      </c>
      <c r="CQ1199" s="17" t="b">
        <f t="shared" si="75"/>
        <v>1</v>
      </c>
    </row>
    <row r="1200" spans="6:95">
      <c r="F1200" s="23"/>
      <c r="I1200" s="23"/>
      <c r="L1200" s="50" t="s">
        <v>10705</v>
      </c>
      <c r="M1200" s="17" t="s">
        <v>10706</v>
      </c>
      <c r="N1200" s="51" t="s">
        <v>10707</v>
      </c>
      <c r="O1200" s="29" t="s">
        <v>1466</v>
      </c>
      <c r="P1200" s="29" t="s">
        <v>10708</v>
      </c>
      <c r="Q1200" s="29" t="s">
        <v>1466</v>
      </c>
      <c r="R1200" s="29" t="s">
        <v>2310</v>
      </c>
      <c r="S1200" s="28" t="s">
        <v>1803</v>
      </c>
      <c r="T1200" s="28" t="s">
        <v>2340</v>
      </c>
      <c r="U1200" s="28" t="s">
        <v>1443</v>
      </c>
      <c r="V1200" s="28" t="s">
        <v>1736</v>
      </c>
      <c r="W1200" s="28" t="s">
        <v>10709</v>
      </c>
      <c r="X1200" s="17">
        <v>1</v>
      </c>
      <c r="CJ1200" s="26" t="s">
        <v>1408</v>
      </c>
      <c r="CK1200" s="26" t="s">
        <v>1894</v>
      </c>
      <c r="CL1200" s="26" t="str">
        <f t="shared" si="73"/>
        <v>鳥取県智頭町</v>
      </c>
      <c r="CM1200" s="49">
        <v>1195</v>
      </c>
      <c r="CN1200" s="17" t="str">
        <f t="shared" si="72"/>
        <v>1297</v>
      </c>
      <c r="CO1200" s="17" t="str">
        <f t="shared" si="74"/>
        <v>11951297智頭町</v>
      </c>
      <c r="CP1200" s="17" t="s">
        <v>10710</v>
      </c>
      <c r="CQ1200" s="17" t="b">
        <f t="shared" si="75"/>
        <v>1</v>
      </c>
    </row>
    <row r="1201" spans="6:95">
      <c r="F1201" s="23"/>
      <c r="I1201" s="23"/>
      <c r="L1201" s="50" t="s">
        <v>10711</v>
      </c>
      <c r="M1201" s="17" t="s">
        <v>10712</v>
      </c>
      <c r="N1201" s="51" t="s">
        <v>10713</v>
      </c>
      <c r="O1201" s="29" t="s">
        <v>1466</v>
      </c>
      <c r="P1201" s="29" t="s">
        <v>10714</v>
      </c>
      <c r="Q1201" s="29" t="s">
        <v>1466</v>
      </c>
      <c r="R1201" s="29" t="s">
        <v>2365</v>
      </c>
      <c r="S1201" s="28" t="s">
        <v>1862</v>
      </c>
      <c r="T1201" s="28" t="s">
        <v>2394</v>
      </c>
      <c r="U1201" s="28" t="s">
        <v>1443</v>
      </c>
      <c r="V1201" s="28" t="s">
        <v>1736</v>
      </c>
      <c r="W1201" s="28" t="s">
        <v>10715</v>
      </c>
      <c r="X1201" s="17">
        <v>1</v>
      </c>
      <c r="CJ1201" s="26" t="s">
        <v>1408</v>
      </c>
      <c r="CK1201" s="26" t="s">
        <v>1952</v>
      </c>
      <c r="CL1201" s="26" t="str">
        <f t="shared" si="73"/>
        <v>鳥取県八頭町</v>
      </c>
      <c r="CM1201" s="49">
        <v>1196</v>
      </c>
      <c r="CN1201" s="17" t="str">
        <f t="shared" si="72"/>
        <v>1298</v>
      </c>
      <c r="CO1201" s="17" t="str">
        <f t="shared" si="74"/>
        <v>11961298八頭町</v>
      </c>
      <c r="CP1201" s="17" t="s">
        <v>10716</v>
      </c>
      <c r="CQ1201" s="17" t="b">
        <f t="shared" si="75"/>
        <v>1</v>
      </c>
    </row>
    <row r="1202" spans="6:95">
      <c r="F1202" s="23"/>
      <c r="I1202" s="23"/>
      <c r="L1202" s="50" t="s">
        <v>10717</v>
      </c>
      <c r="M1202" s="17" t="s">
        <v>10718</v>
      </c>
      <c r="N1202" s="51" t="s">
        <v>10719</v>
      </c>
      <c r="O1202" s="29" t="s">
        <v>1466</v>
      </c>
      <c r="P1202" s="29" t="s">
        <v>10720</v>
      </c>
      <c r="Q1202" s="29" t="s">
        <v>1466</v>
      </c>
      <c r="R1202" s="29" t="s">
        <v>2420</v>
      </c>
      <c r="S1202" s="28" t="s">
        <v>1920</v>
      </c>
      <c r="T1202" s="28" t="s">
        <v>2449</v>
      </c>
      <c r="U1202" s="28" t="s">
        <v>1443</v>
      </c>
      <c r="V1202" s="28" t="s">
        <v>1736</v>
      </c>
      <c r="W1202" s="28" t="s">
        <v>10721</v>
      </c>
      <c r="X1202" s="17">
        <v>1</v>
      </c>
      <c r="CJ1202" s="26" t="s">
        <v>1408</v>
      </c>
      <c r="CK1202" s="26" t="s">
        <v>2009</v>
      </c>
      <c r="CL1202" s="26" t="str">
        <f t="shared" si="73"/>
        <v>鳥取県三朝町</v>
      </c>
      <c r="CM1202" s="49">
        <v>1197</v>
      </c>
      <c r="CN1202" s="17" t="str">
        <f t="shared" si="72"/>
        <v>1299</v>
      </c>
      <c r="CO1202" s="17" t="str">
        <f t="shared" si="74"/>
        <v>11971299三朝町</v>
      </c>
      <c r="CP1202" s="17" t="s">
        <v>10722</v>
      </c>
      <c r="CQ1202" s="17" t="b">
        <f t="shared" si="75"/>
        <v>1</v>
      </c>
    </row>
    <row r="1203" spans="6:95">
      <c r="F1203" s="23"/>
      <c r="I1203" s="23"/>
      <c r="L1203" s="50" t="s">
        <v>10723</v>
      </c>
      <c r="M1203" s="17" t="s">
        <v>10724</v>
      </c>
      <c r="N1203" s="51" t="s">
        <v>10725</v>
      </c>
      <c r="O1203" s="29" t="s">
        <v>1466</v>
      </c>
      <c r="P1203" s="29" t="s">
        <v>10726</v>
      </c>
      <c r="Q1203" s="29" t="s">
        <v>1466</v>
      </c>
      <c r="R1203" s="29" t="s">
        <v>2474</v>
      </c>
      <c r="S1203" s="28" t="s">
        <v>1977</v>
      </c>
      <c r="T1203" s="28" t="s">
        <v>2500</v>
      </c>
      <c r="U1203" s="28" t="s">
        <v>1443</v>
      </c>
      <c r="V1203" s="28" t="s">
        <v>1736</v>
      </c>
      <c r="W1203" s="28" t="s">
        <v>10727</v>
      </c>
      <c r="X1203" s="17">
        <v>1</v>
      </c>
      <c r="CJ1203" s="26" t="s">
        <v>1408</v>
      </c>
      <c r="CK1203" s="26" t="s">
        <v>2065</v>
      </c>
      <c r="CL1203" s="26" t="str">
        <f t="shared" si="73"/>
        <v>鳥取県湯梨浜町</v>
      </c>
      <c r="CM1203" s="49">
        <v>1198</v>
      </c>
      <c r="CN1203" s="17" t="str">
        <f t="shared" si="72"/>
        <v>1300</v>
      </c>
      <c r="CO1203" s="17" t="str">
        <f t="shared" si="74"/>
        <v>11981300湯梨浜町</v>
      </c>
      <c r="CP1203" s="17" t="s">
        <v>10728</v>
      </c>
      <c r="CQ1203" s="17" t="b">
        <f t="shared" si="75"/>
        <v>1</v>
      </c>
    </row>
    <row r="1204" spans="6:95">
      <c r="F1204" s="23"/>
      <c r="I1204" s="23"/>
      <c r="L1204" s="50" t="s">
        <v>10729</v>
      </c>
      <c r="M1204" s="17" t="s">
        <v>10730</v>
      </c>
      <c r="N1204" s="51" t="s">
        <v>10731</v>
      </c>
      <c r="O1204" s="29" t="s">
        <v>1466</v>
      </c>
      <c r="P1204" s="29" t="s">
        <v>10732</v>
      </c>
      <c r="Q1204" s="29" t="s">
        <v>1466</v>
      </c>
      <c r="R1204" s="29" t="s">
        <v>2524</v>
      </c>
      <c r="S1204" s="28" t="s">
        <v>1743</v>
      </c>
      <c r="T1204" s="28" t="s">
        <v>2552</v>
      </c>
      <c r="U1204" s="28" t="s">
        <v>1443</v>
      </c>
      <c r="V1204" s="28" t="s">
        <v>1736</v>
      </c>
      <c r="W1204" s="28" t="s">
        <v>10733</v>
      </c>
      <c r="X1204" s="17">
        <v>1</v>
      </c>
      <c r="CJ1204" s="26" t="s">
        <v>1408</v>
      </c>
      <c r="CK1204" s="26" t="s">
        <v>2121</v>
      </c>
      <c r="CL1204" s="26" t="str">
        <f t="shared" si="73"/>
        <v>鳥取県琴浦町</v>
      </c>
      <c r="CM1204" s="49">
        <v>1199</v>
      </c>
      <c r="CN1204" s="17" t="str">
        <f t="shared" si="72"/>
        <v>1301</v>
      </c>
      <c r="CO1204" s="17" t="str">
        <f t="shared" si="74"/>
        <v>11991301琴浦町</v>
      </c>
      <c r="CP1204" s="17" t="s">
        <v>10734</v>
      </c>
      <c r="CQ1204" s="17" t="b">
        <f t="shared" si="75"/>
        <v>1</v>
      </c>
    </row>
    <row r="1205" spans="6:95">
      <c r="F1205" s="23"/>
      <c r="I1205" s="23"/>
      <c r="L1205" s="50" t="s">
        <v>10735</v>
      </c>
      <c r="M1205" s="17" t="s">
        <v>10736</v>
      </c>
      <c r="N1205" s="51" t="s">
        <v>10737</v>
      </c>
      <c r="O1205" s="29" t="s">
        <v>1466</v>
      </c>
      <c r="P1205" s="29" t="s">
        <v>10738</v>
      </c>
      <c r="Q1205" s="29" t="s">
        <v>1466</v>
      </c>
      <c r="R1205" s="29" t="s">
        <v>2576</v>
      </c>
      <c r="S1205" s="28" t="s">
        <v>1803</v>
      </c>
      <c r="T1205" s="28" t="s">
        <v>2600</v>
      </c>
      <c r="U1205" s="28" t="s">
        <v>1443</v>
      </c>
      <c r="V1205" s="28" t="s">
        <v>1736</v>
      </c>
      <c r="W1205" s="28" t="s">
        <v>10739</v>
      </c>
      <c r="X1205" s="17">
        <v>1</v>
      </c>
      <c r="CJ1205" s="26" t="s">
        <v>1408</v>
      </c>
      <c r="CK1205" s="26" t="s">
        <v>2177</v>
      </c>
      <c r="CL1205" s="26" t="str">
        <f t="shared" si="73"/>
        <v>鳥取県北栄町</v>
      </c>
      <c r="CM1205" s="49">
        <v>1200</v>
      </c>
      <c r="CN1205" s="17" t="str">
        <f t="shared" si="72"/>
        <v>1302</v>
      </c>
      <c r="CO1205" s="17" t="str">
        <f t="shared" si="74"/>
        <v>12001302北栄町</v>
      </c>
      <c r="CP1205" s="17" t="s">
        <v>10740</v>
      </c>
      <c r="CQ1205" s="17" t="b">
        <f t="shared" si="75"/>
        <v>1</v>
      </c>
    </row>
    <row r="1206" spans="6:95">
      <c r="F1206" s="23"/>
      <c r="I1206" s="23"/>
      <c r="L1206" s="50" t="s">
        <v>10741</v>
      </c>
      <c r="M1206" s="17" t="s">
        <v>10742</v>
      </c>
      <c r="N1206" s="51" t="s">
        <v>10743</v>
      </c>
      <c r="O1206" s="29" t="s">
        <v>1466</v>
      </c>
      <c r="P1206" s="29" t="s">
        <v>10744</v>
      </c>
      <c r="Q1206" s="29" t="s">
        <v>1466</v>
      </c>
      <c r="R1206" s="29" t="s">
        <v>2623</v>
      </c>
      <c r="S1206" s="28" t="s">
        <v>1862</v>
      </c>
      <c r="T1206" s="28" t="s">
        <v>10745</v>
      </c>
      <c r="U1206" s="28" t="s">
        <v>1443</v>
      </c>
      <c r="V1206" s="28" t="s">
        <v>1736</v>
      </c>
      <c r="W1206" s="28" t="s">
        <v>10746</v>
      </c>
      <c r="X1206" s="17">
        <v>1</v>
      </c>
      <c r="CJ1206" s="26" t="s">
        <v>1408</v>
      </c>
      <c r="CK1206" s="26" t="s">
        <v>2232</v>
      </c>
      <c r="CL1206" s="26" t="str">
        <f t="shared" si="73"/>
        <v>鳥取県大山町</v>
      </c>
      <c r="CM1206" s="49">
        <v>1201</v>
      </c>
      <c r="CN1206" s="17" t="str">
        <f t="shared" si="72"/>
        <v>1303</v>
      </c>
      <c r="CO1206" s="17" t="str">
        <f t="shared" si="74"/>
        <v>12011303大山町</v>
      </c>
      <c r="CP1206" s="17" t="s">
        <v>10747</v>
      </c>
      <c r="CQ1206" s="17" t="b">
        <f t="shared" si="75"/>
        <v>1</v>
      </c>
    </row>
    <row r="1207" spans="6:95">
      <c r="F1207" s="23"/>
      <c r="I1207" s="23"/>
      <c r="L1207" s="50" t="s">
        <v>10748</v>
      </c>
      <c r="M1207" s="17" t="s">
        <v>10749</v>
      </c>
      <c r="N1207" s="51" t="s">
        <v>10750</v>
      </c>
      <c r="O1207" s="29" t="s">
        <v>1466</v>
      </c>
      <c r="P1207" s="29" t="s">
        <v>10751</v>
      </c>
      <c r="Q1207" s="29" t="s">
        <v>1466</v>
      </c>
      <c r="R1207" s="29" t="s">
        <v>2668</v>
      </c>
      <c r="S1207" s="28" t="s">
        <v>1920</v>
      </c>
      <c r="T1207" s="28" t="s">
        <v>2693</v>
      </c>
      <c r="U1207" s="28" t="s">
        <v>1443</v>
      </c>
      <c r="V1207" s="28" t="s">
        <v>1736</v>
      </c>
      <c r="W1207" s="28" t="s">
        <v>10752</v>
      </c>
      <c r="X1207" s="17">
        <v>1</v>
      </c>
      <c r="CJ1207" s="26" t="s">
        <v>1408</v>
      </c>
      <c r="CK1207" s="26" t="s">
        <v>2287</v>
      </c>
      <c r="CL1207" s="26" t="str">
        <f t="shared" si="73"/>
        <v>鳥取県日南町</v>
      </c>
      <c r="CM1207" s="49">
        <v>1202</v>
      </c>
      <c r="CN1207" s="17" t="str">
        <f t="shared" si="72"/>
        <v>1304</v>
      </c>
      <c r="CO1207" s="17" t="str">
        <f t="shared" si="74"/>
        <v>12021304日南町</v>
      </c>
      <c r="CP1207" s="17" t="s">
        <v>10753</v>
      </c>
      <c r="CQ1207" s="17" t="b">
        <f t="shared" si="75"/>
        <v>1</v>
      </c>
    </row>
    <row r="1208" spans="6:95">
      <c r="F1208" s="23"/>
      <c r="I1208" s="23"/>
      <c r="L1208" s="50" t="s">
        <v>10754</v>
      </c>
      <c r="M1208" s="17" t="s">
        <v>10755</v>
      </c>
      <c r="N1208" s="51" t="s">
        <v>10756</v>
      </c>
      <c r="O1208" s="29" t="s">
        <v>1466</v>
      </c>
      <c r="P1208" s="29" t="s">
        <v>10757</v>
      </c>
      <c r="Q1208" s="29" t="s">
        <v>1466</v>
      </c>
      <c r="R1208" s="29" t="s">
        <v>2714</v>
      </c>
      <c r="S1208" s="28" t="s">
        <v>1977</v>
      </c>
      <c r="T1208" s="28" t="s">
        <v>2739</v>
      </c>
      <c r="U1208" s="28" t="s">
        <v>1443</v>
      </c>
      <c r="V1208" s="28" t="s">
        <v>1736</v>
      </c>
      <c r="W1208" s="28" t="s">
        <v>10758</v>
      </c>
      <c r="X1208" s="17">
        <v>1</v>
      </c>
      <c r="CJ1208" s="26" t="s">
        <v>1408</v>
      </c>
      <c r="CK1208" s="26" t="s">
        <v>2281</v>
      </c>
      <c r="CL1208" s="26" t="str">
        <f t="shared" si="73"/>
        <v>鳥取県日野町</v>
      </c>
      <c r="CM1208" s="49">
        <v>1203</v>
      </c>
      <c r="CN1208" s="17" t="str">
        <f t="shared" si="72"/>
        <v>1305</v>
      </c>
      <c r="CO1208" s="17" t="str">
        <f t="shared" si="74"/>
        <v>12031305日野町</v>
      </c>
      <c r="CP1208" s="17" t="s">
        <v>10759</v>
      </c>
      <c r="CQ1208" s="17" t="b">
        <f t="shared" si="75"/>
        <v>1</v>
      </c>
    </row>
    <row r="1209" spans="6:95">
      <c r="F1209" s="23"/>
      <c r="I1209" s="23"/>
      <c r="L1209" s="50" t="s">
        <v>10760</v>
      </c>
      <c r="M1209" s="17" t="s">
        <v>10761</v>
      </c>
      <c r="N1209" s="51" t="s">
        <v>10762</v>
      </c>
      <c r="O1209" s="29" t="s">
        <v>1466</v>
      </c>
      <c r="P1209" s="29" t="s">
        <v>10763</v>
      </c>
      <c r="Q1209" s="29" t="s">
        <v>1466</v>
      </c>
      <c r="R1209" s="29" t="s">
        <v>2758</v>
      </c>
      <c r="S1209" s="28" t="s">
        <v>1743</v>
      </c>
      <c r="T1209" s="28" t="s">
        <v>2783</v>
      </c>
      <c r="U1209" s="28" t="s">
        <v>1443</v>
      </c>
      <c r="V1209" s="28" t="s">
        <v>1736</v>
      </c>
      <c r="W1209" s="28" t="s">
        <v>10764</v>
      </c>
      <c r="X1209" s="17">
        <v>1</v>
      </c>
      <c r="CJ1209" s="26" t="s">
        <v>1408</v>
      </c>
      <c r="CK1209" s="26" t="s">
        <v>2397</v>
      </c>
      <c r="CL1209" s="26" t="str">
        <f t="shared" si="73"/>
        <v>鳥取県江府町</v>
      </c>
      <c r="CM1209" s="49">
        <v>1204</v>
      </c>
      <c r="CN1209" s="17" t="str">
        <f t="shared" si="72"/>
        <v>1306</v>
      </c>
      <c r="CO1209" s="17" t="str">
        <f t="shared" si="74"/>
        <v>12041306江府町</v>
      </c>
      <c r="CP1209" s="17" t="s">
        <v>10765</v>
      </c>
      <c r="CQ1209" s="17" t="b">
        <f t="shared" si="75"/>
        <v>1</v>
      </c>
    </row>
    <row r="1210" spans="6:95">
      <c r="F1210" s="23"/>
      <c r="I1210" s="23"/>
      <c r="L1210" s="50" t="s">
        <v>10766</v>
      </c>
      <c r="M1210" s="17" t="s">
        <v>10767</v>
      </c>
      <c r="N1210" s="51" t="s">
        <v>10768</v>
      </c>
      <c r="O1210" s="29" t="s">
        <v>1466</v>
      </c>
      <c r="P1210" s="29" t="s">
        <v>10769</v>
      </c>
      <c r="Q1210" s="29" t="s">
        <v>1466</v>
      </c>
      <c r="R1210" s="29" t="s">
        <v>2800</v>
      </c>
      <c r="S1210" s="28" t="s">
        <v>1564</v>
      </c>
      <c r="T1210" s="28" t="s">
        <v>2825</v>
      </c>
      <c r="U1210" s="28" t="s">
        <v>1443</v>
      </c>
      <c r="V1210" s="28" t="s">
        <v>1736</v>
      </c>
      <c r="W1210" s="28" t="s">
        <v>10769</v>
      </c>
      <c r="X1210" s="17">
        <v>1</v>
      </c>
      <c r="CJ1210" s="26" t="s">
        <v>1408</v>
      </c>
      <c r="CK1210" s="26" t="s">
        <v>2451</v>
      </c>
      <c r="CL1210" s="26" t="str">
        <f t="shared" si="73"/>
        <v>鳥取県南部箕蚊屋広域連合</v>
      </c>
      <c r="CM1210" s="49">
        <v>1205</v>
      </c>
      <c r="CN1210" s="17" t="str">
        <f t="shared" si="72"/>
        <v>1307</v>
      </c>
      <c r="CO1210" s="17" t="str">
        <f t="shared" si="74"/>
        <v>12051307南部箕蚊屋広域連合</v>
      </c>
      <c r="CP1210" s="17" t="s">
        <v>10770</v>
      </c>
      <c r="CQ1210" s="17" t="b">
        <f t="shared" si="75"/>
        <v>1</v>
      </c>
    </row>
    <row r="1211" spans="6:95">
      <c r="F1211" s="23"/>
      <c r="I1211" s="23"/>
      <c r="L1211" s="50" t="s">
        <v>10771</v>
      </c>
      <c r="M1211" s="17" t="s">
        <v>10772</v>
      </c>
      <c r="N1211" s="51" t="s">
        <v>10773</v>
      </c>
      <c r="O1211" s="29" t="s">
        <v>1466</v>
      </c>
      <c r="P1211" s="29" t="s">
        <v>10774</v>
      </c>
      <c r="Q1211" s="29" t="s">
        <v>1466</v>
      </c>
      <c r="R1211" s="29" t="s">
        <v>2842</v>
      </c>
      <c r="S1211" s="28" t="s">
        <v>1626</v>
      </c>
      <c r="T1211" s="28" t="s">
        <v>2865</v>
      </c>
      <c r="U1211" s="28" t="s">
        <v>1443</v>
      </c>
      <c r="V1211" s="28" t="s">
        <v>1736</v>
      </c>
      <c r="W1211" s="28" t="s">
        <v>10775</v>
      </c>
      <c r="X1211" s="17">
        <v>1</v>
      </c>
      <c r="CJ1211" s="26" t="s">
        <v>1409</v>
      </c>
      <c r="CK1211" s="26" t="s">
        <v>1535</v>
      </c>
      <c r="CL1211" s="26" t="str">
        <f t="shared" si="73"/>
        <v>島根県松江市</v>
      </c>
      <c r="CM1211" s="49">
        <v>1206</v>
      </c>
      <c r="CN1211" s="17" t="str">
        <f t="shared" si="72"/>
        <v>1311</v>
      </c>
      <c r="CO1211" s="17" t="str">
        <f t="shared" si="74"/>
        <v>12061311松江市</v>
      </c>
      <c r="CP1211" s="17" t="s">
        <v>10776</v>
      </c>
      <c r="CQ1211" s="17" t="b">
        <f t="shared" si="75"/>
        <v>1</v>
      </c>
    </row>
    <row r="1212" spans="6:95">
      <c r="F1212" s="23"/>
      <c r="I1212" s="23"/>
      <c r="L1212" s="50" t="s">
        <v>10777</v>
      </c>
      <c r="M1212" s="17" t="s">
        <v>10778</v>
      </c>
      <c r="N1212" s="51" t="s">
        <v>10779</v>
      </c>
      <c r="O1212" s="29" t="s">
        <v>1466</v>
      </c>
      <c r="P1212" s="29" t="s">
        <v>10780</v>
      </c>
      <c r="Q1212" s="29" t="s">
        <v>1466</v>
      </c>
      <c r="R1212" s="29" t="s">
        <v>4381</v>
      </c>
      <c r="S1212" s="28" t="s">
        <v>1502</v>
      </c>
      <c r="T1212" s="28" t="s">
        <v>2903</v>
      </c>
      <c r="U1212" s="28" t="s">
        <v>1443</v>
      </c>
      <c r="V1212" s="28" t="s">
        <v>1736</v>
      </c>
      <c r="W1212" s="28" t="s">
        <v>10781</v>
      </c>
      <c r="X1212" s="17">
        <v>1</v>
      </c>
      <c r="CJ1212" s="26" t="s">
        <v>1409</v>
      </c>
      <c r="CK1212" s="26" t="s">
        <v>1597</v>
      </c>
      <c r="CL1212" s="26" t="str">
        <f t="shared" si="73"/>
        <v>島根県出雲市</v>
      </c>
      <c r="CM1212" s="49">
        <v>1207</v>
      </c>
      <c r="CN1212" s="17" t="str">
        <f t="shared" si="72"/>
        <v>1312</v>
      </c>
      <c r="CO1212" s="17" t="str">
        <f t="shared" si="74"/>
        <v>12071312出雲市</v>
      </c>
      <c r="CP1212" s="17" t="s">
        <v>10782</v>
      </c>
      <c r="CQ1212" s="17" t="b">
        <f t="shared" si="75"/>
        <v>1</v>
      </c>
    </row>
    <row r="1213" spans="6:95">
      <c r="F1213" s="23"/>
      <c r="I1213" s="23"/>
      <c r="L1213" s="50" t="s">
        <v>10783</v>
      </c>
      <c r="M1213" s="17" t="s">
        <v>10784</v>
      </c>
      <c r="N1213" s="51" t="s">
        <v>10785</v>
      </c>
      <c r="O1213" s="29" t="s">
        <v>1466</v>
      </c>
      <c r="P1213" s="29" t="s">
        <v>10786</v>
      </c>
      <c r="Q1213" s="29" t="s">
        <v>1466</v>
      </c>
      <c r="R1213" s="29" t="s">
        <v>2881</v>
      </c>
      <c r="S1213" s="28" t="s">
        <v>2525</v>
      </c>
      <c r="T1213" s="28" t="s">
        <v>2939</v>
      </c>
      <c r="U1213" s="28" t="s">
        <v>1443</v>
      </c>
      <c r="V1213" s="28" t="s">
        <v>1736</v>
      </c>
      <c r="W1213" s="28" t="s">
        <v>10787</v>
      </c>
      <c r="X1213" s="17">
        <v>1</v>
      </c>
      <c r="CJ1213" s="26" t="s">
        <v>1409</v>
      </c>
      <c r="CK1213" s="26" t="s">
        <v>1659</v>
      </c>
      <c r="CL1213" s="26" t="str">
        <f t="shared" si="73"/>
        <v>島根県益田市</v>
      </c>
      <c r="CM1213" s="49">
        <v>1208</v>
      </c>
      <c r="CN1213" s="17" t="str">
        <f t="shared" si="72"/>
        <v>1313</v>
      </c>
      <c r="CO1213" s="17" t="str">
        <f t="shared" si="74"/>
        <v>12081313益田市</v>
      </c>
      <c r="CP1213" s="17" t="s">
        <v>10788</v>
      </c>
      <c r="CQ1213" s="17" t="b">
        <f t="shared" si="75"/>
        <v>1</v>
      </c>
    </row>
    <row r="1214" spans="6:95">
      <c r="F1214" s="23"/>
      <c r="I1214" s="23"/>
      <c r="L1214" s="50" t="s">
        <v>10789</v>
      </c>
      <c r="M1214" s="17" t="s">
        <v>10790</v>
      </c>
      <c r="N1214" s="51" t="s">
        <v>10791</v>
      </c>
      <c r="O1214" s="29" t="s">
        <v>1466</v>
      </c>
      <c r="P1214" s="29" t="s">
        <v>10792</v>
      </c>
      <c r="Q1214" s="29" t="s">
        <v>1466</v>
      </c>
      <c r="R1214" s="29" t="s">
        <v>2918</v>
      </c>
      <c r="S1214" s="28" t="s">
        <v>2311</v>
      </c>
      <c r="T1214" s="28" t="s">
        <v>2972</v>
      </c>
      <c r="U1214" s="28" t="s">
        <v>1443</v>
      </c>
      <c r="V1214" s="28" t="s">
        <v>1736</v>
      </c>
      <c r="W1214" s="28" t="s">
        <v>10793</v>
      </c>
      <c r="X1214" s="17">
        <v>1</v>
      </c>
      <c r="CJ1214" s="26" t="s">
        <v>1409</v>
      </c>
      <c r="CK1214" s="26" t="s">
        <v>1717</v>
      </c>
      <c r="CL1214" s="26" t="str">
        <f t="shared" si="73"/>
        <v>島根県大田市</v>
      </c>
      <c r="CM1214" s="49">
        <v>1209</v>
      </c>
      <c r="CN1214" s="17" t="str">
        <f t="shared" si="72"/>
        <v>1314</v>
      </c>
      <c r="CO1214" s="17" t="str">
        <f t="shared" si="74"/>
        <v>12091314大田市</v>
      </c>
      <c r="CP1214" s="17" t="s">
        <v>10794</v>
      </c>
      <c r="CQ1214" s="17" t="b">
        <f t="shared" si="75"/>
        <v>1</v>
      </c>
    </row>
    <row r="1215" spans="6:95">
      <c r="F1215" s="23"/>
      <c r="I1215" s="23"/>
      <c r="L1215" s="50" t="s">
        <v>10795</v>
      </c>
      <c r="M1215" s="17" t="s">
        <v>10796</v>
      </c>
      <c r="N1215" s="51" t="s">
        <v>10797</v>
      </c>
      <c r="O1215" s="29" t="s">
        <v>1466</v>
      </c>
      <c r="P1215" s="29" t="s">
        <v>10798</v>
      </c>
      <c r="Q1215" s="29" t="s">
        <v>1466</v>
      </c>
      <c r="R1215" s="29" t="s">
        <v>4653</v>
      </c>
      <c r="S1215" s="28" t="s">
        <v>1862</v>
      </c>
      <c r="T1215" s="28" t="s">
        <v>3006</v>
      </c>
      <c r="U1215" s="28" t="s">
        <v>1443</v>
      </c>
      <c r="V1215" s="28" t="s">
        <v>1736</v>
      </c>
      <c r="W1215" s="28" t="s">
        <v>10799</v>
      </c>
      <c r="X1215" s="17">
        <v>1</v>
      </c>
      <c r="CJ1215" s="26" t="s">
        <v>1409</v>
      </c>
      <c r="CK1215" s="26" t="s">
        <v>1776</v>
      </c>
      <c r="CL1215" s="26" t="str">
        <f t="shared" si="73"/>
        <v>島根県安来市</v>
      </c>
      <c r="CM1215" s="49">
        <v>1210</v>
      </c>
      <c r="CN1215" s="17" t="str">
        <f t="shared" si="72"/>
        <v>1315</v>
      </c>
      <c r="CO1215" s="17" t="str">
        <f t="shared" si="74"/>
        <v>12101315安来市</v>
      </c>
      <c r="CP1215" s="17" t="s">
        <v>10800</v>
      </c>
      <c r="CQ1215" s="17" t="b">
        <f t="shared" si="75"/>
        <v>1</v>
      </c>
    </row>
    <row r="1216" spans="6:95">
      <c r="F1216" s="23"/>
      <c r="I1216" s="23"/>
      <c r="L1216" s="50" t="s">
        <v>10801</v>
      </c>
      <c r="M1216" s="17" t="s">
        <v>10802</v>
      </c>
      <c r="N1216" s="51" t="s">
        <v>10803</v>
      </c>
      <c r="O1216" s="29" t="s">
        <v>1466</v>
      </c>
      <c r="P1216" s="29" t="s">
        <v>10804</v>
      </c>
      <c r="Q1216" s="29" t="s">
        <v>1466</v>
      </c>
      <c r="R1216" s="29" t="s">
        <v>5589</v>
      </c>
      <c r="S1216" s="28" t="s">
        <v>2525</v>
      </c>
      <c r="T1216" s="28" t="s">
        <v>3039</v>
      </c>
      <c r="U1216" s="28" t="s">
        <v>1443</v>
      </c>
      <c r="V1216" s="28" t="s">
        <v>1736</v>
      </c>
      <c r="W1216" s="28" t="s">
        <v>10805</v>
      </c>
      <c r="X1216" s="17">
        <v>1</v>
      </c>
      <c r="CJ1216" s="26" t="s">
        <v>1409</v>
      </c>
      <c r="CK1216" s="26" t="s">
        <v>1836</v>
      </c>
      <c r="CL1216" s="26" t="str">
        <f t="shared" si="73"/>
        <v>島根県津和野町</v>
      </c>
      <c r="CM1216" s="49">
        <v>1211</v>
      </c>
      <c r="CN1216" s="17" t="str">
        <f t="shared" si="72"/>
        <v>1316</v>
      </c>
      <c r="CO1216" s="17" t="str">
        <f t="shared" si="74"/>
        <v>12111316津和野町</v>
      </c>
      <c r="CP1216" s="17" t="s">
        <v>10806</v>
      </c>
      <c r="CQ1216" s="17" t="b">
        <f t="shared" si="75"/>
        <v>1</v>
      </c>
    </row>
    <row r="1217" spans="6:95">
      <c r="F1217" s="23"/>
      <c r="I1217" s="23"/>
      <c r="L1217" s="50" t="s">
        <v>10807</v>
      </c>
      <c r="M1217" s="17" t="s">
        <v>10808</v>
      </c>
      <c r="N1217" s="51" t="s">
        <v>10809</v>
      </c>
      <c r="O1217" s="29" t="s">
        <v>1466</v>
      </c>
      <c r="P1217" s="29" t="s">
        <v>10810</v>
      </c>
      <c r="Q1217" s="29" t="s">
        <v>1466</v>
      </c>
      <c r="R1217" s="29" t="s">
        <v>4716</v>
      </c>
      <c r="S1217" s="28" t="s">
        <v>1803</v>
      </c>
      <c r="T1217" s="28" t="s">
        <v>3070</v>
      </c>
      <c r="U1217" s="28" t="s">
        <v>1443</v>
      </c>
      <c r="V1217" s="28" t="s">
        <v>1736</v>
      </c>
      <c r="W1217" s="28" t="s">
        <v>10811</v>
      </c>
      <c r="X1217" s="17">
        <v>1</v>
      </c>
      <c r="CJ1217" s="26" t="s">
        <v>1409</v>
      </c>
      <c r="CK1217" s="26" t="s">
        <v>1895</v>
      </c>
      <c r="CL1217" s="26" t="str">
        <f t="shared" si="73"/>
        <v>島根県吉賀町</v>
      </c>
      <c r="CM1217" s="49">
        <v>1212</v>
      </c>
      <c r="CN1217" s="17" t="str">
        <f t="shared" si="72"/>
        <v>1317</v>
      </c>
      <c r="CO1217" s="17" t="str">
        <f t="shared" si="74"/>
        <v>12121317吉賀町</v>
      </c>
      <c r="CP1217" s="17" t="s">
        <v>10812</v>
      </c>
      <c r="CQ1217" s="17" t="b">
        <f t="shared" si="75"/>
        <v>1</v>
      </c>
    </row>
    <row r="1218" spans="6:95">
      <c r="F1218" s="23"/>
      <c r="I1218" s="23"/>
      <c r="L1218" s="50" t="s">
        <v>10813</v>
      </c>
      <c r="M1218" s="17" t="s">
        <v>10814</v>
      </c>
      <c r="N1218" s="51" t="s">
        <v>10815</v>
      </c>
      <c r="O1218" s="29" t="s">
        <v>1466</v>
      </c>
      <c r="P1218" s="29" t="s">
        <v>10816</v>
      </c>
      <c r="Q1218" s="29" t="s">
        <v>1466</v>
      </c>
      <c r="R1218" s="29" t="s">
        <v>5614</v>
      </c>
      <c r="S1218" s="28" t="s">
        <v>1862</v>
      </c>
      <c r="T1218" s="28" t="s">
        <v>3099</v>
      </c>
      <c r="U1218" s="28" t="s">
        <v>1443</v>
      </c>
      <c r="V1218" s="28" t="s">
        <v>1736</v>
      </c>
      <c r="W1218" s="28" t="s">
        <v>10817</v>
      </c>
      <c r="X1218" s="17">
        <v>1</v>
      </c>
      <c r="CJ1218" s="26" t="s">
        <v>1409</v>
      </c>
      <c r="CK1218" s="26" t="s">
        <v>1953</v>
      </c>
      <c r="CL1218" s="26" t="str">
        <f t="shared" si="73"/>
        <v>島根県邑智郡総合事務組合</v>
      </c>
      <c r="CM1218" s="49">
        <v>1213</v>
      </c>
      <c r="CN1218" s="17" t="str">
        <f t="shared" si="72"/>
        <v>1318</v>
      </c>
      <c r="CO1218" s="17" t="str">
        <f t="shared" si="74"/>
        <v>12131318邑智郡総合事務組合</v>
      </c>
      <c r="CP1218" s="17" t="s">
        <v>10818</v>
      </c>
      <c r="CQ1218" s="17" t="b">
        <f t="shared" si="75"/>
        <v>1</v>
      </c>
    </row>
    <row r="1219" spans="6:95">
      <c r="F1219" s="23"/>
      <c r="I1219" s="23"/>
      <c r="L1219" s="50" t="s">
        <v>10819</v>
      </c>
      <c r="M1219" s="17" t="s">
        <v>10820</v>
      </c>
      <c r="N1219" s="51" t="s">
        <v>10821</v>
      </c>
      <c r="O1219" s="29" t="s">
        <v>1466</v>
      </c>
      <c r="P1219" s="29" t="s">
        <v>10822</v>
      </c>
      <c r="Q1219" s="29" t="s">
        <v>1466</v>
      </c>
      <c r="R1219" s="29" t="s">
        <v>4812</v>
      </c>
      <c r="S1219" s="28" t="s">
        <v>1803</v>
      </c>
      <c r="T1219" s="28" t="s">
        <v>3129</v>
      </c>
      <c r="U1219" s="28" t="s">
        <v>1443</v>
      </c>
      <c r="V1219" s="28" t="s">
        <v>1736</v>
      </c>
      <c r="W1219" s="28" t="s">
        <v>10823</v>
      </c>
      <c r="X1219" s="17">
        <v>1</v>
      </c>
      <c r="CJ1219" s="26" t="s">
        <v>1409</v>
      </c>
      <c r="CK1219" s="26" t="s">
        <v>2178</v>
      </c>
      <c r="CL1219" s="26" t="str">
        <f t="shared" si="73"/>
        <v>島根県浜田地区広域行政組合</v>
      </c>
      <c r="CM1219" s="49">
        <v>1214</v>
      </c>
      <c r="CN1219" s="17" t="str">
        <f t="shared" si="72"/>
        <v>1322</v>
      </c>
      <c r="CO1219" s="17" t="str">
        <f t="shared" si="74"/>
        <v>12141322浜田地区広域行政組合</v>
      </c>
      <c r="CP1219" s="17" t="s">
        <v>10824</v>
      </c>
      <c r="CQ1219" s="17" t="b">
        <f t="shared" si="75"/>
        <v>1</v>
      </c>
    </row>
    <row r="1220" spans="6:95">
      <c r="F1220" s="23"/>
      <c r="I1220" s="23"/>
      <c r="L1220" s="50" t="s">
        <v>10825</v>
      </c>
      <c r="M1220" s="17" t="s">
        <v>10826</v>
      </c>
      <c r="N1220" s="51" t="s">
        <v>10827</v>
      </c>
      <c r="O1220" s="29" t="s">
        <v>1466</v>
      </c>
      <c r="P1220" s="29" t="s">
        <v>10828</v>
      </c>
      <c r="Q1220" s="29" t="s">
        <v>1466</v>
      </c>
      <c r="R1220" s="29" t="s">
        <v>4818</v>
      </c>
      <c r="S1220" s="28" t="s">
        <v>1862</v>
      </c>
      <c r="T1220" s="28" t="s">
        <v>3160</v>
      </c>
      <c r="U1220" s="28" t="s">
        <v>1443</v>
      </c>
      <c r="V1220" s="28" t="s">
        <v>1736</v>
      </c>
      <c r="W1220" s="28" t="s">
        <v>10829</v>
      </c>
      <c r="X1220" s="17">
        <v>1</v>
      </c>
      <c r="CJ1220" s="26" t="s">
        <v>1409</v>
      </c>
      <c r="CK1220" s="26" t="s">
        <v>2343</v>
      </c>
      <c r="CL1220" s="26" t="str">
        <f t="shared" si="73"/>
        <v>島根県雲南広域連合</v>
      </c>
      <c r="CM1220" s="49">
        <v>1215</v>
      </c>
      <c r="CN1220" s="17" t="str">
        <f t="shared" si="72"/>
        <v>1325</v>
      </c>
      <c r="CO1220" s="17" t="str">
        <f t="shared" si="74"/>
        <v>12151325雲南広域連合</v>
      </c>
      <c r="CP1220" s="17" t="s">
        <v>10830</v>
      </c>
      <c r="CQ1220" s="17" t="b">
        <f t="shared" si="75"/>
        <v>1</v>
      </c>
    </row>
    <row r="1221" spans="6:95">
      <c r="F1221" s="23"/>
      <c r="I1221" s="23"/>
      <c r="L1221" s="50" t="s">
        <v>10831</v>
      </c>
      <c r="M1221" s="17" t="s">
        <v>10832</v>
      </c>
      <c r="N1221" s="51" t="s">
        <v>10833</v>
      </c>
      <c r="O1221" s="29" t="s">
        <v>1466</v>
      </c>
      <c r="P1221" s="29" t="s">
        <v>10834</v>
      </c>
      <c r="Q1221" s="29" t="s">
        <v>1466</v>
      </c>
      <c r="R1221" s="29" t="s">
        <v>4832</v>
      </c>
      <c r="S1221" s="28" t="s">
        <v>2311</v>
      </c>
      <c r="T1221" s="28" t="s">
        <v>3187</v>
      </c>
      <c r="U1221" s="28" t="s">
        <v>1443</v>
      </c>
      <c r="V1221" s="28" t="s">
        <v>1736</v>
      </c>
      <c r="W1221" s="28" t="s">
        <v>10835</v>
      </c>
      <c r="X1221" s="17">
        <v>1</v>
      </c>
      <c r="CJ1221" s="26" t="s">
        <v>1409</v>
      </c>
      <c r="CK1221" s="26" t="s">
        <v>2556</v>
      </c>
      <c r="CL1221" s="26" t="str">
        <f t="shared" si="73"/>
        <v>島根県隠岐広域連合</v>
      </c>
      <c r="CM1221" s="49">
        <v>1216</v>
      </c>
      <c r="CN1221" s="17" t="str">
        <f t="shared" si="72"/>
        <v>1329</v>
      </c>
      <c r="CO1221" s="17" t="str">
        <f t="shared" si="74"/>
        <v>12161329隠岐広域連合</v>
      </c>
      <c r="CP1221" s="17" t="s">
        <v>10836</v>
      </c>
      <c r="CQ1221" s="17" t="b">
        <f t="shared" si="75"/>
        <v>1</v>
      </c>
    </row>
    <row r="1222" spans="6:95">
      <c r="F1222" s="23"/>
      <c r="I1222" s="23"/>
      <c r="L1222" s="50" t="s">
        <v>10837</v>
      </c>
      <c r="M1222" s="17" t="s">
        <v>10838</v>
      </c>
      <c r="N1222" s="51" t="s">
        <v>10839</v>
      </c>
      <c r="O1222" s="29" t="s">
        <v>1466</v>
      </c>
      <c r="P1222" s="29" t="s">
        <v>10840</v>
      </c>
      <c r="Q1222" s="29" t="s">
        <v>1466</v>
      </c>
      <c r="R1222" s="29" t="s">
        <v>3732</v>
      </c>
      <c r="S1222" s="28" t="s">
        <v>1977</v>
      </c>
      <c r="T1222" s="28" t="s">
        <v>3212</v>
      </c>
      <c r="U1222" s="28" t="s">
        <v>1443</v>
      </c>
      <c r="V1222" s="28" t="s">
        <v>1736</v>
      </c>
      <c r="W1222" s="28" t="s">
        <v>10841</v>
      </c>
      <c r="X1222" s="17">
        <v>1</v>
      </c>
      <c r="CJ1222" s="26" t="s">
        <v>1410</v>
      </c>
      <c r="CK1222" s="26" t="s">
        <v>1536</v>
      </c>
      <c r="CL1222" s="26" t="str">
        <f t="shared" si="73"/>
        <v>岡山県岡山市</v>
      </c>
      <c r="CM1222" s="49">
        <v>1217</v>
      </c>
      <c r="CN1222" s="17" t="str">
        <f t="shared" ref="CN1222:CN1285" si="76">VLOOKUP(CL1222,$M$6:$N$1784,2,FALSE)</f>
        <v>1334</v>
      </c>
      <c r="CO1222" s="17" t="str">
        <f t="shared" si="74"/>
        <v>12171334岡山市</v>
      </c>
      <c r="CP1222" s="17" t="s">
        <v>10842</v>
      </c>
      <c r="CQ1222" s="17" t="b">
        <f t="shared" si="75"/>
        <v>1</v>
      </c>
    </row>
    <row r="1223" spans="6:95">
      <c r="F1223" s="23"/>
      <c r="I1223" s="23"/>
      <c r="L1223" s="50" t="s">
        <v>10843</v>
      </c>
      <c r="M1223" s="17" t="s">
        <v>10844</v>
      </c>
      <c r="N1223" s="51" t="s">
        <v>10845</v>
      </c>
      <c r="O1223" s="29" t="s">
        <v>1466</v>
      </c>
      <c r="P1223" s="29" t="s">
        <v>10846</v>
      </c>
      <c r="Q1223" s="29" t="s">
        <v>1466</v>
      </c>
      <c r="R1223" s="29" t="s">
        <v>3786</v>
      </c>
      <c r="S1223" s="28" t="s">
        <v>1862</v>
      </c>
      <c r="T1223" s="28" t="s">
        <v>3235</v>
      </c>
      <c r="U1223" s="28" t="s">
        <v>1443</v>
      </c>
      <c r="V1223" s="28" t="s">
        <v>1736</v>
      </c>
      <c r="W1223" s="28" t="s">
        <v>10847</v>
      </c>
      <c r="X1223" s="17">
        <v>1</v>
      </c>
      <c r="CJ1223" s="26" t="s">
        <v>1410</v>
      </c>
      <c r="CK1223" s="26" t="s">
        <v>1598</v>
      </c>
      <c r="CL1223" s="26" t="str">
        <f t="shared" si="73"/>
        <v>岡山県倉敷市</v>
      </c>
      <c r="CM1223" s="49">
        <v>1218</v>
      </c>
      <c r="CN1223" s="17" t="str">
        <f t="shared" si="76"/>
        <v>1335</v>
      </c>
      <c r="CO1223" s="17" t="str">
        <f t="shared" si="74"/>
        <v>12181335倉敷市</v>
      </c>
      <c r="CP1223" s="17" t="s">
        <v>10848</v>
      </c>
      <c r="CQ1223" s="17" t="b">
        <f t="shared" si="75"/>
        <v>1</v>
      </c>
    </row>
    <row r="1224" spans="6:95">
      <c r="F1224" s="23"/>
      <c r="I1224" s="23"/>
      <c r="L1224" s="50" t="s">
        <v>10849</v>
      </c>
      <c r="M1224" s="17" t="s">
        <v>10850</v>
      </c>
      <c r="N1224" s="51" t="s">
        <v>10851</v>
      </c>
      <c r="O1224" s="29" t="s">
        <v>1466</v>
      </c>
      <c r="P1224" s="29" t="s">
        <v>10852</v>
      </c>
      <c r="Q1224" s="29" t="s">
        <v>1466</v>
      </c>
      <c r="R1224" s="29" t="s">
        <v>4984</v>
      </c>
      <c r="S1224" s="28" t="s">
        <v>2525</v>
      </c>
      <c r="T1224" s="28" t="s">
        <v>3259</v>
      </c>
      <c r="U1224" s="28" t="s">
        <v>1443</v>
      </c>
      <c r="V1224" s="28" t="s">
        <v>1736</v>
      </c>
      <c r="W1224" s="28" t="s">
        <v>10853</v>
      </c>
      <c r="X1224" s="17">
        <v>1</v>
      </c>
      <c r="CJ1224" s="26" t="s">
        <v>1410</v>
      </c>
      <c r="CK1224" s="26" t="s">
        <v>1660</v>
      </c>
      <c r="CL1224" s="26" t="str">
        <f t="shared" ref="CL1224:CL1287" si="77">CJ1224&amp;CK1224</f>
        <v>岡山県津山市</v>
      </c>
      <c r="CM1224" s="49">
        <v>1219</v>
      </c>
      <c r="CN1224" s="17" t="str">
        <f t="shared" si="76"/>
        <v>1336</v>
      </c>
      <c r="CO1224" s="17" t="str">
        <f t="shared" ref="CO1224:CO1287" si="78">CM1224&amp;TEXT(CN1224,0)&amp;CK1224</f>
        <v>12191336津山市</v>
      </c>
      <c r="CP1224" s="17" t="s">
        <v>10854</v>
      </c>
      <c r="CQ1224" s="17" t="b">
        <f t="shared" ref="CQ1224:CQ1287" si="79">CO1224=CP1224</f>
        <v>1</v>
      </c>
    </row>
    <row r="1225" spans="6:95">
      <c r="F1225" s="23"/>
      <c r="I1225" s="23"/>
      <c r="L1225" s="50" t="s">
        <v>10855</v>
      </c>
      <c r="M1225" s="17" t="s">
        <v>10856</v>
      </c>
      <c r="N1225" s="51" t="s">
        <v>10857</v>
      </c>
      <c r="O1225" s="29" t="s">
        <v>1466</v>
      </c>
      <c r="P1225" s="29" t="s">
        <v>10858</v>
      </c>
      <c r="Q1225" s="29" t="s">
        <v>1466</v>
      </c>
      <c r="R1225" s="29" t="s">
        <v>4066</v>
      </c>
      <c r="S1225" s="28" t="s">
        <v>1920</v>
      </c>
      <c r="T1225" s="28" t="s">
        <v>3283</v>
      </c>
      <c r="U1225" s="28" t="s">
        <v>1443</v>
      </c>
      <c r="V1225" s="28" t="s">
        <v>1736</v>
      </c>
      <c r="W1225" s="28" t="s">
        <v>10859</v>
      </c>
      <c r="X1225" s="17">
        <v>1</v>
      </c>
      <c r="CJ1225" s="26" t="s">
        <v>1410</v>
      </c>
      <c r="CK1225" s="26" t="s">
        <v>1718</v>
      </c>
      <c r="CL1225" s="26" t="str">
        <f t="shared" si="77"/>
        <v>岡山県玉野市</v>
      </c>
      <c r="CM1225" s="49">
        <v>1220</v>
      </c>
      <c r="CN1225" s="17" t="str">
        <f t="shared" si="76"/>
        <v>1337</v>
      </c>
      <c r="CO1225" s="17" t="str">
        <f t="shared" si="78"/>
        <v>12201337玉野市</v>
      </c>
      <c r="CP1225" s="17" t="s">
        <v>10860</v>
      </c>
      <c r="CQ1225" s="17" t="b">
        <f t="shared" si="79"/>
        <v>1</v>
      </c>
    </row>
    <row r="1226" spans="6:95">
      <c r="F1226" s="23"/>
      <c r="I1226" s="23"/>
      <c r="L1226" s="50" t="s">
        <v>10861</v>
      </c>
      <c r="M1226" s="17" t="s">
        <v>10862</v>
      </c>
      <c r="N1226" s="51" t="s">
        <v>10863</v>
      </c>
      <c r="O1226" s="29" t="s">
        <v>1466</v>
      </c>
      <c r="P1226" s="29" t="s">
        <v>10864</v>
      </c>
      <c r="Q1226" s="29" t="s">
        <v>1466</v>
      </c>
      <c r="R1226" s="29" t="s">
        <v>4074</v>
      </c>
      <c r="S1226" s="28" t="s">
        <v>1977</v>
      </c>
      <c r="T1226" s="28" t="s">
        <v>3305</v>
      </c>
      <c r="U1226" s="28" t="s">
        <v>1443</v>
      </c>
      <c r="V1226" s="28" t="s">
        <v>1736</v>
      </c>
      <c r="W1226" s="28" t="s">
        <v>10865</v>
      </c>
      <c r="X1226" s="17">
        <v>1</v>
      </c>
      <c r="CJ1226" s="26" t="s">
        <v>1410</v>
      </c>
      <c r="CK1226" s="26" t="s">
        <v>1777</v>
      </c>
      <c r="CL1226" s="26" t="str">
        <f t="shared" si="77"/>
        <v>岡山県笠岡市</v>
      </c>
      <c r="CM1226" s="49">
        <v>1221</v>
      </c>
      <c r="CN1226" s="17" t="str">
        <f t="shared" si="76"/>
        <v>1338</v>
      </c>
      <c r="CO1226" s="17" t="str">
        <f t="shared" si="78"/>
        <v>12211338笠岡市</v>
      </c>
      <c r="CP1226" s="17" t="s">
        <v>10866</v>
      </c>
      <c r="CQ1226" s="17" t="b">
        <f t="shared" si="79"/>
        <v>1</v>
      </c>
    </row>
    <row r="1227" spans="6:95">
      <c r="F1227" s="23"/>
      <c r="I1227" s="23"/>
      <c r="L1227" s="50" t="s">
        <v>10867</v>
      </c>
      <c r="M1227" s="17" t="s">
        <v>10868</v>
      </c>
      <c r="N1227" s="51" t="s">
        <v>10869</v>
      </c>
      <c r="O1227" s="29" t="s">
        <v>1467</v>
      </c>
      <c r="P1227" s="29" t="s">
        <v>10870</v>
      </c>
      <c r="Q1227" s="29" t="s">
        <v>1467</v>
      </c>
      <c r="R1227" s="29" t="s">
        <v>4593</v>
      </c>
      <c r="S1227" s="28" t="s">
        <v>1564</v>
      </c>
      <c r="T1227" s="28" t="s">
        <v>1532</v>
      </c>
      <c r="U1227" s="28" t="s">
        <v>1443</v>
      </c>
      <c r="V1227" s="28" t="s">
        <v>1736</v>
      </c>
      <c r="W1227" s="28" t="s">
        <v>10871</v>
      </c>
      <c r="X1227" s="17">
        <v>1</v>
      </c>
      <c r="CJ1227" s="26" t="s">
        <v>1410</v>
      </c>
      <c r="CK1227" s="26" t="s">
        <v>1837</v>
      </c>
      <c r="CL1227" s="26" t="str">
        <f t="shared" si="77"/>
        <v>岡山県井原市</v>
      </c>
      <c r="CM1227" s="49">
        <v>1222</v>
      </c>
      <c r="CN1227" s="17" t="str">
        <f t="shared" si="76"/>
        <v>1339</v>
      </c>
      <c r="CO1227" s="17" t="str">
        <f t="shared" si="78"/>
        <v>12221339井原市</v>
      </c>
      <c r="CP1227" s="17" t="s">
        <v>10872</v>
      </c>
      <c r="CQ1227" s="17" t="b">
        <f t="shared" si="79"/>
        <v>1</v>
      </c>
    </row>
    <row r="1228" spans="6:95">
      <c r="F1228" s="23"/>
      <c r="I1228" s="23"/>
      <c r="L1228" s="50" t="s">
        <v>10873</v>
      </c>
      <c r="M1228" s="17" t="s">
        <v>10874</v>
      </c>
      <c r="N1228" s="51" t="s">
        <v>10875</v>
      </c>
      <c r="O1228" s="29" t="s">
        <v>1467</v>
      </c>
      <c r="P1228" s="29" t="s">
        <v>10876</v>
      </c>
      <c r="Q1228" s="29" t="s">
        <v>1467</v>
      </c>
      <c r="R1228" s="29" t="s">
        <v>1563</v>
      </c>
      <c r="S1228" s="28" t="s">
        <v>1626</v>
      </c>
      <c r="T1228" s="28" t="s">
        <v>1594</v>
      </c>
      <c r="U1228" s="28" t="s">
        <v>1443</v>
      </c>
      <c r="V1228" s="28" t="s">
        <v>1736</v>
      </c>
      <c r="W1228" s="28" t="s">
        <v>10877</v>
      </c>
      <c r="X1228" s="17">
        <v>1</v>
      </c>
      <c r="CJ1228" s="26" t="s">
        <v>1410</v>
      </c>
      <c r="CK1228" s="26" t="s">
        <v>1896</v>
      </c>
      <c r="CL1228" s="26" t="str">
        <f t="shared" si="77"/>
        <v>岡山県総社市</v>
      </c>
      <c r="CM1228" s="49">
        <v>1223</v>
      </c>
      <c r="CN1228" s="17" t="str">
        <f t="shared" si="76"/>
        <v>1340</v>
      </c>
      <c r="CO1228" s="17" t="str">
        <f t="shared" si="78"/>
        <v>12231340総社市</v>
      </c>
      <c r="CP1228" s="17" t="s">
        <v>10878</v>
      </c>
      <c r="CQ1228" s="17" t="b">
        <f t="shared" si="79"/>
        <v>1</v>
      </c>
    </row>
    <row r="1229" spans="6:95">
      <c r="F1229" s="23"/>
      <c r="I1229" s="23"/>
      <c r="L1229" s="50" t="s">
        <v>10879</v>
      </c>
      <c r="M1229" s="17" t="s">
        <v>10880</v>
      </c>
      <c r="N1229" s="51" t="s">
        <v>10881</v>
      </c>
      <c r="O1229" s="29" t="s">
        <v>1467</v>
      </c>
      <c r="P1229" s="29" t="s">
        <v>10882</v>
      </c>
      <c r="Q1229" s="29" t="s">
        <v>1467</v>
      </c>
      <c r="R1229" s="29" t="s">
        <v>1625</v>
      </c>
      <c r="S1229" s="28" t="s">
        <v>1502</v>
      </c>
      <c r="T1229" s="28" t="s">
        <v>1656</v>
      </c>
      <c r="U1229" s="28" t="s">
        <v>1443</v>
      </c>
      <c r="V1229" s="28" t="s">
        <v>1736</v>
      </c>
      <c r="W1229" s="28" t="s">
        <v>10883</v>
      </c>
      <c r="X1229" s="17">
        <v>1</v>
      </c>
      <c r="CJ1229" s="26" t="s">
        <v>1410</v>
      </c>
      <c r="CK1229" s="26" t="s">
        <v>1954</v>
      </c>
      <c r="CL1229" s="26" t="str">
        <f t="shared" si="77"/>
        <v>岡山県高梁市</v>
      </c>
      <c r="CM1229" s="49">
        <v>1224</v>
      </c>
      <c r="CN1229" s="17" t="str">
        <f t="shared" si="76"/>
        <v>1341</v>
      </c>
      <c r="CO1229" s="17" t="str">
        <f t="shared" si="78"/>
        <v>12241341高梁市</v>
      </c>
      <c r="CP1229" s="17" t="s">
        <v>10884</v>
      </c>
      <c r="CQ1229" s="17" t="b">
        <f t="shared" si="79"/>
        <v>1</v>
      </c>
    </row>
    <row r="1230" spans="6:95">
      <c r="F1230" s="23"/>
      <c r="I1230" s="23"/>
      <c r="L1230" s="50" t="s">
        <v>10885</v>
      </c>
      <c r="M1230" s="17" t="s">
        <v>10886</v>
      </c>
      <c r="N1230" s="51" t="s">
        <v>10887</v>
      </c>
      <c r="O1230" s="29" t="s">
        <v>1467</v>
      </c>
      <c r="P1230" s="29" t="s">
        <v>10888</v>
      </c>
      <c r="Q1230" s="29" t="s">
        <v>1467</v>
      </c>
      <c r="R1230" s="29" t="s">
        <v>1684</v>
      </c>
      <c r="S1230" s="28" t="s">
        <v>2525</v>
      </c>
      <c r="T1230" s="28" t="s">
        <v>1714</v>
      </c>
      <c r="U1230" s="28" t="s">
        <v>1443</v>
      </c>
      <c r="V1230" s="28" t="s">
        <v>1736</v>
      </c>
      <c r="W1230" s="28" t="s">
        <v>10889</v>
      </c>
      <c r="X1230" s="17">
        <v>1</v>
      </c>
      <c r="CJ1230" s="26" t="s">
        <v>1410</v>
      </c>
      <c r="CK1230" s="26" t="s">
        <v>2011</v>
      </c>
      <c r="CL1230" s="26" t="str">
        <f t="shared" si="77"/>
        <v>岡山県新見市</v>
      </c>
      <c r="CM1230" s="49">
        <v>1225</v>
      </c>
      <c r="CN1230" s="17" t="str">
        <f t="shared" si="76"/>
        <v>1342</v>
      </c>
      <c r="CO1230" s="17" t="str">
        <f t="shared" si="78"/>
        <v>12251342新見市</v>
      </c>
      <c r="CP1230" s="17" t="s">
        <v>10890</v>
      </c>
      <c r="CQ1230" s="17" t="b">
        <f t="shared" si="79"/>
        <v>1</v>
      </c>
    </row>
    <row r="1231" spans="6:95">
      <c r="F1231" s="23"/>
      <c r="I1231" s="23"/>
      <c r="L1231" s="50" t="s">
        <v>10891</v>
      </c>
      <c r="M1231" s="17" t="s">
        <v>10892</v>
      </c>
      <c r="N1231" s="51" t="s">
        <v>10893</v>
      </c>
      <c r="O1231" s="29" t="s">
        <v>1467</v>
      </c>
      <c r="P1231" s="29" t="s">
        <v>10894</v>
      </c>
      <c r="Q1231" s="29" t="s">
        <v>1467</v>
      </c>
      <c r="R1231" s="29" t="s">
        <v>1742</v>
      </c>
      <c r="S1231" s="28" t="s">
        <v>1803</v>
      </c>
      <c r="T1231" s="28" t="s">
        <v>1773</v>
      </c>
      <c r="U1231" s="28" t="s">
        <v>1443</v>
      </c>
      <c r="V1231" s="28" t="s">
        <v>1736</v>
      </c>
      <c r="W1231" s="28" t="s">
        <v>10894</v>
      </c>
      <c r="X1231" s="17">
        <v>1</v>
      </c>
      <c r="CJ1231" s="26" t="s">
        <v>1410</v>
      </c>
      <c r="CK1231" s="26" t="s">
        <v>2067</v>
      </c>
      <c r="CL1231" s="26" t="str">
        <f t="shared" si="77"/>
        <v>岡山県備前市</v>
      </c>
      <c r="CM1231" s="49">
        <v>1226</v>
      </c>
      <c r="CN1231" s="17" t="str">
        <f t="shared" si="76"/>
        <v>1343</v>
      </c>
      <c r="CO1231" s="17" t="str">
        <f t="shared" si="78"/>
        <v>12261343備前市</v>
      </c>
      <c r="CP1231" s="17" t="s">
        <v>10895</v>
      </c>
      <c r="CQ1231" s="17" t="b">
        <f t="shared" si="79"/>
        <v>1</v>
      </c>
    </row>
    <row r="1232" spans="6:95">
      <c r="F1232" s="23"/>
      <c r="I1232" s="23"/>
      <c r="L1232" s="50" t="s">
        <v>10896</v>
      </c>
      <c r="M1232" s="17" t="s">
        <v>10897</v>
      </c>
      <c r="N1232" s="51" t="s">
        <v>10898</v>
      </c>
      <c r="O1232" s="29" t="s">
        <v>1467</v>
      </c>
      <c r="P1232" s="29" t="s">
        <v>10899</v>
      </c>
      <c r="Q1232" s="29" t="s">
        <v>1467</v>
      </c>
      <c r="R1232" s="29" t="s">
        <v>1802</v>
      </c>
      <c r="S1232" s="28" t="s">
        <v>1862</v>
      </c>
      <c r="T1232" s="28" t="s">
        <v>1833</v>
      </c>
      <c r="U1232" s="28" t="s">
        <v>1443</v>
      </c>
      <c r="V1232" s="28" t="s">
        <v>1736</v>
      </c>
      <c r="W1232" s="28" t="s">
        <v>10900</v>
      </c>
      <c r="X1232" s="17">
        <v>1</v>
      </c>
      <c r="CJ1232" s="26" t="s">
        <v>1410</v>
      </c>
      <c r="CK1232" s="26" t="s">
        <v>2123</v>
      </c>
      <c r="CL1232" s="26" t="str">
        <f t="shared" si="77"/>
        <v>岡山県瀬戸内市</v>
      </c>
      <c r="CM1232" s="49">
        <v>1227</v>
      </c>
      <c r="CN1232" s="17" t="str">
        <f t="shared" si="76"/>
        <v>1344</v>
      </c>
      <c r="CO1232" s="17" t="str">
        <f t="shared" si="78"/>
        <v>12271344瀬戸内市</v>
      </c>
      <c r="CP1232" s="17" t="s">
        <v>10901</v>
      </c>
      <c r="CQ1232" s="17" t="b">
        <f t="shared" si="79"/>
        <v>1</v>
      </c>
    </row>
    <row r="1233" spans="6:95">
      <c r="F1233" s="23"/>
      <c r="I1233" s="23"/>
      <c r="L1233" s="50" t="s">
        <v>10902</v>
      </c>
      <c r="M1233" s="17" t="s">
        <v>10903</v>
      </c>
      <c r="N1233" s="51" t="s">
        <v>10904</v>
      </c>
      <c r="O1233" s="29" t="s">
        <v>1467</v>
      </c>
      <c r="P1233" s="29" t="s">
        <v>10905</v>
      </c>
      <c r="Q1233" s="29" t="s">
        <v>1467</v>
      </c>
      <c r="R1233" s="29" t="s">
        <v>1861</v>
      </c>
      <c r="S1233" s="28" t="s">
        <v>1920</v>
      </c>
      <c r="T1233" s="28" t="s">
        <v>1892</v>
      </c>
      <c r="U1233" s="28" t="s">
        <v>1443</v>
      </c>
      <c r="V1233" s="28" t="s">
        <v>1736</v>
      </c>
      <c r="W1233" s="28" t="s">
        <v>10906</v>
      </c>
      <c r="X1233" s="17">
        <v>1</v>
      </c>
      <c r="CJ1233" s="26" t="s">
        <v>1410</v>
      </c>
      <c r="CK1233" s="26" t="s">
        <v>2179</v>
      </c>
      <c r="CL1233" s="26" t="str">
        <f t="shared" si="77"/>
        <v>岡山県赤磐市</v>
      </c>
      <c r="CM1233" s="49">
        <v>1228</v>
      </c>
      <c r="CN1233" s="17" t="str">
        <f t="shared" si="76"/>
        <v>1345</v>
      </c>
      <c r="CO1233" s="17" t="str">
        <f t="shared" si="78"/>
        <v>12281345赤磐市</v>
      </c>
      <c r="CP1233" s="17" t="s">
        <v>10907</v>
      </c>
      <c r="CQ1233" s="17" t="b">
        <f t="shared" si="79"/>
        <v>1</v>
      </c>
    </row>
    <row r="1234" spans="6:95">
      <c r="F1234" s="23"/>
      <c r="I1234" s="23"/>
      <c r="L1234" s="50" t="s">
        <v>10908</v>
      </c>
      <c r="M1234" s="17" t="s">
        <v>10909</v>
      </c>
      <c r="N1234" s="51" t="s">
        <v>10910</v>
      </c>
      <c r="O1234" s="29" t="s">
        <v>1467</v>
      </c>
      <c r="P1234" s="29" t="s">
        <v>10911</v>
      </c>
      <c r="Q1234" s="29" t="s">
        <v>1467</v>
      </c>
      <c r="R1234" s="29" t="s">
        <v>1919</v>
      </c>
      <c r="S1234" s="28" t="s">
        <v>1977</v>
      </c>
      <c r="T1234" s="28" t="s">
        <v>1950</v>
      </c>
      <c r="U1234" s="28" t="s">
        <v>1443</v>
      </c>
      <c r="V1234" s="28" t="s">
        <v>1736</v>
      </c>
      <c r="W1234" s="28" t="s">
        <v>10912</v>
      </c>
      <c r="X1234" s="17">
        <v>1</v>
      </c>
      <c r="CJ1234" s="26" t="s">
        <v>1410</v>
      </c>
      <c r="CK1234" s="26" t="s">
        <v>2234</v>
      </c>
      <c r="CL1234" s="26" t="str">
        <f t="shared" si="77"/>
        <v>岡山県真庭市</v>
      </c>
      <c r="CM1234" s="49">
        <v>1229</v>
      </c>
      <c r="CN1234" s="17" t="str">
        <f t="shared" si="76"/>
        <v>1346</v>
      </c>
      <c r="CO1234" s="17" t="str">
        <f t="shared" si="78"/>
        <v>12291346真庭市</v>
      </c>
      <c r="CP1234" s="17" t="s">
        <v>10913</v>
      </c>
      <c r="CQ1234" s="17" t="b">
        <f t="shared" si="79"/>
        <v>1</v>
      </c>
    </row>
    <row r="1235" spans="6:95">
      <c r="F1235" s="23"/>
      <c r="I1235" s="23"/>
      <c r="L1235" s="50" t="s">
        <v>10914</v>
      </c>
      <c r="M1235" s="17" t="s">
        <v>10915</v>
      </c>
      <c r="N1235" s="51" t="s">
        <v>10916</v>
      </c>
      <c r="O1235" s="29" t="s">
        <v>1467</v>
      </c>
      <c r="P1235" s="29" t="s">
        <v>10917</v>
      </c>
      <c r="Q1235" s="29" t="s">
        <v>1467</v>
      </c>
      <c r="R1235" s="29" t="s">
        <v>1976</v>
      </c>
      <c r="S1235" s="28" t="s">
        <v>1743</v>
      </c>
      <c r="T1235" s="28" t="s">
        <v>2007</v>
      </c>
      <c r="U1235" s="28" t="s">
        <v>1443</v>
      </c>
      <c r="V1235" s="28" t="s">
        <v>1736</v>
      </c>
      <c r="W1235" s="28" t="s">
        <v>10918</v>
      </c>
      <c r="X1235" s="17">
        <v>1</v>
      </c>
      <c r="CJ1235" s="26" t="s">
        <v>1410</v>
      </c>
      <c r="CK1235" s="26" t="s">
        <v>2289</v>
      </c>
      <c r="CL1235" s="26" t="str">
        <f t="shared" si="77"/>
        <v>岡山県美作市</v>
      </c>
      <c r="CM1235" s="49">
        <v>1230</v>
      </c>
      <c r="CN1235" s="17" t="str">
        <f t="shared" si="76"/>
        <v>1347</v>
      </c>
      <c r="CO1235" s="17" t="str">
        <f t="shared" si="78"/>
        <v>12301347美作市</v>
      </c>
      <c r="CP1235" s="17" t="s">
        <v>10919</v>
      </c>
      <c r="CQ1235" s="17" t="b">
        <f t="shared" si="79"/>
        <v>1</v>
      </c>
    </row>
    <row r="1236" spans="6:95">
      <c r="F1236" s="23"/>
      <c r="I1236" s="23"/>
      <c r="L1236" s="50" t="s">
        <v>10920</v>
      </c>
      <c r="M1236" s="17" t="s">
        <v>10921</v>
      </c>
      <c r="N1236" s="51" t="s">
        <v>10922</v>
      </c>
      <c r="O1236" s="29" t="s">
        <v>1467</v>
      </c>
      <c r="P1236" s="29" t="s">
        <v>10923</v>
      </c>
      <c r="Q1236" s="29" t="s">
        <v>1467</v>
      </c>
      <c r="R1236" s="29" t="s">
        <v>2033</v>
      </c>
      <c r="S1236" s="28" t="s">
        <v>1803</v>
      </c>
      <c r="T1236" s="28" t="s">
        <v>2063</v>
      </c>
      <c r="U1236" s="28" t="s">
        <v>1443</v>
      </c>
      <c r="V1236" s="28" t="s">
        <v>1736</v>
      </c>
      <c r="W1236" s="28" t="s">
        <v>10924</v>
      </c>
      <c r="X1236" s="17">
        <v>1</v>
      </c>
      <c r="CJ1236" s="26" t="s">
        <v>1410</v>
      </c>
      <c r="CK1236" s="26" t="s">
        <v>2344</v>
      </c>
      <c r="CL1236" s="26" t="str">
        <f t="shared" si="77"/>
        <v>岡山県浅口市</v>
      </c>
      <c r="CM1236" s="49">
        <v>1231</v>
      </c>
      <c r="CN1236" s="17" t="str">
        <f t="shared" si="76"/>
        <v>1348</v>
      </c>
      <c r="CO1236" s="17" t="str">
        <f t="shared" si="78"/>
        <v>12311348浅口市</v>
      </c>
      <c r="CP1236" s="17" t="s">
        <v>10925</v>
      </c>
      <c r="CQ1236" s="17" t="b">
        <f t="shared" si="79"/>
        <v>1</v>
      </c>
    </row>
    <row r="1237" spans="6:95">
      <c r="F1237" s="23"/>
      <c r="I1237" s="23"/>
      <c r="L1237" s="50" t="s">
        <v>10926</v>
      </c>
      <c r="M1237" s="17" t="s">
        <v>10927</v>
      </c>
      <c r="N1237" s="51" t="s">
        <v>10928</v>
      </c>
      <c r="O1237" s="29" t="s">
        <v>1467</v>
      </c>
      <c r="P1237" s="29" t="s">
        <v>10929</v>
      </c>
      <c r="Q1237" s="29" t="s">
        <v>1467</v>
      </c>
      <c r="R1237" s="29" t="s">
        <v>2089</v>
      </c>
      <c r="S1237" s="28" t="s">
        <v>1862</v>
      </c>
      <c r="T1237" s="28" t="s">
        <v>2119</v>
      </c>
      <c r="U1237" s="28" t="s">
        <v>1443</v>
      </c>
      <c r="V1237" s="28" t="s">
        <v>1736</v>
      </c>
      <c r="W1237" s="28" t="s">
        <v>10930</v>
      </c>
      <c r="X1237" s="17">
        <v>1</v>
      </c>
      <c r="CJ1237" s="26" t="s">
        <v>1410</v>
      </c>
      <c r="CK1237" s="26" t="s">
        <v>2399</v>
      </c>
      <c r="CL1237" s="26" t="str">
        <f t="shared" si="77"/>
        <v>岡山県和気町</v>
      </c>
      <c r="CM1237" s="49">
        <v>1232</v>
      </c>
      <c r="CN1237" s="17" t="str">
        <f t="shared" si="76"/>
        <v>1349</v>
      </c>
      <c r="CO1237" s="17" t="str">
        <f t="shared" si="78"/>
        <v>12321349和気町</v>
      </c>
      <c r="CP1237" s="17" t="s">
        <v>10931</v>
      </c>
      <c r="CQ1237" s="17" t="b">
        <f t="shared" si="79"/>
        <v>1</v>
      </c>
    </row>
    <row r="1238" spans="6:95">
      <c r="F1238" s="23"/>
      <c r="I1238" s="23"/>
      <c r="L1238" s="50" t="s">
        <v>10932</v>
      </c>
      <c r="M1238" s="17" t="s">
        <v>10933</v>
      </c>
      <c r="N1238" s="51" t="s">
        <v>10934</v>
      </c>
      <c r="O1238" s="29" t="s">
        <v>1467</v>
      </c>
      <c r="P1238" s="29" t="s">
        <v>10935</v>
      </c>
      <c r="Q1238" s="29" t="s">
        <v>1467</v>
      </c>
      <c r="R1238" s="29" t="s">
        <v>2145</v>
      </c>
      <c r="S1238" s="28" t="s">
        <v>1920</v>
      </c>
      <c r="T1238" s="28" t="s">
        <v>2175</v>
      </c>
      <c r="U1238" s="28" t="s">
        <v>1443</v>
      </c>
      <c r="V1238" s="28" t="s">
        <v>1736</v>
      </c>
      <c r="W1238" s="28" t="s">
        <v>10936</v>
      </c>
      <c r="X1238" s="17">
        <v>1</v>
      </c>
      <c r="CJ1238" s="26" t="s">
        <v>1410</v>
      </c>
      <c r="CK1238" s="26" t="s">
        <v>2453</v>
      </c>
      <c r="CL1238" s="26" t="str">
        <f t="shared" si="77"/>
        <v>岡山県早島町</v>
      </c>
      <c r="CM1238" s="49">
        <v>1233</v>
      </c>
      <c r="CN1238" s="17" t="str">
        <f t="shared" si="76"/>
        <v>1350</v>
      </c>
      <c r="CO1238" s="17" t="str">
        <f t="shared" si="78"/>
        <v>12331350早島町</v>
      </c>
      <c r="CP1238" s="17" t="s">
        <v>10937</v>
      </c>
      <c r="CQ1238" s="17" t="b">
        <f t="shared" si="79"/>
        <v>1</v>
      </c>
    </row>
    <row r="1239" spans="6:95">
      <c r="F1239" s="23"/>
      <c r="I1239" s="23"/>
      <c r="L1239" s="50" t="s">
        <v>10938</v>
      </c>
      <c r="M1239" s="17" t="s">
        <v>10939</v>
      </c>
      <c r="N1239" s="51" t="s">
        <v>10940</v>
      </c>
      <c r="O1239" s="29" t="s">
        <v>1467</v>
      </c>
      <c r="P1239" s="29" t="s">
        <v>10941</v>
      </c>
      <c r="Q1239" s="29" t="s">
        <v>1467</v>
      </c>
      <c r="R1239" s="29" t="s">
        <v>4918</v>
      </c>
      <c r="S1239" s="28" t="s">
        <v>2525</v>
      </c>
      <c r="T1239" s="28" t="s">
        <v>2230</v>
      </c>
      <c r="U1239" s="28" t="s">
        <v>1443</v>
      </c>
      <c r="V1239" s="28" t="s">
        <v>1736</v>
      </c>
      <c r="W1239" s="28" t="s">
        <v>10942</v>
      </c>
      <c r="X1239" s="17">
        <v>1</v>
      </c>
      <c r="CJ1239" s="26" t="s">
        <v>1410</v>
      </c>
      <c r="CK1239" s="26" t="s">
        <v>2504</v>
      </c>
      <c r="CL1239" s="26" t="str">
        <f t="shared" si="77"/>
        <v>岡山県里庄町</v>
      </c>
      <c r="CM1239" s="49">
        <v>1234</v>
      </c>
      <c r="CN1239" s="17" t="str">
        <f t="shared" si="76"/>
        <v>1351</v>
      </c>
      <c r="CO1239" s="17" t="str">
        <f t="shared" si="78"/>
        <v>12341351里庄町</v>
      </c>
      <c r="CP1239" s="17" t="s">
        <v>10943</v>
      </c>
      <c r="CQ1239" s="17" t="b">
        <f t="shared" si="79"/>
        <v>1</v>
      </c>
    </row>
    <row r="1240" spans="6:95">
      <c r="F1240" s="23"/>
      <c r="I1240" s="23"/>
      <c r="L1240" s="50" t="s">
        <v>10944</v>
      </c>
      <c r="M1240" s="17" t="s">
        <v>10945</v>
      </c>
      <c r="N1240" s="51" t="s">
        <v>10946</v>
      </c>
      <c r="O1240" s="29" t="s">
        <v>1467</v>
      </c>
      <c r="P1240" s="29" t="s">
        <v>10947</v>
      </c>
      <c r="Q1240" s="29" t="s">
        <v>1467</v>
      </c>
      <c r="R1240" s="29" t="s">
        <v>5760</v>
      </c>
      <c r="S1240" s="28" t="s">
        <v>2311</v>
      </c>
      <c r="T1240" s="28" t="s">
        <v>2285</v>
      </c>
      <c r="U1240" s="28" t="s">
        <v>1443</v>
      </c>
      <c r="V1240" s="28" t="s">
        <v>1736</v>
      </c>
      <c r="W1240" s="28" t="s">
        <v>10947</v>
      </c>
      <c r="X1240" s="17">
        <v>1</v>
      </c>
      <c r="CJ1240" s="26" t="s">
        <v>1410</v>
      </c>
      <c r="CK1240" s="26" t="s">
        <v>2557</v>
      </c>
      <c r="CL1240" s="26" t="str">
        <f t="shared" si="77"/>
        <v>岡山県矢掛町</v>
      </c>
      <c r="CM1240" s="49">
        <v>1235</v>
      </c>
      <c r="CN1240" s="17" t="str">
        <f t="shared" si="76"/>
        <v>1352</v>
      </c>
      <c r="CO1240" s="17" t="str">
        <f t="shared" si="78"/>
        <v>12351352矢掛町</v>
      </c>
      <c r="CP1240" s="17" t="s">
        <v>10948</v>
      </c>
      <c r="CQ1240" s="17" t="b">
        <f t="shared" si="79"/>
        <v>1</v>
      </c>
    </row>
    <row r="1241" spans="6:95">
      <c r="F1241" s="23"/>
      <c r="I1241" s="23"/>
      <c r="L1241" s="50" t="s">
        <v>10949</v>
      </c>
      <c r="M1241" s="17" t="s">
        <v>10950</v>
      </c>
      <c r="N1241" s="51" t="s">
        <v>10951</v>
      </c>
      <c r="O1241" s="29" t="s">
        <v>1467</v>
      </c>
      <c r="P1241" s="29" t="s">
        <v>10952</v>
      </c>
      <c r="Q1241" s="29" t="s">
        <v>1467</v>
      </c>
      <c r="R1241" s="29" t="s">
        <v>3316</v>
      </c>
      <c r="S1241" s="28" t="s">
        <v>1564</v>
      </c>
      <c r="T1241" s="28" t="s">
        <v>2341</v>
      </c>
      <c r="U1241" s="28" t="s">
        <v>1443</v>
      </c>
      <c r="V1241" s="28" t="s">
        <v>1736</v>
      </c>
      <c r="W1241" s="28" t="s">
        <v>10952</v>
      </c>
      <c r="X1241" s="17">
        <v>1</v>
      </c>
      <c r="CJ1241" s="26" t="s">
        <v>1410</v>
      </c>
      <c r="CK1241" s="26" t="s">
        <v>2605</v>
      </c>
      <c r="CL1241" s="26" t="str">
        <f t="shared" si="77"/>
        <v>岡山県新庄村</v>
      </c>
      <c r="CM1241" s="49">
        <v>1236</v>
      </c>
      <c r="CN1241" s="17" t="str">
        <f t="shared" si="76"/>
        <v>1353</v>
      </c>
      <c r="CO1241" s="17" t="str">
        <f t="shared" si="78"/>
        <v>12361353新庄村</v>
      </c>
      <c r="CP1241" s="17" t="s">
        <v>10953</v>
      </c>
      <c r="CQ1241" s="17" t="b">
        <f t="shared" si="79"/>
        <v>1</v>
      </c>
    </row>
    <row r="1242" spans="6:95">
      <c r="F1242" s="23"/>
      <c r="I1242" s="23"/>
      <c r="L1242" s="50" t="s">
        <v>10954</v>
      </c>
      <c r="M1242" s="17" t="s">
        <v>10955</v>
      </c>
      <c r="N1242" s="51" t="s">
        <v>10956</v>
      </c>
      <c r="O1242" s="29" t="s">
        <v>1467</v>
      </c>
      <c r="P1242" s="29" t="s">
        <v>10957</v>
      </c>
      <c r="Q1242" s="29" t="s">
        <v>1467</v>
      </c>
      <c r="R1242" s="29" t="s">
        <v>5767</v>
      </c>
      <c r="S1242" s="28" t="s">
        <v>1626</v>
      </c>
      <c r="T1242" s="28" t="s">
        <v>2395</v>
      </c>
      <c r="U1242" s="28" t="s">
        <v>1443</v>
      </c>
      <c r="V1242" s="28" t="s">
        <v>1736</v>
      </c>
      <c r="W1242" s="28" t="s">
        <v>10958</v>
      </c>
      <c r="X1242" s="17">
        <v>1</v>
      </c>
      <c r="CJ1242" s="26" t="s">
        <v>1410</v>
      </c>
      <c r="CK1242" s="26" t="s">
        <v>2651</v>
      </c>
      <c r="CL1242" s="26" t="str">
        <f t="shared" si="77"/>
        <v>岡山県鏡野町</v>
      </c>
      <c r="CM1242" s="49">
        <v>1237</v>
      </c>
      <c r="CN1242" s="17" t="str">
        <f t="shared" si="76"/>
        <v>1354</v>
      </c>
      <c r="CO1242" s="17" t="str">
        <f t="shared" si="78"/>
        <v>12371354鏡野町</v>
      </c>
      <c r="CP1242" s="17" t="s">
        <v>10959</v>
      </c>
      <c r="CQ1242" s="17" t="b">
        <f t="shared" si="79"/>
        <v>1</v>
      </c>
    </row>
    <row r="1243" spans="6:95">
      <c r="F1243" s="23"/>
      <c r="I1243" s="23"/>
      <c r="L1243" s="50" t="s">
        <v>10960</v>
      </c>
      <c r="M1243" s="17" t="s">
        <v>10961</v>
      </c>
      <c r="N1243" s="51" t="s">
        <v>10962</v>
      </c>
      <c r="O1243" s="29" t="s">
        <v>1467</v>
      </c>
      <c r="P1243" s="29" t="s">
        <v>10963</v>
      </c>
      <c r="Q1243" s="29" t="s">
        <v>1467</v>
      </c>
      <c r="R1243" s="29" t="s">
        <v>3338</v>
      </c>
      <c r="S1243" s="28" t="s">
        <v>1977</v>
      </c>
      <c r="T1243" s="28" t="s">
        <v>2450</v>
      </c>
      <c r="U1243" s="28" t="s">
        <v>1443</v>
      </c>
      <c r="V1243" s="28" t="s">
        <v>1736</v>
      </c>
      <c r="W1243" s="28" t="s">
        <v>10964</v>
      </c>
      <c r="X1243" s="17">
        <v>1</v>
      </c>
      <c r="CJ1243" s="26" t="s">
        <v>1410</v>
      </c>
      <c r="CK1243" s="26" t="s">
        <v>2697</v>
      </c>
      <c r="CL1243" s="26" t="str">
        <f t="shared" si="77"/>
        <v>岡山県勝央町</v>
      </c>
      <c r="CM1243" s="49">
        <v>1238</v>
      </c>
      <c r="CN1243" s="17" t="str">
        <f t="shared" si="76"/>
        <v>1355</v>
      </c>
      <c r="CO1243" s="17" t="str">
        <f t="shared" si="78"/>
        <v>12381355勝央町</v>
      </c>
      <c r="CP1243" s="17" t="s">
        <v>10965</v>
      </c>
      <c r="CQ1243" s="17" t="b">
        <f t="shared" si="79"/>
        <v>1</v>
      </c>
    </row>
    <row r="1244" spans="6:95">
      <c r="F1244" s="23"/>
      <c r="I1244" s="23"/>
      <c r="L1244" s="50" t="s">
        <v>10966</v>
      </c>
      <c r="M1244" s="17" t="s">
        <v>10967</v>
      </c>
      <c r="N1244" s="51" t="s">
        <v>10968</v>
      </c>
      <c r="O1244" s="29" t="s">
        <v>1467</v>
      </c>
      <c r="P1244" s="29" t="s">
        <v>10969</v>
      </c>
      <c r="Q1244" s="29" t="s">
        <v>1467</v>
      </c>
      <c r="R1244" s="29" t="s">
        <v>3395</v>
      </c>
      <c r="S1244" s="28" t="s">
        <v>2311</v>
      </c>
      <c r="T1244" s="28" t="s">
        <v>2501</v>
      </c>
      <c r="U1244" s="28" t="s">
        <v>1443</v>
      </c>
      <c r="V1244" s="28" t="s">
        <v>1736</v>
      </c>
      <c r="W1244" s="28" t="s">
        <v>10970</v>
      </c>
      <c r="X1244" s="17">
        <v>1</v>
      </c>
      <c r="CJ1244" s="26" t="s">
        <v>1410</v>
      </c>
      <c r="CK1244" s="26" t="s">
        <v>2743</v>
      </c>
      <c r="CL1244" s="26" t="str">
        <f t="shared" si="77"/>
        <v>岡山県奈義町</v>
      </c>
      <c r="CM1244" s="49">
        <v>1239</v>
      </c>
      <c r="CN1244" s="17" t="str">
        <f t="shared" si="76"/>
        <v>1356</v>
      </c>
      <c r="CO1244" s="17" t="str">
        <f t="shared" si="78"/>
        <v>12391356奈義町</v>
      </c>
      <c r="CP1244" s="17" t="s">
        <v>10971</v>
      </c>
      <c r="CQ1244" s="17" t="b">
        <f t="shared" si="79"/>
        <v>1</v>
      </c>
    </row>
    <row r="1245" spans="6:95">
      <c r="F1245" s="23"/>
      <c r="I1245" s="23"/>
      <c r="L1245" s="50" t="s">
        <v>10972</v>
      </c>
      <c r="M1245" s="17" t="s">
        <v>10973</v>
      </c>
      <c r="N1245" s="51" t="s">
        <v>10974</v>
      </c>
      <c r="O1245" s="29" t="s">
        <v>1467</v>
      </c>
      <c r="P1245" s="29" t="s">
        <v>10975</v>
      </c>
      <c r="Q1245" s="29" t="s">
        <v>1467</v>
      </c>
      <c r="R1245" s="29" t="s">
        <v>3411</v>
      </c>
      <c r="S1245" s="28" t="s">
        <v>1564</v>
      </c>
      <c r="T1245" s="28" t="s">
        <v>2553</v>
      </c>
      <c r="U1245" s="28" t="s">
        <v>1443</v>
      </c>
      <c r="V1245" s="28" t="s">
        <v>1736</v>
      </c>
      <c r="W1245" s="28" t="s">
        <v>10976</v>
      </c>
      <c r="X1245" s="17">
        <v>1</v>
      </c>
      <c r="CJ1245" s="26" t="s">
        <v>1410</v>
      </c>
      <c r="CK1245" s="26" t="s">
        <v>2786</v>
      </c>
      <c r="CL1245" s="26" t="str">
        <f t="shared" si="77"/>
        <v>岡山県西粟倉村</v>
      </c>
      <c r="CM1245" s="49">
        <v>1240</v>
      </c>
      <c r="CN1245" s="17" t="str">
        <f t="shared" si="76"/>
        <v>1357</v>
      </c>
      <c r="CO1245" s="17" t="str">
        <f t="shared" si="78"/>
        <v>12401357西粟倉村</v>
      </c>
      <c r="CP1245" s="17" t="s">
        <v>10977</v>
      </c>
      <c r="CQ1245" s="17" t="b">
        <f t="shared" si="79"/>
        <v>1</v>
      </c>
    </row>
    <row r="1246" spans="6:95">
      <c r="F1246" s="23"/>
      <c r="I1246" s="23"/>
      <c r="L1246" s="50" t="s">
        <v>10978</v>
      </c>
      <c r="M1246" s="17" t="s">
        <v>10979</v>
      </c>
      <c r="N1246" s="51" t="s">
        <v>10980</v>
      </c>
      <c r="O1246" s="29" t="s">
        <v>1467</v>
      </c>
      <c r="P1246" s="29" t="s">
        <v>10981</v>
      </c>
      <c r="Q1246" s="29" t="s">
        <v>1467</v>
      </c>
      <c r="R1246" s="29" t="s">
        <v>3426</v>
      </c>
      <c r="S1246" s="28" t="s">
        <v>1626</v>
      </c>
      <c r="T1246" s="28" t="s">
        <v>2601</v>
      </c>
      <c r="U1246" s="28" t="s">
        <v>1443</v>
      </c>
      <c r="V1246" s="28" t="s">
        <v>1736</v>
      </c>
      <c r="W1246" s="28" t="s">
        <v>10982</v>
      </c>
      <c r="X1246" s="17">
        <v>1</v>
      </c>
      <c r="CJ1246" s="26" t="s">
        <v>1410</v>
      </c>
      <c r="CK1246" s="26" t="s">
        <v>2828</v>
      </c>
      <c r="CL1246" s="26" t="str">
        <f t="shared" si="77"/>
        <v>岡山県久米南町</v>
      </c>
      <c r="CM1246" s="49">
        <v>1241</v>
      </c>
      <c r="CN1246" s="17" t="str">
        <f t="shared" si="76"/>
        <v>1358</v>
      </c>
      <c r="CO1246" s="17" t="str">
        <f t="shared" si="78"/>
        <v>12411358久米南町</v>
      </c>
      <c r="CP1246" s="17" t="s">
        <v>10983</v>
      </c>
      <c r="CQ1246" s="17" t="b">
        <f t="shared" si="79"/>
        <v>1</v>
      </c>
    </row>
    <row r="1247" spans="6:95">
      <c r="F1247" s="23"/>
      <c r="I1247" s="23"/>
      <c r="L1247" s="50" t="s">
        <v>10984</v>
      </c>
      <c r="M1247" s="17" t="s">
        <v>10985</v>
      </c>
      <c r="N1247" s="51" t="s">
        <v>10986</v>
      </c>
      <c r="O1247" s="29" t="s">
        <v>1467</v>
      </c>
      <c r="P1247" s="29" t="s">
        <v>10987</v>
      </c>
      <c r="Q1247" s="29" t="s">
        <v>1467</v>
      </c>
      <c r="R1247" s="29" t="s">
        <v>6991</v>
      </c>
      <c r="S1247" s="28" t="s">
        <v>1803</v>
      </c>
      <c r="T1247" s="28" t="s">
        <v>2648</v>
      </c>
      <c r="U1247" s="28" t="s">
        <v>1443</v>
      </c>
      <c r="V1247" s="28" t="s">
        <v>1736</v>
      </c>
      <c r="W1247" s="28" t="s">
        <v>10988</v>
      </c>
      <c r="X1247" s="17">
        <v>1</v>
      </c>
      <c r="CJ1247" s="26" t="s">
        <v>1410</v>
      </c>
      <c r="CK1247" s="26" t="s">
        <v>2868</v>
      </c>
      <c r="CL1247" s="26" t="str">
        <f t="shared" si="77"/>
        <v>岡山県美咲町</v>
      </c>
      <c r="CM1247" s="49">
        <v>1242</v>
      </c>
      <c r="CN1247" s="17" t="str">
        <f t="shared" si="76"/>
        <v>1359</v>
      </c>
      <c r="CO1247" s="17" t="str">
        <f t="shared" si="78"/>
        <v>12421359美咲町</v>
      </c>
      <c r="CP1247" s="17" t="s">
        <v>10989</v>
      </c>
      <c r="CQ1247" s="17" t="b">
        <f t="shared" si="79"/>
        <v>1</v>
      </c>
    </row>
    <row r="1248" spans="6:95">
      <c r="F1248" s="23"/>
      <c r="I1248" s="23"/>
      <c r="L1248" s="50" t="s">
        <v>10990</v>
      </c>
      <c r="M1248" s="17" t="s">
        <v>10991</v>
      </c>
      <c r="N1248" s="51" t="s">
        <v>10992</v>
      </c>
      <c r="O1248" s="29" t="s">
        <v>1467</v>
      </c>
      <c r="P1248" s="29" t="s">
        <v>10993</v>
      </c>
      <c r="Q1248" s="29" t="s">
        <v>1467</v>
      </c>
      <c r="R1248" s="29" t="s">
        <v>6415</v>
      </c>
      <c r="S1248" s="28" t="s">
        <v>1862</v>
      </c>
      <c r="T1248" s="28" t="s">
        <v>2694</v>
      </c>
      <c r="U1248" s="28" t="s">
        <v>1443</v>
      </c>
      <c r="V1248" s="28" t="s">
        <v>1736</v>
      </c>
      <c r="W1248" s="28" t="s">
        <v>10994</v>
      </c>
      <c r="X1248" s="17">
        <v>1</v>
      </c>
      <c r="CJ1248" s="26" t="s">
        <v>1410</v>
      </c>
      <c r="CK1248" s="26" t="s">
        <v>2906</v>
      </c>
      <c r="CL1248" s="26" t="str">
        <f t="shared" si="77"/>
        <v>岡山県吉備中央町</v>
      </c>
      <c r="CM1248" s="49">
        <v>1243</v>
      </c>
      <c r="CN1248" s="17" t="str">
        <f t="shared" si="76"/>
        <v>1360</v>
      </c>
      <c r="CO1248" s="17" t="str">
        <f t="shared" si="78"/>
        <v>12431360吉備中央町</v>
      </c>
      <c r="CP1248" s="17" t="s">
        <v>10995</v>
      </c>
      <c r="CQ1248" s="17" t="b">
        <f t="shared" si="79"/>
        <v>1</v>
      </c>
    </row>
    <row r="1249" spans="6:95">
      <c r="F1249" s="23"/>
      <c r="I1249" s="23"/>
      <c r="L1249" s="50" t="s">
        <v>10996</v>
      </c>
      <c r="M1249" s="17" t="s">
        <v>10997</v>
      </c>
      <c r="N1249" s="51" t="s">
        <v>10998</v>
      </c>
      <c r="O1249" s="29" t="s">
        <v>1467</v>
      </c>
      <c r="P1249" s="29" t="s">
        <v>10999</v>
      </c>
      <c r="Q1249" s="29" t="s">
        <v>1467</v>
      </c>
      <c r="R1249" s="29" t="s">
        <v>4507</v>
      </c>
      <c r="S1249" s="28" t="s">
        <v>1502</v>
      </c>
      <c r="T1249" s="28" t="s">
        <v>2740</v>
      </c>
      <c r="U1249" s="28" t="s">
        <v>1443</v>
      </c>
      <c r="V1249" s="28" t="s">
        <v>1736</v>
      </c>
      <c r="W1249" s="28" t="s">
        <v>11000</v>
      </c>
      <c r="X1249" s="17">
        <v>1</v>
      </c>
      <c r="CJ1249" s="26" t="s">
        <v>1411</v>
      </c>
      <c r="CK1249" s="26" t="s">
        <v>1537</v>
      </c>
      <c r="CL1249" s="26" t="str">
        <f t="shared" si="77"/>
        <v>広島県広島市</v>
      </c>
      <c r="CM1249" s="49">
        <v>1244</v>
      </c>
      <c r="CN1249" s="17" t="str">
        <f t="shared" si="76"/>
        <v>1361</v>
      </c>
      <c r="CO1249" s="17" t="str">
        <f t="shared" si="78"/>
        <v>12441361広島市</v>
      </c>
      <c r="CP1249" s="17" t="s">
        <v>11001</v>
      </c>
      <c r="CQ1249" s="17" t="b">
        <f t="shared" si="79"/>
        <v>1</v>
      </c>
    </row>
    <row r="1250" spans="6:95">
      <c r="F1250" s="23"/>
      <c r="I1250" s="23"/>
      <c r="L1250" s="50" t="s">
        <v>11002</v>
      </c>
      <c r="M1250" s="17" t="s">
        <v>11003</v>
      </c>
      <c r="N1250" s="51" t="s">
        <v>11004</v>
      </c>
      <c r="O1250" s="29" t="s">
        <v>1467</v>
      </c>
      <c r="P1250" s="29" t="s">
        <v>11005</v>
      </c>
      <c r="Q1250" s="29" t="s">
        <v>1467</v>
      </c>
      <c r="R1250" s="29" t="s">
        <v>3512</v>
      </c>
      <c r="S1250" s="28" t="s">
        <v>2525</v>
      </c>
      <c r="T1250" s="28" t="s">
        <v>2784</v>
      </c>
      <c r="U1250" s="28" t="s">
        <v>1443</v>
      </c>
      <c r="V1250" s="28" t="s">
        <v>1736</v>
      </c>
      <c r="W1250" s="28" t="s">
        <v>11006</v>
      </c>
      <c r="X1250" s="17">
        <v>1</v>
      </c>
      <c r="CJ1250" s="26" t="s">
        <v>1411</v>
      </c>
      <c r="CK1250" s="26" t="s">
        <v>1599</v>
      </c>
      <c r="CL1250" s="26" t="str">
        <f t="shared" si="77"/>
        <v>広島県呉市</v>
      </c>
      <c r="CM1250" s="49">
        <v>1245</v>
      </c>
      <c r="CN1250" s="17" t="str">
        <f t="shared" si="76"/>
        <v>1362</v>
      </c>
      <c r="CO1250" s="17" t="str">
        <f t="shared" si="78"/>
        <v>12451362呉市</v>
      </c>
      <c r="CP1250" s="17" t="s">
        <v>11007</v>
      </c>
      <c r="CQ1250" s="17" t="b">
        <f t="shared" si="79"/>
        <v>1</v>
      </c>
    </row>
    <row r="1251" spans="6:95">
      <c r="F1251" s="23"/>
      <c r="I1251" s="23"/>
      <c r="L1251" s="50" t="s">
        <v>11008</v>
      </c>
      <c r="M1251" s="17" t="s">
        <v>11009</v>
      </c>
      <c r="N1251" s="51" t="s">
        <v>11010</v>
      </c>
      <c r="O1251" s="29" t="s">
        <v>1467</v>
      </c>
      <c r="P1251" s="29" t="s">
        <v>11011</v>
      </c>
      <c r="Q1251" s="29" t="s">
        <v>1467</v>
      </c>
      <c r="R1251" s="29" t="s">
        <v>4389</v>
      </c>
      <c r="S1251" s="28" t="s">
        <v>1626</v>
      </c>
      <c r="T1251" s="28" t="s">
        <v>2826</v>
      </c>
      <c r="U1251" s="28" t="s">
        <v>1443</v>
      </c>
      <c r="V1251" s="28" t="s">
        <v>1736</v>
      </c>
      <c r="W1251" s="28" t="s">
        <v>11012</v>
      </c>
      <c r="X1251" s="17">
        <v>1</v>
      </c>
      <c r="CJ1251" s="26" t="s">
        <v>1411</v>
      </c>
      <c r="CK1251" s="26" t="s">
        <v>1661</v>
      </c>
      <c r="CL1251" s="26" t="str">
        <f t="shared" si="77"/>
        <v>広島県竹原市</v>
      </c>
      <c r="CM1251" s="49">
        <v>1246</v>
      </c>
      <c r="CN1251" s="17" t="str">
        <f t="shared" si="76"/>
        <v>1363</v>
      </c>
      <c r="CO1251" s="17" t="str">
        <f t="shared" si="78"/>
        <v>12461363竹原市</v>
      </c>
      <c r="CP1251" s="17" t="s">
        <v>11013</v>
      </c>
      <c r="CQ1251" s="17" t="b">
        <f t="shared" si="79"/>
        <v>1</v>
      </c>
    </row>
    <row r="1252" spans="6:95">
      <c r="F1252" s="23"/>
      <c r="I1252" s="23"/>
      <c r="L1252" s="50" t="s">
        <v>11014</v>
      </c>
      <c r="M1252" s="17" t="s">
        <v>11015</v>
      </c>
      <c r="N1252" s="51" t="s">
        <v>11016</v>
      </c>
      <c r="O1252" s="29" t="s">
        <v>1467</v>
      </c>
      <c r="P1252" s="29" t="s">
        <v>11017</v>
      </c>
      <c r="Q1252" s="29" t="s">
        <v>1467</v>
      </c>
      <c r="R1252" s="29" t="s">
        <v>4397</v>
      </c>
      <c r="S1252" s="28" t="s">
        <v>1977</v>
      </c>
      <c r="T1252" s="28" t="s">
        <v>2866</v>
      </c>
      <c r="U1252" s="28" t="s">
        <v>1443</v>
      </c>
      <c r="V1252" s="28" t="s">
        <v>1736</v>
      </c>
      <c r="W1252" s="28" t="s">
        <v>11018</v>
      </c>
      <c r="X1252" s="17">
        <v>1</v>
      </c>
      <c r="CJ1252" s="26" t="s">
        <v>1411</v>
      </c>
      <c r="CK1252" s="26" t="s">
        <v>1719</v>
      </c>
      <c r="CL1252" s="26" t="str">
        <f t="shared" si="77"/>
        <v>広島県三原市</v>
      </c>
      <c r="CM1252" s="49">
        <v>1247</v>
      </c>
      <c r="CN1252" s="17" t="str">
        <f t="shared" si="76"/>
        <v>1364</v>
      </c>
      <c r="CO1252" s="17" t="str">
        <f t="shared" si="78"/>
        <v>12471364三原市</v>
      </c>
      <c r="CP1252" s="17" t="s">
        <v>11019</v>
      </c>
      <c r="CQ1252" s="17" t="b">
        <f t="shared" si="79"/>
        <v>1</v>
      </c>
    </row>
    <row r="1253" spans="6:95">
      <c r="F1253" s="23"/>
      <c r="I1253" s="23"/>
      <c r="L1253" s="50" t="s">
        <v>11020</v>
      </c>
      <c r="M1253" s="17" t="s">
        <v>11021</v>
      </c>
      <c r="N1253" s="51" t="s">
        <v>11022</v>
      </c>
      <c r="O1253" s="29" t="s">
        <v>1467</v>
      </c>
      <c r="P1253" s="29" t="s">
        <v>11023</v>
      </c>
      <c r="Q1253" s="29" t="s">
        <v>1467</v>
      </c>
      <c r="R1253" s="29" t="s">
        <v>4799</v>
      </c>
      <c r="S1253" s="28" t="s">
        <v>1743</v>
      </c>
      <c r="T1253" s="28" t="s">
        <v>2904</v>
      </c>
      <c r="U1253" s="28" t="s">
        <v>1443</v>
      </c>
      <c r="V1253" s="28" t="s">
        <v>1736</v>
      </c>
      <c r="W1253" s="28" t="s">
        <v>11024</v>
      </c>
      <c r="X1253" s="17">
        <v>1</v>
      </c>
      <c r="CJ1253" s="26" t="s">
        <v>1411</v>
      </c>
      <c r="CK1253" s="26" t="s">
        <v>1778</v>
      </c>
      <c r="CL1253" s="26" t="str">
        <f t="shared" si="77"/>
        <v>広島県尾道市</v>
      </c>
      <c r="CM1253" s="49">
        <v>1248</v>
      </c>
      <c r="CN1253" s="17" t="str">
        <f t="shared" si="76"/>
        <v>1365</v>
      </c>
      <c r="CO1253" s="17" t="str">
        <f t="shared" si="78"/>
        <v>12481365尾道市</v>
      </c>
      <c r="CP1253" s="17" t="s">
        <v>11025</v>
      </c>
      <c r="CQ1253" s="17" t="b">
        <f t="shared" si="79"/>
        <v>1</v>
      </c>
    </row>
    <row r="1254" spans="6:95">
      <c r="F1254" s="23"/>
      <c r="I1254" s="23"/>
      <c r="L1254" s="50" t="s">
        <v>11026</v>
      </c>
      <c r="M1254" s="17" t="s">
        <v>11027</v>
      </c>
      <c r="N1254" s="51" t="s">
        <v>11028</v>
      </c>
      <c r="O1254" s="29" t="s">
        <v>1467</v>
      </c>
      <c r="P1254" s="29" t="s">
        <v>11029</v>
      </c>
      <c r="Q1254" s="29" t="s">
        <v>1467</v>
      </c>
      <c r="R1254" s="29" t="s">
        <v>3553</v>
      </c>
      <c r="S1254" s="28" t="s">
        <v>1803</v>
      </c>
      <c r="T1254" s="28" t="s">
        <v>2940</v>
      </c>
      <c r="U1254" s="28" t="s">
        <v>1443</v>
      </c>
      <c r="V1254" s="28" t="s">
        <v>1736</v>
      </c>
      <c r="W1254" s="28" t="s">
        <v>11030</v>
      </c>
      <c r="X1254" s="17">
        <v>1</v>
      </c>
      <c r="CJ1254" s="26" t="s">
        <v>1411</v>
      </c>
      <c r="CK1254" s="26" t="s">
        <v>1838</v>
      </c>
      <c r="CL1254" s="26" t="str">
        <f t="shared" si="77"/>
        <v>広島県福山市</v>
      </c>
      <c r="CM1254" s="49">
        <v>1249</v>
      </c>
      <c r="CN1254" s="17" t="str">
        <f t="shared" si="76"/>
        <v>1366</v>
      </c>
      <c r="CO1254" s="17" t="str">
        <f t="shared" si="78"/>
        <v>12491366福山市</v>
      </c>
      <c r="CP1254" s="17" t="s">
        <v>11031</v>
      </c>
      <c r="CQ1254" s="17" t="b">
        <f t="shared" si="79"/>
        <v>1</v>
      </c>
    </row>
    <row r="1255" spans="6:95">
      <c r="F1255" s="23"/>
      <c r="I1255" s="23"/>
      <c r="L1255" s="50" t="s">
        <v>11032</v>
      </c>
      <c r="M1255" s="17" t="s">
        <v>11033</v>
      </c>
      <c r="N1255" s="51" t="s">
        <v>11034</v>
      </c>
      <c r="O1255" s="29" t="s">
        <v>1467</v>
      </c>
      <c r="P1255" s="29" t="s">
        <v>11035</v>
      </c>
      <c r="Q1255" s="29" t="s">
        <v>1467</v>
      </c>
      <c r="R1255" s="29" t="s">
        <v>4806</v>
      </c>
      <c r="S1255" s="28" t="s">
        <v>2311</v>
      </c>
      <c r="T1255" s="28" t="s">
        <v>2973</v>
      </c>
      <c r="U1255" s="28" t="s">
        <v>1443</v>
      </c>
      <c r="V1255" s="28" t="s">
        <v>1736</v>
      </c>
      <c r="W1255" s="28" t="s">
        <v>11036</v>
      </c>
      <c r="X1255" s="17">
        <v>1</v>
      </c>
      <c r="CJ1255" s="26" t="s">
        <v>1411</v>
      </c>
      <c r="CK1255" s="26" t="s">
        <v>1897</v>
      </c>
      <c r="CL1255" s="26" t="str">
        <f t="shared" si="77"/>
        <v>広島県府中市</v>
      </c>
      <c r="CM1255" s="49">
        <v>1250</v>
      </c>
      <c r="CN1255" s="17" t="str">
        <f t="shared" si="76"/>
        <v>1367</v>
      </c>
      <c r="CO1255" s="17" t="str">
        <f t="shared" si="78"/>
        <v>12501367府中市</v>
      </c>
      <c r="CP1255" s="17" t="s">
        <v>11037</v>
      </c>
      <c r="CQ1255" s="17" t="b">
        <f t="shared" si="79"/>
        <v>1</v>
      </c>
    </row>
    <row r="1256" spans="6:95">
      <c r="F1256" s="23"/>
      <c r="I1256" s="23"/>
      <c r="L1256" s="50" t="s">
        <v>11038</v>
      </c>
      <c r="M1256" s="17" t="s">
        <v>11039</v>
      </c>
      <c r="N1256" s="51" t="s">
        <v>11040</v>
      </c>
      <c r="O1256" s="29" t="s">
        <v>1467</v>
      </c>
      <c r="P1256" s="29" t="s">
        <v>11041</v>
      </c>
      <c r="Q1256" s="29" t="s">
        <v>1467</v>
      </c>
      <c r="R1256" s="29" t="s">
        <v>4812</v>
      </c>
      <c r="S1256" s="28" t="s">
        <v>1564</v>
      </c>
      <c r="T1256" s="28" t="s">
        <v>3007</v>
      </c>
      <c r="U1256" s="28" t="s">
        <v>1443</v>
      </c>
      <c r="V1256" s="28" t="s">
        <v>1736</v>
      </c>
      <c r="W1256" s="28" t="s">
        <v>11042</v>
      </c>
      <c r="X1256" s="17">
        <v>1</v>
      </c>
      <c r="CJ1256" s="26" t="s">
        <v>1411</v>
      </c>
      <c r="CK1256" s="26" t="s">
        <v>1955</v>
      </c>
      <c r="CL1256" s="26" t="str">
        <f t="shared" si="77"/>
        <v>広島県三次市</v>
      </c>
      <c r="CM1256" s="49">
        <v>1251</v>
      </c>
      <c r="CN1256" s="17" t="str">
        <f t="shared" si="76"/>
        <v>1368</v>
      </c>
      <c r="CO1256" s="17" t="str">
        <f t="shared" si="78"/>
        <v>12511368三次市</v>
      </c>
      <c r="CP1256" s="17" t="s">
        <v>11043</v>
      </c>
      <c r="CQ1256" s="17" t="b">
        <f t="shared" si="79"/>
        <v>1</v>
      </c>
    </row>
    <row r="1257" spans="6:95">
      <c r="F1257" s="23"/>
      <c r="I1257" s="23"/>
      <c r="L1257" s="50" t="s">
        <v>11044</v>
      </c>
      <c r="M1257" s="17" t="s">
        <v>11045</v>
      </c>
      <c r="N1257" s="51" t="s">
        <v>11046</v>
      </c>
      <c r="O1257" s="29" t="s">
        <v>1467</v>
      </c>
      <c r="P1257" s="29" t="s">
        <v>11047</v>
      </c>
      <c r="Q1257" s="29" t="s">
        <v>1467</v>
      </c>
      <c r="R1257" s="29" t="s">
        <v>4818</v>
      </c>
      <c r="S1257" s="28" t="s">
        <v>1626</v>
      </c>
      <c r="T1257" s="28" t="s">
        <v>3040</v>
      </c>
      <c r="U1257" s="28" t="s">
        <v>1443</v>
      </c>
      <c r="V1257" s="28" t="s">
        <v>1736</v>
      </c>
      <c r="W1257" s="28" t="s">
        <v>11048</v>
      </c>
      <c r="X1257" s="17">
        <v>1</v>
      </c>
      <c r="CJ1257" s="26" t="s">
        <v>1411</v>
      </c>
      <c r="CK1257" s="26" t="s">
        <v>2012</v>
      </c>
      <c r="CL1257" s="26" t="str">
        <f t="shared" si="77"/>
        <v>広島県庄原市</v>
      </c>
      <c r="CM1257" s="49">
        <v>1252</v>
      </c>
      <c r="CN1257" s="17" t="str">
        <f t="shared" si="76"/>
        <v>1369</v>
      </c>
      <c r="CO1257" s="17" t="str">
        <f t="shared" si="78"/>
        <v>12521369庄原市</v>
      </c>
      <c r="CP1257" s="17" t="s">
        <v>11049</v>
      </c>
      <c r="CQ1257" s="17" t="b">
        <f t="shared" si="79"/>
        <v>1</v>
      </c>
    </row>
    <row r="1258" spans="6:95">
      <c r="F1258" s="23"/>
      <c r="I1258" s="23"/>
      <c r="L1258" s="50" t="s">
        <v>11050</v>
      </c>
      <c r="M1258" s="17" t="s">
        <v>11051</v>
      </c>
      <c r="N1258" s="51" t="s">
        <v>11052</v>
      </c>
      <c r="O1258" s="29" t="s">
        <v>1467</v>
      </c>
      <c r="P1258" s="29" t="s">
        <v>11053</v>
      </c>
      <c r="Q1258" s="29" t="s">
        <v>1467</v>
      </c>
      <c r="R1258" s="29" t="s">
        <v>5253</v>
      </c>
      <c r="S1258" s="28" t="s">
        <v>1502</v>
      </c>
      <c r="T1258" s="28" t="s">
        <v>3071</v>
      </c>
      <c r="U1258" s="28" t="s">
        <v>1443</v>
      </c>
      <c r="V1258" s="28" t="s">
        <v>1736</v>
      </c>
      <c r="W1258" s="28" t="s">
        <v>11054</v>
      </c>
      <c r="X1258" s="17">
        <v>1</v>
      </c>
      <c r="CJ1258" s="26" t="s">
        <v>1411</v>
      </c>
      <c r="CK1258" s="26" t="s">
        <v>2068</v>
      </c>
      <c r="CL1258" s="26" t="str">
        <f t="shared" si="77"/>
        <v>広島県大竹市</v>
      </c>
      <c r="CM1258" s="49">
        <v>1253</v>
      </c>
      <c r="CN1258" s="17" t="str">
        <f t="shared" si="76"/>
        <v>1370</v>
      </c>
      <c r="CO1258" s="17" t="str">
        <f t="shared" si="78"/>
        <v>12531370大竹市</v>
      </c>
      <c r="CP1258" s="17" t="s">
        <v>11055</v>
      </c>
      <c r="CQ1258" s="17" t="b">
        <f t="shared" si="79"/>
        <v>1</v>
      </c>
    </row>
    <row r="1259" spans="6:95">
      <c r="F1259" s="23"/>
      <c r="I1259" s="23"/>
      <c r="L1259" s="50" t="s">
        <v>11056</v>
      </c>
      <c r="M1259" s="17" t="s">
        <v>11057</v>
      </c>
      <c r="N1259" s="51" t="s">
        <v>11058</v>
      </c>
      <c r="O1259" s="29" t="s">
        <v>1467</v>
      </c>
      <c r="P1259" s="29" t="s">
        <v>11059</v>
      </c>
      <c r="Q1259" s="29" t="s">
        <v>1467</v>
      </c>
      <c r="R1259" s="29" t="s">
        <v>4832</v>
      </c>
      <c r="S1259" s="28" t="s">
        <v>1803</v>
      </c>
      <c r="T1259" s="28" t="s">
        <v>3100</v>
      </c>
      <c r="U1259" s="28" t="s">
        <v>1443</v>
      </c>
      <c r="V1259" s="28" t="s">
        <v>1736</v>
      </c>
      <c r="W1259" s="28" t="s">
        <v>11059</v>
      </c>
      <c r="X1259" s="17">
        <v>1</v>
      </c>
      <c r="CJ1259" s="26" t="s">
        <v>1411</v>
      </c>
      <c r="CK1259" s="26" t="s">
        <v>2124</v>
      </c>
      <c r="CL1259" s="26" t="str">
        <f t="shared" si="77"/>
        <v>広島県東広島市</v>
      </c>
      <c r="CM1259" s="49">
        <v>1254</v>
      </c>
      <c r="CN1259" s="17" t="str">
        <f t="shared" si="76"/>
        <v>1371</v>
      </c>
      <c r="CO1259" s="17" t="str">
        <f t="shared" si="78"/>
        <v>12541371東広島市</v>
      </c>
      <c r="CP1259" s="17" t="s">
        <v>11060</v>
      </c>
      <c r="CQ1259" s="17" t="b">
        <f t="shared" si="79"/>
        <v>1</v>
      </c>
    </row>
    <row r="1260" spans="6:95">
      <c r="F1260" s="23"/>
      <c r="I1260" s="23"/>
      <c r="L1260" s="50" t="s">
        <v>11061</v>
      </c>
      <c r="M1260" s="17" t="s">
        <v>11062</v>
      </c>
      <c r="N1260" s="51" t="s">
        <v>11063</v>
      </c>
      <c r="O1260" s="29" t="s">
        <v>1467</v>
      </c>
      <c r="P1260" s="29" t="s">
        <v>11064</v>
      </c>
      <c r="Q1260" s="29" t="s">
        <v>1467</v>
      </c>
      <c r="R1260" s="29" t="s">
        <v>5857</v>
      </c>
      <c r="S1260" s="28" t="s">
        <v>1862</v>
      </c>
      <c r="T1260" s="28" t="s">
        <v>3130</v>
      </c>
      <c r="U1260" s="28" t="s">
        <v>1443</v>
      </c>
      <c r="V1260" s="28" t="s">
        <v>1736</v>
      </c>
      <c r="W1260" s="28" t="s">
        <v>11065</v>
      </c>
      <c r="X1260" s="17">
        <v>1</v>
      </c>
      <c r="CJ1260" s="26" t="s">
        <v>1411</v>
      </c>
      <c r="CK1260" s="26" t="s">
        <v>2180</v>
      </c>
      <c r="CL1260" s="26" t="str">
        <f t="shared" si="77"/>
        <v>広島県廿日市市</v>
      </c>
      <c r="CM1260" s="49">
        <v>1255</v>
      </c>
      <c r="CN1260" s="17" t="str">
        <f t="shared" si="76"/>
        <v>1372</v>
      </c>
      <c r="CO1260" s="17" t="str">
        <f t="shared" si="78"/>
        <v>12551372廿日市市</v>
      </c>
      <c r="CP1260" s="17" t="s">
        <v>11066</v>
      </c>
      <c r="CQ1260" s="17" t="b">
        <f t="shared" si="79"/>
        <v>1</v>
      </c>
    </row>
    <row r="1261" spans="6:95">
      <c r="F1261" s="23"/>
      <c r="I1261" s="23"/>
      <c r="L1261" s="50" t="s">
        <v>11067</v>
      </c>
      <c r="M1261" s="17" t="s">
        <v>11068</v>
      </c>
      <c r="N1261" s="51" t="s">
        <v>11069</v>
      </c>
      <c r="O1261" s="29" t="s">
        <v>1467</v>
      </c>
      <c r="P1261" s="29" t="s">
        <v>11070</v>
      </c>
      <c r="Q1261" s="29" t="s">
        <v>1467</v>
      </c>
      <c r="R1261" s="29" t="s">
        <v>6602</v>
      </c>
      <c r="S1261" s="28" t="s">
        <v>1977</v>
      </c>
      <c r="T1261" s="28" t="s">
        <v>3161</v>
      </c>
      <c r="U1261" s="28" t="s">
        <v>1443</v>
      </c>
      <c r="V1261" s="28" t="s">
        <v>1736</v>
      </c>
      <c r="W1261" s="28" t="s">
        <v>11071</v>
      </c>
      <c r="X1261" s="17">
        <v>1</v>
      </c>
      <c r="CJ1261" s="26" t="s">
        <v>1411</v>
      </c>
      <c r="CK1261" s="26" t="s">
        <v>2235</v>
      </c>
      <c r="CL1261" s="26" t="str">
        <f t="shared" si="77"/>
        <v>広島県安芸高田市</v>
      </c>
      <c r="CM1261" s="49">
        <v>1256</v>
      </c>
      <c r="CN1261" s="17" t="str">
        <f t="shared" si="76"/>
        <v>1373</v>
      </c>
      <c r="CO1261" s="17" t="str">
        <f t="shared" si="78"/>
        <v>12561373安芸高田市</v>
      </c>
      <c r="CP1261" s="17" t="s">
        <v>11072</v>
      </c>
      <c r="CQ1261" s="17" t="b">
        <f t="shared" si="79"/>
        <v>1</v>
      </c>
    </row>
    <row r="1262" spans="6:95">
      <c r="F1262" s="23"/>
      <c r="I1262" s="23"/>
      <c r="L1262" s="50" t="s">
        <v>11073</v>
      </c>
      <c r="M1262" s="17" t="s">
        <v>11074</v>
      </c>
      <c r="N1262" s="51" t="s">
        <v>11075</v>
      </c>
      <c r="O1262" s="29" t="s">
        <v>1467</v>
      </c>
      <c r="P1262" s="29" t="s">
        <v>11076</v>
      </c>
      <c r="Q1262" s="29" t="s">
        <v>1467</v>
      </c>
      <c r="R1262" s="29" t="s">
        <v>4839</v>
      </c>
      <c r="S1262" s="28" t="s">
        <v>1743</v>
      </c>
      <c r="T1262" s="28" t="s">
        <v>3188</v>
      </c>
      <c r="U1262" s="28" t="s">
        <v>1443</v>
      </c>
      <c r="V1262" s="28" t="s">
        <v>1736</v>
      </c>
      <c r="W1262" s="28" t="s">
        <v>11077</v>
      </c>
      <c r="X1262" s="17">
        <v>1</v>
      </c>
      <c r="CJ1262" s="26" t="s">
        <v>1411</v>
      </c>
      <c r="CK1262" s="26" t="s">
        <v>2290</v>
      </c>
      <c r="CL1262" s="26" t="str">
        <f t="shared" si="77"/>
        <v>広島県江田島市</v>
      </c>
      <c r="CM1262" s="49">
        <v>1257</v>
      </c>
      <c r="CN1262" s="17" t="str">
        <f t="shared" si="76"/>
        <v>1374</v>
      </c>
      <c r="CO1262" s="17" t="str">
        <f t="shared" si="78"/>
        <v>12571374江田島市</v>
      </c>
      <c r="CP1262" s="17" t="s">
        <v>11078</v>
      </c>
      <c r="CQ1262" s="17" t="b">
        <f t="shared" si="79"/>
        <v>1</v>
      </c>
    </row>
    <row r="1263" spans="6:95">
      <c r="F1263" s="23"/>
      <c r="I1263" s="23"/>
      <c r="L1263" s="50" t="s">
        <v>11079</v>
      </c>
      <c r="M1263" s="17" t="s">
        <v>11080</v>
      </c>
      <c r="N1263" s="51" t="s">
        <v>11081</v>
      </c>
      <c r="O1263" s="29" t="s">
        <v>1467</v>
      </c>
      <c r="P1263" s="29" t="s">
        <v>11082</v>
      </c>
      <c r="Q1263" s="29" t="s">
        <v>1467</v>
      </c>
      <c r="R1263" s="29" t="s">
        <v>8908</v>
      </c>
      <c r="S1263" s="28" t="s">
        <v>1803</v>
      </c>
      <c r="T1263" s="28" t="s">
        <v>3213</v>
      </c>
      <c r="U1263" s="28" t="s">
        <v>1443</v>
      </c>
      <c r="V1263" s="28" t="s">
        <v>1736</v>
      </c>
      <c r="W1263" s="28" t="s">
        <v>11083</v>
      </c>
      <c r="X1263" s="17">
        <v>1</v>
      </c>
      <c r="CJ1263" s="26" t="s">
        <v>1411</v>
      </c>
      <c r="CK1263" s="26" t="s">
        <v>2345</v>
      </c>
      <c r="CL1263" s="26" t="str">
        <f t="shared" si="77"/>
        <v>広島県府中町</v>
      </c>
      <c r="CM1263" s="49">
        <v>1258</v>
      </c>
      <c r="CN1263" s="17" t="str">
        <f t="shared" si="76"/>
        <v>1375</v>
      </c>
      <c r="CO1263" s="17" t="str">
        <f t="shared" si="78"/>
        <v>12581375府中町</v>
      </c>
      <c r="CP1263" s="17" t="s">
        <v>11084</v>
      </c>
      <c r="CQ1263" s="17" t="b">
        <f t="shared" si="79"/>
        <v>1</v>
      </c>
    </row>
    <row r="1264" spans="6:95">
      <c r="F1264" s="23"/>
      <c r="I1264" s="23"/>
      <c r="L1264" s="50" t="s">
        <v>11085</v>
      </c>
      <c r="M1264" s="17" t="s">
        <v>11086</v>
      </c>
      <c r="N1264" s="51" t="s">
        <v>11087</v>
      </c>
      <c r="O1264" s="29" t="s">
        <v>1467</v>
      </c>
      <c r="P1264" s="29" t="s">
        <v>11088</v>
      </c>
      <c r="Q1264" s="29" t="s">
        <v>1467</v>
      </c>
      <c r="R1264" s="29" t="s">
        <v>3654</v>
      </c>
      <c r="S1264" s="28" t="s">
        <v>1862</v>
      </c>
      <c r="T1264" s="28" t="s">
        <v>2441</v>
      </c>
      <c r="U1264" s="28" t="s">
        <v>1443</v>
      </c>
      <c r="V1264" s="28" t="s">
        <v>1736</v>
      </c>
      <c r="W1264" s="28" t="s">
        <v>11089</v>
      </c>
      <c r="X1264" s="17">
        <v>1</v>
      </c>
      <c r="CJ1264" s="26" t="s">
        <v>1411</v>
      </c>
      <c r="CK1264" s="26" t="s">
        <v>2400</v>
      </c>
      <c r="CL1264" s="26" t="str">
        <f t="shared" si="77"/>
        <v>広島県海田町</v>
      </c>
      <c r="CM1264" s="49">
        <v>1259</v>
      </c>
      <c r="CN1264" s="17" t="str">
        <f t="shared" si="76"/>
        <v>1376</v>
      </c>
      <c r="CO1264" s="17" t="str">
        <f t="shared" si="78"/>
        <v>12591376海田町</v>
      </c>
      <c r="CP1264" s="17" t="s">
        <v>11090</v>
      </c>
      <c r="CQ1264" s="17" t="b">
        <f t="shared" si="79"/>
        <v>1</v>
      </c>
    </row>
    <row r="1265" spans="6:95">
      <c r="F1265" s="23"/>
      <c r="I1265" s="23"/>
      <c r="L1265" s="50" t="s">
        <v>11091</v>
      </c>
      <c r="M1265" s="17" t="s">
        <v>11092</v>
      </c>
      <c r="N1265" s="51" t="s">
        <v>11093</v>
      </c>
      <c r="O1265" s="29" t="s">
        <v>1467</v>
      </c>
      <c r="P1265" s="29" t="s">
        <v>11094</v>
      </c>
      <c r="Q1265" s="29" t="s">
        <v>1467</v>
      </c>
      <c r="R1265" s="29" t="s">
        <v>4585</v>
      </c>
      <c r="S1265" s="28" t="s">
        <v>1920</v>
      </c>
      <c r="T1265" s="28" t="s">
        <v>3260</v>
      </c>
      <c r="U1265" s="28" t="s">
        <v>1443</v>
      </c>
      <c r="V1265" s="28" t="s">
        <v>1736</v>
      </c>
      <c r="W1265" s="28" t="s">
        <v>11095</v>
      </c>
      <c r="X1265" s="17">
        <v>1</v>
      </c>
      <c r="CJ1265" s="26" t="s">
        <v>1411</v>
      </c>
      <c r="CK1265" s="26" t="s">
        <v>2454</v>
      </c>
      <c r="CL1265" s="26" t="str">
        <f t="shared" si="77"/>
        <v>広島県熊野町</v>
      </c>
      <c r="CM1265" s="49">
        <v>1260</v>
      </c>
      <c r="CN1265" s="17" t="str">
        <f t="shared" si="76"/>
        <v>1377</v>
      </c>
      <c r="CO1265" s="17" t="str">
        <f t="shared" si="78"/>
        <v>12601377熊野町</v>
      </c>
      <c r="CP1265" s="17" t="s">
        <v>11096</v>
      </c>
      <c r="CQ1265" s="17" t="b">
        <f t="shared" si="79"/>
        <v>1</v>
      </c>
    </row>
    <row r="1266" spans="6:95">
      <c r="F1266" s="23"/>
      <c r="I1266" s="23"/>
      <c r="L1266" s="50" t="s">
        <v>11097</v>
      </c>
      <c r="M1266" s="17" t="s">
        <v>11098</v>
      </c>
      <c r="N1266" s="51" t="s">
        <v>11099</v>
      </c>
      <c r="O1266" s="29" t="s">
        <v>1468</v>
      </c>
      <c r="P1266" s="29" t="s">
        <v>11100</v>
      </c>
      <c r="Q1266" s="29" t="s">
        <v>1468</v>
      </c>
      <c r="R1266" s="29" t="s">
        <v>4593</v>
      </c>
      <c r="S1266" s="28" t="s">
        <v>1920</v>
      </c>
      <c r="T1266" s="28" t="s">
        <v>1533</v>
      </c>
      <c r="U1266" s="28" t="s">
        <v>1443</v>
      </c>
      <c r="V1266" s="28" t="s">
        <v>1736</v>
      </c>
      <c r="W1266" s="28" t="s">
        <v>11101</v>
      </c>
      <c r="X1266" s="17">
        <v>1</v>
      </c>
      <c r="CJ1266" s="26" t="s">
        <v>1411</v>
      </c>
      <c r="CK1266" s="26" t="s">
        <v>2505</v>
      </c>
      <c r="CL1266" s="26" t="str">
        <f t="shared" si="77"/>
        <v>広島県坂町</v>
      </c>
      <c r="CM1266" s="49">
        <v>1261</v>
      </c>
      <c r="CN1266" s="17" t="str">
        <f t="shared" si="76"/>
        <v>1378</v>
      </c>
      <c r="CO1266" s="17" t="str">
        <f t="shared" si="78"/>
        <v>12611378坂町</v>
      </c>
      <c r="CP1266" s="17" t="s">
        <v>11102</v>
      </c>
      <c r="CQ1266" s="17" t="b">
        <f t="shared" si="79"/>
        <v>1</v>
      </c>
    </row>
    <row r="1267" spans="6:95">
      <c r="F1267" s="23"/>
      <c r="I1267" s="23"/>
      <c r="L1267" s="50" t="s">
        <v>11103</v>
      </c>
      <c r="M1267" s="17" t="s">
        <v>11104</v>
      </c>
      <c r="N1267" s="51" t="s">
        <v>11105</v>
      </c>
      <c r="O1267" s="29" t="s">
        <v>1468</v>
      </c>
      <c r="P1267" s="29" t="s">
        <v>11106</v>
      </c>
      <c r="Q1267" s="29" t="s">
        <v>1468</v>
      </c>
      <c r="R1267" s="29" t="s">
        <v>1563</v>
      </c>
      <c r="S1267" s="28" t="s">
        <v>1977</v>
      </c>
      <c r="T1267" s="28" t="s">
        <v>1595</v>
      </c>
      <c r="U1267" s="28" t="s">
        <v>1443</v>
      </c>
      <c r="V1267" s="28" t="s">
        <v>1736</v>
      </c>
      <c r="W1267" s="28" t="s">
        <v>11107</v>
      </c>
      <c r="X1267" s="17">
        <v>1</v>
      </c>
      <c r="CJ1267" s="26" t="s">
        <v>1411</v>
      </c>
      <c r="CK1267" s="26" t="s">
        <v>2558</v>
      </c>
      <c r="CL1267" s="26" t="str">
        <f t="shared" si="77"/>
        <v>広島県安芸太田町</v>
      </c>
      <c r="CM1267" s="49">
        <v>1262</v>
      </c>
      <c r="CN1267" s="17" t="str">
        <f t="shared" si="76"/>
        <v>1379</v>
      </c>
      <c r="CO1267" s="17" t="str">
        <f t="shared" si="78"/>
        <v>12621379安芸太田町</v>
      </c>
      <c r="CP1267" s="17" t="s">
        <v>11108</v>
      </c>
      <c r="CQ1267" s="17" t="b">
        <f t="shared" si="79"/>
        <v>1</v>
      </c>
    </row>
    <row r="1268" spans="6:95">
      <c r="F1268" s="23"/>
      <c r="I1268" s="23"/>
      <c r="L1268" s="50" t="s">
        <v>11109</v>
      </c>
      <c r="M1268" s="17" t="s">
        <v>11110</v>
      </c>
      <c r="N1268" s="51" t="s">
        <v>11111</v>
      </c>
      <c r="O1268" s="29" t="s">
        <v>1468</v>
      </c>
      <c r="P1268" s="29" t="s">
        <v>11112</v>
      </c>
      <c r="Q1268" s="29" t="s">
        <v>1468</v>
      </c>
      <c r="R1268" s="29" t="s">
        <v>1625</v>
      </c>
      <c r="S1268" s="28" t="s">
        <v>1743</v>
      </c>
      <c r="T1268" s="28" t="s">
        <v>1657</v>
      </c>
      <c r="U1268" s="28" t="s">
        <v>1443</v>
      </c>
      <c r="V1268" s="28" t="s">
        <v>1736</v>
      </c>
      <c r="W1268" s="28" t="s">
        <v>11113</v>
      </c>
      <c r="X1268" s="17">
        <v>1</v>
      </c>
      <c r="CJ1268" s="26" t="s">
        <v>1411</v>
      </c>
      <c r="CK1268" s="26" t="s">
        <v>2606</v>
      </c>
      <c r="CL1268" s="26" t="str">
        <f t="shared" si="77"/>
        <v>広島県北広島町</v>
      </c>
      <c r="CM1268" s="49">
        <v>1263</v>
      </c>
      <c r="CN1268" s="17" t="str">
        <f t="shared" si="76"/>
        <v>1380</v>
      </c>
      <c r="CO1268" s="17" t="str">
        <f t="shared" si="78"/>
        <v>12631380北広島町</v>
      </c>
      <c r="CP1268" s="17" t="s">
        <v>11114</v>
      </c>
      <c r="CQ1268" s="17" t="b">
        <f t="shared" si="79"/>
        <v>1</v>
      </c>
    </row>
    <row r="1269" spans="6:95">
      <c r="F1269" s="23"/>
      <c r="I1269" s="23"/>
      <c r="L1269" s="50" t="s">
        <v>11115</v>
      </c>
      <c r="M1269" s="17" t="s">
        <v>11116</v>
      </c>
      <c r="N1269" s="51" t="s">
        <v>11117</v>
      </c>
      <c r="O1269" s="29" t="s">
        <v>1468</v>
      </c>
      <c r="P1269" s="29" t="s">
        <v>11118</v>
      </c>
      <c r="Q1269" s="29" t="s">
        <v>1468</v>
      </c>
      <c r="R1269" s="29" t="s">
        <v>1684</v>
      </c>
      <c r="S1269" s="28" t="s">
        <v>1803</v>
      </c>
      <c r="T1269" s="28" t="s">
        <v>1715</v>
      </c>
      <c r="U1269" s="28" t="s">
        <v>1443</v>
      </c>
      <c r="V1269" s="28" t="s">
        <v>1736</v>
      </c>
      <c r="W1269" s="28" t="s">
        <v>11119</v>
      </c>
      <c r="X1269" s="17">
        <v>1</v>
      </c>
      <c r="CJ1269" s="26" t="s">
        <v>1411</v>
      </c>
      <c r="CK1269" s="26" t="s">
        <v>2652</v>
      </c>
      <c r="CL1269" s="26" t="str">
        <f t="shared" si="77"/>
        <v>広島県大崎上島町</v>
      </c>
      <c r="CM1269" s="49">
        <v>1264</v>
      </c>
      <c r="CN1269" s="17" t="str">
        <f t="shared" si="76"/>
        <v>1381</v>
      </c>
      <c r="CO1269" s="17" t="str">
        <f t="shared" si="78"/>
        <v>12641381大崎上島町</v>
      </c>
      <c r="CP1269" s="17" t="s">
        <v>11120</v>
      </c>
      <c r="CQ1269" s="17" t="b">
        <f t="shared" si="79"/>
        <v>1</v>
      </c>
    </row>
    <row r="1270" spans="6:95">
      <c r="F1270" s="23"/>
      <c r="I1270" s="23"/>
      <c r="L1270" s="50" t="s">
        <v>11121</v>
      </c>
      <c r="M1270" s="17" t="s">
        <v>11122</v>
      </c>
      <c r="N1270" s="51" t="s">
        <v>11123</v>
      </c>
      <c r="O1270" s="29" t="s">
        <v>1468</v>
      </c>
      <c r="P1270" s="29" t="s">
        <v>11124</v>
      </c>
      <c r="Q1270" s="29" t="s">
        <v>1468</v>
      </c>
      <c r="R1270" s="29" t="s">
        <v>1742</v>
      </c>
      <c r="S1270" s="28" t="s">
        <v>1626</v>
      </c>
      <c r="T1270" s="28" t="s">
        <v>1774</v>
      </c>
      <c r="U1270" s="28" t="s">
        <v>1443</v>
      </c>
      <c r="V1270" s="28" t="s">
        <v>1736</v>
      </c>
      <c r="W1270" s="28" t="s">
        <v>11125</v>
      </c>
      <c r="X1270" s="17">
        <v>1</v>
      </c>
      <c r="CJ1270" s="26" t="s">
        <v>1411</v>
      </c>
      <c r="CK1270" s="26" t="s">
        <v>2698</v>
      </c>
      <c r="CL1270" s="26" t="str">
        <f t="shared" si="77"/>
        <v>広島県世羅町</v>
      </c>
      <c r="CM1270" s="49">
        <v>1265</v>
      </c>
      <c r="CN1270" s="17" t="str">
        <f t="shared" si="76"/>
        <v>1382</v>
      </c>
      <c r="CO1270" s="17" t="str">
        <f t="shared" si="78"/>
        <v>12651382世羅町</v>
      </c>
      <c r="CP1270" s="17" t="s">
        <v>11126</v>
      </c>
      <c r="CQ1270" s="17" t="b">
        <f t="shared" si="79"/>
        <v>1</v>
      </c>
    </row>
    <row r="1271" spans="6:95">
      <c r="F1271" s="23"/>
      <c r="I1271" s="23"/>
      <c r="L1271" s="50" t="s">
        <v>11127</v>
      </c>
      <c r="M1271" s="17" t="s">
        <v>11128</v>
      </c>
      <c r="N1271" s="51" t="s">
        <v>11129</v>
      </c>
      <c r="O1271" s="29" t="s">
        <v>1468</v>
      </c>
      <c r="P1271" s="29" t="s">
        <v>11130</v>
      </c>
      <c r="Q1271" s="29" t="s">
        <v>1468</v>
      </c>
      <c r="R1271" s="29" t="s">
        <v>1802</v>
      </c>
      <c r="S1271" s="28" t="s">
        <v>1502</v>
      </c>
      <c r="T1271" s="28" t="s">
        <v>1834</v>
      </c>
      <c r="U1271" s="28" t="s">
        <v>1443</v>
      </c>
      <c r="V1271" s="28" t="s">
        <v>1736</v>
      </c>
      <c r="W1271" s="28" t="s">
        <v>11131</v>
      </c>
      <c r="X1271" s="17">
        <v>1</v>
      </c>
      <c r="CJ1271" s="26" t="s">
        <v>1411</v>
      </c>
      <c r="CK1271" s="26" t="s">
        <v>2744</v>
      </c>
      <c r="CL1271" s="26" t="str">
        <f t="shared" si="77"/>
        <v>広島県神石高原町</v>
      </c>
      <c r="CM1271" s="49">
        <v>1266</v>
      </c>
      <c r="CN1271" s="17" t="str">
        <f t="shared" si="76"/>
        <v>1383</v>
      </c>
      <c r="CO1271" s="17" t="str">
        <f t="shared" si="78"/>
        <v>12661383神石高原町</v>
      </c>
      <c r="CP1271" s="17" t="s">
        <v>11132</v>
      </c>
      <c r="CQ1271" s="17" t="b">
        <f t="shared" si="79"/>
        <v>1</v>
      </c>
    </row>
    <row r="1272" spans="6:95">
      <c r="F1272" s="23"/>
      <c r="I1272" s="23"/>
      <c r="L1272" s="50" t="s">
        <v>11133</v>
      </c>
      <c r="M1272" s="17" t="s">
        <v>11134</v>
      </c>
      <c r="N1272" s="51" t="s">
        <v>11135</v>
      </c>
      <c r="O1272" s="29" t="s">
        <v>1468</v>
      </c>
      <c r="P1272" s="29" t="s">
        <v>11136</v>
      </c>
      <c r="Q1272" s="29" t="s">
        <v>1468</v>
      </c>
      <c r="R1272" s="29" t="s">
        <v>1861</v>
      </c>
      <c r="S1272" s="28" t="s">
        <v>2525</v>
      </c>
      <c r="T1272" s="28" t="s">
        <v>1893</v>
      </c>
      <c r="U1272" s="28" t="s">
        <v>1443</v>
      </c>
      <c r="V1272" s="28" t="s">
        <v>1736</v>
      </c>
      <c r="W1272" s="28" t="s">
        <v>11137</v>
      </c>
      <c r="X1272" s="17">
        <v>1</v>
      </c>
      <c r="CJ1272" s="26" t="s">
        <v>1412</v>
      </c>
      <c r="CK1272" s="26" t="s">
        <v>1538</v>
      </c>
      <c r="CL1272" s="26" t="str">
        <f t="shared" si="77"/>
        <v>山口県下関市</v>
      </c>
      <c r="CM1272" s="49">
        <v>1267</v>
      </c>
      <c r="CN1272" s="17" t="str">
        <f t="shared" si="76"/>
        <v>1384</v>
      </c>
      <c r="CO1272" s="17" t="str">
        <f t="shared" si="78"/>
        <v>12671384下関市</v>
      </c>
      <c r="CP1272" s="17" t="s">
        <v>11138</v>
      </c>
      <c r="CQ1272" s="17" t="b">
        <f t="shared" si="79"/>
        <v>1</v>
      </c>
    </row>
    <row r="1273" spans="6:95">
      <c r="F1273" s="23"/>
      <c r="I1273" s="23"/>
      <c r="L1273" s="50" t="s">
        <v>11139</v>
      </c>
      <c r="M1273" s="17" t="s">
        <v>11140</v>
      </c>
      <c r="N1273" s="51" t="s">
        <v>11141</v>
      </c>
      <c r="O1273" s="29" t="s">
        <v>1468</v>
      </c>
      <c r="P1273" s="29" t="s">
        <v>11142</v>
      </c>
      <c r="Q1273" s="29" t="s">
        <v>1468</v>
      </c>
      <c r="R1273" s="29" t="s">
        <v>1919</v>
      </c>
      <c r="S1273" s="28" t="s">
        <v>2311</v>
      </c>
      <c r="T1273" s="28" t="s">
        <v>1951</v>
      </c>
      <c r="U1273" s="28" t="s">
        <v>1443</v>
      </c>
      <c r="V1273" s="28" t="s">
        <v>1736</v>
      </c>
      <c r="W1273" s="28" t="s">
        <v>11143</v>
      </c>
      <c r="X1273" s="17">
        <v>1</v>
      </c>
      <c r="CJ1273" s="26" t="s">
        <v>1412</v>
      </c>
      <c r="CK1273" s="26" t="s">
        <v>1600</v>
      </c>
      <c r="CL1273" s="26" t="str">
        <f t="shared" si="77"/>
        <v>山口県宇部市</v>
      </c>
      <c r="CM1273" s="49">
        <v>1268</v>
      </c>
      <c r="CN1273" s="17" t="str">
        <f t="shared" si="76"/>
        <v>1385</v>
      </c>
      <c r="CO1273" s="17" t="str">
        <f t="shared" si="78"/>
        <v>12681385宇部市</v>
      </c>
      <c r="CP1273" s="17" t="s">
        <v>11144</v>
      </c>
      <c r="CQ1273" s="17" t="b">
        <f t="shared" si="79"/>
        <v>1</v>
      </c>
    </row>
    <row r="1274" spans="6:95">
      <c r="F1274" s="23"/>
      <c r="I1274" s="23"/>
      <c r="L1274" s="50" t="s">
        <v>11145</v>
      </c>
      <c r="M1274" s="17" t="s">
        <v>11146</v>
      </c>
      <c r="N1274" s="51" t="s">
        <v>11147</v>
      </c>
      <c r="O1274" s="29" t="s">
        <v>1468</v>
      </c>
      <c r="P1274" s="29" t="s">
        <v>11148</v>
      </c>
      <c r="Q1274" s="29" t="s">
        <v>1468</v>
      </c>
      <c r="R1274" s="29" t="s">
        <v>1976</v>
      </c>
      <c r="S1274" s="28" t="s">
        <v>1564</v>
      </c>
      <c r="T1274" s="28" t="s">
        <v>2008</v>
      </c>
      <c r="U1274" s="28" t="s">
        <v>1443</v>
      </c>
      <c r="V1274" s="28" t="s">
        <v>1736</v>
      </c>
      <c r="W1274" s="28" t="s">
        <v>11148</v>
      </c>
      <c r="X1274" s="17">
        <v>1</v>
      </c>
      <c r="CJ1274" s="26" t="s">
        <v>1412</v>
      </c>
      <c r="CK1274" s="26" t="s">
        <v>1662</v>
      </c>
      <c r="CL1274" s="26" t="str">
        <f t="shared" si="77"/>
        <v>山口県山口市</v>
      </c>
      <c r="CM1274" s="49">
        <v>1269</v>
      </c>
      <c r="CN1274" s="17" t="str">
        <f t="shared" si="76"/>
        <v>1386</v>
      </c>
      <c r="CO1274" s="17" t="str">
        <f t="shared" si="78"/>
        <v>12691386山口市</v>
      </c>
      <c r="CP1274" s="17" t="s">
        <v>11149</v>
      </c>
      <c r="CQ1274" s="17" t="b">
        <f t="shared" si="79"/>
        <v>1</v>
      </c>
    </row>
    <row r="1275" spans="6:95">
      <c r="F1275" s="23"/>
      <c r="I1275" s="23"/>
      <c r="L1275" s="50" t="s">
        <v>11150</v>
      </c>
      <c r="M1275" s="17" t="s">
        <v>11151</v>
      </c>
      <c r="N1275" s="51" t="s">
        <v>11152</v>
      </c>
      <c r="O1275" s="29" t="s">
        <v>1468</v>
      </c>
      <c r="P1275" s="29" t="s">
        <v>11153</v>
      </c>
      <c r="Q1275" s="29" t="s">
        <v>1468</v>
      </c>
      <c r="R1275" s="29" t="s">
        <v>3173</v>
      </c>
      <c r="S1275" s="28" t="s">
        <v>1862</v>
      </c>
      <c r="T1275" s="28" t="s">
        <v>2064</v>
      </c>
      <c r="U1275" s="28" t="s">
        <v>1443</v>
      </c>
      <c r="V1275" s="28" t="s">
        <v>1736</v>
      </c>
      <c r="W1275" s="28" t="s">
        <v>11154</v>
      </c>
      <c r="X1275" s="17">
        <v>1</v>
      </c>
      <c r="CJ1275" s="26" t="s">
        <v>1412</v>
      </c>
      <c r="CK1275" s="26" t="s">
        <v>1720</v>
      </c>
      <c r="CL1275" s="26" t="str">
        <f t="shared" si="77"/>
        <v>山口県萩市</v>
      </c>
      <c r="CM1275" s="49">
        <v>1270</v>
      </c>
      <c r="CN1275" s="17" t="str">
        <f t="shared" si="76"/>
        <v>1387</v>
      </c>
      <c r="CO1275" s="17" t="str">
        <f t="shared" si="78"/>
        <v>12701387萩市</v>
      </c>
      <c r="CP1275" s="17" t="s">
        <v>11155</v>
      </c>
      <c r="CQ1275" s="17" t="b">
        <f t="shared" si="79"/>
        <v>1</v>
      </c>
    </row>
    <row r="1276" spans="6:95">
      <c r="F1276" s="23"/>
      <c r="I1276" s="23"/>
      <c r="L1276" s="50" t="s">
        <v>11156</v>
      </c>
      <c r="M1276" s="17" t="s">
        <v>11157</v>
      </c>
      <c r="N1276" s="51" t="s">
        <v>11158</v>
      </c>
      <c r="O1276" s="29" t="s">
        <v>1468</v>
      </c>
      <c r="P1276" s="29" t="s">
        <v>11159</v>
      </c>
      <c r="Q1276" s="29" t="s">
        <v>1468</v>
      </c>
      <c r="R1276" s="29" t="s">
        <v>5197</v>
      </c>
      <c r="S1276" s="28" t="s">
        <v>1803</v>
      </c>
      <c r="T1276" s="28" t="s">
        <v>2120</v>
      </c>
      <c r="U1276" s="28" t="s">
        <v>1443</v>
      </c>
      <c r="V1276" s="28" t="s">
        <v>1736</v>
      </c>
      <c r="W1276" s="28" t="s">
        <v>11160</v>
      </c>
      <c r="X1276" s="17">
        <v>1</v>
      </c>
      <c r="CJ1276" s="26" t="s">
        <v>1412</v>
      </c>
      <c r="CK1276" s="26" t="s">
        <v>1779</v>
      </c>
      <c r="CL1276" s="26" t="str">
        <f t="shared" si="77"/>
        <v>山口県防府市</v>
      </c>
      <c r="CM1276" s="49">
        <v>1271</v>
      </c>
      <c r="CN1276" s="17" t="str">
        <f t="shared" si="76"/>
        <v>1388</v>
      </c>
      <c r="CO1276" s="17" t="str">
        <f t="shared" si="78"/>
        <v>12711388防府市</v>
      </c>
      <c r="CP1276" s="17" t="s">
        <v>11161</v>
      </c>
      <c r="CQ1276" s="17" t="b">
        <f t="shared" si="79"/>
        <v>1</v>
      </c>
    </row>
    <row r="1277" spans="6:95">
      <c r="F1277" s="23"/>
      <c r="I1277" s="23"/>
      <c r="L1277" s="50" t="s">
        <v>11162</v>
      </c>
      <c r="M1277" s="17" t="s">
        <v>11163</v>
      </c>
      <c r="N1277" s="51" t="s">
        <v>11164</v>
      </c>
      <c r="O1277" s="29" t="s">
        <v>1468</v>
      </c>
      <c r="P1277" s="29" t="s">
        <v>11165</v>
      </c>
      <c r="Q1277" s="29" t="s">
        <v>1468</v>
      </c>
      <c r="R1277" s="29" t="s">
        <v>3316</v>
      </c>
      <c r="S1277" s="28" t="s">
        <v>1920</v>
      </c>
      <c r="T1277" s="28" t="s">
        <v>2176</v>
      </c>
      <c r="U1277" s="28" t="s">
        <v>1443</v>
      </c>
      <c r="V1277" s="28" t="s">
        <v>1736</v>
      </c>
      <c r="W1277" s="28" t="s">
        <v>11166</v>
      </c>
      <c r="X1277" s="17">
        <v>1</v>
      </c>
      <c r="CJ1277" s="26" t="s">
        <v>1412</v>
      </c>
      <c r="CK1277" s="26" t="s">
        <v>1839</v>
      </c>
      <c r="CL1277" s="26" t="str">
        <f t="shared" si="77"/>
        <v>山口県下松市</v>
      </c>
      <c r="CM1277" s="49">
        <v>1272</v>
      </c>
      <c r="CN1277" s="17" t="str">
        <f t="shared" si="76"/>
        <v>1389</v>
      </c>
      <c r="CO1277" s="17" t="str">
        <f t="shared" si="78"/>
        <v>12721389下松市</v>
      </c>
      <c r="CP1277" s="17" t="s">
        <v>11167</v>
      </c>
      <c r="CQ1277" s="17" t="b">
        <f t="shared" si="79"/>
        <v>1</v>
      </c>
    </row>
    <row r="1278" spans="6:95">
      <c r="F1278" s="23"/>
      <c r="I1278" s="23"/>
      <c r="L1278" s="50" t="s">
        <v>11168</v>
      </c>
      <c r="M1278" s="17" t="s">
        <v>11169</v>
      </c>
      <c r="N1278" s="51" t="s">
        <v>11170</v>
      </c>
      <c r="O1278" s="29" t="s">
        <v>1468</v>
      </c>
      <c r="P1278" s="29" t="s">
        <v>11171</v>
      </c>
      <c r="Q1278" s="29" t="s">
        <v>1468</v>
      </c>
      <c r="R1278" s="29" t="s">
        <v>5767</v>
      </c>
      <c r="S1278" s="28" t="s">
        <v>1977</v>
      </c>
      <c r="T1278" s="28" t="s">
        <v>2231</v>
      </c>
      <c r="U1278" s="28" t="s">
        <v>1443</v>
      </c>
      <c r="V1278" s="28" t="s">
        <v>1736</v>
      </c>
      <c r="W1278" s="28" t="s">
        <v>11172</v>
      </c>
      <c r="X1278" s="17">
        <v>1</v>
      </c>
      <c r="CJ1278" s="26" t="s">
        <v>1412</v>
      </c>
      <c r="CK1278" s="26" t="s">
        <v>1898</v>
      </c>
      <c r="CL1278" s="26" t="str">
        <f t="shared" si="77"/>
        <v>山口県岩国市</v>
      </c>
      <c r="CM1278" s="49">
        <v>1273</v>
      </c>
      <c r="CN1278" s="17" t="str">
        <f t="shared" si="76"/>
        <v>1390</v>
      </c>
      <c r="CO1278" s="17" t="str">
        <f t="shared" si="78"/>
        <v>12731390岩国市</v>
      </c>
      <c r="CP1278" s="17" t="s">
        <v>11173</v>
      </c>
      <c r="CQ1278" s="17" t="b">
        <f t="shared" si="79"/>
        <v>1</v>
      </c>
    </row>
    <row r="1279" spans="6:95">
      <c r="F1279" s="23"/>
      <c r="I1279" s="23"/>
      <c r="L1279" s="50" t="s">
        <v>11174</v>
      </c>
      <c r="M1279" s="17" t="s">
        <v>11175</v>
      </c>
      <c r="N1279" s="51" t="s">
        <v>11176</v>
      </c>
      <c r="O1279" s="29" t="s">
        <v>1468</v>
      </c>
      <c r="P1279" s="29" t="s">
        <v>11177</v>
      </c>
      <c r="Q1279" s="29" t="s">
        <v>1468</v>
      </c>
      <c r="R1279" s="29" t="s">
        <v>3395</v>
      </c>
      <c r="S1279" s="28" t="s">
        <v>1862</v>
      </c>
      <c r="T1279" s="28" t="s">
        <v>2286</v>
      </c>
      <c r="U1279" s="28" t="s">
        <v>1443</v>
      </c>
      <c r="V1279" s="28" t="s">
        <v>1736</v>
      </c>
      <c r="W1279" s="28" t="s">
        <v>11178</v>
      </c>
      <c r="X1279" s="17">
        <v>1</v>
      </c>
      <c r="CJ1279" s="26" t="s">
        <v>1412</v>
      </c>
      <c r="CK1279" s="26" t="s">
        <v>1956</v>
      </c>
      <c r="CL1279" s="26" t="str">
        <f t="shared" si="77"/>
        <v>山口県光市</v>
      </c>
      <c r="CM1279" s="49">
        <v>1274</v>
      </c>
      <c r="CN1279" s="17" t="str">
        <f t="shared" si="76"/>
        <v>1391</v>
      </c>
      <c r="CO1279" s="17" t="str">
        <f t="shared" si="78"/>
        <v>12741391光市</v>
      </c>
      <c r="CP1279" s="17" t="s">
        <v>11179</v>
      </c>
      <c r="CQ1279" s="17" t="b">
        <f t="shared" si="79"/>
        <v>1</v>
      </c>
    </row>
    <row r="1280" spans="6:95">
      <c r="F1280" s="23"/>
      <c r="I1280" s="23"/>
      <c r="L1280" s="50" t="s">
        <v>11180</v>
      </c>
      <c r="M1280" s="17" t="s">
        <v>11181</v>
      </c>
      <c r="N1280" s="51" t="s">
        <v>11182</v>
      </c>
      <c r="O1280" s="29" t="s">
        <v>1468</v>
      </c>
      <c r="P1280" s="29" t="s">
        <v>11183</v>
      </c>
      <c r="Q1280" s="29" t="s">
        <v>1468</v>
      </c>
      <c r="R1280" s="29" t="s">
        <v>3411</v>
      </c>
      <c r="S1280" s="28" t="s">
        <v>1920</v>
      </c>
      <c r="T1280" s="28" t="s">
        <v>2342</v>
      </c>
      <c r="U1280" s="28" t="s">
        <v>1443</v>
      </c>
      <c r="V1280" s="28" t="s">
        <v>1736</v>
      </c>
      <c r="W1280" s="28" t="s">
        <v>11184</v>
      </c>
      <c r="X1280" s="17">
        <v>1</v>
      </c>
      <c r="CJ1280" s="26" t="s">
        <v>1412</v>
      </c>
      <c r="CK1280" s="26" t="s">
        <v>2013</v>
      </c>
      <c r="CL1280" s="26" t="str">
        <f t="shared" si="77"/>
        <v>山口県長門市</v>
      </c>
      <c r="CM1280" s="49">
        <v>1275</v>
      </c>
      <c r="CN1280" s="17" t="str">
        <f t="shared" si="76"/>
        <v>1392</v>
      </c>
      <c r="CO1280" s="17" t="str">
        <f t="shared" si="78"/>
        <v>12751392長門市</v>
      </c>
      <c r="CP1280" s="17" t="s">
        <v>11185</v>
      </c>
      <c r="CQ1280" s="17" t="b">
        <f t="shared" si="79"/>
        <v>1</v>
      </c>
    </row>
    <row r="1281" spans="6:95">
      <c r="F1281" s="23"/>
      <c r="I1281" s="23"/>
      <c r="L1281" s="50" t="s">
        <v>11186</v>
      </c>
      <c r="M1281" s="17" t="s">
        <v>11187</v>
      </c>
      <c r="N1281" s="51" t="s">
        <v>11188</v>
      </c>
      <c r="O1281" s="29" t="s">
        <v>1468</v>
      </c>
      <c r="P1281" s="29" t="s">
        <v>11189</v>
      </c>
      <c r="Q1281" s="29" t="s">
        <v>1468</v>
      </c>
      <c r="R1281" s="29" t="s">
        <v>4925</v>
      </c>
      <c r="S1281" s="28" t="s">
        <v>1626</v>
      </c>
      <c r="T1281" s="28" t="s">
        <v>2396</v>
      </c>
      <c r="U1281" s="28" t="s">
        <v>1443</v>
      </c>
      <c r="V1281" s="28" t="s">
        <v>1736</v>
      </c>
      <c r="W1281" s="28" t="s">
        <v>11190</v>
      </c>
      <c r="X1281" s="17">
        <v>1</v>
      </c>
      <c r="CJ1281" s="26" t="s">
        <v>1412</v>
      </c>
      <c r="CK1281" s="26" t="s">
        <v>2069</v>
      </c>
      <c r="CL1281" s="26" t="str">
        <f t="shared" si="77"/>
        <v>山口県柳井市</v>
      </c>
      <c r="CM1281" s="49">
        <v>1276</v>
      </c>
      <c r="CN1281" s="17" t="str">
        <f t="shared" si="76"/>
        <v>1393</v>
      </c>
      <c r="CO1281" s="17" t="str">
        <f t="shared" si="78"/>
        <v>12761393柳井市</v>
      </c>
      <c r="CP1281" s="17" t="s">
        <v>11191</v>
      </c>
      <c r="CQ1281" s="17" t="b">
        <f t="shared" si="79"/>
        <v>1</v>
      </c>
    </row>
    <row r="1282" spans="6:95">
      <c r="F1282" s="23"/>
      <c r="I1282" s="23"/>
      <c r="L1282" s="50" t="s">
        <v>11192</v>
      </c>
      <c r="M1282" s="17" t="s">
        <v>11193</v>
      </c>
      <c r="N1282" s="51" t="s">
        <v>11194</v>
      </c>
      <c r="O1282" s="29" t="s">
        <v>1468</v>
      </c>
      <c r="P1282" s="29" t="s">
        <v>11195</v>
      </c>
      <c r="Q1282" s="29" t="s">
        <v>1468</v>
      </c>
      <c r="R1282" s="29" t="s">
        <v>4716</v>
      </c>
      <c r="S1282" s="28" t="s">
        <v>1920</v>
      </c>
      <c r="T1282" s="28" t="s">
        <v>2164</v>
      </c>
      <c r="U1282" s="28" t="s">
        <v>1443</v>
      </c>
      <c r="V1282" s="28" t="s">
        <v>1736</v>
      </c>
      <c r="W1282" s="28" t="s">
        <v>11196</v>
      </c>
      <c r="X1282" s="17">
        <v>1</v>
      </c>
      <c r="CJ1282" s="26" t="s">
        <v>1412</v>
      </c>
      <c r="CK1282" s="26" t="s">
        <v>2125</v>
      </c>
      <c r="CL1282" s="26" t="str">
        <f t="shared" si="77"/>
        <v>山口県美祢市</v>
      </c>
      <c r="CM1282" s="49">
        <v>1277</v>
      </c>
      <c r="CN1282" s="17" t="str">
        <f t="shared" si="76"/>
        <v>1394</v>
      </c>
      <c r="CO1282" s="17" t="str">
        <f t="shared" si="78"/>
        <v>12771394美祢市</v>
      </c>
      <c r="CP1282" s="17" t="s">
        <v>11197</v>
      </c>
      <c r="CQ1282" s="17" t="b">
        <f t="shared" si="79"/>
        <v>1</v>
      </c>
    </row>
    <row r="1283" spans="6:95">
      <c r="F1283" s="23"/>
      <c r="I1283" s="23"/>
      <c r="L1283" s="50" t="s">
        <v>11198</v>
      </c>
      <c r="M1283" s="17" t="s">
        <v>11199</v>
      </c>
      <c r="N1283" s="51" t="s">
        <v>11200</v>
      </c>
      <c r="O1283" s="29" t="s">
        <v>1468</v>
      </c>
      <c r="P1283" s="29" t="s">
        <v>11201</v>
      </c>
      <c r="Q1283" s="29" t="s">
        <v>1468</v>
      </c>
      <c r="R1283" s="29" t="s">
        <v>5614</v>
      </c>
      <c r="S1283" s="28" t="s">
        <v>1977</v>
      </c>
      <c r="T1283" s="28" t="s">
        <v>2502</v>
      </c>
      <c r="U1283" s="28" t="s">
        <v>1443</v>
      </c>
      <c r="V1283" s="28" t="s">
        <v>1736</v>
      </c>
      <c r="W1283" s="28" t="s">
        <v>11202</v>
      </c>
      <c r="X1283" s="17">
        <v>1</v>
      </c>
      <c r="CJ1283" s="26" t="s">
        <v>1412</v>
      </c>
      <c r="CK1283" s="26" t="s">
        <v>2181</v>
      </c>
      <c r="CL1283" s="26" t="str">
        <f t="shared" si="77"/>
        <v>山口県周南市</v>
      </c>
      <c r="CM1283" s="49">
        <v>1278</v>
      </c>
      <c r="CN1283" s="17" t="str">
        <f t="shared" si="76"/>
        <v>1395</v>
      </c>
      <c r="CO1283" s="17" t="str">
        <f t="shared" si="78"/>
        <v>12781395周南市</v>
      </c>
      <c r="CP1283" s="17" t="s">
        <v>11203</v>
      </c>
      <c r="CQ1283" s="17" t="b">
        <f t="shared" si="79"/>
        <v>1</v>
      </c>
    </row>
    <row r="1284" spans="6:95">
      <c r="F1284" s="23"/>
      <c r="I1284" s="23"/>
      <c r="L1284" s="50" t="s">
        <v>11204</v>
      </c>
      <c r="M1284" s="17" t="s">
        <v>11205</v>
      </c>
      <c r="N1284" s="51" t="s">
        <v>11206</v>
      </c>
      <c r="O1284" s="29" t="s">
        <v>1468</v>
      </c>
      <c r="P1284" s="29" t="s">
        <v>11207</v>
      </c>
      <c r="Q1284" s="29" t="s">
        <v>1468</v>
      </c>
      <c r="R1284" s="29" t="s">
        <v>6536</v>
      </c>
      <c r="S1284" s="28" t="s">
        <v>1743</v>
      </c>
      <c r="T1284" s="28" t="s">
        <v>2554</v>
      </c>
      <c r="U1284" s="28" t="s">
        <v>1443</v>
      </c>
      <c r="V1284" s="28" t="s">
        <v>1736</v>
      </c>
      <c r="W1284" s="28" t="s">
        <v>11208</v>
      </c>
      <c r="X1284" s="17">
        <v>1</v>
      </c>
      <c r="CJ1284" s="26" t="s">
        <v>1412</v>
      </c>
      <c r="CK1284" s="26" t="s">
        <v>2236</v>
      </c>
      <c r="CL1284" s="26" t="str">
        <f t="shared" si="77"/>
        <v>山口県山陽小野田市</v>
      </c>
      <c r="CM1284" s="49">
        <v>1279</v>
      </c>
      <c r="CN1284" s="17" t="str">
        <f t="shared" si="76"/>
        <v>1396</v>
      </c>
      <c r="CO1284" s="17" t="str">
        <f t="shared" si="78"/>
        <v>12791396山陽小野田市</v>
      </c>
      <c r="CP1284" s="17" t="s">
        <v>11209</v>
      </c>
      <c r="CQ1284" s="17" t="b">
        <f t="shared" si="79"/>
        <v>1</v>
      </c>
    </row>
    <row r="1285" spans="6:95">
      <c r="F1285" s="23"/>
      <c r="I1285" s="23"/>
      <c r="L1285" s="50" t="s">
        <v>11210</v>
      </c>
      <c r="M1285" s="17" t="s">
        <v>11211</v>
      </c>
      <c r="N1285" s="51" t="s">
        <v>11212</v>
      </c>
      <c r="O1285" s="29" t="s">
        <v>1468</v>
      </c>
      <c r="P1285" s="29" t="s">
        <v>11213</v>
      </c>
      <c r="Q1285" s="29" t="s">
        <v>1468</v>
      </c>
      <c r="R1285" s="29" t="s">
        <v>11214</v>
      </c>
      <c r="S1285" s="28" t="s">
        <v>1626</v>
      </c>
      <c r="T1285" s="28" t="s">
        <v>2602</v>
      </c>
      <c r="U1285" s="28" t="s">
        <v>1443</v>
      </c>
      <c r="V1285" s="28" t="s">
        <v>1736</v>
      </c>
      <c r="W1285" s="28" t="s">
        <v>11213</v>
      </c>
      <c r="X1285" s="17">
        <v>1</v>
      </c>
      <c r="CJ1285" s="26" t="s">
        <v>1412</v>
      </c>
      <c r="CK1285" s="26" t="s">
        <v>2291</v>
      </c>
      <c r="CL1285" s="26" t="str">
        <f t="shared" si="77"/>
        <v>山口県周防大島町</v>
      </c>
      <c r="CM1285" s="49">
        <v>1280</v>
      </c>
      <c r="CN1285" s="17" t="str">
        <f t="shared" si="76"/>
        <v>1397</v>
      </c>
      <c r="CO1285" s="17" t="str">
        <f t="shared" si="78"/>
        <v>12801397周防大島町</v>
      </c>
      <c r="CP1285" s="17" t="s">
        <v>11215</v>
      </c>
      <c r="CQ1285" s="17" t="b">
        <f t="shared" si="79"/>
        <v>1</v>
      </c>
    </row>
    <row r="1286" spans="6:95">
      <c r="F1286" s="23"/>
      <c r="I1286" s="23"/>
      <c r="L1286" s="50" t="s">
        <v>11216</v>
      </c>
      <c r="M1286" s="17" t="s">
        <v>11217</v>
      </c>
      <c r="N1286" s="51" t="s">
        <v>11218</v>
      </c>
      <c r="O1286" s="29" t="s">
        <v>1468</v>
      </c>
      <c r="P1286" s="29" t="s">
        <v>11219</v>
      </c>
      <c r="Q1286" s="29" t="s">
        <v>1468</v>
      </c>
      <c r="R1286" s="29" t="s">
        <v>4436</v>
      </c>
      <c r="S1286" s="28" t="s">
        <v>1502</v>
      </c>
      <c r="T1286" s="28" t="s">
        <v>2649</v>
      </c>
      <c r="U1286" s="28" t="s">
        <v>1443</v>
      </c>
      <c r="V1286" s="28" t="s">
        <v>1736</v>
      </c>
      <c r="W1286" s="28" t="s">
        <v>11219</v>
      </c>
      <c r="X1286" s="17">
        <v>1</v>
      </c>
      <c r="CJ1286" s="26" t="s">
        <v>1412</v>
      </c>
      <c r="CK1286" s="26" t="s">
        <v>2346</v>
      </c>
      <c r="CL1286" s="26" t="str">
        <f t="shared" si="77"/>
        <v>山口県和木町</v>
      </c>
      <c r="CM1286" s="49">
        <v>1281</v>
      </c>
      <c r="CN1286" s="17" t="str">
        <f t="shared" ref="CN1286:CN1349" si="80">VLOOKUP(CL1286,$M$6:$N$1784,2,FALSE)</f>
        <v>1398</v>
      </c>
      <c r="CO1286" s="17" t="str">
        <f t="shared" si="78"/>
        <v>12811398和木町</v>
      </c>
      <c r="CP1286" s="17" t="s">
        <v>11220</v>
      </c>
      <c r="CQ1286" s="17" t="b">
        <f t="shared" si="79"/>
        <v>1</v>
      </c>
    </row>
    <row r="1287" spans="6:95">
      <c r="F1287" s="23"/>
      <c r="I1287" s="23"/>
      <c r="L1287" s="50" t="s">
        <v>11221</v>
      </c>
      <c r="M1287" s="17" t="s">
        <v>11222</v>
      </c>
      <c r="N1287" s="51" t="s">
        <v>11223</v>
      </c>
      <c r="O1287" s="29" t="s">
        <v>1468</v>
      </c>
      <c r="P1287" s="29" t="s">
        <v>11224</v>
      </c>
      <c r="Q1287" s="29" t="s">
        <v>1468</v>
      </c>
      <c r="R1287" s="29" t="s">
        <v>3498</v>
      </c>
      <c r="S1287" s="28" t="s">
        <v>2525</v>
      </c>
      <c r="T1287" s="28" t="s">
        <v>2695</v>
      </c>
      <c r="U1287" s="28" t="s">
        <v>1443</v>
      </c>
      <c r="V1287" s="28" t="s">
        <v>1736</v>
      </c>
      <c r="W1287" s="28" t="s">
        <v>11224</v>
      </c>
      <c r="X1287" s="17">
        <v>1</v>
      </c>
      <c r="CJ1287" s="26" t="s">
        <v>1412</v>
      </c>
      <c r="CK1287" s="26" t="s">
        <v>2401</v>
      </c>
      <c r="CL1287" s="26" t="str">
        <f t="shared" si="77"/>
        <v>山口県上関町</v>
      </c>
      <c r="CM1287" s="49">
        <v>1282</v>
      </c>
      <c r="CN1287" s="17" t="str">
        <f t="shared" si="80"/>
        <v>1399</v>
      </c>
      <c r="CO1287" s="17" t="str">
        <f t="shared" si="78"/>
        <v>12821399上関町</v>
      </c>
      <c r="CP1287" s="17" t="s">
        <v>11225</v>
      </c>
      <c r="CQ1287" s="17" t="b">
        <f t="shared" si="79"/>
        <v>1</v>
      </c>
    </row>
    <row r="1288" spans="6:95">
      <c r="F1288" s="23"/>
      <c r="I1288" s="23"/>
      <c r="L1288" s="50" t="s">
        <v>11226</v>
      </c>
      <c r="M1288" s="17" t="s">
        <v>11227</v>
      </c>
      <c r="N1288" s="51" t="s">
        <v>11228</v>
      </c>
      <c r="O1288" s="29" t="s">
        <v>1468</v>
      </c>
      <c r="P1288" s="29" t="s">
        <v>11229</v>
      </c>
      <c r="Q1288" s="29" t="s">
        <v>1468</v>
      </c>
      <c r="R1288" s="29" t="s">
        <v>4507</v>
      </c>
      <c r="S1288" s="28" t="s">
        <v>1743</v>
      </c>
      <c r="T1288" s="28" t="s">
        <v>2741</v>
      </c>
      <c r="U1288" s="28" t="s">
        <v>1443</v>
      </c>
      <c r="V1288" s="28" t="s">
        <v>1736</v>
      </c>
      <c r="W1288" s="28" t="s">
        <v>11230</v>
      </c>
      <c r="X1288" s="17">
        <v>1</v>
      </c>
      <c r="CJ1288" s="26" t="s">
        <v>1412</v>
      </c>
      <c r="CK1288" s="26" t="s">
        <v>2455</v>
      </c>
      <c r="CL1288" s="26" t="str">
        <f t="shared" ref="CL1288:CL1351" si="81">CJ1288&amp;CK1288</f>
        <v>山口県田布施町</v>
      </c>
      <c r="CM1288" s="49">
        <v>1283</v>
      </c>
      <c r="CN1288" s="17" t="str">
        <f t="shared" si="80"/>
        <v>1400</v>
      </c>
      <c r="CO1288" s="17" t="str">
        <f t="shared" ref="CO1288:CO1351" si="82">CM1288&amp;TEXT(CN1288,0)&amp;CK1288</f>
        <v>12831400田布施町</v>
      </c>
      <c r="CP1288" s="17" t="s">
        <v>11231</v>
      </c>
      <c r="CQ1288" s="17" t="b">
        <f t="shared" ref="CQ1288:CQ1351" si="83">CO1288=CP1288</f>
        <v>1</v>
      </c>
    </row>
    <row r="1289" spans="6:95">
      <c r="F1289" s="23"/>
      <c r="I1289" s="23"/>
      <c r="L1289" s="50" t="s">
        <v>11232</v>
      </c>
      <c r="M1289" s="17" t="s">
        <v>11233</v>
      </c>
      <c r="N1289" s="51" t="s">
        <v>11234</v>
      </c>
      <c r="O1289" s="29" t="s">
        <v>1468</v>
      </c>
      <c r="P1289" s="29" t="s">
        <v>11235</v>
      </c>
      <c r="Q1289" s="29" t="s">
        <v>1468</v>
      </c>
      <c r="R1289" s="29" t="s">
        <v>4523</v>
      </c>
      <c r="S1289" s="28" t="s">
        <v>1920</v>
      </c>
      <c r="T1289" s="28" t="s">
        <v>2785</v>
      </c>
      <c r="U1289" s="28" t="s">
        <v>1443</v>
      </c>
      <c r="V1289" s="28" t="s">
        <v>1736</v>
      </c>
      <c r="W1289" s="28" t="s">
        <v>11236</v>
      </c>
      <c r="X1289" s="17">
        <v>1</v>
      </c>
      <c r="CJ1289" s="26" t="s">
        <v>1412</v>
      </c>
      <c r="CK1289" s="26" t="s">
        <v>2506</v>
      </c>
      <c r="CL1289" s="26" t="str">
        <f t="shared" si="81"/>
        <v>山口県平生町</v>
      </c>
      <c r="CM1289" s="49">
        <v>1284</v>
      </c>
      <c r="CN1289" s="17" t="str">
        <f t="shared" si="80"/>
        <v>1401</v>
      </c>
      <c r="CO1289" s="17" t="str">
        <f t="shared" si="82"/>
        <v>12841401平生町</v>
      </c>
      <c r="CP1289" s="17" t="s">
        <v>11237</v>
      </c>
      <c r="CQ1289" s="17" t="b">
        <f t="shared" si="83"/>
        <v>1</v>
      </c>
    </row>
    <row r="1290" spans="6:95">
      <c r="F1290" s="23"/>
      <c r="I1290" s="23"/>
      <c r="L1290" s="50" t="s">
        <v>11238</v>
      </c>
      <c r="M1290" s="17" t="s">
        <v>11239</v>
      </c>
      <c r="N1290" s="51" t="s">
        <v>11240</v>
      </c>
      <c r="O1290" s="29" t="s">
        <v>1468</v>
      </c>
      <c r="P1290" s="29" t="s">
        <v>11241</v>
      </c>
      <c r="Q1290" s="29" t="s">
        <v>1468</v>
      </c>
      <c r="R1290" s="29" t="s">
        <v>4539</v>
      </c>
      <c r="S1290" s="28" t="s">
        <v>2311</v>
      </c>
      <c r="T1290" s="28" t="s">
        <v>2827</v>
      </c>
      <c r="U1290" s="28" t="s">
        <v>1443</v>
      </c>
      <c r="V1290" s="28" t="s">
        <v>1736</v>
      </c>
      <c r="W1290" s="28" t="s">
        <v>11242</v>
      </c>
      <c r="X1290" s="17">
        <v>1</v>
      </c>
      <c r="CJ1290" s="26" t="s">
        <v>1412</v>
      </c>
      <c r="CK1290" s="26" t="s">
        <v>2559</v>
      </c>
      <c r="CL1290" s="26" t="str">
        <f t="shared" si="81"/>
        <v>山口県阿武町</v>
      </c>
      <c r="CM1290" s="49">
        <v>1285</v>
      </c>
      <c r="CN1290" s="17" t="str">
        <f t="shared" si="80"/>
        <v>1402</v>
      </c>
      <c r="CO1290" s="17" t="str">
        <f t="shared" si="82"/>
        <v>12851402阿武町</v>
      </c>
      <c r="CP1290" s="17" t="s">
        <v>11243</v>
      </c>
      <c r="CQ1290" s="17" t="b">
        <f t="shared" si="83"/>
        <v>1</v>
      </c>
    </row>
    <row r="1291" spans="6:95">
      <c r="F1291" s="23"/>
      <c r="I1291" s="23"/>
      <c r="L1291" s="50" t="s">
        <v>11244</v>
      </c>
      <c r="M1291" s="17" t="s">
        <v>11245</v>
      </c>
      <c r="N1291" s="51" t="s">
        <v>11246</v>
      </c>
      <c r="O1291" s="29" t="s">
        <v>1468</v>
      </c>
      <c r="P1291" s="29" t="s">
        <v>11247</v>
      </c>
      <c r="Q1291" s="29" t="s">
        <v>1468</v>
      </c>
      <c r="R1291" s="29" t="s">
        <v>5233</v>
      </c>
      <c r="S1291" s="28" t="s">
        <v>1803</v>
      </c>
      <c r="T1291" s="28" t="s">
        <v>2867</v>
      </c>
      <c r="U1291" s="28" t="s">
        <v>1443</v>
      </c>
      <c r="V1291" s="28" t="s">
        <v>1736</v>
      </c>
      <c r="W1291" s="28" t="s">
        <v>11247</v>
      </c>
      <c r="X1291" s="17">
        <v>1</v>
      </c>
      <c r="CJ1291" s="26" t="s">
        <v>1413</v>
      </c>
      <c r="CK1291" s="26" t="s">
        <v>1539</v>
      </c>
      <c r="CL1291" s="26" t="str">
        <f t="shared" si="81"/>
        <v>徳島県徳島市</v>
      </c>
      <c r="CM1291" s="49">
        <v>1286</v>
      </c>
      <c r="CN1291" s="17" t="str">
        <f t="shared" si="80"/>
        <v>1403</v>
      </c>
      <c r="CO1291" s="17" t="str">
        <f t="shared" si="82"/>
        <v>12861403徳島市</v>
      </c>
      <c r="CP1291" s="17" t="s">
        <v>11248</v>
      </c>
      <c r="CQ1291" s="17" t="b">
        <f t="shared" si="83"/>
        <v>1</v>
      </c>
    </row>
    <row r="1292" spans="6:95">
      <c r="F1292" s="23"/>
      <c r="I1292" s="23"/>
      <c r="L1292" s="50" t="s">
        <v>11249</v>
      </c>
      <c r="M1292" s="17" t="s">
        <v>11250</v>
      </c>
      <c r="N1292" s="51" t="s">
        <v>11251</v>
      </c>
      <c r="O1292" s="29" t="s">
        <v>1468</v>
      </c>
      <c r="P1292" s="29" t="s">
        <v>11252</v>
      </c>
      <c r="Q1292" s="29" t="s">
        <v>1468</v>
      </c>
      <c r="R1292" s="29" t="s">
        <v>5240</v>
      </c>
      <c r="S1292" s="28" t="s">
        <v>1862</v>
      </c>
      <c r="T1292" s="28" t="s">
        <v>2905</v>
      </c>
      <c r="U1292" s="28" t="s">
        <v>1443</v>
      </c>
      <c r="V1292" s="28" t="s">
        <v>1736</v>
      </c>
      <c r="W1292" s="28" t="s">
        <v>11253</v>
      </c>
      <c r="X1292" s="17">
        <v>1</v>
      </c>
      <c r="CJ1292" s="26" t="s">
        <v>1413</v>
      </c>
      <c r="CK1292" s="26" t="s">
        <v>1601</v>
      </c>
      <c r="CL1292" s="26" t="str">
        <f t="shared" si="81"/>
        <v>徳島県鳴門市</v>
      </c>
      <c r="CM1292" s="49">
        <v>1287</v>
      </c>
      <c r="CN1292" s="17" t="str">
        <f t="shared" si="80"/>
        <v>1404</v>
      </c>
      <c r="CO1292" s="17" t="str">
        <f t="shared" si="82"/>
        <v>12871404鳴門市</v>
      </c>
      <c r="CP1292" s="17" t="s">
        <v>11254</v>
      </c>
      <c r="CQ1292" s="17" t="b">
        <f t="shared" si="83"/>
        <v>1</v>
      </c>
    </row>
    <row r="1293" spans="6:95">
      <c r="F1293" s="23"/>
      <c r="I1293" s="23"/>
      <c r="L1293" s="50" t="s">
        <v>11255</v>
      </c>
      <c r="M1293" s="17" t="s">
        <v>11256</v>
      </c>
      <c r="N1293" s="51" t="s">
        <v>11257</v>
      </c>
      <c r="O1293" s="29" t="s">
        <v>1468</v>
      </c>
      <c r="P1293" s="29" t="s">
        <v>11258</v>
      </c>
      <c r="Q1293" s="29" t="s">
        <v>1468</v>
      </c>
      <c r="R1293" s="29" t="s">
        <v>4389</v>
      </c>
      <c r="S1293" s="28" t="s">
        <v>1977</v>
      </c>
      <c r="T1293" s="28" t="s">
        <v>2941</v>
      </c>
      <c r="U1293" s="28" t="s">
        <v>1443</v>
      </c>
      <c r="V1293" s="28" t="s">
        <v>1736</v>
      </c>
      <c r="W1293" s="28" t="s">
        <v>11259</v>
      </c>
      <c r="X1293" s="17">
        <v>1</v>
      </c>
      <c r="CJ1293" s="26" t="s">
        <v>1413</v>
      </c>
      <c r="CK1293" s="26" t="s">
        <v>1663</v>
      </c>
      <c r="CL1293" s="26" t="str">
        <f t="shared" si="81"/>
        <v>徳島県小松島市</v>
      </c>
      <c r="CM1293" s="49">
        <v>1288</v>
      </c>
      <c r="CN1293" s="17" t="str">
        <f t="shared" si="80"/>
        <v>1405</v>
      </c>
      <c r="CO1293" s="17" t="str">
        <f t="shared" si="82"/>
        <v>12881405小松島市</v>
      </c>
      <c r="CP1293" s="17" t="s">
        <v>11260</v>
      </c>
      <c r="CQ1293" s="17" t="b">
        <f t="shared" si="83"/>
        <v>1</v>
      </c>
    </row>
    <row r="1294" spans="6:95">
      <c r="F1294" s="23"/>
      <c r="I1294" s="23"/>
      <c r="L1294" s="50" t="s">
        <v>11261</v>
      </c>
      <c r="M1294" s="17" t="s">
        <v>11262</v>
      </c>
      <c r="N1294" s="51" t="s">
        <v>11263</v>
      </c>
      <c r="O1294" s="29" t="s">
        <v>1468</v>
      </c>
      <c r="P1294" s="29" t="s">
        <v>11264</v>
      </c>
      <c r="Q1294" s="29" t="s">
        <v>1468</v>
      </c>
      <c r="R1294" s="29" t="s">
        <v>3553</v>
      </c>
      <c r="S1294" s="28" t="s">
        <v>1626</v>
      </c>
      <c r="T1294" s="28" t="s">
        <v>2974</v>
      </c>
      <c r="U1294" s="28" t="s">
        <v>1443</v>
      </c>
      <c r="V1294" s="28" t="s">
        <v>1736</v>
      </c>
      <c r="W1294" s="28" t="s">
        <v>11265</v>
      </c>
      <c r="X1294" s="17">
        <v>1</v>
      </c>
      <c r="CJ1294" s="26" t="s">
        <v>1413</v>
      </c>
      <c r="CK1294" s="26" t="s">
        <v>1721</v>
      </c>
      <c r="CL1294" s="26" t="str">
        <f t="shared" si="81"/>
        <v>徳島県阿南市</v>
      </c>
      <c r="CM1294" s="49">
        <v>1289</v>
      </c>
      <c r="CN1294" s="17" t="str">
        <f t="shared" si="80"/>
        <v>1406</v>
      </c>
      <c r="CO1294" s="17" t="str">
        <f t="shared" si="82"/>
        <v>12891406阿南市</v>
      </c>
      <c r="CP1294" s="17" t="s">
        <v>11266</v>
      </c>
      <c r="CQ1294" s="17" t="b">
        <f t="shared" si="83"/>
        <v>1</v>
      </c>
    </row>
    <row r="1295" spans="6:95">
      <c r="F1295" s="23"/>
      <c r="I1295" s="23"/>
      <c r="L1295" s="50" t="s">
        <v>11267</v>
      </c>
      <c r="M1295" s="17" t="s">
        <v>11268</v>
      </c>
      <c r="N1295" s="51" t="s">
        <v>11269</v>
      </c>
      <c r="O1295" s="29" t="s">
        <v>1468</v>
      </c>
      <c r="P1295" s="29" t="s">
        <v>11270</v>
      </c>
      <c r="Q1295" s="29" t="s">
        <v>1468</v>
      </c>
      <c r="R1295" s="29" t="s">
        <v>3566</v>
      </c>
      <c r="S1295" s="28" t="s">
        <v>1502</v>
      </c>
      <c r="T1295" s="28" t="s">
        <v>3008</v>
      </c>
      <c r="U1295" s="28" t="s">
        <v>1443</v>
      </c>
      <c r="V1295" s="28" t="s">
        <v>1736</v>
      </c>
      <c r="W1295" s="28" t="s">
        <v>11271</v>
      </c>
      <c r="X1295" s="17">
        <v>1</v>
      </c>
      <c r="CJ1295" s="26" t="s">
        <v>1413</v>
      </c>
      <c r="CK1295" s="26" t="s">
        <v>1780</v>
      </c>
      <c r="CL1295" s="26" t="str">
        <f t="shared" si="81"/>
        <v>徳島県吉野川市</v>
      </c>
      <c r="CM1295" s="49">
        <v>1290</v>
      </c>
      <c r="CN1295" s="17" t="str">
        <f t="shared" si="80"/>
        <v>1407</v>
      </c>
      <c r="CO1295" s="17" t="str">
        <f t="shared" si="82"/>
        <v>12901407吉野川市</v>
      </c>
      <c r="CP1295" s="17" t="s">
        <v>11272</v>
      </c>
      <c r="CQ1295" s="17" t="b">
        <f t="shared" si="83"/>
        <v>1</v>
      </c>
    </row>
    <row r="1296" spans="6:95">
      <c r="F1296" s="23"/>
      <c r="I1296" s="23"/>
      <c r="L1296" s="50" t="s">
        <v>11273</v>
      </c>
      <c r="M1296" s="17" t="s">
        <v>11274</v>
      </c>
      <c r="N1296" s="51" t="s">
        <v>11275</v>
      </c>
      <c r="O1296" s="29" t="s">
        <v>1469</v>
      </c>
      <c r="P1296" s="29" t="s">
        <v>11276</v>
      </c>
      <c r="Q1296" s="29" t="s">
        <v>1469</v>
      </c>
      <c r="R1296" s="29" t="s">
        <v>4593</v>
      </c>
      <c r="S1296" s="28" t="s">
        <v>1502</v>
      </c>
      <c r="T1296" s="28" t="s">
        <v>1534</v>
      </c>
      <c r="U1296" s="28" t="s">
        <v>1444</v>
      </c>
      <c r="V1296" s="28" t="s">
        <v>1796</v>
      </c>
      <c r="W1296" s="28" t="s">
        <v>11277</v>
      </c>
      <c r="X1296" s="17">
        <v>1</v>
      </c>
      <c r="CJ1296" s="26" t="s">
        <v>1413</v>
      </c>
      <c r="CK1296" s="26" t="s">
        <v>1840</v>
      </c>
      <c r="CL1296" s="26" t="str">
        <f t="shared" si="81"/>
        <v>徳島県阿波市</v>
      </c>
      <c r="CM1296" s="49">
        <v>1291</v>
      </c>
      <c r="CN1296" s="17" t="str">
        <f t="shared" si="80"/>
        <v>1408</v>
      </c>
      <c r="CO1296" s="17" t="str">
        <f t="shared" si="82"/>
        <v>12911408阿波市</v>
      </c>
      <c r="CP1296" s="17" t="s">
        <v>11278</v>
      </c>
      <c r="CQ1296" s="17" t="b">
        <f t="shared" si="83"/>
        <v>1</v>
      </c>
    </row>
    <row r="1297" spans="6:95">
      <c r="F1297" s="23"/>
      <c r="I1297" s="23"/>
      <c r="L1297" s="50" t="s">
        <v>11279</v>
      </c>
      <c r="M1297" s="17" t="s">
        <v>11280</v>
      </c>
      <c r="N1297" s="51" t="s">
        <v>11281</v>
      </c>
      <c r="O1297" s="29" t="s">
        <v>1469</v>
      </c>
      <c r="P1297" s="29" t="s">
        <v>11282</v>
      </c>
      <c r="Q1297" s="29" t="s">
        <v>1469</v>
      </c>
      <c r="R1297" s="29" t="s">
        <v>1563</v>
      </c>
      <c r="S1297" s="28" t="s">
        <v>2525</v>
      </c>
      <c r="T1297" s="28" t="s">
        <v>1596</v>
      </c>
      <c r="U1297" s="28" t="s">
        <v>1444</v>
      </c>
      <c r="V1297" s="28" t="s">
        <v>1796</v>
      </c>
      <c r="W1297" s="28" t="s">
        <v>11283</v>
      </c>
      <c r="X1297" s="17">
        <v>1</v>
      </c>
      <c r="CJ1297" s="26" t="s">
        <v>1413</v>
      </c>
      <c r="CK1297" s="26" t="s">
        <v>1899</v>
      </c>
      <c r="CL1297" s="26" t="str">
        <f t="shared" si="81"/>
        <v>徳島県美馬市</v>
      </c>
      <c r="CM1297" s="49">
        <v>1292</v>
      </c>
      <c r="CN1297" s="17" t="str">
        <f t="shared" si="80"/>
        <v>1409</v>
      </c>
      <c r="CO1297" s="17" t="str">
        <f t="shared" si="82"/>
        <v>12921409美馬市</v>
      </c>
      <c r="CP1297" s="17" t="s">
        <v>11284</v>
      </c>
      <c r="CQ1297" s="17" t="b">
        <f t="shared" si="83"/>
        <v>1</v>
      </c>
    </row>
    <row r="1298" spans="6:95">
      <c r="F1298" s="23"/>
      <c r="I1298" s="23"/>
      <c r="L1298" s="50" t="s">
        <v>11285</v>
      </c>
      <c r="M1298" s="17" t="s">
        <v>11286</v>
      </c>
      <c r="N1298" s="51" t="s">
        <v>11287</v>
      </c>
      <c r="O1298" s="29" t="s">
        <v>1469</v>
      </c>
      <c r="P1298" s="29" t="s">
        <v>11288</v>
      </c>
      <c r="Q1298" s="29" t="s">
        <v>1469</v>
      </c>
      <c r="R1298" s="29" t="s">
        <v>1625</v>
      </c>
      <c r="S1298" s="28" t="s">
        <v>2311</v>
      </c>
      <c r="T1298" s="28" t="s">
        <v>1658</v>
      </c>
      <c r="U1298" s="28" t="s">
        <v>1444</v>
      </c>
      <c r="V1298" s="28" t="s">
        <v>1796</v>
      </c>
      <c r="W1298" s="28" t="s">
        <v>11289</v>
      </c>
      <c r="X1298" s="17">
        <v>1</v>
      </c>
      <c r="CJ1298" s="26" t="s">
        <v>1413</v>
      </c>
      <c r="CK1298" s="26" t="s">
        <v>1957</v>
      </c>
      <c r="CL1298" s="26" t="str">
        <f t="shared" si="81"/>
        <v>徳島県勝浦町</v>
      </c>
      <c r="CM1298" s="49">
        <v>1293</v>
      </c>
      <c r="CN1298" s="17" t="str">
        <f t="shared" si="80"/>
        <v>1410</v>
      </c>
      <c r="CO1298" s="17" t="str">
        <f t="shared" si="82"/>
        <v>12931410勝浦町</v>
      </c>
      <c r="CP1298" s="17" t="s">
        <v>11290</v>
      </c>
      <c r="CQ1298" s="17" t="b">
        <f t="shared" si="83"/>
        <v>1</v>
      </c>
    </row>
    <row r="1299" spans="6:95">
      <c r="F1299" s="23"/>
      <c r="I1299" s="23"/>
      <c r="L1299" s="50" t="s">
        <v>11291</v>
      </c>
      <c r="M1299" s="17" t="s">
        <v>11292</v>
      </c>
      <c r="N1299" s="51" t="s">
        <v>11293</v>
      </c>
      <c r="O1299" s="29" t="s">
        <v>1469</v>
      </c>
      <c r="P1299" s="29" t="s">
        <v>11294</v>
      </c>
      <c r="Q1299" s="29" t="s">
        <v>1469</v>
      </c>
      <c r="R1299" s="29" t="s">
        <v>1684</v>
      </c>
      <c r="S1299" s="28" t="s">
        <v>1564</v>
      </c>
      <c r="T1299" s="28" t="s">
        <v>1716</v>
      </c>
      <c r="U1299" s="28" t="s">
        <v>1444</v>
      </c>
      <c r="V1299" s="28" t="s">
        <v>1796</v>
      </c>
      <c r="W1299" s="28" t="s">
        <v>11295</v>
      </c>
      <c r="X1299" s="17">
        <v>1</v>
      </c>
      <c r="CJ1299" s="26" t="s">
        <v>1413</v>
      </c>
      <c r="CK1299" s="26" t="s">
        <v>2014</v>
      </c>
      <c r="CL1299" s="26" t="str">
        <f t="shared" si="81"/>
        <v>徳島県上勝町</v>
      </c>
      <c r="CM1299" s="49">
        <v>1294</v>
      </c>
      <c r="CN1299" s="17" t="str">
        <f t="shared" si="80"/>
        <v>1411</v>
      </c>
      <c r="CO1299" s="17" t="str">
        <f t="shared" si="82"/>
        <v>12941411上勝町</v>
      </c>
      <c r="CP1299" s="17" t="s">
        <v>11296</v>
      </c>
      <c r="CQ1299" s="17" t="b">
        <f t="shared" si="83"/>
        <v>1</v>
      </c>
    </row>
    <row r="1300" spans="6:95">
      <c r="F1300" s="23"/>
      <c r="I1300" s="23"/>
      <c r="L1300" s="50" t="s">
        <v>11297</v>
      </c>
      <c r="M1300" s="17" t="s">
        <v>11298</v>
      </c>
      <c r="N1300" s="51" t="s">
        <v>11299</v>
      </c>
      <c r="O1300" s="29" t="s">
        <v>1469</v>
      </c>
      <c r="P1300" s="29" t="s">
        <v>11300</v>
      </c>
      <c r="Q1300" s="29" t="s">
        <v>1469</v>
      </c>
      <c r="R1300" s="29" t="s">
        <v>5017</v>
      </c>
      <c r="S1300" s="28" t="s">
        <v>2311</v>
      </c>
      <c r="T1300" s="28" t="s">
        <v>1775</v>
      </c>
      <c r="U1300" s="28" t="s">
        <v>1444</v>
      </c>
      <c r="V1300" s="28" t="s">
        <v>1796</v>
      </c>
      <c r="W1300" s="28" t="s">
        <v>11301</v>
      </c>
      <c r="X1300" s="17">
        <v>1</v>
      </c>
      <c r="CJ1300" s="26" t="s">
        <v>1413</v>
      </c>
      <c r="CK1300" s="26" t="s">
        <v>2070</v>
      </c>
      <c r="CL1300" s="26" t="str">
        <f t="shared" si="81"/>
        <v>徳島県佐那河内村</v>
      </c>
      <c r="CM1300" s="49">
        <v>1295</v>
      </c>
      <c r="CN1300" s="17" t="str">
        <f t="shared" si="80"/>
        <v>1412</v>
      </c>
      <c r="CO1300" s="17" t="str">
        <f t="shared" si="82"/>
        <v>12951412佐那河内村</v>
      </c>
      <c r="CP1300" s="17" t="s">
        <v>11302</v>
      </c>
      <c r="CQ1300" s="17" t="b">
        <f t="shared" si="83"/>
        <v>1</v>
      </c>
    </row>
    <row r="1301" spans="6:95">
      <c r="F1301" s="23"/>
      <c r="I1301" s="23"/>
      <c r="L1301" s="50" t="s">
        <v>11303</v>
      </c>
      <c r="M1301" s="17" t="s">
        <v>11304</v>
      </c>
      <c r="N1301" s="51" t="s">
        <v>11305</v>
      </c>
      <c r="O1301" s="29" t="s">
        <v>1469</v>
      </c>
      <c r="P1301" s="29" t="s">
        <v>11306</v>
      </c>
      <c r="Q1301" s="29" t="s">
        <v>1469</v>
      </c>
      <c r="R1301" s="29" t="s">
        <v>9539</v>
      </c>
      <c r="S1301" s="28" t="s">
        <v>1743</v>
      </c>
      <c r="T1301" s="28" t="s">
        <v>1835</v>
      </c>
      <c r="U1301" s="28" t="s">
        <v>1444</v>
      </c>
      <c r="V1301" s="28" t="s">
        <v>1796</v>
      </c>
      <c r="W1301" s="28" t="s">
        <v>11306</v>
      </c>
      <c r="X1301" s="17">
        <v>1</v>
      </c>
      <c r="CJ1301" s="26" t="s">
        <v>1413</v>
      </c>
      <c r="CK1301" s="26" t="s">
        <v>2126</v>
      </c>
      <c r="CL1301" s="26" t="str">
        <f t="shared" si="81"/>
        <v>徳島県石井町</v>
      </c>
      <c r="CM1301" s="49">
        <v>1296</v>
      </c>
      <c r="CN1301" s="17" t="str">
        <f t="shared" si="80"/>
        <v>1413</v>
      </c>
      <c r="CO1301" s="17" t="str">
        <f t="shared" si="82"/>
        <v>12961413石井町</v>
      </c>
      <c r="CP1301" s="17" t="s">
        <v>11307</v>
      </c>
      <c r="CQ1301" s="17" t="b">
        <f t="shared" si="83"/>
        <v>1</v>
      </c>
    </row>
    <row r="1302" spans="6:95">
      <c r="F1302" s="23"/>
      <c r="I1302" s="23"/>
      <c r="L1302" s="50" t="s">
        <v>11308</v>
      </c>
      <c r="M1302" s="17" t="s">
        <v>11309</v>
      </c>
      <c r="N1302" s="51" t="s">
        <v>11310</v>
      </c>
      <c r="O1302" s="29" t="s">
        <v>1469</v>
      </c>
      <c r="P1302" s="29" t="s">
        <v>11311</v>
      </c>
      <c r="Q1302" s="29" t="s">
        <v>1469</v>
      </c>
      <c r="R1302" s="29" t="s">
        <v>11312</v>
      </c>
      <c r="S1302" s="28" t="s">
        <v>1920</v>
      </c>
      <c r="T1302" s="28" t="s">
        <v>1894</v>
      </c>
      <c r="U1302" s="28" t="s">
        <v>1444</v>
      </c>
      <c r="V1302" s="28" t="s">
        <v>1796</v>
      </c>
      <c r="W1302" s="28" t="s">
        <v>11313</v>
      </c>
      <c r="X1302" s="17">
        <v>1</v>
      </c>
      <c r="CJ1302" s="26" t="s">
        <v>1413</v>
      </c>
      <c r="CK1302" s="26" t="s">
        <v>2182</v>
      </c>
      <c r="CL1302" s="26" t="str">
        <f t="shared" si="81"/>
        <v>徳島県神山町</v>
      </c>
      <c r="CM1302" s="49">
        <v>1297</v>
      </c>
      <c r="CN1302" s="17" t="str">
        <f t="shared" si="80"/>
        <v>1414</v>
      </c>
      <c r="CO1302" s="17" t="str">
        <f t="shared" si="82"/>
        <v>12971414神山町</v>
      </c>
      <c r="CP1302" s="17" t="s">
        <v>11314</v>
      </c>
      <c r="CQ1302" s="17" t="b">
        <f t="shared" si="83"/>
        <v>1</v>
      </c>
    </row>
    <row r="1303" spans="6:95">
      <c r="F1303" s="23"/>
      <c r="I1303" s="23"/>
      <c r="L1303" s="50" t="s">
        <v>11315</v>
      </c>
      <c r="M1303" s="17" t="s">
        <v>11316</v>
      </c>
      <c r="N1303" s="51" t="s">
        <v>11317</v>
      </c>
      <c r="O1303" s="29" t="s">
        <v>1469</v>
      </c>
      <c r="P1303" s="29" t="s">
        <v>11318</v>
      </c>
      <c r="Q1303" s="29" t="s">
        <v>1469</v>
      </c>
      <c r="R1303" s="29" t="s">
        <v>7268</v>
      </c>
      <c r="S1303" s="28" t="s">
        <v>1977</v>
      </c>
      <c r="T1303" s="28" t="s">
        <v>1952</v>
      </c>
      <c r="U1303" s="28" t="s">
        <v>1444</v>
      </c>
      <c r="V1303" s="28" t="s">
        <v>1796</v>
      </c>
      <c r="W1303" s="28" t="s">
        <v>11319</v>
      </c>
      <c r="X1303" s="17">
        <v>1</v>
      </c>
      <c r="CJ1303" s="26" t="s">
        <v>1413</v>
      </c>
      <c r="CK1303" s="26" t="s">
        <v>2237</v>
      </c>
      <c r="CL1303" s="26" t="str">
        <f t="shared" si="81"/>
        <v>徳島県那賀町</v>
      </c>
      <c r="CM1303" s="49">
        <v>1298</v>
      </c>
      <c r="CN1303" s="17" t="str">
        <f t="shared" si="80"/>
        <v>1415</v>
      </c>
      <c r="CO1303" s="17" t="str">
        <f t="shared" si="82"/>
        <v>12981415那賀町</v>
      </c>
      <c r="CP1303" s="17" t="s">
        <v>11320</v>
      </c>
      <c r="CQ1303" s="17" t="b">
        <f t="shared" si="83"/>
        <v>1</v>
      </c>
    </row>
    <row r="1304" spans="6:95">
      <c r="F1304" s="23"/>
      <c r="I1304" s="23"/>
      <c r="L1304" s="50" t="s">
        <v>11321</v>
      </c>
      <c r="M1304" s="17" t="s">
        <v>11322</v>
      </c>
      <c r="N1304" s="51" t="s">
        <v>11323</v>
      </c>
      <c r="O1304" s="29" t="s">
        <v>1469</v>
      </c>
      <c r="P1304" s="29" t="s">
        <v>11324</v>
      </c>
      <c r="Q1304" s="29" t="s">
        <v>1469</v>
      </c>
      <c r="R1304" s="29" t="s">
        <v>3441</v>
      </c>
      <c r="S1304" s="28" t="s">
        <v>2311</v>
      </c>
      <c r="T1304" s="28" t="s">
        <v>2009</v>
      </c>
      <c r="U1304" s="28" t="s">
        <v>1444</v>
      </c>
      <c r="V1304" s="28" t="s">
        <v>1796</v>
      </c>
      <c r="W1304" s="28" t="s">
        <v>11325</v>
      </c>
      <c r="X1304" s="17">
        <v>1</v>
      </c>
      <c r="CJ1304" s="26" t="s">
        <v>1413</v>
      </c>
      <c r="CK1304" s="26" t="s">
        <v>2292</v>
      </c>
      <c r="CL1304" s="26" t="str">
        <f t="shared" si="81"/>
        <v>徳島県牟岐町</v>
      </c>
      <c r="CM1304" s="49">
        <v>1299</v>
      </c>
      <c r="CN1304" s="17" t="str">
        <f t="shared" si="80"/>
        <v>1416</v>
      </c>
      <c r="CO1304" s="17" t="str">
        <f t="shared" si="82"/>
        <v>12991416牟岐町</v>
      </c>
      <c r="CP1304" s="17" t="s">
        <v>11326</v>
      </c>
      <c r="CQ1304" s="17" t="b">
        <f t="shared" si="83"/>
        <v>1</v>
      </c>
    </row>
    <row r="1305" spans="6:95">
      <c r="F1305" s="23"/>
      <c r="I1305" s="23"/>
      <c r="L1305" s="50" t="s">
        <v>11327</v>
      </c>
      <c r="M1305" s="17" t="s">
        <v>11328</v>
      </c>
      <c r="N1305" s="51" t="s">
        <v>11329</v>
      </c>
      <c r="O1305" s="29" t="s">
        <v>1469</v>
      </c>
      <c r="P1305" s="29" t="s">
        <v>11330</v>
      </c>
      <c r="Q1305" s="29" t="s">
        <v>1469</v>
      </c>
      <c r="R1305" s="29" t="s">
        <v>3470</v>
      </c>
      <c r="S1305" s="28" t="s">
        <v>1862</v>
      </c>
      <c r="T1305" s="28" t="s">
        <v>2065</v>
      </c>
      <c r="U1305" s="28" t="s">
        <v>1444</v>
      </c>
      <c r="V1305" s="28" t="s">
        <v>1796</v>
      </c>
      <c r="W1305" s="28" t="s">
        <v>11330</v>
      </c>
      <c r="X1305" s="17">
        <v>1</v>
      </c>
      <c r="CJ1305" s="26" t="s">
        <v>1413</v>
      </c>
      <c r="CK1305" s="26" t="s">
        <v>2347</v>
      </c>
      <c r="CL1305" s="26" t="str">
        <f t="shared" si="81"/>
        <v>徳島県美波町</v>
      </c>
      <c r="CM1305" s="49">
        <v>1300</v>
      </c>
      <c r="CN1305" s="17" t="str">
        <f t="shared" si="80"/>
        <v>1417</v>
      </c>
      <c r="CO1305" s="17" t="str">
        <f t="shared" si="82"/>
        <v>13001417美波町</v>
      </c>
      <c r="CP1305" s="17" t="s">
        <v>11331</v>
      </c>
      <c r="CQ1305" s="17" t="b">
        <f t="shared" si="83"/>
        <v>1</v>
      </c>
    </row>
    <row r="1306" spans="6:95">
      <c r="F1306" s="23"/>
      <c r="I1306" s="23"/>
      <c r="L1306" s="50" t="s">
        <v>11332</v>
      </c>
      <c r="M1306" s="17" t="s">
        <v>11333</v>
      </c>
      <c r="N1306" s="51" t="s">
        <v>11334</v>
      </c>
      <c r="O1306" s="29" t="s">
        <v>1469</v>
      </c>
      <c r="P1306" s="29" t="s">
        <v>11335</v>
      </c>
      <c r="Q1306" s="29" t="s">
        <v>1469</v>
      </c>
      <c r="R1306" s="29" t="s">
        <v>3484</v>
      </c>
      <c r="S1306" s="28" t="s">
        <v>1920</v>
      </c>
      <c r="T1306" s="28" t="s">
        <v>2121</v>
      </c>
      <c r="U1306" s="28" t="s">
        <v>1444</v>
      </c>
      <c r="V1306" s="28" t="s">
        <v>1796</v>
      </c>
      <c r="W1306" s="28" t="s">
        <v>11335</v>
      </c>
      <c r="X1306" s="17">
        <v>1</v>
      </c>
      <c r="CJ1306" s="26" t="s">
        <v>1413</v>
      </c>
      <c r="CK1306" s="26" t="s">
        <v>2402</v>
      </c>
      <c r="CL1306" s="26" t="str">
        <f t="shared" si="81"/>
        <v>徳島県海陽町</v>
      </c>
      <c r="CM1306" s="49">
        <v>1301</v>
      </c>
      <c r="CN1306" s="17" t="str">
        <f t="shared" si="80"/>
        <v>1418</v>
      </c>
      <c r="CO1306" s="17" t="str">
        <f t="shared" si="82"/>
        <v>13011418海陽町</v>
      </c>
      <c r="CP1306" s="17" t="s">
        <v>11336</v>
      </c>
      <c r="CQ1306" s="17" t="b">
        <f t="shared" si="83"/>
        <v>1</v>
      </c>
    </row>
    <row r="1307" spans="6:95">
      <c r="F1307" s="23"/>
      <c r="I1307" s="23"/>
      <c r="L1307" s="50" t="s">
        <v>11337</v>
      </c>
      <c r="M1307" s="17" t="s">
        <v>11338</v>
      </c>
      <c r="N1307" s="51" t="s">
        <v>11339</v>
      </c>
      <c r="O1307" s="29" t="s">
        <v>1469</v>
      </c>
      <c r="P1307" s="29" t="s">
        <v>11340</v>
      </c>
      <c r="Q1307" s="29" t="s">
        <v>1469</v>
      </c>
      <c r="R1307" s="29" t="s">
        <v>11341</v>
      </c>
      <c r="S1307" s="28" t="s">
        <v>1977</v>
      </c>
      <c r="T1307" s="28" t="s">
        <v>2177</v>
      </c>
      <c r="U1307" s="28" t="s">
        <v>1444</v>
      </c>
      <c r="V1307" s="28" t="s">
        <v>1796</v>
      </c>
      <c r="W1307" s="28" t="s">
        <v>11340</v>
      </c>
      <c r="X1307" s="17">
        <v>1</v>
      </c>
      <c r="CJ1307" s="26" t="s">
        <v>1413</v>
      </c>
      <c r="CK1307" s="26" t="s">
        <v>2456</v>
      </c>
      <c r="CL1307" s="26" t="str">
        <f t="shared" si="81"/>
        <v>徳島県松茂町</v>
      </c>
      <c r="CM1307" s="49">
        <v>1302</v>
      </c>
      <c r="CN1307" s="17" t="str">
        <f t="shared" si="80"/>
        <v>1419</v>
      </c>
      <c r="CO1307" s="17" t="str">
        <f t="shared" si="82"/>
        <v>13021419松茂町</v>
      </c>
      <c r="CP1307" s="17" t="s">
        <v>11342</v>
      </c>
      <c r="CQ1307" s="17" t="b">
        <f t="shared" si="83"/>
        <v>1</v>
      </c>
    </row>
    <row r="1308" spans="6:95">
      <c r="F1308" s="23"/>
      <c r="I1308" s="23"/>
      <c r="L1308" s="50" t="s">
        <v>11343</v>
      </c>
      <c r="M1308" s="17" t="s">
        <v>11344</v>
      </c>
      <c r="N1308" s="51" t="s">
        <v>11345</v>
      </c>
      <c r="O1308" s="29" t="s">
        <v>1469</v>
      </c>
      <c r="P1308" s="29" t="s">
        <v>11346</v>
      </c>
      <c r="Q1308" s="29" t="s">
        <v>1469</v>
      </c>
      <c r="R1308" s="29" t="s">
        <v>6415</v>
      </c>
      <c r="S1308" s="28" t="s">
        <v>1977</v>
      </c>
      <c r="T1308" s="28" t="s">
        <v>2232</v>
      </c>
      <c r="U1308" s="28" t="s">
        <v>1444</v>
      </c>
      <c r="V1308" s="28" t="s">
        <v>1796</v>
      </c>
      <c r="W1308" s="28" t="s">
        <v>11346</v>
      </c>
      <c r="X1308" s="17">
        <v>1</v>
      </c>
      <c r="CJ1308" s="26" t="s">
        <v>1413</v>
      </c>
      <c r="CK1308" s="26" t="s">
        <v>2507</v>
      </c>
      <c r="CL1308" s="26" t="str">
        <f t="shared" si="81"/>
        <v>徳島県北島町</v>
      </c>
      <c r="CM1308" s="49">
        <v>1303</v>
      </c>
      <c r="CN1308" s="17" t="str">
        <f t="shared" si="80"/>
        <v>1420</v>
      </c>
      <c r="CO1308" s="17" t="str">
        <f t="shared" si="82"/>
        <v>13031420北島町</v>
      </c>
      <c r="CP1308" s="17" t="s">
        <v>11347</v>
      </c>
      <c r="CQ1308" s="17" t="b">
        <f t="shared" si="83"/>
        <v>1</v>
      </c>
    </row>
    <row r="1309" spans="6:95">
      <c r="F1309" s="23"/>
      <c r="I1309" s="23"/>
      <c r="L1309" s="50" t="s">
        <v>11348</v>
      </c>
      <c r="M1309" s="17" t="s">
        <v>11349</v>
      </c>
      <c r="N1309" s="51" t="s">
        <v>11350</v>
      </c>
      <c r="O1309" s="29" t="s">
        <v>1469</v>
      </c>
      <c r="P1309" s="29" t="s">
        <v>11351</v>
      </c>
      <c r="Q1309" s="29" t="s">
        <v>1469</v>
      </c>
      <c r="R1309" s="29" t="s">
        <v>4507</v>
      </c>
      <c r="S1309" s="28" t="s">
        <v>2311</v>
      </c>
      <c r="T1309" s="28" t="s">
        <v>2287</v>
      </c>
      <c r="U1309" s="28" t="s">
        <v>1444</v>
      </c>
      <c r="V1309" s="28" t="s">
        <v>1796</v>
      </c>
      <c r="W1309" s="28" t="s">
        <v>11351</v>
      </c>
      <c r="X1309" s="17">
        <v>1</v>
      </c>
      <c r="CJ1309" s="26" t="s">
        <v>1413</v>
      </c>
      <c r="CK1309" s="26" t="s">
        <v>2560</v>
      </c>
      <c r="CL1309" s="26" t="str">
        <f t="shared" si="81"/>
        <v>徳島県藍住町</v>
      </c>
      <c r="CM1309" s="49">
        <v>1304</v>
      </c>
      <c r="CN1309" s="17" t="str">
        <f t="shared" si="80"/>
        <v>1421</v>
      </c>
      <c r="CO1309" s="17" t="str">
        <f t="shared" si="82"/>
        <v>13041421藍住町</v>
      </c>
      <c r="CP1309" s="17" t="s">
        <v>11352</v>
      </c>
      <c r="CQ1309" s="17" t="b">
        <f t="shared" si="83"/>
        <v>1</v>
      </c>
    </row>
    <row r="1310" spans="6:95">
      <c r="F1310" s="23"/>
      <c r="I1310" s="23"/>
      <c r="L1310" s="50" t="s">
        <v>11353</v>
      </c>
      <c r="M1310" s="17" t="s">
        <v>11354</v>
      </c>
      <c r="N1310" s="51" t="s">
        <v>11355</v>
      </c>
      <c r="O1310" s="29" t="s">
        <v>1469</v>
      </c>
      <c r="P1310" s="29" t="s">
        <v>11356</v>
      </c>
      <c r="Q1310" s="29" t="s">
        <v>1469</v>
      </c>
      <c r="R1310" s="29" t="s">
        <v>3512</v>
      </c>
      <c r="S1310" s="28" t="s">
        <v>1564</v>
      </c>
      <c r="T1310" s="28" t="s">
        <v>2281</v>
      </c>
      <c r="U1310" s="28" t="s">
        <v>1444</v>
      </c>
      <c r="V1310" s="28" t="s">
        <v>1796</v>
      </c>
      <c r="W1310" s="28" t="s">
        <v>11356</v>
      </c>
      <c r="X1310" s="17">
        <v>1</v>
      </c>
      <c r="CJ1310" s="26" t="s">
        <v>1413</v>
      </c>
      <c r="CK1310" s="26" t="s">
        <v>2607</v>
      </c>
      <c r="CL1310" s="26" t="str">
        <f t="shared" si="81"/>
        <v>徳島県板野町</v>
      </c>
      <c r="CM1310" s="49">
        <v>1305</v>
      </c>
      <c r="CN1310" s="17" t="str">
        <f t="shared" si="80"/>
        <v>1422</v>
      </c>
      <c r="CO1310" s="17" t="str">
        <f t="shared" si="82"/>
        <v>13051422板野町</v>
      </c>
      <c r="CP1310" s="17" t="s">
        <v>11357</v>
      </c>
      <c r="CQ1310" s="17" t="b">
        <f t="shared" si="83"/>
        <v>1</v>
      </c>
    </row>
    <row r="1311" spans="6:95">
      <c r="F1311" s="23"/>
      <c r="I1311" s="23"/>
      <c r="L1311" s="50" t="s">
        <v>11358</v>
      </c>
      <c r="M1311" s="17" t="s">
        <v>11359</v>
      </c>
      <c r="N1311" s="51" t="s">
        <v>11360</v>
      </c>
      <c r="O1311" s="29" t="s">
        <v>1469</v>
      </c>
      <c r="P1311" s="29" t="s">
        <v>11361</v>
      </c>
      <c r="Q1311" s="29" t="s">
        <v>1469</v>
      </c>
      <c r="R1311" s="29" t="s">
        <v>4515</v>
      </c>
      <c r="S1311" s="28" t="s">
        <v>1626</v>
      </c>
      <c r="T1311" s="28" t="s">
        <v>2397</v>
      </c>
      <c r="U1311" s="28" t="s">
        <v>1444</v>
      </c>
      <c r="V1311" s="28" t="s">
        <v>1796</v>
      </c>
      <c r="W1311" s="28" t="s">
        <v>11362</v>
      </c>
      <c r="X1311" s="17">
        <v>1</v>
      </c>
      <c r="CJ1311" s="26" t="s">
        <v>1413</v>
      </c>
      <c r="CK1311" s="26" t="s">
        <v>2653</v>
      </c>
      <c r="CL1311" s="26" t="str">
        <f t="shared" si="81"/>
        <v>徳島県上板町</v>
      </c>
      <c r="CM1311" s="49">
        <v>1306</v>
      </c>
      <c r="CN1311" s="17" t="str">
        <f t="shared" si="80"/>
        <v>1423</v>
      </c>
      <c r="CO1311" s="17" t="str">
        <f t="shared" si="82"/>
        <v>13061423上板町</v>
      </c>
      <c r="CP1311" s="17" t="s">
        <v>11363</v>
      </c>
      <c r="CQ1311" s="17" t="b">
        <f t="shared" si="83"/>
        <v>1</v>
      </c>
    </row>
    <row r="1312" spans="6:95">
      <c r="F1312" s="23"/>
      <c r="I1312" s="23"/>
      <c r="L1312" s="50" t="s">
        <v>11364</v>
      </c>
      <c r="M1312" s="17" t="s">
        <v>11365</v>
      </c>
      <c r="N1312" s="51" t="s">
        <v>11366</v>
      </c>
      <c r="O1312" s="29" t="s">
        <v>1469</v>
      </c>
      <c r="P1312" s="29" t="s">
        <v>11367</v>
      </c>
      <c r="Q1312" s="29" t="s">
        <v>1469</v>
      </c>
      <c r="R1312" s="29" t="s">
        <v>11368</v>
      </c>
      <c r="S1312" s="28" t="s">
        <v>1920</v>
      </c>
      <c r="T1312" s="28" t="s">
        <v>2451</v>
      </c>
      <c r="U1312" s="28" t="s">
        <v>1444</v>
      </c>
      <c r="V1312" s="28" t="s">
        <v>1796</v>
      </c>
      <c r="W1312" s="28" t="s">
        <v>11369</v>
      </c>
      <c r="X1312" s="17">
        <v>1</v>
      </c>
      <c r="CJ1312" s="26" t="s">
        <v>1413</v>
      </c>
      <c r="CK1312" s="26" t="s">
        <v>2699</v>
      </c>
      <c r="CL1312" s="26" t="str">
        <f t="shared" si="81"/>
        <v>徳島県つるぎ町</v>
      </c>
      <c r="CM1312" s="49">
        <v>1307</v>
      </c>
      <c r="CN1312" s="17" t="str">
        <f t="shared" si="80"/>
        <v>1424</v>
      </c>
      <c r="CO1312" s="17" t="str">
        <f t="shared" si="82"/>
        <v>13071424つるぎ町</v>
      </c>
      <c r="CP1312" s="17" t="s">
        <v>11370</v>
      </c>
      <c r="CQ1312" s="17" t="b">
        <f t="shared" si="83"/>
        <v>1</v>
      </c>
    </row>
    <row r="1313" spans="6:95">
      <c r="F1313" s="23"/>
      <c r="I1313" s="23"/>
      <c r="L1313" s="50" t="s">
        <v>11371</v>
      </c>
      <c r="M1313" s="17" t="s">
        <v>11372</v>
      </c>
      <c r="N1313" s="51" t="s">
        <v>11373</v>
      </c>
      <c r="O1313" s="29" t="s">
        <v>1469</v>
      </c>
      <c r="P1313" s="29" t="s">
        <v>11374</v>
      </c>
      <c r="Q1313" s="29" t="s">
        <v>1469</v>
      </c>
      <c r="R1313" s="29" t="s">
        <v>11375</v>
      </c>
      <c r="S1313" s="28" t="s">
        <v>1862</v>
      </c>
      <c r="T1313" s="28" t="s">
        <v>2440</v>
      </c>
      <c r="U1313" s="28" t="s">
        <v>1444</v>
      </c>
      <c r="V1313" s="28" t="s">
        <v>1796</v>
      </c>
      <c r="W1313" s="28" t="s">
        <v>11376</v>
      </c>
      <c r="X1313" s="17">
        <v>2</v>
      </c>
      <c r="CJ1313" s="26" t="s">
        <v>1413</v>
      </c>
      <c r="CK1313" s="26" t="s">
        <v>2745</v>
      </c>
      <c r="CL1313" s="26" t="str">
        <f t="shared" si="81"/>
        <v>徳島県みよし広域連合</v>
      </c>
      <c r="CM1313" s="49">
        <v>1308</v>
      </c>
      <c r="CN1313" s="17" t="str">
        <f t="shared" si="80"/>
        <v>1425</v>
      </c>
      <c r="CO1313" s="17" t="str">
        <f t="shared" si="82"/>
        <v>13081425みよし広域連合</v>
      </c>
      <c r="CP1313" s="17" t="s">
        <v>11377</v>
      </c>
      <c r="CQ1313" s="17" t="b">
        <f t="shared" si="83"/>
        <v>1</v>
      </c>
    </row>
    <row r="1314" spans="6:95">
      <c r="F1314" s="23"/>
      <c r="I1314" s="23"/>
      <c r="L1314" s="50" t="s">
        <v>11378</v>
      </c>
      <c r="M1314" s="17" t="s">
        <v>11379</v>
      </c>
      <c r="N1314" s="51" t="s">
        <v>11380</v>
      </c>
      <c r="O1314" s="29" t="s">
        <v>1469</v>
      </c>
      <c r="P1314" s="29" t="s">
        <v>11381</v>
      </c>
      <c r="Q1314" s="29" t="s">
        <v>1469</v>
      </c>
      <c r="R1314" s="29" t="s">
        <v>11214</v>
      </c>
      <c r="S1314" s="28" t="s">
        <v>1920</v>
      </c>
      <c r="T1314" s="28" t="s">
        <v>2555</v>
      </c>
      <c r="U1314" s="28" t="s">
        <v>1444</v>
      </c>
      <c r="V1314" s="28" t="s">
        <v>1796</v>
      </c>
      <c r="W1314" s="28" t="s">
        <v>11382</v>
      </c>
      <c r="X1314" s="17">
        <v>3</v>
      </c>
      <c r="CJ1314" s="26" t="s">
        <v>1414</v>
      </c>
      <c r="CK1314" s="26" t="s">
        <v>1540</v>
      </c>
      <c r="CL1314" s="26" t="str">
        <f t="shared" si="81"/>
        <v>香川県高松市</v>
      </c>
      <c r="CM1314" s="49">
        <v>1309</v>
      </c>
      <c r="CN1314" s="17" t="str">
        <f t="shared" si="80"/>
        <v>1428</v>
      </c>
      <c r="CO1314" s="17" t="str">
        <f t="shared" si="82"/>
        <v>13091428高松市</v>
      </c>
      <c r="CP1314" s="17" t="s">
        <v>11383</v>
      </c>
      <c r="CQ1314" s="17" t="b">
        <f t="shared" si="83"/>
        <v>1</v>
      </c>
    </row>
    <row r="1315" spans="6:95">
      <c r="F1315" s="23"/>
      <c r="I1315" s="23"/>
      <c r="L1315" s="50" t="s">
        <v>11384</v>
      </c>
      <c r="M1315" s="17" t="s">
        <v>11385</v>
      </c>
      <c r="N1315" s="51" t="s">
        <v>11386</v>
      </c>
      <c r="O1315" s="29" t="s">
        <v>1469</v>
      </c>
      <c r="P1315" s="29" t="s">
        <v>11387</v>
      </c>
      <c r="Q1315" s="29" t="s">
        <v>1469</v>
      </c>
      <c r="R1315" s="29" t="s">
        <v>4723</v>
      </c>
      <c r="S1315" s="28" t="s">
        <v>1564</v>
      </c>
      <c r="T1315" s="28" t="s">
        <v>2603</v>
      </c>
      <c r="U1315" s="28" t="s">
        <v>1444</v>
      </c>
      <c r="V1315" s="28" t="s">
        <v>1796</v>
      </c>
      <c r="W1315" s="28" t="s">
        <v>11388</v>
      </c>
      <c r="X1315" s="17">
        <v>4</v>
      </c>
      <c r="CJ1315" s="26" t="s">
        <v>1414</v>
      </c>
      <c r="CK1315" s="26" t="s">
        <v>1602</v>
      </c>
      <c r="CL1315" s="26" t="str">
        <f t="shared" si="81"/>
        <v>香川県丸亀市</v>
      </c>
      <c r="CM1315" s="49">
        <v>1310</v>
      </c>
      <c r="CN1315" s="17" t="str">
        <f t="shared" si="80"/>
        <v>1429</v>
      </c>
      <c r="CO1315" s="17" t="str">
        <f t="shared" si="82"/>
        <v>13101429丸亀市</v>
      </c>
      <c r="CP1315" s="17" t="s">
        <v>11389</v>
      </c>
      <c r="CQ1315" s="17" t="b">
        <f t="shared" si="83"/>
        <v>1</v>
      </c>
    </row>
    <row r="1316" spans="6:95">
      <c r="F1316" s="23"/>
      <c r="I1316" s="23"/>
      <c r="L1316" s="50" t="s">
        <v>11390</v>
      </c>
      <c r="M1316" s="17" t="s">
        <v>11391</v>
      </c>
      <c r="N1316" s="51" t="s">
        <v>11392</v>
      </c>
      <c r="O1316" s="29" t="s">
        <v>1470</v>
      </c>
      <c r="P1316" s="29" t="s">
        <v>11393</v>
      </c>
      <c r="Q1316" s="29" t="s">
        <v>1470</v>
      </c>
      <c r="R1316" s="29" t="s">
        <v>4593</v>
      </c>
      <c r="S1316" s="28" t="s">
        <v>1977</v>
      </c>
      <c r="T1316" s="28" t="s">
        <v>1535</v>
      </c>
      <c r="U1316" s="28" t="s">
        <v>1444</v>
      </c>
      <c r="V1316" s="28" t="s">
        <v>1796</v>
      </c>
      <c r="W1316" s="28" t="s">
        <v>11393</v>
      </c>
      <c r="X1316" s="17">
        <v>1</v>
      </c>
      <c r="CJ1316" s="26" t="s">
        <v>1414</v>
      </c>
      <c r="CK1316" s="26" t="s">
        <v>1664</v>
      </c>
      <c r="CL1316" s="26" t="str">
        <f t="shared" si="81"/>
        <v>香川県坂出市</v>
      </c>
      <c r="CM1316" s="49">
        <v>1311</v>
      </c>
      <c r="CN1316" s="17" t="str">
        <f t="shared" si="80"/>
        <v>1430</v>
      </c>
      <c r="CO1316" s="17" t="str">
        <f t="shared" si="82"/>
        <v>13111430坂出市</v>
      </c>
      <c r="CP1316" s="17" t="s">
        <v>11394</v>
      </c>
      <c r="CQ1316" s="17" t="b">
        <f t="shared" si="83"/>
        <v>1</v>
      </c>
    </row>
    <row r="1317" spans="6:95">
      <c r="F1317" s="23"/>
      <c r="I1317" s="23"/>
      <c r="L1317" s="50" t="s">
        <v>11395</v>
      </c>
      <c r="M1317" s="17" t="s">
        <v>11396</v>
      </c>
      <c r="N1317" s="51" t="s">
        <v>11397</v>
      </c>
      <c r="O1317" s="29" t="s">
        <v>1470</v>
      </c>
      <c r="P1317" s="29" t="s">
        <v>11398</v>
      </c>
      <c r="Q1317" s="29" t="s">
        <v>1470</v>
      </c>
      <c r="R1317" s="29" t="s">
        <v>1625</v>
      </c>
      <c r="S1317" s="28" t="s">
        <v>1803</v>
      </c>
      <c r="T1317" s="28" t="s">
        <v>1597</v>
      </c>
      <c r="U1317" s="28" t="s">
        <v>1444</v>
      </c>
      <c r="V1317" s="28" t="s">
        <v>1796</v>
      </c>
      <c r="W1317" s="28" t="s">
        <v>11398</v>
      </c>
      <c r="X1317" s="17">
        <v>1</v>
      </c>
      <c r="CJ1317" s="26" t="s">
        <v>1414</v>
      </c>
      <c r="CK1317" s="26" t="s">
        <v>1722</v>
      </c>
      <c r="CL1317" s="26" t="str">
        <f t="shared" si="81"/>
        <v>香川県善通寺市</v>
      </c>
      <c r="CM1317" s="49">
        <v>1312</v>
      </c>
      <c r="CN1317" s="17" t="str">
        <f t="shared" si="80"/>
        <v>1431</v>
      </c>
      <c r="CO1317" s="17" t="str">
        <f t="shared" si="82"/>
        <v>13121431善通寺市</v>
      </c>
      <c r="CP1317" s="17" t="s">
        <v>11399</v>
      </c>
      <c r="CQ1317" s="17" t="b">
        <f t="shared" si="83"/>
        <v>1</v>
      </c>
    </row>
    <row r="1318" spans="6:95">
      <c r="F1318" s="23"/>
      <c r="I1318" s="23"/>
      <c r="L1318" s="50" t="s">
        <v>11400</v>
      </c>
      <c r="M1318" s="17" t="s">
        <v>11401</v>
      </c>
      <c r="N1318" s="51" t="s">
        <v>11402</v>
      </c>
      <c r="O1318" s="29" t="s">
        <v>1470</v>
      </c>
      <c r="P1318" s="29" t="s">
        <v>11403</v>
      </c>
      <c r="Q1318" s="29" t="s">
        <v>1470</v>
      </c>
      <c r="R1318" s="29" t="s">
        <v>1684</v>
      </c>
      <c r="S1318" s="28" t="s">
        <v>1862</v>
      </c>
      <c r="T1318" s="28" t="s">
        <v>1659</v>
      </c>
      <c r="U1318" s="28" t="s">
        <v>1444</v>
      </c>
      <c r="V1318" s="28" t="s">
        <v>1796</v>
      </c>
      <c r="W1318" s="28" t="s">
        <v>11404</v>
      </c>
      <c r="X1318" s="17">
        <v>1</v>
      </c>
      <c r="CJ1318" s="26" t="s">
        <v>1414</v>
      </c>
      <c r="CK1318" s="26" t="s">
        <v>1781</v>
      </c>
      <c r="CL1318" s="26" t="str">
        <f t="shared" si="81"/>
        <v>香川県観音寺市</v>
      </c>
      <c r="CM1318" s="49">
        <v>1313</v>
      </c>
      <c r="CN1318" s="17" t="str">
        <f t="shared" si="80"/>
        <v>1432</v>
      </c>
      <c r="CO1318" s="17" t="str">
        <f t="shared" si="82"/>
        <v>13131432観音寺市</v>
      </c>
      <c r="CP1318" s="17" t="s">
        <v>11405</v>
      </c>
      <c r="CQ1318" s="17" t="b">
        <f t="shared" si="83"/>
        <v>1</v>
      </c>
    </row>
    <row r="1319" spans="6:95">
      <c r="F1319" s="23"/>
      <c r="I1319" s="23"/>
      <c r="L1319" s="50" t="s">
        <v>11406</v>
      </c>
      <c r="M1319" s="17" t="s">
        <v>11407</v>
      </c>
      <c r="N1319" s="51" t="s">
        <v>11408</v>
      </c>
      <c r="O1319" s="29" t="s">
        <v>1470</v>
      </c>
      <c r="P1319" s="29" t="s">
        <v>11409</v>
      </c>
      <c r="Q1319" s="29" t="s">
        <v>1470</v>
      </c>
      <c r="R1319" s="29" t="s">
        <v>1742</v>
      </c>
      <c r="S1319" s="28" t="s">
        <v>1502</v>
      </c>
      <c r="T1319" s="28" t="s">
        <v>1717</v>
      </c>
      <c r="U1319" s="28" t="s">
        <v>1444</v>
      </c>
      <c r="V1319" s="28" t="s">
        <v>1796</v>
      </c>
      <c r="W1319" s="28" t="s">
        <v>11410</v>
      </c>
      <c r="X1319" s="17">
        <v>1</v>
      </c>
      <c r="CJ1319" s="26" t="s">
        <v>1414</v>
      </c>
      <c r="CK1319" s="26" t="s">
        <v>1841</v>
      </c>
      <c r="CL1319" s="26" t="str">
        <f t="shared" si="81"/>
        <v>香川県さぬき市</v>
      </c>
      <c r="CM1319" s="49">
        <v>1314</v>
      </c>
      <c r="CN1319" s="17" t="str">
        <f t="shared" si="80"/>
        <v>1433</v>
      </c>
      <c r="CO1319" s="17" t="str">
        <f t="shared" si="82"/>
        <v>13141433さぬき市</v>
      </c>
      <c r="CP1319" s="17" t="s">
        <v>11411</v>
      </c>
      <c r="CQ1319" s="17" t="b">
        <f t="shared" si="83"/>
        <v>1</v>
      </c>
    </row>
    <row r="1320" spans="6:95">
      <c r="F1320" s="23"/>
      <c r="I1320" s="23"/>
      <c r="L1320" s="50" t="s">
        <v>11412</v>
      </c>
      <c r="M1320" s="17" t="s">
        <v>11413</v>
      </c>
      <c r="N1320" s="51" t="s">
        <v>11414</v>
      </c>
      <c r="O1320" s="29" t="s">
        <v>1470</v>
      </c>
      <c r="P1320" s="29" t="s">
        <v>11415</v>
      </c>
      <c r="Q1320" s="29" t="s">
        <v>1470</v>
      </c>
      <c r="R1320" s="29" t="s">
        <v>1802</v>
      </c>
      <c r="S1320" s="28" t="s">
        <v>2525</v>
      </c>
      <c r="T1320" s="28" t="s">
        <v>1776</v>
      </c>
      <c r="U1320" s="28" t="s">
        <v>1444</v>
      </c>
      <c r="V1320" s="28" t="s">
        <v>1796</v>
      </c>
      <c r="W1320" s="28" t="s">
        <v>11416</v>
      </c>
      <c r="X1320" s="17">
        <v>1</v>
      </c>
      <c r="CJ1320" s="26" t="s">
        <v>1414</v>
      </c>
      <c r="CK1320" s="26" t="s">
        <v>1900</v>
      </c>
      <c r="CL1320" s="26" t="str">
        <f t="shared" si="81"/>
        <v>香川県東かがわ市</v>
      </c>
      <c r="CM1320" s="49">
        <v>1315</v>
      </c>
      <c r="CN1320" s="17" t="str">
        <f t="shared" si="80"/>
        <v>1434</v>
      </c>
      <c r="CO1320" s="17" t="str">
        <f t="shared" si="82"/>
        <v>13151434東かがわ市</v>
      </c>
      <c r="CP1320" s="17" t="s">
        <v>11417</v>
      </c>
      <c r="CQ1320" s="17" t="b">
        <f t="shared" si="83"/>
        <v>1</v>
      </c>
    </row>
    <row r="1321" spans="6:95">
      <c r="F1321" s="23"/>
      <c r="I1321" s="23"/>
      <c r="L1321" s="50" t="s">
        <v>11418</v>
      </c>
      <c r="M1321" s="17" t="s">
        <v>11419</v>
      </c>
      <c r="N1321" s="51" t="s">
        <v>11420</v>
      </c>
      <c r="O1321" s="29" t="s">
        <v>1470</v>
      </c>
      <c r="P1321" s="29" t="s">
        <v>11421</v>
      </c>
      <c r="Q1321" s="29" t="s">
        <v>1470</v>
      </c>
      <c r="R1321" s="29" t="s">
        <v>4984</v>
      </c>
      <c r="S1321" s="28" t="s">
        <v>1626</v>
      </c>
      <c r="T1321" s="28" t="s">
        <v>1836</v>
      </c>
      <c r="U1321" s="28" t="s">
        <v>1444</v>
      </c>
      <c r="V1321" s="28" t="s">
        <v>1796</v>
      </c>
      <c r="W1321" s="28" t="s">
        <v>11422</v>
      </c>
      <c r="X1321" s="17">
        <v>1</v>
      </c>
      <c r="CJ1321" s="26" t="s">
        <v>1414</v>
      </c>
      <c r="CK1321" s="26" t="s">
        <v>1958</v>
      </c>
      <c r="CL1321" s="26" t="str">
        <f t="shared" si="81"/>
        <v>香川県三豊市</v>
      </c>
      <c r="CM1321" s="49">
        <v>1316</v>
      </c>
      <c r="CN1321" s="17" t="str">
        <f t="shared" si="80"/>
        <v>1435</v>
      </c>
      <c r="CO1321" s="17" t="str">
        <f t="shared" si="82"/>
        <v>13161435三豊市</v>
      </c>
      <c r="CP1321" s="17" t="s">
        <v>11423</v>
      </c>
      <c r="CQ1321" s="17" t="b">
        <f t="shared" si="83"/>
        <v>1</v>
      </c>
    </row>
    <row r="1322" spans="6:95">
      <c r="F1322" s="23"/>
      <c r="I1322" s="23"/>
      <c r="L1322" s="50" t="s">
        <v>11424</v>
      </c>
      <c r="M1322" s="17" t="s">
        <v>11425</v>
      </c>
      <c r="N1322" s="51" t="s">
        <v>11426</v>
      </c>
      <c r="O1322" s="29" t="s">
        <v>1470</v>
      </c>
      <c r="P1322" s="29" t="s">
        <v>11427</v>
      </c>
      <c r="Q1322" s="29" t="s">
        <v>1470</v>
      </c>
      <c r="R1322" s="29" t="s">
        <v>5272</v>
      </c>
      <c r="S1322" s="28" t="s">
        <v>1862</v>
      </c>
      <c r="T1322" s="28" t="s">
        <v>1895</v>
      </c>
      <c r="U1322" s="28" t="s">
        <v>1444</v>
      </c>
      <c r="V1322" s="28" t="s">
        <v>1796</v>
      </c>
      <c r="W1322" s="28" t="s">
        <v>11428</v>
      </c>
      <c r="X1322" s="17">
        <v>1</v>
      </c>
      <c r="CJ1322" s="26" t="s">
        <v>1414</v>
      </c>
      <c r="CK1322" s="26" t="s">
        <v>2015</v>
      </c>
      <c r="CL1322" s="26" t="str">
        <f t="shared" si="81"/>
        <v>香川県土庄町</v>
      </c>
      <c r="CM1322" s="49">
        <v>1317</v>
      </c>
      <c r="CN1322" s="17" t="str">
        <f t="shared" si="80"/>
        <v>1436</v>
      </c>
      <c r="CO1322" s="17" t="str">
        <f t="shared" si="82"/>
        <v>13171436土庄町</v>
      </c>
      <c r="CP1322" s="17" t="s">
        <v>11429</v>
      </c>
      <c r="CQ1322" s="17" t="b">
        <f t="shared" si="83"/>
        <v>1</v>
      </c>
    </row>
    <row r="1323" spans="6:95">
      <c r="F1323" s="23"/>
      <c r="I1323" s="23"/>
      <c r="L1323" s="50" t="s">
        <v>11430</v>
      </c>
      <c r="M1323" s="17" t="s">
        <v>11431</v>
      </c>
      <c r="N1323" s="51" t="s">
        <v>11432</v>
      </c>
      <c r="O1323" s="29" t="s">
        <v>1470</v>
      </c>
      <c r="P1323" s="29" t="s">
        <v>11433</v>
      </c>
      <c r="Q1323" s="29" t="s">
        <v>1470</v>
      </c>
      <c r="R1323" s="29" t="s">
        <v>11434</v>
      </c>
      <c r="S1323" s="28" t="s">
        <v>1862</v>
      </c>
      <c r="T1323" s="28" t="s">
        <v>1953</v>
      </c>
      <c r="U1323" s="28" t="s">
        <v>1444</v>
      </c>
      <c r="V1323" s="28" t="s">
        <v>1796</v>
      </c>
      <c r="W1323" s="28" t="s">
        <v>11433</v>
      </c>
      <c r="X1323" s="17">
        <v>1</v>
      </c>
      <c r="CJ1323" s="26" t="s">
        <v>1414</v>
      </c>
      <c r="CK1323" s="26" t="s">
        <v>2071</v>
      </c>
      <c r="CL1323" s="26" t="str">
        <f t="shared" si="81"/>
        <v>香川県小豆島町</v>
      </c>
      <c r="CM1323" s="49">
        <v>1318</v>
      </c>
      <c r="CN1323" s="17" t="str">
        <f t="shared" si="80"/>
        <v>1437</v>
      </c>
      <c r="CO1323" s="17" t="str">
        <f t="shared" si="82"/>
        <v>13181437小豆島町</v>
      </c>
      <c r="CP1323" s="17" t="s">
        <v>11435</v>
      </c>
      <c r="CQ1323" s="17" t="b">
        <f t="shared" si="83"/>
        <v>1</v>
      </c>
    </row>
    <row r="1324" spans="6:95">
      <c r="F1324" s="23"/>
      <c r="I1324" s="23"/>
      <c r="L1324" s="50" t="s">
        <v>11436</v>
      </c>
      <c r="M1324" s="17" t="s">
        <v>11437</v>
      </c>
      <c r="N1324" s="51" t="s">
        <v>11438</v>
      </c>
      <c r="O1324" s="29" t="s">
        <v>1470</v>
      </c>
      <c r="P1324" s="29" t="s">
        <v>11439</v>
      </c>
      <c r="Q1324" s="29" t="s">
        <v>1470</v>
      </c>
      <c r="R1324" s="29" t="s">
        <v>4806</v>
      </c>
      <c r="S1324" s="28" t="s">
        <v>1920</v>
      </c>
      <c r="T1324" s="28" t="s">
        <v>2010</v>
      </c>
      <c r="U1324" s="28" t="s">
        <v>1444</v>
      </c>
      <c r="V1324" s="28" t="s">
        <v>1796</v>
      </c>
      <c r="W1324" s="28" t="s">
        <v>11439</v>
      </c>
      <c r="X1324" s="17">
        <v>2</v>
      </c>
      <c r="CJ1324" s="26" t="s">
        <v>1414</v>
      </c>
      <c r="CK1324" s="26" t="s">
        <v>2127</v>
      </c>
      <c r="CL1324" s="26" t="str">
        <f t="shared" si="81"/>
        <v>香川県三木町</v>
      </c>
      <c r="CM1324" s="49">
        <v>1319</v>
      </c>
      <c r="CN1324" s="17" t="str">
        <f t="shared" si="80"/>
        <v>1438</v>
      </c>
      <c r="CO1324" s="17" t="str">
        <f t="shared" si="82"/>
        <v>13191438三木町</v>
      </c>
      <c r="CP1324" s="17" t="s">
        <v>11440</v>
      </c>
      <c r="CQ1324" s="17" t="b">
        <f t="shared" si="83"/>
        <v>1</v>
      </c>
    </row>
    <row r="1325" spans="6:95">
      <c r="F1325" s="23"/>
      <c r="I1325" s="23"/>
      <c r="L1325" s="50" t="s">
        <v>11441</v>
      </c>
      <c r="M1325" s="17" t="s">
        <v>11442</v>
      </c>
      <c r="N1325" s="51" t="s">
        <v>11443</v>
      </c>
      <c r="O1325" s="29" t="s">
        <v>1470</v>
      </c>
      <c r="P1325" s="29" t="s">
        <v>11444</v>
      </c>
      <c r="Q1325" s="29" t="s">
        <v>1470</v>
      </c>
      <c r="R1325" s="29" t="s">
        <v>6595</v>
      </c>
      <c r="S1325" s="28" t="s">
        <v>2525</v>
      </c>
      <c r="T1325" s="28" t="s">
        <v>2066</v>
      </c>
      <c r="U1325" s="28" t="s">
        <v>1444</v>
      </c>
      <c r="V1325" s="28" t="s">
        <v>1796</v>
      </c>
      <c r="W1325" s="28" t="s">
        <v>11444</v>
      </c>
      <c r="X1325" s="17">
        <v>3</v>
      </c>
      <c r="CJ1325" s="26" t="s">
        <v>1414</v>
      </c>
      <c r="CK1325" s="26" t="s">
        <v>2183</v>
      </c>
      <c r="CL1325" s="26" t="str">
        <f t="shared" si="81"/>
        <v>香川県直島町</v>
      </c>
      <c r="CM1325" s="49">
        <v>1320</v>
      </c>
      <c r="CN1325" s="17" t="str">
        <f t="shared" si="80"/>
        <v>1439</v>
      </c>
      <c r="CO1325" s="17" t="str">
        <f t="shared" si="82"/>
        <v>13201439直島町</v>
      </c>
      <c r="CP1325" s="17" t="s">
        <v>11445</v>
      </c>
      <c r="CQ1325" s="17" t="b">
        <f t="shared" si="83"/>
        <v>1</v>
      </c>
    </row>
    <row r="1326" spans="6:95">
      <c r="F1326" s="23"/>
      <c r="I1326" s="23"/>
      <c r="L1326" s="50" t="s">
        <v>11446</v>
      </c>
      <c r="M1326" s="17" t="s">
        <v>11447</v>
      </c>
      <c r="N1326" s="51" t="s">
        <v>11448</v>
      </c>
      <c r="O1326" s="29" t="s">
        <v>1470</v>
      </c>
      <c r="P1326" s="29" t="s">
        <v>11449</v>
      </c>
      <c r="Q1326" s="29" t="s">
        <v>1470</v>
      </c>
      <c r="R1326" s="29" t="s">
        <v>6602</v>
      </c>
      <c r="S1326" s="28" t="s">
        <v>2311</v>
      </c>
      <c r="T1326" s="28" t="s">
        <v>2122</v>
      </c>
      <c r="U1326" s="28" t="s">
        <v>1444</v>
      </c>
      <c r="V1326" s="28" t="s">
        <v>1796</v>
      </c>
      <c r="W1326" s="28" t="s">
        <v>11449</v>
      </c>
      <c r="X1326" s="17">
        <v>4</v>
      </c>
      <c r="CJ1326" s="26" t="s">
        <v>1414</v>
      </c>
      <c r="CK1326" s="26" t="s">
        <v>2238</v>
      </c>
      <c r="CL1326" s="26" t="str">
        <f t="shared" si="81"/>
        <v>香川県宇多津町</v>
      </c>
      <c r="CM1326" s="49">
        <v>1321</v>
      </c>
      <c r="CN1326" s="17" t="str">
        <f t="shared" si="80"/>
        <v>1440</v>
      </c>
      <c r="CO1326" s="17" t="str">
        <f t="shared" si="82"/>
        <v>13211440宇多津町</v>
      </c>
      <c r="CP1326" s="17" t="s">
        <v>11450</v>
      </c>
      <c r="CQ1326" s="17" t="b">
        <f t="shared" si="83"/>
        <v>1</v>
      </c>
    </row>
    <row r="1327" spans="6:95">
      <c r="F1327" s="23"/>
      <c r="I1327" s="23"/>
      <c r="L1327" s="50" t="s">
        <v>11451</v>
      </c>
      <c r="M1327" s="17" t="s">
        <v>11452</v>
      </c>
      <c r="N1327" s="51" t="s">
        <v>11453</v>
      </c>
      <c r="O1327" s="29" t="s">
        <v>1470</v>
      </c>
      <c r="P1327" s="29" t="s">
        <v>11454</v>
      </c>
      <c r="Q1327" s="29" t="s">
        <v>1470</v>
      </c>
      <c r="R1327" s="29" t="s">
        <v>11455</v>
      </c>
      <c r="S1327" s="28" t="s">
        <v>1743</v>
      </c>
      <c r="T1327" s="28" t="s">
        <v>2178</v>
      </c>
      <c r="U1327" s="28" t="s">
        <v>1444</v>
      </c>
      <c r="V1327" s="28" t="s">
        <v>1796</v>
      </c>
      <c r="W1327" s="28" t="s">
        <v>11456</v>
      </c>
      <c r="X1327" s="17">
        <v>1</v>
      </c>
      <c r="CJ1327" s="26" t="s">
        <v>1414</v>
      </c>
      <c r="CK1327" s="26" t="s">
        <v>2293</v>
      </c>
      <c r="CL1327" s="26" t="str">
        <f t="shared" si="81"/>
        <v>香川県綾川町</v>
      </c>
      <c r="CM1327" s="49">
        <v>1322</v>
      </c>
      <c r="CN1327" s="17" t="str">
        <f t="shared" si="80"/>
        <v>1441</v>
      </c>
      <c r="CO1327" s="17" t="str">
        <f t="shared" si="82"/>
        <v>13221441綾川町</v>
      </c>
      <c r="CP1327" s="17" t="s">
        <v>11457</v>
      </c>
      <c r="CQ1327" s="17" t="b">
        <f t="shared" si="83"/>
        <v>1</v>
      </c>
    </row>
    <row r="1328" spans="6:95">
      <c r="F1328" s="23"/>
      <c r="I1328" s="23"/>
      <c r="L1328" s="50" t="s">
        <v>11458</v>
      </c>
      <c r="M1328" s="17" t="s">
        <v>11459</v>
      </c>
      <c r="N1328" s="51" t="s">
        <v>11460</v>
      </c>
      <c r="O1328" s="29" t="s">
        <v>1470</v>
      </c>
      <c r="P1328" s="29" t="s">
        <v>11461</v>
      </c>
      <c r="Q1328" s="29" t="s">
        <v>1470</v>
      </c>
      <c r="R1328" s="29" t="s">
        <v>1563</v>
      </c>
      <c r="S1328" s="28" t="s">
        <v>1743</v>
      </c>
      <c r="T1328" s="28" t="s">
        <v>2233</v>
      </c>
      <c r="U1328" s="28" t="s">
        <v>1444</v>
      </c>
      <c r="V1328" s="28" t="s">
        <v>1796</v>
      </c>
      <c r="W1328" s="28" t="s">
        <v>11461</v>
      </c>
      <c r="X1328" s="17">
        <v>2</v>
      </c>
      <c r="CJ1328" s="26" t="s">
        <v>1414</v>
      </c>
      <c r="CK1328" s="26" t="s">
        <v>2348</v>
      </c>
      <c r="CL1328" s="26" t="str">
        <f t="shared" si="81"/>
        <v>香川県琴平町</v>
      </c>
      <c r="CM1328" s="49">
        <v>1323</v>
      </c>
      <c r="CN1328" s="17" t="str">
        <f t="shared" si="80"/>
        <v>1442</v>
      </c>
      <c r="CO1328" s="17" t="str">
        <f t="shared" si="82"/>
        <v>13231442琴平町</v>
      </c>
      <c r="CP1328" s="17" t="s">
        <v>11462</v>
      </c>
      <c r="CQ1328" s="17" t="b">
        <f t="shared" si="83"/>
        <v>1</v>
      </c>
    </row>
    <row r="1329" spans="6:95">
      <c r="F1329" s="23"/>
      <c r="I1329" s="23"/>
      <c r="L1329" s="50" t="s">
        <v>11463</v>
      </c>
      <c r="M1329" s="17" t="s">
        <v>11464</v>
      </c>
      <c r="N1329" s="51" t="s">
        <v>11465</v>
      </c>
      <c r="O1329" s="29" t="s">
        <v>1470</v>
      </c>
      <c r="P1329" s="29" t="s">
        <v>11466</v>
      </c>
      <c r="Q1329" s="29" t="s">
        <v>1470</v>
      </c>
      <c r="R1329" s="29" t="s">
        <v>1861</v>
      </c>
      <c r="S1329" s="28" t="s">
        <v>2311</v>
      </c>
      <c r="T1329" s="28" t="s">
        <v>2288</v>
      </c>
      <c r="U1329" s="28" t="s">
        <v>1444</v>
      </c>
      <c r="V1329" s="28" t="s">
        <v>1796</v>
      </c>
      <c r="W1329" s="28" t="s">
        <v>11467</v>
      </c>
      <c r="X1329" s="17">
        <v>3</v>
      </c>
      <c r="CJ1329" s="26" t="s">
        <v>1414</v>
      </c>
      <c r="CK1329" s="26" t="s">
        <v>2403</v>
      </c>
      <c r="CL1329" s="26" t="str">
        <f t="shared" si="81"/>
        <v>香川県多度津町</v>
      </c>
      <c r="CM1329" s="49">
        <v>1324</v>
      </c>
      <c r="CN1329" s="17" t="str">
        <f t="shared" si="80"/>
        <v>1443</v>
      </c>
      <c r="CO1329" s="17" t="str">
        <f t="shared" si="82"/>
        <v>13241443多度津町</v>
      </c>
      <c r="CP1329" s="17" t="s">
        <v>11468</v>
      </c>
      <c r="CQ1329" s="17" t="b">
        <f t="shared" si="83"/>
        <v>1</v>
      </c>
    </row>
    <row r="1330" spans="6:95">
      <c r="F1330" s="23"/>
      <c r="I1330" s="23"/>
      <c r="L1330" s="50" t="s">
        <v>11469</v>
      </c>
      <c r="M1330" s="17" t="s">
        <v>11470</v>
      </c>
      <c r="N1330" s="51" t="s">
        <v>11471</v>
      </c>
      <c r="O1330" s="29" t="s">
        <v>1470</v>
      </c>
      <c r="P1330" s="29" t="s">
        <v>11472</v>
      </c>
      <c r="Q1330" s="29" t="s">
        <v>1470</v>
      </c>
      <c r="R1330" s="29" t="s">
        <v>8982</v>
      </c>
      <c r="S1330" s="28" t="s">
        <v>1862</v>
      </c>
      <c r="T1330" s="28" t="s">
        <v>2343</v>
      </c>
      <c r="U1330" s="28" t="s">
        <v>1444</v>
      </c>
      <c r="V1330" s="28" t="s">
        <v>1796</v>
      </c>
      <c r="W1330" s="28" t="s">
        <v>11473</v>
      </c>
      <c r="X1330" s="17">
        <v>1</v>
      </c>
      <c r="CJ1330" s="26" t="s">
        <v>1414</v>
      </c>
      <c r="CK1330" s="26" t="s">
        <v>2457</v>
      </c>
      <c r="CL1330" s="26" t="str">
        <f t="shared" si="81"/>
        <v>香川県まんのう町</v>
      </c>
      <c r="CM1330" s="49">
        <v>1325</v>
      </c>
      <c r="CN1330" s="17" t="str">
        <f t="shared" si="80"/>
        <v>1444</v>
      </c>
      <c r="CO1330" s="17" t="str">
        <f t="shared" si="82"/>
        <v>13251444まんのう町</v>
      </c>
      <c r="CP1330" s="17" t="s">
        <v>11474</v>
      </c>
      <c r="CQ1330" s="17" t="b">
        <f t="shared" si="83"/>
        <v>1</v>
      </c>
    </row>
    <row r="1331" spans="6:95">
      <c r="F1331" s="23"/>
      <c r="I1331" s="23"/>
      <c r="L1331" s="50" t="s">
        <v>11475</v>
      </c>
      <c r="M1331" s="17" t="s">
        <v>11476</v>
      </c>
      <c r="N1331" s="51" t="s">
        <v>11477</v>
      </c>
      <c r="O1331" s="29" t="s">
        <v>1470</v>
      </c>
      <c r="P1331" s="29" t="s">
        <v>11478</v>
      </c>
      <c r="Q1331" s="29" t="s">
        <v>1470</v>
      </c>
      <c r="R1331" s="29" t="s">
        <v>1976</v>
      </c>
      <c r="S1331" s="28" t="s">
        <v>1626</v>
      </c>
      <c r="T1331" s="28" t="s">
        <v>2398</v>
      </c>
      <c r="U1331" s="28" t="s">
        <v>1444</v>
      </c>
      <c r="V1331" s="28" t="s">
        <v>1796</v>
      </c>
      <c r="W1331" s="28" t="s">
        <v>11479</v>
      </c>
      <c r="X1331" s="17">
        <v>2</v>
      </c>
      <c r="CJ1331" s="26" t="s">
        <v>1415</v>
      </c>
      <c r="CK1331" s="26" t="s">
        <v>1541</v>
      </c>
      <c r="CL1331" s="26" t="str">
        <f t="shared" si="81"/>
        <v>愛媛県松山市</v>
      </c>
      <c r="CM1331" s="49">
        <v>1326</v>
      </c>
      <c r="CN1331" s="17" t="str">
        <f t="shared" si="80"/>
        <v>1445</v>
      </c>
      <c r="CO1331" s="17" t="str">
        <f t="shared" si="82"/>
        <v>13261445松山市</v>
      </c>
      <c r="CP1331" s="17" t="s">
        <v>11480</v>
      </c>
      <c r="CQ1331" s="17" t="b">
        <f t="shared" si="83"/>
        <v>1</v>
      </c>
    </row>
    <row r="1332" spans="6:95">
      <c r="F1332" s="23"/>
      <c r="I1332" s="23"/>
      <c r="L1332" s="50" t="s">
        <v>11481</v>
      </c>
      <c r="M1332" s="17" t="s">
        <v>11482</v>
      </c>
      <c r="N1332" s="51" t="s">
        <v>11483</v>
      </c>
      <c r="O1332" s="29" t="s">
        <v>1470</v>
      </c>
      <c r="P1332" s="29" t="s">
        <v>11484</v>
      </c>
      <c r="Q1332" s="29" t="s">
        <v>1470</v>
      </c>
      <c r="R1332" s="29" t="s">
        <v>3316</v>
      </c>
      <c r="S1332" s="28" t="s">
        <v>1977</v>
      </c>
      <c r="T1332" s="28" t="s">
        <v>2452</v>
      </c>
      <c r="U1332" s="28" t="s">
        <v>1444</v>
      </c>
      <c r="V1332" s="28" t="s">
        <v>1796</v>
      </c>
      <c r="W1332" s="28" t="s">
        <v>11485</v>
      </c>
      <c r="X1332" s="17">
        <v>3</v>
      </c>
      <c r="CJ1332" s="26" t="s">
        <v>1415</v>
      </c>
      <c r="CK1332" s="26" t="s">
        <v>1603</v>
      </c>
      <c r="CL1332" s="26" t="str">
        <f t="shared" si="81"/>
        <v>愛媛県今治市</v>
      </c>
      <c r="CM1332" s="49">
        <v>1327</v>
      </c>
      <c r="CN1332" s="17" t="str">
        <f t="shared" si="80"/>
        <v>1446</v>
      </c>
      <c r="CO1332" s="17" t="str">
        <f t="shared" si="82"/>
        <v>13271446今治市</v>
      </c>
      <c r="CP1332" s="17" t="s">
        <v>11486</v>
      </c>
      <c r="CQ1332" s="17" t="b">
        <f t="shared" si="83"/>
        <v>1</v>
      </c>
    </row>
    <row r="1333" spans="6:95">
      <c r="F1333" s="23"/>
      <c r="I1333" s="23"/>
      <c r="L1333" s="50" t="s">
        <v>11487</v>
      </c>
      <c r="M1333" s="17" t="s">
        <v>11488</v>
      </c>
      <c r="N1333" s="51" t="s">
        <v>11489</v>
      </c>
      <c r="O1333" s="29" t="s">
        <v>1470</v>
      </c>
      <c r="P1333" s="29" t="s">
        <v>11490</v>
      </c>
      <c r="Q1333" s="29" t="s">
        <v>1470</v>
      </c>
      <c r="R1333" s="29" t="s">
        <v>6415</v>
      </c>
      <c r="S1333" s="28" t="s">
        <v>2525</v>
      </c>
      <c r="T1333" s="28" t="s">
        <v>2503</v>
      </c>
      <c r="U1333" s="28" t="s">
        <v>1444</v>
      </c>
      <c r="V1333" s="28" t="s">
        <v>1796</v>
      </c>
      <c r="W1333" s="28" t="s">
        <v>11491</v>
      </c>
      <c r="X1333" s="17">
        <v>4</v>
      </c>
      <c r="CJ1333" s="26" t="s">
        <v>1415</v>
      </c>
      <c r="CK1333" s="26" t="s">
        <v>1665</v>
      </c>
      <c r="CL1333" s="26" t="str">
        <f t="shared" si="81"/>
        <v>愛媛県宇和島市</v>
      </c>
      <c r="CM1333" s="49">
        <v>1328</v>
      </c>
      <c r="CN1333" s="17" t="str">
        <f t="shared" si="80"/>
        <v>1447</v>
      </c>
      <c r="CO1333" s="17" t="str">
        <f t="shared" si="82"/>
        <v>13281447宇和島市</v>
      </c>
      <c r="CP1333" s="17" t="s">
        <v>11492</v>
      </c>
      <c r="CQ1333" s="17" t="b">
        <f t="shared" si="83"/>
        <v>1</v>
      </c>
    </row>
    <row r="1334" spans="6:95">
      <c r="F1334" s="23"/>
      <c r="I1334" s="23"/>
      <c r="L1334" s="50" t="s">
        <v>11493</v>
      </c>
      <c r="M1334" s="17" t="s">
        <v>11494</v>
      </c>
      <c r="N1334" s="51" t="s">
        <v>11495</v>
      </c>
      <c r="O1334" s="29" t="s">
        <v>1470</v>
      </c>
      <c r="P1334" s="29" t="s">
        <v>11496</v>
      </c>
      <c r="Q1334" s="29" t="s">
        <v>1470</v>
      </c>
      <c r="R1334" s="29" t="s">
        <v>11497</v>
      </c>
      <c r="S1334" s="28" t="s">
        <v>1920</v>
      </c>
      <c r="T1334" s="28" t="s">
        <v>2556</v>
      </c>
      <c r="U1334" s="28" t="s">
        <v>1444</v>
      </c>
      <c r="V1334" s="28" t="s">
        <v>1796</v>
      </c>
      <c r="W1334" s="28" t="s">
        <v>11498</v>
      </c>
      <c r="X1334" s="17">
        <v>1</v>
      </c>
      <c r="CJ1334" s="26" t="s">
        <v>1415</v>
      </c>
      <c r="CK1334" s="26" t="s">
        <v>1723</v>
      </c>
      <c r="CL1334" s="26" t="str">
        <f t="shared" si="81"/>
        <v>愛媛県八幡浜市</v>
      </c>
      <c r="CM1334" s="49">
        <v>1329</v>
      </c>
      <c r="CN1334" s="17" t="str">
        <f t="shared" si="80"/>
        <v>1448</v>
      </c>
      <c r="CO1334" s="17" t="str">
        <f t="shared" si="82"/>
        <v>13291448八幡浜市</v>
      </c>
      <c r="CP1334" s="17" t="s">
        <v>11499</v>
      </c>
      <c r="CQ1334" s="17" t="b">
        <f t="shared" si="83"/>
        <v>1</v>
      </c>
    </row>
    <row r="1335" spans="6:95">
      <c r="F1335" s="23"/>
      <c r="I1335" s="23"/>
      <c r="L1335" s="50" t="s">
        <v>11500</v>
      </c>
      <c r="M1335" s="17" t="s">
        <v>11501</v>
      </c>
      <c r="N1335" s="51" t="s">
        <v>11502</v>
      </c>
      <c r="O1335" s="29" t="s">
        <v>1470</v>
      </c>
      <c r="P1335" s="29" t="s">
        <v>11503</v>
      </c>
      <c r="Q1335" s="29" t="s">
        <v>1470</v>
      </c>
      <c r="R1335" s="29" t="s">
        <v>11504</v>
      </c>
      <c r="S1335" s="28" t="s">
        <v>1803</v>
      </c>
      <c r="T1335" s="28" t="s">
        <v>2604</v>
      </c>
      <c r="U1335" s="28" t="s">
        <v>1444</v>
      </c>
      <c r="V1335" s="28" t="s">
        <v>1796</v>
      </c>
      <c r="W1335" s="28" t="s">
        <v>11505</v>
      </c>
      <c r="X1335" s="17">
        <v>2</v>
      </c>
      <c r="CJ1335" s="26" t="s">
        <v>1415</v>
      </c>
      <c r="CK1335" s="26" t="s">
        <v>1782</v>
      </c>
      <c r="CL1335" s="26" t="str">
        <f t="shared" si="81"/>
        <v>愛媛県新居浜市</v>
      </c>
      <c r="CM1335" s="49">
        <v>1330</v>
      </c>
      <c r="CN1335" s="17" t="str">
        <f t="shared" si="80"/>
        <v>1449</v>
      </c>
      <c r="CO1335" s="17" t="str">
        <f t="shared" si="82"/>
        <v>13301449新居浜市</v>
      </c>
      <c r="CP1335" s="17" t="s">
        <v>11506</v>
      </c>
      <c r="CQ1335" s="17" t="b">
        <f t="shared" si="83"/>
        <v>1</v>
      </c>
    </row>
    <row r="1336" spans="6:95">
      <c r="F1336" s="23"/>
      <c r="I1336" s="23"/>
      <c r="L1336" s="50" t="s">
        <v>11507</v>
      </c>
      <c r="M1336" s="17" t="s">
        <v>11508</v>
      </c>
      <c r="N1336" s="51" t="s">
        <v>11509</v>
      </c>
      <c r="O1336" s="29" t="s">
        <v>1470</v>
      </c>
      <c r="P1336" s="29" t="s">
        <v>11510</v>
      </c>
      <c r="Q1336" s="29" t="s">
        <v>1470</v>
      </c>
      <c r="R1336" s="29" t="s">
        <v>11511</v>
      </c>
      <c r="S1336" s="28" t="s">
        <v>1977</v>
      </c>
      <c r="T1336" s="28" t="s">
        <v>2650</v>
      </c>
      <c r="U1336" s="28" t="s">
        <v>1444</v>
      </c>
      <c r="V1336" s="28" t="s">
        <v>1796</v>
      </c>
      <c r="W1336" s="28" t="s">
        <v>11512</v>
      </c>
      <c r="X1336" s="17">
        <v>3</v>
      </c>
      <c r="CJ1336" s="26" t="s">
        <v>1415</v>
      </c>
      <c r="CK1336" s="26" t="s">
        <v>1842</v>
      </c>
      <c r="CL1336" s="26" t="str">
        <f t="shared" si="81"/>
        <v>愛媛県西条市</v>
      </c>
      <c r="CM1336" s="49">
        <v>1331</v>
      </c>
      <c r="CN1336" s="17" t="str">
        <f t="shared" si="80"/>
        <v>1450</v>
      </c>
      <c r="CO1336" s="17" t="str">
        <f t="shared" si="82"/>
        <v>13311450西条市</v>
      </c>
      <c r="CP1336" s="17" t="s">
        <v>11513</v>
      </c>
      <c r="CQ1336" s="17" t="b">
        <f t="shared" si="83"/>
        <v>1</v>
      </c>
    </row>
    <row r="1337" spans="6:95">
      <c r="F1337" s="23"/>
      <c r="I1337" s="23"/>
      <c r="L1337" s="50" t="s">
        <v>11514</v>
      </c>
      <c r="M1337" s="17" t="s">
        <v>11515</v>
      </c>
      <c r="N1337" s="51" t="s">
        <v>11516</v>
      </c>
      <c r="O1337" s="29" t="s">
        <v>1470</v>
      </c>
      <c r="P1337" s="29" t="s">
        <v>11517</v>
      </c>
      <c r="Q1337" s="29" t="s">
        <v>1470</v>
      </c>
      <c r="R1337" s="29" t="s">
        <v>6640</v>
      </c>
      <c r="S1337" s="28" t="s">
        <v>1920</v>
      </c>
      <c r="T1337" s="28" t="s">
        <v>2696</v>
      </c>
      <c r="U1337" s="28" t="s">
        <v>1444</v>
      </c>
      <c r="V1337" s="28" t="s">
        <v>1796</v>
      </c>
      <c r="W1337" s="28" t="s">
        <v>11518</v>
      </c>
      <c r="X1337" s="17">
        <v>4</v>
      </c>
      <c r="CJ1337" s="26" t="s">
        <v>1415</v>
      </c>
      <c r="CK1337" s="26" t="s">
        <v>1901</v>
      </c>
      <c r="CL1337" s="26" t="str">
        <f t="shared" si="81"/>
        <v>愛媛県大洲市</v>
      </c>
      <c r="CM1337" s="49">
        <v>1332</v>
      </c>
      <c r="CN1337" s="17" t="str">
        <f t="shared" si="80"/>
        <v>1451</v>
      </c>
      <c r="CO1337" s="17" t="str">
        <f t="shared" si="82"/>
        <v>13321451大洲市</v>
      </c>
      <c r="CP1337" s="17" t="s">
        <v>11519</v>
      </c>
      <c r="CQ1337" s="17" t="b">
        <f t="shared" si="83"/>
        <v>1</v>
      </c>
    </row>
    <row r="1338" spans="6:95">
      <c r="F1338" s="23"/>
      <c r="I1338" s="23"/>
      <c r="L1338" s="50" t="s">
        <v>11520</v>
      </c>
      <c r="M1338" s="17" t="s">
        <v>11521</v>
      </c>
      <c r="N1338" s="51" t="s">
        <v>11522</v>
      </c>
      <c r="O1338" s="29" t="s">
        <v>1470</v>
      </c>
      <c r="P1338" s="29" t="s">
        <v>11523</v>
      </c>
      <c r="Q1338" s="29" t="s">
        <v>1470</v>
      </c>
      <c r="R1338" s="29" t="s">
        <v>11524</v>
      </c>
      <c r="S1338" s="28" t="s">
        <v>1743</v>
      </c>
      <c r="T1338" s="28" t="s">
        <v>2742</v>
      </c>
      <c r="U1338" s="28" t="s">
        <v>1444</v>
      </c>
      <c r="V1338" s="28" t="s">
        <v>1796</v>
      </c>
      <c r="W1338" s="28" t="s">
        <v>11525</v>
      </c>
      <c r="X1338" s="17">
        <v>5</v>
      </c>
      <c r="CJ1338" s="26" t="s">
        <v>1415</v>
      </c>
      <c r="CK1338" s="26" t="s">
        <v>1959</v>
      </c>
      <c r="CL1338" s="26" t="str">
        <f t="shared" si="81"/>
        <v>愛媛県伊予市</v>
      </c>
      <c r="CM1338" s="49">
        <v>1333</v>
      </c>
      <c r="CN1338" s="17" t="str">
        <f t="shared" si="80"/>
        <v>1452</v>
      </c>
      <c r="CO1338" s="17" t="str">
        <f t="shared" si="82"/>
        <v>13331452伊予市</v>
      </c>
      <c r="CP1338" s="17" t="s">
        <v>11526</v>
      </c>
      <c r="CQ1338" s="17" t="b">
        <f t="shared" si="83"/>
        <v>1</v>
      </c>
    </row>
    <row r="1339" spans="6:95">
      <c r="F1339" s="23"/>
      <c r="I1339" s="23"/>
      <c r="L1339" s="50" t="s">
        <v>11527</v>
      </c>
      <c r="M1339" s="17" t="s">
        <v>11528</v>
      </c>
      <c r="N1339" s="51" t="s">
        <v>11529</v>
      </c>
      <c r="O1339" s="29" t="s">
        <v>1471</v>
      </c>
      <c r="P1339" s="29" t="s">
        <v>11530</v>
      </c>
      <c r="Q1339" s="29" t="s">
        <v>1471</v>
      </c>
      <c r="R1339" s="29" t="s">
        <v>1501</v>
      </c>
      <c r="S1339" s="28" t="s">
        <v>1626</v>
      </c>
      <c r="T1339" s="28" t="s">
        <v>1536</v>
      </c>
      <c r="U1339" s="28" t="s">
        <v>1444</v>
      </c>
      <c r="V1339" s="28" t="s">
        <v>1796</v>
      </c>
      <c r="W1339" s="28" t="s">
        <v>11531</v>
      </c>
      <c r="X1339" s="17">
        <v>1</v>
      </c>
      <c r="CJ1339" s="26" t="s">
        <v>1415</v>
      </c>
      <c r="CK1339" s="26" t="s">
        <v>2016</v>
      </c>
      <c r="CL1339" s="26" t="str">
        <f t="shared" si="81"/>
        <v>愛媛県四国中央市</v>
      </c>
      <c r="CM1339" s="49">
        <v>1334</v>
      </c>
      <c r="CN1339" s="17" t="str">
        <f t="shared" si="80"/>
        <v>1453</v>
      </c>
      <c r="CO1339" s="17" t="str">
        <f t="shared" si="82"/>
        <v>13341453四国中央市</v>
      </c>
      <c r="CP1339" s="17" t="s">
        <v>11532</v>
      </c>
      <c r="CQ1339" s="17" t="b">
        <f t="shared" si="83"/>
        <v>1</v>
      </c>
    </row>
    <row r="1340" spans="6:95">
      <c r="F1340" s="23"/>
      <c r="I1340" s="23"/>
      <c r="L1340" s="50" t="s">
        <v>11533</v>
      </c>
      <c r="M1340" s="17" t="s">
        <v>11534</v>
      </c>
      <c r="N1340" s="51" t="s">
        <v>11535</v>
      </c>
      <c r="O1340" s="29" t="s">
        <v>1471</v>
      </c>
      <c r="P1340" s="29" t="s">
        <v>11536</v>
      </c>
      <c r="Q1340" s="29" t="s">
        <v>1471</v>
      </c>
      <c r="R1340" s="29" t="s">
        <v>1563</v>
      </c>
      <c r="S1340" s="28" t="s">
        <v>2311</v>
      </c>
      <c r="T1340" s="28" t="s">
        <v>1598</v>
      </c>
      <c r="U1340" s="28" t="s">
        <v>1444</v>
      </c>
      <c r="V1340" s="28" t="s">
        <v>1796</v>
      </c>
      <c r="W1340" s="28" t="s">
        <v>11537</v>
      </c>
      <c r="X1340" s="17">
        <v>1</v>
      </c>
      <c r="CJ1340" s="26" t="s">
        <v>1415</v>
      </c>
      <c r="CK1340" s="26" t="s">
        <v>2072</v>
      </c>
      <c r="CL1340" s="26" t="str">
        <f t="shared" si="81"/>
        <v>愛媛県西予市</v>
      </c>
      <c r="CM1340" s="49">
        <v>1335</v>
      </c>
      <c r="CN1340" s="17" t="str">
        <f t="shared" si="80"/>
        <v>1454</v>
      </c>
      <c r="CO1340" s="17" t="str">
        <f t="shared" si="82"/>
        <v>13351454西予市</v>
      </c>
      <c r="CP1340" s="17" t="s">
        <v>11538</v>
      </c>
      <c r="CQ1340" s="17" t="b">
        <f t="shared" si="83"/>
        <v>1</v>
      </c>
    </row>
    <row r="1341" spans="6:95">
      <c r="F1341" s="23"/>
      <c r="I1341" s="23"/>
      <c r="L1341" s="50" t="s">
        <v>11539</v>
      </c>
      <c r="M1341" s="17" t="s">
        <v>11540</v>
      </c>
      <c r="N1341" s="51" t="s">
        <v>11541</v>
      </c>
      <c r="O1341" s="29" t="s">
        <v>1471</v>
      </c>
      <c r="P1341" s="29" t="s">
        <v>11542</v>
      </c>
      <c r="Q1341" s="29" t="s">
        <v>1471</v>
      </c>
      <c r="R1341" s="29" t="s">
        <v>1625</v>
      </c>
      <c r="S1341" s="28" t="s">
        <v>1564</v>
      </c>
      <c r="T1341" s="28" t="s">
        <v>1660</v>
      </c>
      <c r="U1341" s="28" t="s">
        <v>1444</v>
      </c>
      <c r="V1341" s="28" t="s">
        <v>1796</v>
      </c>
      <c r="W1341" s="28" t="s">
        <v>11543</v>
      </c>
      <c r="X1341" s="17">
        <v>1</v>
      </c>
      <c r="CJ1341" s="26" t="s">
        <v>1415</v>
      </c>
      <c r="CK1341" s="26" t="s">
        <v>2128</v>
      </c>
      <c r="CL1341" s="26" t="str">
        <f t="shared" si="81"/>
        <v>愛媛県東温市</v>
      </c>
      <c r="CM1341" s="49">
        <v>1336</v>
      </c>
      <c r="CN1341" s="17" t="str">
        <f t="shared" si="80"/>
        <v>1455</v>
      </c>
      <c r="CO1341" s="17" t="str">
        <f t="shared" si="82"/>
        <v>13361455東温市</v>
      </c>
      <c r="CP1341" s="17" t="s">
        <v>11544</v>
      </c>
      <c r="CQ1341" s="17" t="b">
        <f t="shared" si="83"/>
        <v>1</v>
      </c>
    </row>
    <row r="1342" spans="6:95">
      <c r="F1342" s="23"/>
      <c r="I1342" s="23"/>
      <c r="L1342" s="50" t="s">
        <v>11545</v>
      </c>
      <c r="M1342" s="17" t="s">
        <v>11546</v>
      </c>
      <c r="N1342" s="51" t="s">
        <v>11547</v>
      </c>
      <c r="O1342" s="29" t="s">
        <v>1471</v>
      </c>
      <c r="P1342" s="29" t="s">
        <v>11548</v>
      </c>
      <c r="Q1342" s="29" t="s">
        <v>1471</v>
      </c>
      <c r="R1342" s="29" t="s">
        <v>1684</v>
      </c>
      <c r="S1342" s="28" t="s">
        <v>1626</v>
      </c>
      <c r="T1342" s="28" t="s">
        <v>1718</v>
      </c>
      <c r="U1342" s="28" t="s">
        <v>1444</v>
      </c>
      <c r="V1342" s="28" t="s">
        <v>1796</v>
      </c>
      <c r="W1342" s="28" t="s">
        <v>11549</v>
      </c>
      <c r="X1342" s="17">
        <v>1</v>
      </c>
      <c r="CJ1342" s="26" t="s">
        <v>1415</v>
      </c>
      <c r="CK1342" s="26" t="s">
        <v>2184</v>
      </c>
      <c r="CL1342" s="26" t="str">
        <f t="shared" si="81"/>
        <v>愛媛県上島町</v>
      </c>
      <c r="CM1342" s="49">
        <v>1337</v>
      </c>
      <c r="CN1342" s="17" t="str">
        <f t="shared" si="80"/>
        <v>1456</v>
      </c>
      <c r="CO1342" s="17" t="str">
        <f t="shared" si="82"/>
        <v>13371456上島町</v>
      </c>
      <c r="CP1342" s="17" t="s">
        <v>11550</v>
      </c>
      <c r="CQ1342" s="17" t="b">
        <f t="shared" si="83"/>
        <v>1</v>
      </c>
    </row>
    <row r="1343" spans="6:95">
      <c r="F1343" s="23"/>
      <c r="I1343" s="23"/>
      <c r="L1343" s="50" t="s">
        <v>11551</v>
      </c>
      <c r="M1343" s="17" t="s">
        <v>11552</v>
      </c>
      <c r="N1343" s="51" t="s">
        <v>11553</v>
      </c>
      <c r="O1343" s="29" t="s">
        <v>1471</v>
      </c>
      <c r="P1343" s="29" t="s">
        <v>11554</v>
      </c>
      <c r="Q1343" s="29" t="s">
        <v>1471</v>
      </c>
      <c r="R1343" s="29" t="s">
        <v>1742</v>
      </c>
      <c r="S1343" s="28" t="s">
        <v>1977</v>
      </c>
      <c r="T1343" s="28" t="s">
        <v>1777</v>
      </c>
      <c r="U1343" s="28" t="s">
        <v>1444</v>
      </c>
      <c r="V1343" s="28" t="s">
        <v>1796</v>
      </c>
      <c r="W1343" s="28" t="s">
        <v>11555</v>
      </c>
      <c r="X1343" s="17">
        <v>1</v>
      </c>
      <c r="CJ1343" s="26" t="s">
        <v>1415</v>
      </c>
      <c r="CK1343" s="26" t="s">
        <v>2239</v>
      </c>
      <c r="CL1343" s="26" t="str">
        <f t="shared" si="81"/>
        <v>愛媛県久万高原町</v>
      </c>
      <c r="CM1343" s="49">
        <v>1338</v>
      </c>
      <c r="CN1343" s="17" t="str">
        <f t="shared" si="80"/>
        <v>1457</v>
      </c>
      <c r="CO1343" s="17" t="str">
        <f t="shared" si="82"/>
        <v>13381457久万高原町</v>
      </c>
      <c r="CP1343" s="17" t="s">
        <v>11556</v>
      </c>
      <c r="CQ1343" s="17" t="b">
        <f t="shared" si="83"/>
        <v>1</v>
      </c>
    </row>
    <row r="1344" spans="6:95">
      <c r="F1344" s="23"/>
      <c r="I1344" s="23"/>
      <c r="L1344" s="50" t="s">
        <v>11557</v>
      </c>
      <c r="M1344" s="17" t="s">
        <v>11558</v>
      </c>
      <c r="N1344" s="51" t="s">
        <v>11559</v>
      </c>
      <c r="O1344" s="29" t="s">
        <v>1471</v>
      </c>
      <c r="P1344" s="29" t="s">
        <v>11560</v>
      </c>
      <c r="Q1344" s="29" t="s">
        <v>1471</v>
      </c>
      <c r="R1344" s="29" t="s">
        <v>1861</v>
      </c>
      <c r="S1344" s="28" t="s">
        <v>1803</v>
      </c>
      <c r="T1344" s="28" t="s">
        <v>1837</v>
      </c>
      <c r="U1344" s="28" t="s">
        <v>1444</v>
      </c>
      <c r="V1344" s="28" t="s">
        <v>1796</v>
      </c>
      <c r="W1344" s="28" t="s">
        <v>11561</v>
      </c>
      <c r="X1344" s="17">
        <v>1</v>
      </c>
      <c r="CJ1344" s="26" t="s">
        <v>1415</v>
      </c>
      <c r="CK1344" s="26" t="s">
        <v>2294</v>
      </c>
      <c r="CL1344" s="26" t="str">
        <f t="shared" si="81"/>
        <v>愛媛県松前町</v>
      </c>
      <c r="CM1344" s="49">
        <v>1339</v>
      </c>
      <c r="CN1344" s="17" t="str">
        <f t="shared" si="80"/>
        <v>1458</v>
      </c>
      <c r="CO1344" s="17" t="str">
        <f t="shared" si="82"/>
        <v>13391458松前町</v>
      </c>
      <c r="CP1344" s="17" t="s">
        <v>11562</v>
      </c>
      <c r="CQ1344" s="17" t="b">
        <f t="shared" si="83"/>
        <v>1</v>
      </c>
    </row>
    <row r="1345" spans="6:95">
      <c r="F1345" s="23"/>
      <c r="I1345" s="23"/>
      <c r="L1345" s="50" t="s">
        <v>11563</v>
      </c>
      <c r="M1345" s="17" t="s">
        <v>11564</v>
      </c>
      <c r="N1345" s="51" t="s">
        <v>11565</v>
      </c>
      <c r="O1345" s="29" t="s">
        <v>1471</v>
      </c>
      <c r="P1345" s="29" t="s">
        <v>11566</v>
      </c>
      <c r="Q1345" s="29" t="s">
        <v>1471</v>
      </c>
      <c r="R1345" s="29" t="s">
        <v>1919</v>
      </c>
      <c r="S1345" s="28" t="s">
        <v>1862</v>
      </c>
      <c r="T1345" s="28" t="s">
        <v>1896</v>
      </c>
      <c r="U1345" s="28" t="s">
        <v>1444</v>
      </c>
      <c r="V1345" s="28" t="s">
        <v>1796</v>
      </c>
      <c r="W1345" s="28" t="s">
        <v>11567</v>
      </c>
      <c r="X1345" s="17">
        <v>1</v>
      </c>
      <c r="CJ1345" s="26" t="s">
        <v>1415</v>
      </c>
      <c r="CK1345" s="26" t="s">
        <v>2349</v>
      </c>
      <c r="CL1345" s="26" t="str">
        <f t="shared" si="81"/>
        <v>愛媛県砥部町</v>
      </c>
      <c r="CM1345" s="49">
        <v>1340</v>
      </c>
      <c r="CN1345" s="17" t="str">
        <f t="shared" si="80"/>
        <v>1459</v>
      </c>
      <c r="CO1345" s="17" t="str">
        <f t="shared" si="82"/>
        <v>13401459砥部町</v>
      </c>
      <c r="CP1345" s="17" t="s">
        <v>11568</v>
      </c>
      <c r="CQ1345" s="17" t="b">
        <f t="shared" si="83"/>
        <v>1</v>
      </c>
    </row>
    <row r="1346" spans="6:95">
      <c r="F1346" s="23"/>
      <c r="I1346" s="23"/>
      <c r="L1346" s="50" t="s">
        <v>11569</v>
      </c>
      <c r="M1346" s="17" t="s">
        <v>11570</v>
      </c>
      <c r="N1346" s="51" t="s">
        <v>11571</v>
      </c>
      <c r="O1346" s="29" t="s">
        <v>1471</v>
      </c>
      <c r="P1346" s="29" t="s">
        <v>11572</v>
      </c>
      <c r="Q1346" s="29" t="s">
        <v>1471</v>
      </c>
      <c r="R1346" s="29" t="s">
        <v>1976</v>
      </c>
      <c r="S1346" s="28" t="s">
        <v>1920</v>
      </c>
      <c r="T1346" s="28" t="s">
        <v>1954</v>
      </c>
      <c r="U1346" s="28" t="s">
        <v>1444</v>
      </c>
      <c r="V1346" s="28" t="s">
        <v>1796</v>
      </c>
      <c r="W1346" s="28" t="s">
        <v>11573</v>
      </c>
      <c r="X1346" s="17">
        <v>1</v>
      </c>
      <c r="CJ1346" s="26" t="s">
        <v>1415</v>
      </c>
      <c r="CK1346" s="26" t="s">
        <v>2404</v>
      </c>
      <c r="CL1346" s="26" t="str">
        <f t="shared" si="81"/>
        <v>愛媛県内子町</v>
      </c>
      <c r="CM1346" s="49">
        <v>1341</v>
      </c>
      <c r="CN1346" s="17" t="str">
        <f t="shared" si="80"/>
        <v>1460</v>
      </c>
      <c r="CO1346" s="17" t="str">
        <f t="shared" si="82"/>
        <v>13411460内子町</v>
      </c>
      <c r="CP1346" s="17" t="s">
        <v>11574</v>
      </c>
      <c r="CQ1346" s="17" t="b">
        <f t="shared" si="83"/>
        <v>1</v>
      </c>
    </row>
    <row r="1347" spans="6:95">
      <c r="F1347" s="23"/>
      <c r="I1347" s="23"/>
      <c r="L1347" s="50" t="s">
        <v>11575</v>
      </c>
      <c r="M1347" s="17" t="s">
        <v>11576</v>
      </c>
      <c r="N1347" s="51" t="s">
        <v>11577</v>
      </c>
      <c r="O1347" s="29" t="s">
        <v>1471</v>
      </c>
      <c r="P1347" s="29" t="s">
        <v>11578</v>
      </c>
      <c r="Q1347" s="29" t="s">
        <v>1471</v>
      </c>
      <c r="R1347" s="29" t="s">
        <v>2033</v>
      </c>
      <c r="S1347" s="28" t="s">
        <v>1977</v>
      </c>
      <c r="T1347" s="28" t="s">
        <v>2011</v>
      </c>
      <c r="U1347" s="28" t="s">
        <v>1444</v>
      </c>
      <c r="V1347" s="28" t="s">
        <v>1796</v>
      </c>
      <c r="W1347" s="28" t="s">
        <v>11579</v>
      </c>
      <c r="X1347" s="17">
        <v>1</v>
      </c>
      <c r="CJ1347" s="26" t="s">
        <v>1415</v>
      </c>
      <c r="CK1347" s="26" t="s">
        <v>2458</v>
      </c>
      <c r="CL1347" s="26" t="str">
        <f t="shared" si="81"/>
        <v>愛媛県伊方町</v>
      </c>
      <c r="CM1347" s="49">
        <v>1342</v>
      </c>
      <c r="CN1347" s="17" t="str">
        <f t="shared" si="80"/>
        <v>1461</v>
      </c>
      <c r="CO1347" s="17" t="str">
        <f t="shared" si="82"/>
        <v>13421461伊方町</v>
      </c>
      <c r="CP1347" s="17" t="s">
        <v>11580</v>
      </c>
      <c r="CQ1347" s="17" t="b">
        <f t="shared" si="83"/>
        <v>1</v>
      </c>
    </row>
    <row r="1348" spans="6:95">
      <c r="F1348" s="23"/>
      <c r="I1348" s="23"/>
      <c r="L1348" s="50" t="s">
        <v>11581</v>
      </c>
      <c r="M1348" s="17" t="s">
        <v>11582</v>
      </c>
      <c r="N1348" s="51" t="s">
        <v>11583</v>
      </c>
      <c r="O1348" s="29" t="s">
        <v>1471</v>
      </c>
      <c r="P1348" s="29" t="s">
        <v>11584</v>
      </c>
      <c r="Q1348" s="29" t="s">
        <v>1471</v>
      </c>
      <c r="R1348" s="29" t="s">
        <v>2089</v>
      </c>
      <c r="S1348" s="28" t="s">
        <v>1743</v>
      </c>
      <c r="T1348" s="28" t="s">
        <v>2067</v>
      </c>
      <c r="U1348" s="28" t="s">
        <v>1444</v>
      </c>
      <c r="V1348" s="28" t="s">
        <v>1796</v>
      </c>
      <c r="W1348" s="28" t="s">
        <v>11585</v>
      </c>
      <c r="X1348" s="17">
        <v>1</v>
      </c>
      <c r="CJ1348" s="26" t="s">
        <v>1415</v>
      </c>
      <c r="CK1348" s="26" t="s">
        <v>2508</v>
      </c>
      <c r="CL1348" s="26" t="str">
        <f t="shared" si="81"/>
        <v>愛媛県松野町</v>
      </c>
      <c r="CM1348" s="49">
        <v>1343</v>
      </c>
      <c r="CN1348" s="17" t="str">
        <f t="shared" si="80"/>
        <v>1462</v>
      </c>
      <c r="CO1348" s="17" t="str">
        <f t="shared" si="82"/>
        <v>13431462松野町</v>
      </c>
      <c r="CP1348" s="17" t="s">
        <v>11586</v>
      </c>
      <c r="CQ1348" s="17" t="b">
        <f t="shared" si="83"/>
        <v>1</v>
      </c>
    </row>
    <row r="1349" spans="6:95">
      <c r="F1349" s="23"/>
      <c r="I1349" s="23"/>
      <c r="L1349" s="50" t="s">
        <v>11587</v>
      </c>
      <c r="M1349" s="17" t="s">
        <v>11588</v>
      </c>
      <c r="N1349" s="51" t="s">
        <v>11589</v>
      </c>
      <c r="O1349" s="29" t="s">
        <v>1471</v>
      </c>
      <c r="P1349" s="29" t="s">
        <v>11590</v>
      </c>
      <c r="Q1349" s="29" t="s">
        <v>1471</v>
      </c>
      <c r="R1349" s="29" t="s">
        <v>2145</v>
      </c>
      <c r="S1349" s="28" t="s">
        <v>1803</v>
      </c>
      <c r="T1349" s="28" t="s">
        <v>2123</v>
      </c>
      <c r="U1349" s="28" t="s">
        <v>1444</v>
      </c>
      <c r="V1349" s="28" t="s">
        <v>1796</v>
      </c>
      <c r="W1349" s="28" t="s">
        <v>11591</v>
      </c>
      <c r="X1349" s="17">
        <v>1</v>
      </c>
      <c r="CJ1349" s="26" t="s">
        <v>1415</v>
      </c>
      <c r="CK1349" s="26" t="s">
        <v>2561</v>
      </c>
      <c r="CL1349" s="26" t="str">
        <f t="shared" si="81"/>
        <v>愛媛県鬼北町</v>
      </c>
      <c r="CM1349" s="49">
        <v>1344</v>
      </c>
      <c r="CN1349" s="17" t="str">
        <f t="shared" si="80"/>
        <v>1463</v>
      </c>
      <c r="CO1349" s="17" t="str">
        <f t="shared" si="82"/>
        <v>13441463鬼北町</v>
      </c>
      <c r="CP1349" s="17" t="s">
        <v>11592</v>
      </c>
      <c r="CQ1349" s="17" t="b">
        <f t="shared" si="83"/>
        <v>1</v>
      </c>
    </row>
    <row r="1350" spans="6:95">
      <c r="F1350" s="23"/>
      <c r="I1350" s="23"/>
      <c r="L1350" s="50" t="s">
        <v>11593</v>
      </c>
      <c r="M1350" s="17" t="s">
        <v>11594</v>
      </c>
      <c r="N1350" s="51" t="s">
        <v>11595</v>
      </c>
      <c r="O1350" s="29" t="s">
        <v>1471</v>
      </c>
      <c r="P1350" s="29" t="s">
        <v>11596</v>
      </c>
      <c r="Q1350" s="29" t="s">
        <v>1471</v>
      </c>
      <c r="R1350" s="29" t="s">
        <v>2200</v>
      </c>
      <c r="S1350" s="28" t="s">
        <v>1862</v>
      </c>
      <c r="T1350" s="28" t="s">
        <v>2179</v>
      </c>
      <c r="U1350" s="28" t="s">
        <v>1444</v>
      </c>
      <c r="V1350" s="28" t="s">
        <v>1796</v>
      </c>
      <c r="W1350" s="28" t="s">
        <v>11597</v>
      </c>
      <c r="X1350" s="17">
        <v>1</v>
      </c>
      <c r="CJ1350" s="26" t="s">
        <v>1415</v>
      </c>
      <c r="CK1350" s="26" t="s">
        <v>2608</v>
      </c>
      <c r="CL1350" s="26" t="str">
        <f t="shared" si="81"/>
        <v>愛媛県愛南町</v>
      </c>
      <c r="CM1350" s="49">
        <v>1345</v>
      </c>
      <c r="CN1350" s="17" t="str">
        <f t="shared" ref="CN1350:CN1413" si="84">VLOOKUP(CL1350,$M$6:$N$1784,2,FALSE)</f>
        <v>1464</v>
      </c>
      <c r="CO1350" s="17" t="str">
        <f t="shared" si="82"/>
        <v>13451464愛南町</v>
      </c>
      <c r="CP1350" s="17" t="s">
        <v>11598</v>
      </c>
      <c r="CQ1350" s="17" t="b">
        <f t="shared" si="83"/>
        <v>1</v>
      </c>
    </row>
    <row r="1351" spans="6:95">
      <c r="F1351" s="23"/>
      <c r="I1351" s="23"/>
      <c r="L1351" s="50" t="s">
        <v>11599</v>
      </c>
      <c r="M1351" s="17" t="s">
        <v>11600</v>
      </c>
      <c r="N1351" s="51" t="s">
        <v>11601</v>
      </c>
      <c r="O1351" s="29" t="s">
        <v>1471</v>
      </c>
      <c r="P1351" s="29" t="s">
        <v>11602</v>
      </c>
      <c r="Q1351" s="29" t="s">
        <v>1471</v>
      </c>
      <c r="R1351" s="29" t="s">
        <v>2255</v>
      </c>
      <c r="S1351" s="28" t="s">
        <v>1920</v>
      </c>
      <c r="T1351" s="28" t="s">
        <v>2234</v>
      </c>
      <c r="U1351" s="28" t="s">
        <v>1444</v>
      </c>
      <c r="V1351" s="28" t="s">
        <v>1796</v>
      </c>
      <c r="W1351" s="28" t="s">
        <v>11603</v>
      </c>
      <c r="X1351" s="17">
        <v>1</v>
      </c>
      <c r="CJ1351" s="26" t="s">
        <v>1416</v>
      </c>
      <c r="CK1351" s="26" t="s">
        <v>1542</v>
      </c>
      <c r="CL1351" s="26" t="str">
        <f t="shared" si="81"/>
        <v>高知県高知市</v>
      </c>
      <c r="CM1351" s="49">
        <v>1346</v>
      </c>
      <c r="CN1351" s="17" t="str">
        <f t="shared" si="84"/>
        <v>1465</v>
      </c>
      <c r="CO1351" s="17" t="str">
        <f t="shared" si="82"/>
        <v>13461465高知市</v>
      </c>
      <c r="CP1351" s="17" t="s">
        <v>11604</v>
      </c>
      <c r="CQ1351" s="17" t="b">
        <f t="shared" si="83"/>
        <v>1</v>
      </c>
    </row>
    <row r="1352" spans="6:95">
      <c r="F1352" s="23"/>
      <c r="I1352" s="23"/>
      <c r="L1352" s="50" t="s">
        <v>11605</v>
      </c>
      <c r="M1352" s="17" t="s">
        <v>11606</v>
      </c>
      <c r="N1352" s="51" t="s">
        <v>11607</v>
      </c>
      <c r="O1352" s="29" t="s">
        <v>1471</v>
      </c>
      <c r="P1352" s="29" t="s">
        <v>11608</v>
      </c>
      <c r="Q1352" s="29" t="s">
        <v>1471</v>
      </c>
      <c r="R1352" s="29" t="s">
        <v>2310</v>
      </c>
      <c r="S1352" s="28" t="s">
        <v>2525</v>
      </c>
      <c r="T1352" s="28" t="s">
        <v>2289</v>
      </c>
      <c r="U1352" s="28" t="s">
        <v>1444</v>
      </c>
      <c r="V1352" s="28" t="s">
        <v>1796</v>
      </c>
      <c r="W1352" s="28" t="s">
        <v>11609</v>
      </c>
      <c r="X1352" s="17">
        <v>1</v>
      </c>
      <c r="CJ1352" s="26" t="s">
        <v>1416</v>
      </c>
      <c r="CK1352" s="26" t="s">
        <v>1604</v>
      </c>
      <c r="CL1352" s="26" t="str">
        <f t="shared" ref="CL1352:CL1415" si="85">CJ1352&amp;CK1352</f>
        <v>高知県室戸市</v>
      </c>
      <c r="CM1352" s="49">
        <v>1347</v>
      </c>
      <c r="CN1352" s="17" t="str">
        <f t="shared" si="84"/>
        <v>1466</v>
      </c>
      <c r="CO1352" s="17" t="str">
        <f t="shared" ref="CO1352:CO1415" si="86">CM1352&amp;TEXT(CN1352,0)&amp;CK1352</f>
        <v>13471466室戸市</v>
      </c>
      <c r="CP1352" s="17" t="s">
        <v>11610</v>
      </c>
      <c r="CQ1352" s="17" t="b">
        <f t="shared" ref="CQ1352:CQ1415" si="87">CO1352=CP1352</f>
        <v>1</v>
      </c>
    </row>
    <row r="1353" spans="6:95">
      <c r="F1353" s="23"/>
      <c r="I1353" s="23"/>
      <c r="L1353" s="50" t="s">
        <v>11611</v>
      </c>
      <c r="M1353" s="17" t="s">
        <v>11612</v>
      </c>
      <c r="N1353" s="51" t="s">
        <v>11613</v>
      </c>
      <c r="O1353" s="29" t="s">
        <v>1471</v>
      </c>
      <c r="P1353" s="29" t="s">
        <v>11614</v>
      </c>
      <c r="Q1353" s="29" t="s">
        <v>1471</v>
      </c>
      <c r="R1353" s="29" t="s">
        <v>2365</v>
      </c>
      <c r="S1353" s="28" t="s">
        <v>2311</v>
      </c>
      <c r="T1353" s="28" t="s">
        <v>2344</v>
      </c>
      <c r="U1353" s="28" t="s">
        <v>1444</v>
      </c>
      <c r="V1353" s="28" t="s">
        <v>1796</v>
      </c>
      <c r="W1353" s="28" t="s">
        <v>11615</v>
      </c>
      <c r="X1353" s="17">
        <v>1</v>
      </c>
      <c r="CJ1353" s="26" t="s">
        <v>1416</v>
      </c>
      <c r="CK1353" s="26" t="s">
        <v>1666</v>
      </c>
      <c r="CL1353" s="26" t="str">
        <f t="shared" si="85"/>
        <v>高知県安芸市</v>
      </c>
      <c r="CM1353" s="49">
        <v>1348</v>
      </c>
      <c r="CN1353" s="17" t="str">
        <f t="shared" si="84"/>
        <v>1467</v>
      </c>
      <c r="CO1353" s="17" t="str">
        <f t="shared" si="86"/>
        <v>13481467安芸市</v>
      </c>
      <c r="CP1353" s="17" t="s">
        <v>11616</v>
      </c>
      <c r="CQ1353" s="17" t="b">
        <f t="shared" si="87"/>
        <v>1</v>
      </c>
    </row>
    <row r="1354" spans="6:95">
      <c r="F1354" s="23"/>
      <c r="I1354" s="23"/>
      <c r="L1354" s="50" t="s">
        <v>11617</v>
      </c>
      <c r="M1354" s="17" t="s">
        <v>11618</v>
      </c>
      <c r="N1354" s="51" t="s">
        <v>11619</v>
      </c>
      <c r="O1354" s="29" t="s">
        <v>1471</v>
      </c>
      <c r="P1354" s="29" t="s">
        <v>11620</v>
      </c>
      <c r="Q1354" s="29" t="s">
        <v>1471</v>
      </c>
      <c r="R1354" s="29" t="s">
        <v>3358</v>
      </c>
      <c r="S1354" s="28" t="s">
        <v>1920</v>
      </c>
      <c r="T1354" s="28" t="s">
        <v>2399</v>
      </c>
      <c r="U1354" s="28" t="s">
        <v>1444</v>
      </c>
      <c r="V1354" s="28" t="s">
        <v>1796</v>
      </c>
      <c r="W1354" s="28" t="s">
        <v>11620</v>
      </c>
      <c r="X1354" s="17">
        <v>1</v>
      </c>
      <c r="CJ1354" s="26" t="s">
        <v>1416</v>
      </c>
      <c r="CK1354" s="26" t="s">
        <v>1724</v>
      </c>
      <c r="CL1354" s="26" t="str">
        <f t="shared" si="85"/>
        <v>高知県南国市</v>
      </c>
      <c r="CM1354" s="49">
        <v>1349</v>
      </c>
      <c r="CN1354" s="17" t="str">
        <f t="shared" si="84"/>
        <v>1468</v>
      </c>
      <c r="CO1354" s="17" t="str">
        <f t="shared" si="86"/>
        <v>13491468南国市</v>
      </c>
      <c r="CP1354" s="17" t="s">
        <v>11621</v>
      </c>
      <c r="CQ1354" s="17" t="b">
        <f t="shared" si="87"/>
        <v>1</v>
      </c>
    </row>
    <row r="1355" spans="6:95">
      <c r="F1355" s="23"/>
      <c r="I1355" s="23"/>
      <c r="L1355" s="50" t="s">
        <v>11622</v>
      </c>
      <c r="M1355" s="17" t="s">
        <v>11623</v>
      </c>
      <c r="N1355" s="51" t="s">
        <v>11624</v>
      </c>
      <c r="O1355" s="29" t="s">
        <v>1471</v>
      </c>
      <c r="P1355" s="29" t="s">
        <v>11625</v>
      </c>
      <c r="Q1355" s="29" t="s">
        <v>1471</v>
      </c>
      <c r="R1355" s="29" t="s">
        <v>3539</v>
      </c>
      <c r="S1355" s="28" t="s">
        <v>2525</v>
      </c>
      <c r="T1355" s="28" t="s">
        <v>2453</v>
      </c>
      <c r="U1355" s="28" t="s">
        <v>1444</v>
      </c>
      <c r="V1355" s="28" t="s">
        <v>1796</v>
      </c>
      <c r="W1355" s="28" t="s">
        <v>11625</v>
      </c>
      <c r="X1355" s="17">
        <v>1</v>
      </c>
      <c r="CJ1355" s="26" t="s">
        <v>1416</v>
      </c>
      <c r="CK1355" s="26" t="s">
        <v>1783</v>
      </c>
      <c r="CL1355" s="26" t="str">
        <f t="shared" si="85"/>
        <v>高知県土佐市</v>
      </c>
      <c r="CM1355" s="49">
        <v>1350</v>
      </c>
      <c r="CN1355" s="17" t="str">
        <f t="shared" si="84"/>
        <v>1469</v>
      </c>
      <c r="CO1355" s="17" t="str">
        <f t="shared" si="86"/>
        <v>13501469土佐市</v>
      </c>
      <c r="CP1355" s="17" t="s">
        <v>11626</v>
      </c>
      <c r="CQ1355" s="17" t="b">
        <f t="shared" si="87"/>
        <v>1</v>
      </c>
    </row>
    <row r="1356" spans="6:95">
      <c r="F1356" s="23"/>
      <c r="I1356" s="23"/>
      <c r="L1356" s="50" t="s">
        <v>11627</v>
      </c>
      <c r="M1356" s="17" t="s">
        <v>11628</v>
      </c>
      <c r="N1356" s="51" t="s">
        <v>11629</v>
      </c>
      <c r="O1356" s="29" t="s">
        <v>1471</v>
      </c>
      <c r="P1356" s="29" t="s">
        <v>11630</v>
      </c>
      <c r="Q1356" s="29" t="s">
        <v>1471</v>
      </c>
      <c r="R1356" s="29" t="s">
        <v>4825</v>
      </c>
      <c r="S1356" s="28" t="s">
        <v>1920</v>
      </c>
      <c r="T1356" s="28" t="s">
        <v>2504</v>
      </c>
      <c r="U1356" s="28" t="s">
        <v>1444</v>
      </c>
      <c r="V1356" s="28" t="s">
        <v>1796</v>
      </c>
      <c r="W1356" s="28" t="s">
        <v>11631</v>
      </c>
      <c r="X1356" s="17">
        <v>1</v>
      </c>
      <c r="CJ1356" s="26" t="s">
        <v>1416</v>
      </c>
      <c r="CK1356" s="26" t="s">
        <v>1843</v>
      </c>
      <c r="CL1356" s="26" t="str">
        <f t="shared" si="85"/>
        <v>高知県須崎市</v>
      </c>
      <c r="CM1356" s="49">
        <v>1351</v>
      </c>
      <c r="CN1356" s="17" t="str">
        <f t="shared" si="84"/>
        <v>1470</v>
      </c>
      <c r="CO1356" s="17" t="str">
        <f t="shared" si="86"/>
        <v>13511470須崎市</v>
      </c>
      <c r="CP1356" s="17" t="s">
        <v>11632</v>
      </c>
      <c r="CQ1356" s="17" t="b">
        <f t="shared" si="87"/>
        <v>1</v>
      </c>
    </row>
    <row r="1357" spans="6:95">
      <c r="F1357" s="23"/>
      <c r="I1357" s="23"/>
      <c r="L1357" s="50" t="s">
        <v>11633</v>
      </c>
      <c r="M1357" s="17" t="s">
        <v>11634</v>
      </c>
      <c r="N1357" s="51" t="s">
        <v>11635</v>
      </c>
      <c r="O1357" s="29" t="s">
        <v>1471</v>
      </c>
      <c r="P1357" s="29" t="s">
        <v>11636</v>
      </c>
      <c r="Q1357" s="29" t="s">
        <v>1471</v>
      </c>
      <c r="R1357" s="29" t="s">
        <v>3707</v>
      </c>
      <c r="S1357" s="28" t="s">
        <v>2525</v>
      </c>
      <c r="T1357" s="28" t="s">
        <v>2557</v>
      </c>
      <c r="U1357" s="28" t="s">
        <v>1444</v>
      </c>
      <c r="V1357" s="28" t="s">
        <v>1796</v>
      </c>
      <c r="W1357" s="28" t="s">
        <v>11637</v>
      </c>
      <c r="X1357" s="17">
        <v>1</v>
      </c>
      <c r="CJ1357" s="26" t="s">
        <v>1416</v>
      </c>
      <c r="CK1357" s="26" t="s">
        <v>1902</v>
      </c>
      <c r="CL1357" s="26" t="str">
        <f t="shared" si="85"/>
        <v>高知県宿毛市</v>
      </c>
      <c r="CM1357" s="49">
        <v>1352</v>
      </c>
      <c r="CN1357" s="17" t="str">
        <f t="shared" si="84"/>
        <v>1471</v>
      </c>
      <c r="CO1357" s="17" t="str">
        <f t="shared" si="86"/>
        <v>13521471宿毛市</v>
      </c>
      <c r="CP1357" s="17" t="s">
        <v>11638</v>
      </c>
      <c r="CQ1357" s="17" t="b">
        <f t="shared" si="87"/>
        <v>1</v>
      </c>
    </row>
    <row r="1358" spans="6:95">
      <c r="F1358" s="23"/>
      <c r="I1358" s="23"/>
      <c r="L1358" s="50" t="s">
        <v>11639</v>
      </c>
      <c r="M1358" s="17" t="s">
        <v>11640</v>
      </c>
      <c r="N1358" s="51" t="s">
        <v>11641</v>
      </c>
      <c r="O1358" s="29" t="s">
        <v>1471</v>
      </c>
      <c r="P1358" s="29" t="s">
        <v>11642</v>
      </c>
      <c r="Q1358" s="29" t="s">
        <v>1471</v>
      </c>
      <c r="R1358" s="29" t="s">
        <v>4074</v>
      </c>
      <c r="S1358" s="28" t="s">
        <v>1626</v>
      </c>
      <c r="T1358" s="28" t="s">
        <v>2605</v>
      </c>
      <c r="U1358" s="28" t="s">
        <v>1444</v>
      </c>
      <c r="V1358" s="28" t="s">
        <v>1796</v>
      </c>
      <c r="W1358" s="28" t="s">
        <v>11643</v>
      </c>
      <c r="X1358" s="17">
        <v>1</v>
      </c>
      <c r="CJ1358" s="26" t="s">
        <v>1416</v>
      </c>
      <c r="CK1358" s="26" t="s">
        <v>1960</v>
      </c>
      <c r="CL1358" s="26" t="str">
        <f t="shared" si="85"/>
        <v>高知県土佐清水市</v>
      </c>
      <c r="CM1358" s="49">
        <v>1353</v>
      </c>
      <c r="CN1358" s="17" t="str">
        <f t="shared" si="84"/>
        <v>1472</v>
      </c>
      <c r="CO1358" s="17" t="str">
        <f t="shared" si="86"/>
        <v>13531472土佐清水市</v>
      </c>
      <c r="CP1358" s="17" t="s">
        <v>11644</v>
      </c>
      <c r="CQ1358" s="17" t="b">
        <f t="shared" si="87"/>
        <v>1</v>
      </c>
    </row>
    <row r="1359" spans="6:95">
      <c r="F1359" s="23"/>
      <c r="I1359" s="23"/>
      <c r="L1359" s="50" t="s">
        <v>11645</v>
      </c>
      <c r="M1359" s="17" t="s">
        <v>11646</v>
      </c>
      <c r="N1359" s="51" t="s">
        <v>11647</v>
      </c>
      <c r="O1359" s="29" t="s">
        <v>1471</v>
      </c>
      <c r="P1359" s="29" t="s">
        <v>11648</v>
      </c>
      <c r="Q1359" s="29" t="s">
        <v>1471</v>
      </c>
      <c r="R1359" s="29" t="s">
        <v>5285</v>
      </c>
      <c r="S1359" s="28" t="s">
        <v>2525</v>
      </c>
      <c r="T1359" s="28" t="s">
        <v>2651</v>
      </c>
      <c r="U1359" s="28" t="s">
        <v>1444</v>
      </c>
      <c r="V1359" s="28" t="s">
        <v>1796</v>
      </c>
      <c r="W1359" s="28" t="s">
        <v>11649</v>
      </c>
      <c r="X1359" s="17">
        <v>1</v>
      </c>
      <c r="CJ1359" s="26" t="s">
        <v>1416</v>
      </c>
      <c r="CK1359" s="26" t="s">
        <v>2017</v>
      </c>
      <c r="CL1359" s="26" t="str">
        <f t="shared" si="85"/>
        <v>高知県四万十市</v>
      </c>
      <c r="CM1359" s="49">
        <v>1354</v>
      </c>
      <c r="CN1359" s="17" t="str">
        <f t="shared" si="84"/>
        <v>1473</v>
      </c>
      <c r="CO1359" s="17" t="str">
        <f t="shared" si="86"/>
        <v>13541473四万十市</v>
      </c>
      <c r="CP1359" s="17" t="s">
        <v>11650</v>
      </c>
      <c r="CQ1359" s="17" t="b">
        <f t="shared" si="87"/>
        <v>1</v>
      </c>
    </row>
    <row r="1360" spans="6:95">
      <c r="F1360" s="23"/>
      <c r="I1360" s="23"/>
      <c r="L1360" s="50" t="s">
        <v>11651</v>
      </c>
      <c r="M1360" s="17" t="s">
        <v>11652</v>
      </c>
      <c r="N1360" s="51" t="s">
        <v>11653</v>
      </c>
      <c r="O1360" s="29" t="s">
        <v>1471</v>
      </c>
      <c r="P1360" s="29" t="s">
        <v>11654</v>
      </c>
      <c r="Q1360" s="29" t="s">
        <v>1471</v>
      </c>
      <c r="R1360" s="29" t="s">
        <v>11655</v>
      </c>
      <c r="S1360" s="28" t="s">
        <v>1803</v>
      </c>
      <c r="T1360" s="28" t="s">
        <v>2697</v>
      </c>
      <c r="U1360" s="28" t="s">
        <v>1444</v>
      </c>
      <c r="V1360" s="28" t="s">
        <v>1796</v>
      </c>
      <c r="W1360" s="28" t="s">
        <v>11656</v>
      </c>
      <c r="X1360" s="17">
        <v>1</v>
      </c>
      <c r="CJ1360" s="26" t="s">
        <v>1416</v>
      </c>
      <c r="CK1360" s="26" t="s">
        <v>2073</v>
      </c>
      <c r="CL1360" s="26" t="str">
        <f t="shared" si="85"/>
        <v>高知県香南市</v>
      </c>
      <c r="CM1360" s="49">
        <v>1355</v>
      </c>
      <c r="CN1360" s="17" t="str">
        <f t="shared" si="84"/>
        <v>1474</v>
      </c>
      <c r="CO1360" s="17" t="str">
        <f t="shared" si="86"/>
        <v>13551474香南市</v>
      </c>
      <c r="CP1360" s="17" t="s">
        <v>11657</v>
      </c>
      <c r="CQ1360" s="17" t="b">
        <f t="shared" si="87"/>
        <v>1</v>
      </c>
    </row>
    <row r="1361" spans="6:95">
      <c r="F1361" s="23"/>
      <c r="I1361" s="23"/>
      <c r="L1361" s="50" t="s">
        <v>11658</v>
      </c>
      <c r="M1361" s="17" t="s">
        <v>11659</v>
      </c>
      <c r="N1361" s="51" t="s">
        <v>11660</v>
      </c>
      <c r="O1361" s="29" t="s">
        <v>1471</v>
      </c>
      <c r="P1361" s="29" t="s">
        <v>11661</v>
      </c>
      <c r="Q1361" s="29" t="s">
        <v>1471</v>
      </c>
      <c r="R1361" s="29" t="s">
        <v>11662</v>
      </c>
      <c r="S1361" s="28" t="s">
        <v>1862</v>
      </c>
      <c r="T1361" s="28" t="s">
        <v>2743</v>
      </c>
      <c r="U1361" s="28" t="s">
        <v>1444</v>
      </c>
      <c r="V1361" s="28" t="s">
        <v>1796</v>
      </c>
      <c r="W1361" s="28" t="s">
        <v>11663</v>
      </c>
      <c r="X1361" s="17">
        <v>1</v>
      </c>
      <c r="CJ1361" s="26" t="s">
        <v>1416</v>
      </c>
      <c r="CK1361" s="26" t="s">
        <v>2129</v>
      </c>
      <c r="CL1361" s="26" t="str">
        <f t="shared" si="85"/>
        <v>高知県香美市</v>
      </c>
      <c r="CM1361" s="49">
        <v>1356</v>
      </c>
      <c r="CN1361" s="17" t="str">
        <f t="shared" si="84"/>
        <v>1475</v>
      </c>
      <c r="CO1361" s="17" t="str">
        <f t="shared" si="86"/>
        <v>13561475香美市</v>
      </c>
      <c r="CP1361" s="17" t="s">
        <v>11664</v>
      </c>
      <c r="CQ1361" s="17" t="b">
        <f t="shared" si="87"/>
        <v>1</v>
      </c>
    </row>
    <row r="1362" spans="6:95">
      <c r="F1362" s="23"/>
      <c r="I1362" s="23"/>
      <c r="L1362" s="50" t="s">
        <v>11665</v>
      </c>
      <c r="M1362" s="17" t="s">
        <v>11666</v>
      </c>
      <c r="N1362" s="51" t="s">
        <v>11667</v>
      </c>
      <c r="O1362" s="29" t="s">
        <v>1471</v>
      </c>
      <c r="P1362" s="29" t="s">
        <v>11668</v>
      </c>
      <c r="Q1362" s="29" t="s">
        <v>1471</v>
      </c>
      <c r="R1362" s="29" t="s">
        <v>4207</v>
      </c>
      <c r="S1362" s="28" t="s">
        <v>1920</v>
      </c>
      <c r="T1362" s="28" t="s">
        <v>2786</v>
      </c>
      <c r="U1362" s="28" t="s">
        <v>1444</v>
      </c>
      <c r="V1362" s="28" t="s">
        <v>1796</v>
      </c>
      <c r="W1362" s="28" t="s">
        <v>11669</v>
      </c>
      <c r="X1362" s="17">
        <v>1</v>
      </c>
      <c r="CJ1362" s="26" t="s">
        <v>1416</v>
      </c>
      <c r="CK1362" s="26" t="s">
        <v>2185</v>
      </c>
      <c r="CL1362" s="26" t="str">
        <f t="shared" si="85"/>
        <v>高知県東洋町</v>
      </c>
      <c r="CM1362" s="49">
        <v>1357</v>
      </c>
      <c r="CN1362" s="17" t="str">
        <f t="shared" si="84"/>
        <v>1476</v>
      </c>
      <c r="CO1362" s="17" t="str">
        <f t="shared" si="86"/>
        <v>13571476東洋町</v>
      </c>
      <c r="CP1362" s="17" t="s">
        <v>11670</v>
      </c>
      <c r="CQ1362" s="17" t="b">
        <f t="shared" si="87"/>
        <v>1</v>
      </c>
    </row>
    <row r="1363" spans="6:95">
      <c r="F1363" s="23"/>
      <c r="I1363" s="23"/>
      <c r="L1363" s="50" t="s">
        <v>11671</v>
      </c>
      <c r="M1363" s="17" t="s">
        <v>11672</v>
      </c>
      <c r="N1363" s="51" t="s">
        <v>11673</v>
      </c>
      <c r="O1363" s="29" t="s">
        <v>1471</v>
      </c>
      <c r="P1363" s="29" t="s">
        <v>11674</v>
      </c>
      <c r="Q1363" s="29" t="s">
        <v>1471</v>
      </c>
      <c r="R1363" s="29" t="s">
        <v>4278</v>
      </c>
      <c r="S1363" s="28" t="s">
        <v>1977</v>
      </c>
      <c r="T1363" s="28" t="s">
        <v>2828</v>
      </c>
      <c r="U1363" s="28" t="s">
        <v>1444</v>
      </c>
      <c r="V1363" s="28" t="s">
        <v>1796</v>
      </c>
      <c r="W1363" s="28" t="s">
        <v>11675</v>
      </c>
      <c r="X1363" s="17">
        <v>1</v>
      </c>
      <c r="CJ1363" s="26" t="s">
        <v>1416</v>
      </c>
      <c r="CK1363" s="26" t="s">
        <v>2240</v>
      </c>
      <c r="CL1363" s="26" t="str">
        <f t="shared" si="85"/>
        <v>高知県芸西村</v>
      </c>
      <c r="CM1363" s="49">
        <v>1358</v>
      </c>
      <c r="CN1363" s="17" t="str">
        <f t="shared" si="84"/>
        <v>1477</v>
      </c>
      <c r="CO1363" s="17" t="str">
        <f t="shared" si="86"/>
        <v>13581477芸西村</v>
      </c>
      <c r="CP1363" s="17" t="s">
        <v>11676</v>
      </c>
      <c r="CQ1363" s="17" t="b">
        <f t="shared" si="87"/>
        <v>1</v>
      </c>
    </row>
    <row r="1364" spans="6:95">
      <c r="F1364" s="23"/>
      <c r="I1364" s="23"/>
      <c r="L1364" s="50" t="s">
        <v>11677</v>
      </c>
      <c r="M1364" s="17" t="s">
        <v>11678</v>
      </c>
      <c r="N1364" s="51" t="s">
        <v>11679</v>
      </c>
      <c r="O1364" s="29" t="s">
        <v>1471</v>
      </c>
      <c r="P1364" s="29" t="s">
        <v>11680</v>
      </c>
      <c r="Q1364" s="29" t="s">
        <v>1471</v>
      </c>
      <c r="R1364" s="29" t="s">
        <v>11681</v>
      </c>
      <c r="S1364" s="28" t="s">
        <v>1626</v>
      </c>
      <c r="T1364" s="28" t="s">
        <v>2868</v>
      </c>
      <c r="U1364" s="28" t="s">
        <v>1444</v>
      </c>
      <c r="V1364" s="28" t="s">
        <v>1796</v>
      </c>
      <c r="W1364" s="28" t="s">
        <v>11682</v>
      </c>
      <c r="X1364" s="17">
        <v>1</v>
      </c>
      <c r="CJ1364" s="26" t="s">
        <v>1416</v>
      </c>
      <c r="CK1364" s="26" t="s">
        <v>2295</v>
      </c>
      <c r="CL1364" s="26" t="str">
        <f t="shared" si="85"/>
        <v>高知県本山町</v>
      </c>
      <c r="CM1364" s="49">
        <v>1359</v>
      </c>
      <c r="CN1364" s="17" t="str">
        <f t="shared" si="84"/>
        <v>1478</v>
      </c>
      <c r="CO1364" s="17" t="str">
        <f t="shared" si="86"/>
        <v>13591478本山町</v>
      </c>
      <c r="CP1364" s="17" t="s">
        <v>11683</v>
      </c>
      <c r="CQ1364" s="17" t="b">
        <f t="shared" si="87"/>
        <v>1</v>
      </c>
    </row>
    <row r="1365" spans="6:95">
      <c r="F1365" s="23"/>
      <c r="I1365" s="23"/>
      <c r="L1365" s="50" t="s">
        <v>11684</v>
      </c>
      <c r="M1365" s="17" t="s">
        <v>11685</v>
      </c>
      <c r="N1365" s="51" t="s">
        <v>11686</v>
      </c>
      <c r="O1365" s="29" t="s">
        <v>1471</v>
      </c>
      <c r="P1365" s="29" t="s">
        <v>11687</v>
      </c>
      <c r="Q1365" s="29" t="s">
        <v>1471</v>
      </c>
      <c r="R1365" s="29" t="s">
        <v>11688</v>
      </c>
      <c r="S1365" s="28" t="s">
        <v>1920</v>
      </c>
      <c r="T1365" s="28" t="s">
        <v>2906</v>
      </c>
      <c r="U1365" s="28" t="s">
        <v>1444</v>
      </c>
      <c r="V1365" s="28" t="s">
        <v>1796</v>
      </c>
      <c r="W1365" s="28" t="s">
        <v>11689</v>
      </c>
      <c r="X1365" s="17">
        <v>1</v>
      </c>
      <c r="CJ1365" s="26" t="s">
        <v>1416</v>
      </c>
      <c r="CK1365" s="26" t="s">
        <v>2350</v>
      </c>
      <c r="CL1365" s="26" t="str">
        <f t="shared" si="85"/>
        <v>高知県大豊町</v>
      </c>
      <c r="CM1365" s="49">
        <v>1360</v>
      </c>
      <c r="CN1365" s="17" t="str">
        <f t="shared" si="84"/>
        <v>1479</v>
      </c>
      <c r="CO1365" s="17" t="str">
        <f t="shared" si="86"/>
        <v>13601479大豊町</v>
      </c>
      <c r="CP1365" s="17" t="s">
        <v>11690</v>
      </c>
      <c r="CQ1365" s="17" t="b">
        <f t="shared" si="87"/>
        <v>1</v>
      </c>
    </row>
    <row r="1366" spans="6:95">
      <c r="F1366" s="23"/>
      <c r="I1366" s="23"/>
      <c r="L1366" s="50" t="s">
        <v>11691</v>
      </c>
      <c r="M1366" s="17" t="s">
        <v>11692</v>
      </c>
      <c r="N1366" s="51" t="s">
        <v>11693</v>
      </c>
      <c r="O1366" s="29" t="s">
        <v>1472</v>
      </c>
      <c r="P1366" s="29" t="s">
        <v>11694</v>
      </c>
      <c r="Q1366" s="29" t="s">
        <v>1472</v>
      </c>
      <c r="R1366" s="29" t="s">
        <v>1501</v>
      </c>
      <c r="S1366" s="28" t="s">
        <v>1920</v>
      </c>
      <c r="T1366" s="28" t="s">
        <v>1537</v>
      </c>
      <c r="U1366" s="28" t="s">
        <v>1444</v>
      </c>
      <c r="V1366" s="28" t="s">
        <v>1796</v>
      </c>
      <c r="W1366" s="28" t="s">
        <v>11695</v>
      </c>
      <c r="X1366" s="17">
        <v>1</v>
      </c>
      <c r="CJ1366" s="26" t="s">
        <v>1416</v>
      </c>
      <c r="CK1366" s="26" t="s">
        <v>2405</v>
      </c>
      <c r="CL1366" s="26" t="str">
        <f t="shared" si="85"/>
        <v>高知県土佐町</v>
      </c>
      <c r="CM1366" s="49">
        <v>1361</v>
      </c>
      <c r="CN1366" s="17" t="str">
        <f t="shared" si="84"/>
        <v>1480</v>
      </c>
      <c r="CO1366" s="17" t="str">
        <f t="shared" si="86"/>
        <v>13611480土佐町</v>
      </c>
      <c r="CP1366" s="17" t="s">
        <v>11696</v>
      </c>
      <c r="CQ1366" s="17" t="b">
        <f t="shared" si="87"/>
        <v>1</v>
      </c>
    </row>
    <row r="1367" spans="6:95">
      <c r="F1367" s="23"/>
      <c r="I1367" s="23"/>
      <c r="L1367" s="50" t="s">
        <v>11697</v>
      </c>
      <c r="M1367" s="17" t="s">
        <v>11698</v>
      </c>
      <c r="N1367" s="51" t="s">
        <v>11699</v>
      </c>
      <c r="O1367" s="29" t="s">
        <v>1472</v>
      </c>
      <c r="P1367" s="29" t="s">
        <v>11700</v>
      </c>
      <c r="Q1367" s="29" t="s">
        <v>1472</v>
      </c>
      <c r="R1367" s="29" t="s">
        <v>1563</v>
      </c>
      <c r="S1367" s="28" t="s">
        <v>1803</v>
      </c>
      <c r="T1367" s="28" t="s">
        <v>1599</v>
      </c>
      <c r="U1367" s="28" t="s">
        <v>1444</v>
      </c>
      <c r="V1367" s="28" t="s">
        <v>1796</v>
      </c>
      <c r="W1367" s="28" t="s">
        <v>11701</v>
      </c>
      <c r="X1367" s="17">
        <v>1</v>
      </c>
      <c r="CJ1367" s="26" t="s">
        <v>1416</v>
      </c>
      <c r="CK1367" s="26" t="s">
        <v>2459</v>
      </c>
      <c r="CL1367" s="26" t="str">
        <f t="shared" si="85"/>
        <v>高知県大川村</v>
      </c>
      <c r="CM1367" s="49">
        <v>1362</v>
      </c>
      <c r="CN1367" s="17" t="str">
        <f t="shared" si="84"/>
        <v>1481</v>
      </c>
      <c r="CO1367" s="17" t="str">
        <f t="shared" si="86"/>
        <v>13621481大川村</v>
      </c>
      <c r="CP1367" s="17" t="s">
        <v>11702</v>
      </c>
      <c r="CQ1367" s="17" t="b">
        <f t="shared" si="87"/>
        <v>1</v>
      </c>
    </row>
    <row r="1368" spans="6:95">
      <c r="F1368" s="23"/>
      <c r="I1368" s="23"/>
      <c r="L1368" s="50" t="s">
        <v>11703</v>
      </c>
      <c r="M1368" s="17" t="s">
        <v>11704</v>
      </c>
      <c r="N1368" s="51" t="s">
        <v>11705</v>
      </c>
      <c r="O1368" s="29" t="s">
        <v>1472</v>
      </c>
      <c r="P1368" s="29" t="s">
        <v>11706</v>
      </c>
      <c r="Q1368" s="29" t="s">
        <v>1472</v>
      </c>
      <c r="R1368" s="29" t="s">
        <v>1625</v>
      </c>
      <c r="S1368" s="28" t="s">
        <v>1862</v>
      </c>
      <c r="T1368" s="28" t="s">
        <v>1661</v>
      </c>
      <c r="U1368" s="28" t="s">
        <v>1444</v>
      </c>
      <c r="V1368" s="28" t="s">
        <v>1796</v>
      </c>
      <c r="W1368" s="28" t="s">
        <v>11707</v>
      </c>
      <c r="X1368" s="17">
        <v>1</v>
      </c>
      <c r="CJ1368" s="26" t="s">
        <v>1416</v>
      </c>
      <c r="CK1368" s="26" t="s">
        <v>2509</v>
      </c>
      <c r="CL1368" s="26" t="str">
        <f t="shared" si="85"/>
        <v>高知県いの町</v>
      </c>
      <c r="CM1368" s="49">
        <v>1363</v>
      </c>
      <c r="CN1368" s="17" t="str">
        <f t="shared" si="84"/>
        <v>1482</v>
      </c>
      <c r="CO1368" s="17" t="str">
        <f t="shared" si="86"/>
        <v>13631482いの町</v>
      </c>
      <c r="CP1368" s="17" t="s">
        <v>11708</v>
      </c>
      <c r="CQ1368" s="17" t="b">
        <f t="shared" si="87"/>
        <v>1</v>
      </c>
    </row>
    <row r="1369" spans="6:95">
      <c r="F1369" s="23"/>
      <c r="I1369" s="23"/>
      <c r="L1369" s="50" t="s">
        <v>11709</v>
      </c>
      <c r="M1369" s="17" t="s">
        <v>11710</v>
      </c>
      <c r="N1369" s="51" t="s">
        <v>11711</v>
      </c>
      <c r="O1369" s="29" t="s">
        <v>1472</v>
      </c>
      <c r="P1369" s="29" t="s">
        <v>11712</v>
      </c>
      <c r="Q1369" s="29" t="s">
        <v>1472</v>
      </c>
      <c r="R1369" s="29" t="s">
        <v>1684</v>
      </c>
      <c r="S1369" s="28" t="s">
        <v>1920</v>
      </c>
      <c r="T1369" s="28" t="s">
        <v>1719</v>
      </c>
      <c r="U1369" s="28" t="s">
        <v>1444</v>
      </c>
      <c r="V1369" s="28" t="s">
        <v>1796</v>
      </c>
      <c r="W1369" s="28" t="s">
        <v>11713</v>
      </c>
      <c r="X1369" s="17">
        <v>1</v>
      </c>
      <c r="CJ1369" s="26" t="s">
        <v>1416</v>
      </c>
      <c r="CK1369" s="26" t="s">
        <v>2562</v>
      </c>
      <c r="CL1369" s="26" t="str">
        <f t="shared" si="85"/>
        <v>高知県仁淀川町</v>
      </c>
      <c r="CM1369" s="49">
        <v>1364</v>
      </c>
      <c r="CN1369" s="17" t="str">
        <f t="shared" si="84"/>
        <v>1483</v>
      </c>
      <c r="CO1369" s="17" t="str">
        <f t="shared" si="86"/>
        <v>13641483仁淀川町</v>
      </c>
      <c r="CP1369" s="17" t="s">
        <v>11714</v>
      </c>
      <c r="CQ1369" s="17" t="b">
        <f t="shared" si="87"/>
        <v>1</v>
      </c>
    </row>
    <row r="1370" spans="6:95">
      <c r="F1370" s="23"/>
      <c r="I1370" s="23"/>
      <c r="L1370" s="50" t="s">
        <v>11715</v>
      </c>
      <c r="M1370" s="17" t="s">
        <v>11716</v>
      </c>
      <c r="N1370" s="51" t="s">
        <v>11717</v>
      </c>
      <c r="O1370" s="29" t="s">
        <v>1472</v>
      </c>
      <c r="P1370" s="29" t="s">
        <v>11718</v>
      </c>
      <c r="Q1370" s="29" t="s">
        <v>1472</v>
      </c>
      <c r="R1370" s="29" t="s">
        <v>1742</v>
      </c>
      <c r="S1370" s="28" t="s">
        <v>2525</v>
      </c>
      <c r="T1370" s="28" t="s">
        <v>1778</v>
      </c>
      <c r="U1370" s="28" t="s">
        <v>1444</v>
      </c>
      <c r="V1370" s="28" t="s">
        <v>1796</v>
      </c>
      <c r="W1370" s="28" t="s">
        <v>11719</v>
      </c>
      <c r="X1370" s="17">
        <v>1</v>
      </c>
      <c r="CJ1370" s="26" t="s">
        <v>1416</v>
      </c>
      <c r="CK1370" s="26" t="s">
        <v>2609</v>
      </c>
      <c r="CL1370" s="26" t="str">
        <f t="shared" si="85"/>
        <v>高知県中土佐町</v>
      </c>
      <c r="CM1370" s="49">
        <v>1365</v>
      </c>
      <c r="CN1370" s="17" t="str">
        <f t="shared" si="84"/>
        <v>1484</v>
      </c>
      <c r="CO1370" s="17" t="str">
        <f t="shared" si="86"/>
        <v>13651484中土佐町</v>
      </c>
      <c r="CP1370" s="17" t="s">
        <v>11720</v>
      </c>
      <c r="CQ1370" s="17" t="b">
        <f t="shared" si="87"/>
        <v>1</v>
      </c>
    </row>
    <row r="1371" spans="6:95">
      <c r="F1371" s="23"/>
      <c r="I1371" s="23"/>
      <c r="L1371" s="50" t="s">
        <v>11721</v>
      </c>
      <c r="M1371" s="17" t="s">
        <v>11722</v>
      </c>
      <c r="N1371" s="51" t="s">
        <v>11723</v>
      </c>
      <c r="O1371" s="29" t="s">
        <v>1472</v>
      </c>
      <c r="P1371" s="29" t="s">
        <v>11724</v>
      </c>
      <c r="Q1371" s="29" t="s">
        <v>1472</v>
      </c>
      <c r="R1371" s="29" t="s">
        <v>1861</v>
      </c>
      <c r="S1371" s="28" t="s">
        <v>1564</v>
      </c>
      <c r="T1371" s="28" t="s">
        <v>1838</v>
      </c>
      <c r="U1371" s="28" t="s">
        <v>1444</v>
      </c>
      <c r="V1371" s="28" t="s">
        <v>1796</v>
      </c>
      <c r="W1371" s="28" t="s">
        <v>11725</v>
      </c>
      <c r="X1371" s="17">
        <v>1</v>
      </c>
      <c r="CJ1371" s="26" t="s">
        <v>1416</v>
      </c>
      <c r="CK1371" s="26" t="s">
        <v>2654</v>
      </c>
      <c r="CL1371" s="26" t="str">
        <f t="shared" si="85"/>
        <v>高知県佐川町</v>
      </c>
      <c r="CM1371" s="49">
        <v>1366</v>
      </c>
      <c r="CN1371" s="17" t="str">
        <f t="shared" si="84"/>
        <v>1485</v>
      </c>
      <c r="CO1371" s="17" t="str">
        <f t="shared" si="86"/>
        <v>13661485佐川町</v>
      </c>
      <c r="CP1371" s="17" t="s">
        <v>11726</v>
      </c>
      <c r="CQ1371" s="17" t="b">
        <f t="shared" si="87"/>
        <v>1</v>
      </c>
    </row>
    <row r="1372" spans="6:95">
      <c r="F1372" s="23"/>
      <c r="I1372" s="23"/>
      <c r="L1372" s="50" t="s">
        <v>11727</v>
      </c>
      <c r="M1372" s="17" t="s">
        <v>11728</v>
      </c>
      <c r="N1372" s="51" t="s">
        <v>11729</v>
      </c>
      <c r="O1372" s="29" t="s">
        <v>1472</v>
      </c>
      <c r="P1372" s="29" t="s">
        <v>11730</v>
      </c>
      <c r="Q1372" s="29" t="s">
        <v>1472</v>
      </c>
      <c r="R1372" s="29" t="s">
        <v>1919</v>
      </c>
      <c r="S1372" s="28" t="s">
        <v>1626</v>
      </c>
      <c r="T1372" s="28" t="s">
        <v>1897</v>
      </c>
      <c r="U1372" s="28" t="s">
        <v>1444</v>
      </c>
      <c r="V1372" s="28" t="s">
        <v>1796</v>
      </c>
      <c r="W1372" s="28" t="s">
        <v>11731</v>
      </c>
      <c r="X1372" s="17">
        <v>1</v>
      </c>
      <c r="CJ1372" s="26" t="s">
        <v>1416</v>
      </c>
      <c r="CK1372" s="26" t="s">
        <v>2700</v>
      </c>
      <c r="CL1372" s="26" t="str">
        <f t="shared" si="85"/>
        <v>高知県越知町</v>
      </c>
      <c r="CM1372" s="49">
        <v>1367</v>
      </c>
      <c r="CN1372" s="17" t="str">
        <f t="shared" si="84"/>
        <v>1486</v>
      </c>
      <c r="CO1372" s="17" t="str">
        <f t="shared" si="86"/>
        <v>13671486越知町</v>
      </c>
      <c r="CP1372" s="17" t="s">
        <v>11732</v>
      </c>
      <c r="CQ1372" s="17" t="b">
        <f t="shared" si="87"/>
        <v>1</v>
      </c>
    </row>
    <row r="1373" spans="6:95">
      <c r="F1373" s="23"/>
      <c r="I1373" s="23"/>
      <c r="L1373" s="50" t="s">
        <v>11733</v>
      </c>
      <c r="M1373" s="17" t="s">
        <v>11734</v>
      </c>
      <c r="N1373" s="51" t="s">
        <v>11735</v>
      </c>
      <c r="O1373" s="29" t="s">
        <v>1472</v>
      </c>
      <c r="P1373" s="29" t="s">
        <v>11736</v>
      </c>
      <c r="Q1373" s="29" t="s">
        <v>1472</v>
      </c>
      <c r="R1373" s="29" t="s">
        <v>1976</v>
      </c>
      <c r="S1373" s="28" t="s">
        <v>1502</v>
      </c>
      <c r="T1373" s="28" t="s">
        <v>1955</v>
      </c>
      <c r="U1373" s="28" t="s">
        <v>1444</v>
      </c>
      <c r="V1373" s="28" t="s">
        <v>1796</v>
      </c>
      <c r="W1373" s="28" t="s">
        <v>11737</v>
      </c>
      <c r="X1373" s="17">
        <v>1</v>
      </c>
      <c r="CJ1373" s="26" t="s">
        <v>1416</v>
      </c>
      <c r="CK1373" s="26" t="s">
        <v>2746</v>
      </c>
      <c r="CL1373" s="26" t="str">
        <f t="shared" si="85"/>
        <v>高知県梼原町</v>
      </c>
      <c r="CM1373" s="49">
        <v>1368</v>
      </c>
      <c r="CN1373" s="17" t="str">
        <f t="shared" si="84"/>
        <v>1487</v>
      </c>
      <c r="CO1373" s="17" t="str">
        <f t="shared" si="86"/>
        <v>13681487梼原町</v>
      </c>
      <c r="CP1373" s="17" t="s">
        <v>11738</v>
      </c>
      <c r="CQ1373" s="17" t="b">
        <f t="shared" si="87"/>
        <v>1</v>
      </c>
    </row>
    <row r="1374" spans="6:95">
      <c r="F1374" s="23"/>
      <c r="I1374" s="23"/>
      <c r="L1374" s="50" t="s">
        <v>11739</v>
      </c>
      <c r="M1374" s="17" t="s">
        <v>11740</v>
      </c>
      <c r="N1374" s="51" t="s">
        <v>11741</v>
      </c>
      <c r="O1374" s="29" t="s">
        <v>1472</v>
      </c>
      <c r="P1374" s="29" t="s">
        <v>11742</v>
      </c>
      <c r="Q1374" s="29" t="s">
        <v>1472</v>
      </c>
      <c r="R1374" s="29" t="s">
        <v>2033</v>
      </c>
      <c r="S1374" s="28" t="s">
        <v>2525</v>
      </c>
      <c r="T1374" s="28" t="s">
        <v>2012</v>
      </c>
      <c r="U1374" s="28" t="s">
        <v>1444</v>
      </c>
      <c r="V1374" s="28" t="s">
        <v>1796</v>
      </c>
      <c r="W1374" s="28" t="s">
        <v>11743</v>
      </c>
      <c r="X1374" s="17">
        <v>1</v>
      </c>
      <c r="CJ1374" s="26" t="s">
        <v>1416</v>
      </c>
      <c r="CK1374" s="26" t="s">
        <v>2788</v>
      </c>
      <c r="CL1374" s="26" t="str">
        <f t="shared" si="85"/>
        <v>高知県日高村</v>
      </c>
      <c r="CM1374" s="49">
        <v>1369</v>
      </c>
      <c r="CN1374" s="17" t="str">
        <f t="shared" si="84"/>
        <v>1488</v>
      </c>
      <c r="CO1374" s="17" t="str">
        <f t="shared" si="86"/>
        <v>13691488日高村</v>
      </c>
      <c r="CP1374" s="17" t="s">
        <v>11744</v>
      </c>
      <c r="CQ1374" s="17" t="b">
        <f t="shared" si="87"/>
        <v>1</v>
      </c>
    </row>
    <row r="1375" spans="6:95">
      <c r="F1375" s="23"/>
      <c r="I1375" s="23"/>
      <c r="L1375" s="50" t="s">
        <v>11745</v>
      </c>
      <c r="M1375" s="17" t="s">
        <v>11746</v>
      </c>
      <c r="N1375" s="51" t="s">
        <v>11747</v>
      </c>
      <c r="O1375" s="29" t="s">
        <v>1472</v>
      </c>
      <c r="P1375" s="29" t="s">
        <v>11748</v>
      </c>
      <c r="Q1375" s="29" t="s">
        <v>1472</v>
      </c>
      <c r="R1375" s="29" t="s">
        <v>2089</v>
      </c>
      <c r="S1375" s="28" t="s">
        <v>2311</v>
      </c>
      <c r="T1375" s="28" t="s">
        <v>2068</v>
      </c>
      <c r="U1375" s="28" t="s">
        <v>1444</v>
      </c>
      <c r="V1375" s="28" t="s">
        <v>1796</v>
      </c>
      <c r="W1375" s="28" t="s">
        <v>11749</v>
      </c>
      <c r="X1375" s="17">
        <v>1</v>
      </c>
      <c r="CJ1375" s="26" t="s">
        <v>1416</v>
      </c>
      <c r="CK1375" s="26" t="s">
        <v>2830</v>
      </c>
      <c r="CL1375" s="26" t="str">
        <f t="shared" si="85"/>
        <v>高知県津野町</v>
      </c>
      <c r="CM1375" s="49">
        <v>1370</v>
      </c>
      <c r="CN1375" s="17" t="str">
        <f t="shared" si="84"/>
        <v>1489</v>
      </c>
      <c r="CO1375" s="17" t="str">
        <f t="shared" si="86"/>
        <v>13701489津野町</v>
      </c>
      <c r="CP1375" s="17" t="s">
        <v>11750</v>
      </c>
      <c r="CQ1375" s="17" t="b">
        <f t="shared" si="87"/>
        <v>1</v>
      </c>
    </row>
    <row r="1376" spans="6:95">
      <c r="F1376" s="23"/>
      <c r="I1376" s="23"/>
      <c r="L1376" s="50" t="s">
        <v>11751</v>
      </c>
      <c r="M1376" s="17" t="s">
        <v>11752</v>
      </c>
      <c r="N1376" s="51" t="s">
        <v>11753</v>
      </c>
      <c r="O1376" s="29" t="s">
        <v>1472</v>
      </c>
      <c r="P1376" s="29" t="s">
        <v>11754</v>
      </c>
      <c r="Q1376" s="29" t="s">
        <v>1472</v>
      </c>
      <c r="R1376" s="29" t="s">
        <v>2145</v>
      </c>
      <c r="S1376" s="28" t="s">
        <v>1564</v>
      </c>
      <c r="T1376" s="28" t="s">
        <v>2124</v>
      </c>
      <c r="U1376" s="28" t="s">
        <v>1444</v>
      </c>
      <c r="V1376" s="28" t="s">
        <v>1796</v>
      </c>
      <c r="W1376" s="28" t="s">
        <v>11755</v>
      </c>
      <c r="X1376" s="17">
        <v>1</v>
      </c>
      <c r="CJ1376" s="26" t="s">
        <v>1416</v>
      </c>
      <c r="CK1376" s="26" t="s">
        <v>2869</v>
      </c>
      <c r="CL1376" s="26" t="str">
        <f t="shared" si="85"/>
        <v>高知県四万十町</v>
      </c>
      <c r="CM1376" s="49">
        <v>1371</v>
      </c>
      <c r="CN1376" s="17" t="str">
        <f t="shared" si="84"/>
        <v>1490</v>
      </c>
      <c r="CO1376" s="17" t="str">
        <f t="shared" si="86"/>
        <v>13711490四万十町</v>
      </c>
      <c r="CP1376" s="17" t="s">
        <v>11756</v>
      </c>
      <c r="CQ1376" s="17" t="b">
        <f t="shared" si="87"/>
        <v>1</v>
      </c>
    </row>
    <row r="1377" spans="6:95">
      <c r="F1377" s="23"/>
      <c r="I1377" s="23"/>
      <c r="L1377" s="50" t="s">
        <v>11757</v>
      </c>
      <c r="M1377" s="17" t="s">
        <v>11758</v>
      </c>
      <c r="N1377" s="51" t="s">
        <v>11759</v>
      </c>
      <c r="O1377" s="29" t="s">
        <v>1472</v>
      </c>
      <c r="P1377" s="29" t="s">
        <v>11760</v>
      </c>
      <c r="Q1377" s="29" t="s">
        <v>1472</v>
      </c>
      <c r="R1377" s="29" t="s">
        <v>2200</v>
      </c>
      <c r="S1377" s="28" t="s">
        <v>1626</v>
      </c>
      <c r="T1377" s="28" t="s">
        <v>2180</v>
      </c>
      <c r="U1377" s="28" t="s">
        <v>1444</v>
      </c>
      <c r="V1377" s="28" t="s">
        <v>1796</v>
      </c>
      <c r="W1377" s="28" t="s">
        <v>11761</v>
      </c>
      <c r="X1377" s="17">
        <v>1</v>
      </c>
      <c r="CJ1377" s="26" t="s">
        <v>1416</v>
      </c>
      <c r="CK1377" s="26" t="s">
        <v>2907</v>
      </c>
      <c r="CL1377" s="26" t="str">
        <f t="shared" si="85"/>
        <v>高知県大月町</v>
      </c>
      <c r="CM1377" s="49">
        <v>1372</v>
      </c>
      <c r="CN1377" s="17" t="str">
        <f t="shared" si="84"/>
        <v>1491</v>
      </c>
      <c r="CO1377" s="17" t="str">
        <f t="shared" si="86"/>
        <v>13721491大月町</v>
      </c>
      <c r="CP1377" s="17" t="s">
        <v>11762</v>
      </c>
      <c r="CQ1377" s="17" t="b">
        <f t="shared" si="87"/>
        <v>1</v>
      </c>
    </row>
    <row r="1378" spans="6:95">
      <c r="F1378" s="23"/>
      <c r="I1378" s="23"/>
      <c r="L1378" s="50" t="s">
        <v>11763</v>
      </c>
      <c r="M1378" s="17" t="s">
        <v>11764</v>
      </c>
      <c r="N1378" s="51" t="s">
        <v>11765</v>
      </c>
      <c r="O1378" s="29" t="s">
        <v>1472</v>
      </c>
      <c r="P1378" s="29" t="s">
        <v>11766</v>
      </c>
      <c r="Q1378" s="29" t="s">
        <v>1472</v>
      </c>
      <c r="R1378" s="29" t="s">
        <v>2255</v>
      </c>
      <c r="S1378" s="28" t="s">
        <v>1502</v>
      </c>
      <c r="T1378" s="28" t="s">
        <v>2235</v>
      </c>
      <c r="U1378" s="28" t="s">
        <v>1444</v>
      </c>
      <c r="V1378" s="28" t="s">
        <v>1796</v>
      </c>
      <c r="W1378" s="28" t="s">
        <v>11767</v>
      </c>
      <c r="X1378" s="17">
        <v>1</v>
      </c>
      <c r="CJ1378" s="26" t="s">
        <v>1416</v>
      </c>
      <c r="CK1378" s="26" t="s">
        <v>2942</v>
      </c>
      <c r="CL1378" s="26" t="str">
        <f t="shared" si="85"/>
        <v>高知県三原村</v>
      </c>
      <c r="CM1378" s="49">
        <v>1373</v>
      </c>
      <c r="CN1378" s="17" t="str">
        <f t="shared" si="84"/>
        <v>1492</v>
      </c>
      <c r="CO1378" s="17" t="str">
        <f t="shared" si="86"/>
        <v>13731492三原村</v>
      </c>
      <c r="CP1378" s="17" t="s">
        <v>11768</v>
      </c>
      <c r="CQ1378" s="17" t="b">
        <f t="shared" si="87"/>
        <v>1</v>
      </c>
    </row>
    <row r="1379" spans="6:95">
      <c r="F1379" s="23"/>
      <c r="I1379" s="23"/>
      <c r="L1379" s="50" t="s">
        <v>11769</v>
      </c>
      <c r="M1379" s="17" t="s">
        <v>11770</v>
      </c>
      <c r="N1379" s="51" t="s">
        <v>11771</v>
      </c>
      <c r="O1379" s="29" t="s">
        <v>1472</v>
      </c>
      <c r="P1379" s="29" t="s">
        <v>11772</v>
      </c>
      <c r="Q1379" s="29" t="s">
        <v>1472</v>
      </c>
      <c r="R1379" s="29" t="s">
        <v>2310</v>
      </c>
      <c r="S1379" s="28" t="s">
        <v>1743</v>
      </c>
      <c r="T1379" s="28" t="s">
        <v>2290</v>
      </c>
      <c r="U1379" s="28" t="s">
        <v>1444</v>
      </c>
      <c r="V1379" s="28" t="s">
        <v>1796</v>
      </c>
      <c r="W1379" s="28" t="s">
        <v>11773</v>
      </c>
      <c r="X1379" s="17">
        <v>1</v>
      </c>
      <c r="CJ1379" s="26" t="s">
        <v>1416</v>
      </c>
      <c r="CK1379" s="26" t="s">
        <v>2975</v>
      </c>
      <c r="CL1379" s="26" t="str">
        <f t="shared" si="85"/>
        <v>高知県黒潮町</v>
      </c>
      <c r="CM1379" s="49">
        <v>1374</v>
      </c>
      <c r="CN1379" s="17" t="str">
        <f t="shared" si="84"/>
        <v>1493</v>
      </c>
      <c r="CO1379" s="17" t="str">
        <f t="shared" si="86"/>
        <v>13741493黒潮町</v>
      </c>
      <c r="CP1379" s="17" t="s">
        <v>11774</v>
      </c>
      <c r="CQ1379" s="17" t="b">
        <f t="shared" si="87"/>
        <v>1</v>
      </c>
    </row>
    <row r="1380" spans="6:95">
      <c r="F1380" s="23"/>
      <c r="I1380" s="23"/>
      <c r="L1380" s="50" t="s">
        <v>11775</v>
      </c>
      <c r="M1380" s="17" t="s">
        <v>11776</v>
      </c>
      <c r="N1380" s="51" t="s">
        <v>11777</v>
      </c>
      <c r="O1380" s="29" t="s">
        <v>1472</v>
      </c>
      <c r="P1380" s="29" t="s">
        <v>11778</v>
      </c>
      <c r="Q1380" s="29" t="s">
        <v>1472</v>
      </c>
      <c r="R1380" s="29" t="s">
        <v>5017</v>
      </c>
      <c r="S1380" s="28" t="s">
        <v>1862</v>
      </c>
      <c r="T1380" s="28" t="s">
        <v>2345</v>
      </c>
      <c r="U1380" s="28" t="s">
        <v>1444</v>
      </c>
      <c r="V1380" s="28" t="s">
        <v>1796</v>
      </c>
      <c r="W1380" s="28" t="s">
        <v>11779</v>
      </c>
      <c r="X1380" s="17">
        <v>1</v>
      </c>
      <c r="CJ1380" s="26" t="s">
        <v>1416</v>
      </c>
      <c r="CK1380" s="26" t="s">
        <v>3009</v>
      </c>
      <c r="CL1380" s="26" t="str">
        <f t="shared" si="85"/>
        <v>高知県中芸広域連合</v>
      </c>
      <c r="CM1380" s="49">
        <v>1375</v>
      </c>
      <c r="CN1380" s="17" t="str">
        <f t="shared" si="84"/>
        <v>1494</v>
      </c>
      <c r="CO1380" s="17" t="str">
        <f t="shared" si="86"/>
        <v>13751494中芸広域連合</v>
      </c>
      <c r="CP1380" s="17" t="s">
        <v>11780</v>
      </c>
      <c r="CQ1380" s="17" t="b">
        <f t="shared" si="87"/>
        <v>1</v>
      </c>
    </row>
    <row r="1381" spans="6:95">
      <c r="F1381" s="23"/>
      <c r="I1381" s="23"/>
      <c r="L1381" s="50" t="s">
        <v>11781</v>
      </c>
      <c r="M1381" s="17" t="s">
        <v>11782</v>
      </c>
      <c r="N1381" s="51" t="s">
        <v>11783</v>
      </c>
      <c r="O1381" s="29" t="s">
        <v>1472</v>
      </c>
      <c r="P1381" s="29" t="s">
        <v>11784</v>
      </c>
      <c r="Q1381" s="29" t="s">
        <v>1472</v>
      </c>
      <c r="R1381" s="29" t="s">
        <v>3173</v>
      </c>
      <c r="S1381" s="28" t="s">
        <v>1977</v>
      </c>
      <c r="T1381" s="28" t="s">
        <v>2400</v>
      </c>
      <c r="U1381" s="28" t="s">
        <v>1444</v>
      </c>
      <c r="V1381" s="28" t="s">
        <v>1796</v>
      </c>
      <c r="W1381" s="28" t="s">
        <v>11785</v>
      </c>
      <c r="X1381" s="17">
        <v>1</v>
      </c>
      <c r="CJ1381" s="26" t="s">
        <v>1417</v>
      </c>
      <c r="CK1381" s="26" t="s">
        <v>1543</v>
      </c>
      <c r="CL1381" s="26" t="str">
        <f t="shared" si="85"/>
        <v>福岡県北九州市</v>
      </c>
      <c r="CM1381" s="49">
        <v>1376</v>
      </c>
      <c r="CN1381" s="17" t="str">
        <f t="shared" si="84"/>
        <v>1500</v>
      </c>
      <c r="CO1381" s="17" t="str">
        <f t="shared" si="86"/>
        <v>13761500北九州市</v>
      </c>
      <c r="CP1381" s="17" t="s">
        <v>11786</v>
      </c>
      <c r="CQ1381" s="17" t="b">
        <f t="shared" si="87"/>
        <v>1</v>
      </c>
    </row>
    <row r="1382" spans="6:95">
      <c r="F1382" s="23"/>
      <c r="I1382" s="23"/>
      <c r="L1382" s="50" t="s">
        <v>11787</v>
      </c>
      <c r="M1382" s="17" t="s">
        <v>11788</v>
      </c>
      <c r="N1382" s="51" t="s">
        <v>11789</v>
      </c>
      <c r="O1382" s="29" t="s">
        <v>1472</v>
      </c>
      <c r="P1382" s="29" t="s">
        <v>11790</v>
      </c>
      <c r="Q1382" s="29" t="s">
        <v>1472</v>
      </c>
      <c r="R1382" s="29" t="s">
        <v>4672</v>
      </c>
      <c r="S1382" s="28" t="s">
        <v>1626</v>
      </c>
      <c r="T1382" s="28" t="s">
        <v>2454</v>
      </c>
      <c r="U1382" s="28" t="s">
        <v>1444</v>
      </c>
      <c r="V1382" s="28" t="s">
        <v>1796</v>
      </c>
      <c r="W1382" s="28" t="s">
        <v>11791</v>
      </c>
      <c r="X1382" s="17">
        <v>1</v>
      </c>
      <c r="CJ1382" s="26" t="s">
        <v>1417</v>
      </c>
      <c r="CK1382" s="26" t="s">
        <v>1605</v>
      </c>
      <c r="CL1382" s="26" t="str">
        <f t="shared" si="85"/>
        <v>福岡県福岡市</v>
      </c>
      <c r="CM1382" s="49">
        <v>1377</v>
      </c>
      <c r="CN1382" s="17" t="str">
        <f t="shared" si="84"/>
        <v>1501</v>
      </c>
      <c r="CO1382" s="17" t="str">
        <f t="shared" si="86"/>
        <v>13771501福岡市</v>
      </c>
      <c r="CP1382" s="17" t="s">
        <v>11792</v>
      </c>
      <c r="CQ1382" s="17" t="b">
        <f t="shared" si="87"/>
        <v>1</v>
      </c>
    </row>
    <row r="1383" spans="6:95">
      <c r="F1383" s="23"/>
      <c r="I1383" s="23"/>
      <c r="L1383" s="50" t="s">
        <v>11793</v>
      </c>
      <c r="M1383" s="17" t="s">
        <v>11794</v>
      </c>
      <c r="N1383" s="51" t="s">
        <v>11795</v>
      </c>
      <c r="O1383" s="29" t="s">
        <v>1472</v>
      </c>
      <c r="P1383" s="29" t="s">
        <v>11796</v>
      </c>
      <c r="Q1383" s="29" t="s">
        <v>1472</v>
      </c>
      <c r="R1383" s="29" t="s">
        <v>6217</v>
      </c>
      <c r="S1383" s="28" t="s">
        <v>2525</v>
      </c>
      <c r="T1383" s="28" t="s">
        <v>2505</v>
      </c>
      <c r="U1383" s="28" t="s">
        <v>1444</v>
      </c>
      <c r="V1383" s="28" t="s">
        <v>1796</v>
      </c>
      <c r="W1383" s="28" t="s">
        <v>11797</v>
      </c>
      <c r="X1383" s="17">
        <v>1</v>
      </c>
      <c r="CJ1383" s="26" t="s">
        <v>1417</v>
      </c>
      <c r="CK1383" s="26" t="s">
        <v>1667</v>
      </c>
      <c r="CL1383" s="26" t="str">
        <f t="shared" si="85"/>
        <v>福岡県大牟田市</v>
      </c>
      <c r="CM1383" s="49">
        <v>1378</v>
      </c>
      <c r="CN1383" s="17" t="str">
        <f t="shared" si="84"/>
        <v>1502</v>
      </c>
      <c r="CO1383" s="17" t="str">
        <f t="shared" si="86"/>
        <v>13781502大牟田市</v>
      </c>
      <c r="CP1383" s="17" t="s">
        <v>11798</v>
      </c>
      <c r="CQ1383" s="17" t="b">
        <f t="shared" si="87"/>
        <v>1</v>
      </c>
    </row>
    <row r="1384" spans="6:95">
      <c r="F1384" s="23"/>
      <c r="I1384" s="23"/>
      <c r="L1384" s="50" t="s">
        <v>11799</v>
      </c>
      <c r="M1384" s="17" t="s">
        <v>11800</v>
      </c>
      <c r="N1384" s="51" t="s">
        <v>11801</v>
      </c>
      <c r="O1384" s="29" t="s">
        <v>1472</v>
      </c>
      <c r="P1384" s="29" t="s">
        <v>11802</v>
      </c>
      <c r="Q1384" s="29" t="s">
        <v>1472</v>
      </c>
      <c r="R1384" s="29" t="s">
        <v>5391</v>
      </c>
      <c r="S1384" s="28" t="s">
        <v>1564</v>
      </c>
      <c r="T1384" s="28" t="s">
        <v>2558</v>
      </c>
      <c r="U1384" s="28" t="s">
        <v>1444</v>
      </c>
      <c r="V1384" s="28" t="s">
        <v>1796</v>
      </c>
      <c r="W1384" s="28" t="s">
        <v>11803</v>
      </c>
      <c r="X1384" s="17">
        <v>1</v>
      </c>
      <c r="CJ1384" s="26" t="s">
        <v>1417</v>
      </c>
      <c r="CK1384" s="26" t="s">
        <v>1725</v>
      </c>
      <c r="CL1384" s="26" t="str">
        <f t="shared" si="85"/>
        <v>福岡県久留米市</v>
      </c>
      <c r="CM1384" s="49">
        <v>1379</v>
      </c>
      <c r="CN1384" s="17" t="str">
        <f t="shared" si="84"/>
        <v>1503</v>
      </c>
      <c r="CO1384" s="17" t="str">
        <f t="shared" si="86"/>
        <v>13791503久留米市</v>
      </c>
      <c r="CP1384" s="17" t="s">
        <v>11804</v>
      </c>
      <c r="CQ1384" s="17" t="b">
        <f t="shared" si="87"/>
        <v>1</v>
      </c>
    </row>
    <row r="1385" spans="6:95">
      <c r="F1385" s="23"/>
      <c r="I1385" s="23"/>
      <c r="L1385" s="50" t="s">
        <v>11805</v>
      </c>
      <c r="M1385" s="17" t="s">
        <v>11806</v>
      </c>
      <c r="N1385" s="51" t="s">
        <v>11807</v>
      </c>
      <c r="O1385" s="29" t="s">
        <v>1472</v>
      </c>
      <c r="P1385" s="29" t="s">
        <v>11808</v>
      </c>
      <c r="Q1385" s="29" t="s">
        <v>1472</v>
      </c>
      <c r="R1385" s="29" t="s">
        <v>6972</v>
      </c>
      <c r="S1385" s="28" t="s">
        <v>1626</v>
      </c>
      <c r="T1385" s="28" t="s">
        <v>2606</v>
      </c>
      <c r="U1385" s="28" t="s">
        <v>1444</v>
      </c>
      <c r="V1385" s="28" t="s">
        <v>1796</v>
      </c>
      <c r="W1385" s="28" t="s">
        <v>11809</v>
      </c>
      <c r="X1385" s="17">
        <v>1</v>
      </c>
      <c r="CJ1385" s="26" t="s">
        <v>1417</v>
      </c>
      <c r="CK1385" s="26" t="s">
        <v>1784</v>
      </c>
      <c r="CL1385" s="26" t="str">
        <f t="shared" si="85"/>
        <v>福岡県直方市</v>
      </c>
      <c r="CM1385" s="49">
        <v>1380</v>
      </c>
      <c r="CN1385" s="17" t="str">
        <f t="shared" si="84"/>
        <v>1504</v>
      </c>
      <c r="CO1385" s="17" t="str">
        <f t="shared" si="86"/>
        <v>13801504直方市</v>
      </c>
      <c r="CP1385" s="17" t="s">
        <v>11810</v>
      </c>
      <c r="CQ1385" s="17" t="b">
        <f t="shared" si="87"/>
        <v>1</v>
      </c>
    </row>
    <row r="1386" spans="6:95">
      <c r="F1386" s="23"/>
      <c r="I1386" s="23"/>
      <c r="L1386" s="50" t="s">
        <v>11811</v>
      </c>
      <c r="M1386" s="17" t="s">
        <v>11812</v>
      </c>
      <c r="N1386" s="51" t="s">
        <v>11813</v>
      </c>
      <c r="O1386" s="29" t="s">
        <v>1472</v>
      </c>
      <c r="P1386" s="29" t="s">
        <v>11814</v>
      </c>
      <c r="Q1386" s="29" t="s">
        <v>1472</v>
      </c>
      <c r="R1386" s="29" t="s">
        <v>4405</v>
      </c>
      <c r="S1386" s="28" t="s">
        <v>1502</v>
      </c>
      <c r="T1386" s="28" t="s">
        <v>2652</v>
      </c>
      <c r="U1386" s="28" t="s">
        <v>1444</v>
      </c>
      <c r="V1386" s="28" t="s">
        <v>1796</v>
      </c>
      <c r="W1386" s="28" t="s">
        <v>11815</v>
      </c>
      <c r="X1386" s="17">
        <v>1</v>
      </c>
      <c r="CJ1386" s="26" t="s">
        <v>1417</v>
      </c>
      <c r="CK1386" s="26" t="s">
        <v>1844</v>
      </c>
      <c r="CL1386" s="26" t="str">
        <f t="shared" si="85"/>
        <v>福岡県飯塚市</v>
      </c>
      <c r="CM1386" s="49">
        <v>1381</v>
      </c>
      <c r="CN1386" s="17" t="str">
        <f t="shared" si="84"/>
        <v>1505</v>
      </c>
      <c r="CO1386" s="17" t="str">
        <f t="shared" si="86"/>
        <v>13811505飯塚市</v>
      </c>
      <c r="CP1386" s="17" t="s">
        <v>11816</v>
      </c>
      <c r="CQ1386" s="17" t="b">
        <f t="shared" si="87"/>
        <v>1</v>
      </c>
    </row>
    <row r="1387" spans="6:95">
      <c r="F1387" s="23"/>
      <c r="I1387" s="23"/>
      <c r="L1387" s="50" t="s">
        <v>11817</v>
      </c>
      <c r="M1387" s="17" t="s">
        <v>11818</v>
      </c>
      <c r="N1387" s="51" t="s">
        <v>11819</v>
      </c>
      <c r="O1387" s="29" t="s">
        <v>1472</v>
      </c>
      <c r="P1387" s="29" t="s">
        <v>11820</v>
      </c>
      <c r="Q1387" s="29" t="s">
        <v>1472</v>
      </c>
      <c r="R1387" s="29" t="s">
        <v>3715</v>
      </c>
      <c r="S1387" s="28" t="s">
        <v>1803</v>
      </c>
      <c r="T1387" s="28" t="s">
        <v>2698</v>
      </c>
      <c r="U1387" s="28" t="s">
        <v>1444</v>
      </c>
      <c r="V1387" s="28" t="s">
        <v>1796</v>
      </c>
      <c r="W1387" s="28" t="s">
        <v>11821</v>
      </c>
      <c r="X1387" s="17">
        <v>1</v>
      </c>
      <c r="CJ1387" s="26" t="s">
        <v>1417</v>
      </c>
      <c r="CK1387" s="26" t="s">
        <v>1903</v>
      </c>
      <c r="CL1387" s="26" t="str">
        <f t="shared" si="85"/>
        <v>福岡県八女市</v>
      </c>
      <c r="CM1387" s="49">
        <v>1382</v>
      </c>
      <c r="CN1387" s="17" t="str">
        <f t="shared" si="84"/>
        <v>1506</v>
      </c>
      <c r="CO1387" s="17" t="str">
        <f t="shared" si="86"/>
        <v>13821506八女市</v>
      </c>
      <c r="CP1387" s="17" t="s">
        <v>11822</v>
      </c>
      <c r="CQ1387" s="17" t="b">
        <f t="shared" si="87"/>
        <v>1</v>
      </c>
    </row>
    <row r="1388" spans="6:95">
      <c r="F1388" s="23"/>
      <c r="I1388" s="23"/>
      <c r="L1388" s="50" t="s">
        <v>11823</v>
      </c>
      <c r="M1388" s="17" t="s">
        <v>11824</v>
      </c>
      <c r="N1388" s="51" t="s">
        <v>11825</v>
      </c>
      <c r="O1388" s="29" t="s">
        <v>1472</v>
      </c>
      <c r="P1388" s="29" t="s">
        <v>11826</v>
      </c>
      <c r="Q1388" s="29" t="s">
        <v>1472</v>
      </c>
      <c r="R1388" s="29" t="s">
        <v>3928</v>
      </c>
      <c r="S1388" s="28" t="s">
        <v>1743</v>
      </c>
      <c r="T1388" s="28" t="s">
        <v>2744</v>
      </c>
      <c r="U1388" s="28" t="s">
        <v>1444</v>
      </c>
      <c r="V1388" s="28" t="s">
        <v>1796</v>
      </c>
      <c r="W1388" s="28" t="s">
        <v>11827</v>
      </c>
      <c r="X1388" s="17">
        <v>1</v>
      </c>
      <c r="CJ1388" s="26" t="s">
        <v>1417</v>
      </c>
      <c r="CK1388" s="26" t="s">
        <v>1961</v>
      </c>
      <c r="CL1388" s="26" t="str">
        <f t="shared" si="85"/>
        <v>福岡県筑後市</v>
      </c>
      <c r="CM1388" s="49">
        <v>1383</v>
      </c>
      <c r="CN1388" s="17" t="str">
        <f t="shared" si="84"/>
        <v>1507</v>
      </c>
      <c r="CO1388" s="17" t="str">
        <f t="shared" si="86"/>
        <v>13831507筑後市</v>
      </c>
      <c r="CP1388" s="17" t="s">
        <v>11828</v>
      </c>
      <c r="CQ1388" s="17" t="b">
        <f t="shared" si="87"/>
        <v>1</v>
      </c>
    </row>
    <row r="1389" spans="6:95">
      <c r="F1389" s="23"/>
      <c r="I1389" s="23"/>
      <c r="L1389" s="50" t="s">
        <v>11829</v>
      </c>
      <c r="M1389" s="17" t="s">
        <v>11830</v>
      </c>
      <c r="N1389" s="51" t="s">
        <v>11831</v>
      </c>
      <c r="O1389" s="29" t="s">
        <v>1473</v>
      </c>
      <c r="P1389" s="29" t="s">
        <v>11832</v>
      </c>
      <c r="Q1389" s="29" t="s">
        <v>1473</v>
      </c>
      <c r="R1389" s="29" t="s">
        <v>4593</v>
      </c>
      <c r="S1389" s="28" t="s">
        <v>2311</v>
      </c>
      <c r="T1389" s="28" t="s">
        <v>1538</v>
      </c>
      <c r="U1389" s="28" t="s">
        <v>1444</v>
      </c>
      <c r="V1389" s="28" t="s">
        <v>1796</v>
      </c>
      <c r="W1389" s="28" t="s">
        <v>11833</v>
      </c>
      <c r="X1389" s="17">
        <v>1</v>
      </c>
      <c r="CJ1389" s="26" t="s">
        <v>1417</v>
      </c>
      <c r="CK1389" s="26" t="s">
        <v>2018</v>
      </c>
      <c r="CL1389" s="26" t="str">
        <f t="shared" si="85"/>
        <v>福岡県大川市</v>
      </c>
      <c r="CM1389" s="49">
        <v>1384</v>
      </c>
      <c r="CN1389" s="17" t="str">
        <f t="shared" si="84"/>
        <v>1508</v>
      </c>
      <c r="CO1389" s="17" t="str">
        <f t="shared" si="86"/>
        <v>13841508大川市</v>
      </c>
      <c r="CP1389" s="17" t="s">
        <v>11834</v>
      </c>
      <c r="CQ1389" s="17" t="b">
        <f t="shared" si="87"/>
        <v>1</v>
      </c>
    </row>
    <row r="1390" spans="6:95">
      <c r="F1390" s="23"/>
      <c r="I1390" s="23"/>
      <c r="L1390" s="50" t="s">
        <v>11835</v>
      </c>
      <c r="M1390" s="17" t="s">
        <v>11836</v>
      </c>
      <c r="N1390" s="51" t="s">
        <v>11837</v>
      </c>
      <c r="O1390" s="29" t="s">
        <v>1473</v>
      </c>
      <c r="P1390" s="29" t="s">
        <v>11838</v>
      </c>
      <c r="Q1390" s="29" t="s">
        <v>1473</v>
      </c>
      <c r="R1390" s="29" t="s">
        <v>1563</v>
      </c>
      <c r="S1390" s="28" t="s">
        <v>1564</v>
      </c>
      <c r="T1390" s="28" t="s">
        <v>1600</v>
      </c>
      <c r="U1390" s="28" t="s">
        <v>1444</v>
      </c>
      <c r="V1390" s="28" t="s">
        <v>1796</v>
      </c>
      <c r="W1390" s="28" t="s">
        <v>11838</v>
      </c>
      <c r="X1390" s="17">
        <v>1</v>
      </c>
      <c r="CJ1390" s="26" t="s">
        <v>1417</v>
      </c>
      <c r="CK1390" s="26" t="s">
        <v>2074</v>
      </c>
      <c r="CL1390" s="26" t="str">
        <f t="shared" si="85"/>
        <v>福岡県行橋市</v>
      </c>
      <c r="CM1390" s="49">
        <v>1385</v>
      </c>
      <c r="CN1390" s="17" t="str">
        <f t="shared" si="84"/>
        <v>1509</v>
      </c>
      <c r="CO1390" s="17" t="str">
        <f t="shared" si="86"/>
        <v>13851509行橋市</v>
      </c>
      <c r="CP1390" s="17" t="s">
        <v>11839</v>
      </c>
      <c r="CQ1390" s="17" t="b">
        <f t="shared" si="87"/>
        <v>1</v>
      </c>
    </row>
    <row r="1391" spans="6:95">
      <c r="F1391" s="23"/>
      <c r="I1391" s="23"/>
      <c r="L1391" s="50" t="s">
        <v>11840</v>
      </c>
      <c r="M1391" s="17" t="s">
        <v>11841</v>
      </c>
      <c r="N1391" s="51" t="s">
        <v>11842</v>
      </c>
      <c r="O1391" s="29" t="s">
        <v>1473</v>
      </c>
      <c r="P1391" s="29" t="s">
        <v>11843</v>
      </c>
      <c r="Q1391" s="29" t="s">
        <v>1473</v>
      </c>
      <c r="R1391" s="29" t="s">
        <v>1625</v>
      </c>
      <c r="S1391" s="28" t="s">
        <v>1626</v>
      </c>
      <c r="T1391" s="28" t="s">
        <v>1662</v>
      </c>
      <c r="U1391" s="28" t="s">
        <v>1444</v>
      </c>
      <c r="V1391" s="28" t="s">
        <v>1796</v>
      </c>
      <c r="W1391" s="28" t="s">
        <v>11843</v>
      </c>
      <c r="X1391" s="17">
        <v>1</v>
      </c>
      <c r="CJ1391" s="26" t="s">
        <v>1417</v>
      </c>
      <c r="CK1391" s="26" t="s">
        <v>2130</v>
      </c>
      <c r="CL1391" s="26" t="str">
        <f t="shared" si="85"/>
        <v>福岡県中間市</v>
      </c>
      <c r="CM1391" s="49">
        <v>1386</v>
      </c>
      <c r="CN1391" s="17" t="str">
        <f t="shared" si="84"/>
        <v>1510</v>
      </c>
      <c r="CO1391" s="17" t="str">
        <f t="shared" si="86"/>
        <v>13861510中間市</v>
      </c>
      <c r="CP1391" s="17" t="s">
        <v>11844</v>
      </c>
      <c r="CQ1391" s="17" t="b">
        <f t="shared" si="87"/>
        <v>1</v>
      </c>
    </row>
    <row r="1392" spans="6:95">
      <c r="F1392" s="23"/>
      <c r="I1392" s="23"/>
      <c r="L1392" s="50" t="s">
        <v>11845</v>
      </c>
      <c r="M1392" s="17" t="s">
        <v>11846</v>
      </c>
      <c r="N1392" s="51" t="s">
        <v>11847</v>
      </c>
      <c r="O1392" s="29" t="s">
        <v>1473</v>
      </c>
      <c r="P1392" s="29" t="s">
        <v>11848</v>
      </c>
      <c r="Q1392" s="29" t="s">
        <v>1473</v>
      </c>
      <c r="R1392" s="29" t="s">
        <v>1684</v>
      </c>
      <c r="S1392" s="28" t="s">
        <v>1502</v>
      </c>
      <c r="T1392" s="28" t="s">
        <v>1720</v>
      </c>
      <c r="U1392" s="28" t="s">
        <v>1444</v>
      </c>
      <c r="V1392" s="28" t="s">
        <v>1796</v>
      </c>
      <c r="W1392" s="28" t="s">
        <v>11848</v>
      </c>
      <c r="X1392" s="17">
        <v>1</v>
      </c>
      <c r="CJ1392" s="26" t="s">
        <v>1417</v>
      </c>
      <c r="CK1392" s="26" t="s">
        <v>2186</v>
      </c>
      <c r="CL1392" s="26" t="str">
        <f t="shared" si="85"/>
        <v>福岡県小郡市</v>
      </c>
      <c r="CM1392" s="49">
        <v>1387</v>
      </c>
      <c r="CN1392" s="17" t="str">
        <f t="shared" si="84"/>
        <v>1511</v>
      </c>
      <c r="CO1392" s="17" t="str">
        <f t="shared" si="86"/>
        <v>13871511小郡市</v>
      </c>
      <c r="CP1392" s="17" t="s">
        <v>11849</v>
      </c>
      <c r="CQ1392" s="17" t="b">
        <f t="shared" si="87"/>
        <v>1</v>
      </c>
    </row>
    <row r="1393" spans="6:95">
      <c r="F1393" s="23"/>
      <c r="I1393" s="23"/>
      <c r="L1393" s="50" t="s">
        <v>11850</v>
      </c>
      <c r="M1393" s="17" t="s">
        <v>11851</v>
      </c>
      <c r="N1393" s="51" t="s">
        <v>11852</v>
      </c>
      <c r="O1393" s="29" t="s">
        <v>1473</v>
      </c>
      <c r="P1393" s="29" t="s">
        <v>11853</v>
      </c>
      <c r="Q1393" s="29" t="s">
        <v>1473</v>
      </c>
      <c r="R1393" s="29" t="s">
        <v>1802</v>
      </c>
      <c r="S1393" s="28" t="s">
        <v>1803</v>
      </c>
      <c r="T1393" s="28" t="s">
        <v>1779</v>
      </c>
      <c r="U1393" s="28" t="s">
        <v>1444</v>
      </c>
      <c r="V1393" s="28" t="s">
        <v>1796</v>
      </c>
      <c r="W1393" s="28" t="s">
        <v>11854</v>
      </c>
      <c r="X1393" s="17">
        <v>1</v>
      </c>
      <c r="CJ1393" s="26" t="s">
        <v>1417</v>
      </c>
      <c r="CK1393" s="26" t="s">
        <v>2241</v>
      </c>
      <c r="CL1393" s="26" t="str">
        <f t="shared" si="85"/>
        <v>福岡県筑紫野市</v>
      </c>
      <c r="CM1393" s="49">
        <v>1388</v>
      </c>
      <c r="CN1393" s="17" t="str">
        <f t="shared" si="84"/>
        <v>1512</v>
      </c>
      <c r="CO1393" s="17" t="str">
        <f t="shared" si="86"/>
        <v>13881512筑紫野市</v>
      </c>
      <c r="CP1393" s="17" t="s">
        <v>11855</v>
      </c>
      <c r="CQ1393" s="17" t="b">
        <f t="shared" si="87"/>
        <v>1</v>
      </c>
    </row>
    <row r="1394" spans="6:95">
      <c r="F1394" s="23"/>
      <c r="I1394" s="23"/>
      <c r="L1394" s="50" t="s">
        <v>11856</v>
      </c>
      <c r="M1394" s="17" t="s">
        <v>11857</v>
      </c>
      <c r="N1394" s="51" t="s">
        <v>11858</v>
      </c>
      <c r="O1394" s="29" t="s">
        <v>1473</v>
      </c>
      <c r="P1394" s="29" t="s">
        <v>11859</v>
      </c>
      <c r="Q1394" s="29" t="s">
        <v>1473</v>
      </c>
      <c r="R1394" s="29" t="s">
        <v>1861</v>
      </c>
      <c r="S1394" s="28" t="s">
        <v>1862</v>
      </c>
      <c r="T1394" s="28" t="s">
        <v>1839</v>
      </c>
      <c r="U1394" s="28" t="s">
        <v>1444</v>
      </c>
      <c r="V1394" s="28" t="s">
        <v>1796</v>
      </c>
      <c r="W1394" s="28" t="s">
        <v>11860</v>
      </c>
      <c r="X1394" s="17">
        <v>1</v>
      </c>
      <c r="CJ1394" s="26" t="s">
        <v>1417</v>
      </c>
      <c r="CK1394" s="26" t="s">
        <v>2296</v>
      </c>
      <c r="CL1394" s="26" t="str">
        <f t="shared" si="85"/>
        <v>福岡県春日市</v>
      </c>
      <c r="CM1394" s="49">
        <v>1389</v>
      </c>
      <c r="CN1394" s="17" t="str">
        <f t="shared" si="84"/>
        <v>1513</v>
      </c>
      <c r="CO1394" s="17" t="str">
        <f t="shared" si="86"/>
        <v>13891513春日市</v>
      </c>
      <c r="CP1394" s="17" t="s">
        <v>11861</v>
      </c>
      <c r="CQ1394" s="17" t="b">
        <f t="shared" si="87"/>
        <v>1</v>
      </c>
    </row>
    <row r="1395" spans="6:95">
      <c r="F1395" s="23"/>
      <c r="I1395" s="23"/>
      <c r="L1395" s="50" t="s">
        <v>11862</v>
      </c>
      <c r="M1395" s="17" t="s">
        <v>11863</v>
      </c>
      <c r="N1395" s="51" t="s">
        <v>11864</v>
      </c>
      <c r="O1395" s="29" t="s">
        <v>1473</v>
      </c>
      <c r="P1395" s="29" t="s">
        <v>11865</v>
      </c>
      <c r="Q1395" s="29" t="s">
        <v>1473</v>
      </c>
      <c r="R1395" s="29" t="s">
        <v>1919</v>
      </c>
      <c r="S1395" s="28" t="s">
        <v>1920</v>
      </c>
      <c r="T1395" s="28" t="s">
        <v>1898</v>
      </c>
      <c r="U1395" s="28" t="s">
        <v>1444</v>
      </c>
      <c r="V1395" s="28" t="s">
        <v>1796</v>
      </c>
      <c r="W1395" s="28" t="s">
        <v>11866</v>
      </c>
      <c r="X1395" s="17">
        <v>1</v>
      </c>
      <c r="CJ1395" s="26" t="s">
        <v>1417</v>
      </c>
      <c r="CK1395" s="26" t="s">
        <v>2351</v>
      </c>
      <c r="CL1395" s="26" t="str">
        <f t="shared" si="85"/>
        <v>福岡県大野城市</v>
      </c>
      <c r="CM1395" s="49">
        <v>1390</v>
      </c>
      <c r="CN1395" s="17" t="str">
        <f t="shared" si="84"/>
        <v>1514</v>
      </c>
      <c r="CO1395" s="17" t="str">
        <f t="shared" si="86"/>
        <v>13901514大野城市</v>
      </c>
      <c r="CP1395" s="17" t="s">
        <v>11867</v>
      </c>
      <c r="CQ1395" s="17" t="b">
        <f t="shared" si="87"/>
        <v>1</v>
      </c>
    </row>
    <row r="1396" spans="6:95">
      <c r="F1396" s="23"/>
      <c r="I1396" s="23"/>
      <c r="L1396" s="50" t="s">
        <v>11868</v>
      </c>
      <c r="M1396" s="17" t="s">
        <v>11869</v>
      </c>
      <c r="N1396" s="51" t="s">
        <v>11870</v>
      </c>
      <c r="O1396" s="29" t="s">
        <v>1473</v>
      </c>
      <c r="P1396" s="29" t="s">
        <v>11871</v>
      </c>
      <c r="Q1396" s="29" t="s">
        <v>1473</v>
      </c>
      <c r="R1396" s="29" t="s">
        <v>2033</v>
      </c>
      <c r="S1396" s="28" t="s">
        <v>1743</v>
      </c>
      <c r="T1396" s="28" t="s">
        <v>1956</v>
      </c>
      <c r="U1396" s="28" t="s">
        <v>1444</v>
      </c>
      <c r="V1396" s="28" t="s">
        <v>1796</v>
      </c>
      <c r="W1396" s="28" t="s">
        <v>11872</v>
      </c>
      <c r="X1396" s="17">
        <v>1</v>
      </c>
      <c r="CJ1396" s="26" t="s">
        <v>1417</v>
      </c>
      <c r="CK1396" s="26" t="s">
        <v>2406</v>
      </c>
      <c r="CL1396" s="26" t="str">
        <f t="shared" si="85"/>
        <v>福岡県宗像市</v>
      </c>
      <c r="CM1396" s="49">
        <v>1391</v>
      </c>
      <c r="CN1396" s="17" t="str">
        <f t="shared" si="84"/>
        <v>1515</v>
      </c>
      <c r="CO1396" s="17" t="str">
        <f t="shared" si="86"/>
        <v>13911515宗像市</v>
      </c>
      <c r="CP1396" s="17" t="s">
        <v>11873</v>
      </c>
      <c r="CQ1396" s="17" t="b">
        <f t="shared" si="87"/>
        <v>1</v>
      </c>
    </row>
    <row r="1397" spans="6:95">
      <c r="F1397" s="23"/>
      <c r="I1397" s="23"/>
      <c r="L1397" s="50" t="s">
        <v>11874</v>
      </c>
      <c r="M1397" s="17" t="s">
        <v>11875</v>
      </c>
      <c r="N1397" s="51" t="s">
        <v>11876</v>
      </c>
      <c r="O1397" s="29" t="s">
        <v>1473</v>
      </c>
      <c r="P1397" s="29" t="s">
        <v>11877</v>
      </c>
      <c r="Q1397" s="29" t="s">
        <v>1473</v>
      </c>
      <c r="R1397" s="29" t="s">
        <v>2089</v>
      </c>
      <c r="S1397" s="28" t="s">
        <v>1803</v>
      </c>
      <c r="T1397" s="28" t="s">
        <v>2013</v>
      </c>
      <c r="U1397" s="28" t="s">
        <v>1444</v>
      </c>
      <c r="V1397" s="28" t="s">
        <v>1796</v>
      </c>
      <c r="W1397" s="28" t="s">
        <v>11878</v>
      </c>
      <c r="X1397" s="17">
        <v>1</v>
      </c>
      <c r="CJ1397" s="26" t="s">
        <v>1417</v>
      </c>
      <c r="CK1397" s="26" t="s">
        <v>2460</v>
      </c>
      <c r="CL1397" s="26" t="str">
        <f t="shared" si="85"/>
        <v>福岡県太宰府市</v>
      </c>
      <c r="CM1397" s="49">
        <v>1392</v>
      </c>
      <c r="CN1397" s="17" t="str">
        <f t="shared" si="84"/>
        <v>1516</v>
      </c>
      <c r="CO1397" s="17" t="str">
        <f t="shared" si="86"/>
        <v>13921516太宰府市</v>
      </c>
      <c r="CP1397" s="17" t="s">
        <v>11879</v>
      </c>
      <c r="CQ1397" s="17" t="b">
        <f t="shared" si="87"/>
        <v>1</v>
      </c>
    </row>
    <row r="1398" spans="6:95">
      <c r="F1398" s="23"/>
      <c r="I1398" s="23"/>
      <c r="L1398" s="50" t="s">
        <v>11880</v>
      </c>
      <c r="M1398" s="17" t="s">
        <v>11881</v>
      </c>
      <c r="N1398" s="51" t="s">
        <v>11882</v>
      </c>
      <c r="O1398" s="29" t="s">
        <v>1473</v>
      </c>
      <c r="P1398" s="29" t="s">
        <v>11883</v>
      </c>
      <c r="Q1398" s="29" t="s">
        <v>1473</v>
      </c>
      <c r="R1398" s="29" t="s">
        <v>2145</v>
      </c>
      <c r="S1398" s="28" t="s">
        <v>1862</v>
      </c>
      <c r="T1398" s="28" t="s">
        <v>2069</v>
      </c>
      <c r="U1398" s="28" t="s">
        <v>1444</v>
      </c>
      <c r="V1398" s="28" t="s">
        <v>1796</v>
      </c>
      <c r="W1398" s="28" t="s">
        <v>11884</v>
      </c>
      <c r="X1398" s="17">
        <v>1</v>
      </c>
      <c r="CJ1398" s="26" t="s">
        <v>1417</v>
      </c>
      <c r="CK1398" s="26" t="s">
        <v>2510</v>
      </c>
      <c r="CL1398" s="26" t="str">
        <f t="shared" si="85"/>
        <v>福岡県古賀市</v>
      </c>
      <c r="CM1398" s="49">
        <v>1393</v>
      </c>
      <c r="CN1398" s="17" t="str">
        <f t="shared" si="84"/>
        <v>1517</v>
      </c>
      <c r="CO1398" s="17" t="str">
        <f t="shared" si="86"/>
        <v>13931517古賀市</v>
      </c>
      <c r="CP1398" s="17" t="s">
        <v>11885</v>
      </c>
      <c r="CQ1398" s="17" t="b">
        <f t="shared" si="87"/>
        <v>1</v>
      </c>
    </row>
    <row r="1399" spans="6:95">
      <c r="F1399" s="23"/>
      <c r="I1399" s="23"/>
      <c r="L1399" s="50" t="s">
        <v>11886</v>
      </c>
      <c r="M1399" s="17" t="s">
        <v>11887</v>
      </c>
      <c r="N1399" s="51" t="s">
        <v>11888</v>
      </c>
      <c r="O1399" s="29" t="s">
        <v>1473</v>
      </c>
      <c r="P1399" s="29" t="s">
        <v>11889</v>
      </c>
      <c r="Q1399" s="29" t="s">
        <v>1473</v>
      </c>
      <c r="R1399" s="29" t="s">
        <v>2200</v>
      </c>
      <c r="S1399" s="28" t="s">
        <v>1920</v>
      </c>
      <c r="T1399" s="28" t="s">
        <v>2125</v>
      </c>
      <c r="U1399" s="28" t="s">
        <v>1444</v>
      </c>
      <c r="V1399" s="28" t="s">
        <v>1796</v>
      </c>
      <c r="W1399" s="28" t="s">
        <v>11890</v>
      </c>
      <c r="X1399" s="17">
        <v>1</v>
      </c>
      <c r="CJ1399" s="26" t="s">
        <v>1417</v>
      </c>
      <c r="CK1399" s="26" t="s">
        <v>2563</v>
      </c>
      <c r="CL1399" s="26" t="str">
        <f t="shared" si="85"/>
        <v>福岡県福津市</v>
      </c>
      <c r="CM1399" s="49">
        <v>1394</v>
      </c>
      <c r="CN1399" s="17" t="str">
        <f t="shared" si="84"/>
        <v>1518</v>
      </c>
      <c r="CO1399" s="17" t="str">
        <f t="shared" si="86"/>
        <v>13941518福津市</v>
      </c>
      <c r="CP1399" s="17" t="s">
        <v>11891</v>
      </c>
      <c r="CQ1399" s="17" t="b">
        <f t="shared" si="87"/>
        <v>1</v>
      </c>
    </row>
    <row r="1400" spans="6:95">
      <c r="F1400" s="23"/>
      <c r="I1400" s="23"/>
      <c r="L1400" s="50" t="s">
        <v>11892</v>
      </c>
      <c r="M1400" s="17" t="s">
        <v>11893</v>
      </c>
      <c r="N1400" s="51" t="s">
        <v>11894</v>
      </c>
      <c r="O1400" s="29" t="s">
        <v>1473</v>
      </c>
      <c r="P1400" s="29" t="s">
        <v>11895</v>
      </c>
      <c r="Q1400" s="29" t="s">
        <v>1473</v>
      </c>
      <c r="R1400" s="29" t="s">
        <v>2310</v>
      </c>
      <c r="S1400" s="28" t="s">
        <v>2311</v>
      </c>
      <c r="T1400" s="28" t="s">
        <v>2181</v>
      </c>
      <c r="U1400" s="28" t="s">
        <v>1444</v>
      </c>
      <c r="V1400" s="28" t="s">
        <v>1796</v>
      </c>
      <c r="W1400" s="28" t="s">
        <v>11896</v>
      </c>
      <c r="X1400" s="17">
        <v>1</v>
      </c>
      <c r="CJ1400" s="26" t="s">
        <v>1417</v>
      </c>
      <c r="CK1400" s="26" t="s">
        <v>2610</v>
      </c>
      <c r="CL1400" s="26" t="str">
        <f t="shared" si="85"/>
        <v>福岡県嘉麻市</v>
      </c>
      <c r="CM1400" s="49">
        <v>1395</v>
      </c>
      <c r="CN1400" s="17" t="str">
        <f t="shared" si="84"/>
        <v>1519</v>
      </c>
      <c r="CO1400" s="17" t="str">
        <f t="shared" si="86"/>
        <v>13951519嘉麻市</v>
      </c>
      <c r="CP1400" s="17" t="s">
        <v>11897</v>
      </c>
      <c r="CQ1400" s="17" t="b">
        <f t="shared" si="87"/>
        <v>1</v>
      </c>
    </row>
    <row r="1401" spans="6:95">
      <c r="F1401" s="23"/>
      <c r="I1401" s="23"/>
      <c r="L1401" s="50" t="s">
        <v>11898</v>
      </c>
      <c r="M1401" s="17" t="s">
        <v>11899</v>
      </c>
      <c r="N1401" s="51" t="s">
        <v>11900</v>
      </c>
      <c r="O1401" s="29" t="s">
        <v>1473</v>
      </c>
      <c r="P1401" s="29" t="s">
        <v>11901</v>
      </c>
      <c r="Q1401" s="29" t="s">
        <v>1473</v>
      </c>
      <c r="R1401" s="29" t="s">
        <v>2365</v>
      </c>
      <c r="S1401" s="28" t="s">
        <v>1564</v>
      </c>
      <c r="T1401" s="28" t="s">
        <v>2236</v>
      </c>
      <c r="U1401" s="28" t="s">
        <v>1444</v>
      </c>
      <c r="V1401" s="28" t="s">
        <v>1796</v>
      </c>
      <c r="W1401" s="28" t="s">
        <v>11901</v>
      </c>
      <c r="X1401" s="17">
        <v>1</v>
      </c>
      <c r="CJ1401" s="26" t="s">
        <v>1417</v>
      </c>
      <c r="CK1401" s="26" t="s">
        <v>2655</v>
      </c>
      <c r="CL1401" s="26" t="str">
        <f t="shared" si="85"/>
        <v>福岡県朝倉市</v>
      </c>
      <c r="CM1401" s="49">
        <v>1396</v>
      </c>
      <c r="CN1401" s="17" t="str">
        <f t="shared" si="84"/>
        <v>1520</v>
      </c>
      <c r="CO1401" s="17" t="str">
        <f t="shared" si="86"/>
        <v>13961520朝倉市</v>
      </c>
      <c r="CP1401" s="17" t="s">
        <v>11902</v>
      </c>
      <c r="CQ1401" s="17" t="b">
        <f t="shared" si="87"/>
        <v>1</v>
      </c>
    </row>
    <row r="1402" spans="6:95">
      <c r="F1402" s="23"/>
      <c r="I1402" s="23"/>
      <c r="L1402" s="50" t="s">
        <v>11903</v>
      </c>
      <c r="M1402" s="17" t="s">
        <v>11904</v>
      </c>
      <c r="N1402" s="51" t="s">
        <v>11905</v>
      </c>
      <c r="O1402" s="29" t="s">
        <v>1473</v>
      </c>
      <c r="P1402" s="29" t="s">
        <v>11906</v>
      </c>
      <c r="Q1402" s="29" t="s">
        <v>1473</v>
      </c>
      <c r="R1402" s="29" t="s">
        <v>7681</v>
      </c>
      <c r="S1402" s="28" t="s">
        <v>1803</v>
      </c>
      <c r="T1402" s="28" t="s">
        <v>2291</v>
      </c>
      <c r="U1402" s="28" t="s">
        <v>1444</v>
      </c>
      <c r="V1402" s="28" t="s">
        <v>1796</v>
      </c>
      <c r="W1402" s="28" t="s">
        <v>11907</v>
      </c>
      <c r="X1402" s="17">
        <v>1</v>
      </c>
      <c r="CJ1402" s="26" t="s">
        <v>1417</v>
      </c>
      <c r="CK1402" s="26" t="s">
        <v>2701</v>
      </c>
      <c r="CL1402" s="26" t="str">
        <f t="shared" si="85"/>
        <v>福岡県みやま市</v>
      </c>
      <c r="CM1402" s="49">
        <v>1397</v>
      </c>
      <c r="CN1402" s="17" t="str">
        <f t="shared" si="84"/>
        <v>1521</v>
      </c>
      <c r="CO1402" s="17" t="str">
        <f t="shared" si="86"/>
        <v>13971521みやま市</v>
      </c>
      <c r="CP1402" s="17" t="s">
        <v>11908</v>
      </c>
      <c r="CQ1402" s="17" t="b">
        <f t="shared" si="87"/>
        <v>1</v>
      </c>
    </row>
    <row r="1403" spans="6:95">
      <c r="F1403" s="23"/>
      <c r="I1403" s="23"/>
      <c r="L1403" s="50" t="s">
        <v>11909</v>
      </c>
      <c r="M1403" s="17" t="s">
        <v>11910</v>
      </c>
      <c r="N1403" s="51" t="s">
        <v>11911</v>
      </c>
      <c r="O1403" s="29" t="s">
        <v>1473</v>
      </c>
      <c r="P1403" s="29" t="s">
        <v>11912</v>
      </c>
      <c r="Q1403" s="29" t="s">
        <v>1473</v>
      </c>
      <c r="R1403" s="29" t="s">
        <v>4679</v>
      </c>
      <c r="S1403" s="28" t="s">
        <v>1626</v>
      </c>
      <c r="T1403" s="28" t="s">
        <v>2346</v>
      </c>
      <c r="U1403" s="28" t="s">
        <v>1444</v>
      </c>
      <c r="V1403" s="28" t="s">
        <v>1796</v>
      </c>
      <c r="W1403" s="28" t="s">
        <v>11913</v>
      </c>
      <c r="X1403" s="17">
        <v>1</v>
      </c>
      <c r="CJ1403" s="26" t="s">
        <v>1417</v>
      </c>
      <c r="CK1403" s="26" t="s">
        <v>2747</v>
      </c>
      <c r="CL1403" s="26" t="str">
        <f t="shared" si="85"/>
        <v>福岡県糸島市</v>
      </c>
      <c r="CM1403" s="49">
        <v>1398</v>
      </c>
      <c r="CN1403" s="17" t="str">
        <f t="shared" si="84"/>
        <v>1522</v>
      </c>
      <c r="CO1403" s="17" t="str">
        <f t="shared" si="86"/>
        <v>13981522糸島市</v>
      </c>
      <c r="CP1403" s="17" t="s">
        <v>11914</v>
      </c>
      <c r="CQ1403" s="17" t="b">
        <f t="shared" si="87"/>
        <v>1</v>
      </c>
    </row>
    <row r="1404" spans="6:95">
      <c r="F1404" s="23"/>
      <c r="I1404" s="23"/>
      <c r="L1404" s="50" t="s">
        <v>11915</v>
      </c>
      <c r="M1404" s="17" t="s">
        <v>11916</v>
      </c>
      <c r="N1404" s="51" t="s">
        <v>11917</v>
      </c>
      <c r="O1404" s="29" t="s">
        <v>1473</v>
      </c>
      <c r="P1404" s="29" t="s">
        <v>11918</v>
      </c>
      <c r="Q1404" s="29" t="s">
        <v>1473</v>
      </c>
      <c r="R1404" s="29" t="s">
        <v>5197</v>
      </c>
      <c r="S1404" s="28" t="s">
        <v>1502</v>
      </c>
      <c r="T1404" s="28" t="s">
        <v>2401</v>
      </c>
      <c r="U1404" s="28" t="s">
        <v>1444</v>
      </c>
      <c r="V1404" s="28" t="s">
        <v>1796</v>
      </c>
      <c r="W1404" s="28" t="s">
        <v>11919</v>
      </c>
      <c r="X1404" s="17">
        <v>1</v>
      </c>
      <c r="CJ1404" s="26" t="s">
        <v>1417</v>
      </c>
      <c r="CK1404" s="26" t="s">
        <v>2789</v>
      </c>
      <c r="CL1404" s="26" t="str">
        <f t="shared" si="85"/>
        <v>福岡県那珂川市</v>
      </c>
      <c r="CM1404" s="49">
        <v>1399</v>
      </c>
      <c r="CN1404" s="17" t="str">
        <f t="shared" si="84"/>
        <v>1523</v>
      </c>
      <c r="CO1404" s="17" t="str">
        <f t="shared" si="86"/>
        <v>13991523那珂川市</v>
      </c>
      <c r="CP1404" s="17" t="s">
        <v>11920</v>
      </c>
      <c r="CQ1404" s="17" t="b">
        <f t="shared" si="87"/>
        <v>1</v>
      </c>
    </row>
    <row r="1405" spans="6:95">
      <c r="F1405" s="23"/>
      <c r="I1405" s="23"/>
      <c r="L1405" s="50" t="s">
        <v>11921</v>
      </c>
      <c r="M1405" s="17" t="s">
        <v>11922</v>
      </c>
      <c r="N1405" s="51" t="s">
        <v>11923</v>
      </c>
      <c r="O1405" s="29" t="s">
        <v>1473</v>
      </c>
      <c r="P1405" s="29" t="s">
        <v>11924</v>
      </c>
      <c r="Q1405" s="29" t="s">
        <v>1473</v>
      </c>
      <c r="R1405" s="29" t="s">
        <v>3316</v>
      </c>
      <c r="S1405" s="28" t="s">
        <v>2311</v>
      </c>
      <c r="T1405" s="28" t="s">
        <v>2455</v>
      </c>
      <c r="U1405" s="28" t="s">
        <v>1444</v>
      </c>
      <c r="V1405" s="28" t="s">
        <v>1796</v>
      </c>
      <c r="W1405" s="28" t="s">
        <v>11925</v>
      </c>
      <c r="X1405" s="17">
        <v>1</v>
      </c>
      <c r="CJ1405" s="26" t="s">
        <v>1417</v>
      </c>
      <c r="CK1405" s="26" t="s">
        <v>2831</v>
      </c>
      <c r="CL1405" s="26" t="str">
        <f t="shared" si="85"/>
        <v>福岡県粕屋町</v>
      </c>
      <c r="CM1405" s="49">
        <v>1400</v>
      </c>
      <c r="CN1405" s="17" t="str">
        <f t="shared" si="84"/>
        <v>1524</v>
      </c>
      <c r="CO1405" s="17" t="str">
        <f t="shared" si="86"/>
        <v>14001524粕屋町</v>
      </c>
      <c r="CP1405" s="17" t="s">
        <v>11926</v>
      </c>
      <c r="CQ1405" s="17" t="b">
        <f t="shared" si="87"/>
        <v>1</v>
      </c>
    </row>
    <row r="1406" spans="6:95">
      <c r="F1406" s="23"/>
      <c r="I1406" s="23"/>
      <c r="L1406" s="50" t="s">
        <v>11927</v>
      </c>
      <c r="M1406" s="17" t="s">
        <v>11928</v>
      </c>
      <c r="N1406" s="51" t="s">
        <v>11929</v>
      </c>
      <c r="O1406" s="29" t="s">
        <v>1473</v>
      </c>
      <c r="P1406" s="29" t="s">
        <v>11930</v>
      </c>
      <c r="Q1406" s="29" t="s">
        <v>1473</v>
      </c>
      <c r="R1406" s="29" t="s">
        <v>5767</v>
      </c>
      <c r="S1406" s="28" t="s">
        <v>1564</v>
      </c>
      <c r="T1406" s="28" t="s">
        <v>2506</v>
      </c>
      <c r="U1406" s="28" t="s">
        <v>1444</v>
      </c>
      <c r="V1406" s="28" t="s">
        <v>1796</v>
      </c>
      <c r="W1406" s="28" t="s">
        <v>11931</v>
      </c>
      <c r="X1406" s="17">
        <v>1</v>
      </c>
      <c r="CJ1406" s="26" t="s">
        <v>1417</v>
      </c>
      <c r="CK1406" s="26" t="s">
        <v>2870</v>
      </c>
      <c r="CL1406" s="26" t="str">
        <f t="shared" si="85"/>
        <v>福岡県苅田町</v>
      </c>
      <c r="CM1406" s="49">
        <v>1401</v>
      </c>
      <c r="CN1406" s="17" t="str">
        <f t="shared" si="84"/>
        <v>1525</v>
      </c>
      <c r="CO1406" s="17" t="str">
        <f t="shared" si="86"/>
        <v>14011525苅田町</v>
      </c>
      <c r="CP1406" s="17" t="s">
        <v>11932</v>
      </c>
      <c r="CQ1406" s="17" t="b">
        <f t="shared" si="87"/>
        <v>1</v>
      </c>
    </row>
    <row r="1407" spans="6:95">
      <c r="F1407" s="23"/>
      <c r="I1407" s="23"/>
      <c r="L1407" s="50" t="s">
        <v>11933</v>
      </c>
      <c r="M1407" s="17" t="s">
        <v>11934</v>
      </c>
      <c r="N1407" s="51" t="s">
        <v>11935</v>
      </c>
      <c r="O1407" s="29" t="s">
        <v>1473</v>
      </c>
      <c r="P1407" s="29" t="s">
        <v>11936</v>
      </c>
      <c r="Q1407" s="29" t="s">
        <v>1473</v>
      </c>
      <c r="R1407" s="29" t="s">
        <v>5918</v>
      </c>
      <c r="S1407" s="28" t="s">
        <v>1743</v>
      </c>
      <c r="T1407" s="28" t="s">
        <v>2559</v>
      </c>
      <c r="U1407" s="28" t="s">
        <v>1444</v>
      </c>
      <c r="V1407" s="28" t="s">
        <v>1796</v>
      </c>
      <c r="W1407" s="28" t="s">
        <v>11937</v>
      </c>
      <c r="X1407" s="17">
        <v>1</v>
      </c>
      <c r="CJ1407" s="26" t="s">
        <v>1417</v>
      </c>
      <c r="CK1407" s="26" t="s">
        <v>2908</v>
      </c>
      <c r="CL1407" s="26" t="str">
        <f t="shared" si="85"/>
        <v>福岡県みやこ町</v>
      </c>
      <c r="CM1407" s="49">
        <v>1402</v>
      </c>
      <c r="CN1407" s="17" t="str">
        <f t="shared" si="84"/>
        <v>1526</v>
      </c>
      <c r="CO1407" s="17" t="str">
        <f t="shared" si="86"/>
        <v>14021526みやこ町</v>
      </c>
      <c r="CP1407" s="17" t="s">
        <v>11938</v>
      </c>
      <c r="CQ1407" s="17" t="b">
        <f t="shared" si="87"/>
        <v>1</v>
      </c>
    </row>
    <row r="1408" spans="6:95">
      <c r="F1408" s="23"/>
      <c r="I1408" s="23"/>
      <c r="L1408" s="50" t="s">
        <v>11939</v>
      </c>
      <c r="M1408" s="17" t="s">
        <v>11940</v>
      </c>
      <c r="N1408" s="51" t="s">
        <v>11941</v>
      </c>
      <c r="O1408" s="29" t="s">
        <v>1474</v>
      </c>
      <c r="P1408" s="29" t="s">
        <v>11942</v>
      </c>
      <c r="Q1408" s="29" t="s">
        <v>1474</v>
      </c>
      <c r="R1408" s="29" t="s">
        <v>4593</v>
      </c>
      <c r="S1408" s="28" t="s">
        <v>1803</v>
      </c>
      <c r="T1408" s="28" t="s">
        <v>1539</v>
      </c>
      <c r="U1408" s="28" t="s">
        <v>1445</v>
      </c>
      <c r="V1408" s="28" t="s">
        <v>1855</v>
      </c>
      <c r="W1408" s="28" t="s">
        <v>11943</v>
      </c>
      <c r="X1408" s="17">
        <v>1</v>
      </c>
      <c r="CJ1408" s="26" t="s">
        <v>1417</v>
      </c>
      <c r="CK1408" s="26" t="s">
        <v>2943</v>
      </c>
      <c r="CL1408" s="26" t="str">
        <f t="shared" si="85"/>
        <v>福岡県福岡県介護保険広域連合</v>
      </c>
      <c r="CM1408" s="49">
        <v>1403</v>
      </c>
      <c r="CN1408" s="17" t="str">
        <f t="shared" si="84"/>
        <v>1527</v>
      </c>
      <c r="CO1408" s="17" t="str">
        <f t="shared" si="86"/>
        <v>14031527福岡県介護保険広域連合</v>
      </c>
      <c r="CP1408" s="17" t="s">
        <v>11944</v>
      </c>
      <c r="CQ1408" s="17" t="b">
        <f t="shared" si="87"/>
        <v>1</v>
      </c>
    </row>
    <row r="1409" spans="6:95">
      <c r="F1409" s="23"/>
      <c r="I1409" s="23"/>
      <c r="L1409" s="50" t="s">
        <v>11945</v>
      </c>
      <c r="M1409" s="17" t="s">
        <v>11946</v>
      </c>
      <c r="N1409" s="51" t="s">
        <v>11947</v>
      </c>
      <c r="O1409" s="29" t="s">
        <v>1474</v>
      </c>
      <c r="P1409" s="29" t="s">
        <v>11948</v>
      </c>
      <c r="Q1409" s="29" t="s">
        <v>1474</v>
      </c>
      <c r="R1409" s="29" t="s">
        <v>1563</v>
      </c>
      <c r="S1409" s="28" t="s">
        <v>1862</v>
      </c>
      <c r="T1409" s="28" t="s">
        <v>1601</v>
      </c>
      <c r="U1409" s="28" t="s">
        <v>1445</v>
      </c>
      <c r="V1409" s="28" t="s">
        <v>1855</v>
      </c>
      <c r="W1409" s="28" t="s">
        <v>11949</v>
      </c>
      <c r="X1409" s="17">
        <v>1</v>
      </c>
      <c r="CJ1409" s="26" t="s">
        <v>1418</v>
      </c>
      <c r="CK1409" s="26" t="s">
        <v>1544</v>
      </c>
      <c r="CL1409" s="26" t="str">
        <f t="shared" si="85"/>
        <v>佐賀県唐津市</v>
      </c>
      <c r="CM1409" s="49">
        <v>1404</v>
      </c>
      <c r="CN1409" s="17" t="str">
        <f t="shared" si="84"/>
        <v>1561</v>
      </c>
      <c r="CO1409" s="17" t="str">
        <f t="shared" si="86"/>
        <v>14041561唐津市</v>
      </c>
      <c r="CP1409" s="17" t="s">
        <v>11950</v>
      </c>
      <c r="CQ1409" s="17" t="b">
        <f t="shared" si="87"/>
        <v>1</v>
      </c>
    </row>
    <row r="1410" spans="6:95">
      <c r="F1410" s="23"/>
      <c r="I1410" s="23"/>
      <c r="L1410" s="50" t="s">
        <v>11951</v>
      </c>
      <c r="M1410" s="17" t="s">
        <v>11952</v>
      </c>
      <c r="N1410" s="51" t="s">
        <v>11953</v>
      </c>
      <c r="O1410" s="29" t="s">
        <v>1474</v>
      </c>
      <c r="P1410" s="29" t="s">
        <v>11954</v>
      </c>
      <c r="Q1410" s="29" t="s">
        <v>1474</v>
      </c>
      <c r="R1410" s="29" t="s">
        <v>1625</v>
      </c>
      <c r="S1410" s="28" t="s">
        <v>1920</v>
      </c>
      <c r="T1410" s="28" t="s">
        <v>1663</v>
      </c>
      <c r="U1410" s="28" t="s">
        <v>1445</v>
      </c>
      <c r="V1410" s="28" t="s">
        <v>1855</v>
      </c>
      <c r="W1410" s="28" t="s">
        <v>11955</v>
      </c>
      <c r="X1410" s="17">
        <v>1</v>
      </c>
      <c r="CJ1410" s="26" t="s">
        <v>1418</v>
      </c>
      <c r="CK1410" s="26" t="s">
        <v>1606</v>
      </c>
      <c r="CL1410" s="26" t="str">
        <f t="shared" si="85"/>
        <v>佐賀県伊万里市</v>
      </c>
      <c r="CM1410" s="49">
        <v>1405</v>
      </c>
      <c r="CN1410" s="17" t="str">
        <f t="shared" si="84"/>
        <v>1562</v>
      </c>
      <c r="CO1410" s="17" t="str">
        <f t="shared" si="86"/>
        <v>14051562伊万里市</v>
      </c>
      <c r="CP1410" s="17" t="s">
        <v>11956</v>
      </c>
      <c r="CQ1410" s="17" t="b">
        <f t="shared" si="87"/>
        <v>1</v>
      </c>
    </row>
    <row r="1411" spans="6:95">
      <c r="F1411" s="23"/>
      <c r="I1411" s="23"/>
      <c r="L1411" s="50" t="s">
        <v>11957</v>
      </c>
      <c r="M1411" s="17" t="s">
        <v>11958</v>
      </c>
      <c r="N1411" s="51" t="s">
        <v>11959</v>
      </c>
      <c r="O1411" s="29" t="s">
        <v>1474</v>
      </c>
      <c r="P1411" s="29" t="s">
        <v>11960</v>
      </c>
      <c r="Q1411" s="29" t="s">
        <v>1474</v>
      </c>
      <c r="R1411" s="29" t="s">
        <v>1684</v>
      </c>
      <c r="S1411" s="28" t="s">
        <v>1977</v>
      </c>
      <c r="T1411" s="28" t="s">
        <v>1721</v>
      </c>
      <c r="U1411" s="28" t="s">
        <v>1445</v>
      </c>
      <c r="V1411" s="28" t="s">
        <v>1855</v>
      </c>
      <c r="W1411" s="28" t="s">
        <v>11961</v>
      </c>
      <c r="X1411" s="17">
        <v>1</v>
      </c>
      <c r="CJ1411" s="26" t="s">
        <v>1418</v>
      </c>
      <c r="CK1411" s="26" t="s">
        <v>1668</v>
      </c>
      <c r="CL1411" s="26" t="str">
        <f t="shared" si="85"/>
        <v>佐賀県玄海町</v>
      </c>
      <c r="CM1411" s="49">
        <v>1406</v>
      </c>
      <c r="CN1411" s="17" t="str">
        <f t="shared" si="84"/>
        <v>1563</v>
      </c>
      <c r="CO1411" s="17" t="str">
        <f t="shared" si="86"/>
        <v>14061563玄海町</v>
      </c>
      <c r="CP1411" s="17" t="s">
        <v>11962</v>
      </c>
      <c r="CQ1411" s="17" t="b">
        <f t="shared" si="87"/>
        <v>1</v>
      </c>
    </row>
    <row r="1412" spans="6:95">
      <c r="F1412" s="23"/>
      <c r="I1412" s="23"/>
      <c r="L1412" s="50" t="s">
        <v>11963</v>
      </c>
      <c r="M1412" s="17" t="s">
        <v>11964</v>
      </c>
      <c r="N1412" s="51" t="s">
        <v>11965</v>
      </c>
      <c r="O1412" s="29" t="s">
        <v>1474</v>
      </c>
      <c r="P1412" s="29" t="s">
        <v>11966</v>
      </c>
      <c r="Q1412" s="29" t="s">
        <v>1474</v>
      </c>
      <c r="R1412" s="29" t="s">
        <v>1742</v>
      </c>
      <c r="S1412" s="28" t="s">
        <v>2311</v>
      </c>
      <c r="T1412" s="28" t="s">
        <v>1780</v>
      </c>
      <c r="U1412" s="28" t="s">
        <v>1445</v>
      </c>
      <c r="V1412" s="28" t="s">
        <v>1855</v>
      </c>
      <c r="W1412" s="28" t="s">
        <v>11967</v>
      </c>
      <c r="X1412" s="17">
        <v>1</v>
      </c>
      <c r="CJ1412" s="26" t="s">
        <v>1418</v>
      </c>
      <c r="CK1412" s="26" t="s">
        <v>1726</v>
      </c>
      <c r="CL1412" s="26" t="str">
        <f t="shared" si="85"/>
        <v>佐賀県有田町</v>
      </c>
      <c r="CM1412" s="49">
        <v>1407</v>
      </c>
      <c r="CN1412" s="17" t="str">
        <f t="shared" si="84"/>
        <v>1564</v>
      </c>
      <c r="CO1412" s="17" t="str">
        <f t="shared" si="86"/>
        <v>14071564有田町</v>
      </c>
      <c r="CP1412" s="17" t="s">
        <v>11968</v>
      </c>
      <c r="CQ1412" s="17" t="b">
        <f t="shared" si="87"/>
        <v>1</v>
      </c>
    </row>
    <row r="1413" spans="6:95">
      <c r="F1413" s="23"/>
      <c r="I1413" s="23"/>
      <c r="L1413" s="50" t="s">
        <v>11969</v>
      </c>
      <c r="M1413" s="17" t="s">
        <v>11970</v>
      </c>
      <c r="N1413" s="51" t="s">
        <v>11971</v>
      </c>
      <c r="O1413" s="29" t="s">
        <v>1474</v>
      </c>
      <c r="P1413" s="29" t="s">
        <v>11972</v>
      </c>
      <c r="Q1413" s="29" t="s">
        <v>1474</v>
      </c>
      <c r="R1413" s="29" t="s">
        <v>1802</v>
      </c>
      <c r="S1413" s="28" t="s">
        <v>1564</v>
      </c>
      <c r="T1413" s="28" t="s">
        <v>1840</v>
      </c>
      <c r="U1413" s="28" t="s">
        <v>1445</v>
      </c>
      <c r="V1413" s="28" t="s">
        <v>1855</v>
      </c>
      <c r="W1413" s="28" t="s">
        <v>11973</v>
      </c>
      <c r="X1413" s="17">
        <v>1</v>
      </c>
      <c r="CJ1413" s="26" t="s">
        <v>1418</v>
      </c>
      <c r="CK1413" s="26" t="s">
        <v>1785</v>
      </c>
      <c r="CL1413" s="26" t="str">
        <f t="shared" si="85"/>
        <v>佐賀県杵藤地区広域市町村圏組合</v>
      </c>
      <c r="CM1413" s="49">
        <v>1408</v>
      </c>
      <c r="CN1413" s="17" t="str">
        <f t="shared" si="84"/>
        <v>1565</v>
      </c>
      <c r="CO1413" s="17" t="str">
        <f t="shared" si="86"/>
        <v>14081565杵藤地区広域市町村圏組合</v>
      </c>
      <c r="CP1413" s="17" t="s">
        <v>11974</v>
      </c>
      <c r="CQ1413" s="17" t="b">
        <f t="shared" si="87"/>
        <v>1</v>
      </c>
    </row>
    <row r="1414" spans="6:95">
      <c r="F1414" s="23"/>
      <c r="I1414" s="23"/>
      <c r="L1414" s="50" t="s">
        <v>11975</v>
      </c>
      <c r="M1414" s="17" t="s">
        <v>11976</v>
      </c>
      <c r="N1414" s="51" t="s">
        <v>11977</v>
      </c>
      <c r="O1414" s="29" t="s">
        <v>1474</v>
      </c>
      <c r="P1414" s="29" t="s">
        <v>11978</v>
      </c>
      <c r="Q1414" s="29" t="s">
        <v>1474</v>
      </c>
      <c r="R1414" s="29" t="s">
        <v>1861</v>
      </c>
      <c r="S1414" s="28" t="s">
        <v>1626</v>
      </c>
      <c r="T1414" s="28" t="s">
        <v>1899</v>
      </c>
      <c r="U1414" s="28" t="s">
        <v>1445</v>
      </c>
      <c r="V1414" s="28" t="s">
        <v>1855</v>
      </c>
      <c r="W1414" s="28" t="s">
        <v>11979</v>
      </c>
      <c r="X1414" s="17">
        <v>1</v>
      </c>
      <c r="CJ1414" s="26" t="s">
        <v>1418</v>
      </c>
      <c r="CK1414" s="26" t="s">
        <v>2242</v>
      </c>
      <c r="CL1414" s="26" t="str">
        <f t="shared" si="85"/>
        <v>佐賀県鳥栖地区広域市町村圏組合</v>
      </c>
      <c r="CM1414" s="49">
        <v>1409</v>
      </c>
      <c r="CN1414" s="17" t="str">
        <f t="shared" ref="CN1414:CN1477" si="88">VLOOKUP(CL1414,$M$6:$N$1784,2,FALSE)</f>
        <v>1573</v>
      </c>
      <c r="CO1414" s="17" t="str">
        <f t="shared" si="86"/>
        <v>14091573鳥栖地区広域市町村圏組合</v>
      </c>
      <c r="CP1414" s="17" t="s">
        <v>11980</v>
      </c>
      <c r="CQ1414" s="17" t="b">
        <f t="shared" si="87"/>
        <v>1</v>
      </c>
    </row>
    <row r="1415" spans="6:95">
      <c r="F1415" s="23"/>
      <c r="I1415" s="23"/>
      <c r="L1415" s="50" t="s">
        <v>11981</v>
      </c>
      <c r="M1415" s="17" t="s">
        <v>11982</v>
      </c>
      <c r="N1415" s="51" t="s">
        <v>11983</v>
      </c>
      <c r="O1415" s="29" t="s">
        <v>1474</v>
      </c>
      <c r="P1415" s="29" t="s">
        <v>11984</v>
      </c>
      <c r="Q1415" s="29" t="s">
        <v>1474</v>
      </c>
      <c r="R1415" s="29" t="s">
        <v>4653</v>
      </c>
      <c r="S1415" s="28" t="s">
        <v>1862</v>
      </c>
      <c r="T1415" s="28" t="s">
        <v>1957</v>
      </c>
      <c r="U1415" s="28" t="s">
        <v>1445</v>
      </c>
      <c r="V1415" s="28" t="s">
        <v>1855</v>
      </c>
      <c r="W1415" s="28" t="s">
        <v>11985</v>
      </c>
      <c r="X1415" s="17">
        <v>1</v>
      </c>
      <c r="CJ1415" s="26" t="s">
        <v>1418</v>
      </c>
      <c r="CK1415" s="26" t="s">
        <v>2511</v>
      </c>
      <c r="CL1415" s="26" t="str">
        <f t="shared" si="85"/>
        <v>佐賀県佐賀中部広域連合</v>
      </c>
      <c r="CM1415" s="49">
        <v>1410</v>
      </c>
      <c r="CN1415" s="17" t="str">
        <f t="shared" si="88"/>
        <v>1578</v>
      </c>
      <c r="CO1415" s="17" t="str">
        <f t="shared" si="86"/>
        <v>14101578佐賀中部広域連合</v>
      </c>
      <c r="CP1415" s="17" t="s">
        <v>11986</v>
      </c>
      <c r="CQ1415" s="17" t="b">
        <f t="shared" si="87"/>
        <v>1</v>
      </c>
    </row>
    <row r="1416" spans="6:95">
      <c r="F1416" s="23"/>
      <c r="I1416" s="23"/>
      <c r="L1416" s="50" t="s">
        <v>11987</v>
      </c>
      <c r="M1416" s="17" t="s">
        <v>11988</v>
      </c>
      <c r="N1416" s="51" t="s">
        <v>11989</v>
      </c>
      <c r="O1416" s="29" t="s">
        <v>1474</v>
      </c>
      <c r="P1416" s="29" t="s">
        <v>11990</v>
      </c>
      <c r="Q1416" s="29" t="s">
        <v>1474</v>
      </c>
      <c r="R1416" s="29" t="s">
        <v>5017</v>
      </c>
      <c r="S1416" s="28" t="s">
        <v>1920</v>
      </c>
      <c r="T1416" s="28" t="s">
        <v>2014</v>
      </c>
      <c r="U1416" s="28" t="s">
        <v>1445</v>
      </c>
      <c r="V1416" s="28" t="s">
        <v>1855</v>
      </c>
      <c r="W1416" s="28" t="s">
        <v>11991</v>
      </c>
      <c r="X1416" s="17">
        <v>1</v>
      </c>
      <c r="CJ1416" s="26" t="s">
        <v>1419</v>
      </c>
      <c r="CK1416" s="26" t="s">
        <v>1545</v>
      </c>
      <c r="CL1416" s="26" t="str">
        <f t="shared" ref="CL1416:CL1479" si="89">CJ1416&amp;CK1416</f>
        <v>長崎県長崎市</v>
      </c>
      <c r="CM1416" s="49">
        <v>1411</v>
      </c>
      <c r="CN1416" s="17" t="str">
        <f t="shared" si="88"/>
        <v>1584</v>
      </c>
      <c r="CO1416" s="17" t="str">
        <f t="shared" ref="CO1416:CO1479" si="90">CM1416&amp;TEXT(CN1416,0)&amp;CK1416</f>
        <v>14111584長崎市</v>
      </c>
      <c r="CP1416" s="17" t="s">
        <v>11992</v>
      </c>
      <c r="CQ1416" s="17" t="b">
        <f t="shared" ref="CQ1416:CQ1479" si="91">CO1416=CP1416</f>
        <v>1</v>
      </c>
    </row>
    <row r="1417" spans="6:95">
      <c r="F1417" s="23"/>
      <c r="I1417" s="23"/>
      <c r="L1417" s="50" t="s">
        <v>11993</v>
      </c>
      <c r="M1417" s="17" t="s">
        <v>11994</v>
      </c>
      <c r="N1417" s="51" t="s">
        <v>11995</v>
      </c>
      <c r="O1417" s="29" t="s">
        <v>1474</v>
      </c>
      <c r="P1417" s="29" t="s">
        <v>11996</v>
      </c>
      <c r="Q1417" s="29" t="s">
        <v>1474</v>
      </c>
      <c r="R1417" s="29" t="s">
        <v>4679</v>
      </c>
      <c r="S1417" s="28" t="s">
        <v>1920</v>
      </c>
      <c r="T1417" s="28" t="s">
        <v>2070</v>
      </c>
      <c r="U1417" s="28" t="s">
        <v>1445</v>
      </c>
      <c r="V1417" s="28" t="s">
        <v>1855</v>
      </c>
      <c r="W1417" s="28" t="s">
        <v>11997</v>
      </c>
      <c r="X1417" s="17">
        <v>1</v>
      </c>
      <c r="CJ1417" s="26" t="s">
        <v>1419</v>
      </c>
      <c r="CK1417" s="26" t="s">
        <v>1607</v>
      </c>
      <c r="CL1417" s="26" t="str">
        <f t="shared" si="89"/>
        <v>長崎県佐世保市</v>
      </c>
      <c r="CM1417" s="49">
        <v>1412</v>
      </c>
      <c r="CN1417" s="17" t="str">
        <f t="shared" si="88"/>
        <v>1585</v>
      </c>
      <c r="CO1417" s="17" t="str">
        <f t="shared" si="90"/>
        <v>14121585佐世保市</v>
      </c>
      <c r="CP1417" s="17" t="s">
        <v>11998</v>
      </c>
      <c r="CQ1417" s="17" t="b">
        <f t="shared" si="91"/>
        <v>1</v>
      </c>
    </row>
    <row r="1418" spans="6:95">
      <c r="F1418" s="23"/>
      <c r="I1418" s="23"/>
      <c r="L1418" s="50" t="s">
        <v>11999</v>
      </c>
      <c r="M1418" s="17" t="s">
        <v>12000</v>
      </c>
      <c r="N1418" s="51" t="s">
        <v>12001</v>
      </c>
      <c r="O1418" s="29" t="s">
        <v>1474</v>
      </c>
      <c r="P1418" s="29" t="s">
        <v>12002</v>
      </c>
      <c r="Q1418" s="29" t="s">
        <v>1474</v>
      </c>
      <c r="R1418" s="29" t="s">
        <v>5197</v>
      </c>
      <c r="S1418" s="28" t="s">
        <v>1977</v>
      </c>
      <c r="T1418" s="28" t="s">
        <v>2126</v>
      </c>
      <c r="U1418" s="28" t="s">
        <v>1445</v>
      </c>
      <c r="V1418" s="28" t="s">
        <v>1855</v>
      </c>
      <c r="W1418" s="28" t="s">
        <v>12003</v>
      </c>
      <c r="X1418" s="17">
        <v>1</v>
      </c>
      <c r="CJ1418" s="26" t="s">
        <v>1419</v>
      </c>
      <c r="CK1418" s="26" t="s">
        <v>1669</v>
      </c>
      <c r="CL1418" s="26" t="str">
        <f t="shared" si="89"/>
        <v>長崎県諫早市</v>
      </c>
      <c r="CM1418" s="49">
        <v>1413</v>
      </c>
      <c r="CN1418" s="17" t="str">
        <f t="shared" si="88"/>
        <v>1586</v>
      </c>
      <c r="CO1418" s="17" t="str">
        <f t="shared" si="90"/>
        <v>14131586諫早市</v>
      </c>
      <c r="CP1418" s="17" t="s">
        <v>12004</v>
      </c>
      <c r="CQ1418" s="17" t="b">
        <f t="shared" si="91"/>
        <v>1</v>
      </c>
    </row>
    <row r="1419" spans="6:95">
      <c r="F1419" s="23"/>
      <c r="I1419" s="23"/>
      <c r="L1419" s="50" t="s">
        <v>12005</v>
      </c>
      <c r="M1419" s="17" t="s">
        <v>12006</v>
      </c>
      <c r="N1419" s="51" t="s">
        <v>12007</v>
      </c>
      <c r="O1419" s="29" t="s">
        <v>1474</v>
      </c>
      <c r="P1419" s="29" t="s">
        <v>12008</v>
      </c>
      <c r="Q1419" s="29" t="s">
        <v>1474</v>
      </c>
      <c r="R1419" s="29" t="s">
        <v>5760</v>
      </c>
      <c r="S1419" s="28" t="s">
        <v>1743</v>
      </c>
      <c r="T1419" s="28" t="s">
        <v>2182</v>
      </c>
      <c r="U1419" s="28" t="s">
        <v>1445</v>
      </c>
      <c r="V1419" s="28" t="s">
        <v>1855</v>
      </c>
      <c r="W1419" s="28" t="s">
        <v>12009</v>
      </c>
      <c r="X1419" s="17">
        <v>1</v>
      </c>
      <c r="CJ1419" s="26" t="s">
        <v>1419</v>
      </c>
      <c r="CK1419" s="26" t="s">
        <v>1727</v>
      </c>
      <c r="CL1419" s="26" t="str">
        <f t="shared" si="89"/>
        <v>長崎県大村市</v>
      </c>
      <c r="CM1419" s="49">
        <v>1414</v>
      </c>
      <c r="CN1419" s="17" t="str">
        <f t="shared" si="88"/>
        <v>1587</v>
      </c>
      <c r="CO1419" s="17" t="str">
        <f t="shared" si="90"/>
        <v>14141587大村市</v>
      </c>
      <c r="CP1419" s="17" t="s">
        <v>12010</v>
      </c>
      <c r="CQ1419" s="17" t="b">
        <f t="shared" si="91"/>
        <v>1</v>
      </c>
    </row>
    <row r="1420" spans="6:95">
      <c r="F1420" s="23"/>
      <c r="I1420" s="23"/>
      <c r="L1420" s="50" t="s">
        <v>12011</v>
      </c>
      <c r="M1420" s="17" t="s">
        <v>12012</v>
      </c>
      <c r="N1420" s="51" t="s">
        <v>12013</v>
      </c>
      <c r="O1420" s="29" t="s">
        <v>1474</v>
      </c>
      <c r="P1420" s="29" t="s">
        <v>12014</v>
      </c>
      <c r="Q1420" s="29" t="s">
        <v>1474</v>
      </c>
      <c r="R1420" s="29" t="s">
        <v>5391</v>
      </c>
      <c r="S1420" s="28" t="s">
        <v>1626</v>
      </c>
      <c r="T1420" s="28" t="s">
        <v>2237</v>
      </c>
      <c r="U1420" s="28" t="s">
        <v>1445</v>
      </c>
      <c r="V1420" s="28" t="s">
        <v>1855</v>
      </c>
      <c r="W1420" s="28" t="s">
        <v>12015</v>
      </c>
      <c r="X1420" s="17">
        <v>1</v>
      </c>
      <c r="CJ1420" s="26" t="s">
        <v>1419</v>
      </c>
      <c r="CK1420" s="26" t="s">
        <v>1786</v>
      </c>
      <c r="CL1420" s="26" t="str">
        <f t="shared" si="89"/>
        <v>長崎県平戸市</v>
      </c>
      <c r="CM1420" s="49">
        <v>1415</v>
      </c>
      <c r="CN1420" s="17" t="str">
        <f t="shared" si="88"/>
        <v>1588</v>
      </c>
      <c r="CO1420" s="17" t="str">
        <f t="shared" si="90"/>
        <v>14151588平戸市</v>
      </c>
      <c r="CP1420" s="17" t="s">
        <v>12016</v>
      </c>
      <c r="CQ1420" s="17" t="b">
        <f t="shared" si="91"/>
        <v>1</v>
      </c>
    </row>
    <row r="1421" spans="6:95">
      <c r="F1421" s="23"/>
      <c r="I1421" s="23"/>
      <c r="L1421" s="50" t="s">
        <v>12017</v>
      </c>
      <c r="M1421" s="17" t="s">
        <v>12018</v>
      </c>
      <c r="N1421" s="51" t="s">
        <v>12019</v>
      </c>
      <c r="O1421" s="29" t="s">
        <v>1474</v>
      </c>
      <c r="P1421" s="29" t="s">
        <v>12020</v>
      </c>
      <c r="Q1421" s="29" t="s">
        <v>1474</v>
      </c>
      <c r="R1421" s="29" t="s">
        <v>6536</v>
      </c>
      <c r="S1421" s="28" t="s">
        <v>1920</v>
      </c>
      <c r="T1421" s="28" t="s">
        <v>2292</v>
      </c>
      <c r="U1421" s="28" t="s">
        <v>1445</v>
      </c>
      <c r="V1421" s="28" t="s">
        <v>1855</v>
      </c>
      <c r="W1421" s="28" t="s">
        <v>12021</v>
      </c>
      <c r="X1421" s="17">
        <v>1</v>
      </c>
      <c r="CJ1421" s="26" t="s">
        <v>1419</v>
      </c>
      <c r="CK1421" s="26" t="s">
        <v>1846</v>
      </c>
      <c r="CL1421" s="26" t="str">
        <f t="shared" si="89"/>
        <v>長崎県松浦市</v>
      </c>
      <c r="CM1421" s="49">
        <v>1416</v>
      </c>
      <c r="CN1421" s="17" t="str">
        <f t="shared" si="88"/>
        <v>1589</v>
      </c>
      <c r="CO1421" s="17" t="str">
        <f t="shared" si="90"/>
        <v>14161589松浦市</v>
      </c>
      <c r="CP1421" s="17" t="s">
        <v>12022</v>
      </c>
      <c r="CQ1421" s="17" t="b">
        <f t="shared" si="91"/>
        <v>1</v>
      </c>
    </row>
    <row r="1422" spans="6:95">
      <c r="F1422" s="23"/>
      <c r="I1422" s="23"/>
      <c r="L1422" s="50" t="s">
        <v>12023</v>
      </c>
      <c r="M1422" s="17" t="s">
        <v>12024</v>
      </c>
      <c r="N1422" s="51" t="s">
        <v>12025</v>
      </c>
      <c r="O1422" s="29" t="s">
        <v>1474</v>
      </c>
      <c r="P1422" s="29" t="s">
        <v>12026</v>
      </c>
      <c r="Q1422" s="29" t="s">
        <v>1474</v>
      </c>
      <c r="R1422" s="29" t="s">
        <v>4730</v>
      </c>
      <c r="S1422" s="28" t="s">
        <v>1626</v>
      </c>
      <c r="T1422" s="28" t="s">
        <v>2347</v>
      </c>
      <c r="U1422" s="28" t="s">
        <v>1445</v>
      </c>
      <c r="V1422" s="28" t="s">
        <v>1855</v>
      </c>
      <c r="W1422" s="28" t="s">
        <v>12027</v>
      </c>
      <c r="X1422" s="17">
        <v>1</v>
      </c>
      <c r="CJ1422" s="26" t="s">
        <v>1419</v>
      </c>
      <c r="CK1422" s="26" t="s">
        <v>1905</v>
      </c>
      <c r="CL1422" s="26" t="str">
        <f t="shared" si="89"/>
        <v>長崎県対馬市</v>
      </c>
      <c r="CM1422" s="49">
        <v>1417</v>
      </c>
      <c r="CN1422" s="17" t="str">
        <f t="shared" si="88"/>
        <v>1590</v>
      </c>
      <c r="CO1422" s="17" t="str">
        <f t="shared" si="90"/>
        <v>14171590対馬市</v>
      </c>
      <c r="CP1422" s="17" t="s">
        <v>12028</v>
      </c>
      <c r="CQ1422" s="17" t="b">
        <f t="shared" si="91"/>
        <v>1</v>
      </c>
    </row>
    <row r="1423" spans="6:95">
      <c r="F1423" s="23"/>
      <c r="I1423" s="23"/>
      <c r="L1423" s="50" t="s">
        <v>12029</v>
      </c>
      <c r="M1423" s="17" t="s">
        <v>12030</v>
      </c>
      <c r="N1423" s="51" t="s">
        <v>12031</v>
      </c>
      <c r="O1423" s="29" t="s">
        <v>1474</v>
      </c>
      <c r="P1423" s="29" t="s">
        <v>12032</v>
      </c>
      <c r="Q1423" s="29" t="s">
        <v>1474</v>
      </c>
      <c r="R1423" s="29" t="s">
        <v>8801</v>
      </c>
      <c r="S1423" s="28" t="s">
        <v>1502</v>
      </c>
      <c r="T1423" s="28" t="s">
        <v>2402</v>
      </c>
      <c r="U1423" s="28" t="s">
        <v>1445</v>
      </c>
      <c r="V1423" s="28" t="s">
        <v>1855</v>
      </c>
      <c r="W1423" s="28" t="s">
        <v>12033</v>
      </c>
      <c r="X1423" s="17">
        <v>1</v>
      </c>
      <c r="CJ1423" s="26" t="s">
        <v>1419</v>
      </c>
      <c r="CK1423" s="26" t="s">
        <v>1963</v>
      </c>
      <c r="CL1423" s="26" t="str">
        <f t="shared" si="89"/>
        <v>長崎県壱岐市</v>
      </c>
      <c r="CM1423" s="49">
        <v>1418</v>
      </c>
      <c r="CN1423" s="17" t="str">
        <f t="shared" si="88"/>
        <v>1591</v>
      </c>
      <c r="CO1423" s="17" t="str">
        <f t="shared" si="90"/>
        <v>14181591壱岐市</v>
      </c>
      <c r="CP1423" s="17" t="s">
        <v>12034</v>
      </c>
      <c r="CQ1423" s="17" t="b">
        <f t="shared" si="91"/>
        <v>1</v>
      </c>
    </row>
    <row r="1424" spans="6:95">
      <c r="F1424" s="23"/>
      <c r="I1424" s="23"/>
      <c r="L1424" s="50" t="s">
        <v>12035</v>
      </c>
      <c r="M1424" s="17" t="s">
        <v>12036</v>
      </c>
      <c r="N1424" s="51" t="s">
        <v>12037</v>
      </c>
      <c r="O1424" s="29" t="s">
        <v>1474</v>
      </c>
      <c r="P1424" s="29" t="s">
        <v>12038</v>
      </c>
      <c r="Q1424" s="29" t="s">
        <v>1474</v>
      </c>
      <c r="R1424" s="29" t="s">
        <v>4507</v>
      </c>
      <c r="S1424" s="28" t="s">
        <v>1920</v>
      </c>
      <c r="T1424" s="28" t="s">
        <v>2456</v>
      </c>
      <c r="U1424" s="28" t="s">
        <v>1445</v>
      </c>
      <c r="V1424" s="28" t="s">
        <v>1855</v>
      </c>
      <c r="W1424" s="28" t="s">
        <v>12039</v>
      </c>
      <c r="X1424" s="17">
        <v>1</v>
      </c>
      <c r="CJ1424" s="26" t="s">
        <v>1419</v>
      </c>
      <c r="CK1424" s="26" t="s">
        <v>2020</v>
      </c>
      <c r="CL1424" s="26" t="str">
        <f t="shared" si="89"/>
        <v>長崎県五島市</v>
      </c>
      <c r="CM1424" s="49">
        <v>1419</v>
      </c>
      <c r="CN1424" s="17" t="str">
        <f t="shared" si="88"/>
        <v>1592</v>
      </c>
      <c r="CO1424" s="17" t="str">
        <f t="shared" si="90"/>
        <v>14191592五島市</v>
      </c>
      <c r="CP1424" s="17" t="s">
        <v>12040</v>
      </c>
      <c r="CQ1424" s="17" t="b">
        <f t="shared" si="91"/>
        <v>1</v>
      </c>
    </row>
    <row r="1425" spans="6:95">
      <c r="F1425" s="23"/>
      <c r="I1425" s="23"/>
      <c r="L1425" s="50" t="s">
        <v>12041</v>
      </c>
      <c r="M1425" s="17" t="s">
        <v>12042</v>
      </c>
      <c r="N1425" s="51" t="s">
        <v>12043</v>
      </c>
      <c r="O1425" s="29" t="s">
        <v>1474</v>
      </c>
      <c r="P1425" s="29" t="s">
        <v>12044</v>
      </c>
      <c r="Q1425" s="29" t="s">
        <v>1474</v>
      </c>
      <c r="R1425" s="29" t="s">
        <v>3512</v>
      </c>
      <c r="S1425" s="28" t="s">
        <v>1977</v>
      </c>
      <c r="T1425" s="28" t="s">
        <v>2507</v>
      </c>
      <c r="U1425" s="28" t="s">
        <v>1445</v>
      </c>
      <c r="V1425" s="28" t="s">
        <v>1855</v>
      </c>
      <c r="W1425" s="28" t="s">
        <v>12045</v>
      </c>
      <c r="X1425" s="17">
        <v>1</v>
      </c>
      <c r="CJ1425" s="26" t="s">
        <v>1419</v>
      </c>
      <c r="CK1425" s="26" t="s">
        <v>2076</v>
      </c>
      <c r="CL1425" s="26" t="str">
        <f t="shared" si="89"/>
        <v>長崎県西海市</v>
      </c>
      <c r="CM1425" s="49">
        <v>1420</v>
      </c>
      <c r="CN1425" s="17" t="str">
        <f t="shared" si="88"/>
        <v>1593</v>
      </c>
      <c r="CO1425" s="17" t="str">
        <f t="shared" si="90"/>
        <v>14201593西海市</v>
      </c>
      <c r="CP1425" s="17" t="s">
        <v>12046</v>
      </c>
      <c r="CQ1425" s="17" t="b">
        <f t="shared" si="91"/>
        <v>1</v>
      </c>
    </row>
    <row r="1426" spans="6:95">
      <c r="F1426" s="23"/>
      <c r="I1426" s="23"/>
      <c r="L1426" s="50" t="s">
        <v>12047</v>
      </c>
      <c r="M1426" s="17" t="s">
        <v>12048</v>
      </c>
      <c r="N1426" s="51" t="s">
        <v>12049</v>
      </c>
      <c r="O1426" s="29" t="s">
        <v>1474</v>
      </c>
      <c r="P1426" s="29" t="s">
        <v>12050</v>
      </c>
      <c r="Q1426" s="29" t="s">
        <v>1474</v>
      </c>
      <c r="R1426" s="29" t="s">
        <v>4515</v>
      </c>
      <c r="S1426" s="28" t="s">
        <v>1743</v>
      </c>
      <c r="T1426" s="28" t="s">
        <v>2560</v>
      </c>
      <c r="U1426" s="28" t="s">
        <v>1445</v>
      </c>
      <c r="V1426" s="28" t="s">
        <v>1855</v>
      </c>
      <c r="W1426" s="28" t="s">
        <v>12051</v>
      </c>
      <c r="X1426" s="17">
        <v>1</v>
      </c>
      <c r="CJ1426" s="26" t="s">
        <v>1419</v>
      </c>
      <c r="CK1426" s="26" t="s">
        <v>2132</v>
      </c>
      <c r="CL1426" s="26" t="str">
        <f t="shared" si="89"/>
        <v>長崎県長与町</v>
      </c>
      <c r="CM1426" s="49">
        <v>1421</v>
      </c>
      <c r="CN1426" s="17" t="str">
        <f t="shared" si="88"/>
        <v>1594</v>
      </c>
      <c r="CO1426" s="17" t="str">
        <f t="shared" si="90"/>
        <v>14211594長与町</v>
      </c>
      <c r="CP1426" s="17" t="s">
        <v>12052</v>
      </c>
      <c r="CQ1426" s="17" t="b">
        <f t="shared" si="91"/>
        <v>1</v>
      </c>
    </row>
    <row r="1427" spans="6:95">
      <c r="F1427" s="23"/>
      <c r="I1427" s="23"/>
      <c r="L1427" s="50" t="s">
        <v>12053</v>
      </c>
      <c r="M1427" s="17" t="s">
        <v>12054</v>
      </c>
      <c r="N1427" s="51" t="s">
        <v>12055</v>
      </c>
      <c r="O1427" s="29" t="s">
        <v>1474</v>
      </c>
      <c r="P1427" s="29" t="s">
        <v>12056</v>
      </c>
      <c r="Q1427" s="29" t="s">
        <v>1474</v>
      </c>
      <c r="R1427" s="29" t="s">
        <v>4523</v>
      </c>
      <c r="S1427" s="28" t="s">
        <v>1803</v>
      </c>
      <c r="T1427" s="28" t="s">
        <v>2607</v>
      </c>
      <c r="U1427" s="28" t="s">
        <v>1445</v>
      </c>
      <c r="V1427" s="28" t="s">
        <v>1855</v>
      </c>
      <c r="W1427" s="28" t="s">
        <v>12057</v>
      </c>
      <c r="X1427" s="17">
        <v>1</v>
      </c>
      <c r="CJ1427" s="26" t="s">
        <v>1419</v>
      </c>
      <c r="CK1427" s="26" t="s">
        <v>2188</v>
      </c>
      <c r="CL1427" s="26" t="str">
        <f t="shared" si="89"/>
        <v>長崎県時津町</v>
      </c>
      <c r="CM1427" s="49">
        <v>1422</v>
      </c>
      <c r="CN1427" s="17" t="str">
        <f t="shared" si="88"/>
        <v>1595</v>
      </c>
      <c r="CO1427" s="17" t="str">
        <f t="shared" si="90"/>
        <v>14221595時津町</v>
      </c>
      <c r="CP1427" s="17" t="s">
        <v>12058</v>
      </c>
      <c r="CQ1427" s="17" t="b">
        <f t="shared" si="91"/>
        <v>1</v>
      </c>
    </row>
    <row r="1428" spans="6:95">
      <c r="F1428" s="23"/>
      <c r="I1428" s="23"/>
      <c r="L1428" s="50" t="s">
        <v>12059</v>
      </c>
      <c r="M1428" s="17" t="s">
        <v>12060</v>
      </c>
      <c r="N1428" s="51" t="s">
        <v>12061</v>
      </c>
      <c r="O1428" s="29" t="s">
        <v>1474</v>
      </c>
      <c r="P1428" s="29" t="s">
        <v>12062</v>
      </c>
      <c r="Q1428" s="29" t="s">
        <v>1474</v>
      </c>
      <c r="R1428" s="29" t="s">
        <v>4531</v>
      </c>
      <c r="S1428" s="28" t="s">
        <v>1626</v>
      </c>
      <c r="T1428" s="28" t="s">
        <v>2653</v>
      </c>
      <c r="U1428" s="28" t="s">
        <v>1445</v>
      </c>
      <c r="V1428" s="28" t="s">
        <v>1855</v>
      </c>
      <c r="W1428" s="28" t="s">
        <v>12063</v>
      </c>
      <c r="X1428" s="17">
        <v>1</v>
      </c>
      <c r="CJ1428" s="26" t="s">
        <v>1419</v>
      </c>
      <c r="CK1428" s="26" t="s">
        <v>2243</v>
      </c>
      <c r="CL1428" s="26" t="str">
        <f t="shared" si="89"/>
        <v>長崎県東彼杵町</v>
      </c>
      <c r="CM1428" s="49">
        <v>1423</v>
      </c>
      <c r="CN1428" s="17" t="str">
        <f t="shared" si="88"/>
        <v>1596</v>
      </c>
      <c r="CO1428" s="17" t="str">
        <f t="shared" si="90"/>
        <v>14231596東彼杵町</v>
      </c>
      <c r="CP1428" s="17" t="s">
        <v>12064</v>
      </c>
      <c r="CQ1428" s="17" t="b">
        <f t="shared" si="91"/>
        <v>1</v>
      </c>
    </row>
    <row r="1429" spans="6:95">
      <c r="F1429" s="23"/>
      <c r="I1429" s="23"/>
      <c r="L1429" s="50" t="s">
        <v>12065</v>
      </c>
      <c r="M1429" s="17" t="s">
        <v>12066</v>
      </c>
      <c r="N1429" s="51" t="s">
        <v>12067</v>
      </c>
      <c r="O1429" s="29" t="s">
        <v>1474</v>
      </c>
      <c r="P1429" s="29" t="s">
        <v>12068</v>
      </c>
      <c r="Q1429" s="29" t="s">
        <v>1474</v>
      </c>
      <c r="R1429" s="29" t="s">
        <v>3750</v>
      </c>
      <c r="S1429" s="28" t="s">
        <v>1502</v>
      </c>
      <c r="T1429" s="28" t="s">
        <v>2699</v>
      </c>
      <c r="U1429" s="28" t="s">
        <v>1445</v>
      </c>
      <c r="V1429" s="28" t="s">
        <v>1855</v>
      </c>
      <c r="W1429" s="28" t="s">
        <v>12069</v>
      </c>
      <c r="X1429" s="17">
        <v>1</v>
      </c>
      <c r="CJ1429" s="26" t="s">
        <v>1419</v>
      </c>
      <c r="CK1429" s="26" t="s">
        <v>2298</v>
      </c>
      <c r="CL1429" s="26" t="str">
        <f t="shared" si="89"/>
        <v>長崎県川棚町</v>
      </c>
      <c r="CM1429" s="49">
        <v>1424</v>
      </c>
      <c r="CN1429" s="17" t="str">
        <f t="shared" si="88"/>
        <v>1597</v>
      </c>
      <c r="CO1429" s="17" t="str">
        <f t="shared" si="90"/>
        <v>14241597川棚町</v>
      </c>
      <c r="CP1429" s="17" t="s">
        <v>12070</v>
      </c>
      <c r="CQ1429" s="17" t="b">
        <f t="shared" si="91"/>
        <v>1</v>
      </c>
    </row>
    <row r="1430" spans="6:95">
      <c r="F1430" s="23"/>
      <c r="I1430" s="23"/>
      <c r="L1430" s="50" t="s">
        <v>12071</v>
      </c>
      <c r="M1430" s="17" t="s">
        <v>12072</v>
      </c>
      <c r="N1430" s="51" t="s">
        <v>12073</v>
      </c>
      <c r="O1430" s="29" t="s">
        <v>1474</v>
      </c>
      <c r="P1430" s="29" t="s">
        <v>12074</v>
      </c>
      <c r="Q1430" s="29" t="s">
        <v>1474</v>
      </c>
      <c r="R1430" s="29" t="s">
        <v>12075</v>
      </c>
      <c r="S1430" s="28" t="s">
        <v>1920</v>
      </c>
      <c r="T1430" s="28" t="s">
        <v>2745</v>
      </c>
      <c r="U1430" s="28" t="s">
        <v>1445</v>
      </c>
      <c r="V1430" s="28" t="s">
        <v>1855</v>
      </c>
      <c r="W1430" s="28" t="s">
        <v>12076</v>
      </c>
      <c r="X1430" s="17">
        <v>1</v>
      </c>
      <c r="CJ1430" s="26" t="s">
        <v>1419</v>
      </c>
      <c r="CK1430" s="26" t="s">
        <v>2353</v>
      </c>
      <c r="CL1430" s="26" t="str">
        <f t="shared" si="89"/>
        <v>長崎県波佐見町</v>
      </c>
      <c r="CM1430" s="49">
        <v>1425</v>
      </c>
      <c r="CN1430" s="17" t="str">
        <f t="shared" si="88"/>
        <v>1598</v>
      </c>
      <c r="CO1430" s="17" t="str">
        <f t="shared" si="90"/>
        <v>14251598波佐見町</v>
      </c>
      <c r="CP1430" s="17" t="s">
        <v>12077</v>
      </c>
      <c r="CQ1430" s="17" t="b">
        <f t="shared" si="91"/>
        <v>1</v>
      </c>
    </row>
    <row r="1431" spans="6:95">
      <c r="F1431" s="23"/>
      <c r="I1431" s="23"/>
      <c r="L1431" s="50" t="s">
        <v>12078</v>
      </c>
      <c r="M1431" s="17" t="s">
        <v>12079</v>
      </c>
      <c r="N1431" s="51" t="s">
        <v>12080</v>
      </c>
      <c r="O1431" s="29" t="s">
        <v>1474</v>
      </c>
      <c r="P1431" s="29" t="s">
        <v>12081</v>
      </c>
      <c r="Q1431" s="29" t="s">
        <v>1474</v>
      </c>
      <c r="R1431" s="29" t="s">
        <v>1919</v>
      </c>
      <c r="S1431" s="28" t="s">
        <v>1502</v>
      </c>
      <c r="T1431" s="28" t="s">
        <v>2787</v>
      </c>
      <c r="U1431" s="28" t="s">
        <v>1445</v>
      </c>
      <c r="V1431" s="28" t="s">
        <v>1855</v>
      </c>
      <c r="W1431" s="28" t="s">
        <v>12082</v>
      </c>
      <c r="X1431" s="17">
        <v>2</v>
      </c>
      <c r="CJ1431" s="26" t="s">
        <v>1419</v>
      </c>
      <c r="CK1431" s="26" t="s">
        <v>2408</v>
      </c>
      <c r="CL1431" s="26" t="str">
        <f t="shared" si="89"/>
        <v>長崎県小値賀町</v>
      </c>
      <c r="CM1431" s="49">
        <v>1426</v>
      </c>
      <c r="CN1431" s="17" t="str">
        <f t="shared" si="88"/>
        <v>1599</v>
      </c>
      <c r="CO1431" s="17" t="str">
        <f t="shared" si="90"/>
        <v>14261599小値賀町</v>
      </c>
      <c r="CP1431" s="17" t="s">
        <v>12083</v>
      </c>
      <c r="CQ1431" s="17" t="b">
        <f t="shared" si="91"/>
        <v>1</v>
      </c>
    </row>
    <row r="1432" spans="6:95">
      <c r="F1432" s="23"/>
      <c r="I1432" s="23"/>
      <c r="L1432" s="50" t="s">
        <v>12084</v>
      </c>
      <c r="M1432" s="17" t="s">
        <v>12085</v>
      </c>
      <c r="N1432" s="51" t="s">
        <v>12086</v>
      </c>
      <c r="O1432" s="29" t="s">
        <v>1474</v>
      </c>
      <c r="P1432" s="29" t="s">
        <v>12087</v>
      </c>
      <c r="Q1432" s="29" t="s">
        <v>1474</v>
      </c>
      <c r="R1432" s="29" t="s">
        <v>12088</v>
      </c>
      <c r="S1432" s="28" t="s">
        <v>2311</v>
      </c>
      <c r="T1432" s="28" t="s">
        <v>2829</v>
      </c>
      <c r="U1432" s="28" t="s">
        <v>1445</v>
      </c>
      <c r="V1432" s="28" t="s">
        <v>1855</v>
      </c>
      <c r="W1432" s="28" t="s">
        <v>12089</v>
      </c>
      <c r="X1432" s="17">
        <v>3</v>
      </c>
      <c r="CJ1432" s="26" t="s">
        <v>1419</v>
      </c>
      <c r="CK1432" s="26" t="s">
        <v>2462</v>
      </c>
      <c r="CL1432" s="26" t="str">
        <f t="shared" si="89"/>
        <v>長崎県佐々町</v>
      </c>
      <c r="CM1432" s="49">
        <v>1427</v>
      </c>
      <c r="CN1432" s="17" t="str">
        <f t="shared" si="88"/>
        <v>1600</v>
      </c>
      <c r="CO1432" s="17" t="str">
        <f t="shared" si="90"/>
        <v>14271600佐々町</v>
      </c>
      <c r="CP1432" s="17" t="s">
        <v>12090</v>
      </c>
      <c r="CQ1432" s="17" t="b">
        <f t="shared" si="91"/>
        <v>1</v>
      </c>
    </row>
    <row r="1433" spans="6:95">
      <c r="F1433" s="23"/>
      <c r="I1433" s="23"/>
      <c r="L1433" s="50" t="s">
        <v>12091</v>
      </c>
      <c r="M1433" s="17" t="s">
        <v>12092</v>
      </c>
      <c r="N1433" s="51" t="s">
        <v>12093</v>
      </c>
      <c r="O1433" s="29" t="s">
        <v>1475</v>
      </c>
      <c r="P1433" s="29" t="s">
        <v>12094</v>
      </c>
      <c r="Q1433" s="29" t="s">
        <v>1475</v>
      </c>
      <c r="R1433" s="29" t="s">
        <v>4593</v>
      </c>
      <c r="S1433" s="28" t="s">
        <v>1564</v>
      </c>
      <c r="T1433" s="28" t="s">
        <v>1540</v>
      </c>
      <c r="U1433" s="28" t="s">
        <v>1445</v>
      </c>
      <c r="V1433" s="28" t="s">
        <v>1855</v>
      </c>
      <c r="W1433" s="28" t="s">
        <v>12095</v>
      </c>
      <c r="X1433" s="17">
        <v>1</v>
      </c>
      <c r="CJ1433" s="26" t="s">
        <v>1419</v>
      </c>
      <c r="CK1433" s="26" t="s">
        <v>2512</v>
      </c>
      <c r="CL1433" s="26" t="str">
        <f t="shared" si="89"/>
        <v>長崎県新上五島町</v>
      </c>
      <c r="CM1433" s="49">
        <v>1428</v>
      </c>
      <c r="CN1433" s="17" t="str">
        <f t="shared" si="88"/>
        <v>1601</v>
      </c>
      <c r="CO1433" s="17" t="str">
        <f t="shared" si="90"/>
        <v>14281601新上五島町</v>
      </c>
      <c r="CP1433" s="17" t="s">
        <v>12096</v>
      </c>
      <c r="CQ1433" s="17" t="b">
        <f t="shared" si="91"/>
        <v>1</v>
      </c>
    </row>
    <row r="1434" spans="6:95">
      <c r="F1434" s="23"/>
      <c r="I1434" s="23"/>
      <c r="L1434" s="50" t="s">
        <v>12097</v>
      </c>
      <c r="M1434" s="17" t="s">
        <v>12098</v>
      </c>
      <c r="N1434" s="51" t="s">
        <v>12099</v>
      </c>
      <c r="O1434" s="29" t="s">
        <v>1475</v>
      </c>
      <c r="P1434" s="29" t="s">
        <v>12100</v>
      </c>
      <c r="Q1434" s="29" t="s">
        <v>1475</v>
      </c>
      <c r="R1434" s="29" t="s">
        <v>1563</v>
      </c>
      <c r="S1434" s="28" t="s">
        <v>1626</v>
      </c>
      <c r="T1434" s="28" t="s">
        <v>1602</v>
      </c>
      <c r="U1434" s="28" t="s">
        <v>1445</v>
      </c>
      <c r="V1434" s="28" t="s">
        <v>1855</v>
      </c>
      <c r="W1434" s="28" t="s">
        <v>12101</v>
      </c>
      <c r="X1434" s="17">
        <v>1</v>
      </c>
      <c r="CJ1434" s="26" t="s">
        <v>1419</v>
      </c>
      <c r="CK1434" s="26" t="s">
        <v>2565</v>
      </c>
      <c r="CL1434" s="26" t="str">
        <f t="shared" si="89"/>
        <v>長崎県島原地域広域市町村圏組合</v>
      </c>
      <c r="CM1434" s="49">
        <v>1429</v>
      </c>
      <c r="CN1434" s="17" t="str">
        <f t="shared" si="88"/>
        <v>1602</v>
      </c>
      <c r="CO1434" s="17" t="str">
        <f t="shared" si="90"/>
        <v>14291602島原地域広域市町村圏組合</v>
      </c>
      <c r="CP1434" s="17" t="s">
        <v>12102</v>
      </c>
      <c r="CQ1434" s="17" t="b">
        <f t="shared" si="91"/>
        <v>1</v>
      </c>
    </row>
    <row r="1435" spans="6:95">
      <c r="F1435" s="23"/>
      <c r="I1435" s="23"/>
      <c r="L1435" s="50" t="s">
        <v>12103</v>
      </c>
      <c r="M1435" s="17" t="s">
        <v>12104</v>
      </c>
      <c r="N1435" s="51" t="s">
        <v>12105</v>
      </c>
      <c r="O1435" s="29" t="s">
        <v>1475</v>
      </c>
      <c r="P1435" s="29" t="s">
        <v>12106</v>
      </c>
      <c r="Q1435" s="29" t="s">
        <v>1475</v>
      </c>
      <c r="R1435" s="29" t="s">
        <v>1625</v>
      </c>
      <c r="S1435" s="28" t="s">
        <v>1502</v>
      </c>
      <c r="T1435" s="28" t="s">
        <v>1664</v>
      </c>
      <c r="U1435" s="28" t="s">
        <v>1445</v>
      </c>
      <c r="V1435" s="28" t="s">
        <v>1855</v>
      </c>
      <c r="W1435" s="28" t="s">
        <v>12107</v>
      </c>
      <c r="X1435" s="17">
        <v>1</v>
      </c>
      <c r="CJ1435" s="26" t="s">
        <v>1420</v>
      </c>
      <c r="CK1435" s="26" t="s">
        <v>1546</v>
      </c>
      <c r="CL1435" s="26" t="str">
        <f t="shared" si="89"/>
        <v>熊本県熊本市</v>
      </c>
      <c r="CM1435" s="49">
        <v>1430</v>
      </c>
      <c r="CN1435" s="17" t="str">
        <f t="shared" si="88"/>
        <v>1606</v>
      </c>
      <c r="CO1435" s="17" t="str">
        <f t="shared" si="90"/>
        <v>14301606熊本市</v>
      </c>
      <c r="CP1435" s="17" t="s">
        <v>12108</v>
      </c>
      <c r="CQ1435" s="17" t="b">
        <f t="shared" si="91"/>
        <v>1</v>
      </c>
    </row>
    <row r="1436" spans="6:95">
      <c r="F1436" s="23"/>
      <c r="I1436" s="23"/>
      <c r="L1436" s="50" t="s">
        <v>12109</v>
      </c>
      <c r="M1436" s="17" t="s">
        <v>12110</v>
      </c>
      <c r="N1436" s="51" t="s">
        <v>12111</v>
      </c>
      <c r="O1436" s="29" t="s">
        <v>1475</v>
      </c>
      <c r="P1436" s="29" t="s">
        <v>12112</v>
      </c>
      <c r="Q1436" s="29" t="s">
        <v>1475</v>
      </c>
      <c r="R1436" s="29" t="s">
        <v>1684</v>
      </c>
      <c r="S1436" s="28" t="s">
        <v>2525</v>
      </c>
      <c r="T1436" s="28" t="s">
        <v>1722</v>
      </c>
      <c r="U1436" s="28" t="s">
        <v>1445</v>
      </c>
      <c r="V1436" s="28" t="s">
        <v>1855</v>
      </c>
      <c r="W1436" s="28" t="s">
        <v>12113</v>
      </c>
      <c r="X1436" s="17">
        <v>1</v>
      </c>
      <c r="CJ1436" s="26" t="s">
        <v>1420</v>
      </c>
      <c r="CK1436" s="26" t="s">
        <v>1608</v>
      </c>
      <c r="CL1436" s="26" t="str">
        <f t="shared" si="89"/>
        <v>熊本県八代市</v>
      </c>
      <c r="CM1436" s="49">
        <v>1431</v>
      </c>
      <c r="CN1436" s="17" t="str">
        <f t="shared" si="88"/>
        <v>1607</v>
      </c>
      <c r="CO1436" s="17" t="str">
        <f t="shared" si="90"/>
        <v>14311607八代市</v>
      </c>
      <c r="CP1436" s="17" t="s">
        <v>12114</v>
      </c>
      <c r="CQ1436" s="17" t="b">
        <f t="shared" si="91"/>
        <v>1</v>
      </c>
    </row>
    <row r="1437" spans="6:95">
      <c r="F1437" s="23"/>
      <c r="I1437" s="23"/>
      <c r="L1437" s="50" t="s">
        <v>12115</v>
      </c>
      <c r="M1437" s="17" t="s">
        <v>12116</v>
      </c>
      <c r="N1437" s="51" t="s">
        <v>12117</v>
      </c>
      <c r="O1437" s="29" t="s">
        <v>1475</v>
      </c>
      <c r="P1437" s="29" t="s">
        <v>12118</v>
      </c>
      <c r="Q1437" s="29" t="s">
        <v>1475</v>
      </c>
      <c r="R1437" s="29" t="s">
        <v>1742</v>
      </c>
      <c r="S1437" s="28" t="s">
        <v>1803</v>
      </c>
      <c r="T1437" s="28" t="s">
        <v>1781</v>
      </c>
      <c r="U1437" s="28" t="s">
        <v>1445</v>
      </c>
      <c r="V1437" s="28" t="s">
        <v>1855</v>
      </c>
      <c r="W1437" s="28" t="s">
        <v>12119</v>
      </c>
      <c r="X1437" s="17">
        <v>1</v>
      </c>
      <c r="CJ1437" s="26" t="s">
        <v>1420</v>
      </c>
      <c r="CK1437" s="26" t="s">
        <v>1670</v>
      </c>
      <c r="CL1437" s="26" t="str">
        <f t="shared" si="89"/>
        <v>熊本県人吉市</v>
      </c>
      <c r="CM1437" s="49">
        <v>1432</v>
      </c>
      <c r="CN1437" s="17" t="str">
        <f t="shared" si="88"/>
        <v>1608</v>
      </c>
      <c r="CO1437" s="17" t="str">
        <f t="shared" si="90"/>
        <v>14321608人吉市</v>
      </c>
      <c r="CP1437" s="17" t="s">
        <v>12120</v>
      </c>
      <c r="CQ1437" s="17" t="b">
        <f t="shared" si="91"/>
        <v>1</v>
      </c>
    </row>
    <row r="1438" spans="6:95">
      <c r="F1438" s="23"/>
      <c r="I1438" s="23"/>
      <c r="L1438" s="50" t="s">
        <v>12121</v>
      </c>
      <c r="M1438" s="17" t="s">
        <v>12122</v>
      </c>
      <c r="N1438" s="51" t="s">
        <v>12123</v>
      </c>
      <c r="O1438" s="29" t="s">
        <v>1475</v>
      </c>
      <c r="P1438" s="29" t="s">
        <v>12124</v>
      </c>
      <c r="Q1438" s="29" t="s">
        <v>1475</v>
      </c>
      <c r="R1438" s="29" t="s">
        <v>1802</v>
      </c>
      <c r="S1438" s="28" t="s">
        <v>1862</v>
      </c>
      <c r="T1438" s="28" t="s">
        <v>1841</v>
      </c>
      <c r="U1438" s="28" t="s">
        <v>1445</v>
      </c>
      <c r="V1438" s="28" t="s">
        <v>1855</v>
      </c>
      <c r="W1438" s="28" t="s">
        <v>12125</v>
      </c>
      <c r="X1438" s="17">
        <v>1</v>
      </c>
      <c r="CJ1438" s="26" t="s">
        <v>1420</v>
      </c>
      <c r="CK1438" s="26" t="s">
        <v>1728</v>
      </c>
      <c r="CL1438" s="26" t="str">
        <f t="shared" si="89"/>
        <v>熊本県荒尾市</v>
      </c>
      <c r="CM1438" s="49">
        <v>1433</v>
      </c>
      <c r="CN1438" s="17" t="str">
        <f t="shared" si="88"/>
        <v>1609</v>
      </c>
      <c r="CO1438" s="17" t="str">
        <f t="shared" si="90"/>
        <v>14331609荒尾市</v>
      </c>
      <c r="CP1438" s="17" t="s">
        <v>12126</v>
      </c>
      <c r="CQ1438" s="17" t="b">
        <f t="shared" si="91"/>
        <v>1</v>
      </c>
    </row>
    <row r="1439" spans="6:95">
      <c r="F1439" s="23"/>
      <c r="I1439" s="23"/>
      <c r="L1439" s="50" t="s">
        <v>12127</v>
      </c>
      <c r="M1439" s="17" t="s">
        <v>12128</v>
      </c>
      <c r="N1439" s="51" t="s">
        <v>12129</v>
      </c>
      <c r="O1439" s="29" t="s">
        <v>1475</v>
      </c>
      <c r="P1439" s="29" t="s">
        <v>12130</v>
      </c>
      <c r="Q1439" s="29" t="s">
        <v>1475</v>
      </c>
      <c r="R1439" s="29" t="s">
        <v>1861</v>
      </c>
      <c r="S1439" s="28" t="s">
        <v>1920</v>
      </c>
      <c r="T1439" s="28" t="s">
        <v>1900</v>
      </c>
      <c r="U1439" s="28" t="s">
        <v>1445</v>
      </c>
      <c r="V1439" s="28" t="s">
        <v>1855</v>
      </c>
      <c r="W1439" s="28" t="s">
        <v>12131</v>
      </c>
      <c r="X1439" s="17">
        <v>1</v>
      </c>
      <c r="CJ1439" s="26" t="s">
        <v>1420</v>
      </c>
      <c r="CK1439" s="26" t="s">
        <v>1787</v>
      </c>
      <c r="CL1439" s="26" t="str">
        <f t="shared" si="89"/>
        <v>熊本県水俣市</v>
      </c>
      <c r="CM1439" s="49">
        <v>1434</v>
      </c>
      <c r="CN1439" s="17" t="str">
        <f t="shared" si="88"/>
        <v>1610</v>
      </c>
      <c r="CO1439" s="17" t="str">
        <f t="shared" si="90"/>
        <v>14341610水俣市</v>
      </c>
      <c r="CP1439" s="17" t="s">
        <v>12132</v>
      </c>
      <c r="CQ1439" s="17" t="b">
        <f t="shared" si="91"/>
        <v>1</v>
      </c>
    </row>
    <row r="1440" spans="6:95">
      <c r="F1440" s="23"/>
      <c r="I1440" s="23"/>
      <c r="L1440" s="50" t="s">
        <v>12133</v>
      </c>
      <c r="M1440" s="17" t="s">
        <v>12134</v>
      </c>
      <c r="N1440" s="51" t="s">
        <v>12135</v>
      </c>
      <c r="O1440" s="29" t="s">
        <v>1475</v>
      </c>
      <c r="P1440" s="29" t="s">
        <v>12136</v>
      </c>
      <c r="Q1440" s="29" t="s">
        <v>1475</v>
      </c>
      <c r="R1440" s="29" t="s">
        <v>1919</v>
      </c>
      <c r="S1440" s="28" t="s">
        <v>1977</v>
      </c>
      <c r="T1440" s="28" t="s">
        <v>1958</v>
      </c>
      <c r="U1440" s="28" t="s">
        <v>1445</v>
      </c>
      <c r="V1440" s="28" t="s">
        <v>1855</v>
      </c>
      <c r="W1440" s="28" t="s">
        <v>12137</v>
      </c>
      <c r="X1440" s="17">
        <v>1</v>
      </c>
      <c r="CJ1440" s="26" t="s">
        <v>1420</v>
      </c>
      <c r="CK1440" s="26" t="s">
        <v>1847</v>
      </c>
      <c r="CL1440" s="26" t="str">
        <f t="shared" si="89"/>
        <v>熊本県玉名市</v>
      </c>
      <c r="CM1440" s="49">
        <v>1435</v>
      </c>
      <c r="CN1440" s="17" t="str">
        <f t="shared" si="88"/>
        <v>1611</v>
      </c>
      <c r="CO1440" s="17" t="str">
        <f t="shared" si="90"/>
        <v>14351611玉名市</v>
      </c>
      <c r="CP1440" s="17" t="s">
        <v>12138</v>
      </c>
      <c r="CQ1440" s="17" t="b">
        <f t="shared" si="91"/>
        <v>1</v>
      </c>
    </row>
    <row r="1441" spans="6:95">
      <c r="F1441" s="23"/>
      <c r="I1441" s="23"/>
      <c r="L1441" s="50" t="s">
        <v>12139</v>
      </c>
      <c r="M1441" s="17" t="s">
        <v>12140</v>
      </c>
      <c r="N1441" s="51" t="s">
        <v>12141</v>
      </c>
      <c r="O1441" s="29" t="s">
        <v>1475</v>
      </c>
      <c r="P1441" s="29" t="s">
        <v>12142</v>
      </c>
      <c r="Q1441" s="29" t="s">
        <v>1475</v>
      </c>
      <c r="R1441" s="29" t="s">
        <v>4918</v>
      </c>
      <c r="S1441" s="28" t="s">
        <v>2525</v>
      </c>
      <c r="T1441" s="28" t="s">
        <v>2015</v>
      </c>
      <c r="U1441" s="28" t="s">
        <v>1445</v>
      </c>
      <c r="V1441" s="28" t="s">
        <v>1855</v>
      </c>
      <c r="W1441" s="28" t="s">
        <v>12143</v>
      </c>
      <c r="X1441" s="17">
        <v>1</v>
      </c>
      <c r="CJ1441" s="26" t="s">
        <v>1420</v>
      </c>
      <c r="CK1441" s="26" t="s">
        <v>1906</v>
      </c>
      <c r="CL1441" s="26" t="str">
        <f t="shared" si="89"/>
        <v>熊本県山鹿市</v>
      </c>
      <c r="CM1441" s="49">
        <v>1436</v>
      </c>
      <c r="CN1441" s="17" t="str">
        <f t="shared" si="88"/>
        <v>1612</v>
      </c>
      <c r="CO1441" s="17" t="str">
        <f t="shared" si="90"/>
        <v>14361612山鹿市</v>
      </c>
      <c r="CP1441" s="17" t="s">
        <v>12144</v>
      </c>
      <c r="CQ1441" s="17" t="b">
        <f t="shared" si="91"/>
        <v>1</v>
      </c>
    </row>
    <row r="1442" spans="6:95">
      <c r="F1442" s="23"/>
      <c r="I1442" s="23"/>
      <c r="L1442" s="50" t="s">
        <v>12145</v>
      </c>
      <c r="M1442" s="17" t="s">
        <v>12146</v>
      </c>
      <c r="N1442" s="51" t="s">
        <v>12147</v>
      </c>
      <c r="O1442" s="29" t="s">
        <v>1475</v>
      </c>
      <c r="P1442" s="29" t="s">
        <v>12148</v>
      </c>
      <c r="Q1442" s="29" t="s">
        <v>1475</v>
      </c>
      <c r="R1442" s="29" t="s">
        <v>5190</v>
      </c>
      <c r="S1442" s="28" t="s">
        <v>1564</v>
      </c>
      <c r="T1442" s="28" t="s">
        <v>2071</v>
      </c>
      <c r="U1442" s="28" t="s">
        <v>1445</v>
      </c>
      <c r="V1442" s="28" t="s">
        <v>1855</v>
      </c>
      <c r="W1442" s="28" t="s">
        <v>12149</v>
      </c>
      <c r="X1442" s="17">
        <v>1</v>
      </c>
      <c r="CJ1442" s="26" t="s">
        <v>1420</v>
      </c>
      <c r="CK1442" s="26" t="s">
        <v>1964</v>
      </c>
      <c r="CL1442" s="26" t="str">
        <f t="shared" si="89"/>
        <v>熊本県菊池市</v>
      </c>
      <c r="CM1442" s="49">
        <v>1437</v>
      </c>
      <c r="CN1442" s="17" t="str">
        <f t="shared" si="88"/>
        <v>1613</v>
      </c>
      <c r="CO1442" s="17" t="str">
        <f t="shared" si="90"/>
        <v>14371613菊池市</v>
      </c>
      <c r="CP1442" s="17" t="s">
        <v>12150</v>
      </c>
      <c r="CQ1442" s="17" t="b">
        <f t="shared" si="91"/>
        <v>1</v>
      </c>
    </row>
    <row r="1443" spans="6:95">
      <c r="F1443" s="23"/>
      <c r="I1443" s="23"/>
      <c r="L1443" s="50" t="s">
        <v>12151</v>
      </c>
      <c r="M1443" s="17" t="s">
        <v>12152</v>
      </c>
      <c r="N1443" s="51" t="s">
        <v>12153</v>
      </c>
      <c r="O1443" s="29" t="s">
        <v>1475</v>
      </c>
      <c r="P1443" s="29" t="s">
        <v>12154</v>
      </c>
      <c r="Q1443" s="29" t="s">
        <v>1475</v>
      </c>
      <c r="R1443" s="29" t="s">
        <v>5197</v>
      </c>
      <c r="S1443" s="28" t="s">
        <v>2525</v>
      </c>
      <c r="T1443" s="28" t="s">
        <v>2127</v>
      </c>
      <c r="U1443" s="28" t="s">
        <v>1445</v>
      </c>
      <c r="V1443" s="28" t="s">
        <v>1855</v>
      </c>
      <c r="W1443" s="28" t="s">
        <v>12155</v>
      </c>
      <c r="X1443" s="17">
        <v>1</v>
      </c>
      <c r="CJ1443" s="26" t="s">
        <v>1420</v>
      </c>
      <c r="CK1443" s="26" t="s">
        <v>2021</v>
      </c>
      <c r="CL1443" s="26" t="str">
        <f t="shared" si="89"/>
        <v>熊本県宇土市</v>
      </c>
      <c r="CM1443" s="49">
        <v>1438</v>
      </c>
      <c r="CN1443" s="17" t="str">
        <f t="shared" si="88"/>
        <v>1614</v>
      </c>
      <c r="CO1443" s="17" t="str">
        <f t="shared" si="90"/>
        <v>14381614宇土市</v>
      </c>
      <c r="CP1443" s="17" t="s">
        <v>12156</v>
      </c>
      <c r="CQ1443" s="17" t="b">
        <f t="shared" si="91"/>
        <v>1</v>
      </c>
    </row>
    <row r="1444" spans="6:95">
      <c r="F1444" s="23"/>
      <c r="I1444" s="23"/>
      <c r="L1444" s="50" t="s">
        <v>12157</v>
      </c>
      <c r="M1444" s="17" t="s">
        <v>12158</v>
      </c>
      <c r="N1444" s="51" t="s">
        <v>12159</v>
      </c>
      <c r="O1444" s="29" t="s">
        <v>1475</v>
      </c>
      <c r="P1444" s="29" t="s">
        <v>12160</v>
      </c>
      <c r="Q1444" s="29" t="s">
        <v>1475</v>
      </c>
      <c r="R1444" s="29" t="s">
        <v>3441</v>
      </c>
      <c r="S1444" s="28" t="s">
        <v>1502</v>
      </c>
      <c r="T1444" s="28" t="s">
        <v>2183</v>
      </c>
      <c r="U1444" s="28" t="s">
        <v>1445</v>
      </c>
      <c r="V1444" s="28" t="s">
        <v>1855</v>
      </c>
      <c r="W1444" s="28" t="s">
        <v>12161</v>
      </c>
      <c r="X1444" s="17">
        <v>1</v>
      </c>
      <c r="CJ1444" s="26" t="s">
        <v>1420</v>
      </c>
      <c r="CK1444" s="26" t="s">
        <v>2077</v>
      </c>
      <c r="CL1444" s="26" t="str">
        <f t="shared" si="89"/>
        <v>熊本県上天草市</v>
      </c>
      <c r="CM1444" s="49">
        <v>1439</v>
      </c>
      <c r="CN1444" s="17" t="str">
        <f t="shared" si="88"/>
        <v>1615</v>
      </c>
      <c r="CO1444" s="17" t="str">
        <f t="shared" si="90"/>
        <v>14391615上天草市</v>
      </c>
      <c r="CP1444" s="17" t="s">
        <v>12162</v>
      </c>
      <c r="CQ1444" s="17" t="b">
        <f t="shared" si="91"/>
        <v>1</v>
      </c>
    </row>
    <row r="1445" spans="6:95">
      <c r="F1445" s="23"/>
      <c r="I1445" s="23"/>
      <c r="L1445" s="50" t="s">
        <v>12163</v>
      </c>
      <c r="M1445" s="17" t="s">
        <v>12164</v>
      </c>
      <c r="N1445" s="51" t="s">
        <v>12165</v>
      </c>
      <c r="O1445" s="29" t="s">
        <v>1475</v>
      </c>
      <c r="P1445" s="29" t="s">
        <v>12166</v>
      </c>
      <c r="Q1445" s="29" t="s">
        <v>1475</v>
      </c>
      <c r="R1445" s="29" t="s">
        <v>6415</v>
      </c>
      <c r="S1445" s="28" t="s">
        <v>1862</v>
      </c>
      <c r="T1445" s="28" t="s">
        <v>2238</v>
      </c>
      <c r="U1445" s="28" t="s">
        <v>1445</v>
      </c>
      <c r="V1445" s="28" t="s">
        <v>1855</v>
      </c>
      <c r="W1445" s="28" t="s">
        <v>12167</v>
      </c>
      <c r="X1445" s="17">
        <v>1</v>
      </c>
      <c r="CJ1445" s="26" t="s">
        <v>1420</v>
      </c>
      <c r="CK1445" s="26" t="s">
        <v>2133</v>
      </c>
      <c r="CL1445" s="26" t="str">
        <f t="shared" si="89"/>
        <v>熊本県宇城市</v>
      </c>
      <c r="CM1445" s="49">
        <v>1440</v>
      </c>
      <c r="CN1445" s="17" t="str">
        <f t="shared" si="88"/>
        <v>1616</v>
      </c>
      <c r="CO1445" s="17" t="str">
        <f t="shared" si="90"/>
        <v>14401616宇城市</v>
      </c>
      <c r="CP1445" s="17" t="s">
        <v>12168</v>
      </c>
      <c r="CQ1445" s="17" t="b">
        <f t="shared" si="91"/>
        <v>1</v>
      </c>
    </row>
    <row r="1446" spans="6:95">
      <c r="F1446" s="23"/>
      <c r="I1446" s="23"/>
      <c r="L1446" s="50" t="s">
        <v>12169</v>
      </c>
      <c r="M1446" s="17" t="s">
        <v>12170</v>
      </c>
      <c r="N1446" s="51" t="s">
        <v>12171</v>
      </c>
      <c r="O1446" s="29" t="s">
        <v>1475</v>
      </c>
      <c r="P1446" s="29" t="s">
        <v>12172</v>
      </c>
      <c r="Q1446" s="29" t="s">
        <v>1475</v>
      </c>
      <c r="R1446" s="29" t="s">
        <v>4730</v>
      </c>
      <c r="S1446" s="28" t="s">
        <v>1920</v>
      </c>
      <c r="T1446" s="28" t="s">
        <v>2293</v>
      </c>
      <c r="U1446" s="28" t="s">
        <v>1445</v>
      </c>
      <c r="V1446" s="28" t="s">
        <v>1855</v>
      </c>
      <c r="W1446" s="28" t="s">
        <v>12173</v>
      </c>
      <c r="X1446" s="17">
        <v>1</v>
      </c>
      <c r="CJ1446" s="26" t="s">
        <v>1420</v>
      </c>
      <c r="CK1446" s="26" t="s">
        <v>2189</v>
      </c>
      <c r="CL1446" s="26" t="str">
        <f t="shared" si="89"/>
        <v>熊本県阿蘇市</v>
      </c>
      <c r="CM1446" s="49">
        <v>1441</v>
      </c>
      <c r="CN1446" s="17" t="str">
        <f t="shared" si="88"/>
        <v>1617</v>
      </c>
      <c r="CO1446" s="17" t="str">
        <f t="shared" si="90"/>
        <v>14411617阿蘇市</v>
      </c>
      <c r="CP1446" s="17" t="s">
        <v>12174</v>
      </c>
      <c r="CQ1446" s="17" t="b">
        <f t="shared" si="91"/>
        <v>1</v>
      </c>
    </row>
    <row r="1447" spans="6:95">
      <c r="F1447" s="23"/>
      <c r="I1447" s="23"/>
      <c r="L1447" s="50" t="s">
        <v>12175</v>
      </c>
      <c r="M1447" s="17" t="s">
        <v>12176</v>
      </c>
      <c r="N1447" s="51" t="s">
        <v>12177</v>
      </c>
      <c r="O1447" s="29" t="s">
        <v>1475</v>
      </c>
      <c r="P1447" s="29" t="s">
        <v>12178</v>
      </c>
      <c r="Q1447" s="29" t="s">
        <v>1475</v>
      </c>
      <c r="R1447" s="29" t="s">
        <v>4515</v>
      </c>
      <c r="S1447" s="28" t="s">
        <v>2311</v>
      </c>
      <c r="T1447" s="28" t="s">
        <v>2348</v>
      </c>
      <c r="U1447" s="28" t="s">
        <v>1445</v>
      </c>
      <c r="V1447" s="28" t="s">
        <v>1855</v>
      </c>
      <c r="W1447" s="28" t="s">
        <v>12179</v>
      </c>
      <c r="X1447" s="17">
        <v>1</v>
      </c>
      <c r="CJ1447" s="26" t="s">
        <v>1420</v>
      </c>
      <c r="CK1447" s="26" t="s">
        <v>2244</v>
      </c>
      <c r="CL1447" s="26" t="str">
        <f t="shared" si="89"/>
        <v>熊本県天草市</v>
      </c>
      <c r="CM1447" s="49">
        <v>1442</v>
      </c>
      <c r="CN1447" s="17" t="str">
        <f t="shared" si="88"/>
        <v>1618</v>
      </c>
      <c r="CO1447" s="17" t="str">
        <f t="shared" si="90"/>
        <v>14421618天草市</v>
      </c>
      <c r="CP1447" s="17" t="s">
        <v>12180</v>
      </c>
      <c r="CQ1447" s="17" t="b">
        <f t="shared" si="91"/>
        <v>1</v>
      </c>
    </row>
    <row r="1448" spans="6:95">
      <c r="F1448" s="23"/>
      <c r="I1448" s="23"/>
      <c r="L1448" s="50" t="s">
        <v>12181</v>
      </c>
      <c r="M1448" s="17" t="s">
        <v>12182</v>
      </c>
      <c r="N1448" s="51" t="s">
        <v>12183</v>
      </c>
      <c r="O1448" s="29" t="s">
        <v>1475</v>
      </c>
      <c r="P1448" s="29" t="s">
        <v>12184</v>
      </c>
      <c r="Q1448" s="29" t="s">
        <v>1475</v>
      </c>
      <c r="R1448" s="29" t="s">
        <v>4523</v>
      </c>
      <c r="S1448" s="28" t="s">
        <v>1564</v>
      </c>
      <c r="T1448" s="28" t="s">
        <v>2403</v>
      </c>
      <c r="U1448" s="28" t="s">
        <v>1445</v>
      </c>
      <c r="V1448" s="28" t="s">
        <v>1855</v>
      </c>
      <c r="W1448" s="28" t="s">
        <v>12184</v>
      </c>
      <c r="X1448" s="17">
        <v>1</v>
      </c>
      <c r="CJ1448" s="26" t="s">
        <v>1420</v>
      </c>
      <c r="CK1448" s="26" t="s">
        <v>2299</v>
      </c>
      <c r="CL1448" s="26" t="str">
        <f t="shared" si="89"/>
        <v>熊本県合志市</v>
      </c>
      <c r="CM1448" s="49">
        <v>1443</v>
      </c>
      <c r="CN1448" s="17" t="str">
        <f t="shared" si="88"/>
        <v>1619</v>
      </c>
      <c r="CO1448" s="17" t="str">
        <f t="shared" si="90"/>
        <v>14431619合志市</v>
      </c>
      <c r="CP1448" s="17" t="s">
        <v>12185</v>
      </c>
      <c r="CQ1448" s="17" t="b">
        <f t="shared" si="91"/>
        <v>1</v>
      </c>
    </row>
    <row r="1449" spans="6:95">
      <c r="F1449" s="23"/>
      <c r="I1449" s="23"/>
      <c r="L1449" s="50" t="s">
        <v>12186</v>
      </c>
      <c r="M1449" s="17" t="s">
        <v>12187</v>
      </c>
      <c r="N1449" s="51" t="s">
        <v>12188</v>
      </c>
      <c r="O1449" s="29" t="s">
        <v>1475</v>
      </c>
      <c r="P1449" s="29" t="s">
        <v>12189</v>
      </c>
      <c r="Q1449" s="29" t="s">
        <v>1475</v>
      </c>
      <c r="R1449" s="29" t="s">
        <v>4539</v>
      </c>
      <c r="S1449" s="28" t="s">
        <v>1977</v>
      </c>
      <c r="T1449" s="28" t="s">
        <v>2457</v>
      </c>
      <c r="U1449" s="28" t="s">
        <v>1445</v>
      </c>
      <c r="V1449" s="28" t="s">
        <v>1855</v>
      </c>
      <c r="W1449" s="28" t="s">
        <v>12190</v>
      </c>
      <c r="X1449" s="17">
        <v>1</v>
      </c>
      <c r="CJ1449" s="26" t="s">
        <v>1420</v>
      </c>
      <c r="CK1449" s="26" t="s">
        <v>2354</v>
      </c>
      <c r="CL1449" s="26" t="str">
        <f t="shared" si="89"/>
        <v>熊本県美里町</v>
      </c>
      <c r="CM1449" s="49">
        <v>1444</v>
      </c>
      <c r="CN1449" s="17" t="str">
        <f t="shared" si="88"/>
        <v>1620</v>
      </c>
      <c r="CO1449" s="17" t="str">
        <f t="shared" si="90"/>
        <v>14441620美里町</v>
      </c>
      <c r="CP1449" s="17" t="s">
        <v>12191</v>
      </c>
      <c r="CQ1449" s="17" t="b">
        <f t="shared" si="91"/>
        <v>1</v>
      </c>
    </row>
    <row r="1450" spans="6:95">
      <c r="F1450" s="23"/>
      <c r="I1450" s="23"/>
      <c r="L1450" s="50" t="s">
        <v>12192</v>
      </c>
      <c r="M1450" s="17" t="s">
        <v>12193</v>
      </c>
      <c r="N1450" s="51" t="s">
        <v>12194</v>
      </c>
      <c r="O1450" s="29" t="s">
        <v>1476</v>
      </c>
      <c r="P1450" s="29" t="s">
        <v>12195</v>
      </c>
      <c r="Q1450" s="29" t="s">
        <v>1476</v>
      </c>
      <c r="R1450" s="29" t="s">
        <v>4593</v>
      </c>
      <c r="S1450" s="28" t="s">
        <v>1862</v>
      </c>
      <c r="T1450" s="28" t="s">
        <v>1541</v>
      </c>
      <c r="U1450" s="28" t="s">
        <v>1445</v>
      </c>
      <c r="V1450" s="28" t="s">
        <v>1855</v>
      </c>
      <c r="W1450" s="28" t="s">
        <v>12196</v>
      </c>
      <c r="X1450" s="17">
        <v>1</v>
      </c>
      <c r="CJ1450" s="26" t="s">
        <v>1420</v>
      </c>
      <c r="CK1450" s="26" t="s">
        <v>2409</v>
      </c>
      <c r="CL1450" s="26" t="str">
        <f t="shared" si="89"/>
        <v>熊本県玉東町</v>
      </c>
      <c r="CM1450" s="49">
        <v>1445</v>
      </c>
      <c r="CN1450" s="17" t="str">
        <f t="shared" si="88"/>
        <v>1621</v>
      </c>
      <c r="CO1450" s="17" t="str">
        <f t="shared" si="90"/>
        <v>14451621玉東町</v>
      </c>
      <c r="CP1450" s="17" t="s">
        <v>12197</v>
      </c>
      <c r="CQ1450" s="17" t="b">
        <f t="shared" si="91"/>
        <v>1</v>
      </c>
    </row>
    <row r="1451" spans="6:95">
      <c r="F1451" s="23"/>
      <c r="I1451" s="23"/>
      <c r="L1451" s="50" t="s">
        <v>12198</v>
      </c>
      <c r="M1451" s="17" t="s">
        <v>12199</v>
      </c>
      <c r="N1451" s="51" t="s">
        <v>12200</v>
      </c>
      <c r="O1451" s="29" t="s">
        <v>1476</v>
      </c>
      <c r="P1451" s="29" t="s">
        <v>12201</v>
      </c>
      <c r="Q1451" s="29" t="s">
        <v>1476</v>
      </c>
      <c r="R1451" s="29" t="s">
        <v>1563</v>
      </c>
      <c r="S1451" s="28" t="s">
        <v>1920</v>
      </c>
      <c r="T1451" s="28" t="s">
        <v>1603</v>
      </c>
      <c r="U1451" s="28" t="s">
        <v>1445</v>
      </c>
      <c r="V1451" s="28" t="s">
        <v>1855</v>
      </c>
      <c r="W1451" s="28" t="s">
        <v>12202</v>
      </c>
      <c r="X1451" s="17">
        <v>1</v>
      </c>
      <c r="CJ1451" s="26" t="s">
        <v>1420</v>
      </c>
      <c r="CK1451" s="26" t="s">
        <v>2463</v>
      </c>
      <c r="CL1451" s="26" t="str">
        <f t="shared" si="89"/>
        <v>熊本県南関町</v>
      </c>
      <c r="CM1451" s="49">
        <v>1446</v>
      </c>
      <c r="CN1451" s="17" t="str">
        <f t="shared" si="88"/>
        <v>1622</v>
      </c>
      <c r="CO1451" s="17" t="str">
        <f t="shared" si="90"/>
        <v>14461622南関町</v>
      </c>
      <c r="CP1451" s="17" t="s">
        <v>12203</v>
      </c>
      <c r="CQ1451" s="17" t="b">
        <f t="shared" si="91"/>
        <v>1</v>
      </c>
    </row>
    <row r="1452" spans="6:95">
      <c r="F1452" s="23"/>
      <c r="I1452" s="23"/>
      <c r="L1452" s="50" t="s">
        <v>12204</v>
      </c>
      <c r="M1452" s="17" t="s">
        <v>12205</v>
      </c>
      <c r="N1452" s="51" t="s">
        <v>12206</v>
      </c>
      <c r="O1452" s="29" t="s">
        <v>1476</v>
      </c>
      <c r="P1452" s="29" t="s">
        <v>12207</v>
      </c>
      <c r="Q1452" s="29" t="s">
        <v>1476</v>
      </c>
      <c r="R1452" s="29" t="s">
        <v>1625</v>
      </c>
      <c r="S1452" s="28" t="s">
        <v>1977</v>
      </c>
      <c r="T1452" s="28" t="s">
        <v>1665</v>
      </c>
      <c r="U1452" s="28" t="s">
        <v>1445</v>
      </c>
      <c r="V1452" s="28" t="s">
        <v>1855</v>
      </c>
      <c r="W1452" s="28" t="s">
        <v>12208</v>
      </c>
      <c r="X1452" s="17">
        <v>1</v>
      </c>
      <c r="CJ1452" s="26" t="s">
        <v>1420</v>
      </c>
      <c r="CK1452" s="26" t="s">
        <v>2513</v>
      </c>
      <c r="CL1452" s="26" t="str">
        <f t="shared" si="89"/>
        <v>熊本県長洲町</v>
      </c>
      <c r="CM1452" s="49">
        <v>1447</v>
      </c>
      <c r="CN1452" s="17" t="str">
        <f t="shared" si="88"/>
        <v>1623</v>
      </c>
      <c r="CO1452" s="17" t="str">
        <f t="shared" si="90"/>
        <v>14471623長洲町</v>
      </c>
      <c r="CP1452" s="17" t="s">
        <v>12209</v>
      </c>
      <c r="CQ1452" s="17" t="b">
        <f t="shared" si="91"/>
        <v>1</v>
      </c>
    </row>
    <row r="1453" spans="6:95">
      <c r="F1453" s="23"/>
      <c r="I1453" s="23"/>
      <c r="L1453" s="50" t="s">
        <v>12210</v>
      </c>
      <c r="M1453" s="17" t="s">
        <v>12211</v>
      </c>
      <c r="N1453" s="51" t="s">
        <v>12212</v>
      </c>
      <c r="O1453" s="29" t="s">
        <v>1476</v>
      </c>
      <c r="P1453" s="29" t="s">
        <v>12213</v>
      </c>
      <c r="Q1453" s="29" t="s">
        <v>1476</v>
      </c>
      <c r="R1453" s="29" t="s">
        <v>1684</v>
      </c>
      <c r="S1453" s="28" t="s">
        <v>1743</v>
      </c>
      <c r="T1453" s="28" t="s">
        <v>1723</v>
      </c>
      <c r="U1453" s="28" t="s">
        <v>1445</v>
      </c>
      <c r="V1453" s="28" t="s">
        <v>1855</v>
      </c>
      <c r="W1453" s="28" t="s">
        <v>12214</v>
      </c>
      <c r="X1453" s="17">
        <v>1</v>
      </c>
      <c r="CJ1453" s="26" t="s">
        <v>1420</v>
      </c>
      <c r="CK1453" s="26" t="s">
        <v>2566</v>
      </c>
      <c r="CL1453" s="26" t="str">
        <f t="shared" si="89"/>
        <v>熊本県和水町</v>
      </c>
      <c r="CM1453" s="49">
        <v>1448</v>
      </c>
      <c r="CN1453" s="17" t="str">
        <f t="shared" si="88"/>
        <v>1624</v>
      </c>
      <c r="CO1453" s="17" t="str">
        <f t="shared" si="90"/>
        <v>14481624和水町</v>
      </c>
      <c r="CP1453" s="17" t="s">
        <v>12215</v>
      </c>
      <c r="CQ1453" s="17" t="b">
        <f t="shared" si="91"/>
        <v>1</v>
      </c>
    </row>
    <row r="1454" spans="6:95">
      <c r="F1454" s="23"/>
      <c r="I1454" s="23"/>
      <c r="L1454" s="50" t="s">
        <v>12216</v>
      </c>
      <c r="M1454" s="17" t="s">
        <v>12217</v>
      </c>
      <c r="N1454" s="51" t="s">
        <v>12218</v>
      </c>
      <c r="O1454" s="29" t="s">
        <v>1476</v>
      </c>
      <c r="P1454" s="29" t="s">
        <v>12219</v>
      </c>
      <c r="Q1454" s="29" t="s">
        <v>1476</v>
      </c>
      <c r="R1454" s="29" t="s">
        <v>1742</v>
      </c>
      <c r="S1454" s="28" t="s">
        <v>1564</v>
      </c>
      <c r="T1454" s="28" t="s">
        <v>1782</v>
      </c>
      <c r="U1454" s="28" t="s">
        <v>1445</v>
      </c>
      <c r="V1454" s="28" t="s">
        <v>1855</v>
      </c>
      <c r="W1454" s="28" t="s">
        <v>12219</v>
      </c>
      <c r="X1454" s="17">
        <v>1</v>
      </c>
      <c r="CJ1454" s="26" t="s">
        <v>1420</v>
      </c>
      <c r="CK1454" s="26" t="s">
        <v>2613</v>
      </c>
      <c r="CL1454" s="26" t="str">
        <f t="shared" si="89"/>
        <v>熊本県大津町</v>
      </c>
      <c r="CM1454" s="49">
        <v>1449</v>
      </c>
      <c r="CN1454" s="17" t="str">
        <f t="shared" si="88"/>
        <v>1625</v>
      </c>
      <c r="CO1454" s="17" t="str">
        <f t="shared" si="90"/>
        <v>14491625大津町</v>
      </c>
      <c r="CP1454" s="17" t="s">
        <v>12220</v>
      </c>
      <c r="CQ1454" s="17" t="b">
        <f t="shared" si="91"/>
        <v>1</v>
      </c>
    </row>
    <row r="1455" spans="6:95">
      <c r="F1455" s="23"/>
      <c r="I1455" s="23"/>
      <c r="L1455" s="50" t="s">
        <v>12221</v>
      </c>
      <c r="M1455" s="17" t="s">
        <v>12222</v>
      </c>
      <c r="N1455" s="51" t="s">
        <v>12223</v>
      </c>
      <c r="O1455" s="29" t="s">
        <v>1476</v>
      </c>
      <c r="P1455" s="29" t="s">
        <v>12224</v>
      </c>
      <c r="Q1455" s="29" t="s">
        <v>1476</v>
      </c>
      <c r="R1455" s="29" t="s">
        <v>1802</v>
      </c>
      <c r="S1455" s="28" t="s">
        <v>1626</v>
      </c>
      <c r="T1455" s="28" t="s">
        <v>1842</v>
      </c>
      <c r="U1455" s="28" t="s">
        <v>1445</v>
      </c>
      <c r="V1455" s="28" t="s">
        <v>1855</v>
      </c>
      <c r="W1455" s="28" t="s">
        <v>12225</v>
      </c>
      <c r="X1455" s="17">
        <v>1</v>
      </c>
      <c r="CJ1455" s="26" t="s">
        <v>1420</v>
      </c>
      <c r="CK1455" s="26" t="s">
        <v>2658</v>
      </c>
      <c r="CL1455" s="26" t="str">
        <f t="shared" si="89"/>
        <v>熊本県菊陽町</v>
      </c>
      <c r="CM1455" s="49">
        <v>1450</v>
      </c>
      <c r="CN1455" s="17" t="str">
        <f t="shared" si="88"/>
        <v>1626</v>
      </c>
      <c r="CO1455" s="17" t="str">
        <f t="shared" si="90"/>
        <v>14501626菊陽町</v>
      </c>
      <c r="CP1455" s="17" t="s">
        <v>12226</v>
      </c>
      <c r="CQ1455" s="17" t="b">
        <f t="shared" si="91"/>
        <v>1</v>
      </c>
    </row>
    <row r="1456" spans="6:95">
      <c r="F1456" s="23"/>
      <c r="I1456" s="23"/>
      <c r="L1456" s="50" t="s">
        <v>12227</v>
      </c>
      <c r="M1456" s="17" t="s">
        <v>12228</v>
      </c>
      <c r="N1456" s="51" t="s">
        <v>12229</v>
      </c>
      <c r="O1456" s="29" t="s">
        <v>1476</v>
      </c>
      <c r="P1456" s="29" t="s">
        <v>12230</v>
      </c>
      <c r="Q1456" s="29" t="s">
        <v>1476</v>
      </c>
      <c r="R1456" s="29" t="s">
        <v>1861</v>
      </c>
      <c r="S1456" s="28" t="s">
        <v>1502</v>
      </c>
      <c r="T1456" s="28" t="s">
        <v>1901</v>
      </c>
      <c r="U1456" s="28" t="s">
        <v>1445</v>
      </c>
      <c r="V1456" s="28" t="s">
        <v>1855</v>
      </c>
      <c r="W1456" s="28" t="s">
        <v>12231</v>
      </c>
      <c r="X1456" s="17">
        <v>1</v>
      </c>
      <c r="CJ1456" s="26" t="s">
        <v>1420</v>
      </c>
      <c r="CK1456" s="26" t="s">
        <v>2704</v>
      </c>
      <c r="CL1456" s="26" t="str">
        <f t="shared" si="89"/>
        <v>熊本県南小国町</v>
      </c>
      <c r="CM1456" s="49">
        <v>1451</v>
      </c>
      <c r="CN1456" s="17" t="str">
        <f t="shared" si="88"/>
        <v>1627</v>
      </c>
      <c r="CO1456" s="17" t="str">
        <f t="shared" si="90"/>
        <v>14511627南小国町</v>
      </c>
      <c r="CP1456" s="17" t="s">
        <v>12232</v>
      </c>
      <c r="CQ1456" s="17" t="b">
        <f t="shared" si="91"/>
        <v>1</v>
      </c>
    </row>
    <row r="1457" spans="6:95">
      <c r="F1457" s="23"/>
      <c r="I1457" s="23"/>
      <c r="L1457" s="50" t="s">
        <v>12233</v>
      </c>
      <c r="M1457" s="17" t="s">
        <v>12234</v>
      </c>
      <c r="N1457" s="51" t="s">
        <v>12235</v>
      </c>
      <c r="O1457" s="29" t="s">
        <v>1476</v>
      </c>
      <c r="P1457" s="29" t="s">
        <v>12236</v>
      </c>
      <c r="Q1457" s="29" t="s">
        <v>1476</v>
      </c>
      <c r="R1457" s="29" t="s">
        <v>2033</v>
      </c>
      <c r="S1457" s="28" t="s">
        <v>1564</v>
      </c>
      <c r="T1457" s="28" t="s">
        <v>1959</v>
      </c>
      <c r="U1457" s="28" t="s">
        <v>1445</v>
      </c>
      <c r="V1457" s="28" t="s">
        <v>1855</v>
      </c>
      <c r="W1457" s="28" t="s">
        <v>12237</v>
      </c>
      <c r="X1457" s="17">
        <v>1</v>
      </c>
      <c r="CJ1457" s="26" t="s">
        <v>1420</v>
      </c>
      <c r="CK1457" s="26" t="s">
        <v>2749</v>
      </c>
      <c r="CL1457" s="26" t="str">
        <f t="shared" si="89"/>
        <v>熊本県小国町</v>
      </c>
      <c r="CM1457" s="49">
        <v>1452</v>
      </c>
      <c r="CN1457" s="17" t="str">
        <f t="shared" si="88"/>
        <v>1628</v>
      </c>
      <c r="CO1457" s="17" t="str">
        <f t="shared" si="90"/>
        <v>14521628小国町</v>
      </c>
      <c r="CP1457" s="17" t="s">
        <v>12238</v>
      </c>
      <c r="CQ1457" s="17" t="b">
        <f t="shared" si="91"/>
        <v>1</v>
      </c>
    </row>
    <row r="1458" spans="6:95">
      <c r="F1458" s="23"/>
      <c r="I1458" s="23"/>
      <c r="L1458" s="50" t="s">
        <v>12239</v>
      </c>
      <c r="M1458" s="17" t="s">
        <v>12240</v>
      </c>
      <c r="N1458" s="51" t="s">
        <v>12241</v>
      </c>
      <c r="O1458" s="29" t="s">
        <v>1476</v>
      </c>
      <c r="P1458" s="29" t="s">
        <v>12242</v>
      </c>
      <c r="Q1458" s="29" t="s">
        <v>1476</v>
      </c>
      <c r="R1458" s="29" t="s">
        <v>2200</v>
      </c>
      <c r="S1458" s="28" t="s">
        <v>2525</v>
      </c>
      <c r="T1458" s="28" t="s">
        <v>2016</v>
      </c>
      <c r="U1458" s="28" t="s">
        <v>1445</v>
      </c>
      <c r="V1458" s="28" t="s">
        <v>1855</v>
      </c>
      <c r="W1458" s="28" t="s">
        <v>12243</v>
      </c>
      <c r="X1458" s="17">
        <v>1</v>
      </c>
      <c r="CJ1458" s="26" t="s">
        <v>1420</v>
      </c>
      <c r="CK1458" s="26" t="s">
        <v>2790</v>
      </c>
      <c r="CL1458" s="26" t="str">
        <f t="shared" si="89"/>
        <v>熊本県産山村</v>
      </c>
      <c r="CM1458" s="49">
        <v>1453</v>
      </c>
      <c r="CN1458" s="17" t="str">
        <f t="shared" si="88"/>
        <v>1629</v>
      </c>
      <c r="CO1458" s="17" t="str">
        <f t="shared" si="90"/>
        <v>14531629産山村</v>
      </c>
      <c r="CP1458" s="17" t="s">
        <v>12244</v>
      </c>
      <c r="CQ1458" s="17" t="b">
        <f t="shared" si="91"/>
        <v>1</v>
      </c>
    </row>
    <row r="1459" spans="6:95">
      <c r="F1459" s="23"/>
      <c r="I1459" s="23"/>
      <c r="L1459" s="50" t="s">
        <v>12245</v>
      </c>
      <c r="M1459" s="17" t="s">
        <v>12246</v>
      </c>
      <c r="N1459" s="51" t="s">
        <v>12247</v>
      </c>
      <c r="O1459" s="29" t="s">
        <v>1476</v>
      </c>
      <c r="P1459" s="29" t="s">
        <v>12248</v>
      </c>
      <c r="Q1459" s="29" t="s">
        <v>1476</v>
      </c>
      <c r="R1459" s="29" t="s">
        <v>2255</v>
      </c>
      <c r="S1459" s="28" t="s">
        <v>2311</v>
      </c>
      <c r="T1459" s="28" t="s">
        <v>2072</v>
      </c>
      <c r="U1459" s="28" t="s">
        <v>1445</v>
      </c>
      <c r="V1459" s="28" t="s">
        <v>1855</v>
      </c>
      <c r="W1459" s="28" t="s">
        <v>12249</v>
      </c>
      <c r="X1459" s="17">
        <v>1</v>
      </c>
      <c r="CJ1459" s="26" t="s">
        <v>1420</v>
      </c>
      <c r="CK1459" s="26" t="s">
        <v>2832</v>
      </c>
      <c r="CL1459" s="26" t="str">
        <f t="shared" si="89"/>
        <v>熊本県高森町</v>
      </c>
      <c r="CM1459" s="49">
        <v>1454</v>
      </c>
      <c r="CN1459" s="17" t="str">
        <f t="shared" si="88"/>
        <v>1630</v>
      </c>
      <c r="CO1459" s="17" t="str">
        <f t="shared" si="90"/>
        <v>14541630高森町</v>
      </c>
      <c r="CP1459" s="17" t="s">
        <v>12250</v>
      </c>
      <c r="CQ1459" s="17" t="b">
        <f t="shared" si="91"/>
        <v>1</v>
      </c>
    </row>
    <row r="1460" spans="6:95">
      <c r="F1460" s="23"/>
      <c r="I1460" s="23"/>
      <c r="L1460" s="50" t="s">
        <v>12251</v>
      </c>
      <c r="M1460" s="17" t="s">
        <v>12252</v>
      </c>
      <c r="N1460" s="51" t="s">
        <v>12253</v>
      </c>
      <c r="O1460" s="29" t="s">
        <v>1476</v>
      </c>
      <c r="P1460" s="29" t="s">
        <v>12254</v>
      </c>
      <c r="Q1460" s="29" t="s">
        <v>1476</v>
      </c>
      <c r="R1460" s="29" t="s">
        <v>2310</v>
      </c>
      <c r="S1460" s="28" t="s">
        <v>1862</v>
      </c>
      <c r="T1460" s="28" t="s">
        <v>2128</v>
      </c>
      <c r="U1460" s="28" t="s">
        <v>1445</v>
      </c>
      <c r="V1460" s="28" t="s">
        <v>1855</v>
      </c>
      <c r="W1460" s="28" t="s">
        <v>12255</v>
      </c>
      <c r="X1460" s="17">
        <v>1</v>
      </c>
      <c r="CJ1460" s="26" t="s">
        <v>1420</v>
      </c>
      <c r="CK1460" s="26" t="s">
        <v>2871</v>
      </c>
      <c r="CL1460" s="26" t="str">
        <f t="shared" si="89"/>
        <v>熊本県西原村</v>
      </c>
      <c r="CM1460" s="49">
        <v>1455</v>
      </c>
      <c r="CN1460" s="17" t="str">
        <f t="shared" si="88"/>
        <v>1631</v>
      </c>
      <c r="CO1460" s="17" t="str">
        <f t="shared" si="90"/>
        <v>14551631西原村</v>
      </c>
      <c r="CP1460" s="17" t="s">
        <v>12256</v>
      </c>
      <c r="CQ1460" s="17" t="b">
        <f t="shared" si="91"/>
        <v>1</v>
      </c>
    </row>
    <row r="1461" spans="6:95">
      <c r="F1461" s="23"/>
      <c r="I1461" s="23"/>
      <c r="L1461" s="50" t="s">
        <v>12257</v>
      </c>
      <c r="M1461" s="17" t="s">
        <v>12258</v>
      </c>
      <c r="N1461" s="51" t="s">
        <v>12259</v>
      </c>
      <c r="O1461" s="29" t="s">
        <v>1476</v>
      </c>
      <c r="P1461" s="29" t="s">
        <v>12260</v>
      </c>
      <c r="Q1461" s="29" t="s">
        <v>1476</v>
      </c>
      <c r="R1461" s="29" t="s">
        <v>12261</v>
      </c>
      <c r="S1461" s="28" t="s">
        <v>1803</v>
      </c>
      <c r="T1461" s="28" t="s">
        <v>2184</v>
      </c>
      <c r="U1461" s="28" t="s">
        <v>1445</v>
      </c>
      <c r="V1461" s="28" t="s">
        <v>1855</v>
      </c>
      <c r="W1461" s="28" t="s">
        <v>12260</v>
      </c>
      <c r="X1461" s="17">
        <v>1</v>
      </c>
      <c r="CJ1461" s="26" t="s">
        <v>1420</v>
      </c>
      <c r="CK1461" s="26" t="s">
        <v>2909</v>
      </c>
      <c r="CL1461" s="26" t="str">
        <f t="shared" si="89"/>
        <v>熊本県南阿蘇村</v>
      </c>
      <c r="CM1461" s="49">
        <v>1456</v>
      </c>
      <c r="CN1461" s="17" t="str">
        <f t="shared" si="88"/>
        <v>1632</v>
      </c>
      <c r="CO1461" s="17" t="str">
        <f t="shared" si="90"/>
        <v>14561632南阿蘇村</v>
      </c>
      <c r="CP1461" s="17" t="s">
        <v>12262</v>
      </c>
      <c r="CQ1461" s="17" t="b">
        <f t="shared" si="91"/>
        <v>1</v>
      </c>
    </row>
    <row r="1462" spans="6:95">
      <c r="F1462" s="23"/>
      <c r="I1462" s="23"/>
      <c r="L1462" s="50" t="s">
        <v>12263</v>
      </c>
      <c r="M1462" s="17" t="s">
        <v>12264</v>
      </c>
      <c r="N1462" s="51" t="s">
        <v>12265</v>
      </c>
      <c r="O1462" s="29" t="s">
        <v>1476</v>
      </c>
      <c r="P1462" s="29" t="s">
        <v>12266</v>
      </c>
      <c r="Q1462" s="29" t="s">
        <v>1476</v>
      </c>
      <c r="R1462" s="29" t="s">
        <v>6415</v>
      </c>
      <c r="S1462" s="28" t="s">
        <v>1626</v>
      </c>
      <c r="T1462" s="28" t="s">
        <v>2239</v>
      </c>
      <c r="U1462" s="28" t="s">
        <v>1445</v>
      </c>
      <c r="V1462" s="28" t="s">
        <v>1855</v>
      </c>
      <c r="W1462" s="28" t="s">
        <v>12267</v>
      </c>
      <c r="X1462" s="17">
        <v>1</v>
      </c>
      <c r="CJ1462" s="26" t="s">
        <v>1420</v>
      </c>
      <c r="CK1462" s="26" t="s">
        <v>2944</v>
      </c>
      <c r="CL1462" s="26" t="str">
        <f t="shared" si="89"/>
        <v>熊本県御船町</v>
      </c>
      <c r="CM1462" s="49">
        <v>1457</v>
      </c>
      <c r="CN1462" s="17" t="str">
        <f t="shared" si="88"/>
        <v>1633</v>
      </c>
      <c r="CO1462" s="17" t="str">
        <f t="shared" si="90"/>
        <v>14571633御船町</v>
      </c>
      <c r="CP1462" s="17" t="s">
        <v>12268</v>
      </c>
      <c r="CQ1462" s="17" t="b">
        <f t="shared" si="91"/>
        <v>1</v>
      </c>
    </row>
    <row r="1463" spans="6:95">
      <c r="F1463" s="23"/>
      <c r="I1463" s="23"/>
      <c r="L1463" s="50" t="s">
        <v>12269</v>
      </c>
      <c r="M1463" s="17" t="s">
        <v>12270</v>
      </c>
      <c r="N1463" s="51" t="s">
        <v>12271</v>
      </c>
      <c r="O1463" s="29" t="s">
        <v>1476</v>
      </c>
      <c r="P1463" s="29" t="s">
        <v>12272</v>
      </c>
      <c r="Q1463" s="29" t="s">
        <v>1476</v>
      </c>
      <c r="R1463" s="29" t="s">
        <v>4507</v>
      </c>
      <c r="S1463" s="28" t="s">
        <v>1977</v>
      </c>
      <c r="T1463" s="28" t="s">
        <v>2294</v>
      </c>
      <c r="U1463" s="28" t="s">
        <v>1445</v>
      </c>
      <c r="V1463" s="28" t="s">
        <v>1855</v>
      </c>
      <c r="W1463" s="28" t="s">
        <v>12273</v>
      </c>
      <c r="X1463" s="17">
        <v>1</v>
      </c>
      <c r="CJ1463" s="26" t="s">
        <v>1420</v>
      </c>
      <c r="CK1463" s="26" t="s">
        <v>2977</v>
      </c>
      <c r="CL1463" s="26" t="str">
        <f t="shared" si="89"/>
        <v>熊本県嘉島町</v>
      </c>
      <c r="CM1463" s="49">
        <v>1458</v>
      </c>
      <c r="CN1463" s="17" t="str">
        <f t="shared" si="88"/>
        <v>1634</v>
      </c>
      <c r="CO1463" s="17" t="str">
        <f t="shared" si="90"/>
        <v>14581634嘉島町</v>
      </c>
      <c r="CP1463" s="17" t="s">
        <v>12274</v>
      </c>
      <c r="CQ1463" s="17" t="b">
        <f t="shared" si="91"/>
        <v>1</v>
      </c>
    </row>
    <row r="1464" spans="6:95">
      <c r="F1464" s="23"/>
      <c r="I1464" s="23"/>
      <c r="L1464" s="50" t="s">
        <v>12275</v>
      </c>
      <c r="M1464" s="17" t="s">
        <v>12276</v>
      </c>
      <c r="N1464" s="51" t="s">
        <v>12277</v>
      </c>
      <c r="O1464" s="29" t="s">
        <v>1476</v>
      </c>
      <c r="P1464" s="29" t="s">
        <v>12278</v>
      </c>
      <c r="Q1464" s="29" t="s">
        <v>1476</v>
      </c>
      <c r="R1464" s="29" t="s">
        <v>3512</v>
      </c>
      <c r="S1464" s="28" t="s">
        <v>1743</v>
      </c>
      <c r="T1464" s="28" t="s">
        <v>2349</v>
      </c>
      <c r="U1464" s="28" t="s">
        <v>1445</v>
      </c>
      <c r="V1464" s="28" t="s">
        <v>1855</v>
      </c>
      <c r="W1464" s="28" t="s">
        <v>12279</v>
      </c>
      <c r="X1464" s="17">
        <v>1</v>
      </c>
      <c r="CJ1464" s="26" t="s">
        <v>1420</v>
      </c>
      <c r="CK1464" s="26" t="s">
        <v>3011</v>
      </c>
      <c r="CL1464" s="26" t="str">
        <f t="shared" si="89"/>
        <v>熊本県益城町</v>
      </c>
      <c r="CM1464" s="49">
        <v>1459</v>
      </c>
      <c r="CN1464" s="17" t="str">
        <f t="shared" si="88"/>
        <v>1635</v>
      </c>
      <c r="CO1464" s="17" t="str">
        <f t="shared" si="90"/>
        <v>14591635益城町</v>
      </c>
      <c r="CP1464" s="17" t="s">
        <v>12280</v>
      </c>
      <c r="CQ1464" s="17" t="b">
        <f t="shared" si="91"/>
        <v>1</v>
      </c>
    </row>
    <row r="1465" spans="6:95">
      <c r="F1465" s="23"/>
      <c r="I1465" s="23"/>
      <c r="L1465" s="50" t="s">
        <v>12281</v>
      </c>
      <c r="M1465" s="17" t="s">
        <v>12282</v>
      </c>
      <c r="N1465" s="51" t="s">
        <v>12283</v>
      </c>
      <c r="O1465" s="29" t="s">
        <v>1476</v>
      </c>
      <c r="P1465" s="29" t="s">
        <v>12284</v>
      </c>
      <c r="Q1465" s="29" t="s">
        <v>1476</v>
      </c>
      <c r="R1465" s="29" t="s">
        <v>5240</v>
      </c>
      <c r="S1465" s="28" t="s">
        <v>1803</v>
      </c>
      <c r="T1465" s="28" t="s">
        <v>2404</v>
      </c>
      <c r="U1465" s="28" t="s">
        <v>1445</v>
      </c>
      <c r="V1465" s="28" t="s">
        <v>1855</v>
      </c>
      <c r="W1465" s="28" t="s">
        <v>12285</v>
      </c>
      <c r="X1465" s="17">
        <v>1</v>
      </c>
      <c r="CJ1465" s="26" t="s">
        <v>1420</v>
      </c>
      <c r="CK1465" s="26" t="s">
        <v>3043</v>
      </c>
      <c r="CL1465" s="26" t="str">
        <f t="shared" si="89"/>
        <v>熊本県甲佐町</v>
      </c>
      <c r="CM1465" s="49">
        <v>1460</v>
      </c>
      <c r="CN1465" s="17" t="str">
        <f t="shared" si="88"/>
        <v>1636</v>
      </c>
      <c r="CO1465" s="17" t="str">
        <f t="shared" si="90"/>
        <v>14601636甲佐町</v>
      </c>
      <c r="CP1465" s="17" t="s">
        <v>12286</v>
      </c>
      <c r="CQ1465" s="17" t="b">
        <f t="shared" si="91"/>
        <v>1</v>
      </c>
    </row>
    <row r="1466" spans="6:95">
      <c r="F1466" s="23"/>
      <c r="I1466" s="23"/>
      <c r="L1466" s="50" t="s">
        <v>12287</v>
      </c>
      <c r="M1466" s="17" t="s">
        <v>12288</v>
      </c>
      <c r="N1466" s="51" t="s">
        <v>12289</v>
      </c>
      <c r="O1466" s="29" t="s">
        <v>1476</v>
      </c>
      <c r="P1466" s="29" t="s">
        <v>12290</v>
      </c>
      <c r="Q1466" s="29" t="s">
        <v>1476</v>
      </c>
      <c r="R1466" s="29" t="s">
        <v>4812</v>
      </c>
      <c r="S1466" s="28" t="s">
        <v>1862</v>
      </c>
      <c r="T1466" s="28" t="s">
        <v>2458</v>
      </c>
      <c r="U1466" s="28" t="s">
        <v>1445</v>
      </c>
      <c r="V1466" s="28" t="s">
        <v>1855</v>
      </c>
      <c r="W1466" s="28" t="s">
        <v>12291</v>
      </c>
      <c r="X1466" s="17">
        <v>1</v>
      </c>
      <c r="CJ1466" s="26" t="s">
        <v>1420</v>
      </c>
      <c r="CK1466" s="26" t="s">
        <v>3074</v>
      </c>
      <c r="CL1466" s="26" t="str">
        <f t="shared" si="89"/>
        <v>熊本県山都町</v>
      </c>
      <c r="CM1466" s="49">
        <v>1461</v>
      </c>
      <c r="CN1466" s="17" t="str">
        <f t="shared" si="88"/>
        <v>1637</v>
      </c>
      <c r="CO1466" s="17" t="str">
        <f t="shared" si="90"/>
        <v>14611637山都町</v>
      </c>
      <c r="CP1466" s="17" t="s">
        <v>12292</v>
      </c>
      <c r="CQ1466" s="17" t="b">
        <f t="shared" si="91"/>
        <v>1</v>
      </c>
    </row>
    <row r="1467" spans="6:95">
      <c r="F1467" s="23"/>
      <c r="I1467" s="23"/>
      <c r="L1467" s="50" t="s">
        <v>12293</v>
      </c>
      <c r="M1467" s="17" t="s">
        <v>12294</v>
      </c>
      <c r="N1467" s="51" t="s">
        <v>12295</v>
      </c>
      <c r="O1467" s="29" t="s">
        <v>1476</v>
      </c>
      <c r="P1467" s="29" t="s">
        <v>12296</v>
      </c>
      <c r="Q1467" s="29" t="s">
        <v>1476</v>
      </c>
      <c r="R1467" s="29" t="s">
        <v>3810</v>
      </c>
      <c r="S1467" s="28" t="s">
        <v>1803</v>
      </c>
      <c r="T1467" s="28" t="s">
        <v>2508</v>
      </c>
      <c r="U1467" s="28" t="s">
        <v>1445</v>
      </c>
      <c r="V1467" s="28" t="s">
        <v>1855</v>
      </c>
      <c r="W1467" s="28" t="s">
        <v>12297</v>
      </c>
      <c r="X1467" s="17">
        <v>1</v>
      </c>
      <c r="CJ1467" s="26" t="s">
        <v>1420</v>
      </c>
      <c r="CK1467" s="26" t="s">
        <v>3103</v>
      </c>
      <c r="CL1467" s="26" t="str">
        <f t="shared" si="89"/>
        <v>熊本県氷川町</v>
      </c>
      <c r="CM1467" s="49">
        <v>1462</v>
      </c>
      <c r="CN1467" s="17" t="str">
        <f t="shared" si="88"/>
        <v>1638</v>
      </c>
      <c r="CO1467" s="17" t="str">
        <f t="shared" si="90"/>
        <v>14621638氷川町</v>
      </c>
      <c r="CP1467" s="17" t="s">
        <v>12298</v>
      </c>
      <c r="CQ1467" s="17" t="b">
        <f t="shared" si="91"/>
        <v>1</v>
      </c>
    </row>
    <row r="1468" spans="6:95">
      <c r="F1468" s="23"/>
      <c r="I1468" s="23"/>
      <c r="L1468" s="50" t="s">
        <v>12299</v>
      </c>
      <c r="M1468" s="17" t="s">
        <v>12300</v>
      </c>
      <c r="N1468" s="51" t="s">
        <v>12301</v>
      </c>
      <c r="O1468" s="29" t="s">
        <v>1476</v>
      </c>
      <c r="P1468" s="29" t="s">
        <v>12302</v>
      </c>
      <c r="Q1468" s="29" t="s">
        <v>1476</v>
      </c>
      <c r="R1468" s="29" t="s">
        <v>12303</v>
      </c>
      <c r="S1468" s="28" t="s">
        <v>2311</v>
      </c>
      <c r="T1468" s="28" t="s">
        <v>2561</v>
      </c>
      <c r="U1468" s="28" t="s">
        <v>1445</v>
      </c>
      <c r="V1468" s="28" t="s">
        <v>1855</v>
      </c>
      <c r="W1468" s="28" t="s">
        <v>12304</v>
      </c>
      <c r="X1468" s="17">
        <v>1</v>
      </c>
      <c r="CJ1468" s="26" t="s">
        <v>1420</v>
      </c>
      <c r="CK1468" s="26" t="s">
        <v>3133</v>
      </c>
      <c r="CL1468" s="26" t="str">
        <f t="shared" si="89"/>
        <v>熊本県芦北町</v>
      </c>
      <c r="CM1468" s="49">
        <v>1463</v>
      </c>
      <c r="CN1468" s="17" t="str">
        <f t="shared" si="88"/>
        <v>1639</v>
      </c>
      <c r="CO1468" s="17" t="str">
        <f t="shared" si="90"/>
        <v>14631639芦北町</v>
      </c>
      <c r="CP1468" s="17" t="s">
        <v>12305</v>
      </c>
      <c r="CQ1468" s="17" t="b">
        <f t="shared" si="91"/>
        <v>1</v>
      </c>
    </row>
    <row r="1469" spans="6:95">
      <c r="F1469" s="23"/>
      <c r="I1469" s="23"/>
      <c r="L1469" s="50" t="s">
        <v>12306</v>
      </c>
      <c r="M1469" s="17" t="s">
        <v>12307</v>
      </c>
      <c r="N1469" s="51" t="s">
        <v>12308</v>
      </c>
      <c r="O1469" s="29" t="s">
        <v>1476</v>
      </c>
      <c r="P1469" s="29" t="s">
        <v>12309</v>
      </c>
      <c r="Q1469" s="29" t="s">
        <v>1476</v>
      </c>
      <c r="R1469" s="29" t="s">
        <v>4991</v>
      </c>
      <c r="S1469" s="28" t="s">
        <v>1803</v>
      </c>
      <c r="T1469" s="28" t="s">
        <v>2608</v>
      </c>
      <c r="U1469" s="28" t="s">
        <v>1445</v>
      </c>
      <c r="V1469" s="28" t="s">
        <v>1855</v>
      </c>
      <c r="W1469" s="28" t="s">
        <v>12310</v>
      </c>
      <c r="X1469" s="17">
        <v>1</v>
      </c>
      <c r="CJ1469" s="26" t="s">
        <v>1420</v>
      </c>
      <c r="CK1469" s="26" t="s">
        <v>3164</v>
      </c>
      <c r="CL1469" s="26" t="str">
        <f t="shared" si="89"/>
        <v>熊本県津奈木町</v>
      </c>
      <c r="CM1469" s="49">
        <v>1464</v>
      </c>
      <c r="CN1469" s="17" t="str">
        <f t="shared" si="88"/>
        <v>1640</v>
      </c>
      <c r="CO1469" s="17" t="str">
        <f t="shared" si="90"/>
        <v>14641640津奈木町</v>
      </c>
      <c r="CP1469" s="17" t="s">
        <v>12311</v>
      </c>
      <c r="CQ1469" s="17" t="b">
        <f t="shared" si="91"/>
        <v>1</v>
      </c>
    </row>
    <row r="1470" spans="6:95">
      <c r="F1470" s="23"/>
      <c r="I1470" s="23"/>
      <c r="L1470" s="50" t="s">
        <v>12312</v>
      </c>
      <c r="M1470" s="17" t="s">
        <v>12313</v>
      </c>
      <c r="N1470" s="51" t="s">
        <v>12314</v>
      </c>
      <c r="O1470" s="29" t="s">
        <v>1477</v>
      </c>
      <c r="P1470" s="29" t="s">
        <v>12315</v>
      </c>
      <c r="Q1470" s="29" t="s">
        <v>1477</v>
      </c>
      <c r="R1470" s="29" t="s">
        <v>4593</v>
      </c>
      <c r="S1470" s="28" t="s">
        <v>1626</v>
      </c>
      <c r="T1470" s="28" t="s">
        <v>1542</v>
      </c>
      <c r="U1470" s="28" t="s">
        <v>1445</v>
      </c>
      <c r="V1470" s="28" t="s">
        <v>1855</v>
      </c>
      <c r="W1470" s="28" t="s">
        <v>12316</v>
      </c>
      <c r="X1470" s="17">
        <v>1</v>
      </c>
      <c r="CJ1470" s="26" t="s">
        <v>1420</v>
      </c>
      <c r="CK1470" s="26" t="s">
        <v>3190</v>
      </c>
      <c r="CL1470" s="26" t="str">
        <f t="shared" si="89"/>
        <v>熊本県錦町</v>
      </c>
      <c r="CM1470" s="49">
        <v>1465</v>
      </c>
      <c r="CN1470" s="17" t="str">
        <f t="shared" si="88"/>
        <v>1641</v>
      </c>
      <c r="CO1470" s="17" t="str">
        <f t="shared" si="90"/>
        <v>14651641錦町</v>
      </c>
      <c r="CP1470" s="17" t="s">
        <v>12317</v>
      </c>
      <c r="CQ1470" s="17" t="b">
        <f t="shared" si="91"/>
        <v>1</v>
      </c>
    </row>
    <row r="1471" spans="6:95">
      <c r="F1471" s="23"/>
      <c r="I1471" s="23"/>
      <c r="L1471" s="50" t="s">
        <v>12318</v>
      </c>
      <c r="M1471" s="17" t="s">
        <v>12319</v>
      </c>
      <c r="N1471" s="51" t="s">
        <v>12320</v>
      </c>
      <c r="O1471" s="29" t="s">
        <v>1477</v>
      </c>
      <c r="P1471" s="29" t="s">
        <v>12321</v>
      </c>
      <c r="Q1471" s="29" t="s">
        <v>1477</v>
      </c>
      <c r="R1471" s="29" t="s">
        <v>1563</v>
      </c>
      <c r="S1471" s="28" t="s">
        <v>1502</v>
      </c>
      <c r="T1471" s="28" t="s">
        <v>1604</v>
      </c>
      <c r="U1471" s="28" t="s">
        <v>1445</v>
      </c>
      <c r="V1471" s="28" t="s">
        <v>1855</v>
      </c>
      <c r="W1471" s="28" t="s">
        <v>12322</v>
      </c>
      <c r="X1471" s="17">
        <v>1</v>
      </c>
      <c r="CJ1471" s="26" t="s">
        <v>1420</v>
      </c>
      <c r="CK1471" s="26" t="s">
        <v>3215</v>
      </c>
      <c r="CL1471" s="26" t="str">
        <f t="shared" si="89"/>
        <v>熊本県多良木町</v>
      </c>
      <c r="CM1471" s="49">
        <v>1466</v>
      </c>
      <c r="CN1471" s="17" t="str">
        <f t="shared" si="88"/>
        <v>1642</v>
      </c>
      <c r="CO1471" s="17" t="str">
        <f t="shared" si="90"/>
        <v>14661642多良木町</v>
      </c>
      <c r="CP1471" s="17" t="s">
        <v>12323</v>
      </c>
      <c r="CQ1471" s="17" t="b">
        <f t="shared" si="91"/>
        <v>1</v>
      </c>
    </row>
    <row r="1472" spans="6:95">
      <c r="F1472" s="23"/>
      <c r="I1472" s="23"/>
      <c r="L1472" s="50" t="s">
        <v>12324</v>
      </c>
      <c r="M1472" s="17" t="s">
        <v>12325</v>
      </c>
      <c r="N1472" s="51" t="s">
        <v>12326</v>
      </c>
      <c r="O1472" s="29" t="s">
        <v>1477</v>
      </c>
      <c r="P1472" s="29" t="s">
        <v>12327</v>
      </c>
      <c r="Q1472" s="29" t="s">
        <v>1477</v>
      </c>
      <c r="R1472" s="29" t="s">
        <v>1625</v>
      </c>
      <c r="S1472" s="28" t="s">
        <v>2525</v>
      </c>
      <c r="T1472" s="28" t="s">
        <v>1666</v>
      </c>
      <c r="U1472" s="28" t="s">
        <v>1445</v>
      </c>
      <c r="V1472" s="28" t="s">
        <v>1855</v>
      </c>
      <c r="W1472" s="28" t="s">
        <v>12328</v>
      </c>
      <c r="X1472" s="17">
        <v>1</v>
      </c>
      <c r="CJ1472" s="26" t="s">
        <v>1420</v>
      </c>
      <c r="CK1472" s="26" t="s">
        <v>3237</v>
      </c>
      <c r="CL1472" s="26" t="str">
        <f t="shared" si="89"/>
        <v>熊本県湯前町</v>
      </c>
      <c r="CM1472" s="49">
        <v>1467</v>
      </c>
      <c r="CN1472" s="17" t="str">
        <f t="shared" si="88"/>
        <v>1643</v>
      </c>
      <c r="CO1472" s="17" t="str">
        <f t="shared" si="90"/>
        <v>14671643湯前町</v>
      </c>
      <c r="CP1472" s="17" t="s">
        <v>12329</v>
      </c>
      <c r="CQ1472" s="17" t="b">
        <f t="shared" si="91"/>
        <v>1</v>
      </c>
    </row>
    <row r="1473" spans="6:95">
      <c r="F1473" s="23"/>
      <c r="I1473" s="23"/>
      <c r="L1473" s="50" t="s">
        <v>12330</v>
      </c>
      <c r="M1473" s="17" t="s">
        <v>12331</v>
      </c>
      <c r="N1473" s="51" t="s">
        <v>12332</v>
      </c>
      <c r="O1473" s="29" t="s">
        <v>1477</v>
      </c>
      <c r="P1473" s="29" t="s">
        <v>12333</v>
      </c>
      <c r="Q1473" s="29" t="s">
        <v>1477</v>
      </c>
      <c r="R1473" s="29" t="s">
        <v>1684</v>
      </c>
      <c r="S1473" s="28" t="s">
        <v>2311</v>
      </c>
      <c r="T1473" s="28" t="s">
        <v>1724</v>
      </c>
      <c r="U1473" s="28" t="s">
        <v>1445</v>
      </c>
      <c r="V1473" s="28" t="s">
        <v>1855</v>
      </c>
      <c r="W1473" s="28" t="s">
        <v>12334</v>
      </c>
      <c r="X1473" s="17">
        <v>1</v>
      </c>
      <c r="CJ1473" s="26" t="s">
        <v>1420</v>
      </c>
      <c r="CK1473" s="26" t="s">
        <v>3262</v>
      </c>
      <c r="CL1473" s="26" t="str">
        <f t="shared" si="89"/>
        <v>熊本県水上村</v>
      </c>
      <c r="CM1473" s="49">
        <v>1468</v>
      </c>
      <c r="CN1473" s="17" t="str">
        <f t="shared" si="88"/>
        <v>1644</v>
      </c>
      <c r="CO1473" s="17" t="str">
        <f t="shared" si="90"/>
        <v>14681644水上村</v>
      </c>
      <c r="CP1473" s="17" t="s">
        <v>12335</v>
      </c>
      <c r="CQ1473" s="17" t="b">
        <f t="shared" si="91"/>
        <v>1</v>
      </c>
    </row>
    <row r="1474" spans="6:95">
      <c r="F1474" s="23"/>
      <c r="I1474" s="23"/>
      <c r="L1474" s="50" t="s">
        <v>12336</v>
      </c>
      <c r="M1474" s="17" t="s">
        <v>12337</v>
      </c>
      <c r="N1474" s="51" t="s">
        <v>12338</v>
      </c>
      <c r="O1474" s="29" t="s">
        <v>1477</v>
      </c>
      <c r="P1474" s="29" t="s">
        <v>12339</v>
      </c>
      <c r="Q1474" s="29" t="s">
        <v>1477</v>
      </c>
      <c r="R1474" s="29" t="s">
        <v>1742</v>
      </c>
      <c r="S1474" s="28" t="s">
        <v>1862</v>
      </c>
      <c r="T1474" s="28" t="s">
        <v>1783</v>
      </c>
      <c r="U1474" s="28" t="s">
        <v>1445</v>
      </c>
      <c r="V1474" s="28" t="s">
        <v>1855</v>
      </c>
      <c r="W1474" s="28" t="s">
        <v>12340</v>
      </c>
      <c r="X1474" s="17">
        <v>1</v>
      </c>
      <c r="CJ1474" s="26" t="s">
        <v>1420</v>
      </c>
      <c r="CK1474" s="26" t="s">
        <v>3285</v>
      </c>
      <c r="CL1474" s="26" t="str">
        <f t="shared" si="89"/>
        <v>熊本県相良村</v>
      </c>
      <c r="CM1474" s="49">
        <v>1469</v>
      </c>
      <c r="CN1474" s="17" t="str">
        <f t="shared" si="88"/>
        <v>1645</v>
      </c>
      <c r="CO1474" s="17" t="str">
        <f t="shared" si="90"/>
        <v>14691645相良村</v>
      </c>
      <c r="CP1474" s="17" t="s">
        <v>12341</v>
      </c>
      <c r="CQ1474" s="17" t="b">
        <f t="shared" si="91"/>
        <v>1</v>
      </c>
    </row>
    <row r="1475" spans="6:95">
      <c r="F1475" s="23"/>
      <c r="I1475" s="23"/>
      <c r="L1475" s="50" t="s">
        <v>12342</v>
      </c>
      <c r="M1475" s="17" t="s">
        <v>12343</v>
      </c>
      <c r="N1475" s="51" t="s">
        <v>12344</v>
      </c>
      <c r="O1475" s="29" t="s">
        <v>1477</v>
      </c>
      <c r="P1475" s="29" t="s">
        <v>12345</v>
      </c>
      <c r="Q1475" s="29" t="s">
        <v>1477</v>
      </c>
      <c r="R1475" s="29" t="s">
        <v>1802</v>
      </c>
      <c r="S1475" s="28" t="s">
        <v>1920</v>
      </c>
      <c r="T1475" s="28" t="s">
        <v>1843</v>
      </c>
      <c r="U1475" s="28" t="s">
        <v>1445</v>
      </c>
      <c r="V1475" s="28" t="s">
        <v>1855</v>
      </c>
      <c r="W1475" s="28" t="s">
        <v>12346</v>
      </c>
      <c r="X1475" s="17">
        <v>1</v>
      </c>
      <c r="CJ1475" s="26" t="s">
        <v>1420</v>
      </c>
      <c r="CK1475" s="26" t="s">
        <v>3307</v>
      </c>
      <c r="CL1475" s="26" t="str">
        <f t="shared" si="89"/>
        <v>熊本県五木村</v>
      </c>
      <c r="CM1475" s="49">
        <v>1470</v>
      </c>
      <c r="CN1475" s="17" t="str">
        <f t="shared" si="88"/>
        <v>1646</v>
      </c>
      <c r="CO1475" s="17" t="str">
        <f t="shared" si="90"/>
        <v>14701646五木村</v>
      </c>
      <c r="CP1475" s="17" t="s">
        <v>12347</v>
      </c>
      <c r="CQ1475" s="17" t="b">
        <f t="shared" si="91"/>
        <v>1</v>
      </c>
    </row>
    <row r="1476" spans="6:95">
      <c r="F1476" s="23"/>
      <c r="I1476" s="23"/>
      <c r="L1476" s="50" t="s">
        <v>12348</v>
      </c>
      <c r="M1476" s="17" t="s">
        <v>12349</v>
      </c>
      <c r="N1476" s="51" t="s">
        <v>12350</v>
      </c>
      <c r="O1476" s="29" t="s">
        <v>1477</v>
      </c>
      <c r="P1476" s="29" t="s">
        <v>12351</v>
      </c>
      <c r="Q1476" s="29" t="s">
        <v>1477</v>
      </c>
      <c r="R1476" s="29" t="s">
        <v>1919</v>
      </c>
      <c r="S1476" s="28" t="s">
        <v>1743</v>
      </c>
      <c r="T1476" s="28" t="s">
        <v>1902</v>
      </c>
      <c r="U1476" s="28" t="s">
        <v>1445</v>
      </c>
      <c r="V1476" s="28" t="s">
        <v>1855</v>
      </c>
      <c r="W1476" s="28" t="s">
        <v>12352</v>
      </c>
      <c r="X1476" s="17">
        <v>1</v>
      </c>
      <c r="CJ1476" s="26" t="s">
        <v>1420</v>
      </c>
      <c r="CK1476" s="26" t="s">
        <v>3329</v>
      </c>
      <c r="CL1476" s="26" t="str">
        <f t="shared" si="89"/>
        <v>熊本県山江村</v>
      </c>
      <c r="CM1476" s="49">
        <v>1471</v>
      </c>
      <c r="CN1476" s="17" t="str">
        <f t="shared" si="88"/>
        <v>1647</v>
      </c>
      <c r="CO1476" s="17" t="str">
        <f t="shared" si="90"/>
        <v>14711647山江村</v>
      </c>
      <c r="CP1476" s="17" t="s">
        <v>12353</v>
      </c>
      <c r="CQ1476" s="17" t="b">
        <f t="shared" si="91"/>
        <v>1</v>
      </c>
    </row>
    <row r="1477" spans="6:95">
      <c r="F1477" s="23"/>
      <c r="I1477" s="23"/>
      <c r="L1477" s="50" t="s">
        <v>12354</v>
      </c>
      <c r="M1477" s="17" t="s">
        <v>12355</v>
      </c>
      <c r="N1477" s="51" t="s">
        <v>12356</v>
      </c>
      <c r="O1477" s="29" t="s">
        <v>1477</v>
      </c>
      <c r="P1477" s="29" t="s">
        <v>12357</v>
      </c>
      <c r="Q1477" s="29" t="s">
        <v>1477</v>
      </c>
      <c r="R1477" s="29" t="s">
        <v>1976</v>
      </c>
      <c r="S1477" s="28" t="s">
        <v>1803</v>
      </c>
      <c r="T1477" s="28" t="s">
        <v>1960</v>
      </c>
      <c r="U1477" s="28" t="s">
        <v>1445</v>
      </c>
      <c r="V1477" s="28" t="s">
        <v>1855</v>
      </c>
      <c r="W1477" s="28" t="s">
        <v>12358</v>
      </c>
      <c r="X1477" s="17">
        <v>1</v>
      </c>
      <c r="CJ1477" s="26" t="s">
        <v>1420</v>
      </c>
      <c r="CK1477" s="26" t="s">
        <v>3350</v>
      </c>
      <c r="CL1477" s="26" t="str">
        <f t="shared" si="89"/>
        <v>熊本県球磨村</v>
      </c>
      <c r="CM1477" s="49">
        <v>1472</v>
      </c>
      <c r="CN1477" s="17" t="str">
        <f t="shared" si="88"/>
        <v>1648</v>
      </c>
      <c r="CO1477" s="17" t="str">
        <f t="shared" si="90"/>
        <v>14721648球磨村</v>
      </c>
      <c r="CP1477" s="17" t="s">
        <v>12359</v>
      </c>
      <c r="CQ1477" s="17" t="b">
        <f t="shared" si="91"/>
        <v>1</v>
      </c>
    </row>
    <row r="1478" spans="6:95">
      <c r="F1478" s="23"/>
      <c r="I1478" s="23"/>
      <c r="L1478" s="50" t="s">
        <v>12360</v>
      </c>
      <c r="M1478" s="17" t="s">
        <v>12361</v>
      </c>
      <c r="N1478" s="51" t="s">
        <v>12362</v>
      </c>
      <c r="O1478" s="29" t="s">
        <v>1477</v>
      </c>
      <c r="P1478" s="29" t="s">
        <v>12363</v>
      </c>
      <c r="Q1478" s="29" t="s">
        <v>1477</v>
      </c>
      <c r="R1478" s="29" t="s">
        <v>2033</v>
      </c>
      <c r="S1478" s="28" t="s">
        <v>1862</v>
      </c>
      <c r="T1478" s="28" t="s">
        <v>2017</v>
      </c>
      <c r="U1478" s="28" t="s">
        <v>1445</v>
      </c>
      <c r="V1478" s="28" t="s">
        <v>1855</v>
      </c>
      <c r="W1478" s="28" t="s">
        <v>12364</v>
      </c>
      <c r="X1478" s="17">
        <v>1</v>
      </c>
      <c r="CJ1478" s="26" t="s">
        <v>1420</v>
      </c>
      <c r="CK1478" s="26" t="s">
        <v>3370</v>
      </c>
      <c r="CL1478" s="26" t="str">
        <f t="shared" si="89"/>
        <v>熊本県あさぎり町</v>
      </c>
      <c r="CM1478" s="49">
        <v>1473</v>
      </c>
      <c r="CN1478" s="17" t="str">
        <f t="shared" ref="CN1478:CN1541" si="92">VLOOKUP(CL1478,$M$6:$N$1784,2,FALSE)</f>
        <v>1649</v>
      </c>
      <c r="CO1478" s="17" t="str">
        <f t="shared" si="90"/>
        <v>14731649あさぎり町</v>
      </c>
      <c r="CP1478" s="17" t="s">
        <v>12365</v>
      </c>
      <c r="CQ1478" s="17" t="b">
        <f t="shared" si="91"/>
        <v>1</v>
      </c>
    </row>
    <row r="1479" spans="6:95">
      <c r="F1479" s="23"/>
      <c r="I1479" s="23"/>
      <c r="L1479" s="50" t="s">
        <v>12366</v>
      </c>
      <c r="M1479" s="17" t="s">
        <v>12367</v>
      </c>
      <c r="N1479" s="51" t="s">
        <v>12368</v>
      </c>
      <c r="O1479" s="29" t="s">
        <v>1477</v>
      </c>
      <c r="P1479" s="29" t="s">
        <v>12369</v>
      </c>
      <c r="Q1479" s="29" t="s">
        <v>1477</v>
      </c>
      <c r="R1479" s="29" t="s">
        <v>2089</v>
      </c>
      <c r="S1479" s="28" t="s">
        <v>1920</v>
      </c>
      <c r="T1479" s="28" t="s">
        <v>2073</v>
      </c>
      <c r="U1479" s="28" t="s">
        <v>1445</v>
      </c>
      <c r="V1479" s="28" t="s">
        <v>1855</v>
      </c>
      <c r="W1479" s="28" t="s">
        <v>12370</v>
      </c>
      <c r="X1479" s="17">
        <v>1</v>
      </c>
      <c r="CJ1479" s="26" t="s">
        <v>1420</v>
      </c>
      <c r="CK1479" s="26" t="s">
        <v>3388</v>
      </c>
      <c r="CL1479" s="26" t="str">
        <f t="shared" si="89"/>
        <v>熊本県苓北町</v>
      </c>
      <c r="CM1479" s="49">
        <v>1474</v>
      </c>
      <c r="CN1479" s="17" t="str">
        <f t="shared" si="92"/>
        <v>1650</v>
      </c>
      <c r="CO1479" s="17" t="str">
        <f t="shared" si="90"/>
        <v>14741650苓北町</v>
      </c>
      <c r="CP1479" s="17" t="s">
        <v>12371</v>
      </c>
      <c r="CQ1479" s="17" t="b">
        <f t="shared" si="91"/>
        <v>1</v>
      </c>
    </row>
    <row r="1480" spans="6:95">
      <c r="F1480" s="23"/>
      <c r="I1480" s="23"/>
      <c r="L1480" s="50" t="s">
        <v>12372</v>
      </c>
      <c r="M1480" s="17" t="s">
        <v>12373</v>
      </c>
      <c r="N1480" s="51" t="s">
        <v>12374</v>
      </c>
      <c r="O1480" s="29" t="s">
        <v>1477</v>
      </c>
      <c r="P1480" s="29" t="s">
        <v>12375</v>
      </c>
      <c r="Q1480" s="29" t="s">
        <v>1477</v>
      </c>
      <c r="R1480" s="29" t="s">
        <v>2145</v>
      </c>
      <c r="S1480" s="28" t="s">
        <v>1977</v>
      </c>
      <c r="T1480" s="28" t="s">
        <v>2129</v>
      </c>
      <c r="U1480" s="28" t="s">
        <v>1445</v>
      </c>
      <c r="V1480" s="28" t="s">
        <v>1855</v>
      </c>
      <c r="W1480" s="28" t="s">
        <v>12376</v>
      </c>
      <c r="X1480" s="17">
        <v>1</v>
      </c>
      <c r="CJ1480" s="26" t="s">
        <v>1421</v>
      </c>
      <c r="CK1480" s="26" t="s">
        <v>1547</v>
      </c>
      <c r="CL1480" s="26" t="str">
        <f t="shared" ref="CL1480:CL1543" si="93">CJ1480&amp;CK1480</f>
        <v>大分県大分市</v>
      </c>
      <c r="CM1480" s="49">
        <v>1475</v>
      </c>
      <c r="CN1480" s="17" t="str">
        <f t="shared" si="92"/>
        <v>1651</v>
      </c>
      <c r="CO1480" s="17" t="str">
        <f t="shared" ref="CO1480:CO1543" si="94">CM1480&amp;TEXT(CN1480,0)&amp;CK1480</f>
        <v>14751651大分市</v>
      </c>
      <c r="CP1480" s="17" t="s">
        <v>12377</v>
      </c>
      <c r="CQ1480" s="17" t="b">
        <f t="shared" ref="CQ1480:CQ1543" si="95">CO1480=CP1480</f>
        <v>1</v>
      </c>
    </row>
    <row r="1481" spans="6:95">
      <c r="F1481" s="23"/>
      <c r="I1481" s="23"/>
      <c r="L1481" s="50" t="s">
        <v>12378</v>
      </c>
      <c r="M1481" s="17" t="s">
        <v>12379</v>
      </c>
      <c r="N1481" s="51" t="s">
        <v>12380</v>
      </c>
      <c r="O1481" s="29" t="s">
        <v>1477</v>
      </c>
      <c r="P1481" s="29" t="s">
        <v>12381</v>
      </c>
      <c r="Q1481" s="29" t="s">
        <v>1477</v>
      </c>
      <c r="R1481" s="29" t="s">
        <v>4653</v>
      </c>
      <c r="S1481" s="28" t="s">
        <v>1502</v>
      </c>
      <c r="T1481" s="28" t="s">
        <v>2185</v>
      </c>
      <c r="U1481" s="28" t="s">
        <v>1445</v>
      </c>
      <c r="V1481" s="28" t="s">
        <v>1855</v>
      </c>
      <c r="W1481" s="28" t="s">
        <v>12382</v>
      </c>
      <c r="X1481" s="17">
        <v>1</v>
      </c>
      <c r="CJ1481" s="26" t="s">
        <v>1421</v>
      </c>
      <c r="CK1481" s="26" t="s">
        <v>1609</v>
      </c>
      <c r="CL1481" s="26" t="str">
        <f t="shared" si="93"/>
        <v>大分県別府市</v>
      </c>
      <c r="CM1481" s="49">
        <v>1476</v>
      </c>
      <c r="CN1481" s="17" t="str">
        <f t="shared" si="92"/>
        <v>1652</v>
      </c>
      <c r="CO1481" s="17" t="str">
        <f t="shared" si="94"/>
        <v>14761652別府市</v>
      </c>
      <c r="CP1481" s="17" t="s">
        <v>12383</v>
      </c>
      <c r="CQ1481" s="17" t="b">
        <f t="shared" si="95"/>
        <v>1</v>
      </c>
    </row>
    <row r="1482" spans="6:95">
      <c r="F1482" s="23"/>
      <c r="I1482" s="23"/>
      <c r="L1482" s="50" t="s">
        <v>12384</v>
      </c>
      <c r="M1482" s="17" t="s">
        <v>12385</v>
      </c>
      <c r="N1482" s="51" t="s">
        <v>12386</v>
      </c>
      <c r="O1482" s="29" t="s">
        <v>1477</v>
      </c>
      <c r="P1482" s="29" t="s">
        <v>12387</v>
      </c>
      <c r="Q1482" s="29" t="s">
        <v>1477</v>
      </c>
      <c r="R1482" s="29" t="s">
        <v>4672</v>
      </c>
      <c r="S1482" s="28" t="s">
        <v>1743</v>
      </c>
      <c r="T1482" s="28" t="s">
        <v>2240</v>
      </c>
      <c r="U1482" s="28" t="s">
        <v>1445</v>
      </c>
      <c r="V1482" s="28" t="s">
        <v>1855</v>
      </c>
      <c r="W1482" s="28" t="s">
        <v>12388</v>
      </c>
      <c r="X1482" s="17">
        <v>1</v>
      </c>
      <c r="CJ1482" s="26" t="s">
        <v>1421</v>
      </c>
      <c r="CK1482" s="26" t="s">
        <v>1671</v>
      </c>
      <c r="CL1482" s="26" t="str">
        <f t="shared" si="93"/>
        <v>大分県中津市</v>
      </c>
      <c r="CM1482" s="49">
        <v>1477</v>
      </c>
      <c r="CN1482" s="17" t="str">
        <f t="shared" si="92"/>
        <v>1653</v>
      </c>
      <c r="CO1482" s="17" t="str">
        <f t="shared" si="94"/>
        <v>14771653中津市</v>
      </c>
      <c r="CP1482" s="17" t="s">
        <v>12389</v>
      </c>
      <c r="CQ1482" s="17" t="b">
        <f t="shared" si="95"/>
        <v>1</v>
      </c>
    </row>
    <row r="1483" spans="6:95">
      <c r="F1483" s="23"/>
      <c r="I1483" s="23"/>
      <c r="L1483" s="50" t="s">
        <v>12390</v>
      </c>
      <c r="M1483" s="17" t="s">
        <v>12391</v>
      </c>
      <c r="N1483" s="51" t="s">
        <v>12392</v>
      </c>
      <c r="O1483" s="29" t="s">
        <v>1477</v>
      </c>
      <c r="P1483" s="29" t="s">
        <v>12393</v>
      </c>
      <c r="Q1483" s="29" t="s">
        <v>1477</v>
      </c>
      <c r="R1483" s="29" t="s">
        <v>5197</v>
      </c>
      <c r="S1483" s="28" t="s">
        <v>2311</v>
      </c>
      <c r="T1483" s="28" t="s">
        <v>2295</v>
      </c>
      <c r="U1483" s="28" t="s">
        <v>1445</v>
      </c>
      <c r="V1483" s="28" t="s">
        <v>1855</v>
      </c>
      <c r="W1483" s="28" t="s">
        <v>12394</v>
      </c>
      <c r="X1483" s="17">
        <v>1</v>
      </c>
      <c r="CJ1483" s="26" t="s">
        <v>1421</v>
      </c>
      <c r="CK1483" s="26" t="s">
        <v>1729</v>
      </c>
      <c r="CL1483" s="26" t="str">
        <f t="shared" si="93"/>
        <v>大分県日田市</v>
      </c>
      <c r="CM1483" s="49">
        <v>1478</v>
      </c>
      <c r="CN1483" s="17" t="str">
        <f t="shared" si="92"/>
        <v>1654</v>
      </c>
      <c r="CO1483" s="17" t="str">
        <f t="shared" si="94"/>
        <v>14781654日田市</v>
      </c>
      <c r="CP1483" s="17" t="s">
        <v>12395</v>
      </c>
      <c r="CQ1483" s="17" t="b">
        <f t="shared" si="95"/>
        <v>1</v>
      </c>
    </row>
    <row r="1484" spans="6:95">
      <c r="F1484" s="23"/>
      <c r="I1484" s="23"/>
      <c r="L1484" s="50" t="s">
        <v>12396</v>
      </c>
      <c r="M1484" s="17" t="s">
        <v>12397</v>
      </c>
      <c r="N1484" s="51" t="s">
        <v>12398</v>
      </c>
      <c r="O1484" s="29" t="s">
        <v>1477</v>
      </c>
      <c r="P1484" s="29" t="s">
        <v>12399</v>
      </c>
      <c r="Q1484" s="29" t="s">
        <v>1477</v>
      </c>
      <c r="R1484" s="29" t="s">
        <v>5767</v>
      </c>
      <c r="S1484" s="28" t="s">
        <v>1502</v>
      </c>
      <c r="T1484" s="28" t="s">
        <v>2350</v>
      </c>
      <c r="U1484" s="28" t="s">
        <v>1445</v>
      </c>
      <c r="V1484" s="28" t="s">
        <v>1855</v>
      </c>
      <c r="W1484" s="28" t="s">
        <v>12400</v>
      </c>
      <c r="X1484" s="17">
        <v>1</v>
      </c>
      <c r="CJ1484" s="26" t="s">
        <v>1421</v>
      </c>
      <c r="CK1484" s="26" t="s">
        <v>1788</v>
      </c>
      <c r="CL1484" s="26" t="str">
        <f t="shared" si="93"/>
        <v>大分県佐伯市</v>
      </c>
      <c r="CM1484" s="49">
        <v>1479</v>
      </c>
      <c r="CN1484" s="17" t="str">
        <f t="shared" si="92"/>
        <v>1655</v>
      </c>
      <c r="CO1484" s="17" t="str">
        <f t="shared" si="94"/>
        <v>14791655佐伯市</v>
      </c>
      <c r="CP1484" s="17" t="s">
        <v>12401</v>
      </c>
      <c r="CQ1484" s="17" t="b">
        <f t="shared" si="95"/>
        <v>1</v>
      </c>
    </row>
    <row r="1485" spans="6:95">
      <c r="F1485" s="23"/>
      <c r="I1485" s="23"/>
      <c r="L1485" s="50" t="s">
        <v>12402</v>
      </c>
      <c r="M1485" s="17" t="s">
        <v>12403</v>
      </c>
      <c r="N1485" s="51" t="s">
        <v>12404</v>
      </c>
      <c r="O1485" s="29" t="s">
        <v>1477</v>
      </c>
      <c r="P1485" s="29" t="s">
        <v>12405</v>
      </c>
      <c r="Q1485" s="29" t="s">
        <v>1477</v>
      </c>
      <c r="R1485" s="29" t="s">
        <v>3426</v>
      </c>
      <c r="S1485" s="28" t="s">
        <v>1502</v>
      </c>
      <c r="T1485" s="28" t="s">
        <v>2405</v>
      </c>
      <c r="U1485" s="28" t="s">
        <v>1445</v>
      </c>
      <c r="V1485" s="28" t="s">
        <v>1855</v>
      </c>
      <c r="W1485" s="28" t="s">
        <v>12406</v>
      </c>
      <c r="X1485" s="17">
        <v>1</v>
      </c>
      <c r="CJ1485" s="26" t="s">
        <v>1421</v>
      </c>
      <c r="CK1485" s="26" t="s">
        <v>1848</v>
      </c>
      <c r="CL1485" s="26" t="str">
        <f t="shared" si="93"/>
        <v>大分県臼杵市</v>
      </c>
      <c r="CM1485" s="49">
        <v>1480</v>
      </c>
      <c r="CN1485" s="17" t="str">
        <f t="shared" si="92"/>
        <v>1656</v>
      </c>
      <c r="CO1485" s="17" t="str">
        <f t="shared" si="94"/>
        <v>14801656臼杵市</v>
      </c>
      <c r="CP1485" s="17" t="s">
        <v>12407</v>
      </c>
      <c r="CQ1485" s="17" t="b">
        <f t="shared" si="95"/>
        <v>1</v>
      </c>
    </row>
    <row r="1486" spans="6:95">
      <c r="F1486" s="23"/>
      <c r="I1486" s="23"/>
      <c r="L1486" s="50" t="s">
        <v>12408</v>
      </c>
      <c r="M1486" s="17" t="s">
        <v>12409</v>
      </c>
      <c r="N1486" s="51" t="s">
        <v>12410</v>
      </c>
      <c r="O1486" s="29" t="s">
        <v>1477</v>
      </c>
      <c r="P1486" s="29" t="s">
        <v>12411</v>
      </c>
      <c r="Q1486" s="29" t="s">
        <v>1477</v>
      </c>
      <c r="R1486" s="29" t="s">
        <v>3441</v>
      </c>
      <c r="S1486" s="28" t="s">
        <v>2525</v>
      </c>
      <c r="T1486" s="28" t="s">
        <v>2459</v>
      </c>
      <c r="U1486" s="28" t="s">
        <v>1445</v>
      </c>
      <c r="V1486" s="28" t="s">
        <v>1855</v>
      </c>
      <c r="W1486" s="28" t="s">
        <v>12412</v>
      </c>
      <c r="X1486" s="17">
        <v>1</v>
      </c>
      <c r="CJ1486" s="26" t="s">
        <v>1421</v>
      </c>
      <c r="CK1486" s="26" t="s">
        <v>1907</v>
      </c>
      <c r="CL1486" s="26" t="str">
        <f t="shared" si="93"/>
        <v>大分県津久見市</v>
      </c>
      <c r="CM1486" s="49">
        <v>1481</v>
      </c>
      <c r="CN1486" s="17" t="str">
        <f t="shared" si="92"/>
        <v>1657</v>
      </c>
      <c r="CO1486" s="17" t="str">
        <f t="shared" si="94"/>
        <v>14811657津久見市</v>
      </c>
      <c r="CP1486" s="17" t="s">
        <v>12413</v>
      </c>
      <c r="CQ1486" s="17" t="b">
        <f t="shared" si="95"/>
        <v>1</v>
      </c>
    </row>
    <row r="1487" spans="6:95">
      <c r="F1487" s="23"/>
      <c r="I1487" s="23"/>
      <c r="L1487" s="50" t="s">
        <v>12414</v>
      </c>
      <c r="M1487" s="17" t="s">
        <v>12415</v>
      </c>
      <c r="N1487" s="51" t="s">
        <v>12416</v>
      </c>
      <c r="O1487" s="29" t="s">
        <v>1477</v>
      </c>
      <c r="P1487" s="29" t="s">
        <v>12417</v>
      </c>
      <c r="Q1487" s="29" t="s">
        <v>1477</v>
      </c>
      <c r="R1487" s="29" t="s">
        <v>6415</v>
      </c>
      <c r="S1487" s="28" t="s">
        <v>1920</v>
      </c>
      <c r="T1487" s="28" t="s">
        <v>2509</v>
      </c>
      <c r="U1487" s="28" t="s">
        <v>1445</v>
      </c>
      <c r="V1487" s="28" t="s">
        <v>1855</v>
      </c>
      <c r="W1487" s="28" t="s">
        <v>12418</v>
      </c>
      <c r="X1487" s="17">
        <v>1</v>
      </c>
      <c r="CJ1487" s="26" t="s">
        <v>1421</v>
      </c>
      <c r="CK1487" s="26" t="s">
        <v>1965</v>
      </c>
      <c r="CL1487" s="26" t="str">
        <f t="shared" si="93"/>
        <v>大分県竹田市</v>
      </c>
      <c r="CM1487" s="49">
        <v>1482</v>
      </c>
      <c r="CN1487" s="17" t="str">
        <f t="shared" si="92"/>
        <v>1658</v>
      </c>
      <c r="CO1487" s="17" t="str">
        <f t="shared" si="94"/>
        <v>14821658竹田市</v>
      </c>
      <c r="CP1487" s="17" t="s">
        <v>12419</v>
      </c>
      <c r="CQ1487" s="17" t="b">
        <f t="shared" si="95"/>
        <v>1</v>
      </c>
    </row>
    <row r="1488" spans="6:95">
      <c r="F1488" s="23"/>
      <c r="I1488" s="23"/>
      <c r="L1488" s="50" t="s">
        <v>12420</v>
      </c>
      <c r="M1488" s="17" t="s">
        <v>12421</v>
      </c>
      <c r="N1488" s="51" t="s">
        <v>12422</v>
      </c>
      <c r="O1488" s="29" t="s">
        <v>1477</v>
      </c>
      <c r="P1488" s="29" t="s">
        <v>12423</v>
      </c>
      <c r="Q1488" s="29" t="s">
        <v>1477</v>
      </c>
      <c r="R1488" s="29" t="s">
        <v>4730</v>
      </c>
      <c r="S1488" s="28" t="s">
        <v>1977</v>
      </c>
      <c r="T1488" s="28" t="s">
        <v>2562</v>
      </c>
      <c r="U1488" s="28" t="s">
        <v>1445</v>
      </c>
      <c r="V1488" s="28" t="s">
        <v>1855</v>
      </c>
      <c r="W1488" s="28" t="s">
        <v>12424</v>
      </c>
      <c r="X1488" s="17">
        <v>1</v>
      </c>
      <c r="CJ1488" s="26" t="s">
        <v>1421</v>
      </c>
      <c r="CK1488" s="26" t="s">
        <v>2022</v>
      </c>
      <c r="CL1488" s="26" t="str">
        <f t="shared" si="93"/>
        <v>大分県豊後高田市</v>
      </c>
      <c r="CM1488" s="49">
        <v>1483</v>
      </c>
      <c r="CN1488" s="17" t="str">
        <f t="shared" si="92"/>
        <v>1659</v>
      </c>
      <c r="CO1488" s="17" t="str">
        <f t="shared" si="94"/>
        <v>14831659豊後高田市</v>
      </c>
      <c r="CP1488" s="17" t="s">
        <v>12425</v>
      </c>
      <c r="CQ1488" s="17" t="b">
        <f t="shared" si="95"/>
        <v>1</v>
      </c>
    </row>
    <row r="1489" spans="6:95">
      <c r="F1489" s="23"/>
      <c r="I1489" s="23"/>
      <c r="L1489" s="50" t="s">
        <v>12426</v>
      </c>
      <c r="M1489" s="17" t="s">
        <v>12427</v>
      </c>
      <c r="N1489" s="51" t="s">
        <v>12428</v>
      </c>
      <c r="O1489" s="29" t="s">
        <v>1477</v>
      </c>
      <c r="P1489" s="29" t="s">
        <v>12429</v>
      </c>
      <c r="Q1489" s="29" t="s">
        <v>1477</v>
      </c>
      <c r="R1489" s="29" t="s">
        <v>4507</v>
      </c>
      <c r="S1489" s="28" t="s">
        <v>2525</v>
      </c>
      <c r="T1489" s="28" t="s">
        <v>2609</v>
      </c>
      <c r="U1489" s="28" t="s">
        <v>1445</v>
      </c>
      <c r="V1489" s="28" t="s">
        <v>1855</v>
      </c>
      <c r="W1489" s="28" t="s">
        <v>12430</v>
      </c>
      <c r="X1489" s="17">
        <v>1</v>
      </c>
      <c r="CJ1489" s="26" t="s">
        <v>1421</v>
      </c>
      <c r="CK1489" s="26" t="s">
        <v>2078</v>
      </c>
      <c r="CL1489" s="26" t="str">
        <f t="shared" si="93"/>
        <v>大分県杵築市</v>
      </c>
      <c r="CM1489" s="49">
        <v>1484</v>
      </c>
      <c r="CN1489" s="17" t="str">
        <f t="shared" si="92"/>
        <v>1660</v>
      </c>
      <c r="CO1489" s="17" t="str">
        <f t="shared" si="94"/>
        <v>14841660杵築市</v>
      </c>
      <c r="CP1489" s="17" t="s">
        <v>12431</v>
      </c>
      <c r="CQ1489" s="17" t="b">
        <f t="shared" si="95"/>
        <v>1</v>
      </c>
    </row>
    <row r="1490" spans="6:95">
      <c r="F1490" s="23"/>
      <c r="I1490" s="23"/>
      <c r="L1490" s="50" t="s">
        <v>12432</v>
      </c>
      <c r="M1490" s="17" t="s">
        <v>12433</v>
      </c>
      <c r="N1490" s="51" t="s">
        <v>12434</v>
      </c>
      <c r="O1490" s="29" t="s">
        <v>1477</v>
      </c>
      <c r="P1490" s="29" t="s">
        <v>12435</v>
      </c>
      <c r="Q1490" s="29" t="s">
        <v>1477</v>
      </c>
      <c r="R1490" s="29" t="s">
        <v>3512</v>
      </c>
      <c r="S1490" s="28" t="s">
        <v>2311</v>
      </c>
      <c r="T1490" s="28" t="s">
        <v>2654</v>
      </c>
      <c r="U1490" s="28" t="s">
        <v>1445</v>
      </c>
      <c r="V1490" s="28" t="s">
        <v>1855</v>
      </c>
      <c r="W1490" s="28" t="s">
        <v>12436</v>
      </c>
      <c r="X1490" s="17">
        <v>1</v>
      </c>
      <c r="CJ1490" s="26" t="s">
        <v>1421</v>
      </c>
      <c r="CK1490" s="26" t="s">
        <v>2134</v>
      </c>
      <c r="CL1490" s="26" t="str">
        <f t="shared" si="93"/>
        <v>大分県宇佐市</v>
      </c>
      <c r="CM1490" s="49">
        <v>1485</v>
      </c>
      <c r="CN1490" s="17" t="str">
        <f t="shared" si="92"/>
        <v>1661</v>
      </c>
      <c r="CO1490" s="17" t="str">
        <f t="shared" si="94"/>
        <v>14851661宇佐市</v>
      </c>
      <c r="CP1490" s="17" t="s">
        <v>12437</v>
      </c>
      <c r="CQ1490" s="17" t="b">
        <f t="shared" si="95"/>
        <v>1</v>
      </c>
    </row>
    <row r="1491" spans="6:95">
      <c r="F1491" s="23"/>
      <c r="I1491" s="23"/>
      <c r="L1491" s="50" t="s">
        <v>12438</v>
      </c>
      <c r="M1491" s="17" t="s">
        <v>12439</v>
      </c>
      <c r="N1491" s="51" t="s">
        <v>12440</v>
      </c>
      <c r="O1491" s="29" t="s">
        <v>1477</v>
      </c>
      <c r="P1491" s="29" t="s">
        <v>12441</v>
      </c>
      <c r="Q1491" s="29" t="s">
        <v>1477</v>
      </c>
      <c r="R1491" s="29" t="s">
        <v>4515</v>
      </c>
      <c r="S1491" s="28" t="s">
        <v>1564</v>
      </c>
      <c r="T1491" s="28" t="s">
        <v>2700</v>
      </c>
      <c r="U1491" s="28" t="s">
        <v>1445</v>
      </c>
      <c r="V1491" s="28" t="s">
        <v>1855</v>
      </c>
      <c r="W1491" s="28" t="s">
        <v>12442</v>
      </c>
      <c r="X1491" s="17">
        <v>1</v>
      </c>
      <c r="CJ1491" s="26" t="s">
        <v>1421</v>
      </c>
      <c r="CK1491" s="26" t="s">
        <v>2190</v>
      </c>
      <c r="CL1491" s="26" t="str">
        <f t="shared" si="93"/>
        <v>大分県豊後大野市</v>
      </c>
      <c r="CM1491" s="49">
        <v>1486</v>
      </c>
      <c r="CN1491" s="17" t="str">
        <f t="shared" si="92"/>
        <v>1662</v>
      </c>
      <c r="CO1491" s="17" t="str">
        <f t="shared" si="94"/>
        <v>14861662豊後大野市</v>
      </c>
      <c r="CP1491" s="17" t="s">
        <v>12443</v>
      </c>
      <c r="CQ1491" s="17" t="b">
        <f t="shared" si="95"/>
        <v>1</v>
      </c>
    </row>
    <row r="1492" spans="6:95">
      <c r="F1492" s="23"/>
      <c r="I1492" s="23"/>
      <c r="L1492" s="50" t="s">
        <v>12444</v>
      </c>
      <c r="M1492" s="17" t="s">
        <v>12445</v>
      </c>
      <c r="N1492" s="51" t="s">
        <v>12446</v>
      </c>
      <c r="O1492" s="29" t="s">
        <v>1477</v>
      </c>
      <c r="P1492" s="29" t="s">
        <v>12447</v>
      </c>
      <c r="Q1492" s="29" t="s">
        <v>1477</v>
      </c>
      <c r="R1492" s="29" t="s">
        <v>4531</v>
      </c>
      <c r="S1492" s="28" t="s">
        <v>1977</v>
      </c>
      <c r="T1492" s="28" t="s">
        <v>2746</v>
      </c>
      <c r="U1492" s="28" t="s">
        <v>1445</v>
      </c>
      <c r="V1492" s="28" t="s">
        <v>1855</v>
      </c>
      <c r="W1492" s="28" t="s">
        <v>12448</v>
      </c>
      <c r="X1492" s="17">
        <v>1</v>
      </c>
      <c r="CJ1492" s="26" t="s">
        <v>1421</v>
      </c>
      <c r="CK1492" s="26" t="s">
        <v>2245</v>
      </c>
      <c r="CL1492" s="26" t="str">
        <f t="shared" si="93"/>
        <v>大分県由布市</v>
      </c>
      <c r="CM1492" s="49">
        <v>1487</v>
      </c>
      <c r="CN1492" s="17" t="str">
        <f t="shared" si="92"/>
        <v>1663</v>
      </c>
      <c r="CO1492" s="17" t="str">
        <f t="shared" si="94"/>
        <v>14871663由布市</v>
      </c>
      <c r="CP1492" s="17" t="s">
        <v>12449</v>
      </c>
      <c r="CQ1492" s="17" t="b">
        <f t="shared" si="95"/>
        <v>1</v>
      </c>
    </row>
    <row r="1493" spans="6:95">
      <c r="F1493" s="23"/>
      <c r="I1493" s="23"/>
      <c r="L1493" s="50" t="s">
        <v>12450</v>
      </c>
      <c r="M1493" s="17" t="s">
        <v>12451</v>
      </c>
      <c r="N1493" s="51" t="s">
        <v>12452</v>
      </c>
      <c r="O1493" s="29" t="s">
        <v>1477</v>
      </c>
      <c r="P1493" s="29" t="s">
        <v>12453</v>
      </c>
      <c r="Q1493" s="29" t="s">
        <v>1477</v>
      </c>
      <c r="R1493" s="29" t="s">
        <v>7304</v>
      </c>
      <c r="S1493" s="28" t="s">
        <v>1977</v>
      </c>
      <c r="T1493" s="28" t="s">
        <v>2788</v>
      </c>
      <c r="U1493" s="28" t="s">
        <v>1445</v>
      </c>
      <c r="V1493" s="28" t="s">
        <v>1855</v>
      </c>
      <c r="W1493" s="28" t="s">
        <v>12453</v>
      </c>
      <c r="X1493" s="17">
        <v>1</v>
      </c>
      <c r="CJ1493" s="26" t="s">
        <v>1421</v>
      </c>
      <c r="CK1493" s="26" t="s">
        <v>2300</v>
      </c>
      <c r="CL1493" s="26" t="str">
        <f t="shared" si="93"/>
        <v>大分県国東市</v>
      </c>
      <c r="CM1493" s="49">
        <v>1488</v>
      </c>
      <c r="CN1493" s="17" t="str">
        <f t="shared" si="92"/>
        <v>1664</v>
      </c>
      <c r="CO1493" s="17" t="str">
        <f t="shared" si="94"/>
        <v>14881664国東市</v>
      </c>
      <c r="CP1493" s="17" t="s">
        <v>12454</v>
      </c>
      <c r="CQ1493" s="17" t="b">
        <f t="shared" si="95"/>
        <v>1</v>
      </c>
    </row>
    <row r="1494" spans="6:95">
      <c r="F1494" s="23"/>
      <c r="I1494" s="23"/>
      <c r="L1494" s="50" t="s">
        <v>12455</v>
      </c>
      <c r="M1494" s="17" t="s">
        <v>12456</v>
      </c>
      <c r="N1494" s="51" t="s">
        <v>12457</v>
      </c>
      <c r="O1494" s="29" t="s">
        <v>1477</v>
      </c>
      <c r="P1494" s="29" t="s">
        <v>12458</v>
      </c>
      <c r="Q1494" s="29" t="s">
        <v>1477</v>
      </c>
      <c r="R1494" s="29" t="s">
        <v>4767</v>
      </c>
      <c r="S1494" s="28" t="s">
        <v>1743</v>
      </c>
      <c r="T1494" s="28" t="s">
        <v>2830</v>
      </c>
      <c r="U1494" s="28" t="s">
        <v>1445</v>
      </c>
      <c r="V1494" s="28" t="s">
        <v>1855</v>
      </c>
      <c r="W1494" s="28" t="s">
        <v>12458</v>
      </c>
      <c r="X1494" s="17">
        <v>1</v>
      </c>
      <c r="CJ1494" s="26" t="s">
        <v>1421</v>
      </c>
      <c r="CK1494" s="26" t="s">
        <v>2355</v>
      </c>
      <c r="CL1494" s="26" t="str">
        <f t="shared" si="93"/>
        <v>大分県姫島村</v>
      </c>
      <c r="CM1494" s="49">
        <v>1489</v>
      </c>
      <c r="CN1494" s="17" t="str">
        <f t="shared" si="92"/>
        <v>1665</v>
      </c>
      <c r="CO1494" s="17" t="str">
        <f t="shared" si="94"/>
        <v>14891665姫島村</v>
      </c>
      <c r="CP1494" s="17" t="s">
        <v>12459</v>
      </c>
      <c r="CQ1494" s="17" t="b">
        <f t="shared" si="95"/>
        <v>1</v>
      </c>
    </row>
    <row r="1495" spans="6:95">
      <c r="F1495" s="23"/>
      <c r="I1495" s="23"/>
      <c r="L1495" s="50" t="s">
        <v>12460</v>
      </c>
      <c r="M1495" s="17" t="s">
        <v>12461</v>
      </c>
      <c r="N1495" s="51" t="s">
        <v>12462</v>
      </c>
      <c r="O1495" s="29" t="s">
        <v>1477</v>
      </c>
      <c r="P1495" s="29" t="s">
        <v>12463</v>
      </c>
      <c r="Q1495" s="29" t="s">
        <v>1477</v>
      </c>
      <c r="R1495" s="29" t="s">
        <v>4774</v>
      </c>
      <c r="S1495" s="28" t="s">
        <v>1803</v>
      </c>
      <c r="T1495" s="28" t="s">
        <v>2869</v>
      </c>
      <c r="U1495" s="28" t="s">
        <v>1445</v>
      </c>
      <c r="V1495" s="28" t="s">
        <v>1855</v>
      </c>
      <c r="W1495" s="28" t="s">
        <v>12463</v>
      </c>
      <c r="X1495" s="17">
        <v>1</v>
      </c>
      <c r="CJ1495" s="26" t="s">
        <v>1421</v>
      </c>
      <c r="CK1495" s="26" t="s">
        <v>2410</v>
      </c>
      <c r="CL1495" s="26" t="str">
        <f t="shared" si="93"/>
        <v>大分県日出町</v>
      </c>
      <c r="CM1495" s="49">
        <v>1490</v>
      </c>
      <c r="CN1495" s="17" t="str">
        <f t="shared" si="92"/>
        <v>1666</v>
      </c>
      <c r="CO1495" s="17" t="str">
        <f t="shared" si="94"/>
        <v>14901666日出町</v>
      </c>
      <c r="CP1495" s="17" t="s">
        <v>12464</v>
      </c>
      <c r="CQ1495" s="17" t="b">
        <f t="shared" si="95"/>
        <v>1</v>
      </c>
    </row>
    <row r="1496" spans="6:95">
      <c r="F1496" s="23"/>
      <c r="I1496" s="23"/>
      <c r="L1496" s="50" t="s">
        <v>12465</v>
      </c>
      <c r="M1496" s="17" t="s">
        <v>12466</v>
      </c>
      <c r="N1496" s="51" t="s">
        <v>12467</v>
      </c>
      <c r="O1496" s="29" t="s">
        <v>1477</v>
      </c>
      <c r="P1496" s="29" t="s">
        <v>12468</v>
      </c>
      <c r="Q1496" s="29" t="s">
        <v>1477</v>
      </c>
      <c r="R1496" s="29" t="s">
        <v>4389</v>
      </c>
      <c r="S1496" s="28" t="s">
        <v>1502</v>
      </c>
      <c r="T1496" s="28" t="s">
        <v>2907</v>
      </c>
      <c r="U1496" s="28" t="s">
        <v>1445</v>
      </c>
      <c r="V1496" s="28" t="s">
        <v>1855</v>
      </c>
      <c r="W1496" s="28" t="s">
        <v>12469</v>
      </c>
      <c r="X1496" s="17">
        <v>1</v>
      </c>
      <c r="CJ1496" s="26" t="s">
        <v>1421</v>
      </c>
      <c r="CK1496" s="26" t="s">
        <v>2464</v>
      </c>
      <c r="CL1496" s="26" t="str">
        <f t="shared" si="93"/>
        <v>大分県九重町</v>
      </c>
      <c r="CM1496" s="49">
        <v>1491</v>
      </c>
      <c r="CN1496" s="17" t="str">
        <f t="shared" si="92"/>
        <v>1667</v>
      </c>
      <c r="CO1496" s="17" t="str">
        <f t="shared" si="94"/>
        <v>14911667九重町</v>
      </c>
      <c r="CP1496" s="17" t="s">
        <v>12470</v>
      </c>
      <c r="CQ1496" s="17" t="b">
        <f t="shared" si="95"/>
        <v>1</v>
      </c>
    </row>
    <row r="1497" spans="6:95">
      <c r="F1497" s="23"/>
      <c r="I1497" s="23"/>
      <c r="L1497" s="50" t="s">
        <v>12471</v>
      </c>
      <c r="M1497" s="17" t="s">
        <v>12472</v>
      </c>
      <c r="N1497" s="51" t="s">
        <v>12473</v>
      </c>
      <c r="O1497" s="29" t="s">
        <v>1477</v>
      </c>
      <c r="P1497" s="29" t="s">
        <v>12474</v>
      </c>
      <c r="Q1497" s="29" t="s">
        <v>1477</v>
      </c>
      <c r="R1497" s="29" t="s">
        <v>3553</v>
      </c>
      <c r="S1497" s="28" t="s">
        <v>1862</v>
      </c>
      <c r="T1497" s="28" t="s">
        <v>2942</v>
      </c>
      <c r="U1497" s="28" t="s">
        <v>1445</v>
      </c>
      <c r="V1497" s="28" t="s">
        <v>1855</v>
      </c>
      <c r="W1497" s="28" t="s">
        <v>12475</v>
      </c>
      <c r="X1497" s="17">
        <v>1</v>
      </c>
      <c r="CJ1497" s="26" t="s">
        <v>1421</v>
      </c>
      <c r="CK1497" s="26" t="s">
        <v>2514</v>
      </c>
      <c r="CL1497" s="26" t="str">
        <f t="shared" si="93"/>
        <v>大分県玖珠町</v>
      </c>
      <c r="CM1497" s="49">
        <v>1492</v>
      </c>
      <c r="CN1497" s="17" t="str">
        <f t="shared" si="92"/>
        <v>1668</v>
      </c>
      <c r="CO1497" s="17" t="str">
        <f t="shared" si="94"/>
        <v>14921668玖珠町</v>
      </c>
      <c r="CP1497" s="17" t="s">
        <v>12476</v>
      </c>
      <c r="CQ1497" s="17" t="b">
        <f t="shared" si="95"/>
        <v>1</v>
      </c>
    </row>
    <row r="1498" spans="6:95">
      <c r="F1498" s="23"/>
      <c r="I1498" s="23"/>
      <c r="L1498" s="50" t="s">
        <v>12477</v>
      </c>
      <c r="M1498" s="17" t="s">
        <v>12478</v>
      </c>
      <c r="N1498" s="51" t="s">
        <v>12479</v>
      </c>
      <c r="O1498" s="29" t="s">
        <v>1477</v>
      </c>
      <c r="P1498" s="29" t="s">
        <v>12480</v>
      </c>
      <c r="Q1498" s="29" t="s">
        <v>1477</v>
      </c>
      <c r="R1498" s="29" t="s">
        <v>3566</v>
      </c>
      <c r="S1498" s="28" t="s">
        <v>1920</v>
      </c>
      <c r="T1498" s="28" t="s">
        <v>2975</v>
      </c>
      <c r="U1498" s="28" t="s">
        <v>1445</v>
      </c>
      <c r="V1498" s="28" t="s">
        <v>1855</v>
      </c>
      <c r="W1498" s="28" t="s">
        <v>12481</v>
      </c>
      <c r="X1498" s="17">
        <v>1</v>
      </c>
      <c r="CJ1498" s="26" t="s">
        <v>1422</v>
      </c>
      <c r="CK1498" s="26" t="s">
        <v>1548</v>
      </c>
      <c r="CL1498" s="26" t="str">
        <f t="shared" si="93"/>
        <v>宮崎県宮崎市</v>
      </c>
      <c r="CM1498" s="49">
        <v>1493</v>
      </c>
      <c r="CN1498" s="17" t="str">
        <f t="shared" si="92"/>
        <v>1669</v>
      </c>
      <c r="CO1498" s="17" t="str">
        <f t="shared" si="94"/>
        <v>14931669宮崎市</v>
      </c>
      <c r="CP1498" s="17" t="s">
        <v>12482</v>
      </c>
      <c r="CQ1498" s="17" t="b">
        <f t="shared" si="95"/>
        <v>1</v>
      </c>
    </row>
    <row r="1499" spans="6:95">
      <c r="F1499" s="23"/>
      <c r="I1499" s="23"/>
      <c r="L1499" s="50" t="s">
        <v>12483</v>
      </c>
      <c r="M1499" s="17" t="s">
        <v>12484</v>
      </c>
      <c r="N1499" s="51" t="s">
        <v>12485</v>
      </c>
      <c r="O1499" s="29" t="s">
        <v>1477</v>
      </c>
      <c r="P1499" s="29" t="s">
        <v>12486</v>
      </c>
      <c r="Q1499" s="29" t="s">
        <v>1477</v>
      </c>
      <c r="R1499" s="29" t="s">
        <v>12487</v>
      </c>
      <c r="S1499" s="28" t="s">
        <v>1743</v>
      </c>
      <c r="T1499" s="28" t="s">
        <v>3009</v>
      </c>
      <c r="U1499" s="28" t="s">
        <v>1445</v>
      </c>
      <c r="V1499" s="28" t="s">
        <v>1855</v>
      </c>
      <c r="W1499" s="28" t="s">
        <v>12488</v>
      </c>
      <c r="X1499" s="17">
        <v>1</v>
      </c>
      <c r="CJ1499" s="26" t="s">
        <v>1422</v>
      </c>
      <c r="CK1499" s="26" t="s">
        <v>1610</v>
      </c>
      <c r="CL1499" s="26" t="str">
        <f t="shared" si="93"/>
        <v>宮崎県都城市</v>
      </c>
      <c r="CM1499" s="49">
        <v>1494</v>
      </c>
      <c r="CN1499" s="17" t="str">
        <f t="shared" si="92"/>
        <v>1670</v>
      </c>
      <c r="CO1499" s="17" t="str">
        <f t="shared" si="94"/>
        <v>14941670都城市</v>
      </c>
      <c r="CP1499" s="17" t="s">
        <v>12489</v>
      </c>
      <c r="CQ1499" s="17" t="b">
        <f t="shared" si="95"/>
        <v>1</v>
      </c>
    </row>
    <row r="1500" spans="6:95">
      <c r="F1500" s="23"/>
      <c r="I1500" s="23"/>
      <c r="L1500" s="50" t="s">
        <v>12490</v>
      </c>
      <c r="M1500" s="17" t="s">
        <v>12491</v>
      </c>
      <c r="N1500" s="51" t="s">
        <v>12492</v>
      </c>
      <c r="O1500" s="29" t="s">
        <v>1477</v>
      </c>
      <c r="P1500" s="29" t="s">
        <v>12493</v>
      </c>
      <c r="Q1500" s="29" t="s">
        <v>1477</v>
      </c>
      <c r="R1500" s="29" t="s">
        <v>5017</v>
      </c>
      <c r="S1500" s="28" t="s">
        <v>2525</v>
      </c>
      <c r="T1500" s="28" t="s">
        <v>3041</v>
      </c>
      <c r="U1500" s="28" t="s">
        <v>1445</v>
      </c>
      <c r="V1500" s="28" t="s">
        <v>1855</v>
      </c>
      <c r="W1500" s="28" t="s">
        <v>12494</v>
      </c>
      <c r="X1500" s="17">
        <v>2</v>
      </c>
      <c r="CJ1500" s="26" t="s">
        <v>1422</v>
      </c>
      <c r="CK1500" s="26" t="s">
        <v>1672</v>
      </c>
      <c r="CL1500" s="26" t="str">
        <f t="shared" si="93"/>
        <v>宮崎県延岡市</v>
      </c>
      <c r="CM1500" s="49">
        <v>1495</v>
      </c>
      <c r="CN1500" s="17" t="str">
        <f t="shared" si="92"/>
        <v>1671</v>
      </c>
      <c r="CO1500" s="17" t="str">
        <f t="shared" si="94"/>
        <v>14951671延岡市</v>
      </c>
      <c r="CP1500" s="17" t="s">
        <v>12495</v>
      </c>
      <c r="CQ1500" s="17" t="b">
        <f t="shared" si="95"/>
        <v>1</v>
      </c>
    </row>
    <row r="1501" spans="6:95">
      <c r="F1501" s="23"/>
      <c r="I1501" s="23"/>
      <c r="L1501" s="50" t="s">
        <v>12496</v>
      </c>
      <c r="M1501" s="17" t="s">
        <v>12497</v>
      </c>
      <c r="N1501" s="51" t="s">
        <v>12498</v>
      </c>
      <c r="O1501" s="29" t="s">
        <v>1477</v>
      </c>
      <c r="P1501" s="29" t="s">
        <v>12499</v>
      </c>
      <c r="Q1501" s="29" t="s">
        <v>1477</v>
      </c>
      <c r="R1501" s="29" t="s">
        <v>3142</v>
      </c>
      <c r="S1501" s="28" t="s">
        <v>2311</v>
      </c>
      <c r="T1501" s="28" t="s">
        <v>3072</v>
      </c>
      <c r="U1501" s="28" t="s">
        <v>1445</v>
      </c>
      <c r="V1501" s="28" t="s">
        <v>1855</v>
      </c>
      <c r="W1501" s="28" t="s">
        <v>12500</v>
      </c>
      <c r="X1501" s="17">
        <v>3</v>
      </c>
      <c r="CJ1501" s="26" t="s">
        <v>1422</v>
      </c>
      <c r="CK1501" s="26" t="s">
        <v>1730</v>
      </c>
      <c r="CL1501" s="26" t="str">
        <f t="shared" si="93"/>
        <v>宮崎県日南市</v>
      </c>
      <c r="CM1501" s="49">
        <v>1496</v>
      </c>
      <c r="CN1501" s="17" t="str">
        <f t="shared" si="92"/>
        <v>1672</v>
      </c>
      <c r="CO1501" s="17" t="str">
        <f t="shared" si="94"/>
        <v>14961672日南市</v>
      </c>
      <c r="CP1501" s="17" t="s">
        <v>12501</v>
      </c>
      <c r="CQ1501" s="17" t="b">
        <f t="shared" si="95"/>
        <v>1</v>
      </c>
    </row>
    <row r="1502" spans="6:95">
      <c r="F1502" s="23"/>
      <c r="I1502" s="23"/>
      <c r="L1502" s="50" t="s">
        <v>12502</v>
      </c>
      <c r="M1502" s="17" t="s">
        <v>12503</v>
      </c>
      <c r="N1502" s="51" t="s">
        <v>12504</v>
      </c>
      <c r="O1502" s="29" t="s">
        <v>1477</v>
      </c>
      <c r="P1502" s="29" t="s">
        <v>12505</v>
      </c>
      <c r="Q1502" s="29" t="s">
        <v>1477</v>
      </c>
      <c r="R1502" s="29" t="s">
        <v>3173</v>
      </c>
      <c r="S1502" s="28" t="s">
        <v>1564</v>
      </c>
      <c r="T1502" s="28" t="s">
        <v>3101</v>
      </c>
      <c r="U1502" s="28" t="s">
        <v>1445</v>
      </c>
      <c r="V1502" s="28" t="s">
        <v>1855</v>
      </c>
      <c r="W1502" s="28" t="s">
        <v>12506</v>
      </c>
      <c r="X1502" s="17">
        <v>4</v>
      </c>
      <c r="CJ1502" s="26" t="s">
        <v>1422</v>
      </c>
      <c r="CK1502" s="26" t="s">
        <v>1789</v>
      </c>
      <c r="CL1502" s="26" t="str">
        <f t="shared" si="93"/>
        <v>宮崎県小林市</v>
      </c>
      <c r="CM1502" s="49">
        <v>1497</v>
      </c>
      <c r="CN1502" s="17" t="str">
        <f t="shared" si="92"/>
        <v>1673</v>
      </c>
      <c r="CO1502" s="17" t="str">
        <f t="shared" si="94"/>
        <v>14971673小林市</v>
      </c>
      <c r="CP1502" s="17" t="s">
        <v>12507</v>
      </c>
      <c r="CQ1502" s="17" t="b">
        <f t="shared" si="95"/>
        <v>1</v>
      </c>
    </row>
    <row r="1503" spans="6:95">
      <c r="F1503" s="23"/>
      <c r="I1503" s="23"/>
      <c r="L1503" s="50" t="s">
        <v>12508</v>
      </c>
      <c r="M1503" s="17" t="s">
        <v>12509</v>
      </c>
      <c r="N1503" s="51" t="s">
        <v>12510</v>
      </c>
      <c r="O1503" s="29" t="s">
        <v>1477</v>
      </c>
      <c r="P1503" s="29" t="s">
        <v>12511</v>
      </c>
      <c r="Q1503" s="29" t="s">
        <v>1477</v>
      </c>
      <c r="R1503" s="29" t="s">
        <v>7681</v>
      </c>
      <c r="S1503" s="28" t="s">
        <v>1920</v>
      </c>
      <c r="T1503" s="28" t="s">
        <v>3131</v>
      </c>
      <c r="U1503" s="28" t="s">
        <v>1445</v>
      </c>
      <c r="V1503" s="28" t="s">
        <v>1855</v>
      </c>
      <c r="W1503" s="28" t="s">
        <v>12512</v>
      </c>
      <c r="X1503" s="17">
        <v>5</v>
      </c>
      <c r="CJ1503" s="26" t="s">
        <v>1422</v>
      </c>
      <c r="CK1503" s="26" t="s">
        <v>1849</v>
      </c>
      <c r="CL1503" s="26" t="str">
        <f t="shared" si="93"/>
        <v>宮崎県日向市</v>
      </c>
      <c r="CM1503" s="49">
        <v>1498</v>
      </c>
      <c r="CN1503" s="17" t="str">
        <f t="shared" si="92"/>
        <v>1674</v>
      </c>
      <c r="CO1503" s="17" t="str">
        <f t="shared" si="94"/>
        <v>14981674日向市</v>
      </c>
      <c r="CP1503" s="17" t="s">
        <v>12513</v>
      </c>
      <c r="CQ1503" s="17" t="b">
        <f t="shared" si="95"/>
        <v>1</v>
      </c>
    </row>
    <row r="1504" spans="6:95">
      <c r="F1504" s="23"/>
      <c r="I1504" s="23"/>
      <c r="L1504" s="50" t="s">
        <v>12514</v>
      </c>
      <c r="M1504" s="17" t="s">
        <v>12515</v>
      </c>
      <c r="N1504" s="51" t="s">
        <v>12516</v>
      </c>
      <c r="O1504" s="29" t="s">
        <v>1477</v>
      </c>
      <c r="P1504" s="29" t="s">
        <v>12517</v>
      </c>
      <c r="Q1504" s="29" t="s">
        <v>1477</v>
      </c>
      <c r="R1504" s="29" t="s">
        <v>8722</v>
      </c>
      <c r="S1504" s="28" t="s">
        <v>1977</v>
      </c>
      <c r="T1504" s="28" t="s">
        <v>3162</v>
      </c>
      <c r="U1504" s="28" t="s">
        <v>1445</v>
      </c>
      <c r="V1504" s="28" t="s">
        <v>1855</v>
      </c>
      <c r="W1504" s="28" t="s">
        <v>12518</v>
      </c>
      <c r="X1504" s="17">
        <v>6</v>
      </c>
      <c r="CJ1504" s="26" t="s">
        <v>1422</v>
      </c>
      <c r="CK1504" s="26" t="s">
        <v>1908</v>
      </c>
      <c r="CL1504" s="26" t="str">
        <f t="shared" si="93"/>
        <v>宮崎県串間市</v>
      </c>
      <c r="CM1504" s="49">
        <v>1499</v>
      </c>
      <c r="CN1504" s="17" t="str">
        <f t="shared" si="92"/>
        <v>1675</v>
      </c>
      <c r="CO1504" s="17" t="str">
        <f t="shared" si="94"/>
        <v>14991675串間市</v>
      </c>
      <c r="CP1504" s="17" t="s">
        <v>12519</v>
      </c>
      <c r="CQ1504" s="17" t="b">
        <f t="shared" si="95"/>
        <v>1</v>
      </c>
    </row>
    <row r="1505" spans="6:95">
      <c r="F1505" s="23"/>
      <c r="I1505" s="23"/>
      <c r="L1505" s="50" t="s">
        <v>12520</v>
      </c>
      <c r="M1505" s="17" t="s">
        <v>12521</v>
      </c>
      <c r="N1505" s="51" t="s">
        <v>12522</v>
      </c>
      <c r="O1505" s="29" t="s">
        <v>1478</v>
      </c>
      <c r="P1505" s="29" t="s">
        <v>12523</v>
      </c>
      <c r="Q1505" s="29" t="s">
        <v>1478</v>
      </c>
      <c r="R1505" s="29" t="s">
        <v>1501</v>
      </c>
      <c r="S1505" s="28" t="s">
        <v>1862</v>
      </c>
      <c r="T1505" s="28" t="s">
        <v>1543</v>
      </c>
      <c r="U1505" s="28" t="s">
        <v>1446</v>
      </c>
      <c r="V1505" s="28" t="s">
        <v>1913</v>
      </c>
      <c r="W1505" s="28" t="s">
        <v>12524</v>
      </c>
      <c r="X1505" s="17">
        <v>1</v>
      </c>
      <c r="CJ1505" s="26" t="s">
        <v>1422</v>
      </c>
      <c r="CK1505" s="26" t="s">
        <v>1966</v>
      </c>
      <c r="CL1505" s="26" t="str">
        <f t="shared" si="93"/>
        <v>宮崎県西都市</v>
      </c>
      <c r="CM1505" s="49">
        <v>1500</v>
      </c>
      <c r="CN1505" s="17" t="str">
        <f t="shared" si="92"/>
        <v>1676</v>
      </c>
      <c r="CO1505" s="17" t="str">
        <f t="shared" si="94"/>
        <v>15001676西都市</v>
      </c>
      <c r="CP1505" s="17" t="s">
        <v>12525</v>
      </c>
      <c r="CQ1505" s="17" t="b">
        <f t="shared" si="95"/>
        <v>1</v>
      </c>
    </row>
    <row r="1506" spans="6:95">
      <c r="F1506" s="23"/>
      <c r="I1506" s="23"/>
      <c r="L1506" s="50" t="s">
        <v>12526</v>
      </c>
      <c r="M1506" s="17" t="s">
        <v>12527</v>
      </c>
      <c r="N1506" s="51" t="s">
        <v>12528</v>
      </c>
      <c r="O1506" s="29" t="s">
        <v>1478</v>
      </c>
      <c r="P1506" s="29" t="s">
        <v>12529</v>
      </c>
      <c r="Q1506" s="29" t="s">
        <v>1478</v>
      </c>
      <c r="R1506" s="29" t="s">
        <v>7758</v>
      </c>
      <c r="S1506" s="28" t="s">
        <v>1502</v>
      </c>
      <c r="T1506" s="28" t="s">
        <v>1605</v>
      </c>
      <c r="U1506" s="28" t="s">
        <v>1446</v>
      </c>
      <c r="V1506" s="28" t="s">
        <v>1913</v>
      </c>
      <c r="W1506" s="28" t="s">
        <v>12529</v>
      </c>
      <c r="X1506" s="17">
        <v>1</v>
      </c>
      <c r="CJ1506" s="26" t="s">
        <v>1422</v>
      </c>
      <c r="CK1506" s="26" t="s">
        <v>2023</v>
      </c>
      <c r="CL1506" s="26" t="str">
        <f t="shared" si="93"/>
        <v>宮崎県えびの市</v>
      </c>
      <c r="CM1506" s="49">
        <v>1501</v>
      </c>
      <c r="CN1506" s="17" t="str">
        <f t="shared" si="92"/>
        <v>1677</v>
      </c>
      <c r="CO1506" s="17" t="str">
        <f t="shared" si="94"/>
        <v>15011677えびの市</v>
      </c>
      <c r="CP1506" s="17" t="s">
        <v>12530</v>
      </c>
      <c r="CQ1506" s="17" t="b">
        <f t="shared" si="95"/>
        <v>1</v>
      </c>
    </row>
    <row r="1507" spans="6:95">
      <c r="F1507" s="23"/>
      <c r="I1507" s="23"/>
      <c r="L1507" s="50" t="s">
        <v>12531</v>
      </c>
      <c r="M1507" s="17" t="s">
        <v>12532</v>
      </c>
      <c r="N1507" s="51" t="s">
        <v>12533</v>
      </c>
      <c r="O1507" s="29" t="s">
        <v>1478</v>
      </c>
      <c r="P1507" s="29" t="s">
        <v>12534</v>
      </c>
      <c r="Q1507" s="29" t="s">
        <v>1478</v>
      </c>
      <c r="R1507" s="29" t="s">
        <v>1563</v>
      </c>
      <c r="S1507" s="28" t="s">
        <v>1743</v>
      </c>
      <c r="T1507" s="28" t="s">
        <v>1667</v>
      </c>
      <c r="U1507" s="28" t="s">
        <v>1446</v>
      </c>
      <c r="V1507" s="28" t="s">
        <v>1913</v>
      </c>
      <c r="W1507" s="28" t="s">
        <v>12535</v>
      </c>
      <c r="X1507" s="17">
        <v>1</v>
      </c>
      <c r="CJ1507" s="26" t="s">
        <v>1422</v>
      </c>
      <c r="CK1507" s="26" t="s">
        <v>2079</v>
      </c>
      <c r="CL1507" s="26" t="str">
        <f t="shared" si="93"/>
        <v>宮崎県三股町</v>
      </c>
      <c r="CM1507" s="49">
        <v>1502</v>
      </c>
      <c r="CN1507" s="17" t="str">
        <f t="shared" si="92"/>
        <v>1678</v>
      </c>
      <c r="CO1507" s="17" t="str">
        <f t="shared" si="94"/>
        <v>15021678三股町</v>
      </c>
      <c r="CP1507" s="17" t="s">
        <v>12536</v>
      </c>
      <c r="CQ1507" s="17" t="b">
        <f t="shared" si="95"/>
        <v>1</v>
      </c>
    </row>
    <row r="1508" spans="6:95">
      <c r="F1508" s="23"/>
      <c r="I1508" s="23"/>
      <c r="L1508" s="50" t="s">
        <v>12537</v>
      </c>
      <c r="M1508" s="17" t="s">
        <v>12538</v>
      </c>
      <c r="N1508" s="51" t="s">
        <v>12539</v>
      </c>
      <c r="O1508" s="29" t="s">
        <v>1478</v>
      </c>
      <c r="P1508" s="29" t="s">
        <v>12540</v>
      </c>
      <c r="Q1508" s="29" t="s">
        <v>1478</v>
      </c>
      <c r="R1508" s="29" t="s">
        <v>1625</v>
      </c>
      <c r="S1508" s="28" t="s">
        <v>1803</v>
      </c>
      <c r="T1508" s="28" t="s">
        <v>1725</v>
      </c>
      <c r="U1508" s="28" t="s">
        <v>1446</v>
      </c>
      <c r="V1508" s="28" t="s">
        <v>1913</v>
      </c>
      <c r="W1508" s="28" t="s">
        <v>12541</v>
      </c>
      <c r="X1508" s="17">
        <v>1</v>
      </c>
      <c r="CJ1508" s="26" t="s">
        <v>1422</v>
      </c>
      <c r="CK1508" s="26" t="s">
        <v>2135</v>
      </c>
      <c r="CL1508" s="26" t="str">
        <f t="shared" si="93"/>
        <v>宮崎県高原町</v>
      </c>
      <c r="CM1508" s="49">
        <v>1503</v>
      </c>
      <c r="CN1508" s="17" t="str">
        <f t="shared" si="92"/>
        <v>1679</v>
      </c>
      <c r="CO1508" s="17" t="str">
        <f t="shared" si="94"/>
        <v>15031679高原町</v>
      </c>
      <c r="CP1508" s="17" t="s">
        <v>12542</v>
      </c>
      <c r="CQ1508" s="17" t="b">
        <f t="shared" si="95"/>
        <v>1</v>
      </c>
    </row>
    <row r="1509" spans="6:95">
      <c r="F1509" s="23"/>
      <c r="I1509" s="23"/>
      <c r="L1509" s="50" t="s">
        <v>12543</v>
      </c>
      <c r="M1509" s="17" t="s">
        <v>12544</v>
      </c>
      <c r="N1509" s="51" t="s">
        <v>12545</v>
      </c>
      <c r="O1509" s="29" t="s">
        <v>1478</v>
      </c>
      <c r="P1509" s="29" t="s">
        <v>12546</v>
      </c>
      <c r="Q1509" s="29" t="s">
        <v>1478</v>
      </c>
      <c r="R1509" s="29" t="s">
        <v>1684</v>
      </c>
      <c r="S1509" s="28" t="s">
        <v>1862</v>
      </c>
      <c r="T1509" s="28" t="s">
        <v>1784</v>
      </c>
      <c r="U1509" s="28" t="s">
        <v>1446</v>
      </c>
      <c r="V1509" s="28" t="s">
        <v>1913</v>
      </c>
      <c r="W1509" s="28" t="s">
        <v>12547</v>
      </c>
      <c r="X1509" s="17">
        <v>1</v>
      </c>
      <c r="CJ1509" s="26" t="s">
        <v>1422</v>
      </c>
      <c r="CK1509" s="26" t="s">
        <v>2191</v>
      </c>
      <c r="CL1509" s="26" t="str">
        <f t="shared" si="93"/>
        <v>宮崎県国富町</v>
      </c>
      <c r="CM1509" s="49">
        <v>1504</v>
      </c>
      <c r="CN1509" s="17" t="str">
        <f t="shared" si="92"/>
        <v>1680</v>
      </c>
      <c r="CO1509" s="17" t="str">
        <f t="shared" si="94"/>
        <v>15041680国富町</v>
      </c>
      <c r="CP1509" s="17" t="s">
        <v>12548</v>
      </c>
      <c r="CQ1509" s="17" t="b">
        <f t="shared" si="95"/>
        <v>1</v>
      </c>
    </row>
    <row r="1510" spans="6:95">
      <c r="F1510" s="23"/>
      <c r="I1510" s="23"/>
      <c r="L1510" s="50" t="s">
        <v>12549</v>
      </c>
      <c r="M1510" s="17" t="s">
        <v>12550</v>
      </c>
      <c r="N1510" s="51" t="s">
        <v>12551</v>
      </c>
      <c r="O1510" s="29" t="s">
        <v>1478</v>
      </c>
      <c r="P1510" s="29" t="s">
        <v>12552</v>
      </c>
      <c r="Q1510" s="29" t="s">
        <v>1478</v>
      </c>
      <c r="R1510" s="29" t="s">
        <v>1742</v>
      </c>
      <c r="S1510" s="28" t="s">
        <v>1502</v>
      </c>
      <c r="T1510" s="28" t="s">
        <v>1844</v>
      </c>
      <c r="U1510" s="28" t="s">
        <v>1446</v>
      </c>
      <c r="V1510" s="28" t="s">
        <v>1913</v>
      </c>
      <c r="W1510" s="28" t="s">
        <v>12553</v>
      </c>
      <c r="X1510" s="17">
        <v>1</v>
      </c>
      <c r="CJ1510" s="26" t="s">
        <v>1422</v>
      </c>
      <c r="CK1510" s="26" t="s">
        <v>2246</v>
      </c>
      <c r="CL1510" s="26" t="str">
        <f t="shared" si="93"/>
        <v>宮崎県綾町</v>
      </c>
      <c r="CM1510" s="49">
        <v>1505</v>
      </c>
      <c r="CN1510" s="17" t="str">
        <f t="shared" si="92"/>
        <v>1681</v>
      </c>
      <c r="CO1510" s="17" t="str">
        <f t="shared" si="94"/>
        <v>15051681綾町</v>
      </c>
      <c r="CP1510" s="17" t="s">
        <v>12554</v>
      </c>
      <c r="CQ1510" s="17" t="b">
        <f t="shared" si="95"/>
        <v>1</v>
      </c>
    </row>
    <row r="1511" spans="6:95">
      <c r="F1511" s="23"/>
      <c r="I1511" s="23"/>
      <c r="L1511" s="50" t="s">
        <v>12555</v>
      </c>
      <c r="M1511" s="17" t="s">
        <v>12556</v>
      </c>
      <c r="N1511" s="51" t="s">
        <v>12557</v>
      </c>
      <c r="O1511" s="29" t="s">
        <v>1478</v>
      </c>
      <c r="P1511" s="29" t="s">
        <v>12558</v>
      </c>
      <c r="Q1511" s="29" t="s">
        <v>1478</v>
      </c>
      <c r="R1511" s="29" t="s">
        <v>2033</v>
      </c>
      <c r="S1511" s="28" t="s">
        <v>1502</v>
      </c>
      <c r="T1511" s="28" t="s">
        <v>1903</v>
      </c>
      <c r="U1511" s="28" t="s">
        <v>1446</v>
      </c>
      <c r="V1511" s="28" t="s">
        <v>1913</v>
      </c>
      <c r="W1511" s="28" t="s">
        <v>12559</v>
      </c>
      <c r="X1511" s="17">
        <v>1</v>
      </c>
      <c r="CJ1511" s="26" t="s">
        <v>1422</v>
      </c>
      <c r="CK1511" s="26" t="s">
        <v>2301</v>
      </c>
      <c r="CL1511" s="26" t="str">
        <f t="shared" si="93"/>
        <v>宮崎県高鍋町</v>
      </c>
      <c r="CM1511" s="49">
        <v>1506</v>
      </c>
      <c r="CN1511" s="17" t="str">
        <f t="shared" si="92"/>
        <v>1682</v>
      </c>
      <c r="CO1511" s="17" t="str">
        <f t="shared" si="94"/>
        <v>15061682高鍋町</v>
      </c>
      <c r="CP1511" s="17" t="s">
        <v>12560</v>
      </c>
      <c r="CQ1511" s="17" t="b">
        <f t="shared" si="95"/>
        <v>1</v>
      </c>
    </row>
    <row r="1512" spans="6:95">
      <c r="F1512" s="23"/>
      <c r="I1512" s="23"/>
      <c r="L1512" s="50" t="s">
        <v>12561</v>
      </c>
      <c r="M1512" s="17" t="s">
        <v>12562</v>
      </c>
      <c r="N1512" s="51" t="s">
        <v>12563</v>
      </c>
      <c r="O1512" s="29" t="s">
        <v>1478</v>
      </c>
      <c r="P1512" s="29" t="s">
        <v>12564</v>
      </c>
      <c r="Q1512" s="29" t="s">
        <v>1478</v>
      </c>
      <c r="R1512" s="29" t="s">
        <v>2089</v>
      </c>
      <c r="S1512" s="28" t="s">
        <v>2525</v>
      </c>
      <c r="T1512" s="28" t="s">
        <v>1961</v>
      </c>
      <c r="U1512" s="28" t="s">
        <v>1446</v>
      </c>
      <c r="V1512" s="28" t="s">
        <v>1913</v>
      </c>
      <c r="W1512" s="28" t="s">
        <v>12565</v>
      </c>
      <c r="X1512" s="17">
        <v>1</v>
      </c>
      <c r="CJ1512" s="26" t="s">
        <v>1422</v>
      </c>
      <c r="CK1512" s="26" t="s">
        <v>2356</v>
      </c>
      <c r="CL1512" s="26" t="str">
        <f t="shared" si="93"/>
        <v>宮崎県新富町</v>
      </c>
      <c r="CM1512" s="49">
        <v>1507</v>
      </c>
      <c r="CN1512" s="17" t="str">
        <f t="shared" si="92"/>
        <v>1683</v>
      </c>
      <c r="CO1512" s="17" t="str">
        <f t="shared" si="94"/>
        <v>15071683新富町</v>
      </c>
      <c r="CP1512" s="17" t="s">
        <v>12566</v>
      </c>
      <c r="CQ1512" s="17" t="b">
        <f t="shared" si="95"/>
        <v>1</v>
      </c>
    </row>
    <row r="1513" spans="6:95">
      <c r="F1513" s="23"/>
      <c r="I1513" s="23"/>
      <c r="L1513" s="50" t="s">
        <v>12567</v>
      </c>
      <c r="M1513" s="17" t="s">
        <v>12568</v>
      </c>
      <c r="N1513" s="51" t="s">
        <v>12569</v>
      </c>
      <c r="O1513" s="29" t="s">
        <v>1478</v>
      </c>
      <c r="P1513" s="29" t="s">
        <v>12570</v>
      </c>
      <c r="Q1513" s="29" t="s">
        <v>1478</v>
      </c>
      <c r="R1513" s="29" t="s">
        <v>2145</v>
      </c>
      <c r="S1513" s="28" t="s">
        <v>2311</v>
      </c>
      <c r="T1513" s="28" t="s">
        <v>2018</v>
      </c>
      <c r="U1513" s="28" t="s">
        <v>1446</v>
      </c>
      <c r="V1513" s="28" t="s">
        <v>1913</v>
      </c>
      <c r="W1513" s="28" t="s">
        <v>12571</v>
      </c>
      <c r="X1513" s="17">
        <v>1</v>
      </c>
      <c r="CJ1513" s="26" t="s">
        <v>1422</v>
      </c>
      <c r="CK1513" s="26" t="s">
        <v>2411</v>
      </c>
      <c r="CL1513" s="26" t="str">
        <f t="shared" si="93"/>
        <v>宮崎県西米良村</v>
      </c>
      <c r="CM1513" s="49">
        <v>1508</v>
      </c>
      <c r="CN1513" s="17" t="str">
        <f t="shared" si="92"/>
        <v>1684</v>
      </c>
      <c r="CO1513" s="17" t="str">
        <f t="shared" si="94"/>
        <v>15081684西米良村</v>
      </c>
      <c r="CP1513" s="17" t="s">
        <v>12572</v>
      </c>
      <c r="CQ1513" s="17" t="b">
        <f t="shared" si="95"/>
        <v>1</v>
      </c>
    </row>
    <row r="1514" spans="6:95">
      <c r="F1514" s="23"/>
      <c r="I1514" s="23"/>
      <c r="L1514" s="50" t="s">
        <v>12573</v>
      </c>
      <c r="M1514" s="17" t="s">
        <v>12574</v>
      </c>
      <c r="N1514" s="51" t="s">
        <v>12575</v>
      </c>
      <c r="O1514" s="29" t="s">
        <v>1478</v>
      </c>
      <c r="P1514" s="29" t="s">
        <v>12576</v>
      </c>
      <c r="Q1514" s="29" t="s">
        <v>1478</v>
      </c>
      <c r="R1514" s="29" t="s">
        <v>2200</v>
      </c>
      <c r="S1514" s="28" t="s">
        <v>1564</v>
      </c>
      <c r="T1514" s="28" t="s">
        <v>2074</v>
      </c>
      <c r="U1514" s="28" t="s">
        <v>1446</v>
      </c>
      <c r="V1514" s="28" t="s">
        <v>1913</v>
      </c>
      <c r="W1514" s="28" t="s">
        <v>12577</v>
      </c>
      <c r="X1514" s="17">
        <v>1</v>
      </c>
      <c r="CJ1514" s="26" t="s">
        <v>1422</v>
      </c>
      <c r="CK1514" s="26" t="s">
        <v>2465</v>
      </c>
      <c r="CL1514" s="26" t="str">
        <f t="shared" si="93"/>
        <v>宮崎県木城町</v>
      </c>
      <c r="CM1514" s="49">
        <v>1509</v>
      </c>
      <c r="CN1514" s="17" t="str">
        <f t="shared" si="92"/>
        <v>1685</v>
      </c>
      <c r="CO1514" s="17" t="str">
        <f t="shared" si="94"/>
        <v>15091685木城町</v>
      </c>
      <c r="CP1514" s="17" t="s">
        <v>12578</v>
      </c>
      <c r="CQ1514" s="17" t="b">
        <f t="shared" si="95"/>
        <v>1</v>
      </c>
    </row>
    <row r="1515" spans="6:95">
      <c r="F1515" s="23"/>
      <c r="I1515" s="23"/>
      <c r="L1515" s="50" t="s">
        <v>12579</v>
      </c>
      <c r="M1515" s="17" t="s">
        <v>12580</v>
      </c>
      <c r="N1515" s="51" t="s">
        <v>12581</v>
      </c>
      <c r="O1515" s="29" t="s">
        <v>1478</v>
      </c>
      <c r="P1515" s="29" t="s">
        <v>12582</v>
      </c>
      <c r="Q1515" s="29" t="s">
        <v>1478</v>
      </c>
      <c r="R1515" s="29" t="s">
        <v>2310</v>
      </c>
      <c r="S1515" s="28" t="s">
        <v>1977</v>
      </c>
      <c r="T1515" s="28" t="s">
        <v>2130</v>
      </c>
      <c r="U1515" s="28" t="s">
        <v>1446</v>
      </c>
      <c r="V1515" s="28" t="s">
        <v>1913</v>
      </c>
      <c r="W1515" s="28" t="s">
        <v>12583</v>
      </c>
      <c r="X1515" s="17">
        <v>1</v>
      </c>
      <c r="CJ1515" s="26" t="s">
        <v>1422</v>
      </c>
      <c r="CK1515" s="26" t="s">
        <v>2515</v>
      </c>
      <c r="CL1515" s="26" t="str">
        <f t="shared" si="93"/>
        <v>宮崎県川南町</v>
      </c>
      <c r="CM1515" s="49">
        <v>1510</v>
      </c>
      <c r="CN1515" s="17" t="str">
        <f t="shared" si="92"/>
        <v>1686</v>
      </c>
      <c r="CO1515" s="17" t="str">
        <f t="shared" si="94"/>
        <v>15101686川南町</v>
      </c>
      <c r="CP1515" s="17" t="s">
        <v>12584</v>
      </c>
      <c r="CQ1515" s="17" t="b">
        <f t="shared" si="95"/>
        <v>1</v>
      </c>
    </row>
    <row r="1516" spans="6:95">
      <c r="F1516" s="23"/>
      <c r="I1516" s="23"/>
      <c r="L1516" s="50" t="s">
        <v>12585</v>
      </c>
      <c r="M1516" s="17" t="s">
        <v>12586</v>
      </c>
      <c r="N1516" s="51" t="s">
        <v>12587</v>
      </c>
      <c r="O1516" s="29" t="s">
        <v>1478</v>
      </c>
      <c r="P1516" s="29" t="s">
        <v>12588</v>
      </c>
      <c r="Q1516" s="29" t="s">
        <v>1478</v>
      </c>
      <c r="R1516" s="29" t="s">
        <v>2365</v>
      </c>
      <c r="S1516" s="28" t="s">
        <v>1743</v>
      </c>
      <c r="T1516" s="28" t="s">
        <v>2186</v>
      </c>
      <c r="U1516" s="28" t="s">
        <v>1446</v>
      </c>
      <c r="V1516" s="28" t="s">
        <v>1913</v>
      </c>
      <c r="W1516" s="28" t="s">
        <v>12589</v>
      </c>
      <c r="X1516" s="17">
        <v>1</v>
      </c>
      <c r="CJ1516" s="26" t="s">
        <v>1422</v>
      </c>
      <c r="CK1516" s="26" t="s">
        <v>2567</v>
      </c>
      <c r="CL1516" s="26" t="str">
        <f t="shared" si="93"/>
        <v>宮崎県都農町</v>
      </c>
      <c r="CM1516" s="49">
        <v>1511</v>
      </c>
      <c r="CN1516" s="17" t="str">
        <f t="shared" si="92"/>
        <v>1687</v>
      </c>
      <c r="CO1516" s="17" t="str">
        <f t="shared" si="94"/>
        <v>15111687都農町</v>
      </c>
      <c r="CP1516" s="17" t="s">
        <v>12590</v>
      </c>
      <c r="CQ1516" s="17" t="b">
        <f t="shared" si="95"/>
        <v>1</v>
      </c>
    </row>
    <row r="1517" spans="6:95">
      <c r="F1517" s="23"/>
      <c r="I1517" s="23"/>
      <c r="L1517" s="50" t="s">
        <v>12591</v>
      </c>
      <c r="M1517" s="17" t="s">
        <v>12592</v>
      </c>
      <c r="N1517" s="51" t="s">
        <v>12593</v>
      </c>
      <c r="O1517" s="29" t="s">
        <v>1478</v>
      </c>
      <c r="P1517" s="29" t="s">
        <v>12594</v>
      </c>
      <c r="Q1517" s="29" t="s">
        <v>1478</v>
      </c>
      <c r="R1517" s="29" t="s">
        <v>2420</v>
      </c>
      <c r="S1517" s="28" t="s">
        <v>1803</v>
      </c>
      <c r="T1517" s="28" t="s">
        <v>2241</v>
      </c>
      <c r="U1517" s="28" t="s">
        <v>1446</v>
      </c>
      <c r="V1517" s="28" t="s">
        <v>1913</v>
      </c>
      <c r="W1517" s="28" t="s">
        <v>12595</v>
      </c>
      <c r="X1517" s="17">
        <v>1</v>
      </c>
      <c r="CJ1517" s="26" t="s">
        <v>1422</v>
      </c>
      <c r="CK1517" s="26" t="s">
        <v>2614</v>
      </c>
      <c r="CL1517" s="26" t="str">
        <f t="shared" si="93"/>
        <v>宮崎県門川町</v>
      </c>
      <c r="CM1517" s="49">
        <v>1512</v>
      </c>
      <c r="CN1517" s="17" t="str">
        <f t="shared" si="92"/>
        <v>1688</v>
      </c>
      <c r="CO1517" s="17" t="str">
        <f t="shared" si="94"/>
        <v>15121688門川町</v>
      </c>
      <c r="CP1517" s="17" t="s">
        <v>12596</v>
      </c>
      <c r="CQ1517" s="17" t="b">
        <f t="shared" si="95"/>
        <v>1</v>
      </c>
    </row>
    <row r="1518" spans="6:95">
      <c r="F1518" s="23"/>
      <c r="I1518" s="23"/>
      <c r="L1518" s="50" t="s">
        <v>12597</v>
      </c>
      <c r="M1518" s="17" t="s">
        <v>12598</v>
      </c>
      <c r="N1518" s="51" t="s">
        <v>12599</v>
      </c>
      <c r="O1518" s="29" t="s">
        <v>1478</v>
      </c>
      <c r="P1518" s="29" t="s">
        <v>12600</v>
      </c>
      <c r="Q1518" s="29" t="s">
        <v>1478</v>
      </c>
      <c r="R1518" s="29" t="s">
        <v>2474</v>
      </c>
      <c r="S1518" s="28" t="s">
        <v>1862</v>
      </c>
      <c r="T1518" s="28" t="s">
        <v>2296</v>
      </c>
      <c r="U1518" s="28" t="s">
        <v>1446</v>
      </c>
      <c r="V1518" s="28" t="s">
        <v>1913</v>
      </c>
      <c r="W1518" s="28" t="s">
        <v>12601</v>
      </c>
      <c r="X1518" s="17">
        <v>1</v>
      </c>
      <c r="CJ1518" s="26" t="s">
        <v>1422</v>
      </c>
      <c r="CK1518" s="26" t="s">
        <v>2659</v>
      </c>
      <c r="CL1518" s="26" t="str">
        <f t="shared" si="93"/>
        <v>宮崎県諸塚村</v>
      </c>
      <c r="CM1518" s="49">
        <v>1513</v>
      </c>
      <c r="CN1518" s="17" t="str">
        <f t="shared" si="92"/>
        <v>1689</v>
      </c>
      <c r="CO1518" s="17" t="str">
        <f t="shared" si="94"/>
        <v>15131689諸塚村</v>
      </c>
      <c r="CP1518" s="17" t="s">
        <v>12602</v>
      </c>
      <c r="CQ1518" s="17" t="b">
        <f t="shared" si="95"/>
        <v>1</v>
      </c>
    </row>
    <row r="1519" spans="6:95">
      <c r="F1519" s="23"/>
      <c r="I1519" s="23"/>
      <c r="L1519" s="50" t="s">
        <v>12603</v>
      </c>
      <c r="M1519" s="17" t="s">
        <v>12604</v>
      </c>
      <c r="N1519" s="51" t="s">
        <v>12605</v>
      </c>
      <c r="O1519" s="29" t="s">
        <v>1478</v>
      </c>
      <c r="P1519" s="29" t="s">
        <v>12606</v>
      </c>
      <c r="Q1519" s="29" t="s">
        <v>1478</v>
      </c>
      <c r="R1519" s="29" t="s">
        <v>2524</v>
      </c>
      <c r="S1519" s="28" t="s">
        <v>1920</v>
      </c>
      <c r="T1519" s="28" t="s">
        <v>2351</v>
      </c>
      <c r="U1519" s="28" t="s">
        <v>1446</v>
      </c>
      <c r="V1519" s="28" t="s">
        <v>1913</v>
      </c>
      <c r="W1519" s="28" t="s">
        <v>12607</v>
      </c>
      <c r="X1519" s="17">
        <v>1</v>
      </c>
      <c r="CJ1519" s="26" t="s">
        <v>1422</v>
      </c>
      <c r="CK1519" s="26" t="s">
        <v>2705</v>
      </c>
      <c r="CL1519" s="26" t="str">
        <f t="shared" si="93"/>
        <v>宮崎県椎葉村</v>
      </c>
      <c r="CM1519" s="49">
        <v>1514</v>
      </c>
      <c r="CN1519" s="17" t="str">
        <f t="shared" si="92"/>
        <v>1690</v>
      </c>
      <c r="CO1519" s="17" t="str">
        <f t="shared" si="94"/>
        <v>15141690椎葉村</v>
      </c>
      <c r="CP1519" s="17" t="s">
        <v>12608</v>
      </c>
      <c r="CQ1519" s="17" t="b">
        <f t="shared" si="95"/>
        <v>1</v>
      </c>
    </row>
    <row r="1520" spans="6:95">
      <c r="F1520" s="23"/>
      <c r="I1520" s="23"/>
      <c r="L1520" s="50" t="s">
        <v>12609</v>
      </c>
      <c r="M1520" s="17" t="s">
        <v>12610</v>
      </c>
      <c r="N1520" s="51" t="s">
        <v>12611</v>
      </c>
      <c r="O1520" s="29" t="s">
        <v>1478</v>
      </c>
      <c r="P1520" s="29" t="s">
        <v>12612</v>
      </c>
      <c r="Q1520" s="29" t="s">
        <v>1478</v>
      </c>
      <c r="R1520" s="29" t="s">
        <v>2576</v>
      </c>
      <c r="S1520" s="28" t="s">
        <v>1977</v>
      </c>
      <c r="T1520" s="28" t="s">
        <v>2406</v>
      </c>
      <c r="U1520" s="28" t="s">
        <v>1446</v>
      </c>
      <c r="V1520" s="28" t="s">
        <v>1913</v>
      </c>
      <c r="W1520" s="28" t="s">
        <v>12612</v>
      </c>
      <c r="X1520" s="17">
        <v>1</v>
      </c>
      <c r="CJ1520" s="26" t="s">
        <v>1422</v>
      </c>
      <c r="CK1520" s="26" t="s">
        <v>2066</v>
      </c>
      <c r="CL1520" s="26" t="str">
        <f t="shared" si="93"/>
        <v>宮崎県美郷町</v>
      </c>
      <c r="CM1520" s="49">
        <v>1515</v>
      </c>
      <c r="CN1520" s="17" t="str">
        <f t="shared" si="92"/>
        <v>1691</v>
      </c>
      <c r="CO1520" s="17" t="str">
        <f t="shared" si="94"/>
        <v>15151691美郷町</v>
      </c>
      <c r="CP1520" s="17" t="s">
        <v>12613</v>
      </c>
      <c r="CQ1520" s="17" t="b">
        <f t="shared" si="95"/>
        <v>1</v>
      </c>
    </row>
    <row r="1521" spans="6:95">
      <c r="F1521" s="23"/>
      <c r="I1521" s="23"/>
      <c r="L1521" s="50" t="s">
        <v>12614</v>
      </c>
      <c r="M1521" s="17" t="s">
        <v>12615</v>
      </c>
      <c r="N1521" s="51" t="s">
        <v>12616</v>
      </c>
      <c r="O1521" s="29" t="s">
        <v>1478</v>
      </c>
      <c r="P1521" s="29" t="s">
        <v>12617</v>
      </c>
      <c r="Q1521" s="29" t="s">
        <v>1478</v>
      </c>
      <c r="R1521" s="29" t="s">
        <v>2623</v>
      </c>
      <c r="S1521" s="28" t="s">
        <v>1743</v>
      </c>
      <c r="T1521" s="28" t="s">
        <v>2460</v>
      </c>
      <c r="U1521" s="28" t="s">
        <v>1446</v>
      </c>
      <c r="V1521" s="28" t="s">
        <v>1913</v>
      </c>
      <c r="W1521" s="28" t="s">
        <v>12617</v>
      </c>
      <c r="X1521" s="17">
        <v>1</v>
      </c>
      <c r="CJ1521" s="26" t="s">
        <v>1422</v>
      </c>
      <c r="CK1521" s="26" t="s">
        <v>2791</v>
      </c>
      <c r="CL1521" s="26" t="str">
        <f t="shared" si="93"/>
        <v>宮崎県高千穂町</v>
      </c>
      <c r="CM1521" s="49">
        <v>1516</v>
      </c>
      <c r="CN1521" s="17" t="str">
        <f t="shared" si="92"/>
        <v>1692</v>
      </c>
      <c r="CO1521" s="17" t="str">
        <f t="shared" si="94"/>
        <v>15161692高千穂町</v>
      </c>
      <c r="CP1521" s="17" t="s">
        <v>12618</v>
      </c>
      <c r="CQ1521" s="17" t="b">
        <f t="shared" si="95"/>
        <v>1</v>
      </c>
    </row>
    <row r="1522" spans="6:95">
      <c r="F1522" s="23"/>
      <c r="I1522" s="23"/>
      <c r="L1522" s="50" t="s">
        <v>12619</v>
      </c>
      <c r="M1522" s="17" t="s">
        <v>12620</v>
      </c>
      <c r="N1522" s="51" t="s">
        <v>12621</v>
      </c>
      <c r="O1522" s="29" t="s">
        <v>1478</v>
      </c>
      <c r="P1522" s="52">
        <v>402230</v>
      </c>
      <c r="Q1522" s="29" t="s">
        <v>1478</v>
      </c>
      <c r="R1522" s="29" t="s">
        <v>2714</v>
      </c>
      <c r="S1522" s="28" t="s">
        <v>1564</v>
      </c>
      <c r="T1522" s="28" t="s">
        <v>2510</v>
      </c>
      <c r="U1522" s="28" t="s">
        <v>1446</v>
      </c>
      <c r="V1522" s="28" t="s">
        <v>1913</v>
      </c>
      <c r="W1522" s="28" t="s">
        <v>12622</v>
      </c>
      <c r="X1522" s="17">
        <v>1</v>
      </c>
      <c r="CJ1522" s="26" t="s">
        <v>1422</v>
      </c>
      <c r="CK1522" s="26" t="s">
        <v>2833</v>
      </c>
      <c r="CL1522" s="26" t="str">
        <f t="shared" si="93"/>
        <v>宮崎県日之影町</v>
      </c>
      <c r="CM1522" s="49">
        <v>1517</v>
      </c>
      <c r="CN1522" s="17" t="str">
        <f t="shared" si="92"/>
        <v>1693</v>
      </c>
      <c r="CO1522" s="17" t="str">
        <f t="shared" si="94"/>
        <v>15171693日之影町</v>
      </c>
      <c r="CP1522" s="17" t="s">
        <v>12623</v>
      </c>
      <c r="CQ1522" s="17" t="b">
        <f t="shared" si="95"/>
        <v>1</v>
      </c>
    </row>
    <row r="1523" spans="6:95">
      <c r="F1523" s="23"/>
      <c r="I1523" s="23"/>
      <c r="L1523" s="50" t="s">
        <v>12624</v>
      </c>
      <c r="M1523" s="17" t="s">
        <v>12625</v>
      </c>
      <c r="N1523" s="51" t="s">
        <v>12626</v>
      </c>
      <c r="O1523" s="29" t="s">
        <v>1478</v>
      </c>
      <c r="P1523" s="29" t="s">
        <v>12627</v>
      </c>
      <c r="Q1523" s="29" t="s">
        <v>1478</v>
      </c>
      <c r="R1523" s="29" t="s">
        <v>2758</v>
      </c>
      <c r="S1523" s="28" t="s">
        <v>1920</v>
      </c>
      <c r="T1523" s="28" t="s">
        <v>2563</v>
      </c>
      <c r="U1523" s="28" t="s">
        <v>1446</v>
      </c>
      <c r="V1523" s="28" t="s">
        <v>1913</v>
      </c>
      <c r="W1523" s="28" t="s">
        <v>12628</v>
      </c>
      <c r="X1523" s="17">
        <v>1</v>
      </c>
      <c r="CJ1523" s="26" t="s">
        <v>1422</v>
      </c>
      <c r="CK1523" s="26" t="s">
        <v>2872</v>
      </c>
      <c r="CL1523" s="26" t="str">
        <f t="shared" si="93"/>
        <v>宮崎県五ヶ瀬町</v>
      </c>
      <c r="CM1523" s="49">
        <v>1518</v>
      </c>
      <c r="CN1523" s="17" t="str">
        <f t="shared" si="92"/>
        <v>1694</v>
      </c>
      <c r="CO1523" s="17" t="str">
        <f t="shared" si="94"/>
        <v>15181694五ヶ瀬町</v>
      </c>
      <c r="CP1523" s="17" t="s">
        <v>12629</v>
      </c>
      <c r="CQ1523" s="17" t="b">
        <f t="shared" si="95"/>
        <v>1</v>
      </c>
    </row>
    <row r="1524" spans="6:95">
      <c r="F1524" s="23"/>
      <c r="I1524" s="23"/>
      <c r="L1524" s="50" t="s">
        <v>12630</v>
      </c>
      <c r="M1524" s="17" t="s">
        <v>12631</v>
      </c>
      <c r="N1524" s="51" t="s">
        <v>12632</v>
      </c>
      <c r="O1524" s="29" t="s">
        <v>1478</v>
      </c>
      <c r="P1524" s="29" t="s">
        <v>12633</v>
      </c>
      <c r="Q1524" s="29" t="s">
        <v>1478</v>
      </c>
      <c r="R1524" s="29" t="s">
        <v>4381</v>
      </c>
      <c r="S1524" s="28" t="s">
        <v>1564</v>
      </c>
      <c r="T1524" s="28" t="s">
        <v>2610</v>
      </c>
      <c r="U1524" s="28" t="s">
        <v>1446</v>
      </c>
      <c r="V1524" s="28" t="s">
        <v>1913</v>
      </c>
      <c r="W1524" s="28" t="s">
        <v>12634</v>
      </c>
      <c r="X1524" s="17">
        <v>1</v>
      </c>
      <c r="CJ1524" s="26" t="s">
        <v>1423</v>
      </c>
      <c r="CK1524" s="26" t="s">
        <v>1549</v>
      </c>
      <c r="CL1524" s="26" t="str">
        <f t="shared" si="93"/>
        <v>鹿児島県鹿児島市</v>
      </c>
      <c r="CM1524" s="49">
        <v>1519</v>
      </c>
      <c r="CN1524" s="17" t="str">
        <f t="shared" si="92"/>
        <v>1695</v>
      </c>
      <c r="CO1524" s="17" t="str">
        <f t="shared" si="94"/>
        <v>15191695鹿児島市</v>
      </c>
      <c r="CP1524" s="17" t="s">
        <v>12635</v>
      </c>
      <c r="CQ1524" s="17" t="b">
        <f t="shared" si="95"/>
        <v>1</v>
      </c>
    </row>
    <row r="1525" spans="6:95">
      <c r="F1525" s="23"/>
      <c r="I1525" s="23"/>
      <c r="L1525" s="50" t="s">
        <v>12636</v>
      </c>
      <c r="M1525" s="17" t="s">
        <v>12637</v>
      </c>
      <c r="N1525" s="51" t="s">
        <v>12638</v>
      </c>
      <c r="O1525" s="29" t="s">
        <v>1478</v>
      </c>
      <c r="P1525" s="29" t="s">
        <v>12639</v>
      </c>
      <c r="Q1525" s="29" t="s">
        <v>1478</v>
      </c>
      <c r="R1525" s="29" t="s">
        <v>2881</v>
      </c>
      <c r="S1525" s="28" t="s">
        <v>1626</v>
      </c>
      <c r="T1525" s="28" t="s">
        <v>2655</v>
      </c>
      <c r="U1525" s="28" t="s">
        <v>1446</v>
      </c>
      <c r="V1525" s="28" t="s">
        <v>1913</v>
      </c>
      <c r="W1525" s="28" t="s">
        <v>12640</v>
      </c>
      <c r="X1525" s="17">
        <v>1</v>
      </c>
      <c r="CJ1525" s="26" t="s">
        <v>1423</v>
      </c>
      <c r="CK1525" s="26" t="s">
        <v>1611</v>
      </c>
      <c r="CL1525" s="26" t="str">
        <f t="shared" si="93"/>
        <v>鹿児島県鹿屋市</v>
      </c>
      <c r="CM1525" s="49">
        <v>1520</v>
      </c>
      <c r="CN1525" s="17" t="str">
        <f t="shared" si="92"/>
        <v>1696</v>
      </c>
      <c r="CO1525" s="17" t="str">
        <f t="shared" si="94"/>
        <v>15201696鹿屋市</v>
      </c>
      <c r="CP1525" s="17" t="s">
        <v>12641</v>
      </c>
      <c r="CQ1525" s="17" t="b">
        <f t="shared" si="95"/>
        <v>1</v>
      </c>
    </row>
    <row r="1526" spans="6:95">
      <c r="F1526" s="23"/>
      <c r="I1526" s="23"/>
      <c r="L1526" s="50" t="s">
        <v>12642</v>
      </c>
      <c r="M1526" s="17" t="s">
        <v>12643</v>
      </c>
      <c r="N1526" s="51" t="s">
        <v>12644</v>
      </c>
      <c r="O1526" s="29" t="s">
        <v>1478</v>
      </c>
      <c r="P1526" s="29" t="s">
        <v>12645</v>
      </c>
      <c r="Q1526" s="29" t="s">
        <v>1478</v>
      </c>
      <c r="R1526" s="29" t="s">
        <v>2918</v>
      </c>
      <c r="S1526" s="28" t="s">
        <v>1502</v>
      </c>
      <c r="T1526" s="28" t="s">
        <v>2701</v>
      </c>
      <c r="U1526" s="28" t="s">
        <v>1446</v>
      </c>
      <c r="V1526" s="28" t="s">
        <v>1913</v>
      </c>
      <c r="W1526" s="28" t="s">
        <v>12646</v>
      </c>
      <c r="X1526" s="17">
        <v>1</v>
      </c>
      <c r="CJ1526" s="26" t="s">
        <v>1423</v>
      </c>
      <c r="CK1526" s="26" t="s">
        <v>1673</v>
      </c>
      <c r="CL1526" s="26" t="str">
        <f t="shared" si="93"/>
        <v>鹿児島県枕崎市</v>
      </c>
      <c r="CM1526" s="49">
        <v>1521</v>
      </c>
      <c r="CN1526" s="17" t="str">
        <f t="shared" si="92"/>
        <v>1697</v>
      </c>
      <c r="CO1526" s="17" t="str">
        <f t="shared" si="94"/>
        <v>15211697枕崎市</v>
      </c>
      <c r="CP1526" s="17" t="s">
        <v>12647</v>
      </c>
      <c r="CQ1526" s="17" t="b">
        <f t="shared" si="95"/>
        <v>1</v>
      </c>
    </row>
    <row r="1527" spans="6:95">
      <c r="F1527" s="23"/>
      <c r="I1527" s="23"/>
      <c r="L1527" s="50" t="s">
        <v>12648</v>
      </c>
      <c r="M1527" s="17" t="s">
        <v>12649</v>
      </c>
      <c r="N1527" s="51" t="s">
        <v>12650</v>
      </c>
      <c r="O1527" s="29" t="s">
        <v>1478</v>
      </c>
      <c r="P1527" s="29" t="s">
        <v>12651</v>
      </c>
      <c r="Q1527" s="29" t="s">
        <v>1478</v>
      </c>
      <c r="R1527" s="29" t="s">
        <v>2953</v>
      </c>
      <c r="S1527" s="28" t="s">
        <v>2525</v>
      </c>
      <c r="T1527" s="28" t="s">
        <v>2747</v>
      </c>
      <c r="U1527" s="28" t="s">
        <v>1446</v>
      </c>
      <c r="V1527" s="28" t="s">
        <v>1913</v>
      </c>
      <c r="W1527" s="28" t="s">
        <v>12652</v>
      </c>
      <c r="X1527" s="17">
        <v>1</v>
      </c>
      <c r="CJ1527" s="26" t="s">
        <v>1423</v>
      </c>
      <c r="CK1527" s="26" t="s">
        <v>1731</v>
      </c>
      <c r="CL1527" s="26" t="str">
        <f t="shared" si="93"/>
        <v>鹿児島県阿久根市</v>
      </c>
      <c r="CM1527" s="49">
        <v>1522</v>
      </c>
      <c r="CN1527" s="17" t="str">
        <f t="shared" si="92"/>
        <v>1698</v>
      </c>
      <c r="CO1527" s="17" t="str">
        <f t="shared" si="94"/>
        <v>15221698阿久根市</v>
      </c>
      <c r="CP1527" s="17" t="s">
        <v>12653</v>
      </c>
      <c r="CQ1527" s="17" t="b">
        <f t="shared" si="95"/>
        <v>1</v>
      </c>
    </row>
    <row r="1528" spans="6:95">
      <c r="F1528" s="23"/>
      <c r="I1528" s="23"/>
      <c r="L1528" s="50" t="s">
        <v>12654</v>
      </c>
      <c r="M1528" s="17" t="s">
        <v>12655</v>
      </c>
      <c r="N1528" s="51" t="s">
        <v>12656</v>
      </c>
      <c r="O1528" s="29" t="s">
        <v>1478</v>
      </c>
      <c r="P1528" s="52">
        <v>402313</v>
      </c>
      <c r="Q1528" s="29" t="s">
        <v>1478</v>
      </c>
      <c r="R1528" s="29" t="s">
        <v>2986</v>
      </c>
      <c r="S1528" s="28" t="s">
        <v>2311</v>
      </c>
      <c r="T1528" s="28" t="s">
        <v>12657</v>
      </c>
      <c r="U1528" s="28" t="s">
        <v>1446</v>
      </c>
      <c r="V1528" s="28" t="s">
        <v>1913</v>
      </c>
      <c r="W1528" s="28" t="s">
        <v>12658</v>
      </c>
      <c r="X1528" s="17">
        <v>1</v>
      </c>
      <c r="CJ1528" s="26" t="s">
        <v>1423</v>
      </c>
      <c r="CK1528" s="26" t="s">
        <v>1790</v>
      </c>
      <c r="CL1528" s="26" t="str">
        <f t="shared" si="93"/>
        <v>鹿児島県出水市</v>
      </c>
      <c r="CM1528" s="49">
        <v>1523</v>
      </c>
      <c r="CN1528" s="17" t="str">
        <f t="shared" si="92"/>
        <v>1699</v>
      </c>
      <c r="CO1528" s="17" t="str">
        <f t="shared" si="94"/>
        <v>15231699出水市</v>
      </c>
      <c r="CP1528" s="17" t="s">
        <v>12659</v>
      </c>
      <c r="CQ1528" s="17" t="b">
        <f t="shared" si="95"/>
        <v>1</v>
      </c>
    </row>
    <row r="1529" spans="6:95">
      <c r="F1529" s="23"/>
      <c r="I1529" s="23"/>
      <c r="L1529" s="50" t="s">
        <v>12660</v>
      </c>
      <c r="M1529" s="17" t="s">
        <v>12661</v>
      </c>
      <c r="N1529" s="51" t="s">
        <v>12662</v>
      </c>
      <c r="O1529" s="29" t="s">
        <v>1478</v>
      </c>
      <c r="P1529" s="29" t="s">
        <v>12663</v>
      </c>
      <c r="Q1529" s="29" t="s">
        <v>1478</v>
      </c>
      <c r="R1529" s="29" t="s">
        <v>5367</v>
      </c>
      <c r="S1529" s="28" t="s">
        <v>2311</v>
      </c>
      <c r="T1529" s="28" t="s">
        <v>2831</v>
      </c>
      <c r="U1529" s="28" t="s">
        <v>1446</v>
      </c>
      <c r="V1529" s="28" t="s">
        <v>1913</v>
      </c>
      <c r="W1529" s="28" t="s">
        <v>12664</v>
      </c>
      <c r="X1529" s="17">
        <v>1</v>
      </c>
      <c r="CJ1529" s="26" t="s">
        <v>1423</v>
      </c>
      <c r="CK1529" s="26" t="s">
        <v>1850</v>
      </c>
      <c r="CL1529" s="26" t="str">
        <f t="shared" si="93"/>
        <v>鹿児島県指宿市</v>
      </c>
      <c r="CM1529" s="49">
        <v>1524</v>
      </c>
      <c r="CN1529" s="17" t="str">
        <f t="shared" si="92"/>
        <v>1700</v>
      </c>
      <c r="CO1529" s="17" t="str">
        <f t="shared" si="94"/>
        <v>15241700指宿市</v>
      </c>
      <c r="CP1529" s="17" t="s">
        <v>12665</v>
      </c>
      <c r="CQ1529" s="17" t="b">
        <f t="shared" si="95"/>
        <v>1</v>
      </c>
    </row>
    <row r="1530" spans="6:95">
      <c r="F1530" s="23"/>
      <c r="I1530" s="23"/>
      <c r="L1530" s="50" t="s">
        <v>12666</v>
      </c>
      <c r="M1530" s="17" t="s">
        <v>12667</v>
      </c>
      <c r="N1530" s="51" t="s">
        <v>12668</v>
      </c>
      <c r="O1530" s="29" t="s">
        <v>1478</v>
      </c>
      <c r="P1530" s="29" t="s">
        <v>12669</v>
      </c>
      <c r="Q1530" s="29" t="s">
        <v>1478</v>
      </c>
      <c r="R1530" s="29" t="s">
        <v>12670</v>
      </c>
      <c r="S1530" s="28" t="s">
        <v>2525</v>
      </c>
      <c r="T1530" s="28" t="s">
        <v>2870</v>
      </c>
      <c r="U1530" s="28" t="s">
        <v>1446</v>
      </c>
      <c r="V1530" s="28" t="s">
        <v>1913</v>
      </c>
      <c r="W1530" s="28" t="s">
        <v>12671</v>
      </c>
      <c r="X1530" s="17">
        <v>1</v>
      </c>
      <c r="CJ1530" s="26" t="s">
        <v>1423</v>
      </c>
      <c r="CK1530" s="26" t="s">
        <v>1909</v>
      </c>
      <c r="CL1530" s="26" t="str">
        <f t="shared" si="93"/>
        <v>鹿児島県西之表市</v>
      </c>
      <c r="CM1530" s="49">
        <v>1525</v>
      </c>
      <c r="CN1530" s="17" t="str">
        <f t="shared" si="92"/>
        <v>1701</v>
      </c>
      <c r="CO1530" s="17" t="str">
        <f t="shared" si="94"/>
        <v>15251701西之表市</v>
      </c>
      <c r="CP1530" s="17" t="s">
        <v>12672</v>
      </c>
      <c r="CQ1530" s="17" t="b">
        <f t="shared" si="95"/>
        <v>1</v>
      </c>
    </row>
    <row r="1531" spans="6:95">
      <c r="F1531" s="23"/>
      <c r="I1531" s="23"/>
      <c r="L1531" s="50" t="s">
        <v>12673</v>
      </c>
      <c r="M1531" s="17" t="s">
        <v>12674</v>
      </c>
      <c r="N1531" s="51" t="s">
        <v>12675</v>
      </c>
      <c r="O1531" s="29" t="s">
        <v>1478</v>
      </c>
      <c r="P1531" s="29" t="s">
        <v>12676</v>
      </c>
      <c r="Q1531" s="29" t="s">
        <v>1478</v>
      </c>
      <c r="R1531" s="29" t="s">
        <v>12677</v>
      </c>
      <c r="S1531" s="28" t="s">
        <v>1977</v>
      </c>
      <c r="T1531" s="28" t="s">
        <v>2908</v>
      </c>
      <c r="U1531" s="28" t="s">
        <v>1446</v>
      </c>
      <c r="V1531" s="28" t="s">
        <v>1913</v>
      </c>
      <c r="W1531" s="28" t="s">
        <v>12678</v>
      </c>
      <c r="X1531" s="17">
        <v>1</v>
      </c>
      <c r="CJ1531" s="26" t="s">
        <v>1423</v>
      </c>
      <c r="CK1531" s="26" t="s">
        <v>1967</v>
      </c>
      <c r="CL1531" s="26" t="str">
        <f t="shared" si="93"/>
        <v>鹿児島県垂水市</v>
      </c>
      <c r="CM1531" s="49">
        <v>1526</v>
      </c>
      <c r="CN1531" s="17" t="str">
        <f t="shared" si="92"/>
        <v>1702</v>
      </c>
      <c r="CO1531" s="17" t="str">
        <f t="shared" si="94"/>
        <v>15261702垂水市</v>
      </c>
      <c r="CP1531" s="17" t="s">
        <v>12679</v>
      </c>
      <c r="CQ1531" s="17" t="b">
        <f t="shared" si="95"/>
        <v>1</v>
      </c>
    </row>
    <row r="1532" spans="6:95">
      <c r="F1532" s="23"/>
      <c r="I1532" s="23"/>
      <c r="L1532" s="50" t="s">
        <v>12680</v>
      </c>
      <c r="M1532" s="17" t="s">
        <v>12681</v>
      </c>
      <c r="N1532" s="51" t="s">
        <v>12682</v>
      </c>
      <c r="O1532" s="29" t="s">
        <v>1478</v>
      </c>
      <c r="P1532" s="29" t="s">
        <v>12683</v>
      </c>
      <c r="Q1532" s="29" t="s">
        <v>1478</v>
      </c>
      <c r="R1532" s="29" t="s">
        <v>12684</v>
      </c>
      <c r="S1532" s="28" t="s">
        <v>1862</v>
      </c>
      <c r="T1532" s="28" t="s">
        <v>2943</v>
      </c>
      <c r="U1532" s="28" t="s">
        <v>1446</v>
      </c>
      <c r="V1532" s="28" t="s">
        <v>1913</v>
      </c>
      <c r="W1532" s="28" t="s">
        <v>12685</v>
      </c>
      <c r="X1532" s="17">
        <v>1</v>
      </c>
      <c r="CJ1532" s="26" t="s">
        <v>1423</v>
      </c>
      <c r="CK1532" s="26" t="s">
        <v>2024</v>
      </c>
      <c r="CL1532" s="26" t="str">
        <f t="shared" si="93"/>
        <v>鹿児島県薩摩川内市</v>
      </c>
      <c r="CM1532" s="49">
        <v>1527</v>
      </c>
      <c r="CN1532" s="17" t="str">
        <f t="shared" si="92"/>
        <v>1703</v>
      </c>
      <c r="CO1532" s="17" t="str">
        <f t="shared" si="94"/>
        <v>15271703薩摩川内市</v>
      </c>
      <c r="CP1532" s="17" t="s">
        <v>12686</v>
      </c>
      <c r="CQ1532" s="17" t="b">
        <f t="shared" si="95"/>
        <v>1</v>
      </c>
    </row>
    <row r="1533" spans="6:95">
      <c r="F1533" s="23"/>
      <c r="I1533" s="23"/>
      <c r="L1533" s="50" t="s">
        <v>12687</v>
      </c>
      <c r="M1533" s="17" t="s">
        <v>12688</v>
      </c>
      <c r="N1533" s="51" t="s">
        <v>12689</v>
      </c>
      <c r="O1533" s="29" t="s">
        <v>1478</v>
      </c>
      <c r="P1533" s="29" t="s">
        <v>12690</v>
      </c>
      <c r="Q1533" s="29" t="s">
        <v>1478</v>
      </c>
      <c r="R1533" s="29" t="s">
        <v>1802</v>
      </c>
      <c r="S1533" s="28" t="s">
        <v>2525</v>
      </c>
      <c r="T1533" s="28" t="s">
        <v>2976</v>
      </c>
      <c r="U1533" s="28" t="s">
        <v>1446</v>
      </c>
      <c r="V1533" s="28" t="s">
        <v>1913</v>
      </c>
      <c r="W1533" s="28" t="s">
        <v>12691</v>
      </c>
      <c r="X1533" s="17">
        <v>2</v>
      </c>
      <c r="CJ1533" s="26" t="s">
        <v>1423</v>
      </c>
      <c r="CK1533" s="26" t="s">
        <v>2080</v>
      </c>
      <c r="CL1533" s="26" t="str">
        <f t="shared" si="93"/>
        <v>鹿児島県日置市</v>
      </c>
      <c r="CM1533" s="49">
        <v>1528</v>
      </c>
      <c r="CN1533" s="17" t="str">
        <f t="shared" si="92"/>
        <v>1704</v>
      </c>
      <c r="CO1533" s="17" t="str">
        <f t="shared" si="94"/>
        <v>15281704日置市</v>
      </c>
      <c r="CP1533" s="17" t="s">
        <v>12692</v>
      </c>
      <c r="CQ1533" s="17" t="b">
        <f t="shared" si="95"/>
        <v>1</v>
      </c>
    </row>
    <row r="1534" spans="6:95">
      <c r="F1534" s="23"/>
      <c r="I1534" s="23"/>
      <c r="L1534" s="50" t="s">
        <v>12693</v>
      </c>
      <c r="M1534" s="17" t="s">
        <v>12694</v>
      </c>
      <c r="N1534" s="51" t="s">
        <v>12695</v>
      </c>
      <c r="O1534" s="29" t="s">
        <v>1478</v>
      </c>
      <c r="P1534" s="29" t="s">
        <v>12696</v>
      </c>
      <c r="Q1534" s="29" t="s">
        <v>1478</v>
      </c>
      <c r="R1534" s="29" t="s">
        <v>1861</v>
      </c>
      <c r="S1534" s="28" t="s">
        <v>2311</v>
      </c>
      <c r="T1534" s="28" t="s">
        <v>3010</v>
      </c>
      <c r="U1534" s="28" t="s">
        <v>1446</v>
      </c>
      <c r="V1534" s="28" t="s">
        <v>1913</v>
      </c>
      <c r="W1534" s="28" t="s">
        <v>12697</v>
      </c>
      <c r="X1534" s="17">
        <v>3</v>
      </c>
      <c r="CJ1534" s="26" t="s">
        <v>1423</v>
      </c>
      <c r="CK1534" s="26" t="s">
        <v>2136</v>
      </c>
      <c r="CL1534" s="26" t="str">
        <f t="shared" si="93"/>
        <v>鹿児島県曽於市</v>
      </c>
      <c r="CM1534" s="49">
        <v>1529</v>
      </c>
      <c r="CN1534" s="17" t="str">
        <f t="shared" si="92"/>
        <v>1705</v>
      </c>
      <c r="CO1534" s="17" t="str">
        <f t="shared" si="94"/>
        <v>15291705曽於市</v>
      </c>
      <c r="CP1534" s="17" t="s">
        <v>12698</v>
      </c>
      <c r="CQ1534" s="17" t="b">
        <f t="shared" si="95"/>
        <v>1</v>
      </c>
    </row>
    <row r="1535" spans="6:95">
      <c r="F1535" s="23"/>
      <c r="I1535" s="23"/>
      <c r="L1535" s="50" t="s">
        <v>12699</v>
      </c>
      <c r="M1535" s="17" t="s">
        <v>12700</v>
      </c>
      <c r="N1535" s="51" t="s">
        <v>12701</v>
      </c>
      <c r="O1535" s="29" t="s">
        <v>1478</v>
      </c>
      <c r="P1535" s="29" t="s">
        <v>12702</v>
      </c>
      <c r="Q1535" s="29" t="s">
        <v>1478</v>
      </c>
      <c r="R1535" s="29" t="s">
        <v>2255</v>
      </c>
      <c r="S1535" s="28" t="s">
        <v>1626</v>
      </c>
      <c r="T1535" s="28" t="s">
        <v>3042</v>
      </c>
      <c r="U1535" s="28" t="s">
        <v>1446</v>
      </c>
      <c r="V1535" s="28" t="s">
        <v>1913</v>
      </c>
      <c r="W1535" s="28" t="s">
        <v>12703</v>
      </c>
      <c r="X1535" s="17">
        <v>4</v>
      </c>
      <c r="CJ1535" s="26" t="s">
        <v>1423</v>
      </c>
      <c r="CK1535" s="26" t="s">
        <v>2192</v>
      </c>
      <c r="CL1535" s="26" t="str">
        <f t="shared" si="93"/>
        <v>鹿児島県霧島市</v>
      </c>
      <c r="CM1535" s="49">
        <v>1530</v>
      </c>
      <c r="CN1535" s="17" t="str">
        <f t="shared" si="92"/>
        <v>1706</v>
      </c>
      <c r="CO1535" s="17" t="str">
        <f t="shared" si="94"/>
        <v>15301706霧島市</v>
      </c>
      <c r="CP1535" s="17" t="s">
        <v>12704</v>
      </c>
      <c r="CQ1535" s="17" t="b">
        <f t="shared" si="95"/>
        <v>1</v>
      </c>
    </row>
    <row r="1536" spans="6:95">
      <c r="F1536" s="23"/>
      <c r="I1536" s="23"/>
      <c r="L1536" s="50" t="s">
        <v>12705</v>
      </c>
      <c r="M1536" s="17" t="s">
        <v>12706</v>
      </c>
      <c r="N1536" s="51" t="s">
        <v>12707</v>
      </c>
      <c r="O1536" s="29" t="s">
        <v>1478</v>
      </c>
      <c r="P1536" s="29" t="s">
        <v>12708</v>
      </c>
      <c r="Q1536" s="29" t="s">
        <v>1478</v>
      </c>
      <c r="R1536" s="29" t="s">
        <v>2800</v>
      </c>
      <c r="S1536" s="28" t="s">
        <v>2525</v>
      </c>
      <c r="T1536" s="28" t="s">
        <v>3073</v>
      </c>
      <c r="U1536" s="28" t="s">
        <v>1446</v>
      </c>
      <c r="V1536" s="28" t="s">
        <v>1913</v>
      </c>
      <c r="W1536" s="28" t="s">
        <v>12709</v>
      </c>
      <c r="X1536" s="17">
        <v>5</v>
      </c>
      <c r="CJ1536" s="26" t="s">
        <v>1423</v>
      </c>
      <c r="CK1536" s="26" t="s">
        <v>2247</v>
      </c>
      <c r="CL1536" s="26" t="str">
        <f t="shared" si="93"/>
        <v>鹿児島県いちき串木野市</v>
      </c>
      <c r="CM1536" s="49">
        <v>1531</v>
      </c>
      <c r="CN1536" s="17" t="str">
        <f t="shared" si="92"/>
        <v>1707</v>
      </c>
      <c r="CO1536" s="17" t="str">
        <f t="shared" si="94"/>
        <v>15311707いちき串木野市</v>
      </c>
      <c r="CP1536" s="17" t="s">
        <v>12710</v>
      </c>
      <c r="CQ1536" s="17" t="b">
        <f t="shared" si="95"/>
        <v>1</v>
      </c>
    </row>
    <row r="1537" spans="6:95">
      <c r="F1537" s="23"/>
      <c r="I1537" s="23"/>
      <c r="L1537" s="50" t="s">
        <v>12711</v>
      </c>
      <c r="M1537" s="17" t="s">
        <v>12712</v>
      </c>
      <c r="N1537" s="51" t="s">
        <v>12713</v>
      </c>
      <c r="O1537" s="29" t="s">
        <v>1478</v>
      </c>
      <c r="P1537" s="29" t="s">
        <v>12714</v>
      </c>
      <c r="Q1537" s="29" t="s">
        <v>1478</v>
      </c>
      <c r="R1537" s="29" t="s">
        <v>2842</v>
      </c>
      <c r="S1537" s="28" t="s">
        <v>2311</v>
      </c>
      <c r="T1537" s="28" t="s">
        <v>3102</v>
      </c>
      <c r="U1537" s="28" t="s">
        <v>1446</v>
      </c>
      <c r="V1537" s="28" t="s">
        <v>1913</v>
      </c>
      <c r="W1537" s="28" t="s">
        <v>12715</v>
      </c>
      <c r="X1537" s="17">
        <v>6</v>
      </c>
      <c r="CJ1537" s="26" t="s">
        <v>1423</v>
      </c>
      <c r="CK1537" s="26" t="s">
        <v>2302</v>
      </c>
      <c r="CL1537" s="26" t="str">
        <f t="shared" si="93"/>
        <v>鹿児島県南さつま市</v>
      </c>
      <c r="CM1537" s="49">
        <v>1532</v>
      </c>
      <c r="CN1537" s="17" t="str">
        <f t="shared" si="92"/>
        <v>1708</v>
      </c>
      <c r="CO1537" s="17" t="str">
        <f t="shared" si="94"/>
        <v>15321708南さつま市</v>
      </c>
      <c r="CP1537" s="17" t="s">
        <v>12716</v>
      </c>
      <c r="CQ1537" s="17" t="b">
        <f t="shared" si="95"/>
        <v>1</v>
      </c>
    </row>
    <row r="1538" spans="6:95">
      <c r="F1538" s="23"/>
      <c r="I1538" s="23"/>
      <c r="L1538" s="50" t="s">
        <v>12717</v>
      </c>
      <c r="M1538" s="17" t="s">
        <v>12718</v>
      </c>
      <c r="N1538" s="51" t="s">
        <v>12719</v>
      </c>
      <c r="O1538" s="29" t="s">
        <v>1478</v>
      </c>
      <c r="P1538" s="29" t="s">
        <v>12720</v>
      </c>
      <c r="Q1538" s="29" t="s">
        <v>1478</v>
      </c>
      <c r="R1538" s="29" t="s">
        <v>5197</v>
      </c>
      <c r="S1538" s="28" t="s">
        <v>1862</v>
      </c>
      <c r="T1538" s="28" t="s">
        <v>3132</v>
      </c>
      <c r="U1538" s="28" t="s">
        <v>1446</v>
      </c>
      <c r="V1538" s="28" t="s">
        <v>1913</v>
      </c>
      <c r="W1538" s="28" t="s">
        <v>12721</v>
      </c>
      <c r="X1538" s="17">
        <v>7</v>
      </c>
      <c r="CJ1538" s="26" t="s">
        <v>1423</v>
      </c>
      <c r="CK1538" s="26" t="s">
        <v>2357</v>
      </c>
      <c r="CL1538" s="26" t="str">
        <f t="shared" si="93"/>
        <v>鹿児島県志布志市</v>
      </c>
      <c r="CM1538" s="49">
        <v>1533</v>
      </c>
      <c r="CN1538" s="17" t="str">
        <f t="shared" si="92"/>
        <v>1709</v>
      </c>
      <c r="CO1538" s="17" t="str">
        <f t="shared" si="94"/>
        <v>15331709志布志市</v>
      </c>
      <c r="CP1538" s="17" t="s">
        <v>12722</v>
      </c>
      <c r="CQ1538" s="17" t="b">
        <f t="shared" si="95"/>
        <v>1</v>
      </c>
    </row>
    <row r="1539" spans="6:95">
      <c r="F1539" s="23"/>
      <c r="I1539" s="23"/>
      <c r="L1539" s="50" t="s">
        <v>12723</v>
      </c>
      <c r="M1539" s="17" t="s">
        <v>12724</v>
      </c>
      <c r="N1539" s="51" t="s">
        <v>12725</v>
      </c>
      <c r="O1539" s="29" t="s">
        <v>1478</v>
      </c>
      <c r="P1539" s="29" t="s">
        <v>12726</v>
      </c>
      <c r="Q1539" s="29" t="s">
        <v>1478</v>
      </c>
      <c r="R1539" s="29" t="s">
        <v>5760</v>
      </c>
      <c r="S1539" s="28" t="s">
        <v>1920</v>
      </c>
      <c r="T1539" s="28" t="s">
        <v>3163</v>
      </c>
      <c r="U1539" s="28" t="s">
        <v>1446</v>
      </c>
      <c r="V1539" s="28" t="s">
        <v>1913</v>
      </c>
      <c r="W1539" s="28" t="s">
        <v>12727</v>
      </c>
      <c r="X1539" s="17">
        <v>8</v>
      </c>
      <c r="CJ1539" s="26" t="s">
        <v>1423</v>
      </c>
      <c r="CK1539" s="26" t="s">
        <v>2412</v>
      </c>
      <c r="CL1539" s="26" t="str">
        <f t="shared" si="93"/>
        <v>鹿児島県奄美市</v>
      </c>
      <c r="CM1539" s="49">
        <v>1534</v>
      </c>
      <c r="CN1539" s="17" t="str">
        <f t="shared" si="92"/>
        <v>1710</v>
      </c>
      <c r="CO1539" s="17" t="str">
        <f t="shared" si="94"/>
        <v>15341710奄美市</v>
      </c>
      <c r="CP1539" s="17" t="s">
        <v>12728</v>
      </c>
      <c r="CQ1539" s="17" t="b">
        <f t="shared" si="95"/>
        <v>1</v>
      </c>
    </row>
    <row r="1540" spans="6:95">
      <c r="F1540" s="23"/>
      <c r="I1540" s="23"/>
      <c r="L1540" s="50" t="s">
        <v>12729</v>
      </c>
      <c r="M1540" s="17" t="s">
        <v>12730</v>
      </c>
      <c r="N1540" s="51" t="s">
        <v>12731</v>
      </c>
      <c r="O1540" s="29" t="s">
        <v>1478</v>
      </c>
      <c r="P1540" s="29" t="s">
        <v>12732</v>
      </c>
      <c r="Q1540" s="29" t="s">
        <v>1478</v>
      </c>
      <c r="R1540" s="29" t="s">
        <v>3316</v>
      </c>
      <c r="S1540" s="28" t="s">
        <v>1977</v>
      </c>
      <c r="T1540" s="28" t="s">
        <v>3189</v>
      </c>
      <c r="U1540" s="28" t="s">
        <v>1446</v>
      </c>
      <c r="V1540" s="28" t="s">
        <v>1913</v>
      </c>
      <c r="W1540" s="28" t="s">
        <v>12733</v>
      </c>
      <c r="X1540" s="17">
        <v>9</v>
      </c>
      <c r="CJ1540" s="26" t="s">
        <v>1423</v>
      </c>
      <c r="CK1540" s="26" t="s">
        <v>2466</v>
      </c>
      <c r="CL1540" s="26" t="str">
        <f t="shared" si="93"/>
        <v>鹿児島県南九州市</v>
      </c>
      <c r="CM1540" s="49">
        <v>1535</v>
      </c>
      <c r="CN1540" s="17" t="str">
        <f t="shared" si="92"/>
        <v>1711</v>
      </c>
      <c r="CO1540" s="17" t="str">
        <f t="shared" si="94"/>
        <v>15351711南九州市</v>
      </c>
      <c r="CP1540" s="17" t="s">
        <v>12734</v>
      </c>
      <c r="CQ1540" s="17" t="b">
        <f t="shared" si="95"/>
        <v>1</v>
      </c>
    </row>
    <row r="1541" spans="6:95">
      <c r="F1541" s="23"/>
      <c r="I1541" s="23"/>
      <c r="L1541" s="50" t="s">
        <v>12735</v>
      </c>
      <c r="M1541" s="17" t="s">
        <v>12736</v>
      </c>
      <c r="N1541" s="51" t="s">
        <v>12737</v>
      </c>
      <c r="O1541" s="29" t="s">
        <v>1478</v>
      </c>
      <c r="P1541" s="29" t="s">
        <v>12738</v>
      </c>
      <c r="Q1541" s="29" t="s">
        <v>1478</v>
      </c>
      <c r="R1541" s="29" t="s">
        <v>5767</v>
      </c>
      <c r="S1541" s="28" t="s">
        <v>1743</v>
      </c>
      <c r="T1541" s="28" t="s">
        <v>3214</v>
      </c>
      <c r="U1541" s="28" t="s">
        <v>1446</v>
      </c>
      <c r="V1541" s="28" t="s">
        <v>1913</v>
      </c>
      <c r="W1541" s="28" t="s">
        <v>12739</v>
      </c>
      <c r="X1541" s="17">
        <v>10</v>
      </c>
      <c r="CJ1541" s="26" t="s">
        <v>1423</v>
      </c>
      <c r="CK1541" s="26" t="s">
        <v>2516</v>
      </c>
      <c r="CL1541" s="26" t="str">
        <f t="shared" si="93"/>
        <v>鹿児島県伊佐市</v>
      </c>
      <c r="CM1541" s="49">
        <v>1536</v>
      </c>
      <c r="CN1541" s="17" t="str">
        <f t="shared" si="92"/>
        <v>1712</v>
      </c>
      <c r="CO1541" s="17" t="str">
        <f t="shared" si="94"/>
        <v>15361712伊佐市</v>
      </c>
      <c r="CP1541" s="17" t="s">
        <v>12740</v>
      </c>
      <c r="CQ1541" s="17" t="b">
        <f t="shared" si="95"/>
        <v>1</v>
      </c>
    </row>
    <row r="1542" spans="6:95">
      <c r="F1542" s="23"/>
      <c r="I1542" s="23"/>
      <c r="L1542" s="50" t="s">
        <v>12741</v>
      </c>
      <c r="M1542" s="17" t="s">
        <v>12742</v>
      </c>
      <c r="N1542" s="51" t="s">
        <v>12743</v>
      </c>
      <c r="O1542" s="29" t="s">
        <v>1478</v>
      </c>
      <c r="P1542" s="29" t="s">
        <v>12744</v>
      </c>
      <c r="Q1542" s="29" t="s">
        <v>1478</v>
      </c>
      <c r="R1542" s="29" t="s">
        <v>3338</v>
      </c>
      <c r="S1542" s="28" t="s">
        <v>1564</v>
      </c>
      <c r="T1542" s="28" t="s">
        <v>3236</v>
      </c>
      <c r="U1542" s="28" t="s">
        <v>1446</v>
      </c>
      <c r="V1542" s="28" t="s">
        <v>1913</v>
      </c>
      <c r="W1542" s="28" t="s">
        <v>12745</v>
      </c>
      <c r="X1542" s="17">
        <v>11</v>
      </c>
      <c r="CJ1542" s="26" t="s">
        <v>1423</v>
      </c>
      <c r="CK1542" s="26" t="s">
        <v>2568</v>
      </c>
      <c r="CL1542" s="26" t="str">
        <f t="shared" si="93"/>
        <v>鹿児島県姶良市</v>
      </c>
      <c r="CM1542" s="49">
        <v>1537</v>
      </c>
      <c r="CN1542" s="17" t="str">
        <f t="shared" ref="CN1542:CN1579" si="96">VLOOKUP(CL1542,$M$6:$N$1784,2,FALSE)</f>
        <v>1713</v>
      </c>
      <c r="CO1542" s="17" t="str">
        <f t="shared" si="94"/>
        <v>15371713姶良市</v>
      </c>
      <c r="CP1542" s="17" t="s">
        <v>12746</v>
      </c>
      <c r="CQ1542" s="17" t="b">
        <f t="shared" si="95"/>
        <v>1</v>
      </c>
    </row>
    <row r="1543" spans="6:95">
      <c r="F1543" s="23"/>
      <c r="I1543" s="23"/>
      <c r="L1543" s="50" t="s">
        <v>12747</v>
      </c>
      <c r="M1543" s="17" t="s">
        <v>12748</v>
      </c>
      <c r="N1543" s="51" t="s">
        <v>12749</v>
      </c>
      <c r="O1543" s="29" t="s">
        <v>1478</v>
      </c>
      <c r="P1543" s="29" t="s">
        <v>12750</v>
      </c>
      <c r="Q1543" s="29" t="s">
        <v>1478</v>
      </c>
      <c r="R1543" s="29" t="s">
        <v>5360</v>
      </c>
      <c r="S1543" s="28" t="s">
        <v>2525</v>
      </c>
      <c r="T1543" s="28" t="s">
        <v>3261</v>
      </c>
      <c r="U1543" s="28" t="s">
        <v>1446</v>
      </c>
      <c r="V1543" s="28" t="s">
        <v>1913</v>
      </c>
      <c r="W1543" s="28" t="s">
        <v>12751</v>
      </c>
      <c r="X1543" s="17">
        <v>12</v>
      </c>
      <c r="CJ1543" s="26" t="s">
        <v>1423</v>
      </c>
      <c r="CK1543" s="26" t="s">
        <v>2615</v>
      </c>
      <c r="CL1543" s="26" t="str">
        <f t="shared" si="93"/>
        <v>鹿児島県三島村</v>
      </c>
      <c r="CM1543" s="49">
        <v>1538</v>
      </c>
      <c r="CN1543" s="17" t="str">
        <f t="shared" si="96"/>
        <v>1714</v>
      </c>
      <c r="CO1543" s="17" t="str">
        <f t="shared" si="94"/>
        <v>15381714三島村</v>
      </c>
      <c r="CP1543" s="17" t="s">
        <v>12752</v>
      </c>
      <c r="CQ1543" s="17" t="b">
        <f t="shared" si="95"/>
        <v>1</v>
      </c>
    </row>
    <row r="1544" spans="6:95">
      <c r="F1544" s="23"/>
      <c r="I1544" s="23"/>
      <c r="L1544" s="50" t="s">
        <v>12753</v>
      </c>
      <c r="M1544" s="17" t="s">
        <v>12754</v>
      </c>
      <c r="N1544" s="51" t="s">
        <v>12755</v>
      </c>
      <c r="O1544" s="29" t="s">
        <v>1478</v>
      </c>
      <c r="P1544" s="29" t="s">
        <v>12756</v>
      </c>
      <c r="Q1544" s="29" t="s">
        <v>1478</v>
      </c>
      <c r="R1544" s="29" t="s">
        <v>4716</v>
      </c>
      <c r="S1544" s="28" t="s">
        <v>1977</v>
      </c>
      <c r="T1544" s="28" t="s">
        <v>3284</v>
      </c>
      <c r="U1544" s="28" t="s">
        <v>1446</v>
      </c>
      <c r="V1544" s="28" t="s">
        <v>1913</v>
      </c>
      <c r="W1544" s="28" t="s">
        <v>12757</v>
      </c>
      <c r="X1544" s="17">
        <v>13</v>
      </c>
      <c r="CJ1544" s="26" t="s">
        <v>1423</v>
      </c>
      <c r="CK1544" s="26" t="s">
        <v>2660</v>
      </c>
      <c r="CL1544" s="26" t="str">
        <f t="shared" ref="CL1544:CL1579" si="97">CJ1544&amp;CK1544</f>
        <v>鹿児島県十島村</v>
      </c>
      <c r="CM1544" s="49">
        <v>1539</v>
      </c>
      <c r="CN1544" s="17" t="str">
        <f t="shared" si="96"/>
        <v>1715</v>
      </c>
      <c r="CO1544" s="17" t="str">
        <f t="shared" ref="CO1544:CO1579" si="98">CM1544&amp;TEXT(CN1544,0)&amp;CK1544</f>
        <v>15391715十島村</v>
      </c>
      <c r="CP1544" s="17" t="s">
        <v>12758</v>
      </c>
      <c r="CQ1544" s="17" t="b">
        <f t="shared" ref="CQ1544:CQ1579" si="99">CO1544=CP1544</f>
        <v>1</v>
      </c>
    </row>
    <row r="1545" spans="6:95">
      <c r="F1545" s="23"/>
      <c r="I1545" s="23"/>
      <c r="L1545" s="50" t="s">
        <v>12759</v>
      </c>
      <c r="M1545" s="17" t="s">
        <v>12760</v>
      </c>
      <c r="N1545" s="51" t="s">
        <v>12761</v>
      </c>
      <c r="O1545" s="29" t="s">
        <v>1478</v>
      </c>
      <c r="P1545" s="29" t="s">
        <v>12762</v>
      </c>
      <c r="Q1545" s="29" t="s">
        <v>1478</v>
      </c>
      <c r="R1545" s="29" t="s">
        <v>5614</v>
      </c>
      <c r="S1545" s="28" t="s">
        <v>1743</v>
      </c>
      <c r="T1545" s="28" t="s">
        <v>3306</v>
      </c>
      <c r="U1545" s="28" t="s">
        <v>1446</v>
      </c>
      <c r="V1545" s="28" t="s">
        <v>1913</v>
      </c>
      <c r="W1545" s="28" t="s">
        <v>12763</v>
      </c>
      <c r="X1545" s="17">
        <v>14</v>
      </c>
      <c r="CJ1545" s="26" t="s">
        <v>1423</v>
      </c>
      <c r="CK1545" s="26" t="s">
        <v>2706</v>
      </c>
      <c r="CL1545" s="26" t="str">
        <f t="shared" si="97"/>
        <v>鹿児島県さつま町</v>
      </c>
      <c r="CM1545" s="49">
        <v>1540</v>
      </c>
      <c r="CN1545" s="17" t="str">
        <f t="shared" si="96"/>
        <v>1716</v>
      </c>
      <c r="CO1545" s="17" t="str">
        <f t="shared" si="98"/>
        <v>15401716さつま町</v>
      </c>
      <c r="CP1545" s="17" t="s">
        <v>12764</v>
      </c>
      <c r="CQ1545" s="17" t="b">
        <f t="shared" si="99"/>
        <v>1</v>
      </c>
    </row>
    <row r="1546" spans="6:95">
      <c r="F1546" s="23"/>
      <c r="I1546" s="23"/>
      <c r="L1546" s="50" t="s">
        <v>12765</v>
      </c>
      <c r="M1546" s="17" t="s">
        <v>12766</v>
      </c>
      <c r="N1546" s="51" t="s">
        <v>12767</v>
      </c>
      <c r="O1546" s="29" t="s">
        <v>1478</v>
      </c>
      <c r="P1546" s="29" t="s">
        <v>12768</v>
      </c>
      <c r="Q1546" s="29" t="s">
        <v>1478</v>
      </c>
      <c r="R1546" s="29" t="s">
        <v>6536</v>
      </c>
      <c r="S1546" s="28" t="s">
        <v>1803</v>
      </c>
      <c r="T1546" s="28" t="s">
        <v>3328</v>
      </c>
      <c r="U1546" s="28" t="s">
        <v>1446</v>
      </c>
      <c r="V1546" s="28" t="s">
        <v>1913</v>
      </c>
      <c r="W1546" s="28" t="s">
        <v>12769</v>
      </c>
      <c r="X1546" s="17">
        <v>15</v>
      </c>
      <c r="CJ1546" s="26" t="s">
        <v>1423</v>
      </c>
      <c r="CK1546" s="26" t="s">
        <v>2750</v>
      </c>
      <c r="CL1546" s="26" t="str">
        <f t="shared" si="97"/>
        <v>鹿児島県長島町</v>
      </c>
      <c r="CM1546" s="49">
        <v>1541</v>
      </c>
      <c r="CN1546" s="17" t="str">
        <f t="shared" si="96"/>
        <v>1717</v>
      </c>
      <c r="CO1546" s="17" t="str">
        <f t="shared" si="98"/>
        <v>15411717長島町</v>
      </c>
      <c r="CP1546" s="17" t="s">
        <v>12770</v>
      </c>
      <c r="CQ1546" s="17" t="b">
        <f t="shared" si="99"/>
        <v>1</v>
      </c>
    </row>
    <row r="1547" spans="6:95">
      <c r="F1547" s="23"/>
      <c r="I1547" s="23"/>
      <c r="L1547" s="50" t="s">
        <v>12771</v>
      </c>
      <c r="M1547" s="17" t="s">
        <v>12772</v>
      </c>
      <c r="N1547" s="51" t="s">
        <v>12773</v>
      </c>
      <c r="O1547" s="29" t="s">
        <v>1478</v>
      </c>
      <c r="P1547" s="29" t="s">
        <v>12774</v>
      </c>
      <c r="Q1547" s="29" t="s">
        <v>1478</v>
      </c>
      <c r="R1547" s="29" t="s">
        <v>4723</v>
      </c>
      <c r="S1547" s="28" t="s">
        <v>1862</v>
      </c>
      <c r="T1547" s="28" t="s">
        <v>3349</v>
      </c>
      <c r="U1547" s="28" t="s">
        <v>1446</v>
      </c>
      <c r="V1547" s="28" t="s">
        <v>1913</v>
      </c>
      <c r="W1547" s="28" t="s">
        <v>12775</v>
      </c>
      <c r="X1547" s="17">
        <v>16</v>
      </c>
      <c r="CJ1547" s="26" t="s">
        <v>1423</v>
      </c>
      <c r="CK1547" s="26" t="s">
        <v>2792</v>
      </c>
      <c r="CL1547" s="26" t="str">
        <f t="shared" si="97"/>
        <v>鹿児島県湧水町</v>
      </c>
      <c r="CM1547" s="49">
        <v>1542</v>
      </c>
      <c r="CN1547" s="17" t="str">
        <f t="shared" si="96"/>
        <v>1718</v>
      </c>
      <c r="CO1547" s="17" t="str">
        <f t="shared" si="98"/>
        <v>15421718湧水町</v>
      </c>
      <c r="CP1547" s="17" t="s">
        <v>12776</v>
      </c>
      <c r="CQ1547" s="17" t="b">
        <f t="shared" si="99"/>
        <v>1</v>
      </c>
    </row>
    <row r="1548" spans="6:95">
      <c r="F1548" s="23"/>
      <c r="I1548" s="23"/>
      <c r="L1548" s="50" t="s">
        <v>12777</v>
      </c>
      <c r="M1548" s="17" t="s">
        <v>12778</v>
      </c>
      <c r="N1548" s="51" t="s">
        <v>12779</v>
      </c>
      <c r="O1548" s="29" t="s">
        <v>1478</v>
      </c>
      <c r="P1548" s="29" t="s">
        <v>12780</v>
      </c>
      <c r="Q1548" s="29" t="s">
        <v>1478</v>
      </c>
      <c r="R1548" s="29" t="s">
        <v>4507</v>
      </c>
      <c r="S1548" s="28" t="s">
        <v>1803</v>
      </c>
      <c r="T1548" s="28" t="s">
        <v>3369</v>
      </c>
      <c r="U1548" s="28" t="s">
        <v>1446</v>
      </c>
      <c r="V1548" s="28" t="s">
        <v>1913</v>
      </c>
      <c r="W1548" s="28" t="s">
        <v>12780</v>
      </c>
      <c r="X1548" s="17">
        <v>17</v>
      </c>
      <c r="CJ1548" s="26" t="s">
        <v>1423</v>
      </c>
      <c r="CK1548" s="26" t="s">
        <v>2834</v>
      </c>
      <c r="CL1548" s="26" t="str">
        <f t="shared" si="97"/>
        <v>鹿児島県大崎町</v>
      </c>
      <c r="CM1548" s="49">
        <v>1543</v>
      </c>
      <c r="CN1548" s="17" t="str">
        <f t="shared" si="96"/>
        <v>1719</v>
      </c>
      <c r="CO1548" s="17" t="str">
        <f t="shared" si="98"/>
        <v>15431719大崎町</v>
      </c>
      <c r="CP1548" s="17" t="s">
        <v>12781</v>
      </c>
      <c r="CQ1548" s="17" t="b">
        <f t="shared" si="99"/>
        <v>1</v>
      </c>
    </row>
    <row r="1549" spans="6:95">
      <c r="F1549" s="23"/>
      <c r="I1549" s="23"/>
      <c r="L1549" s="50" t="s">
        <v>12782</v>
      </c>
      <c r="M1549" s="17" t="s">
        <v>12783</v>
      </c>
      <c r="N1549" s="51" t="s">
        <v>12784</v>
      </c>
      <c r="O1549" s="29" t="s">
        <v>1478</v>
      </c>
      <c r="P1549" s="29" t="s">
        <v>12785</v>
      </c>
      <c r="Q1549" s="29" t="s">
        <v>1478</v>
      </c>
      <c r="R1549" s="29" t="s">
        <v>3512</v>
      </c>
      <c r="S1549" s="28" t="s">
        <v>1862</v>
      </c>
      <c r="T1549" s="28" t="s">
        <v>3387</v>
      </c>
      <c r="U1549" s="28" t="s">
        <v>1446</v>
      </c>
      <c r="V1549" s="28" t="s">
        <v>1913</v>
      </c>
      <c r="W1549" s="28" t="s">
        <v>12786</v>
      </c>
      <c r="X1549" s="17">
        <v>18</v>
      </c>
      <c r="CJ1549" s="26" t="s">
        <v>1423</v>
      </c>
      <c r="CK1549" s="26" t="s">
        <v>2873</v>
      </c>
      <c r="CL1549" s="26" t="str">
        <f t="shared" si="97"/>
        <v>鹿児島県東串良町</v>
      </c>
      <c r="CM1549" s="49">
        <v>1544</v>
      </c>
      <c r="CN1549" s="17" t="str">
        <f t="shared" si="96"/>
        <v>1720</v>
      </c>
      <c r="CO1549" s="17" t="str">
        <f t="shared" si="98"/>
        <v>15441720東串良町</v>
      </c>
      <c r="CP1549" s="17" t="s">
        <v>12787</v>
      </c>
      <c r="CQ1549" s="17" t="b">
        <f t="shared" si="99"/>
        <v>1</v>
      </c>
    </row>
    <row r="1550" spans="6:95">
      <c r="F1550" s="23"/>
      <c r="I1550" s="23"/>
      <c r="L1550" s="50" t="s">
        <v>12788</v>
      </c>
      <c r="M1550" s="17" t="s">
        <v>12789</v>
      </c>
      <c r="N1550" s="51" t="s">
        <v>12790</v>
      </c>
      <c r="O1550" s="29" t="s">
        <v>1478</v>
      </c>
      <c r="P1550" s="29" t="s">
        <v>12791</v>
      </c>
      <c r="Q1550" s="29" t="s">
        <v>1478</v>
      </c>
      <c r="R1550" s="29" t="s">
        <v>5857</v>
      </c>
      <c r="S1550" s="28" t="s">
        <v>2525</v>
      </c>
      <c r="T1550" s="28" t="s">
        <v>3404</v>
      </c>
      <c r="U1550" s="28" t="s">
        <v>1446</v>
      </c>
      <c r="V1550" s="28" t="s">
        <v>1913</v>
      </c>
      <c r="W1550" s="28" t="s">
        <v>12792</v>
      </c>
      <c r="X1550" s="17">
        <v>19</v>
      </c>
      <c r="CJ1550" s="26" t="s">
        <v>1423</v>
      </c>
      <c r="CK1550" s="26" t="s">
        <v>2910</v>
      </c>
      <c r="CL1550" s="26" t="str">
        <f t="shared" si="97"/>
        <v>鹿児島県錦江町</v>
      </c>
      <c r="CM1550" s="49">
        <v>1545</v>
      </c>
      <c r="CN1550" s="17" t="str">
        <f t="shared" si="96"/>
        <v>1721</v>
      </c>
      <c r="CO1550" s="17" t="str">
        <f t="shared" si="98"/>
        <v>15451721錦江町</v>
      </c>
      <c r="CP1550" s="17" t="s">
        <v>12793</v>
      </c>
      <c r="CQ1550" s="17" t="b">
        <f t="shared" si="99"/>
        <v>1</v>
      </c>
    </row>
    <row r="1551" spans="6:95">
      <c r="F1551" s="23"/>
      <c r="I1551" s="23"/>
      <c r="L1551" s="50" t="s">
        <v>12794</v>
      </c>
      <c r="M1551" s="17" t="s">
        <v>12795</v>
      </c>
      <c r="N1551" s="51" t="s">
        <v>12796</v>
      </c>
      <c r="O1551" s="29" t="s">
        <v>1478</v>
      </c>
      <c r="P1551" s="29" t="s">
        <v>12797</v>
      </c>
      <c r="Q1551" s="29" t="s">
        <v>1478</v>
      </c>
      <c r="R1551" s="29" t="s">
        <v>6595</v>
      </c>
      <c r="S1551" s="28" t="s">
        <v>2311</v>
      </c>
      <c r="T1551" s="28" t="s">
        <v>3420</v>
      </c>
      <c r="U1551" s="28" t="s">
        <v>1446</v>
      </c>
      <c r="V1551" s="28" t="s">
        <v>1913</v>
      </c>
      <c r="W1551" s="28" t="s">
        <v>12798</v>
      </c>
      <c r="X1551" s="17">
        <v>20</v>
      </c>
      <c r="CJ1551" s="26" t="s">
        <v>1423</v>
      </c>
      <c r="CK1551" s="26" t="s">
        <v>2945</v>
      </c>
      <c r="CL1551" s="26" t="str">
        <f t="shared" si="97"/>
        <v>鹿児島県南大隅町</v>
      </c>
      <c r="CM1551" s="49">
        <v>1546</v>
      </c>
      <c r="CN1551" s="17" t="str">
        <f t="shared" si="96"/>
        <v>1722</v>
      </c>
      <c r="CO1551" s="17" t="str">
        <f t="shared" si="98"/>
        <v>15461722南大隅町</v>
      </c>
      <c r="CP1551" s="17" t="s">
        <v>12799</v>
      </c>
      <c r="CQ1551" s="17" t="b">
        <f t="shared" si="99"/>
        <v>1</v>
      </c>
    </row>
    <row r="1552" spans="6:95">
      <c r="F1552" s="23"/>
      <c r="I1552" s="23"/>
      <c r="L1552" s="50" t="s">
        <v>12800</v>
      </c>
      <c r="M1552" s="17" t="s">
        <v>12801</v>
      </c>
      <c r="N1552" s="51" t="s">
        <v>12802</v>
      </c>
      <c r="O1552" s="29" t="s">
        <v>1478</v>
      </c>
      <c r="P1552" s="29" t="s">
        <v>12803</v>
      </c>
      <c r="Q1552" s="29" t="s">
        <v>1478</v>
      </c>
      <c r="R1552" s="29" t="s">
        <v>5044</v>
      </c>
      <c r="S1552" s="28" t="s">
        <v>2525</v>
      </c>
      <c r="T1552" s="28" t="s">
        <v>3435</v>
      </c>
      <c r="U1552" s="28" t="s">
        <v>1446</v>
      </c>
      <c r="V1552" s="28" t="s">
        <v>1913</v>
      </c>
      <c r="W1552" s="28" t="s">
        <v>12803</v>
      </c>
      <c r="X1552" s="17">
        <v>21</v>
      </c>
      <c r="CJ1552" s="26" t="s">
        <v>1423</v>
      </c>
      <c r="CK1552" s="26" t="s">
        <v>2978</v>
      </c>
      <c r="CL1552" s="26" t="str">
        <f t="shared" si="97"/>
        <v>鹿児島県肝付町</v>
      </c>
      <c r="CM1552" s="49">
        <v>1547</v>
      </c>
      <c r="CN1552" s="17" t="str">
        <f t="shared" si="96"/>
        <v>1723</v>
      </c>
      <c r="CO1552" s="17" t="str">
        <f t="shared" si="98"/>
        <v>15471723肝付町</v>
      </c>
      <c r="CP1552" s="17" t="s">
        <v>12804</v>
      </c>
      <c r="CQ1552" s="17" t="b">
        <f t="shared" si="99"/>
        <v>1</v>
      </c>
    </row>
    <row r="1553" spans="6:95">
      <c r="F1553" s="23"/>
      <c r="I1553" s="23"/>
      <c r="L1553" s="50" t="s">
        <v>12805</v>
      </c>
      <c r="M1553" s="17" t="s">
        <v>12806</v>
      </c>
      <c r="N1553" s="51" t="s">
        <v>12807</v>
      </c>
      <c r="O1553" s="29" t="s">
        <v>1478</v>
      </c>
      <c r="P1553" s="29" t="s">
        <v>12808</v>
      </c>
      <c r="Q1553" s="29" t="s">
        <v>1478</v>
      </c>
      <c r="R1553" s="29" t="s">
        <v>5950</v>
      </c>
      <c r="S1553" s="28" t="s">
        <v>2525</v>
      </c>
      <c r="T1553" s="28" t="s">
        <v>3450</v>
      </c>
      <c r="U1553" s="28" t="s">
        <v>1446</v>
      </c>
      <c r="V1553" s="28" t="s">
        <v>1913</v>
      </c>
      <c r="W1553" s="28" t="s">
        <v>12809</v>
      </c>
      <c r="X1553" s="17">
        <v>22</v>
      </c>
      <c r="CJ1553" s="26" t="s">
        <v>1423</v>
      </c>
      <c r="CK1553" s="26" t="s">
        <v>3012</v>
      </c>
      <c r="CL1553" s="26" t="str">
        <f t="shared" si="97"/>
        <v>鹿児島県中種子町</v>
      </c>
      <c r="CM1553" s="49">
        <v>1548</v>
      </c>
      <c r="CN1553" s="17" t="str">
        <f t="shared" si="96"/>
        <v>1724</v>
      </c>
      <c r="CO1553" s="17" t="str">
        <f t="shared" si="98"/>
        <v>15481724中種子町</v>
      </c>
      <c r="CP1553" s="17" t="s">
        <v>12810</v>
      </c>
      <c r="CQ1553" s="17" t="b">
        <f t="shared" si="99"/>
        <v>1</v>
      </c>
    </row>
    <row r="1554" spans="6:95">
      <c r="F1554" s="23"/>
      <c r="I1554" s="23"/>
      <c r="L1554" s="50" t="s">
        <v>12811</v>
      </c>
      <c r="M1554" s="17" t="s">
        <v>12812</v>
      </c>
      <c r="N1554" s="51" t="s">
        <v>12813</v>
      </c>
      <c r="O1554" s="29" t="s">
        <v>1478</v>
      </c>
      <c r="P1554" s="29" t="s">
        <v>12814</v>
      </c>
      <c r="Q1554" s="29" t="s">
        <v>1478</v>
      </c>
      <c r="R1554" s="29" t="s">
        <v>3920</v>
      </c>
      <c r="S1554" s="28" t="s">
        <v>1626</v>
      </c>
      <c r="T1554" s="28" t="s">
        <v>2342</v>
      </c>
      <c r="U1554" s="28" t="s">
        <v>1446</v>
      </c>
      <c r="V1554" s="28" t="s">
        <v>1913</v>
      </c>
      <c r="W1554" s="28" t="s">
        <v>12815</v>
      </c>
      <c r="X1554" s="17">
        <v>23</v>
      </c>
      <c r="CJ1554" s="26" t="s">
        <v>1423</v>
      </c>
      <c r="CK1554" s="26" t="s">
        <v>3044</v>
      </c>
      <c r="CL1554" s="26" t="str">
        <f t="shared" si="97"/>
        <v>鹿児島県南種子町</v>
      </c>
      <c r="CM1554" s="49">
        <v>1549</v>
      </c>
      <c r="CN1554" s="17" t="str">
        <f t="shared" si="96"/>
        <v>1725</v>
      </c>
      <c r="CO1554" s="17" t="str">
        <f t="shared" si="98"/>
        <v>15491725南種子町</v>
      </c>
      <c r="CP1554" s="17" t="s">
        <v>12816</v>
      </c>
      <c r="CQ1554" s="17" t="b">
        <f t="shared" si="99"/>
        <v>1</v>
      </c>
    </row>
    <row r="1555" spans="6:95">
      <c r="F1555" s="23"/>
      <c r="I1555" s="23"/>
      <c r="L1555" s="50" t="s">
        <v>12817</v>
      </c>
      <c r="M1555" s="17" t="s">
        <v>12818</v>
      </c>
      <c r="N1555" s="51" t="s">
        <v>12819</v>
      </c>
      <c r="O1555" s="29" t="s">
        <v>1478</v>
      </c>
      <c r="P1555" s="29" t="s">
        <v>12820</v>
      </c>
      <c r="Q1555" s="29" t="s">
        <v>1478</v>
      </c>
      <c r="R1555" s="29" t="s">
        <v>5233</v>
      </c>
      <c r="S1555" s="28" t="s">
        <v>1862</v>
      </c>
      <c r="T1555" s="28" t="s">
        <v>3478</v>
      </c>
      <c r="U1555" s="28" t="s">
        <v>1446</v>
      </c>
      <c r="V1555" s="28" t="s">
        <v>1913</v>
      </c>
      <c r="W1555" s="28" t="s">
        <v>12821</v>
      </c>
      <c r="X1555" s="17">
        <v>24</v>
      </c>
      <c r="CJ1555" s="26" t="s">
        <v>1423</v>
      </c>
      <c r="CK1555" s="26" t="s">
        <v>3075</v>
      </c>
      <c r="CL1555" s="26" t="str">
        <f t="shared" si="97"/>
        <v>鹿児島県屋久島町</v>
      </c>
      <c r="CM1555" s="49">
        <v>1550</v>
      </c>
      <c r="CN1555" s="17" t="str">
        <f t="shared" si="96"/>
        <v>1726</v>
      </c>
      <c r="CO1555" s="17" t="str">
        <f t="shared" si="98"/>
        <v>15501726屋久島町</v>
      </c>
      <c r="CP1555" s="17" t="s">
        <v>12822</v>
      </c>
      <c r="CQ1555" s="17" t="b">
        <f t="shared" si="99"/>
        <v>1</v>
      </c>
    </row>
    <row r="1556" spans="6:95">
      <c r="F1556" s="23"/>
      <c r="I1556" s="23"/>
      <c r="L1556" s="50" t="s">
        <v>12823</v>
      </c>
      <c r="M1556" s="17" t="s">
        <v>12824</v>
      </c>
      <c r="N1556" s="51" t="s">
        <v>12825</v>
      </c>
      <c r="O1556" s="29" t="s">
        <v>1478</v>
      </c>
      <c r="P1556" s="29" t="s">
        <v>12826</v>
      </c>
      <c r="Q1556" s="29" t="s">
        <v>1478</v>
      </c>
      <c r="R1556" s="29" t="s">
        <v>4082</v>
      </c>
      <c r="S1556" s="28" t="s">
        <v>1502</v>
      </c>
      <c r="T1556" s="28" t="s">
        <v>3492</v>
      </c>
      <c r="U1556" s="28" t="s">
        <v>1446</v>
      </c>
      <c r="V1556" s="28" t="s">
        <v>1913</v>
      </c>
      <c r="W1556" s="28" t="s">
        <v>12827</v>
      </c>
      <c r="X1556" s="17">
        <v>25</v>
      </c>
      <c r="CJ1556" s="26" t="s">
        <v>1423</v>
      </c>
      <c r="CK1556" s="26" t="s">
        <v>3104</v>
      </c>
      <c r="CL1556" s="26" t="str">
        <f t="shared" si="97"/>
        <v>鹿児島県大和村</v>
      </c>
      <c r="CM1556" s="49">
        <v>1551</v>
      </c>
      <c r="CN1556" s="17" t="str">
        <f t="shared" si="96"/>
        <v>1727</v>
      </c>
      <c r="CO1556" s="17" t="str">
        <f t="shared" si="98"/>
        <v>15511727大和村</v>
      </c>
      <c r="CP1556" s="17" t="s">
        <v>12828</v>
      </c>
      <c r="CQ1556" s="17" t="b">
        <f t="shared" si="99"/>
        <v>1</v>
      </c>
    </row>
    <row r="1557" spans="6:95">
      <c r="F1557" s="23"/>
      <c r="I1557" s="23"/>
      <c r="L1557" s="50" t="s">
        <v>12829</v>
      </c>
      <c r="M1557" s="17" t="s">
        <v>12830</v>
      </c>
      <c r="N1557" s="51" t="s">
        <v>12831</v>
      </c>
      <c r="O1557" s="29" t="s">
        <v>1478</v>
      </c>
      <c r="P1557" s="29" t="s">
        <v>12832</v>
      </c>
      <c r="Q1557" s="29" t="s">
        <v>1478</v>
      </c>
      <c r="R1557" s="29" t="s">
        <v>4089</v>
      </c>
      <c r="S1557" s="28" t="s">
        <v>2525</v>
      </c>
      <c r="T1557" s="28" t="s">
        <v>3506</v>
      </c>
      <c r="U1557" s="28" t="s">
        <v>1446</v>
      </c>
      <c r="V1557" s="28" t="s">
        <v>1913</v>
      </c>
      <c r="W1557" s="28" t="s">
        <v>12833</v>
      </c>
      <c r="X1557" s="17">
        <v>26</v>
      </c>
      <c r="CJ1557" s="26" t="s">
        <v>1423</v>
      </c>
      <c r="CK1557" s="26" t="s">
        <v>3134</v>
      </c>
      <c r="CL1557" s="26" t="str">
        <f t="shared" si="97"/>
        <v>鹿児島県宇検村</v>
      </c>
      <c r="CM1557" s="49">
        <v>1552</v>
      </c>
      <c r="CN1557" s="17" t="str">
        <f t="shared" si="96"/>
        <v>1728</v>
      </c>
      <c r="CO1557" s="17" t="str">
        <f t="shared" si="98"/>
        <v>15521728宇検村</v>
      </c>
      <c r="CP1557" s="17" t="s">
        <v>12834</v>
      </c>
      <c r="CQ1557" s="17" t="b">
        <f t="shared" si="99"/>
        <v>1</v>
      </c>
    </row>
    <row r="1558" spans="6:95">
      <c r="F1558" s="23"/>
      <c r="I1558" s="23"/>
      <c r="L1558" s="50" t="s">
        <v>12835</v>
      </c>
      <c r="M1558" s="17" t="s">
        <v>12836</v>
      </c>
      <c r="N1558" s="51" t="s">
        <v>12837</v>
      </c>
      <c r="O1558" s="29" t="s">
        <v>1478</v>
      </c>
      <c r="P1558" s="29" t="s">
        <v>12838</v>
      </c>
      <c r="Q1558" s="29" t="s">
        <v>1478</v>
      </c>
      <c r="R1558" s="29" t="s">
        <v>4355</v>
      </c>
      <c r="S1558" s="28" t="s">
        <v>1564</v>
      </c>
      <c r="T1558" s="28" t="s">
        <v>3521</v>
      </c>
      <c r="U1558" s="28" t="s">
        <v>1446</v>
      </c>
      <c r="V1558" s="28" t="s">
        <v>1913</v>
      </c>
      <c r="W1558" s="28" t="s">
        <v>12839</v>
      </c>
      <c r="X1558" s="17">
        <v>27</v>
      </c>
      <c r="CJ1558" s="26" t="s">
        <v>1423</v>
      </c>
      <c r="CK1558" s="26" t="s">
        <v>3165</v>
      </c>
      <c r="CL1558" s="26" t="str">
        <f t="shared" si="97"/>
        <v>鹿児島県瀬戸内町</v>
      </c>
      <c r="CM1558" s="49">
        <v>1553</v>
      </c>
      <c r="CN1558" s="17" t="str">
        <f t="shared" si="96"/>
        <v>1729</v>
      </c>
      <c r="CO1558" s="17" t="str">
        <f t="shared" si="98"/>
        <v>15531729瀬戸内町</v>
      </c>
      <c r="CP1558" s="17" t="s">
        <v>12840</v>
      </c>
      <c r="CQ1558" s="17" t="b">
        <f t="shared" si="99"/>
        <v>1</v>
      </c>
    </row>
    <row r="1559" spans="6:95">
      <c r="F1559" s="23"/>
      <c r="I1559" s="23"/>
      <c r="L1559" s="50" t="s">
        <v>12841</v>
      </c>
      <c r="M1559" s="17" t="s">
        <v>12842</v>
      </c>
      <c r="N1559" s="51" t="s">
        <v>12843</v>
      </c>
      <c r="O1559" s="29" t="s">
        <v>1478</v>
      </c>
      <c r="P1559" s="29" t="s">
        <v>12844</v>
      </c>
      <c r="Q1559" s="29" t="s">
        <v>1478</v>
      </c>
      <c r="R1559" s="29" t="s">
        <v>12845</v>
      </c>
      <c r="S1559" s="28" t="s">
        <v>1920</v>
      </c>
      <c r="T1559" s="28" t="s">
        <v>2580</v>
      </c>
      <c r="U1559" s="28" t="s">
        <v>1446</v>
      </c>
      <c r="V1559" s="28" t="s">
        <v>1913</v>
      </c>
      <c r="W1559" s="28" t="s">
        <v>12844</v>
      </c>
      <c r="X1559" s="17">
        <v>28</v>
      </c>
      <c r="CJ1559" s="26" t="s">
        <v>1423</v>
      </c>
      <c r="CK1559" s="26" t="s">
        <v>3191</v>
      </c>
      <c r="CL1559" s="26" t="str">
        <f t="shared" si="97"/>
        <v>鹿児島県龍郷町</v>
      </c>
      <c r="CM1559" s="49">
        <v>1554</v>
      </c>
      <c r="CN1559" s="17" t="str">
        <f t="shared" si="96"/>
        <v>1730</v>
      </c>
      <c r="CO1559" s="17" t="str">
        <f t="shared" si="98"/>
        <v>15541730龍郷町</v>
      </c>
      <c r="CP1559" s="17" t="s">
        <v>12846</v>
      </c>
      <c r="CQ1559" s="17" t="b">
        <f t="shared" si="99"/>
        <v>1</v>
      </c>
    </row>
    <row r="1560" spans="6:95">
      <c r="F1560" s="23"/>
      <c r="I1560" s="23"/>
      <c r="L1560" s="50" t="s">
        <v>12847</v>
      </c>
      <c r="M1560" s="17" t="s">
        <v>12848</v>
      </c>
      <c r="N1560" s="51" t="s">
        <v>12849</v>
      </c>
      <c r="O1560" s="29" t="s">
        <v>1478</v>
      </c>
      <c r="P1560" s="29" t="s">
        <v>12850</v>
      </c>
      <c r="Q1560" s="29" t="s">
        <v>1478</v>
      </c>
      <c r="R1560" s="29" t="s">
        <v>4104</v>
      </c>
      <c r="S1560" s="28" t="s">
        <v>1803</v>
      </c>
      <c r="T1560" s="28" t="s">
        <v>3547</v>
      </c>
      <c r="U1560" s="28" t="s">
        <v>1446</v>
      </c>
      <c r="V1560" s="28" t="s">
        <v>1913</v>
      </c>
      <c r="W1560" s="28" t="s">
        <v>12850</v>
      </c>
      <c r="X1560" s="17">
        <v>29</v>
      </c>
      <c r="CJ1560" s="26" t="s">
        <v>1423</v>
      </c>
      <c r="CK1560" s="26" t="s">
        <v>3216</v>
      </c>
      <c r="CL1560" s="26" t="str">
        <f t="shared" si="97"/>
        <v>鹿児島県喜界町</v>
      </c>
      <c r="CM1560" s="49">
        <v>1555</v>
      </c>
      <c r="CN1560" s="17" t="str">
        <f t="shared" si="96"/>
        <v>1731</v>
      </c>
      <c r="CO1560" s="17" t="str">
        <f t="shared" si="98"/>
        <v>15551731喜界町</v>
      </c>
      <c r="CP1560" s="17" t="s">
        <v>12851</v>
      </c>
      <c r="CQ1560" s="17" t="b">
        <f t="shared" si="99"/>
        <v>1</v>
      </c>
    </row>
    <row r="1561" spans="6:95">
      <c r="F1561" s="23"/>
      <c r="I1561" s="23"/>
      <c r="L1561" s="50" t="s">
        <v>12852</v>
      </c>
      <c r="M1561" s="17" t="s">
        <v>12853</v>
      </c>
      <c r="N1561" s="51" t="s">
        <v>12854</v>
      </c>
      <c r="O1561" s="29" t="s">
        <v>1478</v>
      </c>
      <c r="P1561" s="29" t="s">
        <v>12855</v>
      </c>
      <c r="Q1561" s="29" t="s">
        <v>1478</v>
      </c>
      <c r="R1561" s="29" t="s">
        <v>4364</v>
      </c>
      <c r="S1561" s="28" t="s">
        <v>1920</v>
      </c>
      <c r="T1561" s="28" t="s">
        <v>3560</v>
      </c>
      <c r="U1561" s="28" t="s">
        <v>1446</v>
      </c>
      <c r="V1561" s="28" t="s">
        <v>1913</v>
      </c>
      <c r="W1561" s="28" t="s">
        <v>12856</v>
      </c>
      <c r="X1561" s="17">
        <v>30</v>
      </c>
      <c r="CJ1561" s="26" t="s">
        <v>1423</v>
      </c>
      <c r="CK1561" s="26" t="s">
        <v>3238</v>
      </c>
      <c r="CL1561" s="26" t="str">
        <f t="shared" si="97"/>
        <v>鹿児島県徳之島町</v>
      </c>
      <c r="CM1561" s="49">
        <v>1556</v>
      </c>
      <c r="CN1561" s="17" t="str">
        <f t="shared" si="96"/>
        <v>1732</v>
      </c>
      <c r="CO1561" s="17" t="str">
        <f t="shared" si="98"/>
        <v>15561732徳之島町</v>
      </c>
      <c r="CP1561" s="17" t="s">
        <v>12857</v>
      </c>
      <c r="CQ1561" s="17" t="b">
        <f t="shared" si="99"/>
        <v>1</v>
      </c>
    </row>
    <row r="1562" spans="6:95">
      <c r="F1562" s="23"/>
      <c r="I1562" s="23"/>
      <c r="L1562" s="50" t="s">
        <v>12858</v>
      </c>
      <c r="M1562" s="17" t="s">
        <v>12859</v>
      </c>
      <c r="N1562" s="51" t="s">
        <v>12860</v>
      </c>
      <c r="O1562" s="29" t="s">
        <v>1478</v>
      </c>
      <c r="P1562" s="29" t="s">
        <v>12861</v>
      </c>
      <c r="Q1562" s="29" t="s">
        <v>1478</v>
      </c>
      <c r="R1562" s="29" t="s">
        <v>4112</v>
      </c>
      <c r="S1562" s="28" t="s">
        <v>1862</v>
      </c>
      <c r="T1562" s="28" t="s">
        <v>3573</v>
      </c>
      <c r="U1562" s="28" t="s">
        <v>1446</v>
      </c>
      <c r="V1562" s="28" t="s">
        <v>1913</v>
      </c>
      <c r="W1562" s="28" t="s">
        <v>12862</v>
      </c>
      <c r="X1562" s="17">
        <v>31</v>
      </c>
      <c r="CJ1562" s="26" t="s">
        <v>1423</v>
      </c>
      <c r="CK1562" s="26" t="s">
        <v>3263</v>
      </c>
      <c r="CL1562" s="26" t="str">
        <f t="shared" si="97"/>
        <v>鹿児島県天城町</v>
      </c>
      <c r="CM1562" s="49">
        <v>1557</v>
      </c>
      <c r="CN1562" s="17" t="str">
        <f t="shared" si="96"/>
        <v>1733</v>
      </c>
      <c r="CO1562" s="17" t="str">
        <f t="shared" si="98"/>
        <v>15571733天城町</v>
      </c>
      <c r="CP1562" s="17" t="s">
        <v>12863</v>
      </c>
      <c r="CQ1562" s="17" t="b">
        <f t="shared" si="99"/>
        <v>1</v>
      </c>
    </row>
    <row r="1563" spans="6:95">
      <c r="F1563" s="23"/>
      <c r="I1563" s="23"/>
      <c r="L1563" s="50" t="s">
        <v>12864</v>
      </c>
      <c r="M1563" s="17" t="s">
        <v>12865</v>
      </c>
      <c r="N1563" s="51" t="s">
        <v>12866</v>
      </c>
      <c r="O1563" s="29" t="s">
        <v>1478</v>
      </c>
      <c r="P1563" s="29" t="s">
        <v>12867</v>
      </c>
      <c r="Q1563" s="29" t="s">
        <v>1478</v>
      </c>
      <c r="R1563" s="29" t="s">
        <v>4199</v>
      </c>
      <c r="S1563" s="28" t="s">
        <v>1564</v>
      </c>
      <c r="T1563" s="28" t="s">
        <v>3585</v>
      </c>
      <c r="U1563" s="28" t="s">
        <v>1446</v>
      </c>
      <c r="V1563" s="28" t="s">
        <v>1913</v>
      </c>
      <c r="W1563" s="28" t="s">
        <v>12868</v>
      </c>
      <c r="X1563" s="17">
        <v>32</v>
      </c>
      <c r="CJ1563" s="26" t="s">
        <v>1423</v>
      </c>
      <c r="CK1563" s="26" t="s">
        <v>3286</v>
      </c>
      <c r="CL1563" s="26" t="str">
        <f t="shared" si="97"/>
        <v>鹿児島県伊仙町</v>
      </c>
      <c r="CM1563" s="49">
        <v>1558</v>
      </c>
      <c r="CN1563" s="17" t="str">
        <f t="shared" si="96"/>
        <v>1734</v>
      </c>
      <c r="CO1563" s="17" t="str">
        <f t="shared" si="98"/>
        <v>15581734伊仙町</v>
      </c>
      <c r="CP1563" s="17" t="s">
        <v>12869</v>
      </c>
      <c r="CQ1563" s="17" t="b">
        <f t="shared" si="99"/>
        <v>1</v>
      </c>
    </row>
    <row r="1564" spans="6:95">
      <c r="F1564" s="23"/>
      <c r="I1564" s="23"/>
      <c r="L1564" s="50" t="s">
        <v>12870</v>
      </c>
      <c r="M1564" s="17" t="s">
        <v>12871</v>
      </c>
      <c r="N1564" s="51" t="s">
        <v>12872</v>
      </c>
      <c r="O1564" s="29" t="s">
        <v>1478</v>
      </c>
      <c r="P1564" s="29" t="s">
        <v>12873</v>
      </c>
      <c r="Q1564" s="29" t="s">
        <v>1478</v>
      </c>
      <c r="R1564" s="29" t="s">
        <v>4230</v>
      </c>
      <c r="S1564" s="28" t="s">
        <v>1803</v>
      </c>
      <c r="T1564" s="28" t="s">
        <v>3597</v>
      </c>
      <c r="U1564" s="28" t="s">
        <v>1446</v>
      </c>
      <c r="V1564" s="28" t="s">
        <v>1913</v>
      </c>
      <c r="W1564" s="28" t="s">
        <v>12874</v>
      </c>
      <c r="X1564" s="17">
        <v>33</v>
      </c>
      <c r="CJ1564" s="26" t="s">
        <v>1423</v>
      </c>
      <c r="CK1564" s="26" t="s">
        <v>3308</v>
      </c>
      <c r="CL1564" s="26" t="str">
        <f t="shared" si="97"/>
        <v>鹿児島県和泊町</v>
      </c>
      <c r="CM1564" s="49">
        <v>1559</v>
      </c>
      <c r="CN1564" s="17" t="str">
        <f t="shared" si="96"/>
        <v>1735</v>
      </c>
      <c r="CO1564" s="17" t="str">
        <f t="shared" si="98"/>
        <v>15591735和泊町</v>
      </c>
      <c r="CP1564" s="17" t="s">
        <v>12875</v>
      </c>
      <c r="CQ1564" s="17" t="b">
        <f t="shared" si="99"/>
        <v>1</v>
      </c>
    </row>
    <row r="1565" spans="6:95">
      <c r="F1565" s="23"/>
      <c r="I1565" s="23"/>
      <c r="L1565" s="50" t="s">
        <v>12876</v>
      </c>
      <c r="M1565" s="17" t="s">
        <v>12877</v>
      </c>
      <c r="N1565" s="51" t="s">
        <v>12878</v>
      </c>
      <c r="O1565" s="29" t="s">
        <v>1478</v>
      </c>
      <c r="P1565" s="29" t="s">
        <v>12879</v>
      </c>
      <c r="Q1565" s="29" t="s">
        <v>1478</v>
      </c>
      <c r="R1565" s="29" t="s">
        <v>4238</v>
      </c>
      <c r="S1565" s="28" t="s">
        <v>1862</v>
      </c>
      <c r="T1565" s="28" t="s">
        <v>3609</v>
      </c>
      <c r="U1565" s="28" t="s">
        <v>1446</v>
      </c>
      <c r="V1565" s="28" t="s">
        <v>1913</v>
      </c>
      <c r="W1565" s="28" t="s">
        <v>12880</v>
      </c>
      <c r="X1565" s="17">
        <v>34</v>
      </c>
      <c r="CJ1565" s="26" t="s">
        <v>1423</v>
      </c>
      <c r="CK1565" s="26" t="s">
        <v>3330</v>
      </c>
      <c r="CL1565" s="26" t="str">
        <f t="shared" si="97"/>
        <v>鹿児島県知名町</v>
      </c>
      <c r="CM1565" s="49">
        <v>1560</v>
      </c>
      <c r="CN1565" s="17" t="str">
        <f t="shared" si="96"/>
        <v>1736</v>
      </c>
      <c r="CO1565" s="17" t="str">
        <f t="shared" si="98"/>
        <v>15601736知名町</v>
      </c>
      <c r="CP1565" s="17" t="s">
        <v>12881</v>
      </c>
      <c r="CQ1565" s="17" t="b">
        <f t="shared" si="99"/>
        <v>1</v>
      </c>
    </row>
    <row r="1566" spans="6:95">
      <c r="F1566" s="23"/>
      <c r="I1566" s="23"/>
      <c r="L1566" s="50" t="s">
        <v>12882</v>
      </c>
      <c r="M1566" s="17" t="s">
        <v>12883</v>
      </c>
      <c r="N1566" s="51" t="s">
        <v>12884</v>
      </c>
      <c r="O1566" s="29" t="s">
        <v>1479</v>
      </c>
      <c r="P1566" s="29" t="s">
        <v>12885</v>
      </c>
      <c r="Q1566" s="29" t="s">
        <v>1479</v>
      </c>
      <c r="R1566" s="29" t="s">
        <v>1563</v>
      </c>
      <c r="S1566" s="28" t="s">
        <v>2311</v>
      </c>
      <c r="T1566" s="28" t="s">
        <v>1544</v>
      </c>
      <c r="U1566" s="28" t="s">
        <v>1446</v>
      </c>
      <c r="V1566" s="28" t="s">
        <v>1913</v>
      </c>
      <c r="W1566" s="28" t="s">
        <v>12885</v>
      </c>
      <c r="X1566" s="17">
        <v>1</v>
      </c>
      <c r="CJ1566" s="26" t="s">
        <v>1423</v>
      </c>
      <c r="CK1566" s="26" t="s">
        <v>3351</v>
      </c>
      <c r="CL1566" s="26" t="str">
        <f t="shared" si="97"/>
        <v>鹿児島県与論町</v>
      </c>
      <c r="CM1566" s="49">
        <v>1561</v>
      </c>
      <c r="CN1566" s="17" t="str">
        <f t="shared" si="96"/>
        <v>1737</v>
      </c>
      <c r="CO1566" s="17" t="str">
        <f t="shared" si="98"/>
        <v>15611737与論町</v>
      </c>
      <c r="CP1566" s="17" t="s">
        <v>12886</v>
      </c>
      <c r="CQ1566" s="17" t="b">
        <f t="shared" si="99"/>
        <v>1</v>
      </c>
    </row>
    <row r="1567" spans="6:95">
      <c r="F1567" s="23"/>
      <c r="I1567" s="23"/>
      <c r="L1567" s="50" t="s">
        <v>12887</v>
      </c>
      <c r="M1567" s="17" t="s">
        <v>12888</v>
      </c>
      <c r="N1567" s="51" t="s">
        <v>12889</v>
      </c>
      <c r="O1567" s="29" t="s">
        <v>1479</v>
      </c>
      <c r="P1567" s="29" t="s">
        <v>12890</v>
      </c>
      <c r="Q1567" s="29" t="s">
        <v>1479</v>
      </c>
      <c r="R1567" s="29" t="s">
        <v>1742</v>
      </c>
      <c r="S1567" s="28" t="s">
        <v>1977</v>
      </c>
      <c r="T1567" s="28" t="s">
        <v>1606</v>
      </c>
      <c r="U1567" s="28" t="s">
        <v>1446</v>
      </c>
      <c r="V1567" s="28" t="s">
        <v>1913</v>
      </c>
      <c r="W1567" s="28" t="s">
        <v>12891</v>
      </c>
      <c r="X1567" s="17">
        <v>1</v>
      </c>
      <c r="CJ1567" s="26" t="s">
        <v>1424</v>
      </c>
      <c r="CK1567" s="26" t="s">
        <v>1550</v>
      </c>
      <c r="CL1567" s="26" t="str">
        <f t="shared" si="97"/>
        <v>沖縄県那覇市</v>
      </c>
      <c r="CM1567" s="49">
        <v>1562</v>
      </c>
      <c r="CN1567" s="17" t="str">
        <f t="shared" si="96"/>
        <v>1738</v>
      </c>
      <c r="CO1567" s="17" t="str">
        <f t="shared" si="98"/>
        <v>15621738那覇市</v>
      </c>
      <c r="CP1567" s="17" t="s">
        <v>12892</v>
      </c>
      <c r="CQ1567" s="17" t="b">
        <f t="shared" si="99"/>
        <v>1</v>
      </c>
    </row>
    <row r="1568" spans="6:95">
      <c r="F1568" s="23"/>
      <c r="I1568" s="23"/>
      <c r="L1568" s="50" t="s">
        <v>12893</v>
      </c>
      <c r="M1568" s="17" t="s">
        <v>12894</v>
      </c>
      <c r="N1568" s="51" t="s">
        <v>12895</v>
      </c>
      <c r="O1568" s="29" t="s">
        <v>1479</v>
      </c>
      <c r="P1568" s="29" t="s">
        <v>12896</v>
      </c>
      <c r="Q1568" s="29" t="s">
        <v>1479</v>
      </c>
      <c r="R1568" s="29" t="s">
        <v>4730</v>
      </c>
      <c r="S1568" s="28" t="s">
        <v>1803</v>
      </c>
      <c r="T1568" s="28" t="s">
        <v>1668</v>
      </c>
      <c r="U1568" s="28" t="s">
        <v>1446</v>
      </c>
      <c r="V1568" s="28" t="s">
        <v>1913</v>
      </c>
      <c r="W1568" s="28" t="s">
        <v>12897</v>
      </c>
      <c r="X1568" s="17">
        <v>1</v>
      </c>
      <c r="CJ1568" s="26" t="s">
        <v>1424</v>
      </c>
      <c r="CK1568" s="26" t="s">
        <v>1612</v>
      </c>
      <c r="CL1568" s="26" t="str">
        <f t="shared" si="97"/>
        <v>沖縄県宜野湾市</v>
      </c>
      <c r="CM1568" s="49">
        <v>1563</v>
      </c>
      <c r="CN1568" s="17" t="str">
        <f t="shared" si="96"/>
        <v>1739</v>
      </c>
      <c r="CO1568" s="17" t="str">
        <f t="shared" si="98"/>
        <v>15631739宜野湾市</v>
      </c>
      <c r="CP1568" s="17" t="s">
        <v>12898</v>
      </c>
      <c r="CQ1568" s="17" t="b">
        <f t="shared" si="99"/>
        <v>1</v>
      </c>
    </row>
    <row r="1569" spans="6:95">
      <c r="F1569" s="23"/>
      <c r="I1569" s="23"/>
      <c r="L1569" s="50" t="s">
        <v>12899</v>
      </c>
      <c r="M1569" s="17" t="s">
        <v>12900</v>
      </c>
      <c r="N1569" s="51" t="s">
        <v>12901</v>
      </c>
      <c r="O1569" s="29" t="s">
        <v>1479</v>
      </c>
      <c r="P1569" s="29" t="s">
        <v>12902</v>
      </c>
      <c r="Q1569" s="29" t="s">
        <v>1479</v>
      </c>
      <c r="R1569" s="29" t="s">
        <v>4507</v>
      </c>
      <c r="S1569" s="28" t="s">
        <v>1564</v>
      </c>
      <c r="T1569" s="28" t="s">
        <v>1726</v>
      </c>
      <c r="U1569" s="28" t="s">
        <v>1446</v>
      </c>
      <c r="V1569" s="28" t="s">
        <v>1913</v>
      </c>
      <c r="W1569" s="28" t="s">
        <v>12903</v>
      </c>
      <c r="X1569" s="17">
        <v>1</v>
      </c>
      <c r="CJ1569" s="26" t="s">
        <v>1424</v>
      </c>
      <c r="CK1569" s="26" t="s">
        <v>1674</v>
      </c>
      <c r="CL1569" s="26" t="str">
        <f t="shared" si="97"/>
        <v>沖縄県石垣市</v>
      </c>
      <c r="CM1569" s="49">
        <v>1564</v>
      </c>
      <c r="CN1569" s="17" t="str">
        <f t="shared" si="96"/>
        <v>1740</v>
      </c>
      <c r="CO1569" s="17" t="str">
        <f t="shared" si="98"/>
        <v>15641740石垣市</v>
      </c>
      <c r="CP1569" s="17" t="s">
        <v>12904</v>
      </c>
      <c r="CQ1569" s="17" t="b">
        <f t="shared" si="99"/>
        <v>1</v>
      </c>
    </row>
    <row r="1570" spans="6:95">
      <c r="F1570" s="23"/>
      <c r="I1570" s="23"/>
      <c r="L1570" s="50" t="s">
        <v>12905</v>
      </c>
      <c r="M1570" s="17" t="s">
        <v>12906</v>
      </c>
      <c r="N1570" s="51" t="s">
        <v>12907</v>
      </c>
      <c r="O1570" s="29" t="s">
        <v>1479</v>
      </c>
      <c r="P1570" s="29" t="s">
        <v>12908</v>
      </c>
      <c r="Q1570" s="29" t="s">
        <v>1479</v>
      </c>
      <c r="R1570" s="29" t="s">
        <v>12909</v>
      </c>
      <c r="S1570" s="28" t="s">
        <v>1564</v>
      </c>
      <c r="T1570" s="28" t="s">
        <v>1785</v>
      </c>
      <c r="U1570" s="28" t="s">
        <v>1446</v>
      </c>
      <c r="V1570" s="28" t="s">
        <v>1913</v>
      </c>
      <c r="W1570" s="28" t="s">
        <v>12910</v>
      </c>
      <c r="X1570" s="17">
        <v>1</v>
      </c>
      <c r="CJ1570" s="26" t="s">
        <v>1424</v>
      </c>
      <c r="CK1570" s="26" t="s">
        <v>1732</v>
      </c>
      <c r="CL1570" s="26" t="str">
        <f t="shared" si="97"/>
        <v>沖縄県浦添市</v>
      </c>
      <c r="CM1570" s="49">
        <v>1565</v>
      </c>
      <c r="CN1570" s="17" t="str">
        <f t="shared" si="96"/>
        <v>1741</v>
      </c>
      <c r="CO1570" s="17" t="str">
        <f t="shared" si="98"/>
        <v>15651741浦添市</v>
      </c>
      <c r="CP1570" s="17" t="s">
        <v>12911</v>
      </c>
      <c r="CQ1570" s="17" t="b">
        <f t="shared" si="99"/>
        <v>1</v>
      </c>
    </row>
    <row r="1571" spans="6:95">
      <c r="F1571" s="23"/>
      <c r="I1571" s="23"/>
      <c r="L1571" s="50" t="s">
        <v>12912</v>
      </c>
      <c r="M1571" s="17" t="s">
        <v>12913</v>
      </c>
      <c r="N1571" s="51" t="s">
        <v>12914</v>
      </c>
      <c r="O1571" s="29" t="s">
        <v>1479</v>
      </c>
      <c r="P1571" s="29" t="s">
        <v>12915</v>
      </c>
      <c r="Q1571" s="29" t="s">
        <v>1479</v>
      </c>
      <c r="R1571" s="29" t="s">
        <v>1802</v>
      </c>
      <c r="S1571" s="28" t="s">
        <v>1743</v>
      </c>
      <c r="T1571" s="28" t="s">
        <v>1845</v>
      </c>
      <c r="U1571" s="28" t="s">
        <v>1446</v>
      </c>
      <c r="V1571" s="28" t="s">
        <v>1913</v>
      </c>
      <c r="W1571" s="28" t="s">
        <v>12916</v>
      </c>
      <c r="X1571" s="17">
        <v>2</v>
      </c>
      <c r="CJ1571" s="26" t="s">
        <v>1424</v>
      </c>
      <c r="CK1571" s="26" t="s">
        <v>1791</v>
      </c>
      <c r="CL1571" s="26" t="str">
        <f t="shared" si="97"/>
        <v>沖縄県名護市</v>
      </c>
      <c r="CM1571" s="49">
        <v>1566</v>
      </c>
      <c r="CN1571" s="17" t="str">
        <f t="shared" si="96"/>
        <v>1742</v>
      </c>
      <c r="CO1571" s="17" t="str">
        <f t="shared" si="98"/>
        <v>15661742名護市</v>
      </c>
      <c r="CP1571" s="17" t="s">
        <v>12917</v>
      </c>
      <c r="CQ1571" s="17" t="b">
        <f t="shared" si="99"/>
        <v>1</v>
      </c>
    </row>
    <row r="1572" spans="6:95">
      <c r="F1572" s="23"/>
      <c r="I1572" s="23"/>
      <c r="L1572" s="50" t="s">
        <v>12918</v>
      </c>
      <c r="M1572" s="17" t="s">
        <v>12919</v>
      </c>
      <c r="N1572" s="51" t="s">
        <v>12920</v>
      </c>
      <c r="O1572" s="29" t="s">
        <v>1479</v>
      </c>
      <c r="P1572" s="29" t="s">
        <v>12921</v>
      </c>
      <c r="Q1572" s="29" t="s">
        <v>1479</v>
      </c>
      <c r="R1572" s="29" t="s">
        <v>1861</v>
      </c>
      <c r="S1572" s="28" t="s">
        <v>1803</v>
      </c>
      <c r="T1572" s="28" t="s">
        <v>1904</v>
      </c>
      <c r="U1572" s="28" t="s">
        <v>1446</v>
      </c>
      <c r="V1572" s="28" t="s">
        <v>1913</v>
      </c>
      <c r="W1572" s="28" t="s">
        <v>12922</v>
      </c>
      <c r="X1572" s="17">
        <v>3</v>
      </c>
      <c r="CJ1572" s="26" t="s">
        <v>1424</v>
      </c>
      <c r="CK1572" s="26" t="s">
        <v>1851</v>
      </c>
      <c r="CL1572" s="26" t="str">
        <f t="shared" si="97"/>
        <v>沖縄県糸満市</v>
      </c>
      <c r="CM1572" s="49">
        <v>1567</v>
      </c>
      <c r="CN1572" s="17" t="str">
        <f t="shared" si="96"/>
        <v>1743</v>
      </c>
      <c r="CO1572" s="17" t="str">
        <f t="shared" si="98"/>
        <v>15671743糸満市</v>
      </c>
      <c r="CP1572" s="17" t="s">
        <v>12923</v>
      </c>
      <c r="CQ1572" s="17" t="b">
        <f t="shared" si="99"/>
        <v>1</v>
      </c>
    </row>
    <row r="1573" spans="6:95">
      <c r="F1573" s="23"/>
      <c r="I1573" s="23"/>
      <c r="L1573" s="50" t="s">
        <v>12924</v>
      </c>
      <c r="M1573" s="17" t="s">
        <v>12925</v>
      </c>
      <c r="N1573" s="51" t="s">
        <v>12926</v>
      </c>
      <c r="O1573" s="29" t="s">
        <v>1479</v>
      </c>
      <c r="P1573" s="29" t="s">
        <v>12927</v>
      </c>
      <c r="Q1573" s="29" t="s">
        <v>1479</v>
      </c>
      <c r="R1573" s="29" t="s">
        <v>1976</v>
      </c>
      <c r="S1573" s="28" t="s">
        <v>1920</v>
      </c>
      <c r="T1573" s="28" t="s">
        <v>1962</v>
      </c>
      <c r="U1573" s="28" t="s">
        <v>1446</v>
      </c>
      <c r="V1573" s="28" t="s">
        <v>1913</v>
      </c>
      <c r="W1573" s="28" t="s">
        <v>12928</v>
      </c>
      <c r="X1573" s="17">
        <v>4</v>
      </c>
      <c r="CJ1573" s="26" t="s">
        <v>1424</v>
      </c>
      <c r="CK1573" s="26" t="s">
        <v>1910</v>
      </c>
      <c r="CL1573" s="26" t="str">
        <f t="shared" si="97"/>
        <v>沖縄県沖縄市</v>
      </c>
      <c r="CM1573" s="49">
        <v>1568</v>
      </c>
      <c r="CN1573" s="17" t="str">
        <f t="shared" si="96"/>
        <v>1744</v>
      </c>
      <c r="CO1573" s="17" t="str">
        <f t="shared" si="98"/>
        <v>15681744沖縄市</v>
      </c>
      <c r="CP1573" s="17" t="s">
        <v>12929</v>
      </c>
      <c r="CQ1573" s="17" t="b">
        <f t="shared" si="99"/>
        <v>1</v>
      </c>
    </row>
    <row r="1574" spans="6:95">
      <c r="F1574" s="23"/>
      <c r="I1574" s="23"/>
      <c r="L1574" s="50" t="s">
        <v>12930</v>
      </c>
      <c r="M1574" s="17" t="s">
        <v>12931</v>
      </c>
      <c r="N1574" s="51" t="s">
        <v>12932</v>
      </c>
      <c r="O1574" s="29" t="s">
        <v>1479</v>
      </c>
      <c r="P1574" s="29" t="s">
        <v>12933</v>
      </c>
      <c r="Q1574" s="29" t="s">
        <v>1479</v>
      </c>
      <c r="R1574" s="29" t="s">
        <v>3539</v>
      </c>
      <c r="S1574" s="28" t="s">
        <v>2525</v>
      </c>
      <c r="T1574" s="28" t="s">
        <v>2019</v>
      </c>
      <c r="U1574" s="28" t="s">
        <v>1446</v>
      </c>
      <c r="V1574" s="28" t="s">
        <v>1913</v>
      </c>
      <c r="W1574" s="28" t="s">
        <v>12934</v>
      </c>
      <c r="X1574" s="17">
        <v>5</v>
      </c>
      <c r="CJ1574" s="26" t="s">
        <v>1424</v>
      </c>
      <c r="CK1574" s="26" t="s">
        <v>1968</v>
      </c>
      <c r="CL1574" s="26" t="str">
        <f t="shared" si="97"/>
        <v>沖縄県うるま市</v>
      </c>
      <c r="CM1574" s="49">
        <v>1569</v>
      </c>
      <c r="CN1574" s="17" t="str">
        <f t="shared" si="96"/>
        <v>1745</v>
      </c>
      <c r="CO1574" s="17" t="str">
        <f t="shared" si="98"/>
        <v>15691745うるま市</v>
      </c>
      <c r="CP1574" s="17" t="s">
        <v>12935</v>
      </c>
      <c r="CQ1574" s="17" t="b">
        <f t="shared" si="99"/>
        <v>1</v>
      </c>
    </row>
    <row r="1575" spans="6:95">
      <c r="F1575" s="23"/>
      <c r="I1575" s="23"/>
      <c r="L1575" s="50" t="s">
        <v>12936</v>
      </c>
      <c r="M1575" s="17" t="s">
        <v>12937</v>
      </c>
      <c r="N1575" s="51" t="s">
        <v>12938</v>
      </c>
      <c r="O1575" s="29" t="s">
        <v>1479</v>
      </c>
      <c r="P1575" s="29" t="s">
        <v>12939</v>
      </c>
      <c r="Q1575" s="29" t="s">
        <v>1479</v>
      </c>
      <c r="R1575" s="29" t="s">
        <v>4389</v>
      </c>
      <c r="S1575" s="28" t="s">
        <v>2311</v>
      </c>
      <c r="T1575" s="28" t="s">
        <v>2075</v>
      </c>
      <c r="U1575" s="28" t="s">
        <v>1446</v>
      </c>
      <c r="V1575" s="28" t="s">
        <v>1913</v>
      </c>
      <c r="W1575" s="28" t="s">
        <v>12940</v>
      </c>
      <c r="X1575" s="17">
        <v>6</v>
      </c>
      <c r="CJ1575" s="26" t="s">
        <v>1424</v>
      </c>
      <c r="CK1575" s="26" t="s">
        <v>2025</v>
      </c>
      <c r="CL1575" s="26" t="str">
        <f t="shared" si="97"/>
        <v>沖縄県宮古島市</v>
      </c>
      <c r="CM1575" s="49">
        <v>1570</v>
      </c>
      <c r="CN1575" s="17" t="str">
        <f t="shared" si="96"/>
        <v>1746</v>
      </c>
      <c r="CO1575" s="17" t="str">
        <f t="shared" si="98"/>
        <v>15701746宮古島市</v>
      </c>
      <c r="CP1575" s="17" t="s">
        <v>12941</v>
      </c>
      <c r="CQ1575" s="17" t="b">
        <f t="shared" si="99"/>
        <v>1</v>
      </c>
    </row>
    <row r="1576" spans="6:95">
      <c r="F1576" s="23"/>
      <c r="I1576" s="23"/>
      <c r="L1576" s="50" t="s">
        <v>12942</v>
      </c>
      <c r="M1576" s="17" t="s">
        <v>12943</v>
      </c>
      <c r="N1576" s="51" t="s">
        <v>12944</v>
      </c>
      <c r="O1576" s="29" t="s">
        <v>1479</v>
      </c>
      <c r="P1576" s="29" t="s">
        <v>12945</v>
      </c>
      <c r="Q1576" s="29" t="s">
        <v>1479</v>
      </c>
      <c r="R1576" s="29" t="s">
        <v>4397</v>
      </c>
      <c r="S1576" s="28" t="s">
        <v>1862</v>
      </c>
      <c r="T1576" s="28" t="s">
        <v>2131</v>
      </c>
      <c r="U1576" s="28" t="s">
        <v>1446</v>
      </c>
      <c r="V1576" s="28" t="s">
        <v>1913</v>
      </c>
      <c r="W1576" s="28" t="s">
        <v>12946</v>
      </c>
      <c r="X1576" s="17">
        <v>7</v>
      </c>
      <c r="CJ1576" s="26" t="s">
        <v>1424</v>
      </c>
      <c r="CK1576" s="26" t="s">
        <v>2081</v>
      </c>
      <c r="CL1576" s="26" t="str">
        <f t="shared" si="97"/>
        <v>沖縄県多良間村</v>
      </c>
      <c r="CM1576" s="49">
        <v>1571</v>
      </c>
      <c r="CN1576" s="17" t="str">
        <f t="shared" si="96"/>
        <v>1747</v>
      </c>
      <c r="CO1576" s="17" t="str">
        <f t="shared" si="98"/>
        <v>15711747多良間村</v>
      </c>
      <c r="CP1576" s="17" t="s">
        <v>12947</v>
      </c>
      <c r="CQ1576" s="17" t="b">
        <f t="shared" si="99"/>
        <v>1</v>
      </c>
    </row>
    <row r="1577" spans="6:95">
      <c r="F1577" s="23"/>
      <c r="I1577" s="23"/>
      <c r="L1577" s="50" t="s">
        <v>12948</v>
      </c>
      <c r="M1577" s="17" t="s">
        <v>12949</v>
      </c>
      <c r="N1577" s="51" t="s">
        <v>12950</v>
      </c>
      <c r="O1577" s="29" t="s">
        <v>1479</v>
      </c>
      <c r="P1577" s="29" t="s">
        <v>12951</v>
      </c>
      <c r="Q1577" s="29" t="s">
        <v>1479</v>
      </c>
      <c r="R1577" s="29" t="s">
        <v>4806</v>
      </c>
      <c r="S1577" s="28" t="s">
        <v>1502</v>
      </c>
      <c r="T1577" s="28" t="s">
        <v>2187</v>
      </c>
      <c r="U1577" s="28" t="s">
        <v>1446</v>
      </c>
      <c r="V1577" s="28" t="s">
        <v>1913</v>
      </c>
      <c r="W1577" s="28" t="s">
        <v>12951</v>
      </c>
      <c r="X1577" s="17">
        <v>8</v>
      </c>
      <c r="CJ1577" s="26" t="s">
        <v>1424</v>
      </c>
      <c r="CK1577" s="26" t="s">
        <v>2137</v>
      </c>
      <c r="CL1577" s="26" t="str">
        <f t="shared" si="97"/>
        <v>沖縄県竹富町</v>
      </c>
      <c r="CM1577" s="49">
        <v>1572</v>
      </c>
      <c r="CN1577" s="17" t="str">
        <f t="shared" si="96"/>
        <v>1748</v>
      </c>
      <c r="CO1577" s="17" t="str">
        <f t="shared" si="98"/>
        <v>15721748竹富町</v>
      </c>
      <c r="CP1577" s="17" t="s">
        <v>12952</v>
      </c>
      <c r="CQ1577" s="17" t="b">
        <f t="shared" si="99"/>
        <v>1</v>
      </c>
    </row>
    <row r="1578" spans="6:95">
      <c r="F1578" s="23"/>
      <c r="I1578" s="23"/>
      <c r="L1578" s="50" t="s">
        <v>12953</v>
      </c>
      <c r="M1578" s="17" t="s">
        <v>12954</v>
      </c>
      <c r="N1578" s="51" t="s">
        <v>12955</v>
      </c>
      <c r="O1578" s="29" t="s">
        <v>1479</v>
      </c>
      <c r="P1578" s="29" t="s">
        <v>12956</v>
      </c>
      <c r="Q1578" s="29" t="s">
        <v>1479</v>
      </c>
      <c r="R1578" s="29" t="s">
        <v>12957</v>
      </c>
      <c r="S1578" s="28" t="s">
        <v>1920</v>
      </c>
      <c r="T1578" s="28" t="s">
        <v>2242</v>
      </c>
      <c r="U1578" s="28" t="s">
        <v>1446</v>
      </c>
      <c r="V1578" s="28" t="s">
        <v>1913</v>
      </c>
      <c r="W1578" s="28" t="s">
        <v>12958</v>
      </c>
      <c r="X1578" s="17">
        <v>1</v>
      </c>
      <c r="CJ1578" s="26" t="s">
        <v>1424</v>
      </c>
      <c r="CK1578" s="26" t="s">
        <v>2193</v>
      </c>
      <c r="CL1578" s="26" t="str">
        <f t="shared" si="97"/>
        <v>沖縄県与那国町</v>
      </c>
      <c r="CM1578" s="49">
        <v>1573</v>
      </c>
      <c r="CN1578" s="17" t="str">
        <f t="shared" si="96"/>
        <v>1749</v>
      </c>
      <c r="CO1578" s="17" t="str">
        <f t="shared" si="98"/>
        <v>15731749与那国町</v>
      </c>
      <c r="CP1578" s="17" t="s">
        <v>12959</v>
      </c>
      <c r="CQ1578" s="17" t="b">
        <f t="shared" si="99"/>
        <v>1</v>
      </c>
    </row>
    <row r="1579" spans="6:95">
      <c r="F1579" s="23"/>
      <c r="I1579" s="23"/>
      <c r="L1579" s="50" t="s">
        <v>12960</v>
      </c>
      <c r="M1579" s="17" t="s">
        <v>12961</v>
      </c>
      <c r="N1579" s="51" t="s">
        <v>12962</v>
      </c>
      <c r="O1579" s="29" t="s">
        <v>1479</v>
      </c>
      <c r="P1579" s="29" t="s">
        <v>12963</v>
      </c>
      <c r="Q1579" s="29" t="s">
        <v>1479</v>
      </c>
      <c r="R1579" s="29" t="s">
        <v>1625</v>
      </c>
      <c r="S1579" s="28" t="s">
        <v>1564</v>
      </c>
      <c r="T1579" s="28" t="s">
        <v>2297</v>
      </c>
      <c r="U1579" s="28" t="s">
        <v>1446</v>
      </c>
      <c r="V1579" s="28" t="s">
        <v>1913</v>
      </c>
      <c r="W1579" s="28" t="s">
        <v>12963</v>
      </c>
      <c r="X1579" s="17">
        <v>2</v>
      </c>
      <c r="CJ1579" s="26" t="s">
        <v>1424</v>
      </c>
      <c r="CK1579" s="26" t="s">
        <v>2248</v>
      </c>
      <c r="CL1579" s="26" t="str">
        <f t="shared" si="97"/>
        <v>沖縄県沖縄県介護保険広域連合</v>
      </c>
      <c r="CM1579" s="49">
        <v>1574</v>
      </c>
      <c r="CN1579" s="17" t="str">
        <f t="shared" si="96"/>
        <v>1750</v>
      </c>
      <c r="CO1579" s="17" t="str">
        <f t="shared" si="98"/>
        <v>15741750沖縄県介護保険広域連合</v>
      </c>
      <c r="CP1579" s="17" t="s">
        <v>12964</v>
      </c>
      <c r="CQ1579" s="17" t="b">
        <f t="shared" si="99"/>
        <v>1</v>
      </c>
    </row>
    <row r="1580" spans="6:95">
      <c r="F1580" s="23"/>
      <c r="I1580" s="23"/>
      <c r="L1580" s="50" t="s">
        <v>12965</v>
      </c>
      <c r="M1580" s="17" t="s">
        <v>12966</v>
      </c>
      <c r="N1580" s="51" t="s">
        <v>12967</v>
      </c>
      <c r="O1580" s="29" t="s">
        <v>1479</v>
      </c>
      <c r="P1580" s="29" t="s">
        <v>12968</v>
      </c>
      <c r="Q1580" s="29" t="s">
        <v>1479</v>
      </c>
      <c r="R1580" s="29" t="s">
        <v>5197</v>
      </c>
      <c r="S1580" s="28" t="s">
        <v>1626</v>
      </c>
      <c r="T1580" s="28" t="s">
        <v>2352</v>
      </c>
      <c r="U1580" s="28" t="s">
        <v>1446</v>
      </c>
      <c r="V1580" s="28" t="s">
        <v>1913</v>
      </c>
      <c r="W1580" s="28" t="s">
        <v>12969</v>
      </c>
      <c r="X1580" s="17">
        <v>3</v>
      </c>
    </row>
    <row r="1581" spans="6:95">
      <c r="F1581" s="23"/>
      <c r="I1581" s="23"/>
      <c r="L1581" s="50" t="s">
        <v>12970</v>
      </c>
      <c r="M1581" s="17" t="s">
        <v>12971</v>
      </c>
      <c r="N1581" s="51" t="s">
        <v>12972</v>
      </c>
      <c r="O1581" s="29" t="s">
        <v>1479</v>
      </c>
      <c r="P1581" s="29" t="s">
        <v>12973</v>
      </c>
      <c r="Q1581" s="29" t="s">
        <v>1479</v>
      </c>
      <c r="R1581" s="29" t="s">
        <v>3358</v>
      </c>
      <c r="S1581" s="28" t="s">
        <v>1920</v>
      </c>
      <c r="T1581" s="28" t="s">
        <v>2407</v>
      </c>
      <c r="U1581" s="28" t="s">
        <v>1446</v>
      </c>
      <c r="V1581" s="28" t="s">
        <v>1913</v>
      </c>
      <c r="W1581" s="28" t="s">
        <v>12974</v>
      </c>
      <c r="X1581" s="17">
        <v>4</v>
      </c>
    </row>
    <row r="1582" spans="6:95">
      <c r="F1582" s="23"/>
      <c r="I1582" s="23"/>
      <c r="L1582" s="50" t="s">
        <v>12975</v>
      </c>
      <c r="M1582" s="17" t="s">
        <v>12976</v>
      </c>
      <c r="N1582" s="51" t="s">
        <v>12977</v>
      </c>
      <c r="O1582" s="29" t="s">
        <v>1479</v>
      </c>
      <c r="P1582" s="29" t="s">
        <v>12978</v>
      </c>
      <c r="Q1582" s="29" t="s">
        <v>1479</v>
      </c>
      <c r="R1582" s="29" t="s">
        <v>3338</v>
      </c>
      <c r="S1582" s="28" t="s">
        <v>1862</v>
      </c>
      <c r="T1582" s="28" t="s">
        <v>2461</v>
      </c>
      <c r="U1582" s="28" t="s">
        <v>1446</v>
      </c>
      <c r="V1582" s="28" t="s">
        <v>1913</v>
      </c>
      <c r="W1582" s="28" t="s">
        <v>12979</v>
      </c>
      <c r="X1582" s="17">
        <v>5</v>
      </c>
    </row>
    <row r="1583" spans="6:95">
      <c r="F1583" s="23"/>
      <c r="I1583" s="23"/>
      <c r="L1583" s="50" t="s">
        <v>12980</v>
      </c>
      <c r="M1583" s="17" t="s">
        <v>12981</v>
      </c>
      <c r="N1583" s="51" t="s">
        <v>12982</v>
      </c>
      <c r="O1583" s="29" t="s">
        <v>1479</v>
      </c>
      <c r="P1583" s="29" t="s">
        <v>12983</v>
      </c>
      <c r="Q1583" s="29" t="s">
        <v>1479</v>
      </c>
      <c r="R1583" s="29" t="s">
        <v>12984</v>
      </c>
      <c r="S1583" s="28" t="s">
        <v>1977</v>
      </c>
      <c r="T1583" s="28" t="s">
        <v>2511</v>
      </c>
      <c r="U1583" s="28" t="s">
        <v>1446</v>
      </c>
      <c r="V1583" s="28" t="s">
        <v>1913</v>
      </c>
      <c r="W1583" s="28" t="s">
        <v>12985</v>
      </c>
      <c r="X1583" s="17">
        <v>1</v>
      </c>
    </row>
    <row r="1584" spans="6:95">
      <c r="F1584" s="23"/>
      <c r="I1584" s="23"/>
      <c r="L1584" s="50" t="s">
        <v>12986</v>
      </c>
      <c r="M1584" s="17" t="s">
        <v>12987</v>
      </c>
      <c r="N1584" s="51" t="s">
        <v>12988</v>
      </c>
      <c r="O1584" s="29" t="s">
        <v>1479</v>
      </c>
      <c r="P1584" s="29" t="s">
        <v>12989</v>
      </c>
      <c r="Q1584" s="29" t="s">
        <v>1479</v>
      </c>
      <c r="R1584" s="29" t="s">
        <v>4593</v>
      </c>
      <c r="S1584" s="28" t="s">
        <v>2525</v>
      </c>
      <c r="T1584" s="28" t="s">
        <v>2564</v>
      </c>
      <c r="U1584" s="28" t="s">
        <v>1446</v>
      </c>
      <c r="V1584" s="28" t="s">
        <v>1913</v>
      </c>
      <c r="W1584" s="28" t="s">
        <v>12989</v>
      </c>
      <c r="X1584" s="17">
        <v>2</v>
      </c>
    </row>
    <row r="1585" spans="6:24">
      <c r="F1585" s="23"/>
      <c r="I1585" s="23"/>
      <c r="L1585" s="50" t="s">
        <v>12990</v>
      </c>
      <c r="M1585" s="17" t="s">
        <v>12991</v>
      </c>
      <c r="N1585" s="51" t="s">
        <v>12992</v>
      </c>
      <c r="O1585" s="29" t="s">
        <v>1479</v>
      </c>
      <c r="P1585" s="29" t="s">
        <v>12993</v>
      </c>
      <c r="Q1585" s="29" t="s">
        <v>1479</v>
      </c>
      <c r="R1585" s="29" t="s">
        <v>1684</v>
      </c>
      <c r="S1585" s="28" t="s">
        <v>1626</v>
      </c>
      <c r="T1585" s="28" t="s">
        <v>2611</v>
      </c>
      <c r="U1585" s="28" t="s">
        <v>1446</v>
      </c>
      <c r="V1585" s="28" t="s">
        <v>1913</v>
      </c>
      <c r="W1585" s="28" t="s">
        <v>12994</v>
      </c>
      <c r="X1585" s="17">
        <v>3</v>
      </c>
    </row>
    <row r="1586" spans="6:24">
      <c r="F1586" s="23"/>
      <c r="I1586" s="23"/>
      <c r="L1586" s="50" t="s">
        <v>12995</v>
      </c>
      <c r="M1586" s="17" t="s">
        <v>12996</v>
      </c>
      <c r="N1586" s="51" t="s">
        <v>12997</v>
      </c>
      <c r="O1586" s="29" t="s">
        <v>1479</v>
      </c>
      <c r="P1586" s="29" t="s">
        <v>12998</v>
      </c>
      <c r="Q1586" s="29" t="s">
        <v>1479</v>
      </c>
      <c r="R1586" s="29" t="s">
        <v>1919</v>
      </c>
      <c r="S1586" s="28" t="s">
        <v>1862</v>
      </c>
      <c r="T1586" s="28" t="s">
        <v>2656</v>
      </c>
      <c r="U1586" s="28" t="s">
        <v>1446</v>
      </c>
      <c r="V1586" s="28" t="s">
        <v>1913</v>
      </c>
      <c r="W1586" s="28" t="s">
        <v>12999</v>
      </c>
      <c r="X1586" s="17">
        <v>4</v>
      </c>
    </row>
    <row r="1587" spans="6:24">
      <c r="F1587" s="23"/>
      <c r="I1587" s="23"/>
      <c r="L1587" s="50" t="s">
        <v>13000</v>
      </c>
      <c r="M1587" s="17" t="s">
        <v>13001</v>
      </c>
      <c r="N1587" s="51" t="s">
        <v>13002</v>
      </c>
      <c r="O1587" s="29" t="s">
        <v>1479</v>
      </c>
      <c r="P1587" s="29" t="s">
        <v>13003</v>
      </c>
      <c r="Q1587" s="29" t="s">
        <v>1479</v>
      </c>
      <c r="R1587" s="29" t="s">
        <v>2033</v>
      </c>
      <c r="S1587" s="28" t="s">
        <v>1977</v>
      </c>
      <c r="T1587" s="28" t="s">
        <v>2702</v>
      </c>
      <c r="U1587" s="28" t="s">
        <v>1446</v>
      </c>
      <c r="V1587" s="28" t="s">
        <v>1913</v>
      </c>
      <c r="W1587" s="28" t="s">
        <v>13004</v>
      </c>
      <c r="X1587" s="17">
        <v>5</v>
      </c>
    </row>
    <row r="1588" spans="6:24">
      <c r="F1588" s="23"/>
      <c r="I1588" s="23"/>
      <c r="L1588" s="50" t="s">
        <v>13005</v>
      </c>
      <c r="M1588" s="17" t="s">
        <v>13006</v>
      </c>
      <c r="N1588" s="51" t="s">
        <v>13007</v>
      </c>
      <c r="O1588" s="29" t="s">
        <v>1479</v>
      </c>
      <c r="P1588" s="29" t="s">
        <v>13008</v>
      </c>
      <c r="Q1588" s="29" t="s">
        <v>1479</v>
      </c>
      <c r="R1588" s="29" t="s">
        <v>5347</v>
      </c>
      <c r="S1588" s="28" t="s">
        <v>1920</v>
      </c>
      <c r="T1588" s="28" t="s">
        <v>2748</v>
      </c>
      <c r="U1588" s="28" t="s">
        <v>1446</v>
      </c>
      <c r="V1588" s="28" t="s">
        <v>1913</v>
      </c>
      <c r="W1588" s="28" t="s">
        <v>13009</v>
      </c>
      <c r="X1588" s="17">
        <v>6</v>
      </c>
    </row>
    <row r="1589" spans="6:24">
      <c r="F1589" s="23"/>
      <c r="I1589" s="23"/>
      <c r="L1589" s="50" t="s">
        <v>13010</v>
      </c>
      <c r="M1589" s="17" t="s">
        <v>13011</v>
      </c>
      <c r="N1589" s="51" t="s">
        <v>13012</v>
      </c>
      <c r="O1589" s="29" t="s">
        <v>1480</v>
      </c>
      <c r="P1589" s="29" t="s">
        <v>13013</v>
      </c>
      <c r="Q1589" s="29" t="s">
        <v>1480</v>
      </c>
      <c r="R1589" s="29" t="s">
        <v>4593</v>
      </c>
      <c r="S1589" s="28" t="s">
        <v>1743</v>
      </c>
      <c r="T1589" s="28" t="s">
        <v>1545</v>
      </c>
      <c r="U1589" s="28" t="s">
        <v>1446</v>
      </c>
      <c r="V1589" s="28" t="s">
        <v>1913</v>
      </c>
      <c r="W1589" s="28" t="s">
        <v>13014</v>
      </c>
      <c r="X1589" s="17">
        <v>1</v>
      </c>
    </row>
    <row r="1590" spans="6:24">
      <c r="F1590" s="23"/>
      <c r="I1590" s="23"/>
      <c r="L1590" s="50" t="s">
        <v>13015</v>
      </c>
      <c r="M1590" s="17" t="s">
        <v>13016</v>
      </c>
      <c r="N1590" s="51" t="s">
        <v>13017</v>
      </c>
      <c r="O1590" s="29" t="s">
        <v>1480</v>
      </c>
      <c r="P1590" s="29" t="s">
        <v>13018</v>
      </c>
      <c r="Q1590" s="29" t="s">
        <v>1480</v>
      </c>
      <c r="R1590" s="29" t="s">
        <v>1563</v>
      </c>
      <c r="S1590" s="28" t="s">
        <v>1803</v>
      </c>
      <c r="T1590" s="28" t="s">
        <v>1607</v>
      </c>
      <c r="U1590" s="28" t="s">
        <v>1446</v>
      </c>
      <c r="V1590" s="28" t="s">
        <v>1913</v>
      </c>
      <c r="W1590" s="28" t="s">
        <v>13019</v>
      </c>
      <c r="X1590" s="17">
        <v>1</v>
      </c>
    </row>
    <row r="1591" spans="6:24">
      <c r="F1591" s="23"/>
      <c r="I1591" s="23"/>
      <c r="L1591" s="50" t="s">
        <v>13020</v>
      </c>
      <c r="M1591" s="17" t="s">
        <v>13021</v>
      </c>
      <c r="N1591" s="51" t="s">
        <v>13022</v>
      </c>
      <c r="O1591" s="29" t="s">
        <v>1480</v>
      </c>
      <c r="P1591" s="29" t="s">
        <v>13023</v>
      </c>
      <c r="Q1591" s="29" t="s">
        <v>1480</v>
      </c>
      <c r="R1591" s="29" t="s">
        <v>1684</v>
      </c>
      <c r="S1591" s="28" t="s">
        <v>1920</v>
      </c>
      <c r="T1591" s="28" t="s">
        <v>1669</v>
      </c>
      <c r="U1591" s="28" t="s">
        <v>1446</v>
      </c>
      <c r="V1591" s="28" t="s">
        <v>1913</v>
      </c>
      <c r="W1591" s="28" t="s">
        <v>13024</v>
      </c>
      <c r="X1591" s="17">
        <v>1</v>
      </c>
    </row>
    <row r="1592" spans="6:24">
      <c r="F1592" s="23"/>
      <c r="I1592" s="23"/>
      <c r="L1592" s="50" t="s">
        <v>13025</v>
      </c>
      <c r="M1592" s="17" t="s">
        <v>13026</v>
      </c>
      <c r="N1592" s="51" t="s">
        <v>13027</v>
      </c>
      <c r="O1592" s="29" t="s">
        <v>1480</v>
      </c>
      <c r="P1592" s="29" t="s">
        <v>13028</v>
      </c>
      <c r="Q1592" s="29" t="s">
        <v>1480</v>
      </c>
      <c r="R1592" s="29" t="s">
        <v>1742</v>
      </c>
      <c r="S1592" s="28" t="s">
        <v>2525</v>
      </c>
      <c r="T1592" s="28" t="s">
        <v>1727</v>
      </c>
      <c r="U1592" s="28" t="s">
        <v>1446</v>
      </c>
      <c r="V1592" s="28" t="s">
        <v>1913</v>
      </c>
      <c r="W1592" s="28" t="s">
        <v>13029</v>
      </c>
      <c r="X1592" s="17">
        <v>1</v>
      </c>
    </row>
    <row r="1593" spans="6:24">
      <c r="F1593" s="23"/>
      <c r="I1593" s="23"/>
      <c r="L1593" s="50" t="s">
        <v>13030</v>
      </c>
      <c r="M1593" s="17" t="s">
        <v>13031</v>
      </c>
      <c r="N1593" s="51" t="s">
        <v>13032</v>
      </c>
      <c r="O1593" s="29" t="s">
        <v>1480</v>
      </c>
      <c r="P1593" s="29" t="s">
        <v>13033</v>
      </c>
      <c r="Q1593" s="29" t="s">
        <v>1480</v>
      </c>
      <c r="R1593" s="29" t="s">
        <v>1861</v>
      </c>
      <c r="S1593" s="28" t="s">
        <v>1564</v>
      </c>
      <c r="T1593" s="28" t="s">
        <v>1786</v>
      </c>
      <c r="U1593" s="28" t="s">
        <v>1446</v>
      </c>
      <c r="V1593" s="28" t="s">
        <v>1913</v>
      </c>
      <c r="W1593" s="28" t="s">
        <v>13034</v>
      </c>
      <c r="X1593" s="17">
        <v>1</v>
      </c>
    </row>
    <row r="1594" spans="6:24">
      <c r="F1594" s="23"/>
      <c r="I1594" s="23"/>
      <c r="L1594" s="50" t="s">
        <v>13035</v>
      </c>
      <c r="M1594" s="17" t="s">
        <v>13036</v>
      </c>
      <c r="N1594" s="51" t="s">
        <v>13037</v>
      </c>
      <c r="O1594" s="29" t="s">
        <v>1480</v>
      </c>
      <c r="P1594" s="29" t="s">
        <v>13038</v>
      </c>
      <c r="Q1594" s="29" t="s">
        <v>1480</v>
      </c>
      <c r="R1594" s="29" t="s">
        <v>1919</v>
      </c>
      <c r="S1594" s="28" t="s">
        <v>1626</v>
      </c>
      <c r="T1594" s="28" t="s">
        <v>1846</v>
      </c>
      <c r="U1594" s="28" t="s">
        <v>1446</v>
      </c>
      <c r="V1594" s="28" t="s">
        <v>1913</v>
      </c>
      <c r="W1594" s="28" t="s">
        <v>13039</v>
      </c>
      <c r="X1594" s="17">
        <v>1</v>
      </c>
    </row>
    <row r="1595" spans="6:24">
      <c r="F1595" s="23"/>
      <c r="I1595" s="23"/>
      <c r="L1595" s="50" t="s">
        <v>13040</v>
      </c>
      <c r="M1595" s="17" t="s">
        <v>13041</v>
      </c>
      <c r="N1595" s="51" t="s">
        <v>13042</v>
      </c>
      <c r="O1595" s="29" t="s">
        <v>1480</v>
      </c>
      <c r="P1595" s="29" t="s">
        <v>13043</v>
      </c>
      <c r="Q1595" s="29" t="s">
        <v>1480</v>
      </c>
      <c r="R1595" s="29" t="s">
        <v>1976</v>
      </c>
      <c r="S1595" s="28" t="s">
        <v>1502</v>
      </c>
      <c r="T1595" s="28" t="s">
        <v>1905</v>
      </c>
      <c r="U1595" s="28" t="s">
        <v>1446</v>
      </c>
      <c r="V1595" s="28" t="s">
        <v>1913</v>
      </c>
      <c r="W1595" s="28" t="s">
        <v>13044</v>
      </c>
      <c r="X1595" s="17">
        <v>1</v>
      </c>
    </row>
    <row r="1596" spans="6:24">
      <c r="F1596" s="23"/>
      <c r="I1596" s="23"/>
      <c r="L1596" s="50" t="s">
        <v>13045</v>
      </c>
      <c r="M1596" s="17" t="s">
        <v>13046</v>
      </c>
      <c r="N1596" s="51" t="s">
        <v>13047</v>
      </c>
      <c r="O1596" s="29" t="s">
        <v>1480</v>
      </c>
      <c r="P1596" s="29" t="s">
        <v>13048</v>
      </c>
      <c r="Q1596" s="29" t="s">
        <v>1480</v>
      </c>
      <c r="R1596" s="29" t="s">
        <v>2033</v>
      </c>
      <c r="S1596" s="28" t="s">
        <v>2525</v>
      </c>
      <c r="T1596" s="28" t="s">
        <v>1963</v>
      </c>
      <c r="U1596" s="28" t="s">
        <v>1446</v>
      </c>
      <c r="V1596" s="28" t="s">
        <v>1913</v>
      </c>
      <c r="W1596" s="28" t="s">
        <v>13049</v>
      </c>
      <c r="X1596" s="17">
        <v>1</v>
      </c>
    </row>
    <row r="1597" spans="6:24">
      <c r="F1597" s="23"/>
      <c r="I1597" s="23"/>
      <c r="L1597" s="50" t="s">
        <v>13050</v>
      </c>
      <c r="M1597" s="17" t="s">
        <v>13051</v>
      </c>
      <c r="N1597" s="51" t="s">
        <v>13052</v>
      </c>
      <c r="O1597" s="29" t="s">
        <v>1480</v>
      </c>
      <c r="P1597" s="29" t="s">
        <v>13053</v>
      </c>
      <c r="Q1597" s="29" t="s">
        <v>1480</v>
      </c>
      <c r="R1597" s="29" t="s">
        <v>2089</v>
      </c>
      <c r="S1597" s="28" t="s">
        <v>2311</v>
      </c>
      <c r="T1597" s="28" t="s">
        <v>2020</v>
      </c>
      <c r="U1597" s="28" t="s">
        <v>1446</v>
      </c>
      <c r="V1597" s="28" t="s">
        <v>1913</v>
      </c>
      <c r="W1597" s="28" t="s">
        <v>13054</v>
      </c>
      <c r="X1597" s="17">
        <v>1</v>
      </c>
    </row>
    <row r="1598" spans="6:24">
      <c r="F1598" s="23"/>
      <c r="I1598" s="23"/>
      <c r="L1598" s="50" t="s">
        <v>13055</v>
      </c>
      <c r="M1598" s="17" t="s">
        <v>13056</v>
      </c>
      <c r="N1598" s="51" t="s">
        <v>13057</v>
      </c>
      <c r="O1598" s="29" t="s">
        <v>1480</v>
      </c>
      <c r="P1598" s="29" t="s">
        <v>13058</v>
      </c>
      <c r="Q1598" s="29" t="s">
        <v>1480</v>
      </c>
      <c r="R1598" s="29" t="s">
        <v>2145</v>
      </c>
      <c r="S1598" s="28" t="s">
        <v>1564</v>
      </c>
      <c r="T1598" s="28" t="s">
        <v>2076</v>
      </c>
      <c r="U1598" s="28" t="s">
        <v>1446</v>
      </c>
      <c r="V1598" s="28" t="s">
        <v>1913</v>
      </c>
      <c r="W1598" s="28" t="s">
        <v>13059</v>
      </c>
      <c r="X1598" s="17">
        <v>1</v>
      </c>
    </row>
    <row r="1599" spans="6:24">
      <c r="F1599" s="23"/>
      <c r="I1599" s="23"/>
      <c r="L1599" s="50" t="s">
        <v>13060</v>
      </c>
      <c r="M1599" s="17" t="s">
        <v>13061</v>
      </c>
      <c r="N1599" s="51" t="s">
        <v>13062</v>
      </c>
      <c r="O1599" s="29" t="s">
        <v>1480</v>
      </c>
      <c r="P1599" s="29" t="s">
        <v>13063</v>
      </c>
      <c r="Q1599" s="29" t="s">
        <v>1480</v>
      </c>
      <c r="R1599" s="29" t="s">
        <v>4672</v>
      </c>
      <c r="S1599" s="28" t="s">
        <v>1626</v>
      </c>
      <c r="T1599" s="28" t="s">
        <v>2132</v>
      </c>
      <c r="U1599" s="28" t="s">
        <v>1446</v>
      </c>
      <c r="V1599" s="28" t="s">
        <v>1913</v>
      </c>
      <c r="W1599" s="28" t="s">
        <v>13064</v>
      </c>
      <c r="X1599" s="17">
        <v>1</v>
      </c>
    </row>
    <row r="1600" spans="6:24">
      <c r="F1600" s="23"/>
      <c r="I1600" s="23"/>
      <c r="L1600" s="50" t="s">
        <v>13065</v>
      </c>
      <c r="M1600" s="17" t="s">
        <v>13066</v>
      </c>
      <c r="N1600" s="51" t="s">
        <v>13067</v>
      </c>
      <c r="O1600" s="29" t="s">
        <v>1480</v>
      </c>
      <c r="P1600" s="29" t="s">
        <v>13068</v>
      </c>
      <c r="Q1600" s="29" t="s">
        <v>1480</v>
      </c>
      <c r="R1600" s="29" t="s">
        <v>5747</v>
      </c>
      <c r="S1600" s="28" t="s">
        <v>1502</v>
      </c>
      <c r="T1600" s="28" t="s">
        <v>2188</v>
      </c>
      <c r="U1600" s="28" t="s">
        <v>1446</v>
      </c>
      <c r="V1600" s="28" t="s">
        <v>1913</v>
      </c>
      <c r="W1600" s="28" t="s">
        <v>13069</v>
      </c>
      <c r="X1600" s="17">
        <v>1</v>
      </c>
    </row>
    <row r="1601" spans="6:24">
      <c r="F1601" s="23"/>
      <c r="I1601" s="23"/>
      <c r="L1601" s="50" t="s">
        <v>13070</v>
      </c>
      <c r="M1601" s="17" t="s">
        <v>13071</v>
      </c>
      <c r="N1601" s="51" t="s">
        <v>13072</v>
      </c>
      <c r="O1601" s="29" t="s">
        <v>1480</v>
      </c>
      <c r="P1601" s="29" t="s">
        <v>13073</v>
      </c>
      <c r="Q1601" s="29" t="s">
        <v>1480</v>
      </c>
      <c r="R1601" s="29" t="s">
        <v>4679</v>
      </c>
      <c r="S1601" s="28" t="s">
        <v>1862</v>
      </c>
      <c r="T1601" s="28" t="s">
        <v>2243</v>
      </c>
      <c r="U1601" s="28" t="s">
        <v>1446</v>
      </c>
      <c r="V1601" s="28" t="s">
        <v>1913</v>
      </c>
      <c r="W1601" s="28" t="s">
        <v>13074</v>
      </c>
      <c r="X1601" s="17">
        <v>1</v>
      </c>
    </row>
    <row r="1602" spans="6:24">
      <c r="F1602" s="23"/>
      <c r="I1602" s="23"/>
      <c r="L1602" s="50" t="s">
        <v>13075</v>
      </c>
      <c r="M1602" s="17" t="s">
        <v>13076</v>
      </c>
      <c r="N1602" s="51" t="s">
        <v>13077</v>
      </c>
      <c r="O1602" s="29" t="s">
        <v>1480</v>
      </c>
      <c r="P1602" s="29" t="s">
        <v>13078</v>
      </c>
      <c r="Q1602" s="29" t="s">
        <v>1480</v>
      </c>
      <c r="R1602" s="29" t="s">
        <v>4918</v>
      </c>
      <c r="S1602" s="28" t="s">
        <v>1920</v>
      </c>
      <c r="T1602" s="28" t="s">
        <v>2298</v>
      </c>
      <c r="U1602" s="28" t="s">
        <v>1446</v>
      </c>
      <c r="V1602" s="28" t="s">
        <v>1913</v>
      </c>
      <c r="W1602" s="28" t="s">
        <v>13079</v>
      </c>
      <c r="X1602" s="17">
        <v>1</v>
      </c>
    </row>
    <row r="1603" spans="6:24">
      <c r="F1603" s="23"/>
      <c r="I1603" s="23"/>
      <c r="L1603" s="50" t="s">
        <v>13080</v>
      </c>
      <c r="M1603" s="17" t="s">
        <v>13081</v>
      </c>
      <c r="N1603" s="51" t="s">
        <v>13082</v>
      </c>
      <c r="O1603" s="29" t="s">
        <v>1480</v>
      </c>
      <c r="P1603" s="29" t="s">
        <v>13083</v>
      </c>
      <c r="Q1603" s="29" t="s">
        <v>1480</v>
      </c>
      <c r="R1603" s="29" t="s">
        <v>4686</v>
      </c>
      <c r="S1603" s="28" t="s">
        <v>1977</v>
      </c>
      <c r="T1603" s="28" t="s">
        <v>2353</v>
      </c>
      <c r="U1603" s="28" t="s">
        <v>1446</v>
      </c>
      <c r="V1603" s="28" t="s">
        <v>1913</v>
      </c>
      <c r="W1603" s="28" t="s">
        <v>13084</v>
      </c>
      <c r="X1603" s="17">
        <v>1</v>
      </c>
    </row>
    <row r="1604" spans="6:24">
      <c r="F1604" s="23"/>
      <c r="I1604" s="23"/>
      <c r="L1604" s="50" t="s">
        <v>13085</v>
      </c>
      <c r="M1604" s="17" t="s">
        <v>13086</v>
      </c>
      <c r="N1604" s="51" t="s">
        <v>13087</v>
      </c>
      <c r="O1604" s="29" t="s">
        <v>1480</v>
      </c>
      <c r="P1604" s="29" t="s">
        <v>13088</v>
      </c>
      <c r="Q1604" s="29" t="s">
        <v>1480</v>
      </c>
      <c r="R1604" s="29" t="s">
        <v>6536</v>
      </c>
      <c r="S1604" s="28" t="s">
        <v>1862</v>
      </c>
      <c r="T1604" s="28" t="s">
        <v>2408</v>
      </c>
      <c r="U1604" s="28" t="s">
        <v>1446</v>
      </c>
      <c r="V1604" s="28" t="s">
        <v>1913</v>
      </c>
      <c r="W1604" s="28" t="s">
        <v>13089</v>
      </c>
      <c r="X1604" s="17">
        <v>1</v>
      </c>
    </row>
    <row r="1605" spans="6:24">
      <c r="F1605" s="23"/>
      <c r="I1605" s="23"/>
      <c r="L1605" s="50" t="s">
        <v>13090</v>
      </c>
      <c r="M1605" s="17" t="s">
        <v>13091</v>
      </c>
      <c r="N1605" s="51" t="s">
        <v>13092</v>
      </c>
      <c r="O1605" s="29" t="s">
        <v>1480</v>
      </c>
      <c r="P1605" s="29" t="s">
        <v>13093</v>
      </c>
      <c r="Q1605" s="29" t="s">
        <v>1480</v>
      </c>
      <c r="R1605" s="29" t="s">
        <v>4436</v>
      </c>
      <c r="S1605" s="28" t="s">
        <v>2311</v>
      </c>
      <c r="T1605" s="28" t="s">
        <v>2462</v>
      </c>
      <c r="U1605" s="28" t="s">
        <v>1446</v>
      </c>
      <c r="V1605" s="28" t="s">
        <v>1913</v>
      </c>
      <c r="W1605" s="28" t="s">
        <v>13094</v>
      </c>
      <c r="X1605" s="17">
        <v>1</v>
      </c>
    </row>
    <row r="1606" spans="6:24">
      <c r="F1606" s="23"/>
      <c r="I1606" s="23"/>
      <c r="L1606" s="50" t="s">
        <v>13095</v>
      </c>
      <c r="M1606" s="17" t="s">
        <v>13096</v>
      </c>
      <c r="N1606" s="51" t="s">
        <v>13097</v>
      </c>
      <c r="O1606" s="29" t="s">
        <v>1480</v>
      </c>
      <c r="P1606" s="29" t="s">
        <v>13098</v>
      </c>
      <c r="Q1606" s="29" t="s">
        <v>1480</v>
      </c>
      <c r="R1606" s="29" t="s">
        <v>4767</v>
      </c>
      <c r="S1606" s="28" t="s">
        <v>1626</v>
      </c>
      <c r="T1606" s="28" t="s">
        <v>2512</v>
      </c>
      <c r="U1606" s="28" t="s">
        <v>1446</v>
      </c>
      <c r="V1606" s="28" t="s">
        <v>1913</v>
      </c>
      <c r="W1606" s="28" t="s">
        <v>13099</v>
      </c>
      <c r="X1606" s="17">
        <v>1</v>
      </c>
    </row>
    <row r="1607" spans="6:24">
      <c r="F1607" s="23"/>
      <c r="I1607" s="23"/>
      <c r="L1607" s="50" t="s">
        <v>13100</v>
      </c>
      <c r="M1607" s="17" t="s">
        <v>13101</v>
      </c>
      <c r="N1607" s="51" t="s">
        <v>13102</v>
      </c>
      <c r="O1607" s="29" t="s">
        <v>1480</v>
      </c>
      <c r="P1607" s="29" t="s">
        <v>13103</v>
      </c>
      <c r="Q1607" s="29" t="s">
        <v>1480</v>
      </c>
      <c r="R1607" s="29" t="s">
        <v>13104</v>
      </c>
      <c r="S1607" s="28" t="s">
        <v>2311</v>
      </c>
      <c r="T1607" s="28" t="s">
        <v>2565</v>
      </c>
      <c r="U1607" s="28" t="s">
        <v>1446</v>
      </c>
      <c r="V1607" s="28" t="s">
        <v>1913</v>
      </c>
      <c r="W1607" s="28" t="s">
        <v>13105</v>
      </c>
      <c r="X1607" s="17">
        <v>1</v>
      </c>
    </row>
    <row r="1608" spans="6:24">
      <c r="F1608" s="23"/>
      <c r="I1608" s="23"/>
      <c r="L1608" s="50" t="s">
        <v>13106</v>
      </c>
      <c r="M1608" s="17" t="s">
        <v>13107</v>
      </c>
      <c r="N1608" s="51" t="s">
        <v>13108</v>
      </c>
      <c r="O1608" s="29" t="s">
        <v>1480</v>
      </c>
      <c r="P1608" s="29" t="s">
        <v>13109</v>
      </c>
      <c r="Q1608" s="29" t="s">
        <v>1480</v>
      </c>
      <c r="R1608" s="29" t="s">
        <v>1625</v>
      </c>
      <c r="S1608" s="28" t="s">
        <v>1862</v>
      </c>
      <c r="T1608" s="28" t="s">
        <v>2612</v>
      </c>
      <c r="U1608" s="28" t="s">
        <v>1446</v>
      </c>
      <c r="V1608" s="28" t="s">
        <v>1913</v>
      </c>
      <c r="W1608" s="28" t="s">
        <v>13110</v>
      </c>
      <c r="X1608" s="17">
        <v>2</v>
      </c>
    </row>
    <row r="1609" spans="6:24">
      <c r="F1609" s="23"/>
      <c r="I1609" s="23"/>
      <c r="L1609" s="50" t="s">
        <v>13111</v>
      </c>
      <c r="M1609" s="17" t="s">
        <v>13112</v>
      </c>
      <c r="N1609" s="51" t="s">
        <v>13113</v>
      </c>
      <c r="O1609" s="29" t="s">
        <v>1480</v>
      </c>
      <c r="P1609" s="29" t="s">
        <v>13114</v>
      </c>
      <c r="Q1609" s="29" t="s">
        <v>1480</v>
      </c>
      <c r="R1609" s="29" t="s">
        <v>2200</v>
      </c>
      <c r="S1609" s="28" t="s">
        <v>1626</v>
      </c>
      <c r="T1609" s="28" t="s">
        <v>2657</v>
      </c>
      <c r="U1609" s="28" t="s">
        <v>1446</v>
      </c>
      <c r="V1609" s="28" t="s">
        <v>1913</v>
      </c>
      <c r="W1609" s="28" t="s">
        <v>13115</v>
      </c>
      <c r="X1609" s="17">
        <v>3</v>
      </c>
    </row>
    <row r="1610" spans="6:24">
      <c r="F1610" s="23"/>
      <c r="I1610" s="23"/>
      <c r="L1610" s="50" t="s">
        <v>13116</v>
      </c>
      <c r="M1610" s="17" t="s">
        <v>13117</v>
      </c>
      <c r="N1610" s="51" t="s">
        <v>13118</v>
      </c>
      <c r="O1610" s="29" t="s">
        <v>1480</v>
      </c>
      <c r="P1610" s="29" t="s">
        <v>13119</v>
      </c>
      <c r="Q1610" s="29" t="s">
        <v>1480</v>
      </c>
      <c r="R1610" s="29" t="s">
        <v>2255</v>
      </c>
      <c r="S1610" s="28" t="s">
        <v>1502</v>
      </c>
      <c r="T1610" s="28" t="s">
        <v>2703</v>
      </c>
      <c r="U1610" s="28" t="s">
        <v>1446</v>
      </c>
      <c r="V1610" s="28" t="s">
        <v>1913</v>
      </c>
      <c r="W1610" s="28" t="s">
        <v>13120</v>
      </c>
      <c r="X1610" s="17">
        <v>4</v>
      </c>
    </row>
    <row r="1611" spans="6:24">
      <c r="F1611" s="23"/>
      <c r="I1611" s="23"/>
      <c r="L1611" s="50" t="s">
        <v>13121</v>
      </c>
      <c r="M1611" s="17" t="s">
        <v>13122</v>
      </c>
      <c r="N1611" s="51" t="s">
        <v>13123</v>
      </c>
      <c r="O1611" s="29" t="s">
        <v>1481</v>
      </c>
      <c r="P1611" s="29" t="s">
        <v>13124</v>
      </c>
      <c r="Q1611" s="29" t="s">
        <v>1481</v>
      </c>
      <c r="R1611" s="29" t="s">
        <v>1501</v>
      </c>
      <c r="S1611" s="28" t="s">
        <v>1502</v>
      </c>
      <c r="T1611" s="28" t="s">
        <v>1546</v>
      </c>
      <c r="U1611" s="28" t="s">
        <v>1446</v>
      </c>
      <c r="V1611" s="28" t="s">
        <v>1913</v>
      </c>
      <c r="W1611" s="28" t="s">
        <v>13125</v>
      </c>
      <c r="X1611" s="17">
        <v>1</v>
      </c>
    </row>
    <row r="1612" spans="6:24">
      <c r="F1612" s="23"/>
      <c r="I1612" s="23"/>
      <c r="L1612" s="50" t="s">
        <v>13126</v>
      </c>
      <c r="M1612" s="17" t="s">
        <v>13127</v>
      </c>
      <c r="N1612" s="51" t="s">
        <v>13128</v>
      </c>
      <c r="O1612" s="29" t="s">
        <v>1481</v>
      </c>
      <c r="P1612" s="29" t="s">
        <v>13129</v>
      </c>
      <c r="Q1612" s="29" t="s">
        <v>1481</v>
      </c>
      <c r="R1612" s="29" t="s">
        <v>1563</v>
      </c>
      <c r="S1612" s="28" t="s">
        <v>1564</v>
      </c>
      <c r="T1612" s="28" t="s">
        <v>1608</v>
      </c>
      <c r="U1612" s="28" t="s">
        <v>1446</v>
      </c>
      <c r="V1612" s="28" t="s">
        <v>1913</v>
      </c>
      <c r="W1612" s="28" t="s">
        <v>13130</v>
      </c>
      <c r="X1612" s="17">
        <v>1</v>
      </c>
    </row>
    <row r="1613" spans="6:24">
      <c r="F1613" s="23"/>
      <c r="I1613" s="23"/>
      <c r="L1613" s="50" t="s">
        <v>13131</v>
      </c>
      <c r="M1613" s="17" t="s">
        <v>13132</v>
      </c>
      <c r="N1613" s="51" t="s">
        <v>13133</v>
      </c>
      <c r="O1613" s="29" t="s">
        <v>1481</v>
      </c>
      <c r="P1613" s="29" t="s">
        <v>13134</v>
      </c>
      <c r="Q1613" s="29" t="s">
        <v>1481</v>
      </c>
      <c r="R1613" s="29" t="s">
        <v>1625</v>
      </c>
      <c r="S1613" s="28" t="s">
        <v>1626</v>
      </c>
      <c r="T1613" s="28" t="s">
        <v>1670</v>
      </c>
      <c r="U1613" s="28" t="s">
        <v>1446</v>
      </c>
      <c r="V1613" s="28" t="s">
        <v>1913</v>
      </c>
      <c r="W1613" s="28" t="s">
        <v>13135</v>
      </c>
      <c r="X1613" s="17">
        <v>1</v>
      </c>
    </row>
    <row r="1614" spans="6:24">
      <c r="F1614" s="23"/>
      <c r="I1614" s="23"/>
      <c r="L1614" s="50" t="s">
        <v>13136</v>
      </c>
      <c r="M1614" s="17" t="s">
        <v>13137</v>
      </c>
      <c r="N1614" s="51" t="s">
        <v>13138</v>
      </c>
      <c r="O1614" s="29" t="s">
        <v>1481</v>
      </c>
      <c r="P1614" s="29" t="s">
        <v>13139</v>
      </c>
      <c r="Q1614" s="29" t="s">
        <v>1481</v>
      </c>
      <c r="R1614" s="29" t="s">
        <v>1684</v>
      </c>
      <c r="S1614" s="28" t="s">
        <v>1502</v>
      </c>
      <c r="T1614" s="28" t="s">
        <v>1728</v>
      </c>
      <c r="U1614" s="28" t="s">
        <v>1446</v>
      </c>
      <c r="V1614" s="28" t="s">
        <v>1913</v>
      </c>
      <c r="W1614" s="28" t="s">
        <v>13140</v>
      </c>
      <c r="X1614" s="17">
        <v>1</v>
      </c>
    </row>
    <row r="1615" spans="6:24">
      <c r="F1615" s="23"/>
      <c r="I1615" s="23"/>
      <c r="L1615" s="50" t="s">
        <v>13141</v>
      </c>
      <c r="M1615" s="17" t="s">
        <v>13142</v>
      </c>
      <c r="N1615" s="51" t="s">
        <v>13143</v>
      </c>
      <c r="O1615" s="29" t="s">
        <v>1481</v>
      </c>
      <c r="P1615" s="29" t="s">
        <v>13144</v>
      </c>
      <c r="Q1615" s="29" t="s">
        <v>1481</v>
      </c>
      <c r="R1615" s="29" t="s">
        <v>1742</v>
      </c>
      <c r="S1615" s="28" t="s">
        <v>1743</v>
      </c>
      <c r="T1615" s="28" t="s">
        <v>1787</v>
      </c>
      <c r="U1615" s="28" t="s">
        <v>1446</v>
      </c>
      <c r="V1615" s="28" t="s">
        <v>1913</v>
      </c>
      <c r="W1615" s="28" t="s">
        <v>13145</v>
      </c>
      <c r="X1615" s="17">
        <v>1</v>
      </c>
    </row>
    <row r="1616" spans="6:24">
      <c r="F1616" s="23"/>
      <c r="I1616" s="23"/>
      <c r="L1616" s="50" t="s">
        <v>13146</v>
      </c>
      <c r="M1616" s="17" t="s">
        <v>13147</v>
      </c>
      <c r="N1616" s="51" t="s">
        <v>13148</v>
      </c>
      <c r="O1616" s="29" t="s">
        <v>1481</v>
      </c>
      <c r="P1616" s="29" t="s">
        <v>13149</v>
      </c>
      <c r="Q1616" s="29" t="s">
        <v>1481</v>
      </c>
      <c r="R1616" s="29" t="s">
        <v>1802</v>
      </c>
      <c r="S1616" s="28" t="s">
        <v>1803</v>
      </c>
      <c r="T1616" s="28" t="s">
        <v>1847</v>
      </c>
      <c r="U1616" s="28" t="s">
        <v>1446</v>
      </c>
      <c r="V1616" s="28" t="s">
        <v>1913</v>
      </c>
      <c r="W1616" s="28" t="s">
        <v>13150</v>
      </c>
      <c r="X1616" s="17">
        <v>1</v>
      </c>
    </row>
    <row r="1617" spans="6:24">
      <c r="F1617" s="23"/>
      <c r="I1617" s="23"/>
      <c r="L1617" s="50" t="s">
        <v>13151</v>
      </c>
      <c r="M1617" s="17" t="s">
        <v>13152</v>
      </c>
      <c r="N1617" s="51" t="s">
        <v>13153</v>
      </c>
      <c r="O1617" s="29" t="s">
        <v>1481</v>
      </c>
      <c r="P1617" s="29" t="s">
        <v>13154</v>
      </c>
      <c r="Q1617" s="29" t="s">
        <v>1481</v>
      </c>
      <c r="R1617" s="29" t="s">
        <v>1919</v>
      </c>
      <c r="S1617" s="28" t="s">
        <v>1920</v>
      </c>
      <c r="T1617" s="28" t="s">
        <v>1906</v>
      </c>
      <c r="U1617" s="28" t="s">
        <v>1446</v>
      </c>
      <c r="V1617" s="28" t="s">
        <v>1913</v>
      </c>
      <c r="W1617" s="28" t="s">
        <v>13155</v>
      </c>
      <c r="X1617" s="17">
        <v>1</v>
      </c>
    </row>
    <row r="1618" spans="6:24">
      <c r="F1618" s="23"/>
      <c r="I1618" s="23"/>
      <c r="L1618" s="50" t="s">
        <v>13156</v>
      </c>
      <c r="M1618" s="17" t="s">
        <v>13157</v>
      </c>
      <c r="N1618" s="51" t="s">
        <v>13158</v>
      </c>
      <c r="O1618" s="29" t="s">
        <v>1481</v>
      </c>
      <c r="P1618" s="29" t="s">
        <v>13159</v>
      </c>
      <c r="Q1618" s="29" t="s">
        <v>1481</v>
      </c>
      <c r="R1618" s="29" t="s">
        <v>2033</v>
      </c>
      <c r="S1618" s="28" t="s">
        <v>1743</v>
      </c>
      <c r="T1618" s="28" t="s">
        <v>1964</v>
      </c>
      <c r="U1618" s="28" t="s">
        <v>1446</v>
      </c>
      <c r="V1618" s="28" t="s">
        <v>1913</v>
      </c>
      <c r="W1618" s="28" t="s">
        <v>13160</v>
      </c>
      <c r="X1618" s="17">
        <v>1</v>
      </c>
    </row>
    <row r="1619" spans="6:24">
      <c r="F1619" s="23"/>
      <c r="I1619" s="23"/>
      <c r="L1619" s="50" t="s">
        <v>13161</v>
      </c>
      <c r="M1619" s="17" t="s">
        <v>13162</v>
      </c>
      <c r="N1619" s="51" t="s">
        <v>13163</v>
      </c>
      <c r="O1619" s="29" t="s">
        <v>1481</v>
      </c>
      <c r="P1619" s="29" t="s">
        <v>13164</v>
      </c>
      <c r="Q1619" s="29" t="s">
        <v>1481</v>
      </c>
      <c r="R1619" s="29" t="s">
        <v>2089</v>
      </c>
      <c r="S1619" s="28" t="s">
        <v>1803</v>
      </c>
      <c r="T1619" s="28" t="s">
        <v>2021</v>
      </c>
      <c r="U1619" s="28" t="s">
        <v>1446</v>
      </c>
      <c r="V1619" s="28" t="s">
        <v>1913</v>
      </c>
      <c r="W1619" s="28" t="s">
        <v>13165</v>
      </c>
      <c r="X1619" s="17">
        <v>1</v>
      </c>
    </row>
    <row r="1620" spans="6:24">
      <c r="F1620" s="23"/>
      <c r="I1620" s="23"/>
      <c r="L1620" s="50" t="s">
        <v>13166</v>
      </c>
      <c r="M1620" s="17" t="s">
        <v>13167</v>
      </c>
      <c r="N1620" s="51" t="s">
        <v>13168</v>
      </c>
      <c r="O1620" s="29" t="s">
        <v>1481</v>
      </c>
      <c r="P1620" s="29" t="s">
        <v>13169</v>
      </c>
      <c r="Q1620" s="29" t="s">
        <v>1481</v>
      </c>
      <c r="R1620" s="29" t="s">
        <v>2145</v>
      </c>
      <c r="S1620" s="28" t="s">
        <v>1862</v>
      </c>
      <c r="T1620" s="28" t="s">
        <v>2077</v>
      </c>
      <c r="U1620" s="28" t="s">
        <v>1446</v>
      </c>
      <c r="V1620" s="28" t="s">
        <v>1913</v>
      </c>
      <c r="W1620" s="28" t="s">
        <v>13170</v>
      </c>
      <c r="X1620" s="17">
        <v>1</v>
      </c>
    </row>
    <row r="1621" spans="6:24">
      <c r="F1621" s="23"/>
      <c r="I1621" s="23"/>
      <c r="L1621" s="50" t="s">
        <v>13171</v>
      </c>
      <c r="M1621" s="17" t="s">
        <v>13172</v>
      </c>
      <c r="N1621" s="51" t="s">
        <v>13173</v>
      </c>
      <c r="O1621" s="29" t="s">
        <v>1481</v>
      </c>
      <c r="P1621" s="29" t="s">
        <v>13174</v>
      </c>
      <c r="Q1621" s="29" t="s">
        <v>1481</v>
      </c>
      <c r="R1621" s="29" t="s">
        <v>2200</v>
      </c>
      <c r="S1621" s="28" t="s">
        <v>1920</v>
      </c>
      <c r="T1621" s="28" t="s">
        <v>2133</v>
      </c>
      <c r="U1621" s="28" t="s">
        <v>1446</v>
      </c>
      <c r="V1621" s="28" t="s">
        <v>1913</v>
      </c>
      <c r="W1621" s="28" t="s">
        <v>13175</v>
      </c>
      <c r="X1621" s="17">
        <v>1</v>
      </c>
    </row>
    <row r="1622" spans="6:24">
      <c r="F1622" s="23"/>
      <c r="I1622" s="23"/>
      <c r="L1622" s="50" t="s">
        <v>13176</v>
      </c>
      <c r="M1622" s="17" t="s">
        <v>13177</v>
      </c>
      <c r="N1622" s="51" t="s">
        <v>13178</v>
      </c>
      <c r="O1622" s="29" t="s">
        <v>1481</v>
      </c>
      <c r="P1622" s="29" t="s">
        <v>13179</v>
      </c>
      <c r="Q1622" s="29" t="s">
        <v>1481</v>
      </c>
      <c r="R1622" s="29" t="s">
        <v>2255</v>
      </c>
      <c r="S1622" s="28" t="s">
        <v>1977</v>
      </c>
      <c r="T1622" s="28" t="s">
        <v>2189</v>
      </c>
      <c r="U1622" s="28" t="s">
        <v>1446</v>
      </c>
      <c r="V1622" s="28" t="s">
        <v>1913</v>
      </c>
      <c r="W1622" s="28" t="s">
        <v>13180</v>
      </c>
      <c r="X1622" s="17">
        <v>1</v>
      </c>
    </row>
    <row r="1623" spans="6:24">
      <c r="F1623" s="23"/>
      <c r="I1623" s="23"/>
      <c r="L1623" s="50" t="s">
        <v>13181</v>
      </c>
      <c r="M1623" s="17" t="s">
        <v>13182</v>
      </c>
      <c r="N1623" s="51" t="s">
        <v>13183</v>
      </c>
      <c r="O1623" s="29" t="s">
        <v>1481</v>
      </c>
      <c r="P1623" s="29" t="s">
        <v>13184</v>
      </c>
      <c r="Q1623" s="29" t="s">
        <v>1481</v>
      </c>
      <c r="R1623" s="29" t="s">
        <v>2310</v>
      </c>
      <c r="S1623" s="28" t="s">
        <v>2311</v>
      </c>
      <c r="T1623" s="28" t="s">
        <v>2244</v>
      </c>
      <c r="U1623" s="28" t="s">
        <v>1446</v>
      </c>
      <c r="V1623" s="28" t="s">
        <v>1913</v>
      </c>
      <c r="W1623" s="28" t="s">
        <v>13185</v>
      </c>
      <c r="X1623" s="17">
        <v>1</v>
      </c>
    </row>
    <row r="1624" spans="6:24">
      <c r="F1624" s="23"/>
      <c r="I1624" s="23"/>
      <c r="L1624" s="50" t="s">
        <v>13186</v>
      </c>
      <c r="M1624" s="17" t="s">
        <v>13187</v>
      </c>
      <c r="N1624" s="51" t="s">
        <v>13188</v>
      </c>
      <c r="O1624" s="29" t="s">
        <v>1481</v>
      </c>
      <c r="P1624" s="29" t="s">
        <v>13189</v>
      </c>
      <c r="Q1624" s="29" t="s">
        <v>1481</v>
      </c>
      <c r="R1624" s="29" t="s">
        <v>2365</v>
      </c>
      <c r="S1624" s="28" t="s">
        <v>1564</v>
      </c>
      <c r="T1624" s="28" t="s">
        <v>2299</v>
      </c>
      <c r="U1624" s="28" t="s">
        <v>1446</v>
      </c>
      <c r="V1624" s="28" t="s">
        <v>1913</v>
      </c>
      <c r="W1624" s="28" t="s">
        <v>13190</v>
      </c>
      <c r="X1624" s="17">
        <v>1</v>
      </c>
    </row>
    <row r="1625" spans="6:24">
      <c r="F1625" s="23"/>
      <c r="I1625" s="23"/>
      <c r="L1625" s="50" t="s">
        <v>13191</v>
      </c>
      <c r="M1625" s="17" t="s">
        <v>13192</v>
      </c>
      <c r="N1625" s="51" t="s">
        <v>13193</v>
      </c>
      <c r="O1625" s="29" t="s">
        <v>1481</v>
      </c>
      <c r="P1625" s="29" t="s">
        <v>13194</v>
      </c>
      <c r="Q1625" s="29" t="s">
        <v>1481</v>
      </c>
      <c r="R1625" s="29" t="s">
        <v>5360</v>
      </c>
      <c r="S1625" s="28" t="s">
        <v>1803</v>
      </c>
      <c r="T1625" s="28" t="s">
        <v>2354</v>
      </c>
      <c r="U1625" s="28" t="s">
        <v>1446</v>
      </c>
      <c r="V1625" s="28" t="s">
        <v>1913</v>
      </c>
      <c r="W1625" s="28" t="s">
        <v>13195</v>
      </c>
      <c r="X1625" s="17">
        <v>1</v>
      </c>
    </row>
    <row r="1626" spans="6:24">
      <c r="F1626" s="23"/>
      <c r="I1626" s="23"/>
      <c r="L1626" s="50" t="s">
        <v>13196</v>
      </c>
      <c r="M1626" s="17" t="s">
        <v>13197</v>
      </c>
      <c r="N1626" s="51" t="s">
        <v>13198</v>
      </c>
      <c r="O1626" s="29" t="s">
        <v>1481</v>
      </c>
      <c r="P1626" s="29" t="s">
        <v>13199</v>
      </c>
      <c r="Q1626" s="29" t="s">
        <v>1481</v>
      </c>
      <c r="R1626" s="29" t="s">
        <v>3441</v>
      </c>
      <c r="S1626" s="28" t="s">
        <v>1626</v>
      </c>
      <c r="T1626" s="28" t="s">
        <v>2409</v>
      </c>
      <c r="U1626" s="28" t="s">
        <v>1446</v>
      </c>
      <c r="V1626" s="28" t="s">
        <v>1913</v>
      </c>
      <c r="W1626" s="28" t="s">
        <v>13200</v>
      </c>
      <c r="X1626" s="17">
        <v>1</v>
      </c>
    </row>
    <row r="1627" spans="6:24">
      <c r="F1627" s="23"/>
      <c r="I1627" s="23"/>
      <c r="L1627" s="50" t="s">
        <v>13201</v>
      </c>
      <c r="M1627" s="17" t="s">
        <v>13202</v>
      </c>
      <c r="N1627" s="51" t="s">
        <v>13203</v>
      </c>
      <c r="O1627" s="29" t="s">
        <v>1481</v>
      </c>
      <c r="P1627" s="29" t="s">
        <v>13204</v>
      </c>
      <c r="Q1627" s="29" t="s">
        <v>1481</v>
      </c>
      <c r="R1627" s="29" t="s">
        <v>3456</v>
      </c>
      <c r="S1627" s="28" t="s">
        <v>1803</v>
      </c>
      <c r="T1627" s="28" t="s">
        <v>2463</v>
      </c>
      <c r="U1627" s="28" t="s">
        <v>1446</v>
      </c>
      <c r="V1627" s="28" t="s">
        <v>1913</v>
      </c>
      <c r="W1627" s="28" t="s">
        <v>13205</v>
      </c>
      <c r="X1627" s="17">
        <v>1</v>
      </c>
    </row>
    <row r="1628" spans="6:24">
      <c r="F1628" s="23"/>
      <c r="I1628" s="23"/>
      <c r="L1628" s="50" t="s">
        <v>13206</v>
      </c>
      <c r="M1628" s="17" t="s">
        <v>13207</v>
      </c>
      <c r="N1628" s="51" t="s">
        <v>13208</v>
      </c>
      <c r="O1628" s="29" t="s">
        <v>1481</v>
      </c>
      <c r="P1628" s="29" t="s">
        <v>13209</v>
      </c>
      <c r="Q1628" s="29" t="s">
        <v>1481</v>
      </c>
      <c r="R1628" s="29" t="s">
        <v>5391</v>
      </c>
      <c r="S1628" s="28" t="s">
        <v>1862</v>
      </c>
      <c r="T1628" s="28" t="s">
        <v>2513</v>
      </c>
      <c r="U1628" s="28" t="s">
        <v>1446</v>
      </c>
      <c r="V1628" s="28" t="s">
        <v>1913</v>
      </c>
      <c r="W1628" s="28" t="s">
        <v>13210</v>
      </c>
      <c r="X1628" s="17">
        <v>1</v>
      </c>
    </row>
    <row r="1629" spans="6:24">
      <c r="F1629" s="23"/>
      <c r="I1629" s="23"/>
      <c r="L1629" s="50" t="s">
        <v>13211</v>
      </c>
      <c r="M1629" s="17" t="s">
        <v>13212</v>
      </c>
      <c r="N1629" s="51" t="s">
        <v>13213</v>
      </c>
      <c r="O1629" s="29" t="s">
        <v>1481</v>
      </c>
      <c r="P1629" s="29" t="s">
        <v>13214</v>
      </c>
      <c r="Q1629" s="29" t="s">
        <v>1481</v>
      </c>
      <c r="R1629" s="29" t="s">
        <v>6972</v>
      </c>
      <c r="S1629" s="28" t="s">
        <v>1920</v>
      </c>
      <c r="T1629" s="28" t="s">
        <v>2566</v>
      </c>
      <c r="U1629" s="28" t="s">
        <v>1446</v>
      </c>
      <c r="V1629" s="28" t="s">
        <v>1913</v>
      </c>
      <c r="W1629" s="28" t="s">
        <v>13215</v>
      </c>
      <c r="X1629" s="17">
        <v>1</v>
      </c>
    </row>
    <row r="1630" spans="6:24">
      <c r="F1630" s="23"/>
      <c r="I1630" s="23"/>
      <c r="L1630" s="50" t="s">
        <v>13216</v>
      </c>
      <c r="M1630" s="17" t="s">
        <v>13217</v>
      </c>
      <c r="N1630" s="51" t="s">
        <v>13218</v>
      </c>
      <c r="O1630" s="29" t="s">
        <v>1481</v>
      </c>
      <c r="P1630" s="29" t="s">
        <v>13219</v>
      </c>
      <c r="Q1630" s="29" t="s">
        <v>1481</v>
      </c>
      <c r="R1630" s="29" t="s">
        <v>4515</v>
      </c>
      <c r="S1630" s="28" t="s">
        <v>2525</v>
      </c>
      <c r="T1630" s="28" t="s">
        <v>2613</v>
      </c>
      <c r="U1630" s="28" t="s">
        <v>1446</v>
      </c>
      <c r="V1630" s="28" t="s">
        <v>1913</v>
      </c>
      <c r="W1630" s="28" t="s">
        <v>13219</v>
      </c>
      <c r="X1630" s="17">
        <v>1</v>
      </c>
    </row>
    <row r="1631" spans="6:24">
      <c r="F1631" s="23"/>
      <c r="I1631" s="23"/>
      <c r="L1631" s="50" t="s">
        <v>13220</v>
      </c>
      <c r="M1631" s="17" t="s">
        <v>13221</v>
      </c>
      <c r="N1631" s="51" t="s">
        <v>13222</v>
      </c>
      <c r="O1631" s="29" t="s">
        <v>1481</v>
      </c>
      <c r="P1631" s="29" t="s">
        <v>13223</v>
      </c>
      <c r="Q1631" s="29" t="s">
        <v>1481</v>
      </c>
      <c r="R1631" s="29" t="s">
        <v>4523</v>
      </c>
      <c r="S1631" s="28" t="s">
        <v>2311</v>
      </c>
      <c r="T1631" s="28" t="s">
        <v>2658</v>
      </c>
      <c r="U1631" s="28" t="s">
        <v>1446</v>
      </c>
      <c r="V1631" s="28" t="s">
        <v>1913</v>
      </c>
      <c r="W1631" s="28" t="s">
        <v>13223</v>
      </c>
      <c r="X1631" s="17">
        <v>1</v>
      </c>
    </row>
    <row r="1632" spans="6:24">
      <c r="F1632" s="23"/>
      <c r="I1632" s="23"/>
      <c r="L1632" s="50" t="s">
        <v>13224</v>
      </c>
      <c r="M1632" s="17" t="s">
        <v>13225</v>
      </c>
      <c r="N1632" s="51" t="s">
        <v>13226</v>
      </c>
      <c r="O1632" s="29" t="s">
        <v>1481</v>
      </c>
      <c r="P1632" s="29" t="s">
        <v>13227</v>
      </c>
      <c r="Q1632" s="29" t="s">
        <v>1481</v>
      </c>
      <c r="R1632" s="29" t="s">
        <v>3539</v>
      </c>
      <c r="S1632" s="28" t="s">
        <v>2311</v>
      </c>
      <c r="T1632" s="28" t="s">
        <v>2704</v>
      </c>
      <c r="U1632" s="28" t="s">
        <v>1446</v>
      </c>
      <c r="V1632" s="28" t="s">
        <v>1913</v>
      </c>
      <c r="W1632" s="28" t="s">
        <v>13228</v>
      </c>
      <c r="X1632" s="17">
        <v>1</v>
      </c>
    </row>
    <row r="1633" spans="6:24">
      <c r="F1633" s="23"/>
      <c r="I1633" s="23"/>
      <c r="L1633" s="50" t="s">
        <v>13229</v>
      </c>
      <c r="M1633" s="17" t="s">
        <v>13230</v>
      </c>
      <c r="N1633" s="51" t="s">
        <v>13231</v>
      </c>
      <c r="O1633" s="29" t="s">
        <v>1481</v>
      </c>
      <c r="P1633" s="29" t="s">
        <v>13232</v>
      </c>
      <c r="Q1633" s="29" t="s">
        <v>1481</v>
      </c>
      <c r="R1633" s="29" t="s">
        <v>4389</v>
      </c>
      <c r="S1633" s="28" t="s">
        <v>1564</v>
      </c>
      <c r="T1633" s="28" t="s">
        <v>2749</v>
      </c>
      <c r="U1633" s="28" t="s">
        <v>1446</v>
      </c>
      <c r="V1633" s="28" t="s">
        <v>1913</v>
      </c>
      <c r="W1633" s="28" t="s">
        <v>13233</v>
      </c>
      <c r="X1633" s="17">
        <v>1</v>
      </c>
    </row>
    <row r="1634" spans="6:24">
      <c r="F1634" s="23"/>
      <c r="I1634" s="23"/>
      <c r="L1634" s="50" t="s">
        <v>13234</v>
      </c>
      <c r="M1634" s="17" t="s">
        <v>13235</v>
      </c>
      <c r="N1634" s="51" t="s">
        <v>13236</v>
      </c>
      <c r="O1634" s="29" t="s">
        <v>1481</v>
      </c>
      <c r="P1634" s="29" t="s">
        <v>13237</v>
      </c>
      <c r="Q1634" s="29" t="s">
        <v>1481</v>
      </c>
      <c r="R1634" s="29" t="s">
        <v>4397</v>
      </c>
      <c r="S1634" s="28" t="s">
        <v>1920</v>
      </c>
      <c r="T1634" s="28" t="s">
        <v>2790</v>
      </c>
      <c r="U1634" s="28" t="s">
        <v>1446</v>
      </c>
      <c r="V1634" s="28" t="s">
        <v>1913</v>
      </c>
      <c r="W1634" s="28" t="s">
        <v>13238</v>
      </c>
      <c r="X1634" s="17">
        <v>1</v>
      </c>
    </row>
    <row r="1635" spans="6:24">
      <c r="F1635" s="23"/>
      <c r="I1635" s="23"/>
      <c r="L1635" s="50" t="s">
        <v>13239</v>
      </c>
      <c r="M1635" s="17" t="s">
        <v>13240</v>
      </c>
      <c r="N1635" s="51" t="s">
        <v>13241</v>
      </c>
      <c r="O1635" s="29" t="s">
        <v>1481</v>
      </c>
      <c r="P1635" s="29" t="s">
        <v>13242</v>
      </c>
      <c r="Q1635" s="29" t="s">
        <v>1481</v>
      </c>
      <c r="R1635" s="29" t="s">
        <v>3566</v>
      </c>
      <c r="S1635" s="28" t="s">
        <v>1803</v>
      </c>
      <c r="T1635" s="28" t="s">
        <v>2832</v>
      </c>
      <c r="U1635" s="28" t="s">
        <v>1446</v>
      </c>
      <c r="V1635" s="28" t="s">
        <v>1913</v>
      </c>
      <c r="W1635" s="28" t="s">
        <v>13243</v>
      </c>
      <c r="X1635" s="17">
        <v>1</v>
      </c>
    </row>
    <row r="1636" spans="6:24">
      <c r="F1636" s="23"/>
      <c r="I1636" s="23"/>
      <c r="L1636" s="50" t="s">
        <v>13244</v>
      </c>
      <c r="M1636" s="17" t="s">
        <v>13245</v>
      </c>
      <c r="N1636" s="51" t="s">
        <v>13246</v>
      </c>
      <c r="O1636" s="29" t="s">
        <v>1481</v>
      </c>
      <c r="P1636" s="29" t="s">
        <v>13247</v>
      </c>
      <c r="Q1636" s="29" t="s">
        <v>1481</v>
      </c>
      <c r="R1636" s="29" t="s">
        <v>4413</v>
      </c>
      <c r="S1636" s="28" t="s">
        <v>1743</v>
      </c>
      <c r="T1636" s="28" t="s">
        <v>2871</v>
      </c>
      <c r="U1636" s="28" t="s">
        <v>1446</v>
      </c>
      <c r="V1636" s="28" t="s">
        <v>1913</v>
      </c>
      <c r="W1636" s="28" t="s">
        <v>13248</v>
      </c>
      <c r="X1636" s="17">
        <v>1</v>
      </c>
    </row>
    <row r="1637" spans="6:24">
      <c r="F1637" s="23"/>
      <c r="I1637" s="23"/>
      <c r="L1637" s="50" t="s">
        <v>13249</v>
      </c>
      <c r="M1637" s="17" t="s">
        <v>13250</v>
      </c>
      <c r="N1637" s="51" t="s">
        <v>13251</v>
      </c>
      <c r="O1637" s="29" t="s">
        <v>1481</v>
      </c>
      <c r="P1637" s="29" t="s">
        <v>13252</v>
      </c>
      <c r="Q1637" s="29" t="s">
        <v>1481</v>
      </c>
      <c r="R1637" s="29" t="s">
        <v>3603</v>
      </c>
      <c r="S1637" s="28" t="s">
        <v>1803</v>
      </c>
      <c r="T1637" s="28" t="s">
        <v>2909</v>
      </c>
      <c r="U1637" s="28" t="s">
        <v>1446</v>
      </c>
      <c r="V1637" s="28" t="s">
        <v>1913</v>
      </c>
      <c r="W1637" s="28" t="s">
        <v>13253</v>
      </c>
      <c r="X1637" s="17">
        <v>1</v>
      </c>
    </row>
    <row r="1638" spans="6:24">
      <c r="F1638" s="23"/>
      <c r="I1638" s="23"/>
      <c r="L1638" s="50" t="s">
        <v>13254</v>
      </c>
      <c r="M1638" s="17" t="s">
        <v>13255</v>
      </c>
      <c r="N1638" s="51" t="s">
        <v>13256</v>
      </c>
      <c r="O1638" s="29" t="s">
        <v>1481</v>
      </c>
      <c r="P1638" s="29" t="s">
        <v>13257</v>
      </c>
      <c r="Q1638" s="29" t="s">
        <v>1481</v>
      </c>
      <c r="R1638" s="29" t="s">
        <v>4806</v>
      </c>
      <c r="S1638" s="28" t="s">
        <v>2525</v>
      </c>
      <c r="T1638" s="28" t="s">
        <v>2944</v>
      </c>
      <c r="U1638" s="28" t="s">
        <v>1446</v>
      </c>
      <c r="V1638" s="28" t="s">
        <v>1913</v>
      </c>
      <c r="W1638" s="28" t="s">
        <v>13258</v>
      </c>
      <c r="X1638" s="17">
        <v>1</v>
      </c>
    </row>
    <row r="1639" spans="6:24">
      <c r="F1639" s="23"/>
      <c r="I1639" s="23"/>
      <c r="L1639" s="50" t="s">
        <v>13259</v>
      </c>
      <c r="M1639" s="17" t="s">
        <v>13260</v>
      </c>
      <c r="N1639" s="51" t="s">
        <v>13261</v>
      </c>
      <c r="O1639" s="29" t="s">
        <v>1481</v>
      </c>
      <c r="P1639" s="29" t="s">
        <v>13262</v>
      </c>
      <c r="Q1639" s="29" t="s">
        <v>1481</v>
      </c>
      <c r="R1639" s="29" t="s">
        <v>4812</v>
      </c>
      <c r="S1639" s="28" t="s">
        <v>2311</v>
      </c>
      <c r="T1639" s="28" t="s">
        <v>2977</v>
      </c>
      <c r="U1639" s="28" t="s">
        <v>1446</v>
      </c>
      <c r="V1639" s="28" t="s">
        <v>1913</v>
      </c>
      <c r="W1639" s="28" t="s">
        <v>13263</v>
      </c>
      <c r="X1639" s="17">
        <v>1</v>
      </c>
    </row>
    <row r="1640" spans="6:24">
      <c r="F1640" s="23"/>
      <c r="I1640" s="23"/>
      <c r="L1640" s="50" t="s">
        <v>13264</v>
      </c>
      <c r="M1640" s="17" t="s">
        <v>13265</v>
      </c>
      <c r="N1640" s="51" t="s">
        <v>13266</v>
      </c>
      <c r="O1640" s="29" t="s">
        <v>1481</v>
      </c>
      <c r="P1640" s="29" t="s">
        <v>13267</v>
      </c>
      <c r="Q1640" s="29" t="s">
        <v>1481</v>
      </c>
      <c r="R1640" s="29" t="s">
        <v>4818</v>
      </c>
      <c r="S1640" s="28" t="s">
        <v>1564</v>
      </c>
      <c r="T1640" s="28" t="s">
        <v>3011</v>
      </c>
      <c r="U1640" s="28" t="s">
        <v>1446</v>
      </c>
      <c r="V1640" s="28" t="s">
        <v>1913</v>
      </c>
      <c r="W1640" s="28" t="s">
        <v>13268</v>
      </c>
      <c r="X1640" s="17">
        <v>1</v>
      </c>
    </row>
    <row r="1641" spans="6:24">
      <c r="F1641" s="23"/>
      <c r="I1641" s="23"/>
      <c r="L1641" s="50" t="s">
        <v>13269</v>
      </c>
      <c r="M1641" s="17" t="s">
        <v>13270</v>
      </c>
      <c r="N1641" s="51" t="s">
        <v>13271</v>
      </c>
      <c r="O1641" s="29" t="s">
        <v>1481</v>
      </c>
      <c r="P1641" s="29" t="s">
        <v>13272</v>
      </c>
      <c r="Q1641" s="29" t="s">
        <v>1481</v>
      </c>
      <c r="R1641" s="29" t="s">
        <v>5253</v>
      </c>
      <c r="S1641" s="28" t="s">
        <v>1626</v>
      </c>
      <c r="T1641" s="28" t="s">
        <v>3043</v>
      </c>
      <c r="U1641" s="28" t="s">
        <v>1446</v>
      </c>
      <c r="V1641" s="28" t="s">
        <v>1913</v>
      </c>
      <c r="W1641" s="28" t="s">
        <v>13273</v>
      </c>
      <c r="X1641" s="17">
        <v>1</v>
      </c>
    </row>
    <row r="1642" spans="6:24">
      <c r="F1642" s="23"/>
      <c r="I1642" s="23"/>
      <c r="L1642" s="50" t="s">
        <v>13274</v>
      </c>
      <c r="M1642" s="17" t="s">
        <v>13275</v>
      </c>
      <c r="N1642" s="51" t="s">
        <v>13276</v>
      </c>
      <c r="O1642" s="29" t="s">
        <v>1481</v>
      </c>
      <c r="P1642" s="29" t="s">
        <v>13277</v>
      </c>
      <c r="Q1642" s="29" t="s">
        <v>1481</v>
      </c>
      <c r="R1642" s="29" t="s">
        <v>5857</v>
      </c>
      <c r="S1642" s="28" t="s">
        <v>1803</v>
      </c>
      <c r="T1642" s="28" t="s">
        <v>3074</v>
      </c>
      <c r="U1642" s="28" t="s">
        <v>1446</v>
      </c>
      <c r="V1642" s="28" t="s">
        <v>1913</v>
      </c>
      <c r="W1642" s="28" t="s">
        <v>13278</v>
      </c>
      <c r="X1642" s="17">
        <v>1</v>
      </c>
    </row>
    <row r="1643" spans="6:24">
      <c r="F1643" s="23"/>
      <c r="I1643" s="23"/>
      <c r="L1643" s="50" t="s">
        <v>13279</v>
      </c>
      <c r="M1643" s="17" t="s">
        <v>13280</v>
      </c>
      <c r="N1643" s="51" t="s">
        <v>13281</v>
      </c>
      <c r="O1643" s="29" t="s">
        <v>1481</v>
      </c>
      <c r="P1643" s="29" t="s">
        <v>13282</v>
      </c>
      <c r="Q1643" s="29" t="s">
        <v>1481</v>
      </c>
      <c r="R1643" s="29" t="s">
        <v>3750</v>
      </c>
      <c r="S1643" s="28" t="s">
        <v>1920</v>
      </c>
      <c r="T1643" s="28" t="s">
        <v>3103</v>
      </c>
      <c r="U1643" s="28" t="s">
        <v>1446</v>
      </c>
      <c r="V1643" s="28" t="s">
        <v>1913</v>
      </c>
      <c r="W1643" s="28" t="s">
        <v>13283</v>
      </c>
      <c r="X1643" s="17">
        <v>1</v>
      </c>
    </row>
    <row r="1644" spans="6:24">
      <c r="F1644" s="23"/>
      <c r="I1644" s="23"/>
      <c r="L1644" s="50" t="s">
        <v>13284</v>
      </c>
      <c r="M1644" s="17" t="s">
        <v>13285</v>
      </c>
      <c r="N1644" s="51" t="s">
        <v>13286</v>
      </c>
      <c r="O1644" s="29" t="s">
        <v>1481</v>
      </c>
      <c r="P1644" s="29" t="s">
        <v>13287</v>
      </c>
      <c r="Q1644" s="29" t="s">
        <v>1481</v>
      </c>
      <c r="R1644" s="29" t="s">
        <v>3794</v>
      </c>
      <c r="S1644" s="28" t="s">
        <v>1626</v>
      </c>
      <c r="T1644" s="28" t="s">
        <v>3133</v>
      </c>
      <c r="U1644" s="28" t="s">
        <v>1446</v>
      </c>
      <c r="V1644" s="28" t="s">
        <v>1913</v>
      </c>
      <c r="W1644" s="28" t="s">
        <v>13288</v>
      </c>
      <c r="X1644" s="17">
        <v>1</v>
      </c>
    </row>
    <row r="1645" spans="6:24">
      <c r="F1645" s="23"/>
      <c r="I1645" s="23"/>
      <c r="L1645" s="50" t="s">
        <v>13289</v>
      </c>
      <c r="M1645" s="17" t="s">
        <v>13290</v>
      </c>
      <c r="N1645" s="51" t="s">
        <v>13291</v>
      </c>
      <c r="O1645" s="29" t="s">
        <v>1481</v>
      </c>
      <c r="P1645" s="29" t="s">
        <v>13292</v>
      </c>
      <c r="Q1645" s="29" t="s">
        <v>1481</v>
      </c>
      <c r="R1645" s="29" t="s">
        <v>3810</v>
      </c>
      <c r="S1645" s="28" t="s">
        <v>2525</v>
      </c>
      <c r="T1645" s="28" t="s">
        <v>3164</v>
      </c>
      <c r="U1645" s="28" t="s">
        <v>1446</v>
      </c>
      <c r="V1645" s="28" t="s">
        <v>1913</v>
      </c>
      <c r="W1645" s="28" t="s">
        <v>13293</v>
      </c>
      <c r="X1645" s="17">
        <v>1</v>
      </c>
    </row>
    <row r="1646" spans="6:24">
      <c r="F1646" s="23"/>
      <c r="I1646" s="23"/>
      <c r="L1646" s="50" t="s">
        <v>13294</v>
      </c>
      <c r="M1646" s="17" t="s">
        <v>13295</v>
      </c>
      <c r="N1646" s="51" t="s">
        <v>13296</v>
      </c>
      <c r="O1646" s="29" t="s">
        <v>1481</v>
      </c>
      <c r="P1646" s="29" t="s">
        <v>13297</v>
      </c>
      <c r="Q1646" s="29" t="s">
        <v>1481</v>
      </c>
      <c r="R1646" s="29" t="s">
        <v>4984</v>
      </c>
      <c r="S1646" s="28" t="s">
        <v>1977</v>
      </c>
      <c r="T1646" s="28" t="s">
        <v>3190</v>
      </c>
      <c r="U1646" s="28" t="s">
        <v>1446</v>
      </c>
      <c r="V1646" s="28" t="s">
        <v>1913</v>
      </c>
      <c r="W1646" s="28" t="s">
        <v>13298</v>
      </c>
      <c r="X1646" s="17">
        <v>1</v>
      </c>
    </row>
    <row r="1647" spans="6:24">
      <c r="F1647" s="23"/>
      <c r="I1647" s="23"/>
      <c r="L1647" s="50" t="s">
        <v>13299</v>
      </c>
      <c r="M1647" s="17" t="s">
        <v>13300</v>
      </c>
      <c r="N1647" s="51" t="s">
        <v>13301</v>
      </c>
      <c r="O1647" s="29" t="s">
        <v>1481</v>
      </c>
      <c r="P1647" s="29" t="s">
        <v>13302</v>
      </c>
      <c r="Q1647" s="29" t="s">
        <v>1481</v>
      </c>
      <c r="R1647" s="29" t="s">
        <v>5272</v>
      </c>
      <c r="S1647" s="28" t="s">
        <v>1502</v>
      </c>
      <c r="T1647" s="28" t="s">
        <v>3215</v>
      </c>
      <c r="U1647" s="28" t="s">
        <v>1446</v>
      </c>
      <c r="V1647" s="28" t="s">
        <v>1913</v>
      </c>
      <c r="W1647" s="28" t="s">
        <v>13303</v>
      </c>
      <c r="X1647" s="17">
        <v>1</v>
      </c>
    </row>
    <row r="1648" spans="6:24">
      <c r="F1648" s="23"/>
      <c r="I1648" s="23"/>
      <c r="L1648" s="50" t="s">
        <v>13304</v>
      </c>
      <c r="M1648" s="17" t="s">
        <v>13305</v>
      </c>
      <c r="N1648" s="51" t="s">
        <v>13306</v>
      </c>
      <c r="O1648" s="29" t="s">
        <v>1481</v>
      </c>
      <c r="P1648" s="29" t="s">
        <v>13307</v>
      </c>
      <c r="Q1648" s="29" t="s">
        <v>1481</v>
      </c>
      <c r="R1648" s="29" t="s">
        <v>4991</v>
      </c>
      <c r="S1648" s="28" t="s">
        <v>2525</v>
      </c>
      <c r="T1648" s="28" t="s">
        <v>3237</v>
      </c>
      <c r="U1648" s="28" t="s">
        <v>1446</v>
      </c>
      <c r="V1648" s="28" t="s">
        <v>1913</v>
      </c>
      <c r="W1648" s="28" t="s">
        <v>13308</v>
      </c>
      <c r="X1648" s="17">
        <v>1</v>
      </c>
    </row>
    <row r="1649" spans="6:24">
      <c r="F1649" s="23"/>
      <c r="I1649" s="23"/>
      <c r="L1649" s="50" t="s">
        <v>13309</v>
      </c>
      <c r="M1649" s="17" t="s">
        <v>13310</v>
      </c>
      <c r="N1649" s="51" t="s">
        <v>13311</v>
      </c>
      <c r="O1649" s="29" t="s">
        <v>1481</v>
      </c>
      <c r="P1649" s="29" t="s">
        <v>13312</v>
      </c>
      <c r="Q1649" s="29" t="s">
        <v>1481</v>
      </c>
      <c r="R1649" s="29" t="s">
        <v>5037</v>
      </c>
      <c r="S1649" s="28" t="s">
        <v>2311</v>
      </c>
      <c r="T1649" s="28" t="s">
        <v>3262</v>
      </c>
      <c r="U1649" s="28" t="s">
        <v>1446</v>
      </c>
      <c r="V1649" s="28" t="s">
        <v>1913</v>
      </c>
      <c r="W1649" s="28" t="s">
        <v>13313</v>
      </c>
      <c r="X1649" s="17">
        <v>1</v>
      </c>
    </row>
    <row r="1650" spans="6:24">
      <c r="F1650" s="23"/>
      <c r="I1650" s="23"/>
      <c r="L1650" s="50" t="s">
        <v>13314</v>
      </c>
      <c r="M1650" s="17" t="s">
        <v>13315</v>
      </c>
      <c r="N1650" s="51" t="s">
        <v>13316</v>
      </c>
      <c r="O1650" s="29" t="s">
        <v>1481</v>
      </c>
      <c r="P1650" s="29" t="s">
        <v>13317</v>
      </c>
      <c r="Q1650" s="29" t="s">
        <v>1481</v>
      </c>
      <c r="R1650" s="29" t="s">
        <v>13318</v>
      </c>
      <c r="S1650" s="28" t="s">
        <v>1502</v>
      </c>
      <c r="T1650" s="28" t="s">
        <v>3285</v>
      </c>
      <c r="U1650" s="28" t="s">
        <v>1446</v>
      </c>
      <c r="V1650" s="28" t="s">
        <v>1913</v>
      </c>
      <c r="W1650" s="28" t="s">
        <v>13319</v>
      </c>
      <c r="X1650" s="17">
        <v>1</v>
      </c>
    </row>
    <row r="1651" spans="6:24">
      <c r="F1651" s="23"/>
      <c r="I1651" s="23"/>
      <c r="L1651" s="50" t="s">
        <v>13320</v>
      </c>
      <c r="M1651" s="17" t="s">
        <v>13321</v>
      </c>
      <c r="N1651" s="51" t="s">
        <v>13322</v>
      </c>
      <c r="O1651" s="29" t="s">
        <v>1481</v>
      </c>
      <c r="P1651" s="29" t="s">
        <v>13323</v>
      </c>
      <c r="Q1651" s="29" t="s">
        <v>1481</v>
      </c>
      <c r="R1651" s="29" t="s">
        <v>3842</v>
      </c>
      <c r="S1651" s="28" t="s">
        <v>2525</v>
      </c>
      <c r="T1651" s="28" t="s">
        <v>3307</v>
      </c>
      <c r="U1651" s="28" t="s">
        <v>1446</v>
      </c>
      <c r="V1651" s="28" t="s">
        <v>1913</v>
      </c>
      <c r="W1651" s="28" t="s">
        <v>13324</v>
      </c>
      <c r="X1651" s="17">
        <v>1</v>
      </c>
    </row>
    <row r="1652" spans="6:24">
      <c r="F1652" s="23"/>
      <c r="I1652" s="23"/>
      <c r="L1652" s="50" t="s">
        <v>13325</v>
      </c>
      <c r="M1652" s="17" t="s">
        <v>13326</v>
      </c>
      <c r="N1652" s="51" t="s">
        <v>13327</v>
      </c>
      <c r="O1652" s="29" t="s">
        <v>1481</v>
      </c>
      <c r="P1652" s="29" t="s">
        <v>13328</v>
      </c>
      <c r="Q1652" s="29" t="s">
        <v>1481</v>
      </c>
      <c r="R1652" s="29" t="s">
        <v>3850</v>
      </c>
      <c r="S1652" s="28" t="s">
        <v>2311</v>
      </c>
      <c r="T1652" s="28" t="s">
        <v>3329</v>
      </c>
      <c r="U1652" s="28" t="s">
        <v>1446</v>
      </c>
      <c r="V1652" s="28" t="s">
        <v>1913</v>
      </c>
      <c r="W1652" s="28" t="s">
        <v>13329</v>
      </c>
      <c r="X1652" s="17">
        <v>1</v>
      </c>
    </row>
    <row r="1653" spans="6:24">
      <c r="F1653" s="23"/>
      <c r="I1653" s="23"/>
      <c r="L1653" s="50" t="s">
        <v>13330</v>
      </c>
      <c r="M1653" s="17" t="s">
        <v>13331</v>
      </c>
      <c r="N1653" s="51" t="s">
        <v>13332</v>
      </c>
      <c r="O1653" s="29" t="s">
        <v>1481</v>
      </c>
      <c r="P1653" s="29" t="s">
        <v>13333</v>
      </c>
      <c r="Q1653" s="29" t="s">
        <v>1481</v>
      </c>
      <c r="R1653" s="29" t="s">
        <v>3858</v>
      </c>
      <c r="S1653" s="28" t="s">
        <v>1564</v>
      </c>
      <c r="T1653" s="28" t="s">
        <v>3350</v>
      </c>
      <c r="U1653" s="28" t="s">
        <v>1446</v>
      </c>
      <c r="V1653" s="28" t="s">
        <v>1913</v>
      </c>
      <c r="W1653" s="28" t="s">
        <v>13334</v>
      </c>
      <c r="X1653" s="17">
        <v>1</v>
      </c>
    </row>
    <row r="1654" spans="6:24">
      <c r="F1654" s="23"/>
      <c r="I1654" s="23"/>
      <c r="L1654" s="50" t="s">
        <v>13335</v>
      </c>
      <c r="M1654" s="17" t="s">
        <v>13336</v>
      </c>
      <c r="N1654" s="51" t="s">
        <v>13337</v>
      </c>
      <c r="O1654" s="29" t="s">
        <v>1481</v>
      </c>
      <c r="P1654" s="29" t="s">
        <v>13338</v>
      </c>
      <c r="Q1654" s="29" t="s">
        <v>1481</v>
      </c>
      <c r="R1654" s="29" t="s">
        <v>3866</v>
      </c>
      <c r="S1654" s="28" t="s">
        <v>1626</v>
      </c>
      <c r="T1654" s="28" t="s">
        <v>3370</v>
      </c>
      <c r="U1654" s="28" t="s">
        <v>1446</v>
      </c>
      <c r="V1654" s="28" t="s">
        <v>1913</v>
      </c>
      <c r="W1654" s="28" t="s">
        <v>13339</v>
      </c>
      <c r="X1654" s="17">
        <v>1</v>
      </c>
    </row>
    <row r="1655" spans="6:24">
      <c r="F1655" s="23"/>
      <c r="I1655" s="23"/>
      <c r="L1655" s="50" t="s">
        <v>13340</v>
      </c>
      <c r="M1655" s="17" t="s">
        <v>13341</v>
      </c>
      <c r="N1655" s="51" t="s">
        <v>13342</v>
      </c>
      <c r="O1655" s="29" t="s">
        <v>1481</v>
      </c>
      <c r="P1655" s="29" t="s">
        <v>13343</v>
      </c>
      <c r="Q1655" s="29" t="s">
        <v>1481</v>
      </c>
      <c r="R1655" s="29" t="s">
        <v>13344</v>
      </c>
      <c r="S1655" s="28" t="s">
        <v>2311</v>
      </c>
      <c r="T1655" s="28" t="s">
        <v>3388</v>
      </c>
      <c r="U1655" s="28" t="s">
        <v>1446</v>
      </c>
      <c r="V1655" s="28" t="s">
        <v>1913</v>
      </c>
      <c r="W1655" s="28" t="s">
        <v>13345</v>
      </c>
      <c r="X1655" s="17">
        <v>1</v>
      </c>
    </row>
    <row r="1656" spans="6:24">
      <c r="F1656" s="23"/>
      <c r="I1656" s="23"/>
      <c r="L1656" s="50" t="s">
        <v>13346</v>
      </c>
      <c r="M1656" s="17" t="s">
        <v>13347</v>
      </c>
      <c r="N1656" s="51" t="s">
        <v>13348</v>
      </c>
      <c r="O1656" s="29" t="s">
        <v>1482</v>
      </c>
      <c r="P1656" s="29" t="s">
        <v>13349</v>
      </c>
      <c r="Q1656" s="29" t="s">
        <v>1482</v>
      </c>
      <c r="R1656" s="29" t="s">
        <v>4593</v>
      </c>
      <c r="S1656" s="28" t="s">
        <v>1803</v>
      </c>
      <c r="T1656" s="28" t="s">
        <v>1547</v>
      </c>
      <c r="U1656" s="28" t="s">
        <v>1446</v>
      </c>
      <c r="V1656" s="28" t="s">
        <v>1913</v>
      </c>
      <c r="W1656" s="28" t="s">
        <v>13350</v>
      </c>
      <c r="X1656" s="17">
        <v>1</v>
      </c>
    </row>
    <row r="1657" spans="6:24">
      <c r="F1657" s="23"/>
      <c r="I1657" s="23"/>
      <c r="L1657" s="50" t="s">
        <v>13351</v>
      </c>
      <c r="M1657" s="17" t="s">
        <v>13352</v>
      </c>
      <c r="N1657" s="51" t="s">
        <v>13353</v>
      </c>
      <c r="O1657" s="29" t="s">
        <v>1482</v>
      </c>
      <c r="P1657" s="29" t="s">
        <v>13354</v>
      </c>
      <c r="Q1657" s="29" t="s">
        <v>1482</v>
      </c>
      <c r="R1657" s="29" t="s">
        <v>1563</v>
      </c>
      <c r="S1657" s="28" t="s">
        <v>1862</v>
      </c>
      <c r="T1657" s="28" t="s">
        <v>1609</v>
      </c>
      <c r="U1657" s="28" t="s">
        <v>1446</v>
      </c>
      <c r="V1657" s="28" t="s">
        <v>1913</v>
      </c>
      <c r="W1657" s="28" t="s">
        <v>13354</v>
      </c>
      <c r="X1657" s="17">
        <v>1</v>
      </c>
    </row>
    <row r="1658" spans="6:24">
      <c r="F1658" s="23"/>
      <c r="I1658" s="23"/>
      <c r="L1658" s="50" t="s">
        <v>13355</v>
      </c>
      <c r="M1658" s="17" t="s">
        <v>13356</v>
      </c>
      <c r="N1658" s="51" t="s">
        <v>13357</v>
      </c>
      <c r="O1658" s="29" t="s">
        <v>1482</v>
      </c>
      <c r="P1658" s="29" t="s">
        <v>13358</v>
      </c>
      <c r="Q1658" s="29" t="s">
        <v>1482</v>
      </c>
      <c r="R1658" s="29" t="s">
        <v>1625</v>
      </c>
      <c r="S1658" s="28" t="s">
        <v>1920</v>
      </c>
      <c r="T1658" s="28" t="s">
        <v>1671</v>
      </c>
      <c r="U1658" s="28" t="s">
        <v>1446</v>
      </c>
      <c r="V1658" s="28" t="s">
        <v>1913</v>
      </c>
      <c r="W1658" s="28" t="s">
        <v>13358</v>
      </c>
      <c r="X1658" s="17">
        <v>1</v>
      </c>
    </row>
    <row r="1659" spans="6:24">
      <c r="F1659" s="23"/>
      <c r="I1659" s="23"/>
      <c r="L1659" s="50" t="s">
        <v>13359</v>
      </c>
      <c r="M1659" s="17" t="s">
        <v>13360</v>
      </c>
      <c r="N1659" s="51" t="s">
        <v>13361</v>
      </c>
      <c r="O1659" s="29" t="s">
        <v>1482</v>
      </c>
      <c r="P1659" s="29" t="s">
        <v>13362</v>
      </c>
      <c r="Q1659" s="29" t="s">
        <v>1482</v>
      </c>
      <c r="R1659" s="29" t="s">
        <v>1684</v>
      </c>
      <c r="S1659" s="28" t="s">
        <v>1977</v>
      </c>
      <c r="T1659" s="28" t="s">
        <v>1729</v>
      </c>
      <c r="U1659" s="28" t="s">
        <v>1446</v>
      </c>
      <c r="V1659" s="28" t="s">
        <v>1913</v>
      </c>
      <c r="W1659" s="28" t="s">
        <v>13362</v>
      </c>
      <c r="X1659" s="17">
        <v>1</v>
      </c>
    </row>
    <row r="1660" spans="6:24">
      <c r="F1660" s="23"/>
      <c r="I1660" s="23"/>
      <c r="L1660" s="50" t="s">
        <v>13363</v>
      </c>
      <c r="M1660" s="17" t="s">
        <v>13364</v>
      </c>
      <c r="N1660" s="51" t="s">
        <v>13365</v>
      </c>
      <c r="O1660" s="29" t="s">
        <v>1482</v>
      </c>
      <c r="P1660" s="29" t="s">
        <v>13366</v>
      </c>
      <c r="Q1660" s="29" t="s">
        <v>1482</v>
      </c>
      <c r="R1660" s="29" t="s">
        <v>1742</v>
      </c>
      <c r="S1660" s="28" t="s">
        <v>2311</v>
      </c>
      <c r="T1660" s="28" t="s">
        <v>1788</v>
      </c>
      <c r="U1660" s="28" t="s">
        <v>1446</v>
      </c>
      <c r="V1660" s="28" t="s">
        <v>1913</v>
      </c>
      <c r="W1660" s="28" t="s">
        <v>13367</v>
      </c>
      <c r="X1660" s="17">
        <v>1</v>
      </c>
    </row>
    <row r="1661" spans="6:24">
      <c r="F1661" s="23"/>
      <c r="I1661" s="23"/>
      <c r="L1661" s="50" t="s">
        <v>13368</v>
      </c>
      <c r="M1661" s="17" t="s">
        <v>13369</v>
      </c>
      <c r="N1661" s="51" t="s">
        <v>13370</v>
      </c>
      <c r="O1661" s="29" t="s">
        <v>1482</v>
      </c>
      <c r="P1661" s="29" t="s">
        <v>13371</v>
      </c>
      <c r="Q1661" s="29" t="s">
        <v>1482</v>
      </c>
      <c r="R1661" s="29" t="s">
        <v>1802</v>
      </c>
      <c r="S1661" s="28" t="s">
        <v>1564</v>
      </c>
      <c r="T1661" s="28" t="s">
        <v>1848</v>
      </c>
      <c r="U1661" s="28" t="s">
        <v>1446</v>
      </c>
      <c r="V1661" s="28" t="s">
        <v>1913</v>
      </c>
      <c r="W1661" s="28" t="s">
        <v>13372</v>
      </c>
      <c r="X1661" s="17">
        <v>1</v>
      </c>
    </row>
    <row r="1662" spans="6:24">
      <c r="F1662" s="23"/>
      <c r="I1662" s="23"/>
      <c r="L1662" s="50" t="s">
        <v>13373</v>
      </c>
      <c r="M1662" s="17" t="s">
        <v>13374</v>
      </c>
      <c r="N1662" s="51" t="s">
        <v>13375</v>
      </c>
      <c r="O1662" s="29" t="s">
        <v>1482</v>
      </c>
      <c r="P1662" s="29" t="s">
        <v>13376</v>
      </c>
      <c r="Q1662" s="29" t="s">
        <v>1482</v>
      </c>
      <c r="R1662" s="29" t="s">
        <v>1861</v>
      </c>
      <c r="S1662" s="28" t="s">
        <v>1626</v>
      </c>
      <c r="T1662" s="28" t="s">
        <v>1907</v>
      </c>
      <c r="U1662" s="28" t="s">
        <v>1446</v>
      </c>
      <c r="V1662" s="28" t="s">
        <v>1913</v>
      </c>
      <c r="W1662" s="28" t="s">
        <v>13377</v>
      </c>
      <c r="X1662" s="17">
        <v>1</v>
      </c>
    </row>
    <row r="1663" spans="6:24">
      <c r="F1663" s="23"/>
      <c r="I1663" s="23"/>
      <c r="L1663" s="50" t="s">
        <v>13378</v>
      </c>
      <c r="M1663" s="17" t="s">
        <v>13379</v>
      </c>
      <c r="N1663" s="51" t="s">
        <v>13380</v>
      </c>
      <c r="O1663" s="29" t="s">
        <v>1482</v>
      </c>
      <c r="P1663" s="29" t="s">
        <v>13381</v>
      </c>
      <c r="Q1663" s="29" t="s">
        <v>1482</v>
      </c>
      <c r="R1663" s="29" t="s">
        <v>1919</v>
      </c>
      <c r="S1663" s="28" t="s">
        <v>1502</v>
      </c>
      <c r="T1663" s="28" t="s">
        <v>1965</v>
      </c>
      <c r="U1663" s="28" t="s">
        <v>1446</v>
      </c>
      <c r="V1663" s="28" t="s">
        <v>1913</v>
      </c>
      <c r="W1663" s="28" t="s">
        <v>13382</v>
      </c>
      <c r="X1663" s="17">
        <v>1</v>
      </c>
    </row>
    <row r="1664" spans="6:24">
      <c r="F1664" s="23"/>
      <c r="I1664" s="23"/>
      <c r="L1664" s="50" t="s">
        <v>13383</v>
      </c>
      <c r="M1664" s="17" t="s">
        <v>13384</v>
      </c>
      <c r="N1664" s="51" t="s">
        <v>13385</v>
      </c>
      <c r="O1664" s="29" t="s">
        <v>1482</v>
      </c>
      <c r="P1664" s="29" t="s">
        <v>13386</v>
      </c>
      <c r="Q1664" s="29" t="s">
        <v>1482</v>
      </c>
      <c r="R1664" s="29" t="s">
        <v>1976</v>
      </c>
      <c r="S1664" s="28" t="s">
        <v>2525</v>
      </c>
      <c r="T1664" s="28" t="s">
        <v>2022</v>
      </c>
      <c r="U1664" s="28" t="s">
        <v>1446</v>
      </c>
      <c r="V1664" s="28" t="s">
        <v>1913</v>
      </c>
      <c r="W1664" s="28" t="s">
        <v>13387</v>
      </c>
      <c r="X1664" s="17">
        <v>1</v>
      </c>
    </row>
    <row r="1665" spans="6:24">
      <c r="F1665" s="23"/>
      <c r="I1665" s="23"/>
      <c r="L1665" s="50" t="s">
        <v>13388</v>
      </c>
      <c r="M1665" s="17" t="s">
        <v>13389</v>
      </c>
      <c r="N1665" s="51" t="s">
        <v>13390</v>
      </c>
      <c r="O1665" s="29" t="s">
        <v>1482</v>
      </c>
      <c r="P1665" s="29" t="s">
        <v>13391</v>
      </c>
      <c r="Q1665" s="29" t="s">
        <v>1482</v>
      </c>
      <c r="R1665" s="29" t="s">
        <v>2033</v>
      </c>
      <c r="S1665" s="28" t="s">
        <v>2311</v>
      </c>
      <c r="T1665" s="28" t="s">
        <v>2078</v>
      </c>
      <c r="U1665" s="28" t="s">
        <v>1446</v>
      </c>
      <c r="V1665" s="28" t="s">
        <v>1913</v>
      </c>
      <c r="W1665" s="28" t="s">
        <v>13392</v>
      </c>
      <c r="X1665" s="17">
        <v>1</v>
      </c>
    </row>
    <row r="1666" spans="6:24">
      <c r="F1666" s="23"/>
      <c r="I1666" s="23"/>
      <c r="L1666" s="50" t="s">
        <v>13393</v>
      </c>
      <c r="M1666" s="17" t="s">
        <v>13394</v>
      </c>
      <c r="N1666" s="51" t="s">
        <v>13395</v>
      </c>
      <c r="O1666" s="29" t="s">
        <v>1482</v>
      </c>
      <c r="P1666" s="29" t="s">
        <v>13396</v>
      </c>
      <c r="Q1666" s="29" t="s">
        <v>1482</v>
      </c>
      <c r="R1666" s="29" t="s">
        <v>2089</v>
      </c>
      <c r="S1666" s="28" t="s">
        <v>1564</v>
      </c>
      <c r="T1666" s="28" t="s">
        <v>2134</v>
      </c>
      <c r="U1666" s="28" t="s">
        <v>1446</v>
      </c>
      <c r="V1666" s="28" t="s">
        <v>1913</v>
      </c>
      <c r="W1666" s="28" t="s">
        <v>13397</v>
      </c>
      <c r="X1666" s="17">
        <v>1</v>
      </c>
    </row>
    <row r="1667" spans="6:24">
      <c r="F1667" s="23"/>
      <c r="I1667" s="23"/>
      <c r="L1667" s="50" t="s">
        <v>13398</v>
      </c>
      <c r="M1667" s="17" t="s">
        <v>13399</v>
      </c>
      <c r="N1667" s="51" t="s">
        <v>13400</v>
      </c>
      <c r="O1667" s="29" t="s">
        <v>1482</v>
      </c>
      <c r="P1667" s="29" t="s">
        <v>13401</v>
      </c>
      <c r="Q1667" s="29" t="s">
        <v>1482</v>
      </c>
      <c r="R1667" s="29" t="s">
        <v>2145</v>
      </c>
      <c r="S1667" s="28" t="s">
        <v>1626</v>
      </c>
      <c r="T1667" s="28" t="s">
        <v>2190</v>
      </c>
      <c r="U1667" s="28" t="s">
        <v>1446</v>
      </c>
      <c r="V1667" s="28" t="s">
        <v>1913</v>
      </c>
      <c r="W1667" s="28" t="s">
        <v>13402</v>
      </c>
      <c r="X1667" s="17">
        <v>1</v>
      </c>
    </row>
    <row r="1668" spans="6:24">
      <c r="F1668" s="23"/>
      <c r="I1668" s="23"/>
      <c r="L1668" s="50" t="s">
        <v>13403</v>
      </c>
      <c r="M1668" s="17" t="s">
        <v>13404</v>
      </c>
      <c r="N1668" s="51" t="s">
        <v>13405</v>
      </c>
      <c r="O1668" s="29" t="s">
        <v>1482</v>
      </c>
      <c r="P1668" s="29" t="s">
        <v>13406</v>
      </c>
      <c r="Q1668" s="29" t="s">
        <v>1482</v>
      </c>
      <c r="R1668" s="29" t="s">
        <v>2200</v>
      </c>
      <c r="S1668" s="28" t="s">
        <v>1502</v>
      </c>
      <c r="T1668" s="28" t="s">
        <v>2245</v>
      </c>
      <c r="U1668" s="28" t="s">
        <v>1446</v>
      </c>
      <c r="V1668" s="28" t="s">
        <v>1913</v>
      </c>
      <c r="W1668" s="28" t="s">
        <v>13407</v>
      </c>
      <c r="X1668" s="17">
        <v>1</v>
      </c>
    </row>
    <row r="1669" spans="6:24">
      <c r="F1669" s="23"/>
      <c r="I1669" s="23"/>
      <c r="L1669" s="50" t="s">
        <v>13408</v>
      </c>
      <c r="M1669" s="17" t="s">
        <v>13409</v>
      </c>
      <c r="N1669" s="51" t="s">
        <v>13410</v>
      </c>
      <c r="O1669" s="29" t="s">
        <v>1482</v>
      </c>
      <c r="P1669" s="29" t="s">
        <v>13411</v>
      </c>
      <c r="Q1669" s="29" t="s">
        <v>1482</v>
      </c>
      <c r="R1669" s="29" t="s">
        <v>2255</v>
      </c>
      <c r="S1669" s="28" t="s">
        <v>2525</v>
      </c>
      <c r="T1669" s="28" t="s">
        <v>2300</v>
      </c>
      <c r="U1669" s="28" t="s">
        <v>1446</v>
      </c>
      <c r="V1669" s="28" t="s">
        <v>1913</v>
      </c>
      <c r="W1669" s="28" t="s">
        <v>13412</v>
      </c>
      <c r="X1669" s="17">
        <v>1</v>
      </c>
    </row>
    <row r="1670" spans="6:24">
      <c r="F1670" s="23"/>
      <c r="I1670" s="23"/>
      <c r="L1670" s="50" t="s">
        <v>13413</v>
      </c>
      <c r="M1670" s="17" t="s">
        <v>13414</v>
      </c>
      <c r="N1670" s="51" t="s">
        <v>13415</v>
      </c>
      <c r="O1670" s="29" t="s">
        <v>1482</v>
      </c>
      <c r="P1670" s="29" t="s">
        <v>13416</v>
      </c>
      <c r="Q1670" s="29" t="s">
        <v>1482</v>
      </c>
      <c r="R1670" s="29" t="s">
        <v>4918</v>
      </c>
      <c r="S1670" s="28" t="s">
        <v>1977</v>
      </c>
      <c r="T1670" s="28" t="s">
        <v>2355</v>
      </c>
      <c r="U1670" s="28" t="s">
        <v>1446</v>
      </c>
      <c r="V1670" s="28" t="s">
        <v>1913</v>
      </c>
      <c r="W1670" s="28" t="s">
        <v>13417</v>
      </c>
      <c r="X1670" s="17">
        <v>1</v>
      </c>
    </row>
    <row r="1671" spans="6:24">
      <c r="F1671" s="23"/>
      <c r="I1671" s="23"/>
      <c r="L1671" s="50" t="s">
        <v>13418</v>
      </c>
      <c r="M1671" s="17" t="s">
        <v>13419</v>
      </c>
      <c r="N1671" s="51" t="s">
        <v>13420</v>
      </c>
      <c r="O1671" s="29" t="s">
        <v>1482</v>
      </c>
      <c r="P1671" s="29" t="s">
        <v>13421</v>
      </c>
      <c r="Q1671" s="29" t="s">
        <v>1482</v>
      </c>
      <c r="R1671" s="29" t="s">
        <v>5197</v>
      </c>
      <c r="S1671" s="28" t="s">
        <v>1977</v>
      </c>
      <c r="T1671" s="28" t="s">
        <v>2410</v>
      </c>
      <c r="U1671" s="28" t="s">
        <v>1446</v>
      </c>
      <c r="V1671" s="28" t="s">
        <v>1913</v>
      </c>
      <c r="W1671" s="28" t="s">
        <v>13422</v>
      </c>
      <c r="X1671" s="17">
        <v>1</v>
      </c>
    </row>
    <row r="1672" spans="6:24">
      <c r="F1672" s="23"/>
      <c r="I1672" s="23"/>
      <c r="L1672" s="50" t="s">
        <v>13423</v>
      </c>
      <c r="M1672" s="17" t="s">
        <v>13424</v>
      </c>
      <c r="N1672" s="51" t="s">
        <v>13425</v>
      </c>
      <c r="O1672" s="29" t="s">
        <v>1482</v>
      </c>
      <c r="P1672" s="29" t="s">
        <v>13426</v>
      </c>
      <c r="Q1672" s="29" t="s">
        <v>1482</v>
      </c>
      <c r="R1672" s="29" t="s">
        <v>3707</v>
      </c>
      <c r="S1672" s="28" t="s">
        <v>1803</v>
      </c>
      <c r="T1672" s="28" t="s">
        <v>2464</v>
      </c>
      <c r="U1672" s="28" t="s">
        <v>1446</v>
      </c>
      <c r="V1672" s="28" t="s">
        <v>1913</v>
      </c>
      <c r="W1672" s="28" t="s">
        <v>13427</v>
      </c>
      <c r="X1672" s="17">
        <v>1</v>
      </c>
    </row>
    <row r="1673" spans="6:24">
      <c r="F1673" s="23"/>
      <c r="I1673" s="23"/>
      <c r="L1673" s="50" t="s">
        <v>13428</v>
      </c>
      <c r="M1673" s="17" t="s">
        <v>13429</v>
      </c>
      <c r="N1673" s="51" t="s">
        <v>13430</v>
      </c>
      <c r="O1673" s="29" t="s">
        <v>1482</v>
      </c>
      <c r="P1673" s="29" t="s">
        <v>13431</v>
      </c>
      <c r="Q1673" s="29" t="s">
        <v>1482</v>
      </c>
      <c r="R1673" s="29" t="s">
        <v>3715</v>
      </c>
      <c r="S1673" s="28" t="s">
        <v>1862</v>
      </c>
      <c r="T1673" s="28" t="s">
        <v>2514</v>
      </c>
      <c r="U1673" s="28" t="s">
        <v>1446</v>
      </c>
      <c r="V1673" s="28" t="s">
        <v>1913</v>
      </c>
      <c r="W1673" s="28" t="s">
        <v>13432</v>
      </c>
      <c r="X1673" s="17">
        <v>1</v>
      </c>
    </row>
    <row r="1674" spans="6:24">
      <c r="F1674" s="23"/>
      <c r="I1674" s="23"/>
      <c r="L1674" s="50" t="s">
        <v>13433</v>
      </c>
      <c r="M1674" s="17" t="s">
        <v>13434</v>
      </c>
      <c r="N1674" s="51" t="s">
        <v>13435</v>
      </c>
      <c r="O1674" s="29" t="s">
        <v>1483</v>
      </c>
      <c r="P1674" s="29" t="s">
        <v>13436</v>
      </c>
      <c r="Q1674" s="29" t="s">
        <v>1483</v>
      </c>
      <c r="R1674" s="29" t="s">
        <v>4593</v>
      </c>
      <c r="S1674" s="28" t="s">
        <v>1564</v>
      </c>
      <c r="T1674" s="28" t="s">
        <v>1548</v>
      </c>
      <c r="U1674" s="28" t="s">
        <v>1446</v>
      </c>
      <c r="V1674" s="28" t="s">
        <v>1913</v>
      </c>
      <c r="W1674" s="28" t="s">
        <v>13437</v>
      </c>
      <c r="X1674" s="17">
        <v>1</v>
      </c>
    </row>
    <row r="1675" spans="6:24">
      <c r="F1675" s="23"/>
      <c r="I1675" s="23"/>
      <c r="L1675" s="50" t="s">
        <v>13438</v>
      </c>
      <c r="M1675" s="17" t="s">
        <v>13439</v>
      </c>
      <c r="N1675" s="51" t="s">
        <v>13440</v>
      </c>
      <c r="O1675" s="29" t="s">
        <v>1483</v>
      </c>
      <c r="P1675" s="29" t="s">
        <v>13441</v>
      </c>
      <c r="Q1675" s="29" t="s">
        <v>1483</v>
      </c>
      <c r="R1675" s="29" t="s">
        <v>1563</v>
      </c>
      <c r="S1675" s="28" t="s">
        <v>1626</v>
      </c>
      <c r="T1675" s="28" t="s">
        <v>1610</v>
      </c>
      <c r="U1675" s="28" t="s">
        <v>1446</v>
      </c>
      <c r="V1675" s="28" t="s">
        <v>1913</v>
      </c>
      <c r="W1675" s="28" t="s">
        <v>13442</v>
      </c>
      <c r="X1675" s="17">
        <v>1</v>
      </c>
    </row>
    <row r="1676" spans="6:24">
      <c r="F1676" s="23"/>
      <c r="I1676" s="23"/>
      <c r="L1676" s="50" t="s">
        <v>13443</v>
      </c>
      <c r="M1676" s="17" t="s">
        <v>13444</v>
      </c>
      <c r="N1676" s="51" t="s">
        <v>13445</v>
      </c>
      <c r="O1676" s="29" t="s">
        <v>1483</v>
      </c>
      <c r="P1676" s="29" t="s">
        <v>13446</v>
      </c>
      <c r="Q1676" s="29" t="s">
        <v>1483</v>
      </c>
      <c r="R1676" s="29" t="s">
        <v>1625</v>
      </c>
      <c r="S1676" s="28" t="s">
        <v>1502</v>
      </c>
      <c r="T1676" s="28" t="s">
        <v>1672</v>
      </c>
      <c r="U1676" s="28" t="s">
        <v>1446</v>
      </c>
      <c r="V1676" s="28" t="s">
        <v>1913</v>
      </c>
      <c r="W1676" s="28" t="s">
        <v>13447</v>
      </c>
      <c r="X1676" s="17">
        <v>1</v>
      </c>
    </row>
    <row r="1677" spans="6:24">
      <c r="F1677" s="23"/>
      <c r="I1677" s="23"/>
      <c r="L1677" s="50" t="s">
        <v>13448</v>
      </c>
      <c r="M1677" s="17" t="s">
        <v>13449</v>
      </c>
      <c r="N1677" s="51" t="s">
        <v>13450</v>
      </c>
      <c r="O1677" s="29" t="s">
        <v>1483</v>
      </c>
      <c r="P1677" s="29" t="s">
        <v>13451</v>
      </c>
      <c r="Q1677" s="29" t="s">
        <v>1483</v>
      </c>
      <c r="R1677" s="29" t="s">
        <v>1684</v>
      </c>
      <c r="S1677" s="28" t="s">
        <v>2525</v>
      </c>
      <c r="T1677" s="28" t="s">
        <v>1730</v>
      </c>
      <c r="U1677" s="28" t="s">
        <v>1446</v>
      </c>
      <c r="V1677" s="28" t="s">
        <v>1913</v>
      </c>
      <c r="W1677" s="28" t="s">
        <v>13452</v>
      </c>
      <c r="X1677" s="17">
        <v>1</v>
      </c>
    </row>
    <row r="1678" spans="6:24">
      <c r="F1678" s="23"/>
      <c r="I1678" s="23"/>
      <c r="L1678" s="50" t="s">
        <v>13453</v>
      </c>
      <c r="M1678" s="17" t="s">
        <v>13454</v>
      </c>
      <c r="N1678" s="51" t="s">
        <v>13455</v>
      </c>
      <c r="O1678" s="29" t="s">
        <v>1483</v>
      </c>
      <c r="P1678" s="29" t="s">
        <v>13456</v>
      </c>
      <c r="Q1678" s="29" t="s">
        <v>1483</v>
      </c>
      <c r="R1678" s="29" t="s">
        <v>1742</v>
      </c>
      <c r="S1678" s="28" t="s">
        <v>1803</v>
      </c>
      <c r="T1678" s="28" t="s">
        <v>1789</v>
      </c>
      <c r="U1678" s="28" t="s">
        <v>1446</v>
      </c>
      <c r="V1678" s="28" t="s">
        <v>1913</v>
      </c>
      <c r="W1678" s="28" t="s">
        <v>13457</v>
      </c>
      <c r="X1678" s="17">
        <v>1</v>
      </c>
    </row>
    <row r="1679" spans="6:24">
      <c r="F1679" s="23"/>
      <c r="I1679" s="23"/>
      <c r="L1679" s="50" t="s">
        <v>13458</v>
      </c>
      <c r="M1679" s="17" t="s">
        <v>13459</v>
      </c>
      <c r="N1679" s="51" t="s">
        <v>13460</v>
      </c>
      <c r="O1679" s="29" t="s">
        <v>1483</v>
      </c>
      <c r="P1679" s="29" t="s">
        <v>13461</v>
      </c>
      <c r="Q1679" s="29" t="s">
        <v>1483</v>
      </c>
      <c r="R1679" s="29" t="s">
        <v>1802</v>
      </c>
      <c r="S1679" s="28" t="s">
        <v>1862</v>
      </c>
      <c r="T1679" s="28" t="s">
        <v>1849</v>
      </c>
      <c r="U1679" s="28" t="s">
        <v>1446</v>
      </c>
      <c r="V1679" s="28" t="s">
        <v>1913</v>
      </c>
      <c r="W1679" s="28" t="s">
        <v>13462</v>
      </c>
      <c r="X1679" s="17">
        <v>1</v>
      </c>
    </row>
    <row r="1680" spans="6:24">
      <c r="F1680" s="23"/>
      <c r="I1680" s="23"/>
      <c r="L1680" s="50" t="s">
        <v>13463</v>
      </c>
      <c r="M1680" s="17" t="s">
        <v>13464</v>
      </c>
      <c r="N1680" s="51" t="s">
        <v>13465</v>
      </c>
      <c r="O1680" s="29" t="s">
        <v>1483</v>
      </c>
      <c r="P1680" s="29" t="s">
        <v>13466</v>
      </c>
      <c r="Q1680" s="29" t="s">
        <v>1483</v>
      </c>
      <c r="R1680" s="29" t="s">
        <v>1861</v>
      </c>
      <c r="S1680" s="28" t="s">
        <v>1920</v>
      </c>
      <c r="T1680" s="28" t="s">
        <v>1908</v>
      </c>
      <c r="U1680" s="28" t="s">
        <v>1446</v>
      </c>
      <c r="V1680" s="28" t="s">
        <v>1913</v>
      </c>
      <c r="W1680" s="28" t="s">
        <v>13467</v>
      </c>
      <c r="X1680" s="17">
        <v>1</v>
      </c>
    </row>
    <row r="1681" spans="6:24">
      <c r="F1681" s="23"/>
      <c r="I1681" s="23"/>
      <c r="L1681" s="50" t="s">
        <v>13468</v>
      </c>
      <c r="M1681" s="17" t="s">
        <v>13469</v>
      </c>
      <c r="N1681" s="51" t="s">
        <v>13470</v>
      </c>
      <c r="O1681" s="29" t="s">
        <v>1483</v>
      </c>
      <c r="P1681" s="29" t="s">
        <v>13471</v>
      </c>
      <c r="Q1681" s="29" t="s">
        <v>1483</v>
      </c>
      <c r="R1681" s="29" t="s">
        <v>1919</v>
      </c>
      <c r="S1681" s="28" t="s">
        <v>1977</v>
      </c>
      <c r="T1681" s="28" t="s">
        <v>1966</v>
      </c>
      <c r="U1681" s="28" t="s">
        <v>1446</v>
      </c>
      <c r="V1681" s="28" t="s">
        <v>1913</v>
      </c>
      <c r="W1681" s="28" t="s">
        <v>13472</v>
      </c>
      <c r="X1681" s="17">
        <v>1</v>
      </c>
    </row>
    <row r="1682" spans="6:24">
      <c r="F1682" s="23"/>
      <c r="I1682" s="23"/>
      <c r="L1682" s="50" t="s">
        <v>13473</v>
      </c>
      <c r="M1682" s="17" t="s">
        <v>13474</v>
      </c>
      <c r="N1682" s="51" t="s">
        <v>13475</v>
      </c>
      <c r="O1682" s="29" t="s">
        <v>1483</v>
      </c>
      <c r="P1682" s="29" t="s">
        <v>13476</v>
      </c>
      <c r="Q1682" s="29" t="s">
        <v>1483</v>
      </c>
      <c r="R1682" s="29" t="s">
        <v>1976</v>
      </c>
      <c r="S1682" s="28" t="s">
        <v>1743</v>
      </c>
      <c r="T1682" s="28" t="s">
        <v>2023</v>
      </c>
      <c r="U1682" s="28" t="s">
        <v>1446</v>
      </c>
      <c r="V1682" s="28" t="s">
        <v>1913</v>
      </c>
      <c r="W1682" s="28" t="s">
        <v>13477</v>
      </c>
      <c r="X1682" s="17">
        <v>1</v>
      </c>
    </row>
    <row r="1683" spans="6:24">
      <c r="F1683" s="23"/>
      <c r="I1683" s="23"/>
      <c r="L1683" s="50" t="s">
        <v>13478</v>
      </c>
      <c r="M1683" s="17" t="s">
        <v>13479</v>
      </c>
      <c r="N1683" s="51" t="s">
        <v>13480</v>
      </c>
      <c r="O1683" s="29" t="s">
        <v>1483</v>
      </c>
      <c r="P1683" s="29" t="s">
        <v>13481</v>
      </c>
      <c r="Q1683" s="29" t="s">
        <v>1483</v>
      </c>
      <c r="R1683" s="29" t="s">
        <v>5197</v>
      </c>
      <c r="S1683" s="28" t="s">
        <v>2525</v>
      </c>
      <c r="T1683" s="28" t="s">
        <v>2079</v>
      </c>
      <c r="U1683" s="28" t="s">
        <v>1446</v>
      </c>
      <c r="V1683" s="28" t="s">
        <v>1913</v>
      </c>
      <c r="W1683" s="28" t="s">
        <v>13482</v>
      </c>
      <c r="X1683" s="17">
        <v>1</v>
      </c>
    </row>
    <row r="1684" spans="6:24">
      <c r="F1684" s="23"/>
      <c r="I1684" s="23"/>
      <c r="L1684" s="50" t="s">
        <v>13483</v>
      </c>
      <c r="M1684" s="17" t="s">
        <v>13484</v>
      </c>
      <c r="N1684" s="51" t="s">
        <v>13485</v>
      </c>
      <c r="O1684" s="29" t="s">
        <v>1483</v>
      </c>
      <c r="P1684" s="29" t="s">
        <v>13486</v>
      </c>
      <c r="Q1684" s="29" t="s">
        <v>1483</v>
      </c>
      <c r="R1684" s="29" t="s">
        <v>3395</v>
      </c>
      <c r="S1684" s="28" t="s">
        <v>2311</v>
      </c>
      <c r="T1684" s="28" t="s">
        <v>2135</v>
      </c>
      <c r="U1684" s="28" t="s">
        <v>1446</v>
      </c>
      <c r="V1684" s="28" t="s">
        <v>1913</v>
      </c>
      <c r="W1684" s="28" t="s">
        <v>13487</v>
      </c>
      <c r="X1684" s="17">
        <v>1</v>
      </c>
    </row>
    <row r="1685" spans="6:24">
      <c r="F1685" s="23"/>
      <c r="I1685" s="23"/>
      <c r="L1685" s="50" t="s">
        <v>13488</v>
      </c>
      <c r="M1685" s="17" t="s">
        <v>13489</v>
      </c>
      <c r="N1685" s="51" t="s">
        <v>13490</v>
      </c>
      <c r="O1685" s="29" t="s">
        <v>1483</v>
      </c>
      <c r="P1685" s="29" t="s">
        <v>13491</v>
      </c>
      <c r="Q1685" s="29" t="s">
        <v>1483</v>
      </c>
      <c r="R1685" s="29" t="s">
        <v>5614</v>
      </c>
      <c r="S1685" s="28" t="s">
        <v>1626</v>
      </c>
      <c r="T1685" s="28" t="s">
        <v>2191</v>
      </c>
      <c r="U1685" s="28" t="s">
        <v>1446</v>
      </c>
      <c r="V1685" s="28" t="s">
        <v>1913</v>
      </c>
      <c r="W1685" s="28" t="s">
        <v>13492</v>
      </c>
      <c r="X1685" s="17">
        <v>1</v>
      </c>
    </row>
    <row r="1686" spans="6:24">
      <c r="F1686" s="23"/>
      <c r="I1686" s="23"/>
      <c r="L1686" s="50" t="s">
        <v>13493</v>
      </c>
      <c r="M1686" s="17" t="s">
        <v>13494</v>
      </c>
      <c r="N1686" s="51" t="s">
        <v>13495</v>
      </c>
      <c r="O1686" s="29" t="s">
        <v>1483</v>
      </c>
      <c r="P1686" s="29" t="s">
        <v>13496</v>
      </c>
      <c r="Q1686" s="29" t="s">
        <v>1483</v>
      </c>
      <c r="R1686" s="29" t="s">
        <v>6536</v>
      </c>
      <c r="S1686" s="28" t="s">
        <v>1502</v>
      </c>
      <c r="T1686" s="28" t="s">
        <v>2246</v>
      </c>
      <c r="U1686" s="28" t="s">
        <v>1446</v>
      </c>
      <c r="V1686" s="28" t="s">
        <v>1913</v>
      </c>
      <c r="W1686" s="28" t="s">
        <v>13497</v>
      </c>
      <c r="X1686" s="17">
        <v>1</v>
      </c>
    </row>
    <row r="1687" spans="6:24">
      <c r="F1687" s="23"/>
      <c r="I1687" s="23"/>
      <c r="L1687" s="50" t="s">
        <v>13498</v>
      </c>
      <c r="M1687" s="17" t="s">
        <v>13499</v>
      </c>
      <c r="N1687" s="51" t="s">
        <v>13500</v>
      </c>
      <c r="O1687" s="29" t="s">
        <v>1483</v>
      </c>
      <c r="P1687" s="29" t="s">
        <v>13501</v>
      </c>
      <c r="Q1687" s="29" t="s">
        <v>1483</v>
      </c>
      <c r="R1687" s="29" t="s">
        <v>4507</v>
      </c>
      <c r="S1687" s="28" t="s">
        <v>1502</v>
      </c>
      <c r="T1687" s="28" t="s">
        <v>2301</v>
      </c>
      <c r="U1687" s="28" t="s">
        <v>1446</v>
      </c>
      <c r="V1687" s="28" t="s">
        <v>1913</v>
      </c>
      <c r="W1687" s="28" t="s">
        <v>13502</v>
      </c>
      <c r="X1687" s="17">
        <v>1</v>
      </c>
    </row>
    <row r="1688" spans="6:24">
      <c r="F1688" s="23"/>
      <c r="I1688" s="23"/>
      <c r="L1688" s="50" t="s">
        <v>13503</v>
      </c>
      <c r="M1688" s="17" t="s">
        <v>13504</v>
      </c>
      <c r="N1688" s="51" t="s">
        <v>13505</v>
      </c>
      <c r="O1688" s="29" t="s">
        <v>1483</v>
      </c>
      <c r="P1688" s="29" t="s">
        <v>13506</v>
      </c>
      <c r="Q1688" s="29" t="s">
        <v>1483</v>
      </c>
      <c r="R1688" s="29" t="s">
        <v>3512</v>
      </c>
      <c r="S1688" s="28" t="s">
        <v>2525</v>
      </c>
      <c r="T1688" s="28" t="s">
        <v>2356</v>
      </c>
      <c r="U1688" s="28" t="s">
        <v>1446</v>
      </c>
      <c r="V1688" s="28" t="s">
        <v>1913</v>
      </c>
      <c r="W1688" s="28" t="s">
        <v>13507</v>
      </c>
      <c r="X1688" s="17">
        <v>1</v>
      </c>
    </row>
    <row r="1689" spans="6:24">
      <c r="F1689" s="23"/>
      <c r="I1689" s="23"/>
      <c r="L1689" s="50" t="s">
        <v>13508</v>
      </c>
      <c r="M1689" s="17" t="s">
        <v>13509</v>
      </c>
      <c r="N1689" s="51" t="s">
        <v>13510</v>
      </c>
      <c r="O1689" s="29" t="s">
        <v>1483</v>
      </c>
      <c r="P1689" s="29" t="s">
        <v>13511</v>
      </c>
      <c r="Q1689" s="29" t="s">
        <v>1483</v>
      </c>
      <c r="R1689" s="29" t="s">
        <v>4515</v>
      </c>
      <c r="S1689" s="28" t="s">
        <v>2311</v>
      </c>
      <c r="T1689" s="28" t="s">
        <v>2411</v>
      </c>
      <c r="U1689" s="28" t="s">
        <v>1446</v>
      </c>
      <c r="V1689" s="28" t="s">
        <v>1913</v>
      </c>
      <c r="W1689" s="28" t="s">
        <v>13512</v>
      </c>
      <c r="X1689" s="17">
        <v>1</v>
      </c>
    </row>
    <row r="1690" spans="6:24">
      <c r="F1690" s="23"/>
      <c r="I1690" s="23"/>
      <c r="L1690" s="50" t="s">
        <v>13513</v>
      </c>
      <c r="M1690" s="17" t="s">
        <v>13514</v>
      </c>
      <c r="N1690" s="51" t="s">
        <v>13515</v>
      </c>
      <c r="O1690" s="29" t="s">
        <v>1483</v>
      </c>
      <c r="P1690" s="29" t="s">
        <v>13516</v>
      </c>
      <c r="Q1690" s="29" t="s">
        <v>1483</v>
      </c>
      <c r="R1690" s="29" t="s">
        <v>4523</v>
      </c>
      <c r="S1690" s="28" t="s">
        <v>1564</v>
      </c>
      <c r="T1690" s="28" t="s">
        <v>2465</v>
      </c>
      <c r="U1690" s="28" t="s">
        <v>1446</v>
      </c>
      <c r="V1690" s="28" t="s">
        <v>1913</v>
      </c>
      <c r="W1690" s="28" t="s">
        <v>13517</v>
      </c>
      <c r="X1690" s="17">
        <v>1</v>
      </c>
    </row>
    <row r="1691" spans="6:24">
      <c r="F1691" s="23"/>
      <c r="I1691" s="23"/>
      <c r="L1691" s="50" t="s">
        <v>13518</v>
      </c>
      <c r="M1691" s="17" t="s">
        <v>13519</v>
      </c>
      <c r="N1691" s="51" t="s">
        <v>13520</v>
      </c>
      <c r="O1691" s="29" t="s">
        <v>1483</v>
      </c>
      <c r="P1691" s="29" t="s">
        <v>13521</v>
      </c>
      <c r="Q1691" s="29" t="s">
        <v>1483</v>
      </c>
      <c r="R1691" s="29" t="s">
        <v>4531</v>
      </c>
      <c r="S1691" s="28" t="s">
        <v>1920</v>
      </c>
      <c r="T1691" s="28" t="s">
        <v>2515</v>
      </c>
      <c r="U1691" s="28" t="s">
        <v>1446</v>
      </c>
      <c r="V1691" s="28" t="s">
        <v>1913</v>
      </c>
      <c r="W1691" s="28" t="s">
        <v>13522</v>
      </c>
      <c r="X1691" s="17">
        <v>1</v>
      </c>
    </row>
    <row r="1692" spans="6:24">
      <c r="F1692" s="23"/>
      <c r="I1692" s="23"/>
      <c r="L1692" s="50" t="s">
        <v>13523</v>
      </c>
      <c r="M1692" s="17" t="s">
        <v>13524</v>
      </c>
      <c r="N1692" s="51" t="s">
        <v>13525</v>
      </c>
      <c r="O1692" s="29" t="s">
        <v>1483</v>
      </c>
      <c r="P1692" s="29" t="s">
        <v>13526</v>
      </c>
      <c r="Q1692" s="29" t="s">
        <v>1483</v>
      </c>
      <c r="R1692" s="29" t="s">
        <v>4539</v>
      </c>
      <c r="S1692" s="28" t="s">
        <v>1977</v>
      </c>
      <c r="T1692" s="28" t="s">
        <v>2567</v>
      </c>
      <c r="U1692" s="28" t="s">
        <v>1446</v>
      </c>
      <c r="V1692" s="28" t="s">
        <v>1913</v>
      </c>
      <c r="W1692" s="28" t="s">
        <v>13527</v>
      </c>
      <c r="X1692" s="17">
        <v>1</v>
      </c>
    </row>
    <row r="1693" spans="6:24">
      <c r="F1693" s="23"/>
      <c r="I1693" s="23"/>
      <c r="L1693" s="50" t="s">
        <v>13528</v>
      </c>
      <c r="M1693" s="17" t="s">
        <v>13529</v>
      </c>
      <c r="N1693" s="51" t="s">
        <v>13530</v>
      </c>
      <c r="O1693" s="29" t="s">
        <v>1483</v>
      </c>
      <c r="P1693" s="29" t="s">
        <v>13531</v>
      </c>
      <c r="Q1693" s="29" t="s">
        <v>1483</v>
      </c>
      <c r="R1693" s="29" t="s">
        <v>5233</v>
      </c>
      <c r="S1693" s="28" t="s">
        <v>2525</v>
      </c>
      <c r="T1693" s="28" t="s">
        <v>2614</v>
      </c>
      <c r="U1693" s="28" t="s">
        <v>1446</v>
      </c>
      <c r="V1693" s="28" t="s">
        <v>1913</v>
      </c>
      <c r="W1693" s="28" t="s">
        <v>13532</v>
      </c>
      <c r="X1693" s="17">
        <v>1</v>
      </c>
    </row>
    <row r="1694" spans="6:24">
      <c r="F1694" s="23"/>
      <c r="I1694" s="23"/>
      <c r="L1694" s="50" t="s">
        <v>13533</v>
      </c>
      <c r="M1694" s="17" t="s">
        <v>13534</v>
      </c>
      <c r="N1694" s="51" t="s">
        <v>13535</v>
      </c>
      <c r="O1694" s="29" t="s">
        <v>1483</v>
      </c>
      <c r="P1694" s="29" t="s">
        <v>13536</v>
      </c>
      <c r="Q1694" s="29" t="s">
        <v>1483</v>
      </c>
      <c r="R1694" s="29" t="s">
        <v>3579</v>
      </c>
      <c r="S1694" s="28" t="s">
        <v>1920</v>
      </c>
      <c r="T1694" s="28" t="s">
        <v>2659</v>
      </c>
      <c r="U1694" s="28" t="s">
        <v>1446</v>
      </c>
      <c r="V1694" s="28" t="s">
        <v>1913</v>
      </c>
      <c r="W1694" s="28" t="s">
        <v>13537</v>
      </c>
      <c r="X1694" s="17">
        <v>1</v>
      </c>
    </row>
    <row r="1695" spans="6:24">
      <c r="F1695" s="23"/>
      <c r="I1695" s="23"/>
      <c r="L1695" s="50" t="s">
        <v>13538</v>
      </c>
      <c r="M1695" s="17" t="s">
        <v>13539</v>
      </c>
      <c r="N1695" s="51" t="s">
        <v>13540</v>
      </c>
      <c r="O1695" s="29" t="s">
        <v>1483</v>
      </c>
      <c r="P1695" s="29" t="s">
        <v>13541</v>
      </c>
      <c r="Q1695" s="29" t="s">
        <v>1483</v>
      </c>
      <c r="R1695" s="29" t="s">
        <v>3591</v>
      </c>
      <c r="S1695" s="28" t="s">
        <v>1977</v>
      </c>
      <c r="T1695" s="28" t="s">
        <v>2705</v>
      </c>
      <c r="U1695" s="28" t="s">
        <v>1446</v>
      </c>
      <c r="V1695" s="28" t="s">
        <v>1913</v>
      </c>
      <c r="W1695" s="28" t="s">
        <v>13542</v>
      </c>
      <c r="X1695" s="17">
        <v>1</v>
      </c>
    </row>
    <row r="1696" spans="6:24">
      <c r="F1696" s="23"/>
      <c r="I1696" s="23"/>
      <c r="L1696" s="50" t="s">
        <v>13543</v>
      </c>
      <c r="M1696" s="17" t="s">
        <v>13544</v>
      </c>
      <c r="N1696" s="51" t="s">
        <v>13545</v>
      </c>
      <c r="O1696" s="29" t="s">
        <v>1483</v>
      </c>
      <c r="P1696" s="29" t="s">
        <v>13546</v>
      </c>
      <c r="Q1696" s="29" t="s">
        <v>1483</v>
      </c>
      <c r="R1696" s="29" t="s">
        <v>4405</v>
      </c>
      <c r="S1696" s="28" t="s">
        <v>1743</v>
      </c>
      <c r="T1696" s="28" t="s">
        <v>2066</v>
      </c>
      <c r="U1696" s="28" t="s">
        <v>1446</v>
      </c>
      <c r="V1696" s="28" t="s">
        <v>1913</v>
      </c>
      <c r="W1696" s="28" t="s">
        <v>13547</v>
      </c>
      <c r="X1696" s="17">
        <v>1</v>
      </c>
    </row>
    <row r="1697" spans="6:24">
      <c r="F1697" s="23"/>
      <c r="I1697" s="23"/>
      <c r="L1697" s="50" t="s">
        <v>13548</v>
      </c>
      <c r="M1697" s="17" t="s">
        <v>13549</v>
      </c>
      <c r="N1697" s="51" t="s">
        <v>13550</v>
      </c>
      <c r="O1697" s="29" t="s">
        <v>1483</v>
      </c>
      <c r="P1697" s="29" t="s">
        <v>13551</v>
      </c>
      <c r="Q1697" s="29" t="s">
        <v>1483</v>
      </c>
      <c r="R1697" s="29" t="s">
        <v>4806</v>
      </c>
      <c r="S1697" s="28" t="s">
        <v>2311</v>
      </c>
      <c r="T1697" s="28" t="s">
        <v>2791</v>
      </c>
      <c r="U1697" s="28" t="s">
        <v>1446</v>
      </c>
      <c r="V1697" s="28" t="s">
        <v>1913</v>
      </c>
      <c r="W1697" s="28" t="s">
        <v>13552</v>
      </c>
      <c r="X1697" s="17">
        <v>1</v>
      </c>
    </row>
    <row r="1698" spans="6:24">
      <c r="F1698" s="23"/>
      <c r="I1698" s="23"/>
      <c r="L1698" s="50" t="s">
        <v>13553</v>
      </c>
      <c r="M1698" s="17" t="s">
        <v>13554</v>
      </c>
      <c r="N1698" s="51" t="s">
        <v>13555</v>
      </c>
      <c r="O1698" s="29" t="s">
        <v>1483</v>
      </c>
      <c r="P1698" s="29" t="s">
        <v>13556</v>
      </c>
      <c r="Q1698" s="29" t="s">
        <v>1483</v>
      </c>
      <c r="R1698" s="29" t="s">
        <v>4812</v>
      </c>
      <c r="S1698" s="28" t="s">
        <v>1564</v>
      </c>
      <c r="T1698" s="28" t="s">
        <v>2833</v>
      </c>
      <c r="U1698" s="28" t="s">
        <v>1446</v>
      </c>
      <c r="V1698" s="28" t="s">
        <v>1913</v>
      </c>
      <c r="W1698" s="28" t="s">
        <v>13557</v>
      </c>
      <c r="X1698" s="17">
        <v>1</v>
      </c>
    </row>
    <row r="1699" spans="6:24">
      <c r="F1699" s="23"/>
      <c r="I1699" s="23"/>
      <c r="L1699" s="50" t="s">
        <v>13558</v>
      </c>
      <c r="M1699" s="17" t="s">
        <v>13559</v>
      </c>
      <c r="N1699" s="51" t="s">
        <v>13560</v>
      </c>
      <c r="O1699" s="29" t="s">
        <v>1483</v>
      </c>
      <c r="P1699" s="29" t="s">
        <v>13561</v>
      </c>
      <c r="Q1699" s="29" t="s">
        <v>1483</v>
      </c>
      <c r="R1699" s="29" t="s">
        <v>4818</v>
      </c>
      <c r="S1699" s="28" t="s">
        <v>1626</v>
      </c>
      <c r="T1699" s="28" t="s">
        <v>2872</v>
      </c>
      <c r="U1699" s="28" t="s">
        <v>1446</v>
      </c>
      <c r="V1699" s="28" t="s">
        <v>1913</v>
      </c>
      <c r="W1699" s="28" t="s">
        <v>13562</v>
      </c>
      <c r="X1699" s="17">
        <v>1</v>
      </c>
    </row>
    <row r="1700" spans="6:24">
      <c r="F1700" s="23"/>
      <c r="I1700" s="23"/>
      <c r="L1700" s="50" t="s">
        <v>13563</v>
      </c>
      <c r="M1700" s="17" t="s">
        <v>13564</v>
      </c>
      <c r="N1700" s="51" t="s">
        <v>13565</v>
      </c>
      <c r="O1700" s="29" t="s">
        <v>1484</v>
      </c>
      <c r="P1700" s="29" t="s">
        <v>13566</v>
      </c>
      <c r="Q1700" s="29" t="s">
        <v>1484</v>
      </c>
      <c r="R1700" s="29" t="s">
        <v>4593</v>
      </c>
      <c r="S1700" s="28" t="s">
        <v>1862</v>
      </c>
      <c r="T1700" s="28" t="s">
        <v>1549</v>
      </c>
      <c r="U1700" s="28" t="s">
        <v>1446</v>
      </c>
      <c r="V1700" s="28" t="s">
        <v>1913</v>
      </c>
      <c r="W1700" s="28" t="s">
        <v>13567</v>
      </c>
      <c r="X1700" s="17">
        <v>1</v>
      </c>
    </row>
    <row r="1701" spans="6:24">
      <c r="F1701" s="23"/>
      <c r="I1701" s="23"/>
      <c r="L1701" s="50" t="s">
        <v>13568</v>
      </c>
      <c r="M1701" s="17" t="s">
        <v>13569</v>
      </c>
      <c r="N1701" s="51" t="s">
        <v>13570</v>
      </c>
      <c r="O1701" s="29" t="s">
        <v>1484</v>
      </c>
      <c r="P1701" s="29" t="s">
        <v>13571</v>
      </c>
      <c r="Q1701" s="29" t="s">
        <v>1484</v>
      </c>
      <c r="R1701" s="29" t="s">
        <v>1625</v>
      </c>
      <c r="S1701" s="28" t="s">
        <v>1977</v>
      </c>
      <c r="T1701" s="28" t="s">
        <v>1611</v>
      </c>
      <c r="U1701" s="28" t="s">
        <v>1446</v>
      </c>
      <c r="V1701" s="28" t="s">
        <v>1913</v>
      </c>
      <c r="W1701" s="28" t="s">
        <v>13572</v>
      </c>
      <c r="X1701" s="17">
        <v>1</v>
      </c>
    </row>
    <row r="1702" spans="6:24">
      <c r="F1702" s="23"/>
      <c r="I1702" s="23"/>
      <c r="L1702" s="50" t="s">
        <v>13573</v>
      </c>
      <c r="M1702" s="17" t="s">
        <v>13574</v>
      </c>
      <c r="N1702" s="51" t="s">
        <v>13575</v>
      </c>
      <c r="O1702" s="29" t="s">
        <v>1484</v>
      </c>
      <c r="P1702" s="29" t="s">
        <v>13576</v>
      </c>
      <c r="Q1702" s="29" t="s">
        <v>1484</v>
      </c>
      <c r="R1702" s="29" t="s">
        <v>1684</v>
      </c>
      <c r="S1702" s="28" t="s">
        <v>1743</v>
      </c>
      <c r="T1702" s="28" t="s">
        <v>1673</v>
      </c>
      <c r="U1702" s="28" t="s">
        <v>1446</v>
      </c>
      <c r="V1702" s="28" t="s">
        <v>1913</v>
      </c>
      <c r="W1702" s="28" t="s">
        <v>13577</v>
      </c>
      <c r="X1702" s="17">
        <v>1</v>
      </c>
    </row>
    <row r="1703" spans="6:24">
      <c r="F1703" s="23"/>
      <c r="I1703" s="23"/>
      <c r="L1703" s="50" t="s">
        <v>13578</v>
      </c>
      <c r="M1703" s="17" t="s">
        <v>13579</v>
      </c>
      <c r="N1703" s="51" t="s">
        <v>13580</v>
      </c>
      <c r="O1703" s="29" t="s">
        <v>1484</v>
      </c>
      <c r="P1703" s="29" t="s">
        <v>13581</v>
      </c>
      <c r="Q1703" s="29" t="s">
        <v>1484</v>
      </c>
      <c r="R1703" s="29" t="s">
        <v>1802</v>
      </c>
      <c r="S1703" s="28" t="s">
        <v>1626</v>
      </c>
      <c r="T1703" s="28" t="s">
        <v>1731</v>
      </c>
      <c r="U1703" s="28" t="s">
        <v>1446</v>
      </c>
      <c r="V1703" s="28" t="s">
        <v>1913</v>
      </c>
      <c r="W1703" s="28" t="s">
        <v>13582</v>
      </c>
      <c r="X1703" s="17">
        <v>1</v>
      </c>
    </row>
    <row r="1704" spans="6:24">
      <c r="F1704" s="23"/>
      <c r="I1704" s="23"/>
      <c r="L1704" s="50" t="s">
        <v>13583</v>
      </c>
      <c r="M1704" s="17" t="s">
        <v>13584</v>
      </c>
      <c r="N1704" s="51" t="s">
        <v>13585</v>
      </c>
      <c r="O1704" s="29" t="s">
        <v>1484</v>
      </c>
      <c r="P1704" s="29" t="s">
        <v>13586</v>
      </c>
      <c r="Q1704" s="29" t="s">
        <v>1484</v>
      </c>
      <c r="R1704" s="29" t="s">
        <v>1919</v>
      </c>
      <c r="S1704" s="28" t="s">
        <v>2525</v>
      </c>
      <c r="T1704" s="28" t="s">
        <v>1790</v>
      </c>
      <c r="U1704" s="28" t="s">
        <v>1446</v>
      </c>
      <c r="V1704" s="28" t="s">
        <v>1913</v>
      </c>
      <c r="W1704" s="28" t="s">
        <v>13587</v>
      </c>
      <c r="X1704" s="17">
        <v>1</v>
      </c>
    </row>
    <row r="1705" spans="6:24">
      <c r="F1705" s="23"/>
      <c r="I1705" s="23"/>
      <c r="L1705" s="50" t="s">
        <v>13588</v>
      </c>
      <c r="M1705" s="17" t="s">
        <v>13589</v>
      </c>
      <c r="N1705" s="51" t="s">
        <v>13590</v>
      </c>
      <c r="O1705" s="29" t="s">
        <v>1484</v>
      </c>
      <c r="P1705" s="29" t="s">
        <v>13591</v>
      </c>
      <c r="Q1705" s="29" t="s">
        <v>1484</v>
      </c>
      <c r="R1705" s="29" t="s">
        <v>2033</v>
      </c>
      <c r="S1705" s="28" t="s">
        <v>1564</v>
      </c>
      <c r="T1705" s="28" t="s">
        <v>1850</v>
      </c>
      <c r="U1705" s="28" t="s">
        <v>1446</v>
      </c>
      <c r="V1705" s="28" t="s">
        <v>1913</v>
      </c>
      <c r="W1705" s="28" t="s">
        <v>13591</v>
      </c>
      <c r="X1705" s="17">
        <v>1</v>
      </c>
    </row>
    <row r="1706" spans="6:24">
      <c r="F1706" s="23"/>
      <c r="I1706" s="23"/>
      <c r="L1706" s="50" t="s">
        <v>13592</v>
      </c>
      <c r="M1706" s="17" t="s">
        <v>13593</v>
      </c>
      <c r="N1706" s="51" t="s">
        <v>13594</v>
      </c>
      <c r="O1706" s="29" t="s">
        <v>1484</v>
      </c>
      <c r="P1706" s="29" t="s">
        <v>13595</v>
      </c>
      <c r="Q1706" s="29" t="s">
        <v>1484</v>
      </c>
      <c r="R1706" s="29" t="s">
        <v>2200</v>
      </c>
      <c r="S1706" s="28" t="s">
        <v>2525</v>
      </c>
      <c r="T1706" s="28" t="s">
        <v>1909</v>
      </c>
      <c r="U1706" s="28" t="s">
        <v>1446</v>
      </c>
      <c r="V1706" s="28" t="s">
        <v>1913</v>
      </c>
      <c r="W1706" s="28" t="s">
        <v>13596</v>
      </c>
      <c r="X1706" s="17">
        <v>1</v>
      </c>
    </row>
    <row r="1707" spans="6:24">
      <c r="F1707" s="23"/>
      <c r="I1707" s="23"/>
      <c r="L1707" s="50" t="s">
        <v>13597</v>
      </c>
      <c r="M1707" s="17" t="s">
        <v>13598</v>
      </c>
      <c r="N1707" s="51" t="s">
        <v>13599</v>
      </c>
      <c r="O1707" s="29" t="s">
        <v>1484</v>
      </c>
      <c r="P1707" s="29" t="s">
        <v>13600</v>
      </c>
      <c r="Q1707" s="29" t="s">
        <v>1484</v>
      </c>
      <c r="R1707" s="29" t="s">
        <v>2255</v>
      </c>
      <c r="S1707" s="28" t="s">
        <v>2311</v>
      </c>
      <c r="T1707" s="28" t="s">
        <v>1967</v>
      </c>
      <c r="U1707" s="28" t="s">
        <v>1446</v>
      </c>
      <c r="V1707" s="28" t="s">
        <v>1913</v>
      </c>
      <c r="W1707" s="28" t="s">
        <v>13601</v>
      </c>
      <c r="X1707" s="17">
        <v>1</v>
      </c>
    </row>
    <row r="1708" spans="6:24">
      <c r="F1708" s="23"/>
      <c r="I1708" s="23"/>
      <c r="L1708" s="50" t="s">
        <v>13602</v>
      </c>
      <c r="M1708" s="17" t="s">
        <v>13603</v>
      </c>
      <c r="N1708" s="51" t="s">
        <v>13604</v>
      </c>
      <c r="O1708" s="29" t="s">
        <v>1484</v>
      </c>
      <c r="P1708" s="29" t="s">
        <v>13605</v>
      </c>
      <c r="Q1708" s="29" t="s">
        <v>1484</v>
      </c>
      <c r="R1708" s="29" t="s">
        <v>2310</v>
      </c>
      <c r="S1708" s="28" t="s">
        <v>1862</v>
      </c>
      <c r="T1708" s="28" t="s">
        <v>2024</v>
      </c>
      <c r="U1708" s="28" t="s">
        <v>1446</v>
      </c>
      <c r="V1708" s="28" t="s">
        <v>1913</v>
      </c>
      <c r="W1708" s="28" t="s">
        <v>13606</v>
      </c>
      <c r="X1708" s="17">
        <v>1</v>
      </c>
    </row>
    <row r="1709" spans="6:24">
      <c r="F1709" s="23"/>
      <c r="I1709" s="23"/>
      <c r="L1709" s="50" t="s">
        <v>13607</v>
      </c>
      <c r="M1709" s="17" t="s">
        <v>13608</v>
      </c>
      <c r="N1709" s="51" t="s">
        <v>13609</v>
      </c>
      <c r="O1709" s="29" t="s">
        <v>1484</v>
      </c>
      <c r="P1709" s="29" t="s">
        <v>13610</v>
      </c>
      <c r="Q1709" s="29" t="s">
        <v>1484</v>
      </c>
      <c r="R1709" s="29" t="s">
        <v>2365</v>
      </c>
      <c r="S1709" s="28" t="s">
        <v>1920</v>
      </c>
      <c r="T1709" s="28" t="s">
        <v>2080</v>
      </c>
      <c r="U1709" s="28" t="s">
        <v>1446</v>
      </c>
      <c r="V1709" s="28" t="s">
        <v>1913</v>
      </c>
      <c r="W1709" s="28" t="s">
        <v>13611</v>
      </c>
      <c r="X1709" s="17">
        <v>1</v>
      </c>
    </row>
    <row r="1710" spans="6:24">
      <c r="F1710" s="23"/>
      <c r="I1710" s="23"/>
      <c r="L1710" s="50" t="s">
        <v>13612</v>
      </c>
      <c r="M1710" s="17" t="s">
        <v>13613</v>
      </c>
      <c r="N1710" s="51" t="s">
        <v>13614</v>
      </c>
      <c r="O1710" s="29" t="s">
        <v>1484</v>
      </c>
      <c r="P1710" s="29" t="s">
        <v>13615</v>
      </c>
      <c r="Q1710" s="29" t="s">
        <v>1484</v>
      </c>
      <c r="R1710" s="29" t="s">
        <v>2420</v>
      </c>
      <c r="S1710" s="28" t="s">
        <v>1977</v>
      </c>
      <c r="T1710" s="28" t="s">
        <v>2136</v>
      </c>
      <c r="U1710" s="28" t="s">
        <v>1446</v>
      </c>
      <c r="V1710" s="28" t="s">
        <v>1913</v>
      </c>
      <c r="W1710" s="28" t="s">
        <v>13616</v>
      </c>
      <c r="X1710" s="17">
        <v>1</v>
      </c>
    </row>
    <row r="1711" spans="6:24">
      <c r="F1711" s="23"/>
      <c r="I1711" s="23"/>
      <c r="L1711" s="50" t="s">
        <v>13617</v>
      </c>
      <c r="M1711" s="17" t="s">
        <v>13618</v>
      </c>
      <c r="N1711" s="51" t="s">
        <v>13619</v>
      </c>
      <c r="O1711" s="29" t="s">
        <v>1484</v>
      </c>
      <c r="P1711" s="29" t="s">
        <v>13620</v>
      </c>
      <c r="Q1711" s="29" t="s">
        <v>1484</v>
      </c>
      <c r="R1711" s="29" t="s">
        <v>2474</v>
      </c>
      <c r="S1711" s="28" t="s">
        <v>1743</v>
      </c>
      <c r="T1711" s="28" t="s">
        <v>2192</v>
      </c>
      <c r="U1711" s="28" t="s">
        <v>1446</v>
      </c>
      <c r="V1711" s="28" t="s">
        <v>1913</v>
      </c>
      <c r="W1711" s="28" t="s">
        <v>13621</v>
      </c>
      <c r="X1711" s="17">
        <v>1</v>
      </c>
    </row>
    <row r="1712" spans="6:24">
      <c r="F1712" s="23"/>
      <c r="I1712" s="23"/>
      <c r="L1712" s="50" t="s">
        <v>13622</v>
      </c>
      <c r="M1712" s="17" t="s">
        <v>13623</v>
      </c>
      <c r="N1712" s="51" t="s">
        <v>13624</v>
      </c>
      <c r="O1712" s="29" t="s">
        <v>1484</v>
      </c>
      <c r="P1712" s="29" t="s">
        <v>13625</v>
      </c>
      <c r="Q1712" s="29" t="s">
        <v>1484</v>
      </c>
      <c r="R1712" s="29" t="s">
        <v>2524</v>
      </c>
      <c r="S1712" s="28" t="s">
        <v>1803</v>
      </c>
      <c r="T1712" s="28" t="s">
        <v>2247</v>
      </c>
      <c r="U1712" s="28" t="s">
        <v>1446</v>
      </c>
      <c r="V1712" s="28" t="s">
        <v>1913</v>
      </c>
      <c r="W1712" s="28" t="s">
        <v>13626</v>
      </c>
      <c r="X1712" s="17">
        <v>1</v>
      </c>
    </row>
    <row r="1713" spans="6:24">
      <c r="F1713" s="23"/>
      <c r="I1713" s="23"/>
      <c r="L1713" s="50" t="s">
        <v>13627</v>
      </c>
      <c r="M1713" s="17" t="s">
        <v>13628</v>
      </c>
      <c r="N1713" s="51" t="s">
        <v>13629</v>
      </c>
      <c r="O1713" s="29" t="s">
        <v>1484</v>
      </c>
      <c r="P1713" s="29" t="s">
        <v>13630</v>
      </c>
      <c r="Q1713" s="29" t="s">
        <v>1484</v>
      </c>
      <c r="R1713" s="29" t="s">
        <v>2576</v>
      </c>
      <c r="S1713" s="28" t="s">
        <v>1862</v>
      </c>
      <c r="T1713" s="28" t="s">
        <v>2302</v>
      </c>
      <c r="U1713" s="28" t="s">
        <v>1446</v>
      </c>
      <c r="V1713" s="28" t="s">
        <v>1913</v>
      </c>
      <c r="W1713" s="28" t="s">
        <v>13631</v>
      </c>
      <c r="X1713" s="17">
        <v>1</v>
      </c>
    </row>
    <row r="1714" spans="6:24">
      <c r="F1714" s="23"/>
      <c r="I1714" s="23"/>
      <c r="L1714" s="50" t="s">
        <v>13632</v>
      </c>
      <c r="M1714" s="17" t="s">
        <v>13633</v>
      </c>
      <c r="N1714" s="51" t="s">
        <v>13634</v>
      </c>
      <c r="O1714" s="29" t="s">
        <v>1484</v>
      </c>
      <c r="P1714" s="29" t="s">
        <v>13635</v>
      </c>
      <c r="Q1714" s="29" t="s">
        <v>1484</v>
      </c>
      <c r="R1714" s="29" t="s">
        <v>2623</v>
      </c>
      <c r="S1714" s="28" t="s">
        <v>1920</v>
      </c>
      <c r="T1714" s="28" t="s">
        <v>2357</v>
      </c>
      <c r="U1714" s="28" t="s">
        <v>1446</v>
      </c>
      <c r="V1714" s="28" t="s">
        <v>1913</v>
      </c>
      <c r="W1714" s="28" t="s">
        <v>13636</v>
      </c>
      <c r="X1714" s="17">
        <v>1</v>
      </c>
    </row>
    <row r="1715" spans="6:24">
      <c r="F1715" s="23"/>
      <c r="I1715" s="23"/>
      <c r="L1715" s="50" t="s">
        <v>13637</v>
      </c>
      <c r="M1715" s="17" t="s">
        <v>13638</v>
      </c>
      <c r="N1715" s="51" t="s">
        <v>13639</v>
      </c>
      <c r="O1715" s="29" t="s">
        <v>1484</v>
      </c>
      <c r="P1715" s="29" t="s">
        <v>13640</v>
      </c>
      <c r="Q1715" s="29" t="s">
        <v>1484</v>
      </c>
      <c r="R1715" s="29" t="s">
        <v>2668</v>
      </c>
      <c r="S1715" s="28" t="s">
        <v>1977</v>
      </c>
      <c r="T1715" s="28" t="s">
        <v>2412</v>
      </c>
      <c r="U1715" s="28" t="s">
        <v>1446</v>
      </c>
      <c r="V1715" s="28" t="s">
        <v>1913</v>
      </c>
      <c r="W1715" s="28" t="s">
        <v>13641</v>
      </c>
      <c r="X1715" s="17">
        <v>1</v>
      </c>
    </row>
    <row r="1716" spans="6:24">
      <c r="F1716" s="23"/>
      <c r="I1716" s="23"/>
      <c r="L1716" s="50" t="s">
        <v>13642</v>
      </c>
      <c r="M1716" s="17" t="s">
        <v>13643</v>
      </c>
      <c r="N1716" s="51" t="s">
        <v>13644</v>
      </c>
      <c r="O1716" s="29" t="s">
        <v>1484</v>
      </c>
      <c r="P1716" s="29" t="s">
        <v>13645</v>
      </c>
      <c r="Q1716" s="29" t="s">
        <v>1484</v>
      </c>
      <c r="R1716" s="29" t="s">
        <v>2714</v>
      </c>
      <c r="S1716" s="28" t="s">
        <v>1743</v>
      </c>
      <c r="T1716" s="28" t="s">
        <v>2466</v>
      </c>
      <c r="U1716" s="28" t="s">
        <v>1446</v>
      </c>
      <c r="V1716" s="28" t="s">
        <v>1913</v>
      </c>
      <c r="W1716" s="28" t="s">
        <v>13646</v>
      </c>
      <c r="X1716" s="17">
        <v>1</v>
      </c>
    </row>
    <row r="1717" spans="6:24">
      <c r="F1717" s="23"/>
      <c r="I1717" s="23"/>
      <c r="L1717" s="50" t="s">
        <v>13647</v>
      </c>
      <c r="M1717" s="17" t="s">
        <v>13648</v>
      </c>
      <c r="N1717" s="51" t="s">
        <v>13649</v>
      </c>
      <c r="O1717" s="29" t="s">
        <v>1484</v>
      </c>
      <c r="P1717" s="29" t="s">
        <v>13650</v>
      </c>
      <c r="Q1717" s="29" t="s">
        <v>1484</v>
      </c>
      <c r="R1717" s="29" t="s">
        <v>2758</v>
      </c>
      <c r="S1717" s="28" t="s">
        <v>1803</v>
      </c>
      <c r="T1717" s="28" t="s">
        <v>2516</v>
      </c>
      <c r="U1717" s="28" t="s">
        <v>1446</v>
      </c>
      <c r="V1717" s="28" t="s">
        <v>1913</v>
      </c>
      <c r="W1717" s="28" t="s">
        <v>13651</v>
      </c>
      <c r="X1717" s="17">
        <v>1</v>
      </c>
    </row>
    <row r="1718" spans="6:24">
      <c r="F1718" s="23"/>
      <c r="I1718" s="23"/>
      <c r="L1718" s="50" t="s">
        <v>13652</v>
      </c>
      <c r="M1718" s="17" t="s">
        <v>13653</v>
      </c>
      <c r="N1718" s="51" t="s">
        <v>13654</v>
      </c>
      <c r="O1718" s="29" t="s">
        <v>1484</v>
      </c>
      <c r="P1718" s="29" t="s">
        <v>13655</v>
      </c>
      <c r="Q1718" s="29" t="s">
        <v>1484</v>
      </c>
      <c r="R1718" s="29" t="s">
        <v>2800</v>
      </c>
      <c r="S1718" s="28" t="s">
        <v>1626</v>
      </c>
      <c r="T1718" s="28" t="s">
        <v>2568</v>
      </c>
      <c r="U1718" s="28" t="s">
        <v>1446</v>
      </c>
      <c r="V1718" s="28" t="s">
        <v>1913</v>
      </c>
      <c r="W1718" s="28" t="s">
        <v>13656</v>
      </c>
      <c r="X1718" s="17">
        <v>1</v>
      </c>
    </row>
    <row r="1719" spans="6:24">
      <c r="F1719" s="23"/>
      <c r="I1719" s="23"/>
      <c r="L1719" s="50" t="s">
        <v>13657</v>
      </c>
      <c r="M1719" s="17" t="s">
        <v>13658</v>
      </c>
      <c r="N1719" s="51" t="s">
        <v>13659</v>
      </c>
      <c r="O1719" s="29" t="s">
        <v>1484</v>
      </c>
      <c r="P1719" s="29" t="s">
        <v>13660</v>
      </c>
      <c r="Q1719" s="29" t="s">
        <v>1484</v>
      </c>
      <c r="R1719" s="29" t="s">
        <v>3142</v>
      </c>
      <c r="S1719" s="28" t="s">
        <v>1743</v>
      </c>
      <c r="T1719" s="28" t="s">
        <v>2615</v>
      </c>
      <c r="U1719" s="28" t="s">
        <v>1446</v>
      </c>
      <c r="V1719" s="28" t="s">
        <v>1913</v>
      </c>
      <c r="W1719" s="28" t="s">
        <v>13661</v>
      </c>
      <c r="X1719" s="17">
        <v>1</v>
      </c>
    </row>
    <row r="1720" spans="6:24">
      <c r="F1720" s="23"/>
      <c r="I1720" s="23"/>
      <c r="L1720" s="50" t="s">
        <v>13662</v>
      </c>
      <c r="M1720" s="17" t="s">
        <v>13663</v>
      </c>
      <c r="N1720" s="51" t="s">
        <v>13664</v>
      </c>
      <c r="O1720" s="29" t="s">
        <v>1484</v>
      </c>
      <c r="P1720" s="29" t="s">
        <v>13665</v>
      </c>
      <c r="Q1720" s="29" t="s">
        <v>1484</v>
      </c>
      <c r="R1720" s="29" t="s">
        <v>3173</v>
      </c>
      <c r="S1720" s="28" t="s">
        <v>1803</v>
      </c>
      <c r="T1720" s="28" t="s">
        <v>2660</v>
      </c>
      <c r="U1720" s="28" t="s">
        <v>1446</v>
      </c>
      <c r="V1720" s="28" t="s">
        <v>1913</v>
      </c>
      <c r="W1720" s="28" t="s">
        <v>13666</v>
      </c>
      <c r="X1720" s="17">
        <v>1</v>
      </c>
    </row>
    <row r="1721" spans="6:24">
      <c r="F1721" s="23"/>
      <c r="I1721" s="23"/>
      <c r="L1721" s="50" t="s">
        <v>13667</v>
      </c>
      <c r="M1721" s="17" t="s">
        <v>13668</v>
      </c>
      <c r="N1721" s="51" t="s">
        <v>13669</v>
      </c>
      <c r="O1721" s="29" t="s">
        <v>1484</v>
      </c>
      <c r="P1721" s="29" t="s">
        <v>13670</v>
      </c>
      <c r="Q1721" s="29" t="s">
        <v>1484</v>
      </c>
      <c r="R1721" s="29" t="s">
        <v>3498</v>
      </c>
      <c r="S1721" s="28" t="s">
        <v>1502</v>
      </c>
      <c r="T1721" s="28" t="s">
        <v>2706</v>
      </c>
      <c r="U1721" s="28" t="s">
        <v>1446</v>
      </c>
      <c r="V1721" s="28" t="s">
        <v>1913</v>
      </c>
      <c r="W1721" s="28" t="s">
        <v>13671</v>
      </c>
      <c r="X1721" s="17">
        <v>1</v>
      </c>
    </row>
    <row r="1722" spans="6:24">
      <c r="F1722" s="23"/>
      <c r="I1722" s="23"/>
      <c r="L1722" s="50" t="s">
        <v>13672</v>
      </c>
      <c r="M1722" s="17" t="s">
        <v>13673</v>
      </c>
      <c r="N1722" s="51" t="s">
        <v>13674</v>
      </c>
      <c r="O1722" s="29" t="s">
        <v>1484</v>
      </c>
      <c r="P1722" s="29" t="s">
        <v>13675</v>
      </c>
      <c r="Q1722" s="29" t="s">
        <v>1484</v>
      </c>
      <c r="R1722" s="29" t="s">
        <v>4523</v>
      </c>
      <c r="S1722" s="28" t="s">
        <v>1862</v>
      </c>
      <c r="T1722" s="28" t="s">
        <v>2750</v>
      </c>
      <c r="U1722" s="28" t="s">
        <v>1446</v>
      </c>
      <c r="V1722" s="28" t="s">
        <v>1913</v>
      </c>
      <c r="W1722" s="28" t="s">
        <v>13675</v>
      </c>
      <c r="X1722" s="17">
        <v>1</v>
      </c>
    </row>
    <row r="1723" spans="6:24">
      <c r="F1723" s="23"/>
      <c r="I1723" s="23"/>
      <c r="L1723" s="50" t="s">
        <v>13676</v>
      </c>
      <c r="M1723" s="17" t="s">
        <v>13677</v>
      </c>
      <c r="N1723" s="51" t="s">
        <v>13678</v>
      </c>
      <c r="O1723" s="29" t="s">
        <v>1484</v>
      </c>
      <c r="P1723" s="29" t="s">
        <v>13679</v>
      </c>
      <c r="Q1723" s="29" t="s">
        <v>1484</v>
      </c>
      <c r="R1723" s="29" t="s">
        <v>3654</v>
      </c>
      <c r="S1723" s="28" t="s">
        <v>1626</v>
      </c>
      <c r="T1723" s="28" t="s">
        <v>2792</v>
      </c>
      <c r="U1723" s="28" t="s">
        <v>1446</v>
      </c>
      <c r="V1723" s="28" t="s">
        <v>1913</v>
      </c>
      <c r="W1723" s="28" t="s">
        <v>13680</v>
      </c>
      <c r="X1723" s="17">
        <v>1</v>
      </c>
    </row>
    <row r="1724" spans="6:24">
      <c r="F1724" s="23"/>
      <c r="I1724" s="23"/>
      <c r="L1724" s="50" t="s">
        <v>13681</v>
      </c>
      <c r="M1724" s="17" t="s">
        <v>13682</v>
      </c>
      <c r="N1724" s="51" t="s">
        <v>13683</v>
      </c>
      <c r="O1724" s="29" t="s">
        <v>1484</v>
      </c>
      <c r="P1724" s="29" t="s">
        <v>13684</v>
      </c>
      <c r="Q1724" s="29" t="s">
        <v>1484</v>
      </c>
      <c r="R1724" s="29" t="s">
        <v>3750</v>
      </c>
      <c r="S1724" s="28" t="s">
        <v>2525</v>
      </c>
      <c r="T1724" s="28" t="s">
        <v>2834</v>
      </c>
      <c r="U1724" s="28" t="s">
        <v>1446</v>
      </c>
      <c r="V1724" s="28" t="s">
        <v>1913</v>
      </c>
      <c r="W1724" s="28" t="s">
        <v>13685</v>
      </c>
      <c r="X1724" s="17">
        <v>1</v>
      </c>
    </row>
    <row r="1725" spans="6:24">
      <c r="F1725" s="23"/>
      <c r="I1725" s="23"/>
      <c r="L1725" s="50" t="s">
        <v>13686</v>
      </c>
      <c r="M1725" s="17" t="s">
        <v>13687</v>
      </c>
      <c r="N1725" s="51" t="s">
        <v>13688</v>
      </c>
      <c r="O1725" s="29" t="s">
        <v>1484</v>
      </c>
      <c r="P1725" s="29" t="s">
        <v>13689</v>
      </c>
      <c r="Q1725" s="29" t="s">
        <v>1484</v>
      </c>
      <c r="R1725" s="29" t="s">
        <v>3794</v>
      </c>
      <c r="S1725" s="28" t="s">
        <v>1977</v>
      </c>
      <c r="T1725" s="28" t="s">
        <v>2873</v>
      </c>
      <c r="U1725" s="28" t="s">
        <v>1446</v>
      </c>
      <c r="V1725" s="28" t="s">
        <v>1913</v>
      </c>
      <c r="W1725" s="28" t="s">
        <v>13690</v>
      </c>
      <c r="X1725" s="17">
        <v>1</v>
      </c>
    </row>
    <row r="1726" spans="6:24">
      <c r="F1726" s="23"/>
      <c r="I1726" s="23"/>
      <c r="L1726" s="50" t="s">
        <v>13691</v>
      </c>
      <c r="M1726" s="17" t="s">
        <v>13692</v>
      </c>
      <c r="N1726" s="51" t="s">
        <v>13693</v>
      </c>
      <c r="O1726" s="29" t="s">
        <v>1484</v>
      </c>
      <c r="P1726" s="29" t="s">
        <v>13694</v>
      </c>
      <c r="Q1726" s="29" t="s">
        <v>1484</v>
      </c>
      <c r="R1726" s="29" t="s">
        <v>13695</v>
      </c>
      <c r="S1726" s="28" t="s">
        <v>1626</v>
      </c>
      <c r="T1726" s="28" t="s">
        <v>2910</v>
      </c>
      <c r="U1726" s="28" t="s">
        <v>1446</v>
      </c>
      <c r="V1726" s="28" t="s">
        <v>1913</v>
      </c>
      <c r="W1726" s="28" t="s">
        <v>13696</v>
      </c>
      <c r="X1726" s="17">
        <v>1</v>
      </c>
    </row>
    <row r="1727" spans="6:24">
      <c r="F1727" s="23"/>
      <c r="I1727" s="23"/>
      <c r="L1727" s="50" t="s">
        <v>13697</v>
      </c>
      <c r="M1727" s="17" t="s">
        <v>13698</v>
      </c>
      <c r="N1727" s="51" t="s">
        <v>13699</v>
      </c>
      <c r="O1727" s="29" t="s">
        <v>1484</v>
      </c>
      <c r="P1727" s="29" t="s">
        <v>13700</v>
      </c>
      <c r="Q1727" s="29" t="s">
        <v>1484</v>
      </c>
      <c r="R1727" s="29" t="s">
        <v>13701</v>
      </c>
      <c r="S1727" s="28" t="s">
        <v>1502</v>
      </c>
      <c r="T1727" s="28" t="s">
        <v>2945</v>
      </c>
      <c r="U1727" s="28" t="s">
        <v>1446</v>
      </c>
      <c r="V1727" s="28" t="s">
        <v>1913</v>
      </c>
      <c r="W1727" s="28" t="s">
        <v>13702</v>
      </c>
      <c r="X1727" s="17">
        <v>1</v>
      </c>
    </row>
    <row r="1728" spans="6:24">
      <c r="F1728" s="23"/>
      <c r="I1728" s="23"/>
      <c r="L1728" s="50" t="s">
        <v>13703</v>
      </c>
      <c r="M1728" s="17" t="s">
        <v>13704</v>
      </c>
      <c r="N1728" s="51" t="s">
        <v>13705</v>
      </c>
      <c r="O1728" s="29" t="s">
        <v>1484</v>
      </c>
      <c r="P1728" s="29" t="s">
        <v>13706</v>
      </c>
      <c r="Q1728" s="29" t="s">
        <v>1484</v>
      </c>
      <c r="R1728" s="29" t="s">
        <v>13707</v>
      </c>
      <c r="S1728" s="28" t="s">
        <v>2525</v>
      </c>
      <c r="T1728" s="28" t="s">
        <v>2978</v>
      </c>
      <c r="U1728" s="28" t="s">
        <v>1446</v>
      </c>
      <c r="V1728" s="28" t="s">
        <v>1913</v>
      </c>
      <c r="W1728" s="28" t="s">
        <v>13708</v>
      </c>
      <c r="X1728" s="17">
        <v>1</v>
      </c>
    </row>
    <row r="1729" spans="6:24">
      <c r="F1729" s="23"/>
      <c r="I1729" s="23"/>
      <c r="L1729" s="50" t="s">
        <v>13709</v>
      </c>
      <c r="M1729" s="17" t="s">
        <v>13710</v>
      </c>
      <c r="N1729" s="51" t="s">
        <v>13711</v>
      </c>
      <c r="O1729" s="29" t="s">
        <v>1484</v>
      </c>
      <c r="P1729" s="29" t="s">
        <v>13712</v>
      </c>
      <c r="Q1729" s="29" t="s">
        <v>1484</v>
      </c>
      <c r="R1729" s="29" t="s">
        <v>4984</v>
      </c>
      <c r="S1729" s="28" t="s">
        <v>2311</v>
      </c>
      <c r="T1729" s="28" t="s">
        <v>3012</v>
      </c>
      <c r="U1729" s="28" t="s">
        <v>1446</v>
      </c>
      <c r="V1729" s="28" t="s">
        <v>1913</v>
      </c>
      <c r="W1729" s="28" t="s">
        <v>13713</v>
      </c>
      <c r="X1729" s="17">
        <v>1</v>
      </c>
    </row>
    <row r="1730" spans="6:24">
      <c r="F1730" s="23"/>
      <c r="I1730" s="23"/>
      <c r="L1730" s="50" t="s">
        <v>13714</v>
      </c>
      <c r="M1730" s="17" t="s">
        <v>13715</v>
      </c>
      <c r="N1730" s="51" t="s">
        <v>13716</v>
      </c>
      <c r="O1730" s="29" t="s">
        <v>1484</v>
      </c>
      <c r="P1730" s="29" t="s">
        <v>13717</v>
      </c>
      <c r="Q1730" s="29" t="s">
        <v>1484</v>
      </c>
      <c r="R1730" s="29" t="s">
        <v>5918</v>
      </c>
      <c r="S1730" s="28" t="s">
        <v>1564</v>
      </c>
      <c r="T1730" s="28" t="s">
        <v>3044</v>
      </c>
      <c r="U1730" s="28" t="s">
        <v>1446</v>
      </c>
      <c r="V1730" s="28" t="s">
        <v>1913</v>
      </c>
      <c r="W1730" s="28" t="s">
        <v>13718</v>
      </c>
      <c r="X1730" s="17">
        <v>1</v>
      </c>
    </row>
    <row r="1731" spans="6:24">
      <c r="F1731" s="23"/>
      <c r="I1731" s="23"/>
      <c r="L1731" s="50" t="s">
        <v>13719</v>
      </c>
      <c r="M1731" s="17" t="s">
        <v>13720</v>
      </c>
      <c r="N1731" s="51" t="s">
        <v>13721</v>
      </c>
      <c r="O1731" s="29" t="s">
        <v>1484</v>
      </c>
      <c r="P1731" s="29" t="s">
        <v>13722</v>
      </c>
      <c r="Q1731" s="29" t="s">
        <v>1484</v>
      </c>
      <c r="R1731" s="29" t="s">
        <v>5272</v>
      </c>
      <c r="S1731" s="28" t="s">
        <v>1743</v>
      </c>
      <c r="T1731" s="28" t="s">
        <v>3075</v>
      </c>
      <c r="U1731" s="28" t="s">
        <v>1446</v>
      </c>
      <c r="V1731" s="28" t="s">
        <v>1913</v>
      </c>
      <c r="W1731" s="28" t="s">
        <v>13722</v>
      </c>
      <c r="X1731" s="17">
        <v>1</v>
      </c>
    </row>
    <row r="1732" spans="6:24">
      <c r="F1732" s="23"/>
      <c r="I1732" s="23"/>
      <c r="L1732" s="50" t="s">
        <v>13723</v>
      </c>
      <c r="M1732" s="17" t="s">
        <v>13724</v>
      </c>
      <c r="N1732" s="51" t="s">
        <v>13725</v>
      </c>
      <c r="O1732" s="29" t="s">
        <v>1484</v>
      </c>
      <c r="P1732" s="29" t="s">
        <v>13726</v>
      </c>
      <c r="Q1732" s="29" t="s">
        <v>1484</v>
      </c>
      <c r="R1732" s="29" t="s">
        <v>6627</v>
      </c>
      <c r="S1732" s="28" t="s">
        <v>1502</v>
      </c>
      <c r="T1732" s="28" t="s">
        <v>3104</v>
      </c>
      <c r="U1732" s="28" t="s">
        <v>1446</v>
      </c>
      <c r="V1732" s="28" t="s">
        <v>1913</v>
      </c>
      <c r="W1732" s="28" t="s">
        <v>13727</v>
      </c>
      <c r="X1732" s="17">
        <v>1</v>
      </c>
    </row>
    <row r="1733" spans="6:24">
      <c r="F1733" s="23"/>
      <c r="I1733" s="23"/>
      <c r="L1733" s="50" t="s">
        <v>13728</v>
      </c>
      <c r="M1733" s="17" t="s">
        <v>13729</v>
      </c>
      <c r="N1733" s="51" t="s">
        <v>13730</v>
      </c>
      <c r="O1733" s="29" t="s">
        <v>1484</v>
      </c>
      <c r="P1733" s="29" t="s">
        <v>13731</v>
      </c>
      <c r="Q1733" s="29" t="s">
        <v>1484</v>
      </c>
      <c r="R1733" s="29" t="s">
        <v>4978</v>
      </c>
      <c r="S1733" s="28" t="s">
        <v>2525</v>
      </c>
      <c r="T1733" s="28" t="s">
        <v>3134</v>
      </c>
      <c r="U1733" s="28" t="s">
        <v>1446</v>
      </c>
      <c r="V1733" s="28" t="s">
        <v>1913</v>
      </c>
      <c r="W1733" s="28" t="s">
        <v>13732</v>
      </c>
      <c r="X1733" s="17">
        <v>1</v>
      </c>
    </row>
    <row r="1734" spans="6:24">
      <c r="F1734" s="23"/>
      <c r="I1734" s="23"/>
      <c r="L1734" s="50" t="s">
        <v>13733</v>
      </c>
      <c r="M1734" s="17" t="s">
        <v>13734</v>
      </c>
      <c r="N1734" s="51" t="s">
        <v>13735</v>
      </c>
      <c r="O1734" s="29" t="s">
        <v>1484</v>
      </c>
      <c r="P1734" s="29" t="s">
        <v>13736</v>
      </c>
      <c r="Q1734" s="29" t="s">
        <v>1484</v>
      </c>
      <c r="R1734" s="29" t="s">
        <v>6640</v>
      </c>
      <c r="S1734" s="28" t="s">
        <v>1803</v>
      </c>
      <c r="T1734" s="28" t="s">
        <v>3165</v>
      </c>
      <c r="U1734" s="28" t="s">
        <v>1446</v>
      </c>
      <c r="V1734" s="28" t="s">
        <v>1913</v>
      </c>
      <c r="W1734" s="28" t="s">
        <v>13737</v>
      </c>
      <c r="X1734" s="17">
        <v>1</v>
      </c>
    </row>
    <row r="1735" spans="6:24">
      <c r="F1735" s="23"/>
      <c r="I1735" s="23"/>
      <c r="L1735" s="50" t="s">
        <v>13738</v>
      </c>
      <c r="M1735" s="17" t="s">
        <v>13739</v>
      </c>
      <c r="N1735" s="51" t="s">
        <v>13740</v>
      </c>
      <c r="O1735" s="29" t="s">
        <v>1484</v>
      </c>
      <c r="P1735" s="29" t="s">
        <v>13741</v>
      </c>
      <c r="Q1735" s="29" t="s">
        <v>1484</v>
      </c>
      <c r="R1735" s="29" t="s">
        <v>11524</v>
      </c>
      <c r="S1735" s="28" t="s">
        <v>1920</v>
      </c>
      <c r="T1735" s="28" t="s">
        <v>3191</v>
      </c>
      <c r="U1735" s="28" t="s">
        <v>1446</v>
      </c>
      <c r="V1735" s="28" t="s">
        <v>1913</v>
      </c>
      <c r="W1735" s="28" t="s">
        <v>13742</v>
      </c>
      <c r="X1735" s="17">
        <v>1</v>
      </c>
    </row>
    <row r="1736" spans="6:24">
      <c r="F1736" s="23"/>
      <c r="I1736" s="23"/>
      <c r="L1736" s="50" t="s">
        <v>13743</v>
      </c>
      <c r="M1736" s="17" t="s">
        <v>13744</v>
      </c>
      <c r="N1736" s="51" t="s">
        <v>13745</v>
      </c>
      <c r="O1736" s="29" t="s">
        <v>1484</v>
      </c>
      <c r="P1736" s="29" t="s">
        <v>13746</v>
      </c>
      <c r="Q1736" s="29" t="s">
        <v>1484</v>
      </c>
      <c r="R1736" s="29" t="s">
        <v>13747</v>
      </c>
      <c r="S1736" s="28" t="s">
        <v>1743</v>
      </c>
      <c r="T1736" s="28" t="s">
        <v>3216</v>
      </c>
      <c r="U1736" s="28" t="s">
        <v>1446</v>
      </c>
      <c r="V1736" s="28" t="s">
        <v>1913</v>
      </c>
      <c r="W1736" s="28" t="s">
        <v>13748</v>
      </c>
      <c r="X1736" s="17">
        <v>1</v>
      </c>
    </row>
    <row r="1737" spans="6:24">
      <c r="F1737" s="23"/>
      <c r="I1737" s="23"/>
      <c r="L1737" s="50" t="s">
        <v>13749</v>
      </c>
      <c r="M1737" s="17" t="s">
        <v>13750</v>
      </c>
      <c r="N1737" s="51" t="s">
        <v>13751</v>
      </c>
      <c r="O1737" s="29" t="s">
        <v>1484</v>
      </c>
      <c r="P1737" s="29" t="s">
        <v>13752</v>
      </c>
      <c r="Q1737" s="29" t="s">
        <v>1484</v>
      </c>
      <c r="R1737" s="29" t="s">
        <v>13753</v>
      </c>
      <c r="S1737" s="28" t="s">
        <v>1803</v>
      </c>
      <c r="T1737" s="28" t="s">
        <v>3238</v>
      </c>
      <c r="U1737" s="28" t="s">
        <v>1446</v>
      </c>
      <c r="V1737" s="28" t="s">
        <v>1913</v>
      </c>
      <c r="W1737" s="28" t="s">
        <v>13754</v>
      </c>
      <c r="X1737" s="17">
        <v>1</v>
      </c>
    </row>
    <row r="1738" spans="6:24">
      <c r="F1738" s="23"/>
      <c r="I1738" s="23"/>
      <c r="L1738" s="50" t="s">
        <v>13755</v>
      </c>
      <c r="M1738" s="17" t="s">
        <v>13756</v>
      </c>
      <c r="N1738" s="51" t="s">
        <v>13757</v>
      </c>
      <c r="O1738" s="29" t="s">
        <v>1484</v>
      </c>
      <c r="P1738" s="29" t="s">
        <v>13758</v>
      </c>
      <c r="Q1738" s="29" t="s">
        <v>1484</v>
      </c>
      <c r="R1738" s="29" t="s">
        <v>13344</v>
      </c>
      <c r="S1738" s="28" t="s">
        <v>1862</v>
      </c>
      <c r="T1738" s="28" t="s">
        <v>3263</v>
      </c>
      <c r="U1738" s="28" t="s">
        <v>1446</v>
      </c>
      <c r="V1738" s="28" t="s">
        <v>1913</v>
      </c>
      <c r="W1738" s="28" t="s">
        <v>13759</v>
      </c>
      <c r="X1738" s="17">
        <v>1</v>
      </c>
    </row>
    <row r="1739" spans="6:24">
      <c r="F1739" s="23"/>
      <c r="I1739" s="23"/>
      <c r="L1739" s="50" t="s">
        <v>13760</v>
      </c>
      <c r="M1739" s="17" t="s">
        <v>13761</v>
      </c>
      <c r="N1739" s="51" t="s">
        <v>13762</v>
      </c>
      <c r="O1739" s="29" t="s">
        <v>1484</v>
      </c>
      <c r="P1739" s="29" t="s">
        <v>13763</v>
      </c>
      <c r="Q1739" s="29" t="s">
        <v>1484</v>
      </c>
      <c r="R1739" s="29" t="s">
        <v>13764</v>
      </c>
      <c r="S1739" s="28" t="s">
        <v>1920</v>
      </c>
      <c r="T1739" s="28" t="s">
        <v>3286</v>
      </c>
      <c r="U1739" s="28" t="s">
        <v>1446</v>
      </c>
      <c r="V1739" s="28" t="s">
        <v>1913</v>
      </c>
      <c r="W1739" s="28" t="s">
        <v>13765</v>
      </c>
      <c r="X1739" s="17">
        <v>1</v>
      </c>
    </row>
    <row r="1740" spans="6:24">
      <c r="F1740" s="23"/>
      <c r="I1740" s="23"/>
      <c r="L1740" s="50" t="s">
        <v>13766</v>
      </c>
      <c r="M1740" s="17" t="s">
        <v>13767</v>
      </c>
      <c r="N1740" s="51" t="s">
        <v>13768</v>
      </c>
      <c r="O1740" s="29" t="s">
        <v>1484</v>
      </c>
      <c r="P1740" s="29" t="s">
        <v>13769</v>
      </c>
      <c r="Q1740" s="29" t="s">
        <v>1484</v>
      </c>
      <c r="R1740" s="29" t="s">
        <v>13770</v>
      </c>
      <c r="S1740" s="28" t="s">
        <v>1977</v>
      </c>
      <c r="T1740" s="28" t="s">
        <v>3308</v>
      </c>
      <c r="U1740" s="28" t="s">
        <v>1446</v>
      </c>
      <c r="V1740" s="28" t="s">
        <v>1913</v>
      </c>
      <c r="W1740" s="28" t="s">
        <v>13771</v>
      </c>
      <c r="X1740" s="17">
        <v>1</v>
      </c>
    </row>
    <row r="1741" spans="6:24">
      <c r="F1741" s="23"/>
      <c r="I1741" s="23"/>
      <c r="L1741" s="50" t="s">
        <v>13772</v>
      </c>
      <c r="M1741" s="17" t="s">
        <v>13773</v>
      </c>
      <c r="N1741" s="51" t="s">
        <v>13774</v>
      </c>
      <c r="O1741" s="29" t="s">
        <v>1484</v>
      </c>
      <c r="P1741" s="29" t="s">
        <v>13775</v>
      </c>
      <c r="Q1741" s="29" t="s">
        <v>1484</v>
      </c>
      <c r="R1741" s="29" t="s">
        <v>13776</v>
      </c>
      <c r="S1741" s="28" t="s">
        <v>1743</v>
      </c>
      <c r="T1741" s="28" t="s">
        <v>3330</v>
      </c>
      <c r="U1741" s="28" t="s">
        <v>1446</v>
      </c>
      <c r="V1741" s="28" t="s">
        <v>1913</v>
      </c>
      <c r="W1741" s="28" t="s">
        <v>13777</v>
      </c>
      <c r="X1741" s="17">
        <v>1</v>
      </c>
    </row>
    <row r="1742" spans="6:24">
      <c r="F1742" s="23"/>
      <c r="I1742" s="23"/>
      <c r="L1742" s="50" t="s">
        <v>13778</v>
      </c>
      <c r="M1742" s="17" t="s">
        <v>13779</v>
      </c>
      <c r="N1742" s="51" t="s">
        <v>13780</v>
      </c>
      <c r="O1742" s="29" t="s">
        <v>1484</v>
      </c>
      <c r="P1742" s="29" t="s">
        <v>13781</v>
      </c>
      <c r="Q1742" s="29" t="s">
        <v>1484</v>
      </c>
      <c r="R1742" s="29" t="s">
        <v>13782</v>
      </c>
      <c r="S1742" s="28" t="s">
        <v>1564</v>
      </c>
      <c r="T1742" s="28" t="s">
        <v>3351</v>
      </c>
      <c r="U1742" s="28" t="s">
        <v>1446</v>
      </c>
      <c r="V1742" s="28" t="s">
        <v>1913</v>
      </c>
      <c r="W1742" s="28" t="s">
        <v>13783</v>
      </c>
      <c r="X1742" s="17">
        <v>1</v>
      </c>
    </row>
    <row r="1743" spans="6:24">
      <c r="F1743" s="23"/>
      <c r="I1743" s="23"/>
      <c r="L1743" s="50" t="s">
        <v>13784</v>
      </c>
      <c r="M1743" s="17" t="s">
        <v>13785</v>
      </c>
      <c r="N1743" s="51" t="s">
        <v>13786</v>
      </c>
      <c r="O1743" s="29" t="s">
        <v>1485</v>
      </c>
      <c r="P1743" s="29" t="s">
        <v>13787</v>
      </c>
      <c r="Q1743" s="29" t="s">
        <v>1485</v>
      </c>
      <c r="R1743" s="29" t="s">
        <v>4593</v>
      </c>
      <c r="S1743" s="28" t="s">
        <v>1626</v>
      </c>
      <c r="T1743" s="28" t="s">
        <v>1550</v>
      </c>
      <c r="U1743" s="28" t="s">
        <v>1446</v>
      </c>
      <c r="V1743" s="28" t="s">
        <v>1913</v>
      </c>
      <c r="W1743" s="28" t="s">
        <v>13788</v>
      </c>
      <c r="X1743" s="17">
        <v>1</v>
      </c>
    </row>
    <row r="1744" spans="6:24">
      <c r="F1744" s="23"/>
      <c r="I1744" s="23"/>
      <c r="L1744" s="50" t="s">
        <v>13789</v>
      </c>
      <c r="M1744" s="17" t="s">
        <v>13790</v>
      </c>
      <c r="N1744" s="51" t="s">
        <v>13791</v>
      </c>
      <c r="O1744" s="29" t="s">
        <v>1485</v>
      </c>
      <c r="P1744" s="29" t="s">
        <v>13792</v>
      </c>
      <c r="Q1744" s="29" t="s">
        <v>1485</v>
      </c>
      <c r="R1744" s="29" t="s">
        <v>1742</v>
      </c>
      <c r="S1744" s="28" t="s">
        <v>1862</v>
      </c>
      <c r="T1744" s="28" t="s">
        <v>1612</v>
      </c>
      <c r="U1744" s="28" t="s">
        <v>1446</v>
      </c>
      <c r="V1744" s="28" t="s">
        <v>1913</v>
      </c>
      <c r="W1744" s="28" t="s">
        <v>13793</v>
      </c>
      <c r="X1744" s="17">
        <v>1</v>
      </c>
    </row>
    <row r="1745" spans="6:24">
      <c r="F1745" s="23"/>
      <c r="I1745" s="23"/>
      <c r="L1745" s="50" t="s">
        <v>13794</v>
      </c>
      <c r="M1745" s="17" t="s">
        <v>13795</v>
      </c>
      <c r="N1745" s="51" t="s">
        <v>13796</v>
      </c>
      <c r="O1745" s="29" t="s">
        <v>1485</v>
      </c>
      <c r="P1745" s="29" t="s">
        <v>13797</v>
      </c>
      <c r="Q1745" s="29" t="s">
        <v>1485</v>
      </c>
      <c r="R1745" s="29" t="s">
        <v>1861</v>
      </c>
      <c r="S1745" s="28" t="s">
        <v>1977</v>
      </c>
      <c r="T1745" s="28" t="s">
        <v>1674</v>
      </c>
      <c r="U1745" s="28" t="s">
        <v>1446</v>
      </c>
      <c r="V1745" s="28" t="s">
        <v>1913</v>
      </c>
      <c r="W1745" s="28" t="s">
        <v>13798</v>
      </c>
      <c r="X1745" s="17">
        <v>1</v>
      </c>
    </row>
    <row r="1746" spans="6:24">
      <c r="F1746" s="23"/>
      <c r="I1746" s="23"/>
      <c r="L1746" s="50" t="s">
        <v>13799</v>
      </c>
      <c r="M1746" s="17" t="s">
        <v>13800</v>
      </c>
      <c r="N1746" s="51" t="s">
        <v>13801</v>
      </c>
      <c r="O1746" s="29" t="s">
        <v>1485</v>
      </c>
      <c r="P1746" s="29" t="s">
        <v>13802</v>
      </c>
      <c r="Q1746" s="29" t="s">
        <v>1485</v>
      </c>
      <c r="R1746" s="29" t="s">
        <v>1919</v>
      </c>
      <c r="S1746" s="28" t="s">
        <v>1743</v>
      </c>
      <c r="T1746" s="28" t="s">
        <v>1732</v>
      </c>
      <c r="U1746" s="28" t="s">
        <v>1446</v>
      </c>
      <c r="V1746" s="28" t="s">
        <v>1913</v>
      </c>
      <c r="W1746" s="28" t="s">
        <v>13803</v>
      </c>
      <c r="X1746" s="17">
        <v>1</v>
      </c>
    </row>
    <row r="1747" spans="6:24">
      <c r="F1747" s="23"/>
      <c r="I1747" s="23"/>
      <c r="L1747" s="50" t="s">
        <v>13804</v>
      </c>
      <c r="M1747" s="17" t="s">
        <v>13805</v>
      </c>
      <c r="N1747" s="51" t="s">
        <v>13806</v>
      </c>
      <c r="O1747" s="29" t="s">
        <v>1485</v>
      </c>
      <c r="P1747" s="29" t="s">
        <v>13807</v>
      </c>
      <c r="Q1747" s="29" t="s">
        <v>1485</v>
      </c>
      <c r="R1747" s="29" t="s">
        <v>1976</v>
      </c>
      <c r="S1747" s="28" t="s">
        <v>1803</v>
      </c>
      <c r="T1747" s="28" t="s">
        <v>1791</v>
      </c>
      <c r="U1747" s="28" t="s">
        <v>1446</v>
      </c>
      <c r="V1747" s="28" t="s">
        <v>1913</v>
      </c>
      <c r="W1747" s="28" t="s">
        <v>13808</v>
      </c>
      <c r="X1747" s="17">
        <v>1</v>
      </c>
    </row>
    <row r="1748" spans="6:24">
      <c r="F1748" s="23"/>
      <c r="I1748" s="23"/>
      <c r="L1748" s="50" t="s">
        <v>13809</v>
      </c>
      <c r="M1748" s="17" t="s">
        <v>13810</v>
      </c>
      <c r="N1748" s="51" t="s">
        <v>13811</v>
      </c>
      <c r="O1748" s="29" t="s">
        <v>1485</v>
      </c>
      <c r="P1748" s="29" t="s">
        <v>13812</v>
      </c>
      <c r="Q1748" s="29" t="s">
        <v>1485</v>
      </c>
      <c r="R1748" s="29" t="s">
        <v>2033</v>
      </c>
      <c r="S1748" s="28" t="s">
        <v>1862</v>
      </c>
      <c r="T1748" s="28" t="s">
        <v>1851</v>
      </c>
      <c r="U1748" s="28" t="s">
        <v>1446</v>
      </c>
      <c r="V1748" s="28" t="s">
        <v>1913</v>
      </c>
      <c r="W1748" s="28" t="s">
        <v>13813</v>
      </c>
      <c r="X1748" s="17">
        <v>1</v>
      </c>
    </row>
    <row r="1749" spans="6:24">
      <c r="F1749" s="23"/>
      <c r="I1749" s="23"/>
      <c r="L1749" s="50" t="s">
        <v>13814</v>
      </c>
      <c r="M1749" s="17" t="s">
        <v>13815</v>
      </c>
      <c r="N1749" s="51" t="s">
        <v>13816</v>
      </c>
      <c r="O1749" s="29" t="s">
        <v>1485</v>
      </c>
      <c r="P1749" s="29" t="s">
        <v>13817</v>
      </c>
      <c r="Q1749" s="29" t="s">
        <v>1485</v>
      </c>
      <c r="R1749" s="29" t="s">
        <v>2089</v>
      </c>
      <c r="S1749" s="28" t="s">
        <v>1920</v>
      </c>
      <c r="T1749" s="28" t="s">
        <v>1910</v>
      </c>
      <c r="U1749" s="28" t="s">
        <v>1446</v>
      </c>
      <c r="V1749" s="28" t="s">
        <v>1913</v>
      </c>
      <c r="W1749" s="28" t="s">
        <v>13818</v>
      </c>
      <c r="X1749" s="17">
        <v>1</v>
      </c>
    </row>
    <row r="1750" spans="6:24">
      <c r="F1750" s="23"/>
      <c r="I1750" s="23"/>
      <c r="L1750" s="50" t="s">
        <v>13819</v>
      </c>
      <c r="M1750" s="17" t="s">
        <v>13820</v>
      </c>
      <c r="N1750" s="51" t="s">
        <v>13821</v>
      </c>
      <c r="O1750" s="29" t="s">
        <v>1485</v>
      </c>
      <c r="P1750" s="29" t="s">
        <v>13822</v>
      </c>
      <c r="Q1750" s="29" t="s">
        <v>1485</v>
      </c>
      <c r="R1750" s="29" t="s">
        <v>2200</v>
      </c>
      <c r="S1750" s="28" t="s">
        <v>1743</v>
      </c>
      <c r="T1750" s="28" t="s">
        <v>1968</v>
      </c>
      <c r="U1750" s="28" t="s">
        <v>1446</v>
      </c>
      <c r="V1750" s="28" t="s">
        <v>1913</v>
      </c>
      <c r="W1750" s="28" t="s">
        <v>13823</v>
      </c>
      <c r="X1750" s="17">
        <v>1</v>
      </c>
    </row>
    <row r="1751" spans="6:24">
      <c r="F1751" s="23"/>
      <c r="I1751" s="23"/>
      <c r="L1751" s="50" t="s">
        <v>13824</v>
      </c>
      <c r="M1751" s="17" t="s">
        <v>13825</v>
      </c>
      <c r="N1751" s="51" t="s">
        <v>13826</v>
      </c>
      <c r="O1751" s="29" t="s">
        <v>1485</v>
      </c>
      <c r="P1751" s="29" t="s">
        <v>13827</v>
      </c>
      <c r="Q1751" s="29" t="s">
        <v>1485</v>
      </c>
      <c r="R1751" s="29" t="s">
        <v>2255</v>
      </c>
      <c r="S1751" s="28" t="s">
        <v>1803</v>
      </c>
      <c r="T1751" s="28" t="s">
        <v>2025</v>
      </c>
      <c r="U1751" s="28" t="s">
        <v>1446</v>
      </c>
      <c r="V1751" s="28" t="s">
        <v>1913</v>
      </c>
      <c r="W1751" s="28" t="s">
        <v>13828</v>
      </c>
      <c r="X1751" s="17">
        <v>1</v>
      </c>
    </row>
    <row r="1752" spans="6:24">
      <c r="F1752" s="23"/>
      <c r="I1752" s="23"/>
      <c r="L1752" s="50" t="s">
        <v>13829</v>
      </c>
      <c r="M1752" s="17" t="s">
        <v>13830</v>
      </c>
      <c r="N1752" s="51" t="s">
        <v>13831</v>
      </c>
      <c r="O1752" s="29" t="s">
        <v>1485</v>
      </c>
      <c r="P1752" s="29" t="s">
        <v>13832</v>
      </c>
      <c r="Q1752" s="29" t="s">
        <v>1485</v>
      </c>
      <c r="R1752" s="29" t="s">
        <v>13833</v>
      </c>
      <c r="S1752" s="28" t="s">
        <v>1564</v>
      </c>
      <c r="T1752" s="28" t="s">
        <v>2081</v>
      </c>
      <c r="U1752" s="28" t="s">
        <v>1446</v>
      </c>
      <c r="V1752" s="28" t="s">
        <v>1913</v>
      </c>
      <c r="W1752" s="28" t="s">
        <v>13834</v>
      </c>
      <c r="X1752" s="17">
        <v>1</v>
      </c>
    </row>
    <row r="1753" spans="6:24">
      <c r="F1753" s="23"/>
      <c r="I1753" s="23"/>
      <c r="L1753" s="50" t="s">
        <v>13835</v>
      </c>
      <c r="M1753" s="17" t="s">
        <v>13836</v>
      </c>
      <c r="N1753" s="51" t="s">
        <v>13837</v>
      </c>
      <c r="O1753" s="29" t="s">
        <v>1485</v>
      </c>
      <c r="P1753" s="29" t="s">
        <v>13838</v>
      </c>
      <c r="Q1753" s="29" t="s">
        <v>1485</v>
      </c>
      <c r="R1753" s="29" t="s">
        <v>4716</v>
      </c>
      <c r="S1753" s="28" t="s">
        <v>1626</v>
      </c>
      <c r="T1753" s="28" t="s">
        <v>2137</v>
      </c>
      <c r="U1753" s="28" t="s">
        <v>1446</v>
      </c>
      <c r="V1753" s="28" t="s">
        <v>1913</v>
      </c>
      <c r="W1753" s="28" t="s">
        <v>13839</v>
      </c>
      <c r="X1753" s="17">
        <v>1</v>
      </c>
    </row>
    <row r="1754" spans="6:24">
      <c r="F1754" s="23"/>
      <c r="I1754" s="23"/>
      <c r="L1754" s="50" t="s">
        <v>13840</v>
      </c>
      <c r="M1754" s="17" t="s">
        <v>13841</v>
      </c>
      <c r="N1754" s="51" t="s">
        <v>13842</v>
      </c>
      <c r="O1754" s="29" t="s">
        <v>1485</v>
      </c>
      <c r="P1754" s="29" t="s">
        <v>13843</v>
      </c>
      <c r="Q1754" s="29" t="s">
        <v>1485</v>
      </c>
      <c r="R1754" s="29" t="s">
        <v>5614</v>
      </c>
      <c r="S1754" s="28" t="s">
        <v>1502</v>
      </c>
      <c r="T1754" s="28" t="s">
        <v>2193</v>
      </c>
      <c r="U1754" s="28" t="s">
        <v>1446</v>
      </c>
      <c r="V1754" s="28" t="s">
        <v>1913</v>
      </c>
      <c r="W1754" s="28" t="s">
        <v>13844</v>
      </c>
      <c r="X1754" s="17">
        <v>1</v>
      </c>
    </row>
    <row r="1755" spans="6:24">
      <c r="F1755" s="23"/>
      <c r="I1755" s="23"/>
      <c r="L1755" s="50" t="s">
        <v>13845</v>
      </c>
      <c r="M1755" s="17" t="s">
        <v>13846</v>
      </c>
      <c r="N1755" s="51" t="s">
        <v>13847</v>
      </c>
      <c r="O1755" s="29" t="s">
        <v>1485</v>
      </c>
      <c r="P1755" s="29" t="s">
        <v>13848</v>
      </c>
      <c r="Q1755" s="29" t="s">
        <v>1485</v>
      </c>
      <c r="R1755" s="29" t="s">
        <v>13849</v>
      </c>
      <c r="S1755" s="28" t="s">
        <v>1977</v>
      </c>
      <c r="T1755" s="28" t="s">
        <v>2248</v>
      </c>
      <c r="U1755" s="28" t="s">
        <v>1446</v>
      </c>
      <c r="V1755" s="28" t="s">
        <v>1913</v>
      </c>
      <c r="W1755" s="28" t="s">
        <v>13850</v>
      </c>
      <c r="X1755" s="17">
        <v>1</v>
      </c>
    </row>
    <row r="1756" spans="6:24">
      <c r="F1756" s="23"/>
      <c r="I1756" s="23"/>
      <c r="L1756" s="50" t="s">
        <v>13851</v>
      </c>
      <c r="M1756" s="17" t="s">
        <v>13852</v>
      </c>
      <c r="N1756" s="51" t="s">
        <v>13853</v>
      </c>
      <c r="O1756" s="29" t="s">
        <v>1485</v>
      </c>
      <c r="P1756" s="29" t="s">
        <v>13854</v>
      </c>
      <c r="Q1756" s="29" t="s">
        <v>1485</v>
      </c>
      <c r="R1756" s="29" t="s">
        <v>5197</v>
      </c>
      <c r="S1756" s="28" t="s">
        <v>2311</v>
      </c>
      <c r="T1756" s="28" t="s">
        <v>2303</v>
      </c>
      <c r="U1756" s="28" t="s">
        <v>1446</v>
      </c>
      <c r="V1756" s="28" t="s">
        <v>1913</v>
      </c>
      <c r="W1756" s="28" t="s">
        <v>13855</v>
      </c>
      <c r="X1756" s="17">
        <v>2</v>
      </c>
    </row>
    <row r="1757" spans="6:24">
      <c r="F1757" s="23"/>
      <c r="I1757" s="23"/>
      <c r="L1757" s="50" t="s">
        <v>13856</v>
      </c>
      <c r="M1757" s="17" t="s">
        <v>13857</v>
      </c>
      <c r="N1757" s="51" t="s">
        <v>13858</v>
      </c>
      <c r="O1757" s="29" t="s">
        <v>1485</v>
      </c>
      <c r="P1757" s="29" t="s">
        <v>13859</v>
      </c>
      <c r="Q1757" s="29" t="s">
        <v>1485</v>
      </c>
      <c r="R1757" s="29" t="s">
        <v>2310</v>
      </c>
      <c r="S1757" s="28" t="s">
        <v>1626</v>
      </c>
      <c r="T1757" s="28" t="s">
        <v>2358</v>
      </c>
      <c r="U1757" s="28" t="s">
        <v>1446</v>
      </c>
      <c r="V1757" s="28" t="s">
        <v>1913</v>
      </c>
      <c r="W1757" s="28" t="s">
        <v>13860</v>
      </c>
      <c r="X1757" s="17">
        <v>3</v>
      </c>
    </row>
    <row r="1758" spans="6:24">
      <c r="F1758" s="23"/>
      <c r="I1758" s="23"/>
      <c r="L1758" s="50" t="s">
        <v>13861</v>
      </c>
      <c r="M1758" s="17" t="s">
        <v>13862</v>
      </c>
      <c r="N1758" s="51" t="s">
        <v>13863</v>
      </c>
      <c r="O1758" s="29" t="s">
        <v>1485</v>
      </c>
      <c r="P1758" s="29" t="s">
        <v>13864</v>
      </c>
      <c r="Q1758" s="29" t="s">
        <v>1485</v>
      </c>
      <c r="R1758" s="29" t="s">
        <v>4653</v>
      </c>
      <c r="S1758" s="28" t="s">
        <v>1502</v>
      </c>
      <c r="T1758" s="28" t="s">
        <v>2413</v>
      </c>
      <c r="U1758" s="28" t="s">
        <v>1446</v>
      </c>
      <c r="V1758" s="28" t="s">
        <v>1913</v>
      </c>
      <c r="W1758" s="28" t="s">
        <v>13865</v>
      </c>
      <c r="X1758" s="17">
        <v>4</v>
      </c>
    </row>
    <row r="1759" spans="6:24">
      <c r="F1759" s="23"/>
      <c r="I1759" s="23"/>
      <c r="L1759" s="50" t="s">
        <v>13866</v>
      </c>
      <c r="M1759" s="17" t="s">
        <v>13867</v>
      </c>
      <c r="N1759" s="51" t="s">
        <v>13868</v>
      </c>
      <c r="O1759" s="29" t="s">
        <v>1485</v>
      </c>
      <c r="P1759" s="29" t="s">
        <v>13869</v>
      </c>
      <c r="Q1759" s="29" t="s">
        <v>1485</v>
      </c>
      <c r="R1759" s="29" t="s">
        <v>5017</v>
      </c>
      <c r="S1759" s="28" t="s">
        <v>2525</v>
      </c>
      <c r="T1759" s="28" t="s">
        <v>2467</v>
      </c>
      <c r="U1759" s="28" t="s">
        <v>1446</v>
      </c>
      <c r="V1759" s="28" t="s">
        <v>1913</v>
      </c>
      <c r="W1759" s="28" t="s">
        <v>13870</v>
      </c>
      <c r="X1759" s="17">
        <v>5</v>
      </c>
    </row>
    <row r="1760" spans="6:24">
      <c r="F1760" s="23"/>
      <c r="I1760" s="23"/>
      <c r="L1760" s="50" t="s">
        <v>13871</v>
      </c>
      <c r="M1760" s="17" t="s">
        <v>13872</v>
      </c>
      <c r="N1760" s="51" t="s">
        <v>13873</v>
      </c>
      <c r="O1760" s="29" t="s">
        <v>1485</v>
      </c>
      <c r="P1760" s="29" t="s">
        <v>13874</v>
      </c>
      <c r="Q1760" s="29" t="s">
        <v>1485</v>
      </c>
      <c r="R1760" s="29" t="s">
        <v>3142</v>
      </c>
      <c r="S1760" s="28" t="s">
        <v>2311</v>
      </c>
      <c r="T1760" s="28" t="s">
        <v>2517</v>
      </c>
      <c r="U1760" s="28" t="s">
        <v>1446</v>
      </c>
      <c r="V1760" s="28" t="s">
        <v>1913</v>
      </c>
      <c r="W1760" s="28" t="s">
        <v>13875</v>
      </c>
      <c r="X1760" s="17">
        <v>6</v>
      </c>
    </row>
    <row r="1761" spans="6:24">
      <c r="F1761" s="23"/>
      <c r="I1761" s="23"/>
      <c r="L1761" s="50" t="s">
        <v>13876</v>
      </c>
      <c r="M1761" s="17" t="s">
        <v>13877</v>
      </c>
      <c r="N1761" s="51" t="s">
        <v>13878</v>
      </c>
      <c r="O1761" s="29" t="s">
        <v>1485</v>
      </c>
      <c r="P1761" s="29" t="s">
        <v>13879</v>
      </c>
      <c r="Q1761" s="29" t="s">
        <v>1485</v>
      </c>
      <c r="R1761" s="29" t="s">
        <v>8722</v>
      </c>
      <c r="S1761" s="28" t="s">
        <v>1977</v>
      </c>
      <c r="T1761" s="28" t="s">
        <v>2569</v>
      </c>
      <c r="U1761" s="28" t="s">
        <v>1446</v>
      </c>
      <c r="V1761" s="28" t="s">
        <v>1913</v>
      </c>
      <c r="W1761" s="28" t="s">
        <v>13880</v>
      </c>
      <c r="X1761" s="17">
        <v>7</v>
      </c>
    </row>
    <row r="1762" spans="6:24">
      <c r="F1762" s="23"/>
      <c r="I1762" s="23"/>
      <c r="L1762" s="50" t="s">
        <v>13881</v>
      </c>
      <c r="M1762" s="17" t="s">
        <v>13882</v>
      </c>
      <c r="N1762" s="51" t="s">
        <v>13883</v>
      </c>
      <c r="O1762" s="29" t="s">
        <v>1485</v>
      </c>
      <c r="P1762" s="29" t="s">
        <v>13884</v>
      </c>
      <c r="Q1762" s="29" t="s">
        <v>1485</v>
      </c>
      <c r="R1762" s="29" t="s">
        <v>5747</v>
      </c>
      <c r="S1762" s="28" t="s">
        <v>1803</v>
      </c>
      <c r="T1762" s="28" t="s">
        <v>2616</v>
      </c>
      <c r="U1762" s="28" t="s">
        <v>1446</v>
      </c>
      <c r="V1762" s="28" t="s">
        <v>1913</v>
      </c>
      <c r="W1762" s="28" t="s">
        <v>13885</v>
      </c>
      <c r="X1762" s="17">
        <v>8</v>
      </c>
    </row>
    <row r="1763" spans="6:24">
      <c r="F1763" s="23"/>
      <c r="I1763" s="23"/>
      <c r="L1763" s="50" t="s">
        <v>13886</v>
      </c>
      <c r="M1763" s="17" t="s">
        <v>13887</v>
      </c>
      <c r="N1763" s="51" t="s">
        <v>13888</v>
      </c>
      <c r="O1763" s="29" t="s">
        <v>1485</v>
      </c>
      <c r="P1763" s="29" t="s">
        <v>13889</v>
      </c>
      <c r="Q1763" s="29" t="s">
        <v>1485</v>
      </c>
      <c r="R1763" s="29" t="s">
        <v>13890</v>
      </c>
      <c r="S1763" s="28" t="s">
        <v>1977</v>
      </c>
      <c r="T1763" s="28" t="s">
        <v>2661</v>
      </c>
      <c r="U1763" s="28" t="s">
        <v>1446</v>
      </c>
      <c r="V1763" s="28" t="s">
        <v>1913</v>
      </c>
      <c r="W1763" s="28" t="s">
        <v>13891</v>
      </c>
      <c r="X1763" s="17">
        <v>9</v>
      </c>
    </row>
    <row r="1764" spans="6:24">
      <c r="F1764" s="23"/>
      <c r="I1764" s="23"/>
      <c r="L1764" s="50" t="s">
        <v>13892</v>
      </c>
      <c r="M1764" s="17" t="s">
        <v>13893</v>
      </c>
      <c r="N1764" s="51" t="s">
        <v>13894</v>
      </c>
      <c r="O1764" s="29" t="s">
        <v>1485</v>
      </c>
      <c r="P1764" s="29" t="s">
        <v>13895</v>
      </c>
      <c r="Q1764" s="29" t="s">
        <v>1485</v>
      </c>
      <c r="R1764" s="29" t="s">
        <v>13896</v>
      </c>
      <c r="S1764" s="28" t="s">
        <v>1803</v>
      </c>
      <c r="T1764" s="28" t="s">
        <v>2707</v>
      </c>
      <c r="U1764" s="28" t="s">
        <v>1446</v>
      </c>
      <c r="V1764" s="28" t="s">
        <v>1913</v>
      </c>
      <c r="W1764" s="28" t="s">
        <v>13897</v>
      </c>
      <c r="X1764" s="17">
        <v>10</v>
      </c>
    </row>
    <row r="1765" spans="6:24">
      <c r="F1765" s="23"/>
      <c r="I1765" s="23"/>
      <c r="L1765" s="50" t="s">
        <v>13898</v>
      </c>
      <c r="M1765" s="17" t="s">
        <v>13899</v>
      </c>
      <c r="N1765" s="51" t="s">
        <v>13900</v>
      </c>
      <c r="O1765" s="29" t="s">
        <v>1485</v>
      </c>
      <c r="P1765" s="29" t="s">
        <v>13901</v>
      </c>
      <c r="Q1765" s="29" t="s">
        <v>1485</v>
      </c>
      <c r="R1765" s="29" t="s">
        <v>13902</v>
      </c>
      <c r="S1765" s="28" t="s">
        <v>1862</v>
      </c>
      <c r="T1765" s="28" t="s">
        <v>2751</v>
      </c>
      <c r="U1765" s="28" t="s">
        <v>1446</v>
      </c>
      <c r="V1765" s="28" t="s">
        <v>1913</v>
      </c>
      <c r="W1765" s="28" t="s">
        <v>13903</v>
      </c>
      <c r="X1765" s="17">
        <v>11</v>
      </c>
    </row>
    <row r="1766" spans="6:24">
      <c r="F1766" s="23"/>
      <c r="I1766" s="23"/>
      <c r="L1766" s="50" t="s">
        <v>13904</v>
      </c>
      <c r="M1766" s="17" t="s">
        <v>13905</v>
      </c>
      <c r="N1766" s="51" t="s">
        <v>13906</v>
      </c>
      <c r="O1766" s="29" t="s">
        <v>1485</v>
      </c>
      <c r="P1766" s="29" t="s">
        <v>13907</v>
      </c>
      <c r="Q1766" s="29" t="s">
        <v>1485</v>
      </c>
      <c r="R1766" s="29" t="s">
        <v>13908</v>
      </c>
      <c r="S1766" s="28" t="s">
        <v>1502</v>
      </c>
      <c r="T1766" s="28" t="s">
        <v>2793</v>
      </c>
      <c r="U1766" s="28" t="s">
        <v>1446</v>
      </c>
      <c r="V1766" s="28" t="s">
        <v>1913</v>
      </c>
      <c r="W1766" s="28" t="s">
        <v>13909</v>
      </c>
      <c r="X1766" s="17">
        <v>12</v>
      </c>
    </row>
    <row r="1767" spans="6:24">
      <c r="F1767" s="23"/>
      <c r="I1767" s="23"/>
      <c r="L1767" s="50" t="s">
        <v>13910</v>
      </c>
      <c r="M1767" s="17" t="s">
        <v>13911</v>
      </c>
      <c r="N1767" s="51" t="s">
        <v>13912</v>
      </c>
      <c r="O1767" s="29" t="s">
        <v>1485</v>
      </c>
      <c r="P1767" s="29" t="s">
        <v>13913</v>
      </c>
      <c r="Q1767" s="29" t="s">
        <v>1485</v>
      </c>
      <c r="R1767" s="29" t="s">
        <v>5190</v>
      </c>
      <c r="S1767" s="28" t="s">
        <v>1626</v>
      </c>
      <c r="T1767" s="28" t="s">
        <v>2835</v>
      </c>
      <c r="U1767" s="28" t="s">
        <v>1446</v>
      </c>
      <c r="V1767" s="28" t="s">
        <v>1913</v>
      </c>
      <c r="W1767" s="28" t="s">
        <v>13914</v>
      </c>
      <c r="X1767" s="17">
        <v>13</v>
      </c>
    </row>
    <row r="1768" spans="6:24">
      <c r="F1768" s="23"/>
      <c r="I1768" s="23"/>
      <c r="L1768" s="50" t="s">
        <v>13915</v>
      </c>
      <c r="M1768" s="17" t="s">
        <v>13916</v>
      </c>
      <c r="N1768" s="51" t="s">
        <v>13917</v>
      </c>
      <c r="O1768" s="29" t="s">
        <v>1485</v>
      </c>
      <c r="P1768" s="29" t="s">
        <v>13918</v>
      </c>
      <c r="Q1768" s="29" t="s">
        <v>1485</v>
      </c>
      <c r="R1768" s="29" t="s">
        <v>9539</v>
      </c>
      <c r="S1768" s="28" t="s">
        <v>1977</v>
      </c>
      <c r="T1768" s="28" t="s">
        <v>2874</v>
      </c>
      <c r="U1768" s="28" t="s">
        <v>1446</v>
      </c>
      <c r="V1768" s="28" t="s">
        <v>1913</v>
      </c>
      <c r="W1768" s="28" t="s">
        <v>13919</v>
      </c>
      <c r="X1768" s="17">
        <v>14</v>
      </c>
    </row>
    <row r="1769" spans="6:24">
      <c r="F1769" s="23"/>
      <c r="I1769" s="23"/>
      <c r="L1769" s="50" t="s">
        <v>13920</v>
      </c>
      <c r="M1769" s="17" t="s">
        <v>13921</v>
      </c>
      <c r="N1769" s="51" t="s">
        <v>13922</v>
      </c>
      <c r="O1769" s="29" t="s">
        <v>1485</v>
      </c>
      <c r="P1769" s="29" t="s">
        <v>13923</v>
      </c>
      <c r="Q1769" s="29" t="s">
        <v>1485</v>
      </c>
      <c r="R1769" s="29" t="s">
        <v>6894</v>
      </c>
      <c r="S1769" s="28" t="s">
        <v>1743</v>
      </c>
      <c r="T1769" s="28" t="s">
        <v>2911</v>
      </c>
      <c r="U1769" s="28" t="s">
        <v>1446</v>
      </c>
      <c r="V1769" s="28" t="s">
        <v>1913</v>
      </c>
      <c r="W1769" s="28" t="s">
        <v>13924</v>
      </c>
      <c r="X1769" s="17">
        <v>15</v>
      </c>
    </row>
    <row r="1770" spans="6:24">
      <c r="F1770" s="23"/>
      <c r="I1770" s="23"/>
      <c r="L1770" s="50" t="s">
        <v>13925</v>
      </c>
      <c r="M1770" s="17" t="s">
        <v>13926</v>
      </c>
      <c r="N1770" s="51" t="s">
        <v>13927</v>
      </c>
      <c r="O1770" s="29" t="s">
        <v>1485</v>
      </c>
      <c r="P1770" s="29" t="s">
        <v>13928</v>
      </c>
      <c r="Q1770" s="29" t="s">
        <v>1485</v>
      </c>
      <c r="R1770" s="29" t="s">
        <v>5347</v>
      </c>
      <c r="S1770" s="28" t="s">
        <v>1803</v>
      </c>
      <c r="T1770" s="28" t="s">
        <v>2946</v>
      </c>
      <c r="U1770" s="28" t="s">
        <v>1446</v>
      </c>
      <c r="V1770" s="28" t="s">
        <v>1913</v>
      </c>
      <c r="W1770" s="28" t="s">
        <v>13929</v>
      </c>
      <c r="X1770" s="17">
        <v>16</v>
      </c>
    </row>
    <row r="1771" spans="6:24">
      <c r="F1771" s="23"/>
      <c r="I1771" s="23"/>
      <c r="L1771" s="50" t="s">
        <v>13930</v>
      </c>
      <c r="M1771" s="17" t="s">
        <v>13931</v>
      </c>
      <c r="N1771" s="51" t="s">
        <v>13932</v>
      </c>
      <c r="O1771" s="29" t="s">
        <v>1485</v>
      </c>
      <c r="P1771" s="29" t="s">
        <v>13933</v>
      </c>
      <c r="Q1771" s="29" t="s">
        <v>1485</v>
      </c>
      <c r="R1771" s="29" t="s">
        <v>11312</v>
      </c>
      <c r="S1771" s="28" t="s">
        <v>1862</v>
      </c>
      <c r="T1771" s="28" t="s">
        <v>2979</v>
      </c>
      <c r="U1771" s="28" t="s">
        <v>1446</v>
      </c>
      <c r="V1771" s="28" t="s">
        <v>1913</v>
      </c>
      <c r="W1771" s="28" t="s">
        <v>13934</v>
      </c>
      <c r="X1771" s="17">
        <v>17</v>
      </c>
    </row>
    <row r="1772" spans="6:24">
      <c r="F1772" s="23"/>
      <c r="I1772" s="23"/>
      <c r="L1772" s="50" t="s">
        <v>13935</v>
      </c>
      <c r="M1772" s="17" t="s">
        <v>13936</v>
      </c>
      <c r="N1772" s="51" t="s">
        <v>13937</v>
      </c>
      <c r="O1772" s="29" t="s">
        <v>1485</v>
      </c>
      <c r="P1772" s="29" t="s">
        <v>13938</v>
      </c>
      <c r="Q1772" s="29" t="s">
        <v>1485</v>
      </c>
      <c r="R1772" s="29" t="s">
        <v>7268</v>
      </c>
      <c r="S1772" s="28" t="s">
        <v>1920</v>
      </c>
      <c r="T1772" s="28" t="s">
        <v>3013</v>
      </c>
      <c r="U1772" s="28" t="s">
        <v>1446</v>
      </c>
      <c r="V1772" s="28" t="s">
        <v>1913</v>
      </c>
      <c r="W1772" s="28" t="s">
        <v>13939</v>
      </c>
      <c r="X1772" s="17">
        <v>18</v>
      </c>
    </row>
    <row r="1773" spans="6:24">
      <c r="F1773" s="23"/>
      <c r="I1773" s="23"/>
      <c r="L1773" s="50" t="s">
        <v>13940</v>
      </c>
      <c r="M1773" s="17" t="s">
        <v>13941</v>
      </c>
      <c r="N1773" s="51" t="s">
        <v>13942</v>
      </c>
      <c r="O1773" s="29" t="s">
        <v>1485</v>
      </c>
      <c r="P1773" s="29" t="s">
        <v>13943</v>
      </c>
      <c r="Q1773" s="29" t="s">
        <v>1485</v>
      </c>
      <c r="R1773" s="29" t="s">
        <v>5360</v>
      </c>
      <c r="S1773" s="28" t="s">
        <v>1920</v>
      </c>
      <c r="T1773" s="28" t="s">
        <v>3045</v>
      </c>
      <c r="U1773" s="28" t="s">
        <v>1446</v>
      </c>
      <c r="V1773" s="28" t="s">
        <v>1913</v>
      </c>
      <c r="W1773" s="28" t="s">
        <v>13944</v>
      </c>
      <c r="X1773" s="17">
        <v>19</v>
      </c>
    </row>
    <row r="1774" spans="6:24">
      <c r="F1774" s="23"/>
      <c r="I1774" s="23"/>
      <c r="L1774" s="50" t="s">
        <v>13945</v>
      </c>
      <c r="M1774" s="17" t="s">
        <v>13946</v>
      </c>
      <c r="N1774" s="51" t="s">
        <v>13947</v>
      </c>
      <c r="O1774" s="29" t="s">
        <v>1485</v>
      </c>
      <c r="P1774" s="29" t="s">
        <v>13948</v>
      </c>
      <c r="Q1774" s="29" t="s">
        <v>1485</v>
      </c>
      <c r="R1774" s="29" t="s">
        <v>8765</v>
      </c>
      <c r="S1774" s="28" t="s">
        <v>1743</v>
      </c>
      <c r="T1774" s="28" t="s">
        <v>3076</v>
      </c>
      <c r="U1774" s="28" t="s">
        <v>1446</v>
      </c>
      <c r="V1774" s="28" t="s">
        <v>1913</v>
      </c>
      <c r="W1774" s="28" t="s">
        <v>13949</v>
      </c>
      <c r="X1774" s="17">
        <v>20</v>
      </c>
    </row>
    <row r="1775" spans="6:24">
      <c r="F1775" s="23"/>
      <c r="I1775" s="23"/>
      <c r="L1775" s="50" t="s">
        <v>13950</v>
      </c>
      <c r="M1775" s="17" t="s">
        <v>13951</v>
      </c>
      <c r="N1775" s="51" t="s">
        <v>13952</v>
      </c>
      <c r="O1775" s="29" t="s">
        <v>1485</v>
      </c>
      <c r="P1775" s="29" t="s">
        <v>13953</v>
      </c>
      <c r="Q1775" s="29" t="s">
        <v>1485</v>
      </c>
      <c r="R1775" s="29" t="s">
        <v>13954</v>
      </c>
      <c r="S1775" s="28" t="s">
        <v>1920</v>
      </c>
      <c r="T1775" s="28" t="s">
        <v>3105</v>
      </c>
      <c r="U1775" s="28" t="s">
        <v>1446</v>
      </c>
      <c r="V1775" s="28" t="s">
        <v>1913</v>
      </c>
      <c r="W1775" s="28" t="s">
        <v>13955</v>
      </c>
      <c r="X1775" s="17">
        <v>21</v>
      </c>
    </row>
    <row r="1776" spans="6:24">
      <c r="F1776" s="23"/>
      <c r="I1776" s="23"/>
      <c r="L1776" s="50" t="s">
        <v>13956</v>
      </c>
      <c r="M1776" s="17" t="s">
        <v>13957</v>
      </c>
      <c r="N1776" s="51" t="s">
        <v>13958</v>
      </c>
      <c r="O1776" s="29" t="s">
        <v>1485</v>
      </c>
      <c r="P1776" s="29" t="s">
        <v>13959</v>
      </c>
      <c r="Q1776" s="29" t="s">
        <v>1485</v>
      </c>
      <c r="R1776" s="29" t="s">
        <v>13960</v>
      </c>
      <c r="S1776" s="28" t="s">
        <v>1977</v>
      </c>
      <c r="T1776" s="28" t="s">
        <v>3135</v>
      </c>
      <c r="U1776" s="28" t="s">
        <v>1446</v>
      </c>
      <c r="V1776" s="28" t="s">
        <v>1913</v>
      </c>
      <c r="W1776" s="28" t="s">
        <v>13961</v>
      </c>
      <c r="X1776" s="17">
        <v>22</v>
      </c>
    </row>
    <row r="1777" spans="6:24">
      <c r="F1777" s="23"/>
      <c r="I1777" s="23"/>
      <c r="L1777" s="50" t="s">
        <v>13962</v>
      </c>
      <c r="M1777" s="17" t="s">
        <v>13963</v>
      </c>
      <c r="N1777" s="51" t="s">
        <v>13964</v>
      </c>
      <c r="O1777" s="29" t="s">
        <v>1485</v>
      </c>
      <c r="P1777" s="29" t="s">
        <v>13965</v>
      </c>
      <c r="Q1777" s="29" t="s">
        <v>1485</v>
      </c>
      <c r="R1777" s="29" t="s">
        <v>13966</v>
      </c>
      <c r="S1777" s="28" t="s">
        <v>2311</v>
      </c>
      <c r="T1777" s="28" t="s">
        <v>3166</v>
      </c>
      <c r="U1777" s="28" t="s">
        <v>1446</v>
      </c>
      <c r="V1777" s="28" t="s">
        <v>1913</v>
      </c>
      <c r="W1777" s="28" t="s">
        <v>13965</v>
      </c>
      <c r="X1777" s="17">
        <v>23</v>
      </c>
    </row>
    <row r="1778" spans="6:24">
      <c r="F1778" s="23"/>
      <c r="I1778" s="23"/>
      <c r="L1778" s="50" t="s">
        <v>13967</v>
      </c>
      <c r="M1778" s="17" t="s">
        <v>13968</v>
      </c>
      <c r="N1778" s="51" t="s">
        <v>13969</v>
      </c>
      <c r="O1778" s="29" t="s">
        <v>1485</v>
      </c>
      <c r="P1778" s="29" t="s">
        <v>13970</v>
      </c>
      <c r="Q1778" s="29" t="s">
        <v>1485</v>
      </c>
      <c r="R1778" s="29" t="s">
        <v>12261</v>
      </c>
      <c r="S1778" s="28" t="s">
        <v>1564</v>
      </c>
      <c r="T1778" s="28" t="s">
        <v>3192</v>
      </c>
      <c r="U1778" s="28" t="s">
        <v>1446</v>
      </c>
      <c r="V1778" s="28" t="s">
        <v>1913</v>
      </c>
      <c r="W1778" s="28" t="s">
        <v>13970</v>
      </c>
      <c r="X1778" s="17">
        <v>24</v>
      </c>
    </row>
    <row r="1779" spans="6:24">
      <c r="F1779" s="23"/>
      <c r="I1779" s="23"/>
      <c r="L1779" s="50" t="s">
        <v>13971</v>
      </c>
      <c r="M1779" s="17" t="s">
        <v>13972</v>
      </c>
      <c r="N1779" s="51" t="s">
        <v>13973</v>
      </c>
      <c r="O1779" s="29" t="s">
        <v>1485</v>
      </c>
      <c r="P1779" s="29" t="s">
        <v>13974</v>
      </c>
      <c r="Q1779" s="29" t="s">
        <v>1485</v>
      </c>
      <c r="R1779" s="29" t="s">
        <v>13975</v>
      </c>
      <c r="S1779" s="28" t="s">
        <v>1626</v>
      </c>
      <c r="T1779" s="28" t="s">
        <v>3217</v>
      </c>
      <c r="U1779" s="28" t="s">
        <v>1446</v>
      </c>
      <c r="V1779" s="28" t="s">
        <v>1913</v>
      </c>
      <c r="W1779" s="28" t="s">
        <v>13976</v>
      </c>
      <c r="X1779" s="17">
        <v>25</v>
      </c>
    </row>
    <row r="1780" spans="6:24">
      <c r="F1780" s="23"/>
      <c r="I1780" s="23"/>
      <c r="L1780" s="50" t="s">
        <v>13977</v>
      </c>
      <c r="M1780" s="17" t="s">
        <v>13978</v>
      </c>
      <c r="N1780" s="51" t="s">
        <v>13979</v>
      </c>
      <c r="O1780" s="29" t="s">
        <v>1485</v>
      </c>
      <c r="P1780" s="29" t="s">
        <v>13980</v>
      </c>
      <c r="Q1780" s="29" t="s">
        <v>1485</v>
      </c>
      <c r="R1780" s="29" t="s">
        <v>13981</v>
      </c>
      <c r="S1780" s="28" t="s">
        <v>1502</v>
      </c>
      <c r="T1780" s="28" t="s">
        <v>3239</v>
      </c>
      <c r="U1780" s="28" t="s">
        <v>1446</v>
      </c>
      <c r="V1780" s="28" t="s">
        <v>1913</v>
      </c>
      <c r="W1780" s="28" t="s">
        <v>13982</v>
      </c>
      <c r="X1780" s="17">
        <v>26</v>
      </c>
    </row>
    <row r="1781" spans="6:24">
      <c r="F1781" s="23"/>
      <c r="I1781" s="23"/>
      <c r="L1781" s="50" t="s">
        <v>13983</v>
      </c>
      <c r="M1781" s="17" t="s">
        <v>13984</v>
      </c>
      <c r="N1781" s="51" t="s">
        <v>13985</v>
      </c>
      <c r="O1781" s="29" t="s">
        <v>1485</v>
      </c>
      <c r="P1781" s="29" t="s">
        <v>13986</v>
      </c>
      <c r="Q1781" s="29" t="s">
        <v>1485</v>
      </c>
      <c r="R1781" s="29" t="s">
        <v>13987</v>
      </c>
      <c r="S1781" s="28" t="s">
        <v>2525</v>
      </c>
      <c r="T1781" s="28" t="s">
        <v>3264</v>
      </c>
      <c r="U1781" s="28" t="s">
        <v>1446</v>
      </c>
      <c r="V1781" s="28" t="s">
        <v>1913</v>
      </c>
      <c r="W1781" s="28" t="s">
        <v>13988</v>
      </c>
      <c r="X1781" s="17">
        <v>27</v>
      </c>
    </row>
    <row r="1782" spans="6:24">
      <c r="F1782" s="23"/>
      <c r="I1782" s="23"/>
      <c r="L1782" s="50" t="s">
        <v>13989</v>
      </c>
      <c r="M1782" s="17" t="s">
        <v>13990</v>
      </c>
      <c r="N1782" s="51" t="s">
        <v>13991</v>
      </c>
      <c r="O1782" s="29" t="s">
        <v>1485</v>
      </c>
      <c r="P1782" s="29" t="s">
        <v>13992</v>
      </c>
      <c r="Q1782" s="29" t="s">
        <v>1485</v>
      </c>
      <c r="R1782" s="29" t="s">
        <v>13993</v>
      </c>
      <c r="S1782" s="28" t="s">
        <v>2311</v>
      </c>
      <c r="T1782" s="28" t="s">
        <v>3287</v>
      </c>
      <c r="U1782" s="28" t="s">
        <v>1446</v>
      </c>
      <c r="V1782" s="28" t="s">
        <v>1913</v>
      </c>
      <c r="W1782" s="28" t="s">
        <v>13994</v>
      </c>
      <c r="X1782" s="17">
        <v>28</v>
      </c>
    </row>
    <row r="1783" spans="6:24">
      <c r="F1783" s="23"/>
      <c r="I1783" s="23"/>
      <c r="L1783" s="50" t="s">
        <v>13995</v>
      </c>
      <c r="M1783" s="17" t="s">
        <v>13996</v>
      </c>
      <c r="N1783" s="51" t="s">
        <v>13997</v>
      </c>
      <c r="O1783" s="29" t="s">
        <v>1485</v>
      </c>
      <c r="P1783" s="29" t="s">
        <v>13998</v>
      </c>
      <c r="Q1783" s="29" t="s">
        <v>1485</v>
      </c>
      <c r="R1783" s="29" t="s">
        <v>3395</v>
      </c>
      <c r="S1783" s="28" t="s">
        <v>1564</v>
      </c>
      <c r="T1783" s="28" t="s">
        <v>3309</v>
      </c>
      <c r="U1783" s="28" t="s">
        <v>1446</v>
      </c>
      <c r="V1783" s="28" t="s">
        <v>1913</v>
      </c>
      <c r="W1783" s="28" t="s">
        <v>13999</v>
      </c>
      <c r="X1783" s="17">
        <v>29</v>
      </c>
    </row>
    <row r="1784" spans="6:24">
      <c r="F1784" s="23"/>
      <c r="I1784" s="23"/>
      <c r="L1784" s="50" t="s">
        <v>14000</v>
      </c>
      <c r="M1784" s="17" t="s">
        <v>14001</v>
      </c>
      <c r="N1784" s="51" t="s">
        <v>14002</v>
      </c>
      <c r="O1784" s="29" t="s">
        <v>1485</v>
      </c>
      <c r="P1784" s="29" t="s">
        <v>14003</v>
      </c>
      <c r="Q1784" s="29" t="s">
        <v>1485</v>
      </c>
      <c r="R1784" s="29" t="s">
        <v>3411</v>
      </c>
      <c r="S1784" s="28" t="s">
        <v>1626</v>
      </c>
      <c r="T1784" s="28" t="s">
        <v>3331</v>
      </c>
      <c r="U1784" s="28" t="s">
        <v>1446</v>
      </c>
      <c r="V1784" s="28" t="s">
        <v>1913</v>
      </c>
      <c r="W1784" s="28" t="s">
        <v>14004</v>
      </c>
      <c r="X1784" s="17">
        <v>30</v>
      </c>
    </row>
    <row r="1785" spans="6:24">
      <c r="F1785" s="23"/>
      <c r="I1785" s="23"/>
    </row>
  </sheetData>
  <phoneticPr fontId="3"/>
  <printOptions horizontalCentered="1"/>
  <pageMargins left="0.23622047244094491" right="0.35433070866141736" top="0.74803149606299213" bottom="0.74803149606299213" header="0.31496062992125984" footer="0.31496062992125984"/>
  <pageSetup paperSize="9" scale="57" orientation="portrait" blackAndWhite="1"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254E9-E2A3-455B-9140-0859D2428C8E}">
  <sheetPr codeName="Sheet5"/>
  <dimension ref="A1"/>
  <sheetViews>
    <sheetView topLeftCell="A7" workbookViewId="0">
      <selection activeCell="H35" sqref="H35"/>
    </sheetView>
  </sheetViews>
  <sheetFormatPr defaultColWidth="8.77734375" defaultRowHeight="15.75"/>
  <sheetData/>
  <phoneticPr fontId="3"/>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D34C6-B4FF-4CF3-B4B8-B5653F357501}">
  <sheetPr codeName="Sheet11">
    <pageSetUpPr fitToPage="1"/>
  </sheetPr>
  <dimension ref="B1:I10"/>
  <sheetViews>
    <sheetView topLeftCell="C1" workbookViewId="0">
      <selection activeCell="D8" sqref="D8:H8"/>
    </sheetView>
  </sheetViews>
  <sheetFormatPr defaultColWidth="8.88671875" defaultRowHeight="15.75"/>
  <cols>
    <col min="1" max="1" width="3.88671875" style="54" customWidth="1"/>
    <col min="2" max="2" width="27.5546875" style="54" customWidth="1"/>
    <col min="3" max="3" width="39" style="54" bestFit="1" customWidth="1"/>
    <col min="4" max="8" width="8.88671875" style="54"/>
    <col min="9" max="9" width="45.5546875" style="54" customWidth="1"/>
    <col min="10" max="16384" width="8.88671875" style="54"/>
  </cols>
  <sheetData>
    <row r="1" spans="2:9" ht="25.5" customHeight="1">
      <c r="B1" s="53" t="s">
        <v>14005</v>
      </c>
      <c r="I1" s="55" t="str">
        <f>IFERROR(#REF!,"")</f>
        <v/>
      </c>
    </row>
    <row r="2" spans="2:9">
      <c r="B2" s="56"/>
    </row>
    <row r="3" spans="2:9" ht="24.75" customHeight="1">
      <c r="B3" s="57" t="s">
        <v>14006</v>
      </c>
    </row>
    <row r="4" spans="2:9" ht="24.75" customHeight="1">
      <c r="B4" s="57" t="s">
        <v>14007</v>
      </c>
    </row>
    <row r="6" spans="2:9" ht="25.5" customHeight="1" thickBot="1">
      <c r="B6" s="58" t="s">
        <v>14008</v>
      </c>
      <c r="C6" s="59" t="s">
        <v>14009</v>
      </c>
      <c r="D6" s="361"/>
      <c r="E6" s="362"/>
      <c r="F6" s="361"/>
      <c r="G6" s="362"/>
      <c r="H6" s="361"/>
      <c r="I6" s="60" t="s">
        <v>14010</v>
      </c>
    </row>
    <row r="7" spans="2:9" ht="37.5" customHeight="1">
      <c r="B7" s="363" t="s">
        <v>14011</v>
      </c>
      <c r="C7" s="61" t="s">
        <v>14012</v>
      </c>
      <c r="D7" s="62" t="s">
        <v>14013</v>
      </c>
      <c r="E7" s="63" t="e">
        <f>#REF!</f>
        <v>#REF!</v>
      </c>
      <c r="F7" s="62" t="s">
        <v>14014</v>
      </c>
      <c r="G7" s="64" t="e">
        <f>#REF!</f>
        <v>#REF!</v>
      </c>
      <c r="H7" s="65" t="s">
        <v>14015</v>
      </c>
      <c r="I7" s="57" t="s">
        <v>14016</v>
      </c>
    </row>
    <row r="8" spans="2:9" ht="41.25" customHeight="1">
      <c r="B8" s="363"/>
      <c r="C8" s="66" t="s">
        <v>14017</v>
      </c>
      <c r="D8" s="364" t="e">
        <f>IF(#REF!=0,#REF!,PullDown!BY10)</f>
        <v>#REF!</v>
      </c>
      <c r="E8" s="365"/>
      <c r="F8" s="365"/>
      <c r="G8" s="365"/>
      <c r="H8" s="366"/>
      <c r="I8" s="57" t="s">
        <v>14018</v>
      </c>
    </row>
    <row r="9" spans="2:9" ht="47.25">
      <c r="B9" s="67" t="s">
        <v>14019</v>
      </c>
      <c r="C9" s="66" t="s">
        <v>14017</v>
      </c>
      <c r="D9" s="364" t="str">
        <f>IF('（参考）包括・任意事業の上限額算定の手引き'!E7="","",'（参考）包括・任意事業の上限額算定の手引き'!E7)</f>
        <v>①原則の上限額</v>
      </c>
      <c r="E9" s="365"/>
      <c r="F9" s="365"/>
      <c r="G9" s="365"/>
      <c r="H9" s="366"/>
      <c r="I9" s="57" t="s">
        <v>14020</v>
      </c>
    </row>
    <row r="10" spans="2:9" ht="41.25" customHeight="1">
      <c r="B10" s="67" t="s">
        <v>14021</v>
      </c>
      <c r="C10" s="66" t="s">
        <v>14017</v>
      </c>
      <c r="D10" s="364" t="e">
        <f>IF(#REF!="","",#REF!)</f>
        <v>#REF!</v>
      </c>
      <c r="E10" s="365"/>
      <c r="F10" s="365"/>
      <c r="G10" s="365"/>
      <c r="H10" s="366"/>
      <c r="I10" s="57" t="s">
        <v>14022</v>
      </c>
    </row>
  </sheetData>
  <mergeCells count="5">
    <mergeCell ref="D6:H6"/>
    <mergeCell ref="B7:B8"/>
    <mergeCell ref="D8:H8"/>
    <mergeCell ref="D9:H9"/>
    <mergeCell ref="D10:H10"/>
  </mergeCells>
  <phoneticPr fontId="3"/>
  <printOptions horizontalCentered="1"/>
  <pageMargins left="0.23622047244094491" right="0.35433070866141736" top="0.74803149606299213" bottom="0.74803149606299213" header="0.31496062992125984" footer="0.31496062992125984"/>
  <pageSetup paperSize="9" scale="95" fitToHeight="0" orientation="landscape"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ACF4F-B720-4E4C-84D3-37620DF7B975}">
  <sheetPr codeName="Sheet20">
    <tabColor rgb="FF0070C0"/>
  </sheetPr>
  <dimension ref="A1:BGE2"/>
  <sheetViews>
    <sheetView topLeftCell="AVI1" workbookViewId="0">
      <selection activeCell="AVU1" sqref="AVU1"/>
    </sheetView>
  </sheetViews>
  <sheetFormatPr defaultColWidth="8.77734375" defaultRowHeight="15.75"/>
  <cols>
    <col min="13" max="13" width="9.77734375" bestFit="1" customWidth="1"/>
    <col min="217" max="217" width="8.6640625" customWidth="1"/>
    <col min="643" max="643" width="15.88671875" customWidth="1"/>
    <col min="644" max="644" width="11.88671875" customWidth="1"/>
    <col min="661" max="661" width="15.33203125" customWidth="1"/>
    <col min="662" max="662" width="9.88671875" customWidth="1"/>
    <col min="679" max="679" width="14.77734375" customWidth="1"/>
    <col min="697" max="697" width="15.5546875" customWidth="1"/>
    <col min="698" max="698" width="9.6640625" customWidth="1"/>
    <col min="715" max="715" width="15.109375" customWidth="1"/>
    <col min="733" max="733" width="14.88671875" customWidth="1"/>
    <col min="751" max="751" width="14.77734375" customWidth="1"/>
    <col min="769" max="769" width="15.44140625" customWidth="1"/>
    <col min="787" max="787" width="15.21875" customWidth="1"/>
    <col min="805" max="805" width="16.109375" customWidth="1"/>
    <col min="823" max="823" width="15.6640625" customWidth="1"/>
    <col min="841" max="841" width="15.5546875" customWidth="1"/>
    <col min="859" max="859" width="15.77734375" customWidth="1"/>
    <col min="877" max="877" width="15.6640625" customWidth="1"/>
    <col min="895" max="895" width="16" customWidth="1"/>
    <col min="913" max="913" width="15.5546875" customWidth="1"/>
    <col min="931" max="931" width="15.88671875" customWidth="1"/>
    <col min="949" max="949" width="15.77734375" customWidth="1"/>
    <col min="967" max="967" width="15.88671875" customWidth="1"/>
    <col min="985" max="985" width="16.77734375" customWidth="1"/>
    <col min="1003" max="1003" width="16.21875" customWidth="1"/>
    <col min="1021" max="1021" width="16.77734375" customWidth="1"/>
    <col min="1039" max="1039" width="16.21875" customWidth="1"/>
    <col min="1057" max="1057" width="15.5546875" customWidth="1"/>
    <col min="1075" max="1075" width="16.44140625" customWidth="1"/>
    <col min="1093" max="1093" width="16.44140625" customWidth="1"/>
    <col min="1101" max="1101" width="8.77734375" customWidth="1"/>
    <col min="1111" max="1111" width="15.88671875" customWidth="1"/>
    <col min="1129" max="1129" width="15.77734375" customWidth="1"/>
    <col min="1147" max="1147" width="16" customWidth="1"/>
    <col min="1165" max="1165" width="16.21875" customWidth="1"/>
    <col min="1183" max="1183" width="15.6640625" customWidth="1"/>
    <col min="1201" max="1201" width="16" customWidth="1"/>
    <col min="1219" max="1219" width="15.77734375" customWidth="1"/>
    <col min="1237" max="1237" width="15.77734375" customWidth="1"/>
    <col min="1519" max="1524" width="13.5546875" customWidth="1"/>
    <col min="1536" max="1536" width="12.6640625" bestFit="1" customWidth="1"/>
  </cols>
  <sheetData>
    <row r="1" spans="1:1539">
      <c r="A1" t="s">
        <v>1494</v>
      </c>
      <c r="B1" t="s">
        <v>14023</v>
      </c>
      <c r="C1" t="s">
        <v>14024</v>
      </c>
      <c r="D1" s="68" t="s">
        <v>14025</v>
      </c>
      <c r="E1" t="s">
        <v>14026</v>
      </c>
      <c r="F1" t="s">
        <v>14027</v>
      </c>
      <c r="G1" t="s">
        <v>14028</v>
      </c>
      <c r="H1" t="s">
        <v>14029</v>
      </c>
      <c r="I1" t="s">
        <v>14030</v>
      </c>
      <c r="J1" t="s">
        <v>14031</v>
      </c>
      <c r="K1" t="s">
        <v>14032</v>
      </c>
      <c r="L1" t="s">
        <v>14033</v>
      </c>
      <c r="M1" t="s">
        <v>14034</v>
      </c>
      <c r="N1" t="s">
        <v>14035</v>
      </c>
      <c r="O1" t="s">
        <v>14036</v>
      </c>
      <c r="P1" t="s">
        <v>14037</v>
      </c>
      <c r="Q1" t="s">
        <v>14038</v>
      </c>
      <c r="R1" t="s">
        <v>14039</v>
      </c>
      <c r="S1" t="s">
        <v>14040</v>
      </c>
      <c r="T1" t="s">
        <v>14041</v>
      </c>
      <c r="U1" t="s">
        <v>14042</v>
      </c>
      <c r="V1" t="s">
        <v>14043</v>
      </c>
      <c r="W1" t="s">
        <v>14044</v>
      </c>
      <c r="X1" t="s">
        <v>14045</v>
      </c>
      <c r="Y1" t="s">
        <v>14046</v>
      </c>
      <c r="Z1" t="s">
        <v>14047</v>
      </c>
      <c r="AA1" t="s">
        <v>14048</v>
      </c>
      <c r="AB1" t="s">
        <v>14049</v>
      </c>
      <c r="AC1" t="s">
        <v>14050</v>
      </c>
      <c r="AD1" t="s">
        <v>14051</v>
      </c>
      <c r="AE1" t="s">
        <v>14052</v>
      </c>
      <c r="AF1" t="s">
        <v>14053</v>
      </c>
      <c r="AG1" t="s">
        <v>14054</v>
      </c>
      <c r="AH1" t="s">
        <v>14055</v>
      </c>
      <c r="AI1" t="s">
        <v>14056</v>
      </c>
      <c r="AJ1" t="s">
        <v>14057</v>
      </c>
      <c r="AK1" t="s">
        <v>14058</v>
      </c>
      <c r="AL1" t="s">
        <v>14059</v>
      </c>
      <c r="AM1" t="s">
        <v>14060</v>
      </c>
      <c r="AN1" t="s">
        <v>14061</v>
      </c>
      <c r="AO1" t="s">
        <v>14062</v>
      </c>
      <c r="AP1" t="s">
        <v>14063</v>
      </c>
      <c r="AQ1" t="s">
        <v>14064</v>
      </c>
      <c r="AR1" t="s">
        <v>14065</v>
      </c>
      <c r="AS1" t="s">
        <v>14066</v>
      </c>
      <c r="AT1" t="s">
        <v>14067</v>
      </c>
      <c r="AU1" t="s">
        <v>14068</v>
      </c>
      <c r="AV1" t="s">
        <v>14069</v>
      </c>
      <c r="AW1" t="s">
        <v>14070</v>
      </c>
      <c r="AX1" t="s">
        <v>14071</v>
      </c>
      <c r="AY1" t="s">
        <v>14072</v>
      </c>
      <c r="AZ1" t="s">
        <v>14073</v>
      </c>
      <c r="BA1" t="s">
        <v>14074</v>
      </c>
      <c r="BB1" t="s">
        <v>14075</v>
      </c>
      <c r="BC1" t="s">
        <v>14076</v>
      </c>
      <c r="BD1" t="s">
        <v>14077</v>
      </c>
      <c r="BE1" t="s">
        <v>14078</v>
      </c>
      <c r="BF1" t="s">
        <v>14079</v>
      </c>
      <c r="BG1" t="s">
        <v>14080</v>
      </c>
      <c r="BH1" t="s">
        <v>14081</v>
      </c>
      <c r="BI1" t="s">
        <v>14082</v>
      </c>
      <c r="BJ1" t="s">
        <v>14083</v>
      </c>
      <c r="BK1" t="s">
        <v>14084</v>
      </c>
      <c r="BL1" t="s">
        <v>14085</v>
      </c>
      <c r="BM1" t="s">
        <v>14086</v>
      </c>
      <c r="BN1" t="s">
        <v>14087</v>
      </c>
      <c r="BO1" t="s">
        <v>14088</v>
      </c>
      <c r="BP1" t="s">
        <v>14089</v>
      </c>
      <c r="BQ1" t="s">
        <v>14090</v>
      </c>
      <c r="BR1" t="s">
        <v>14091</v>
      </c>
      <c r="BS1" t="s">
        <v>14092</v>
      </c>
      <c r="BT1" t="s">
        <v>14093</v>
      </c>
      <c r="BU1" t="s">
        <v>14094</v>
      </c>
      <c r="BV1" t="s">
        <v>14095</v>
      </c>
      <c r="BW1" t="s">
        <v>14096</v>
      </c>
      <c r="BX1" t="s">
        <v>14097</v>
      </c>
      <c r="BY1" t="s">
        <v>14098</v>
      </c>
      <c r="BZ1" t="s">
        <v>14099</v>
      </c>
      <c r="CA1" t="s">
        <v>14100</v>
      </c>
      <c r="CB1" t="s">
        <v>14101</v>
      </c>
      <c r="CC1" t="s">
        <v>14102</v>
      </c>
      <c r="CD1" t="s">
        <v>14103</v>
      </c>
      <c r="CE1" t="s">
        <v>14104</v>
      </c>
      <c r="CF1" t="s">
        <v>14105</v>
      </c>
      <c r="CG1" t="s">
        <v>14106</v>
      </c>
      <c r="CH1" t="s">
        <v>14107</v>
      </c>
      <c r="CI1" t="s">
        <v>14108</v>
      </c>
      <c r="CJ1" t="s">
        <v>14109</v>
      </c>
      <c r="CK1" t="s">
        <v>14110</v>
      </c>
      <c r="CL1" t="s">
        <v>14111</v>
      </c>
      <c r="CM1" t="s">
        <v>14112</v>
      </c>
      <c r="CN1" t="s">
        <v>14113</v>
      </c>
      <c r="CO1" t="s">
        <v>14114</v>
      </c>
      <c r="CP1" t="s">
        <v>14115</v>
      </c>
      <c r="CQ1" t="s">
        <v>14116</v>
      </c>
      <c r="CR1" t="s">
        <v>14117</v>
      </c>
      <c r="CS1" t="s">
        <v>14118</v>
      </c>
      <c r="CT1" t="s">
        <v>14119</v>
      </c>
      <c r="CU1" t="s">
        <v>14120</v>
      </c>
      <c r="CV1" t="s">
        <v>14121</v>
      </c>
      <c r="CW1" t="s">
        <v>14122</v>
      </c>
      <c r="CX1" t="s">
        <v>14123</v>
      </c>
      <c r="CY1" t="s">
        <v>14124</v>
      </c>
      <c r="CZ1" t="s">
        <v>14125</v>
      </c>
      <c r="DA1" t="s">
        <v>14126</v>
      </c>
      <c r="DB1" t="s">
        <v>14127</v>
      </c>
      <c r="DC1" t="s">
        <v>14128</v>
      </c>
      <c r="DD1" t="s">
        <v>14129</v>
      </c>
      <c r="DE1" t="s">
        <v>14130</v>
      </c>
      <c r="DF1" t="s">
        <v>14131</v>
      </c>
      <c r="DG1" t="s">
        <v>14132</v>
      </c>
      <c r="DH1" t="s">
        <v>14133</v>
      </c>
      <c r="DI1" t="s">
        <v>14134</v>
      </c>
      <c r="DJ1" t="s">
        <v>14135</v>
      </c>
      <c r="DK1" t="s">
        <v>14136</v>
      </c>
      <c r="DL1" t="s">
        <v>14137</v>
      </c>
      <c r="DM1" t="s">
        <v>14138</v>
      </c>
      <c r="DN1" t="s">
        <v>14139</v>
      </c>
      <c r="DO1" t="s">
        <v>14140</v>
      </c>
      <c r="DP1" t="s">
        <v>14141</v>
      </c>
      <c r="DQ1" t="s">
        <v>14142</v>
      </c>
      <c r="DR1" t="s">
        <v>14143</v>
      </c>
      <c r="DS1" t="s">
        <v>14144</v>
      </c>
      <c r="DT1" t="s">
        <v>14145</v>
      </c>
      <c r="DU1" t="s">
        <v>14146</v>
      </c>
      <c r="DV1" t="s">
        <v>14147</v>
      </c>
      <c r="DW1" t="s">
        <v>14148</v>
      </c>
      <c r="DX1" t="s">
        <v>14149</v>
      </c>
      <c r="DY1" t="s">
        <v>14150</v>
      </c>
      <c r="DZ1" t="s">
        <v>14151</v>
      </c>
      <c r="EA1" t="s">
        <v>14152</v>
      </c>
      <c r="EB1" t="s">
        <v>14153</v>
      </c>
      <c r="EC1" t="s">
        <v>14154</v>
      </c>
      <c r="ED1" t="s">
        <v>14155</v>
      </c>
      <c r="EE1" t="s">
        <v>14156</v>
      </c>
      <c r="EF1" t="s">
        <v>14157</v>
      </c>
      <c r="EG1" t="s">
        <v>14158</v>
      </c>
      <c r="EH1" t="s">
        <v>14159</v>
      </c>
      <c r="EI1" t="s">
        <v>14160</v>
      </c>
      <c r="EJ1" t="s">
        <v>14161</v>
      </c>
      <c r="EK1" t="s">
        <v>14162</v>
      </c>
      <c r="EL1" t="s">
        <v>14163</v>
      </c>
      <c r="EM1" t="s">
        <v>14164</v>
      </c>
      <c r="EN1" t="s">
        <v>14165</v>
      </c>
      <c r="EO1" t="s">
        <v>14166</v>
      </c>
      <c r="EP1" t="s">
        <v>14167</v>
      </c>
      <c r="EQ1" t="s">
        <v>14168</v>
      </c>
      <c r="ER1" t="s">
        <v>14169</v>
      </c>
      <c r="ES1" t="s">
        <v>14170</v>
      </c>
      <c r="ET1" t="s">
        <v>14171</v>
      </c>
      <c r="EU1" t="s">
        <v>14172</v>
      </c>
      <c r="EV1" t="s">
        <v>14173</v>
      </c>
      <c r="EW1" t="s">
        <v>14174</v>
      </c>
      <c r="EX1" t="s">
        <v>14175</v>
      </c>
      <c r="EY1" t="s">
        <v>14176</v>
      </c>
      <c r="EZ1" t="s">
        <v>14177</v>
      </c>
      <c r="FA1" t="s">
        <v>14178</v>
      </c>
      <c r="FB1" t="s">
        <v>14179</v>
      </c>
      <c r="FC1" t="s">
        <v>14180</v>
      </c>
      <c r="FD1" t="s">
        <v>14181</v>
      </c>
      <c r="FE1" t="s">
        <v>14182</v>
      </c>
      <c r="FF1" t="s">
        <v>14183</v>
      </c>
      <c r="FG1" t="s">
        <v>14184</v>
      </c>
      <c r="FH1" t="s">
        <v>14185</v>
      </c>
      <c r="FI1" t="s">
        <v>14186</v>
      </c>
      <c r="FJ1" t="s">
        <v>14187</v>
      </c>
      <c r="FK1" t="s">
        <v>14188</v>
      </c>
      <c r="FL1" t="s">
        <v>14189</v>
      </c>
      <c r="FM1" t="s">
        <v>14190</v>
      </c>
      <c r="FN1" t="s">
        <v>14191</v>
      </c>
      <c r="FO1" t="s">
        <v>14192</v>
      </c>
      <c r="FP1" t="s">
        <v>14193</v>
      </c>
      <c r="FQ1" t="s">
        <v>14194</v>
      </c>
      <c r="FR1" t="s">
        <v>14195</v>
      </c>
      <c r="FS1" t="s">
        <v>14196</v>
      </c>
      <c r="FT1" t="s">
        <v>14197</v>
      </c>
      <c r="FU1" t="s">
        <v>14198</v>
      </c>
      <c r="FV1" t="s">
        <v>14199</v>
      </c>
      <c r="FW1" t="s">
        <v>14200</v>
      </c>
      <c r="FX1" t="s">
        <v>14201</v>
      </c>
      <c r="FY1" t="s">
        <v>14202</v>
      </c>
      <c r="FZ1" t="s">
        <v>14203</v>
      </c>
      <c r="GA1" t="s">
        <v>14204</v>
      </c>
      <c r="GB1" t="s">
        <v>14205</v>
      </c>
      <c r="GC1" t="s">
        <v>14206</v>
      </c>
      <c r="GD1" t="s">
        <v>14207</v>
      </c>
      <c r="GE1" t="s">
        <v>14208</v>
      </c>
      <c r="GF1" t="s">
        <v>14209</v>
      </c>
      <c r="GG1" t="s">
        <v>14210</v>
      </c>
      <c r="GH1" t="s">
        <v>14211</v>
      </c>
      <c r="GI1" t="s">
        <v>14212</v>
      </c>
      <c r="GJ1" t="s">
        <v>14213</v>
      </c>
      <c r="GK1" t="s">
        <v>14214</v>
      </c>
      <c r="GL1" t="s">
        <v>14215</v>
      </c>
      <c r="GM1" t="s">
        <v>14216</v>
      </c>
      <c r="GN1" t="s">
        <v>14217</v>
      </c>
      <c r="GO1" t="s">
        <v>14218</v>
      </c>
      <c r="GP1" t="s">
        <v>14219</v>
      </c>
      <c r="GQ1" t="s">
        <v>14220</v>
      </c>
      <c r="GR1" t="s">
        <v>14221</v>
      </c>
      <c r="GS1" t="s">
        <v>14222</v>
      </c>
      <c r="GT1" t="s">
        <v>14223</v>
      </c>
      <c r="GU1" t="s">
        <v>14224</v>
      </c>
      <c r="GV1" t="s">
        <v>14225</v>
      </c>
      <c r="GW1" t="s">
        <v>14226</v>
      </c>
      <c r="GX1" t="s">
        <v>14227</v>
      </c>
      <c r="GY1" t="s">
        <v>14228</v>
      </c>
      <c r="GZ1" t="s">
        <v>14229</v>
      </c>
      <c r="HA1" t="s">
        <v>14230</v>
      </c>
      <c r="HB1" t="s">
        <v>14231</v>
      </c>
      <c r="HC1" t="s">
        <v>14232</v>
      </c>
      <c r="HD1" t="s">
        <v>14233</v>
      </c>
      <c r="HE1" t="s">
        <v>14234</v>
      </c>
      <c r="HF1" t="s">
        <v>14235</v>
      </c>
      <c r="HG1" t="s">
        <v>14236</v>
      </c>
      <c r="HH1" t="s">
        <v>14237</v>
      </c>
      <c r="HI1" t="s">
        <v>14238</v>
      </c>
      <c r="HJ1" t="s">
        <v>14239</v>
      </c>
      <c r="HK1" t="s">
        <v>14240</v>
      </c>
      <c r="HL1" t="s">
        <v>14241</v>
      </c>
      <c r="HM1" t="s">
        <v>14242</v>
      </c>
      <c r="HN1" t="s">
        <v>14243</v>
      </c>
      <c r="HO1" t="s">
        <v>14244</v>
      </c>
      <c r="HP1" t="s">
        <v>14245</v>
      </c>
      <c r="HQ1" t="s">
        <v>14246</v>
      </c>
      <c r="HR1" t="s">
        <v>14247</v>
      </c>
      <c r="HS1" t="s">
        <v>14248</v>
      </c>
      <c r="HT1" t="s">
        <v>14249</v>
      </c>
      <c r="HU1" t="s">
        <v>14250</v>
      </c>
      <c r="HV1" t="s">
        <v>14251</v>
      </c>
      <c r="HW1" t="s">
        <v>14252</v>
      </c>
      <c r="HX1" t="s">
        <v>14253</v>
      </c>
      <c r="HY1" t="s">
        <v>14254</v>
      </c>
      <c r="HZ1" t="s">
        <v>14255</v>
      </c>
      <c r="IA1" t="s">
        <v>14256</v>
      </c>
      <c r="IB1" t="s">
        <v>14257</v>
      </c>
      <c r="IC1" t="s">
        <v>14258</v>
      </c>
      <c r="ID1" t="s">
        <v>14259</v>
      </c>
      <c r="IE1" t="s">
        <v>14260</v>
      </c>
      <c r="IF1" t="s">
        <v>14261</v>
      </c>
      <c r="IG1" t="s">
        <v>14262</v>
      </c>
      <c r="IH1" t="s">
        <v>14263</v>
      </c>
      <c r="II1" t="s">
        <v>14264</v>
      </c>
      <c r="IJ1" t="s">
        <v>14265</v>
      </c>
      <c r="IK1" t="s">
        <v>14266</v>
      </c>
      <c r="IL1" t="s">
        <v>14267</v>
      </c>
      <c r="IM1" t="s">
        <v>14268</v>
      </c>
      <c r="IN1" t="s">
        <v>14269</v>
      </c>
      <c r="IO1" t="s">
        <v>14270</v>
      </c>
      <c r="IP1" t="s">
        <v>14271</v>
      </c>
      <c r="IQ1" t="s">
        <v>14272</v>
      </c>
      <c r="IR1" t="s">
        <v>14273</v>
      </c>
      <c r="IS1" t="s">
        <v>14274</v>
      </c>
      <c r="IT1" t="s">
        <v>14275</v>
      </c>
      <c r="IU1" t="s">
        <v>14276</v>
      </c>
      <c r="IV1" t="s">
        <v>14277</v>
      </c>
      <c r="IW1" t="s">
        <v>14278</v>
      </c>
      <c r="IX1" t="s">
        <v>14279</v>
      </c>
      <c r="IY1" t="s">
        <v>14280</v>
      </c>
      <c r="IZ1" t="s">
        <v>14281</v>
      </c>
      <c r="JA1" t="s">
        <v>14282</v>
      </c>
      <c r="JB1" t="s">
        <v>14283</v>
      </c>
      <c r="JC1" t="s">
        <v>14284</v>
      </c>
      <c r="JD1" t="s">
        <v>14285</v>
      </c>
      <c r="JE1" t="s">
        <v>14286</v>
      </c>
      <c r="JF1" t="s">
        <v>14287</v>
      </c>
      <c r="JG1" t="s">
        <v>14288</v>
      </c>
      <c r="JH1" t="s">
        <v>14289</v>
      </c>
      <c r="JI1" t="s">
        <v>14290</v>
      </c>
      <c r="JJ1" t="s">
        <v>14291</v>
      </c>
      <c r="JK1" t="s">
        <v>14292</v>
      </c>
      <c r="JL1" t="s">
        <v>14293</v>
      </c>
      <c r="JM1" t="s">
        <v>14294</v>
      </c>
      <c r="JN1" t="s">
        <v>14295</v>
      </c>
      <c r="JO1" t="s">
        <v>14296</v>
      </c>
      <c r="JP1" t="s">
        <v>14297</v>
      </c>
      <c r="JQ1" t="s">
        <v>14298</v>
      </c>
      <c r="JR1" t="s">
        <v>14299</v>
      </c>
      <c r="JS1" t="s">
        <v>14300</v>
      </c>
      <c r="JT1" t="s">
        <v>14301</v>
      </c>
      <c r="JU1" t="s">
        <v>14302</v>
      </c>
      <c r="JV1" t="s">
        <v>14303</v>
      </c>
      <c r="JW1" t="s">
        <v>14304</v>
      </c>
      <c r="JX1" t="s">
        <v>14305</v>
      </c>
      <c r="JY1" t="s">
        <v>14306</v>
      </c>
      <c r="JZ1" t="s">
        <v>14307</v>
      </c>
      <c r="KA1" t="s">
        <v>14308</v>
      </c>
      <c r="KB1" t="s">
        <v>14309</v>
      </c>
      <c r="KC1" t="s">
        <v>14310</v>
      </c>
      <c r="KD1" t="s">
        <v>14311</v>
      </c>
      <c r="KE1" t="s">
        <v>14312</v>
      </c>
      <c r="KF1" t="s">
        <v>14313</v>
      </c>
      <c r="KG1" t="s">
        <v>14314</v>
      </c>
      <c r="KH1" t="s">
        <v>14315</v>
      </c>
      <c r="KI1" t="s">
        <v>14316</v>
      </c>
      <c r="KJ1" t="s">
        <v>14317</v>
      </c>
      <c r="KK1" t="s">
        <v>14318</v>
      </c>
      <c r="KL1" t="s">
        <v>14319</v>
      </c>
      <c r="KM1" t="s">
        <v>14320</v>
      </c>
      <c r="KN1" t="s">
        <v>14321</v>
      </c>
      <c r="KO1" t="s">
        <v>14322</v>
      </c>
      <c r="KP1" t="s">
        <v>14323</v>
      </c>
      <c r="KQ1" t="s">
        <v>14324</v>
      </c>
      <c r="KR1" t="s">
        <v>14325</v>
      </c>
      <c r="KS1" t="s">
        <v>14326</v>
      </c>
      <c r="KT1" t="s">
        <v>14327</v>
      </c>
      <c r="KU1" t="s">
        <v>14328</v>
      </c>
      <c r="KV1" t="s">
        <v>14329</v>
      </c>
      <c r="KW1" t="s">
        <v>14330</v>
      </c>
      <c r="KX1" t="s">
        <v>14331</v>
      </c>
      <c r="KY1" t="s">
        <v>14332</v>
      </c>
      <c r="KZ1" t="s">
        <v>14333</v>
      </c>
      <c r="LA1" t="s">
        <v>14334</v>
      </c>
      <c r="LB1" t="s">
        <v>14335</v>
      </c>
      <c r="LC1" t="s">
        <v>14336</v>
      </c>
      <c r="LD1" t="s">
        <v>14337</v>
      </c>
      <c r="LE1" t="s">
        <v>14338</v>
      </c>
      <c r="LF1" t="s">
        <v>14339</v>
      </c>
      <c r="LG1" t="s">
        <v>14340</v>
      </c>
      <c r="LH1" t="s">
        <v>14341</v>
      </c>
      <c r="LI1" t="s">
        <v>14342</v>
      </c>
      <c r="LJ1" t="s">
        <v>14343</v>
      </c>
      <c r="LK1" t="s">
        <v>14344</v>
      </c>
      <c r="LL1" t="s">
        <v>14345</v>
      </c>
      <c r="LM1" t="s">
        <v>14346</v>
      </c>
      <c r="LN1" t="s">
        <v>14347</v>
      </c>
      <c r="LO1" t="s">
        <v>14348</v>
      </c>
      <c r="LP1" t="s">
        <v>14349</v>
      </c>
      <c r="LQ1" t="s">
        <v>14350</v>
      </c>
      <c r="LR1" t="s">
        <v>14351</v>
      </c>
      <c r="LS1" t="s">
        <v>14352</v>
      </c>
      <c r="LT1" t="s">
        <v>14353</v>
      </c>
      <c r="LU1" t="s">
        <v>14354</v>
      </c>
      <c r="LV1" t="s">
        <v>14355</v>
      </c>
      <c r="LW1" t="s">
        <v>14356</v>
      </c>
      <c r="LX1" t="s">
        <v>14357</v>
      </c>
      <c r="LY1" t="s">
        <v>14358</v>
      </c>
      <c r="LZ1" t="s">
        <v>14359</v>
      </c>
      <c r="MA1" t="s">
        <v>14360</v>
      </c>
      <c r="MB1" t="s">
        <v>14361</v>
      </c>
      <c r="MC1" t="s">
        <v>14362</v>
      </c>
      <c r="MD1" t="s">
        <v>14363</v>
      </c>
      <c r="ME1" t="s">
        <v>14364</v>
      </c>
      <c r="MF1" t="s">
        <v>14365</v>
      </c>
      <c r="MG1" t="s">
        <v>14366</v>
      </c>
      <c r="MH1" t="s">
        <v>14367</v>
      </c>
      <c r="MI1" t="s">
        <v>14368</v>
      </c>
      <c r="MJ1" t="s">
        <v>14369</v>
      </c>
      <c r="MK1" t="s">
        <v>14370</v>
      </c>
      <c r="ML1" t="s">
        <v>14371</v>
      </c>
      <c r="MM1" t="s">
        <v>14372</v>
      </c>
      <c r="MN1" t="s">
        <v>14373</v>
      </c>
      <c r="MO1" t="s">
        <v>14374</v>
      </c>
      <c r="MP1" t="s">
        <v>14375</v>
      </c>
      <c r="MQ1" t="s">
        <v>14376</v>
      </c>
      <c r="MR1" t="s">
        <v>14377</v>
      </c>
      <c r="MS1" t="s">
        <v>14378</v>
      </c>
      <c r="MT1" t="s">
        <v>14379</v>
      </c>
      <c r="MU1" t="s">
        <v>14380</v>
      </c>
      <c r="MV1" t="s">
        <v>14381</v>
      </c>
      <c r="MW1" t="s">
        <v>14382</v>
      </c>
      <c r="MX1" t="s">
        <v>14383</v>
      </c>
      <c r="MY1" t="s">
        <v>14384</v>
      </c>
      <c r="MZ1" t="s">
        <v>14385</v>
      </c>
      <c r="NA1" t="s">
        <v>14386</v>
      </c>
      <c r="NB1" t="s">
        <v>14387</v>
      </c>
      <c r="NC1" t="s">
        <v>14388</v>
      </c>
      <c r="ND1" t="s">
        <v>14389</v>
      </c>
      <c r="NE1" t="s">
        <v>14390</v>
      </c>
      <c r="NF1" t="s">
        <v>14391</v>
      </c>
      <c r="NG1" t="s">
        <v>14392</v>
      </c>
      <c r="NH1" t="s">
        <v>14393</v>
      </c>
      <c r="NI1" t="s">
        <v>14394</v>
      </c>
      <c r="NJ1" t="s">
        <v>14395</v>
      </c>
      <c r="NK1" t="s">
        <v>14396</v>
      </c>
      <c r="NL1" t="s">
        <v>14397</v>
      </c>
      <c r="NM1" t="s">
        <v>14398</v>
      </c>
      <c r="NN1" t="s">
        <v>14399</v>
      </c>
      <c r="NO1" t="s">
        <v>14400</v>
      </c>
      <c r="NP1" t="s">
        <v>14401</v>
      </c>
      <c r="NQ1" t="s">
        <v>14402</v>
      </c>
      <c r="NR1" t="s">
        <v>14403</v>
      </c>
      <c r="NS1" t="s">
        <v>14404</v>
      </c>
      <c r="NT1" t="s">
        <v>14405</v>
      </c>
      <c r="NU1" t="s">
        <v>14406</v>
      </c>
      <c r="NV1" t="s">
        <v>14407</v>
      </c>
      <c r="NW1" t="s">
        <v>14408</v>
      </c>
      <c r="NX1" t="s">
        <v>14409</v>
      </c>
      <c r="NY1" t="s">
        <v>14410</v>
      </c>
      <c r="NZ1" t="s">
        <v>14411</v>
      </c>
      <c r="OA1" t="s">
        <v>14412</v>
      </c>
      <c r="OB1" t="s">
        <v>14413</v>
      </c>
      <c r="OC1" t="s">
        <v>14414</v>
      </c>
      <c r="OD1" t="s">
        <v>14415</v>
      </c>
      <c r="OE1" t="s">
        <v>14416</v>
      </c>
      <c r="OF1" t="s">
        <v>14417</v>
      </c>
      <c r="OG1" t="s">
        <v>14418</v>
      </c>
      <c r="OH1" t="s">
        <v>14419</v>
      </c>
      <c r="OI1" t="s">
        <v>14420</v>
      </c>
      <c r="OJ1" t="s">
        <v>14421</v>
      </c>
      <c r="OK1" t="s">
        <v>14422</v>
      </c>
      <c r="OL1" t="s">
        <v>14423</v>
      </c>
      <c r="OM1" t="s">
        <v>405</v>
      </c>
      <c r="ON1" t="s">
        <v>14424</v>
      </c>
      <c r="OO1" t="s">
        <v>14425</v>
      </c>
      <c r="OP1" t="s">
        <v>14426</v>
      </c>
      <c r="OQ1" t="s">
        <v>14427</v>
      </c>
      <c r="OR1" t="s">
        <v>14428</v>
      </c>
      <c r="OS1" t="s">
        <v>14429</v>
      </c>
      <c r="OT1" t="s">
        <v>14430</v>
      </c>
      <c r="OU1" t="s">
        <v>14431</v>
      </c>
      <c r="OV1" t="s">
        <v>14432</v>
      </c>
      <c r="OW1" t="s">
        <v>14433</v>
      </c>
      <c r="OX1" t="s">
        <v>14434</v>
      </c>
      <c r="OY1" t="s">
        <v>14435</v>
      </c>
      <c r="OZ1" t="s">
        <v>14436</v>
      </c>
      <c r="PA1" t="s">
        <v>14437</v>
      </c>
      <c r="PB1" t="s">
        <v>14438</v>
      </c>
      <c r="PC1" t="s">
        <v>14439</v>
      </c>
      <c r="PD1" t="s">
        <v>14440</v>
      </c>
      <c r="PE1" t="s">
        <v>14441</v>
      </c>
      <c r="PF1" t="s">
        <v>14442</v>
      </c>
      <c r="PG1" t="s">
        <v>14443</v>
      </c>
      <c r="PH1" t="s">
        <v>14444</v>
      </c>
      <c r="PI1" t="s">
        <v>14445</v>
      </c>
      <c r="PJ1" t="s">
        <v>14446</v>
      </c>
      <c r="PK1" t="s">
        <v>14447</v>
      </c>
      <c r="PL1" t="s">
        <v>14448</v>
      </c>
      <c r="PM1" t="s">
        <v>14449</v>
      </c>
      <c r="PN1" t="s">
        <v>14450</v>
      </c>
      <c r="PO1" t="s">
        <v>14451</v>
      </c>
      <c r="PP1" t="s">
        <v>14452</v>
      </c>
      <c r="PQ1" t="s">
        <v>14453</v>
      </c>
      <c r="PR1" t="s">
        <v>14454</v>
      </c>
      <c r="PS1" t="s">
        <v>14455</v>
      </c>
      <c r="PT1" t="s">
        <v>14456</v>
      </c>
      <c r="PU1" t="s">
        <v>14457</v>
      </c>
      <c r="PV1" t="s">
        <v>14458</v>
      </c>
      <c r="PW1" t="s">
        <v>14459</v>
      </c>
      <c r="PX1" t="s">
        <v>14460</v>
      </c>
      <c r="PY1" t="s">
        <v>14461</v>
      </c>
      <c r="PZ1" t="s">
        <v>14462</v>
      </c>
      <c r="QA1" t="s">
        <v>14463</v>
      </c>
      <c r="QB1" t="s">
        <v>14464</v>
      </c>
      <c r="QC1" t="s">
        <v>14465</v>
      </c>
      <c r="QD1" t="s">
        <v>14466</v>
      </c>
      <c r="QE1" t="s">
        <v>14467</v>
      </c>
      <c r="QF1" t="s">
        <v>14468</v>
      </c>
      <c r="QG1" t="s">
        <v>14469</v>
      </c>
      <c r="QH1" t="s">
        <v>14470</v>
      </c>
      <c r="QI1" t="s">
        <v>14471</v>
      </c>
      <c r="QJ1" t="s">
        <v>14472</v>
      </c>
      <c r="QK1" t="s">
        <v>14473</v>
      </c>
      <c r="QL1" t="s">
        <v>14474</v>
      </c>
      <c r="QM1" t="s">
        <v>14475</v>
      </c>
      <c r="QN1" t="s">
        <v>14476</v>
      </c>
      <c r="QO1" t="s">
        <v>14477</v>
      </c>
      <c r="QP1" t="s">
        <v>14478</v>
      </c>
      <c r="QQ1" t="s">
        <v>14479</v>
      </c>
      <c r="QR1" t="s">
        <v>14480</v>
      </c>
      <c r="QS1" t="s">
        <v>14481</v>
      </c>
      <c r="QT1" t="s">
        <v>14482</v>
      </c>
      <c r="QU1" t="s">
        <v>14483</v>
      </c>
      <c r="QV1" t="s">
        <v>14484</v>
      </c>
      <c r="QW1" t="s">
        <v>14485</v>
      </c>
      <c r="QX1" t="s">
        <v>14486</v>
      </c>
      <c r="QY1" t="s">
        <v>14487</v>
      </c>
      <c r="QZ1" t="s">
        <v>14488</v>
      </c>
      <c r="RA1" t="s">
        <v>14489</v>
      </c>
      <c r="RB1" t="s">
        <v>14490</v>
      </c>
      <c r="RC1" t="s">
        <v>14491</v>
      </c>
      <c r="RD1" t="s">
        <v>14492</v>
      </c>
      <c r="RE1" t="s">
        <v>14493</v>
      </c>
      <c r="RF1" t="s">
        <v>14494</v>
      </c>
      <c r="RG1" t="s">
        <v>14495</v>
      </c>
      <c r="RH1" t="s">
        <v>14496</v>
      </c>
      <c r="RI1" t="s">
        <v>14497</v>
      </c>
      <c r="RJ1" t="s">
        <v>14498</v>
      </c>
      <c r="RK1" t="s">
        <v>14499</v>
      </c>
      <c r="RL1" t="s">
        <v>14500</v>
      </c>
      <c r="RM1" t="s">
        <v>14501</v>
      </c>
      <c r="RN1" t="s">
        <v>14502</v>
      </c>
      <c r="RO1" t="s">
        <v>14503</v>
      </c>
      <c r="RP1" t="s">
        <v>14504</v>
      </c>
      <c r="RQ1" t="s">
        <v>14505</v>
      </c>
      <c r="RR1" t="s">
        <v>14506</v>
      </c>
      <c r="RS1" t="s">
        <v>14507</v>
      </c>
      <c r="RT1" t="s">
        <v>14508</v>
      </c>
      <c r="RU1" t="s">
        <v>14509</v>
      </c>
      <c r="RV1" t="s">
        <v>14510</v>
      </c>
      <c r="RW1" t="s">
        <v>14511</v>
      </c>
      <c r="RX1" t="s">
        <v>14512</v>
      </c>
      <c r="RY1" t="s">
        <v>14513</v>
      </c>
      <c r="RZ1" t="s">
        <v>14514</v>
      </c>
      <c r="SA1" t="s">
        <v>14515</v>
      </c>
      <c r="SB1" t="s">
        <v>14516</v>
      </c>
      <c r="SC1" t="s">
        <v>14517</v>
      </c>
      <c r="SD1" t="s">
        <v>14518</v>
      </c>
      <c r="SE1" t="s">
        <v>14519</v>
      </c>
      <c r="SF1" t="s">
        <v>14520</v>
      </c>
      <c r="SG1" t="s">
        <v>14521</v>
      </c>
      <c r="SH1" t="s">
        <v>14522</v>
      </c>
      <c r="SI1" t="s">
        <v>14523</v>
      </c>
      <c r="SJ1" t="s">
        <v>14524</v>
      </c>
      <c r="SK1" t="s">
        <v>14525</v>
      </c>
      <c r="SL1" t="s">
        <v>14526</v>
      </c>
      <c r="SM1" t="s">
        <v>14527</v>
      </c>
      <c r="SN1" t="s">
        <v>14528</v>
      </c>
      <c r="SO1" t="s">
        <v>14529</v>
      </c>
      <c r="SP1" t="s">
        <v>14530</v>
      </c>
      <c r="SQ1" t="s">
        <v>14531</v>
      </c>
      <c r="SR1" t="s">
        <v>14532</v>
      </c>
      <c r="SS1" t="s">
        <v>14533</v>
      </c>
      <c r="ST1" t="s">
        <v>14534</v>
      </c>
      <c r="SU1" t="s">
        <v>14535</v>
      </c>
      <c r="SV1" t="s">
        <v>14536</v>
      </c>
      <c r="SW1" t="s">
        <v>14537</v>
      </c>
      <c r="SX1" t="s">
        <v>14538</v>
      </c>
      <c r="SY1" t="s">
        <v>14539</v>
      </c>
      <c r="SZ1" t="s">
        <v>14540</v>
      </c>
      <c r="TA1" t="s">
        <v>14541</v>
      </c>
      <c r="TB1" t="s">
        <v>14542</v>
      </c>
      <c r="TC1" t="s">
        <v>14543</v>
      </c>
      <c r="TD1" t="s">
        <v>14544</v>
      </c>
      <c r="TE1" t="s">
        <v>14545</v>
      </c>
      <c r="TF1" t="s">
        <v>14546</v>
      </c>
      <c r="TG1" t="s">
        <v>14547</v>
      </c>
      <c r="TH1" t="s">
        <v>14548</v>
      </c>
      <c r="TI1" t="s">
        <v>14549</v>
      </c>
      <c r="TJ1" t="s">
        <v>14550</v>
      </c>
      <c r="TK1" t="s">
        <v>14551</v>
      </c>
      <c r="TL1" t="s">
        <v>14552</v>
      </c>
      <c r="TM1" t="s">
        <v>14553</v>
      </c>
      <c r="TN1" t="s">
        <v>14554</v>
      </c>
      <c r="TO1" t="s">
        <v>14555</v>
      </c>
      <c r="TP1" t="s">
        <v>14556</v>
      </c>
      <c r="TQ1" t="s">
        <v>14557</v>
      </c>
      <c r="TR1" t="s">
        <v>14558</v>
      </c>
      <c r="TS1" t="s">
        <v>14559</v>
      </c>
      <c r="TT1" t="s">
        <v>14560</v>
      </c>
      <c r="TU1" t="s">
        <v>14561</v>
      </c>
      <c r="TV1" t="s">
        <v>14562</v>
      </c>
      <c r="TW1" t="s">
        <v>14563</v>
      </c>
      <c r="TX1" t="s">
        <v>14564</v>
      </c>
      <c r="TY1" t="s">
        <v>14565</v>
      </c>
      <c r="TZ1" t="s">
        <v>14566</v>
      </c>
      <c r="UA1" t="s">
        <v>14567</v>
      </c>
      <c r="UB1" t="s">
        <v>14568</v>
      </c>
      <c r="UC1" t="s">
        <v>14569</v>
      </c>
      <c r="UD1" t="s">
        <v>14570</v>
      </c>
      <c r="UE1" t="s">
        <v>14571</v>
      </c>
      <c r="UF1" t="s">
        <v>14572</v>
      </c>
      <c r="UG1" t="s">
        <v>14573</v>
      </c>
      <c r="UH1" t="s">
        <v>14574</v>
      </c>
      <c r="UI1" t="s">
        <v>14575</v>
      </c>
      <c r="UJ1" t="s">
        <v>14576</v>
      </c>
      <c r="UK1" t="s">
        <v>14577</v>
      </c>
      <c r="UL1" t="s">
        <v>14578</v>
      </c>
      <c r="UM1" t="s">
        <v>14579</v>
      </c>
      <c r="UN1" t="s">
        <v>14580</v>
      </c>
      <c r="UO1" t="s">
        <v>14581</v>
      </c>
      <c r="UP1" t="s">
        <v>14582</v>
      </c>
      <c r="UQ1" t="s">
        <v>14583</v>
      </c>
      <c r="UR1" t="s">
        <v>14584</v>
      </c>
      <c r="US1" t="s">
        <v>14585</v>
      </c>
      <c r="UT1" t="s">
        <v>14586</v>
      </c>
      <c r="UU1" t="s">
        <v>14587</v>
      </c>
      <c r="UV1" t="s">
        <v>14588</v>
      </c>
      <c r="UW1" t="s">
        <v>14589</v>
      </c>
      <c r="UX1" t="s">
        <v>14590</v>
      </c>
      <c r="UY1" t="s">
        <v>14591</v>
      </c>
      <c r="UZ1" t="s">
        <v>14592</v>
      </c>
      <c r="VA1" t="s">
        <v>14593</v>
      </c>
      <c r="VB1" t="s">
        <v>14594</v>
      </c>
      <c r="VC1" t="s">
        <v>14595</v>
      </c>
      <c r="VD1" t="s">
        <v>14596</v>
      </c>
      <c r="VE1" t="s">
        <v>14597</v>
      </c>
      <c r="VF1" t="s">
        <v>14598</v>
      </c>
      <c r="VG1" t="s">
        <v>14599</v>
      </c>
      <c r="VH1" t="s">
        <v>14600</v>
      </c>
      <c r="VI1" t="s">
        <v>14601</v>
      </c>
      <c r="VJ1" t="s">
        <v>14602</v>
      </c>
      <c r="VK1" t="s">
        <v>14603</v>
      </c>
      <c r="VL1" t="s">
        <v>14604</v>
      </c>
      <c r="VM1" t="s">
        <v>14605</v>
      </c>
      <c r="VN1" t="s">
        <v>14606</v>
      </c>
      <c r="VO1" t="s">
        <v>14607</v>
      </c>
      <c r="VP1" t="s">
        <v>14608</v>
      </c>
      <c r="VQ1" t="s">
        <v>14609</v>
      </c>
      <c r="VR1" t="s">
        <v>14610</v>
      </c>
      <c r="VS1" t="s">
        <v>14611</v>
      </c>
      <c r="VT1" t="s">
        <v>14612</v>
      </c>
      <c r="VU1" t="s">
        <v>14613</v>
      </c>
      <c r="VV1" t="s">
        <v>14614</v>
      </c>
      <c r="VW1" t="s">
        <v>14615</v>
      </c>
      <c r="VX1" t="s">
        <v>14616</v>
      </c>
      <c r="VY1" t="s">
        <v>14617</v>
      </c>
      <c r="VZ1" t="s">
        <v>14618</v>
      </c>
      <c r="WA1" t="s">
        <v>14619</v>
      </c>
      <c r="WB1" t="s">
        <v>14620</v>
      </c>
      <c r="WC1" t="s">
        <v>14621</v>
      </c>
      <c r="WD1" t="s">
        <v>14622</v>
      </c>
      <c r="WE1" t="s">
        <v>14623</v>
      </c>
      <c r="WF1" t="s">
        <v>14624</v>
      </c>
      <c r="WG1" t="s">
        <v>14625</v>
      </c>
      <c r="WH1" t="s">
        <v>14626</v>
      </c>
      <c r="WI1" t="s">
        <v>14627</v>
      </c>
      <c r="WJ1" t="s">
        <v>14628</v>
      </c>
      <c r="WK1" t="s">
        <v>14629</v>
      </c>
      <c r="WL1" t="s">
        <v>14630</v>
      </c>
      <c r="WM1" t="s">
        <v>14631</v>
      </c>
      <c r="WN1" t="s">
        <v>14632</v>
      </c>
      <c r="WO1" t="s">
        <v>14633</v>
      </c>
      <c r="WP1" t="s">
        <v>14634</v>
      </c>
      <c r="WQ1" t="s">
        <v>14635</v>
      </c>
      <c r="WR1" t="s">
        <v>14636</v>
      </c>
      <c r="WS1" t="s">
        <v>14637</v>
      </c>
      <c r="WT1" t="s">
        <v>14638</v>
      </c>
      <c r="WU1" t="s">
        <v>14639</v>
      </c>
      <c r="WV1" t="s">
        <v>14640</v>
      </c>
      <c r="WW1" t="s">
        <v>14641</v>
      </c>
      <c r="WX1" t="s">
        <v>14642</v>
      </c>
      <c r="WY1" t="s">
        <v>14643</v>
      </c>
      <c r="WZ1" t="s">
        <v>14644</v>
      </c>
      <c r="XA1" t="s">
        <v>14645</v>
      </c>
      <c r="XB1" t="s">
        <v>14646</v>
      </c>
      <c r="XC1" t="s">
        <v>14647</v>
      </c>
      <c r="XD1" t="s">
        <v>14648</v>
      </c>
      <c r="XE1" t="s">
        <v>14649</v>
      </c>
      <c r="XF1" t="s">
        <v>14650</v>
      </c>
      <c r="XG1" t="s">
        <v>14651</v>
      </c>
      <c r="XH1" t="s">
        <v>14652</v>
      </c>
      <c r="XI1" t="s">
        <v>14653</v>
      </c>
      <c r="XJ1" t="s">
        <v>14654</v>
      </c>
      <c r="XK1" t="s">
        <v>14655</v>
      </c>
      <c r="XL1" t="s">
        <v>14656</v>
      </c>
      <c r="XM1" t="s">
        <v>14657</v>
      </c>
      <c r="XN1" t="s">
        <v>14658</v>
      </c>
      <c r="XO1" t="s">
        <v>14659</v>
      </c>
      <c r="XP1" t="s">
        <v>14660</v>
      </c>
      <c r="XQ1" t="s">
        <v>583</v>
      </c>
      <c r="XR1" t="s">
        <v>584</v>
      </c>
      <c r="XS1" t="s">
        <v>585</v>
      </c>
      <c r="XT1" t="s">
        <v>586</v>
      </c>
      <c r="XU1" t="s">
        <v>587</v>
      </c>
      <c r="XV1" t="s">
        <v>588</v>
      </c>
      <c r="XW1" t="s">
        <v>589</v>
      </c>
      <c r="XX1">
        <v>40</v>
      </c>
      <c r="XY1" t="s">
        <v>590</v>
      </c>
      <c r="XZ1" t="s">
        <v>591</v>
      </c>
      <c r="YA1" t="s">
        <v>592</v>
      </c>
      <c r="YB1" t="s">
        <v>593</v>
      </c>
      <c r="YC1" t="s">
        <v>594</v>
      </c>
      <c r="YD1" t="s">
        <v>595</v>
      </c>
      <c r="YE1" t="s">
        <v>596</v>
      </c>
      <c r="YF1" t="s">
        <v>597</v>
      </c>
      <c r="YG1" t="s">
        <v>598</v>
      </c>
      <c r="YH1" t="s">
        <v>599</v>
      </c>
      <c r="YI1" t="s">
        <v>600</v>
      </c>
      <c r="YJ1" t="s">
        <v>601</v>
      </c>
      <c r="YK1" t="s">
        <v>602</v>
      </c>
      <c r="YL1" t="s">
        <v>603</v>
      </c>
      <c r="YM1" t="s">
        <v>604</v>
      </c>
      <c r="YN1" t="s">
        <v>605</v>
      </c>
      <c r="YO1" t="s">
        <v>606</v>
      </c>
      <c r="YP1">
        <v>400</v>
      </c>
      <c r="YQ1" t="s">
        <v>607</v>
      </c>
      <c r="YR1" t="s">
        <v>608</v>
      </c>
      <c r="YS1" t="s">
        <v>609</v>
      </c>
      <c r="YT1" t="s">
        <v>610</v>
      </c>
      <c r="YU1" t="s">
        <v>611</v>
      </c>
      <c r="YV1" t="s">
        <v>612</v>
      </c>
      <c r="YW1" t="s">
        <v>613</v>
      </c>
      <c r="YX1" t="s">
        <v>614</v>
      </c>
      <c r="YY1" t="s">
        <v>615</v>
      </c>
      <c r="YZ1" t="s">
        <v>616</v>
      </c>
      <c r="ZA1" t="s">
        <v>617</v>
      </c>
      <c r="ZB1" t="s">
        <v>618</v>
      </c>
      <c r="ZC1" t="s">
        <v>619</v>
      </c>
      <c r="ZD1" t="s">
        <v>620</v>
      </c>
      <c r="ZE1" t="s">
        <v>621</v>
      </c>
      <c r="ZF1" t="s">
        <v>622</v>
      </c>
      <c r="ZG1" t="s">
        <v>623</v>
      </c>
      <c r="ZH1">
        <v>4000</v>
      </c>
      <c r="ZI1" t="s">
        <v>624</v>
      </c>
      <c r="ZJ1" t="s">
        <v>625</v>
      </c>
      <c r="ZK1" t="s">
        <v>626</v>
      </c>
      <c r="ZL1" t="s">
        <v>627</v>
      </c>
      <c r="ZM1" t="s">
        <v>628</v>
      </c>
      <c r="ZN1" t="s">
        <v>629</v>
      </c>
      <c r="ZO1" t="s">
        <v>630</v>
      </c>
      <c r="ZP1" t="s">
        <v>631</v>
      </c>
      <c r="ZQ1" t="s">
        <v>632</v>
      </c>
      <c r="ZR1" t="s">
        <v>633</v>
      </c>
      <c r="ZS1" t="s">
        <v>634</v>
      </c>
      <c r="ZT1" t="s">
        <v>635</v>
      </c>
      <c r="ZU1" t="s">
        <v>636</v>
      </c>
      <c r="ZV1" t="s">
        <v>637</v>
      </c>
      <c r="ZW1" t="s">
        <v>638</v>
      </c>
      <c r="ZX1" t="s">
        <v>639</v>
      </c>
      <c r="ZY1" t="s">
        <v>640</v>
      </c>
      <c r="ZZ1">
        <v>40000</v>
      </c>
      <c r="AAA1" t="s">
        <v>641</v>
      </c>
      <c r="AAB1" t="s">
        <v>642</v>
      </c>
      <c r="AAC1" t="s">
        <v>643</v>
      </c>
      <c r="AAD1" t="s">
        <v>644</v>
      </c>
      <c r="AAE1" t="s">
        <v>645</v>
      </c>
      <c r="AAF1" t="s">
        <v>646</v>
      </c>
      <c r="AAG1" t="s">
        <v>647</v>
      </c>
      <c r="AAH1" t="s">
        <v>648</v>
      </c>
      <c r="AAI1" t="s">
        <v>649</v>
      </c>
      <c r="AAJ1" t="s">
        <v>650</v>
      </c>
      <c r="AAK1" t="s">
        <v>651</v>
      </c>
      <c r="AAL1" t="s">
        <v>652</v>
      </c>
      <c r="AAM1" t="s">
        <v>653</v>
      </c>
      <c r="AAN1" t="s">
        <v>654</v>
      </c>
      <c r="AAO1" t="s">
        <v>655</v>
      </c>
      <c r="AAP1" t="s">
        <v>656</v>
      </c>
      <c r="AAQ1" t="s">
        <v>657</v>
      </c>
      <c r="AAR1">
        <v>400000</v>
      </c>
      <c r="AAS1" t="s">
        <v>658</v>
      </c>
      <c r="AAT1" t="s">
        <v>659</v>
      </c>
      <c r="AAU1" t="s">
        <v>660</v>
      </c>
      <c r="AAV1" t="s">
        <v>661</v>
      </c>
      <c r="AAW1" t="s">
        <v>662</v>
      </c>
      <c r="AAX1" t="s">
        <v>663</v>
      </c>
      <c r="AAY1" t="s">
        <v>664</v>
      </c>
      <c r="AAZ1" t="s">
        <v>665</v>
      </c>
      <c r="ABA1" t="s">
        <v>666</v>
      </c>
      <c r="ABB1" t="s">
        <v>667</v>
      </c>
      <c r="ABC1" t="s">
        <v>668</v>
      </c>
      <c r="ABD1" t="s">
        <v>669</v>
      </c>
      <c r="ABE1" t="s">
        <v>670</v>
      </c>
      <c r="ABF1" t="s">
        <v>671</v>
      </c>
      <c r="ABG1" t="s">
        <v>672</v>
      </c>
      <c r="ABH1" t="s">
        <v>673</v>
      </c>
      <c r="ABI1" t="s">
        <v>674</v>
      </c>
      <c r="ABJ1">
        <v>4000000</v>
      </c>
      <c r="ABK1" t="s">
        <v>675</v>
      </c>
      <c r="ABL1" t="s">
        <v>676</v>
      </c>
      <c r="ABM1" t="s">
        <v>677</v>
      </c>
      <c r="ABN1" t="s">
        <v>678</v>
      </c>
      <c r="ABO1" t="s">
        <v>679</v>
      </c>
      <c r="ABP1" t="s">
        <v>680</v>
      </c>
      <c r="ABQ1" t="s">
        <v>681</v>
      </c>
      <c r="ABR1" t="s">
        <v>682</v>
      </c>
      <c r="ABS1" t="s">
        <v>683</v>
      </c>
      <c r="ABT1" t="s">
        <v>684</v>
      </c>
      <c r="ABU1" t="s">
        <v>685</v>
      </c>
      <c r="ABV1" t="s">
        <v>686</v>
      </c>
      <c r="ABW1" t="s">
        <v>687</v>
      </c>
      <c r="ABX1" t="s">
        <v>688</v>
      </c>
      <c r="ABY1" t="s">
        <v>689</v>
      </c>
      <c r="ABZ1" t="s">
        <v>690</v>
      </c>
      <c r="ACA1" t="s">
        <v>691</v>
      </c>
      <c r="ACB1">
        <v>40000000</v>
      </c>
      <c r="ACC1" t="s">
        <v>692</v>
      </c>
      <c r="ACD1" t="s">
        <v>693</v>
      </c>
      <c r="ACE1" t="s">
        <v>694</v>
      </c>
      <c r="ACF1" t="s">
        <v>695</v>
      </c>
      <c r="ACG1" t="s">
        <v>696</v>
      </c>
      <c r="ACH1" t="s">
        <v>697</v>
      </c>
      <c r="ACI1" t="s">
        <v>698</v>
      </c>
      <c r="ACJ1" t="s">
        <v>699</v>
      </c>
      <c r="ACK1" t="s">
        <v>700</v>
      </c>
      <c r="ACL1" t="s">
        <v>701</v>
      </c>
      <c r="ACM1" t="s">
        <v>702</v>
      </c>
      <c r="ACN1" t="s">
        <v>703</v>
      </c>
      <c r="ACO1" t="s">
        <v>704</v>
      </c>
      <c r="ACP1" t="s">
        <v>705</v>
      </c>
      <c r="ACQ1" t="s">
        <v>706</v>
      </c>
      <c r="ACR1" t="s">
        <v>707</v>
      </c>
      <c r="ACS1" t="s">
        <v>708</v>
      </c>
      <c r="ACT1">
        <v>400000000</v>
      </c>
      <c r="ACU1" t="s">
        <v>709</v>
      </c>
      <c r="ACV1" t="s">
        <v>710</v>
      </c>
      <c r="ACW1" t="s">
        <v>711</v>
      </c>
      <c r="ACX1" t="s">
        <v>712</v>
      </c>
      <c r="ACY1" t="s">
        <v>713</v>
      </c>
      <c r="ACZ1" t="s">
        <v>714</v>
      </c>
      <c r="ADA1" t="s">
        <v>715</v>
      </c>
      <c r="ADB1" t="s">
        <v>716</v>
      </c>
      <c r="ADC1" t="s">
        <v>717</v>
      </c>
      <c r="ADD1" t="s">
        <v>718</v>
      </c>
      <c r="ADE1" t="s">
        <v>719</v>
      </c>
      <c r="ADF1" t="s">
        <v>720</v>
      </c>
      <c r="ADG1" t="s">
        <v>721</v>
      </c>
      <c r="ADH1" t="s">
        <v>722</v>
      </c>
      <c r="ADI1" t="s">
        <v>723</v>
      </c>
      <c r="ADJ1" t="s">
        <v>724</v>
      </c>
      <c r="ADK1" t="s">
        <v>725</v>
      </c>
      <c r="ADL1">
        <v>4000000000</v>
      </c>
      <c r="ADM1" t="s">
        <v>726</v>
      </c>
      <c r="ADN1" t="s">
        <v>727</v>
      </c>
      <c r="ADO1" t="s">
        <v>728</v>
      </c>
      <c r="ADP1" t="s">
        <v>729</v>
      </c>
      <c r="ADQ1" t="s">
        <v>730</v>
      </c>
      <c r="ADR1" t="s">
        <v>731</v>
      </c>
      <c r="ADS1" t="s">
        <v>732</v>
      </c>
      <c r="ADT1" t="s">
        <v>733</v>
      </c>
      <c r="ADU1" t="s">
        <v>734</v>
      </c>
      <c r="ADV1" t="s">
        <v>735</v>
      </c>
      <c r="ADW1" t="s">
        <v>736</v>
      </c>
      <c r="ADX1" t="s">
        <v>737</v>
      </c>
      <c r="ADY1" t="s">
        <v>738</v>
      </c>
      <c r="ADZ1" t="s">
        <v>739</v>
      </c>
      <c r="AEA1" t="s">
        <v>740</v>
      </c>
      <c r="AEB1" t="s">
        <v>741</v>
      </c>
      <c r="AEC1" t="s">
        <v>742</v>
      </c>
      <c r="AED1">
        <v>40000000000</v>
      </c>
      <c r="AEE1" t="s">
        <v>743</v>
      </c>
      <c r="AEF1" t="s">
        <v>744</v>
      </c>
      <c r="AEG1" t="s">
        <v>745</v>
      </c>
      <c r="AEH1" t="s">
        <v>746</v>
      </c>
      <c r="AEI1" t="s">
        <v>747</v>
      </c>
      <c r="AEJ1" t="s">
        <v>748</v>
      </c>
      <c r="AEK1" t="s">
        <v>749</v>
      </c>
      <c r="AEL1" t="s">
        <v>750</v>
      </c>
      <c r="AEM1" t="s">
        <v>751</v>
      </c>
      <c r="AEN1" t="s">
        <v>752</v>
      </c>
      <c r="AEO1" t="s">
        <v>753</v>
      </c>
      <c r="AEP1" t="s">
        <v>754</v>
      </c>
      <c r="AEQ1" t="s">
        <v>755</v>
      </c>
      <c r="AER1" t="s">
        <v>756</v>
      </c>
      <c r="AES1" t="s">
        <v>757</v>
      </c>
      <c r="AET1" t="s">
        <v>758</v>
      </c>
      <c r="AEU1" t="s">
        <v>759</v>
      </c>
      <c r="AEV1">
        <v>400000000000</v>
      </c>
      <c r="AEW1" t="s">
        <v>760</v>
      </c>
      <c r="AEX1" t="s">
        <v>761</v>
      </c>
      <c r="AEY1" t="s">
        <v>762</v>
      </c>
      <c r="AEZ1" t="s">
        <v>763</v>
      </c>
      <c r="AFA1" t="s">
        <v>764</v>
      </c>
      <c r="AFB1" t="s">
        <v>765</v>
      </c>
      <c r="AFC1" t="s">
        <v>766</v>
      </c>
      <c r="AFD1" t="s">
        <v>767</v>
      </c>
      <c r="AFE1" t="s">
        <v>768</v>
      </c>
      <c r="AFF1" t="s">
        <v>769</v>
      </c>
      <c r="AFG1" t="s">
        <v>770</v>
      </c>
      <c r="AFH1" t="s">
        <v>771</v>
      </c>
      <c r="AFI1" t="s">
        <v>772</v>
      </c>
      <c r="AFJ1" t="s">
        <v>773</v>
      </c>
      <c r="AFK1" t="s">
        <v>774</v>
      </c>
      <c r="AFL1" t="s">
        <v>775</v>
      </c>
      <c r="AFM1" t="s">
        <v>776</v>
      </c>
      <c r="AFN1">
        <v>4000000000000</v>
      </c>
      <c r="AFO1" t="s">
        <v>777</v>
      </c>
      <c r="AFP1" t="s">
        <v>778</v>
      </c>
      <c r="AFQ1" t="s">
        <v>779</v>
      </c>
      <c r="AFR1" t="s">
        <v>780</v>
      </c>
      <c r="AFS1" t="s">
        <v>781</v>
      </c>
      <c r="AFT1" t="s">
        <v>782</v>
      </c>
      <c r="AFU1" t="s">
        <v>783</v>
      </c>
      <c r="AFV1" t="s">
        <v>784</v>
      </c>
      <c r="AFW1" t="s">
        <v>785</v>
      </c>
      <c r="AFX1" t="s">
        <v>786</v>
      </c>
      <c r="AFY1" t="s">
        <v>787</v>
      </c>
      <c r="AFZ1" t="s">
        <v>788</v>
      </c>
      <c r="AGA1" t="s">
        <v>789</v>
      </c>
      <c r="AGB1" t="s">
        <v>790</v>
      </c>
      <c r="AGC1" t="s">
        <v>791</v>
      </c>
      <c r="AGD1" t="s">
        <v>792</v>
      </c>
      <c r="AGE1" t="s">
        <v>793</v>
      </c>
      <c r="AGF1">
        <v>40000000000000</v>
      </c>
      <c r="AGG1" t="s">
        <v>794</v>
      </c>
      <c r="AGH1" t="s">
        <v>795</v>
      </c>
      <c r="AGI1" t="s">
        <v>796</v>
      </c>
      <c r="AGJ1" t="s">
        <v>797</v>
      </c>
      <c r="AGK1" t="s">
        <v>798</v>
      </c>
      <c r="AGL1" t="s">
        <v>799</v>
      </c>
      <c r="AGM1" t="s">
        <v>800</v>
      </c>
      <c r="AGN1" t="s">
        <v>801</v>
      </c>
      <c r="AGO1" t="s">
        <v>802</v>
      </c>
      <c r="AGP1" t="s">
        <v>803</v>
      </c>
      <c r="AGQ1" t="s">
        <v>804</v>
      </c>
      <c r="AGR1" t="s">
        <v>805</v>
      </c>
      <c r="AGS1" t="s">
        <v>806</v>
      </c>
      <c r="AGT1" t="s">
        <v>807</v>
      </c>
      <c r="AGU1" t="s">
        <v>808</v>
      </c>
      <c r="AGV1" t="s">
        <v>809</v>
      </c>
      <c r="AGW1" t="s">
        <v>810</v>
      </c>
      <c r="AGX1">
        <v>400000000000000</v>
      </c>
      <c r="AGY1" t="s">
        <v>811</v>
      </c>
      <c r="AGZ1" t="s">
        <v>812</v>
      </c>
      <c r="AHA1" t="s">
        <v>813</v>
      </c>
      <c r="AHB1" t="s">
        <v>814</v>
      </c>
      <c r="AHC1" t="s">
        <v>815</v>
      </c>
      <c r="AHD1" t="s">
        <v>816</v>
      </c>
      <c r="AHE1" t="s">
        <v>817</v>
      </c>
      <c r="AHF1" t="s">
        <v>818</v>
      </c>
      <c r="AHG1" t="s">
        <v>819</v>
      </c>
      <c r="AHH1" t="s">
        <v>820</v>
      </c>
      <c r="AHI1" t="s">
        <v>821</v>
      </c>
      <c r="AHJ1" t="s">
        <v>822</v>
      </c>
      <c r="AHK1" t="s">
        <v>823</v>
      </c>
      <c r="AHL1" t="s">
        <v>824</v>
      </c>
      <c r="AHM1" t="s">
        <v>825</v>
      </c>
      <c r="AHN1" t="s">
        <v>826</v>
      </c>
      <c r="AHO1" t="s">
        <v>827</v>
      </c>
      <c r="AHP1">
        <v>4000000000000000</v>
      </c>
      <c r="AHQ1" t="s">
        <v>828</v>
      </c>
      <c r="AHR1" t="s">
        <v>829</v>
      </c>
      <c r="AHS1" t="s">
        <v>830</v>
      </c>
      <c r="AHT1" t="s">
        <v>831</v>
      </c>
      <c r="AHU1" t="s">
        <v>832</v>
      </c>
      <c r="AHV1" t="s">
        <v>833</v>
      </c>
      <c r="AHW1" t="s">
        <v>834</v>
      </c>
      <c r="AHX1" t="s">
        <v>835</v>
      </c>
      <c r="AHY1" t="s">
        <v>836</v>
      </c>
      <c r="AHZ1" t="s">
        <v>837</v>
      </c>
      <c r="AIA1" t="s">
        <v>838</v>
      </c>
      <c r="AIB1" t="s">
        <v>839</v>
      </c>
      <c r="AIC1" t="s">
        <v>840</v>
      </c>
      <c r="AID1" t="s">
        <v>841</v>
      </c>
      <c r="AIE1" t="s">
        <v>842</v>
      </c>
      <c r="AIF1" t="s">
        <v>843</v>
      </c>
      <c r="AIG1" t="s">
        <v>844</v>
      </c>
      <c r="AIH1">
        <v>4E+16</v>
      </c>
      <c r="AII1" t="s">
        <v>845</v>
      </c>
      <c r="AIJ1" t="s">
        <v>846</v>
      </c>
      <c r="AIK1" t="s">
        <v>847</v>
      </c>
      <c r="AIL1" t="s">
        <v>848</v>
      </c>
      <c r="AIM1" t="s">
        <v>849</v>
      </c>
      <c r="AIN1" t="s">
        <v>850</v>
      </c>
      <c r="AIO1" t="s">
        <v>851</v>
      </c>
      <c r="AIP1" t="s">
        <v>852</v>
      </c>
      <c r="AIQ1" t="s">
        <v>853</v>
      </c>
      <c r="AIR1" t="s">
        <v>854</v>
      </c>
      <c r="AIS1" t="s">
        <v>855</v>
      </c>
      <c r="AIT1" t="s">
        <v>856</v>
      </c>
      <c r="AIU1" t="s">
        <v>857</v>
      </c>
      <c r="AIV1" t="s">
        <v>858</v>
      </c>
      <c r="AIW1" t="s">
        <v>859</v>
      </c>
      <c r="AIX1" t="s">
        <v>860</v>
      </c>
      <c r="AIY1" t="s">
        <v>861</v>
      </c>
      <c r="AIZ1">
        <v>4E+17</v>
      </c>
      <c r="AJA1" t="s">
        <v>862</v>
      </c>
      <c r="AJB1" t="s">
        <v>863</v>
      </c>
      <c r="AJC1" t="s">
        <v>864</v>
      </c>
      <c r="AJD1" t="s">
        <v>865</v>
      </c>
      <c r="AJE1" t="s">
        <v>866</v>
      </c>
      <c r="AJF1" t="s">
        <v>867</v>
      </c>
      <c r="AJG1" t="s">
        <v>868</v>
      </c>
      <c r="AJH1" t="s">
        <v>869</v>
      </c>
      <c r="AJI1" t="s">
        <v>870</v>
      </c>
      <c r="AJJ1" t="s">
        <v>871</v>
      </c>
      <c r="AJK1" t="s">
        <v>872</v>
      </c>
      <c r="AJL1" t="s">
        <v>873</v>
      </c>
      <c r="AJM1" t="s">
        <v>874</v>
      </c>
      <c r="AJN1" t="s">
        <v>875</v>
      </c>
      <c r="AJO1" t="s">
        <v>876</v>
      </c>
      <c r="AJP1" t="s">
        <v>877</v>
      </c>
      <c r="AJQ1" t="s">
        <v>878</v>
      </c>
      <c r="AJR1">
        <v>4E+18</v>
      </c>
      <c r="AJS1" t="s">
        <v>879</v>
      </c>
      <c r="AJT1" t="s">
        <v>880</v>
      </c>
      <c r="AJU1" t="s">
        <v>881</v>
      </c>
      <c r="AJV1" t="s">
        <v>882</v>
      </c>
      <c r="AJW1" t="s">
        <v>883</v>
      </c>
      <c r="AJX1" t="s">
        <v>884</v>
      </c>
      <c r="AJY1" t="s">
        <v>885</v>
      </c>
      <c r="AJZ1" t="s">
        <v>886</v>
      </c>
      <c r="AKA1" t="s">
        <v>887</v>
      </c>
      <c r="AKB1" t="s">
        <v>888</v>
      </c>
      <c r="AKC1" t="s">
        <v>889</v>
      </c>
      <c r="AKD1" t="s">
        <v>890</v>
      </c>
      <c r="AKE1" t="s">
        <v>891</v>
      </c>
      <c r="AKF1" t="s">
        <v>892</v>
      </c>
      <c r="AKG1" t="s">
        <v>893</v>
      </c>
      <c r="AKH1" t="s">
        <v>894</v>
      </c>
      <c r="AKI1" t="s">
        <v>895</v>
      </c>
      <c r="AKJ1">
        <v>4E+19</v>
      </c>
      <c r="AKK1" t="s">
        <v>896</v>
      </c>
      <c r="AKL1" t="s">
        <v>897</v>
      </c>
      <c r="AKM1" t="s">
        <v>898</v>
      </c>
      <c r="AKN1" t="s">
        <v>899</v>
      </c>
      <c r="AKO1" t="s">
        <v>900</v>
      </c>
      <c r="AKP1" t="s">
        <v>901</v>
      </c>
      <c r="AKQ1" t="s">
        <v>902</v>
      </c>
      <c r="AKR1" t="s">
        <v>903</v>
      </c>
      <c r="AKS1" t="s">
        <v>904</v>
      </c>
      <c r="AKT1" t="s">
        <v>905</v>
      </c>
      <c r="AKU1" t="s">
        <v>906</v>
      </c>
      <c r="AKV1" t="s">
        <v>907</v>
      </c>
      <c r="AKW1" t="s">
        <v>908</v>
      </c>
      <c r="AKX1" t="s">
        <v>909</v>
      </c>
      <c r="AKY1" t="s">
        <v>910</v>
      </c>
      <c r="AKZ1" t="s">
        <v>911</v>
      </c>
      <c r="ALA1" t="s">
        <v>912</v>
      </c>
      <c r="ALB1">
        <v>4E+20</v>
      </c>
      <c r="ALC1" t="s">
        <v>913</v>
      </c>
      <c r="ALD1" t="s">
        <v>914</v>
      </c>
      <c r="ALE1" t="s">
        <v>915</v>
      </c>
      <c r="ALF1" t="s">
        <v>916</v>
      </c>
      <c r="ALG1" t="s">
        <v>917</v>
      </c>
      <c r="ALH1" t="s">
        <v>918</v>
      </c>
      <c r="ALI1" t="s">
        <v>919</v>
      </c>
      <c r="ALJ1" t="s">
        <v>920</v>
      </c>
      <c r="ALK1" t="s">
        <v>921</v>
      </c>
      <c r="ALL1" t="s">
        <v>922</v>
      </c>
      <c r="ALM1" t="s">
        <v>923</v>
      </c>
      <c r="ALN1" t="s">
        <v>924</v>
      </c>
      <c r="ALO1" t="s">
        <v>925</v>
      </c>
      <c r="ALP1" t="s">
        <v>926</v>
      </c>
      <c r="ALQ1" t="s">
        <v>927</v>
      </c>
      <c r="ALR1" t="s">
        <v>928</v>
      </c>
      <c r="ALS1" t="s">
        <v>929</v>
      </c>
      <c r="ALT1">
        <v>4E+21</v>
      </c>
      <c r="ALU1" t="s">
        <v>930</v>
      </c>
      <c r="ALV1" t="s">
        <v>931</v>
      </c>
      <c r="ALW1" t="s">
        <v>932</v>
      </c>
      <c r="ALX1" t="s">
        <v>933</v>
      </c>
      <c r="ALY1" t="s">
        <v>934</v>
      </c>
      <c r="ALZ1" t="s">
        <v>935</v>
      </c>
      <c r="AMA1" t="s">
        <v>936</v>
      </c>
      <c r="AMB1" t="s">
        <v>937</v>
      </c>
      <c r="AMC1" t="s">
        <v>938</v>
      </c>
      <c r="AMD1" t="s">
        <v>939</v>
      </c>
      <c r="AME1" t="s">
        <v>940</v>
      </c>
      <c r="AMF1" t="s">
        <v>941</v>
      </c>
      <c r="AMG1" t="s">
        <v>942</v>
      </c>
      <c r="AMH1" t="s">
        <v>943</v>
      </c>
      <c r="AMI1" t="s">
        <v>944</v>
      </c>
      <c r="AMJ1" t="s">
        <v>945</v>
      </c>
      <c r="AMK1" t="s">
        <v>946</v>
      </c>
      <c r="AML1">
        <v>4E+22</v>
      </c>
      <c r="AMM1" t="s">
        <v>947</v>
      </c>
      <c r="AMN1" t="s">
        <v>948</v>
      </c>
      <c r="AMO1" t="s">
        <v>949</v>
      </c>
      <c r="AMP1" t="s">
        <v>950</v>
      </c>
      <c r="AMQ1" t="s">
        <v>951</v>
      </c>
      <c r="AMR1" t="s">
        <v>952</v>
      </c>
      <c r="AMS1" t="s">
        <v>953</v>
      </c>
      <c r="AMT1" t="s">
        <v>954</v>
      </c>
      <c r="AMU1" t="s">
        <v>955</v>
      </c>
      <c r="AMV1" t="s">
        <v>956</v>
      </c>
      <c r="AMW1" t="s">
        <v>957</v>
      </c>
      <c r="AMX1" t="s">
        <v>958</v>
      </c>
      <c r="AMY1" t="s">
        <v>959</v>
      </c>
      <c r="AMZ1" t="s">
        <v>960</v>
      </c>
      <c r="ANA1" t="s">
        <v>961</v>
      </c>
      <c r="ANB1" t="s">
        <v>962</v>
      </c>
      <c r="ANC1" t="s">
        <v>963</v>
      </c>
      <c r="AND1">
        <v>3.9999999999999997E+23</v>
      </c>
      <c r="ANE1" t="s">
        <v>964</v>
      </c>
      <c r="ANF1" t="s">
        <v>965</v>
      </c>
      <c r="ANG1" t="s">
        <v>966</v>
      </c>
      <c r="ANH1" t="s">
        <v>967</v>
      </c>
      <c r="ANI1" t="s">
        <v>968</v>
      </c>
      <c r="ANJ1" t="s">
        <v>969</v>
      </c>
      <c r="ANK1" t="s">
        <v>970</v>
      </c>
      <c r="ANL1" t="s">
        <v>971</v>
      </c>
      <c r="ANM1" t="s">
        <v>972</v>
      </c>
      <c r="ANN1" t="s">
        <v>973</v>
      </c>
      <c r="ANO1" t="s">
        <v>974</v>
      </c>
      <c r="ANP1" t="s">
        <v>975</v>
      </c>
      <c r="ANQ1" t="s">
        <v>976</v>
      </c>
      <c r="ANR1" t="s">
        <v>977</v>
      </c>
      <c r="ANS1" t="s">
        <v>978</v>
      </c>
      <c r="ANT1" t="s">
        <v>979</v>
      </c>
      <c r="ANU1" t="s">
        <v>980</v>
      </c>
      <c r="ANV1">
        <v>3.9999999999999999E+24</v>
      </c>
      <c r="ANW1" t="s">
        <v>981</v>
      </c>
      <c r="ANX1" t="s">
        <v>982</v>
      </c>
      <c r="ANY1" t="s">
        <v>983</v>
      </c>
      <c r="ANZ1" t="s">
        <v>984</v>
      </c>
      <c r="AOA1" t="s">
        <v>985</v>
      </c>
      <c r="AOB1" t="s">
        <v>986</v>
      </c>
      <c r="AOC1" t="s">
        <v>987</v>
      </c>
      <c r="AOD1" t="s">
        <v>988</v>
      </c>
      <c r="AOE1" t="s">
        <v>989</v>
      </c>
      <c r="AOF1" t="s">
        <v>990</v>
      </c>
      <c r="AOG1" t="s">
        <v>991</v>
      </c>
      <c r="AOH1" t="s">
        <v>992</v>
      </c>
      <c r="AOI1" t="s">
        <v>993</v>
      </c>
      <c r="AOJ1" t="s">
        <v>994</v>
      </c>
      <c r="AOK1" t="s">
        <v>995</v>
      </c>
      <c r="AOL1" t="s">
        <v>996</v>
      </c>
      <c r="AOM1" t="s">
        <v>997</v>
      </c>
      <c r="AON1">
        <v>4.0000000000000004E+25</v>
      </c>
      <c r="AOO1" t="s">
        <v>998</v>
      </c>
      <c r="AOP1" t="s">
        <v>999</v>
      </c>
      <c r="AOQ1" t="s">
        <v>1000</v>
      </c>
      <c r="AOR1" t="s">
        <v>1001</v>
      </c>
      <c r="AOS1" t="s">
        <v>1002</v>
      </c>
      <c r="AOT1" t="s">
        <v>1003</v>
      </c>
      <c r="AOU1" t="s">
        <v>1004</v>
      </c>
      <c r="AOV1" t="s">
        <v>1005</v>
      </c>
      <c r="AOW1" t="s">
        <v>1006</v>
      </c>
      <c r="AOX1" t="s">
        <v>1007</v>
      </c>
      <c r="AOY1" t="s">
        <v>1008</v>
      </c>
      <c r="AOZ1" t="s">
        <v>1009</v>
      </c>
      <c r="APA1" t="s">
        <v>1010</v>
      </c>
      <c r="APB1" t="s">
        <v>1011</v>
      </c>
      <c r="APC1" t="s">
        <v>1012</v>
      </c>
      <c r="APD1" t="s">
        <v>1013</v>
      </c>
      <c r="APE1" t="s">
        <v>1014</v>
      </c>
      <c r="APF1">
        <v>4.0000000000000002E+26</v>
      </c>
      <c r="APG1" t="s">
        <v>1015</v>
      </c>
      <c r="APH1" t="s">
        <v>1016</v>
      </c>
      <c r="API1" t="s">
        <v>1017</v>
      </c>
      <c r="APJ1" t="s">
        <v>1018</v>
      </c>
      <c r="APK1" t="s">
        <v>1019</v>
      </c>
      <c r="APL1" t="s">
        <v>1020</v>
      </c>
      <c r="APM1" t="s">
        <v>1021</v>
      </c>
      <c r="APN1" t="s">
        <v>1022</v>
      </c>
      <c r="APO1" t="s">
        <v>1023</v>
      </c>
      <c r="APP1" t="s">
        <v>1024</v>
      </c>
      <c r="APQ1" t="s">
        <v>1025</v>
      </c>
      <c r="APR1" t="s">
        <v>1026</v>
      </c>
      <c r="APS1" t="s">
        <v>1027</v>
      </c>
      <c r="APT1" t="s">
        <v>1028</v>
      </c>
      <c r="APU1" t="s">
        <v>1029</v>
      </c>
      <c r="APV1" t="s">
        <v>1030</v>
      </c>
      <c r="APW1" t="s">
        <v>1031</v>
      </c>
      <c r="APX1">
        <v>4.0000000000000001E+27</v>
      </c>
      <c r="APY1" t="s">
        <v>1032</v>
      </c>
      <c r="APZ1" t="s">
        <v>1033</v>
      </c>
      <c r="AQA1" t="s">
        <v>1034</v>
      </c>
      <c r="AQB1" t="s">
        <v>1035</v>
      </c>
      <c r="AQC1" t="s">
        <v>1036</v>
      </c>
      <c r="AQD1" t="s">
        <v>1037</v>
      </c>
      <c r="AQE1" t="s">
        <v>1038</v>
      </c>
      <c r="AQF1" t="s">
        <v>1039</v>
      </c>
      <c r="AQG1" t="s">
        <v>1040</v>
      </c>
      <c r="AQH1" t="s">
        <v>1041</v>
      </c>
      <c r="AQI1" t="s">
        <v>1042</v>
      </c>
      <c r="AQJ1" t="s">
        <v>1043</v>
      </c>
      <c r="AQK1" t="s">
        <v>1044</v>
      </c>
      <c r="AQL1" t="s">
        <v>1045</v>
      </c>
      <c r="AQM1" t="s">
        <v>1046</v>
      </c>
      <c r="AQN1" t="s">
        <v>1047</v>
      </c>
      <c r="AQO1" t="s">
        <v>1048</v>
      </c>
      <c r="AQP1">
        <v>3.9999999999999998E+28</v>
      </c>
      <c r="AQQ1" t="s">
        <v>1049</v>
      </c>
      <c r="AQR1" t="s">
        <v>1050</v>
      </c>
      <c r="AQS1" t="s">
        <v>1051</v>
      </c>
      <c r="AQT1" t="s">
        <v>1052</v>
      </c>
      <c r="AQU1" t="s">
        <v>1053</v>
      </c>
      <c r="AQV1" t="s">
        <v>1054</v>
      </c>
      <c r="AQW1" t="s">
        <v>1055</v>
      </c>
      <c r="AQX1" t="s">
        <v>1056</v>
      </c>
      <c r="AQY1" t="s">
        <v>1057</v>
      </c>
      <c r="AQZ1" t="s">
        <v>1058</v>
      </c>
      <c r="ARA1" t="s">
        <v>1059</v>
      </c>
      <c r="ARB1" t="s">
        <v>1060</v>
      </c>
      <c r="ARC1" t="s">
        <v>1061</v>
      </c>
      <c r="ARD1" t="s">
        <v>1062</v>
      </c>
      <c r="ARE1" t="s">
        <v>1063</v>
      </c>
      <c r="ARF1" t="s">
        <v>1064</v>
      </c>
      <c r="ARG1" t="s">
        <v>1065</v>
      </c>
      <c r="ARH1">
        <v>3.9999999999999997E+29</v>
      </c>
      <c r="ARI1" t="s">
        <v>1066</v>
      </c>
      <c r="ARJ1" t="s">
        <v>1067</v>
      </c>
      <c r="ARK1" t="s">
        <v>1068</v>
      </c>
      <c r="ARL1" t="s">
        <v>1069</v>
      </c>
      <c r="ARM1" t="s">
        <v>1070</v>
      </c>
      <c r="ARN1" t="s">
        <v>1071</v>
      </c>
      <c r="ARO1" t="s">
        <v>1072</v>
      </c>
      <c r="ARP1" t="s">
        <v>1073</v>
      </c>
      <c r="ARQ1" t="s">
        <v>1074</v>
      </c>
      <c r="ARR1" t="s">
        <v>1075</v>
      </c>
      <c r="ARS1" t="s">
        <v>1076</v>
      </c>
      <c r="ART1" t="s">
        <v>1077</v>
      </c>
      <c r="ARU1" t="s">
        <v>1078</v>
      </c>
      <c r="ARV1" t="s">
        <v>1079</v>
      </c>
      <c r="ARW1" t="s">
        <v>1080</v>
      </c>
      <c r="ARX1" t="s">
        <v>1081</v>
      </c>
      <c r="ARY1" t="s">
        <v>1082</v>
      </c>
      <c r="ARZ1">
        <v>4.0000000000000001E+30</v>
      </c>
      <c r="ASA1" t="s">
        <v>1083</v>
      </c>
      <c r="ASB1" t="s">
        <v>1084</v>
      </c>
      <c r="ASC1" t="s">
        <v>1085</v>
      </c>
      <c r="ASD1" t="s">
        <v>1086</v>
      </c>
      <c r="ASE1" t="s">
        <v>1087</v>
      </c>
      <c r="ASF1" t="s">
        <v>1088</v>
      </c>
      <c r="ASG1" t="s">
        <v>1089</v>
      </c>
      <c r="ASH1" t="s">
        <v>1090</v>
      </c>
      <c r="ASI1" t="s">
        <v>1091</v>
      </c>
      <c r="ASJ1" t="s">
        <v>1092</v>
      </c>
      <c r="ASK1" t="s">
        <v>1093</v>
      </c>
      <c r="ASL1" t="s">
        <v>1094</v>
      </c>
      <c r="ASM1" t="s">
        <v>1095</v>
      </c>
      <c r="ASN1" t="s">
        <v>1096</v>
      </c>
      <c r="ASO1" t="s">
        <v>1097</v>
      </c>
      <c r="ASP1" t="s">
        <v>1098</v>
      </c>
      <c r="ASQ1" t="s">
        <v>1099</v>
      </c>
      <c r="ASR1">
        <v>3.9999999999999999E+31</v>
      </c>
      <c r="ASS1" t="s">
        <v>1100</v>
      </c>
      <c r="AST1" t="s">
        <v>1101</v>
      </c>
      <c r="ASU1" t="s">
        <v>1102</v>
      </c>
      <c r="ASV1" t="s">
        <v>1103</v>
      </c>
      <c r="ASW1" t="s">
        <v>1104</v>
      </c>
      <c r="ASX1" t="s">
        <v>1105</v>
      </c>
      <c r="ASY1" t="s">
        <v>1106</v>
      </c>
      <c r="ASZ1" t="s">
        <v>1107</v>
      </c>
      <c r="ATA1" t="s">
        <v>1108</v>
      </c>
      <c r="ATB1" t="s">
        <v>1109</v>
      </c>
      <c r="ATC1" t="s">
        <v>1110</v>
      </c>
      <c r="ATD1" t="s">
        <v>1111</v>
      </c>
      <c r="ATE1" t="s">
        <v>1112</v>
      </c>
      <c r="ATF1" t="s">
        <v>1113</v>
      </c>
      <c r="ATG1" t="s">
        <v>1114</v>
      </c>
      <c r="ATH1" t="s">
        <v>1115</v>
      </c>
      <c r="ATI1" t="s">
        <v>1116</v>
      </c>
      <c r="ATJ1">
        <v>4.0000000000000002E+32</v>
      </c>
      <c r="ATK1" t="s">
        <v>1117</v>
      </c>
      <c r="ATL1" t="s">
        <v>1118</v>
      </c>
      <c r="ATM1" t="s">
        <v>1119</v>
      </c>
      <c r="ATN1" t="s">
        <v>1120</v>
      </c>
      <c r="ATO1" t="s">
        <v>1121</v>
      </c>
      <c r="ATP1" t="s">
        <v>1122</v>
      </c>
      <c r="ATQ1" t="s">
        <v>1123</v>
      </c>
      <c r="ATR1" t="s">
        <v>1124</v>
      </c>
      <c r="ATS1" t="s">
        <v>1125</v>
      </c>
      <c r="ATT1" t="s">
        <v>1126</v>
      </c>
      <c r="ATU1" t="s">
        <v>1127</v>
      </c>
      <c r="ATV1" t="s">
        <v>1128</v>
      </c>
      <c r="ATW1" t="s">
        <v>1129</v>
      </c>
      <c r="ATX1" t="s">
        <v>1130</v>
      </c>
      <c r="ATY1" t="s">
        <v>1131</v>
      </c>
      <c r="ATZ1" t="s">
        <v>1132</v>
      </c>
      <c r="AUA1" t="s">
        <v>1133</v>
      </c>
      <c r="AUB1">
        <v>3.9999999999999998E+33</v>
      </c>
      <c r="AUC1" t="s">
        <v>1134</v>
      </c>
      <c r="AUD1" t="s">
        <v>1135</v>
      </c>
      <c r="AUE1" t="s">
        <v>1136</v>
      </c>
      <c r="AUF1" t="s">
        <v>1137</v>
      </c>
      <c r="AUG1" t="s">
        <v>1138</v>
      </c>
      <c r="AUH1" t="s">
        <v>1139</v>
      </c>
      <c r="AUI1" t="s">
        <v>1140</v>
      </c>
      <c r="AUJ1" t="s">
        <v>1141</v>
      </c>
      <c r="AUK1" t="s">
        <v>1142</v>
      </c>
      <c r="AUL1" t="s">
        <v>1143</v>
      </c>
      <c r="AUM1" t="s">
        <v>1144</v>
      </c>
      <c r="AUN1" t="s">
        <v>1145</v>
      </c>
      <c r="AUO1" t="s">
        <v>1146</v>
      </c>
      <c r="AUP1" t="s">
        <v>1147</v>
      </c>
      <c r="AUQ1" t="s">
        <v>1148</v>
      </c>
      <c r="AUR1" t="s">
        <v>1149</v>
      </c>
      <c r="AUS1" t="s">
        <v>1150</v>
      </c>
      <c r="AUT1">
        <v>3.9999999999999998E+34</v>
      </c>
      <c r="AUU1" t="s">
        <v>1151</v>
      </c>
      <c r="AUV1" t="s">
        <v>1152</v>
      </c>
      <c r="AUW1" t="s">
        <v>1153</v>
      </c>
      <c r="AUX1" t="s">
        <v>1154</v>
      </c>
      <c r="AUY1" t="s">
        <v>1155</v>
      </c>
      <c r="AUZ1" t="s">
        <v>1156</v>
      </c>
      <c r="AVA1" t="s">
        <v>1157</v>
      </c>
      <c r="AVB1" t="s">
        <v>1158</v>
      </c>
      <c r="AVC1" t="s">
        <v>1159</v>
      </c>
      <c r="AVD1" t="s">
        <v>1160</v>
      </c>
      <c r="AVE1" t="s">
        <v>14661</v>
      </c>
      <c r="AVF1" t="s">
        <v>14662</v>
      </c>
      <c r="AVG1" t="s">
        <v>14663</v>
      </c>
      <c r="AVH1" t="s">
        <v>14664</v>
      </c>
      <c r="AVI1" t="s">
        <v>14665</v>
      </c>
      <c r="AVJ1" t="s">
        <v>14666</v>
      </c>
      <c r="AVK1" t="s">
        <v>14667</v>
      </c>
      <c r="AVL1" t="s">
        <v>14668</v>
      </c>
      <c r="AVM1" t="s">
        <v>14669</v>
      </c>
      <c r="AVN1" t="s">
        <v>14670</v>
      </c>
      <c r="AVO1" t="s">
        <v>14671</v>
      </c>
      <c r="AVP1" t="s">
        <v>14672</v>
      </c>
      <c r="AVQ1" t="s">
        <v>14673</v>
      </c>
      <c r="AVR1" t="s">
        <v>14674</v>
      </c>
      <c r="AVS1" t="s">
        <v>14675</v>
      </c>
      <c r="AVT1" t="s">
        <v>14676</v>
      </c>
      <c r="AVU1" t="s">
        <v>14677</v>
      </c>
      <c r="AVV1" t="s">
        <v>14678</v>
      </c>
      <c r="AVW1" t="s">
        <v>14679</v>
      </c>
      <c r="AVX1" t="s">
        <v>14680</v>
      </c>
      <c r="AVY1" t="s">
        <v>14681</v>
      </c>
      <c r="AVZ1" t="s">
        <v>14682</v>
      </c>
      <c r="AWA1" t="s">
        <v>14683</v>
      </c>
      <c r="AWB1" t="s">
        <v>14684</v>
      </c>
      <c r="AWC1" t="s">
        <v>14685</v>
      </c>
      <c r="AWD1" t="s">
        <v>14686</v>
      </c>
      <c r="AWE1" t="s">
        <v>14687</v>
      </c>
      <c r="AWF1" t="s">
        <v>14688</v>
      </c>
      <c r="AWG1" t="s">
        <v>14689</v>
      </c>
      <c r="AWH1" t="s">
        <v>14690</v>
      </c>
      <c r="AWI1" t="s">
        <v>14691</v>
      </c>
      <c r="AWJ1" t="s">
        <v>14692</v>
      </c>
      <c r="AWK1" t="s">
        <v>14693</v>
      </c>
      <c r="AWL1" t="s">
        <v>14694</v>
      </c>
      <c r="AWM1" t="s">
        <v>14695</v>
      </c>
      <c r="AWN1" t="s">
        <v>14696</v>
      </c>
      <c r="AWO1" t="s">
        <v>14697</v>
      </c>
      <c r="AWP1" t="s">
        <v>14698</v>
      </c>
      <c r="AWQ1" t="s">
        <v>14699</v>
      </c>
      <c r="AWR1" t="s">
        <v>14700</v>
      </c>
      <c r="AWS1" t="s">
        <v>14701</v>
      </c>
      <c r="AWT1" t="s">
        <v>14702</v>
      </c>
      <c r="AWU1" t="s">
        <v>14703</v>
      </c>
      <c r="AWV1" t="s">
        <v>14704</v>
      </c>
      <c r="AWW1" t="s">
        <v>14705</v>
      </c>
      <c r="AWX1" t="s">
        <v>14706</v>
      </c>
      <c r="AWY1" t="s">
        <v>14707</v>
      </c>
      <c r="AWZ1" t="s">
        <v>14708</v>
      </c>
      <c r="AXA1" t="s">
        <v>14709</v>
      </c>
      <c r="AXB1" t="s">
        <v>14710</v>
      </c>
      <c r="AXC1" t="s">
        <v>14711</v>
      </c>
      <c r="AXD1" t="s">
        <v>14712</v>
      </c>
      <c r="AXE1" t="s">
        <v>14713</v>
      </c>
      <c r="AXF1" t="s">
        <v>14714</v>
      </c>
      <c r="AXG1" t="s">
        <v>14715</v>
      </c>
      <c r="AXH1" t="s">
        <v>14716</v>
      </c>
      <c r="AXI1" t="s">
        <v>14717</v>
      </c>
      <c r="AXJ1" t="s">
        <v>14718</v>
      </c>
      <c r="AXK1" t="s">
        <v>14719</v>
      </c>
      <c r="AXL1" t="s">
        <v>14720</v>
      </c>
      <c r="AXM1" t="s">
        <v>14721</v>
      </c>
      <c r="AXN1" t="s">
        <v>14722</v>
      </c>
      <c r="AXO1" t="s">
        <v>14723</v>
      </c>
      <c r="AXP1" t="s">
        <v>14724</v>
      </c>
      <c r="AXQ1" t="s">
        <v>14725</v>
      </c>
      <c r="AXR1" t="s">
        <v>14726</v>
      </c>
      <c r="AXS1" t="s">
        <v>14727</v>
      </c>
      <c r="AXT1" t="s">
        <v>14728</v>
      </c>
      <c r="AXU1" t="s">
        <v>14729</v>
      </c>
      <c r="AXV1" t="s">
        <v>14730</v>
      </c>
      <c r="AXW1" t="s">
        <v>14731</v>
      </c>
      <c r="AXX1" t="s">
        <v>14732</v>
      </c>
      <c r="AXY1" t="s">
        <v>14733</v>
      </c>
      <c r="AXZ1" t="s">
        <v>14734</v>
      </c>
      <c r="AYA1" t="s">
        <v>14735</v>
      </c>
      <c r="AYB1" t="s">
        <v>14736</v>
      </c>
      <c r="AYC1" t="s">
        <v>14737</v>
      </c>
      <c r="AYD1" t="s">
        <v>14738</v>
      </c>
      <c r="AYE1" t="s">
        <v>14739</v>
      </c>
      <c r="AYF1" t="s">
        <v>14740</v>
      </c>
      <c r="AYG1" t="s">
        <v>14741</v>
      </c>
      <c r="AYH1" t="s">
        <v>14742</v>
      </c>
      <c r="AYI1" t="s">
        <v>14743</v>
      </c>
      <c r="AYJ1" t="s">
        <v>14744</v>
      </c>
      <c r="AYK1" t="s">
        <v>14745</v>
      </c>
      <c r="AYL1" t="s">
        <v>14746</v>
      </c>
      <c r="AYM1" t="s">
        <v>14747</v>
      </c>
      <c r="AYN1" t="s">
        <v>14748</v>
      </c>
      <c r="AYO1" t="s">
        <v>14749</v>
      </c>
      <c r="AYP1" t="s">
        <v>14750</v>
      </c>
      <c r="AYQ1" t="s">
        <v>14751</v>
      </c>
      <c r="AYR1" t="s">
        <v>14752</v>
      </c>
      <c r="AYS1" t="s">
        <v>14753</v>
      </c>
      <c r="AYT1" t="s">
        <v>14754</v>
      </c>
      <c r="AYU1" t="s">
        <v>14755</v>
      </c>
      <c r="AYV1" t="s">
        <v>14756</v>
      </c>
      <c r="AYW1" t="s">
        <v>14757</v>
      </c>
      <c r="AYX1" t="s">
        <v>14758</v>
      </c>
      <c r="AYY1" t="s">
        <v>14759</v>
      </c>
      <c r="AYZ1" t="s">
        <v>14760</v>
      </c>
      <c r="AZA1" t="s">
        <v>14761</v>
      </c>
      <c r="AZB1" t="s">
        <v>14762</v>
      </c>
      <c r="AZC1" t="s">
        <v>14763</v>
      </c>
      <c r="AZD1" t="s">
        <v>14764</v>
      </c>
      <c r="AZE1" t="s">
        <v>14765</v>
      </c>
      <c r="AZF1" t="s">
        <v>14766</v>
      </c>
      <c r="AZG1" t="s">
        <v>14767</v>
      </c>
      <c r="AZH1" t="s">
        <v>14768</v>
      </c>
      <c r="AZI1" t="s">
        <v>14769</v>
      </c>
      <c r="AZJ1" t="s">
        <v>14770</v>
      </c>
      <c r="AZK1" t="s">
        <v>14771</v>
      </c>
      <c r="AZL1" t="s">
        <v>14772</v>
      </c>
      <c r="AZM1" t="s">
        <v>14773</v>
      </c>
      <c r="AZN1" t="s">
        <v>14774</v>
      </c>
      <c r="AZO1" t="s">
        <v>14775</v>
      </c>
      <c r="AZP1" t="s">
        <v>14776</v>
      </c>
      <c r="AZQ1" t="s">
        <v>14777</v>
      </c>
      <c r="AZR1" t="s">
        <v>14778</v>
      </c>
      <c r="AZS1" t="s">
        <v>14779</v>
      </c>
      <c r="AZT1" t="s">
        <v>14780</v>
      </c>
      <c r="AZU1" t="s">
        <v>14781</v>
      </c>
      <c r="AZV1" t="s">
        <v>14782</v>
      </c>
      <c r="AZW1" t="s">
        <v>14783</v>
      </c>
      <c r="AZX1" t="s">
        <v>14784</v>
      </c>
      <c r="AZY1" t="s">
        <v>14785</v>
      </c>
      <c r="AZZ1" t="s">
        <v>14786</v>
      </c>
      <c r="BAA1" t="s">
        <v>14787</v>
      </c>
      <c r="BAB1" t="s">
        <v>14788</v>
      </c>
      <c r="BAC1" t="s">
        <v>14789</v>
      </c>
      <c r="BAD1" t="s">
        <v>14790</v>
      </c>
      <c r="BAE1" t="s">
        <v>14791</v>
      </c>
      <c r="BAF1" t="s">
        <v>14792</v>
      </c>
      <c r="BAG1" t="s">
        <v>14793</v>
      </c>
      <c r="BAH1" t="s">
        <v>14794</v>
      </c>
      <c r="BAI1" t="s">
        <v>14795</v>
      </c>
      <c r="BAJ1" t="s">
        <v>14796</v>
      </c>
      <c r="BAK1" t="s">
        <v>14797</v>
      </c>
      <c r="BAL1" t="s">
        <v>14798</v>
      </c>
      <c r="BAM1" t="s">
        <v>14799</v>
      </c>
      <c r="BAN1" t="s">
        <v>14800</v>
      </c>
      <c r="BAO1" t="s">
        <v>14801</v>
      </c>
      <c r="BAP1" t="s">
        <v>14802</v>
      </c>
      <c r="BAQ1" t="s">
        <v>1303</v>
      </c>
      <c r="BAR1" t="s">
        <v>1304</v>
      </c>
      <c r="BAS1" t="s">
        <v>1305</v>
      </c>
      <c r="BAT1" t="s">
        <v>1306</v>
      </c>
      <c r="BAU1" t="s">
        <v>14803</v>
      </c>
      <c r="BAV1" t="s">
        <v>14804</v>
      </c>
      <c r="BAW1" t="s">
        <v>14805</v>
      </c>
      <c r="BAX1" t="s">
        <v>14806</v>
      </c>
      <c r="BAY1" t="s">
        <v>14807</v>
      </c>
      <c r="BAZ1" t="s">
        <v>14808</v>
      </c>
      <c r="BBA1" t="s">
        <v>14809</v>
      </c>
      <c r="BBB1" t="s">
        <v>14810</v>
      </c>
      <c r="BBC1" t="s">
        <v>14811</v>
      </c>
      <c r="BBD1" t="s">
        <v>14812</v>
      </c>
      <c r="BBE1" t="s">
        <v>14813</v>
      </c>
      <c r="BBF1" t="s">
        <v>14814</v>
      </c>
      <c r="BBG1" t="s">
        <v>14815</v>
      </c>
      <c r="BBH1" t="s">
        <v>14816</v>
      </c>
      <c r="BBI1" t="s">
        <v>14817</v>
      </c>
      <c r="BBJ1" t="s">
        <v>14818</v>
      </c>
      <c r="BBK1" t="s">
        <v>14819</v>
      </c>
      <c r="BBL1" t="s">
        <v>14820</v>
      </c>
      <c r="BBM1" t="s">
        <v>1327</v>
      </c>
      <c r="BBN1" t="s">
        <v>1328</v>
      </c>
      <c r="BBO1" t="s">
        <v>14821</v>
      </c>
      <c r="BBP1" t="s">
        <v>1330</v>
      </c>
      <c r="BBQ1" t="s">
        <v>1331</v>
      </c>
      <c r="BBR1" t="s">
        <v>14822</v>
      </c>
      <c r="BBS1" t="s">
        <v>1333</v>
      </c>
      <c r="BBT1" t="s">
        <v>1334</v>
      </c>
      <c r="BBU1" t="s">
        <v>14823</v>
      </c>
      <c r="BBV1" t="s">
        <v>1336</v>
      </c>
      <c r="BBW1" t="s">
        <v>1337</v>
      </c>
      <c r="BBX1" t="s">
        <v>14824</v>
      </c>
      <c r="BBY1" t="s">
        <v>1339</v>
      </c>
      <c r="BBZ1" t="s">
        <v>1340</v>
      </c>
      <c r="BCA1" t="s">
        <v>14825</v>
      </c>
      <c r="BCB1" t="s">
        <v>1342</v>
      </c>
      <c r="BCC1" t="s">
        <v>1343</v>
      </c>
      <c r="BCD1" t="s">
        <v>14826</v>
      </c>
      <c r="BCE1" t="s">
        <v>14827</v>
      </c>
      <c r="BCF1" t="s">
        <v>14828</v>
      </c>
      <c r="BCG1" t="s">
        <v>14829</v>
      </c>
      <c r="BCH1" t="s">
        <v>14830</v>
      </c>
      <c r="BCI1" t="s">
        <v>14831</v>
      </c>
      <c r="BCJ1" t="s">
        <v>14832</v>
      </c>
      <c r="BCK1" t="s">
        <v>14833</v>
      </c>
      <c r="BCL1" t="s">
        <v>14834</v>
      </c>
      <c r="BCM1" t="s">
        <v>14835</v>
      </c>
      <c r="BCN1" t="s">
        <v>14836</v>
      </c>
      <c r="BCO1" t="s">
        <v>14837</v>
      </c>
      <c r="BCP1" t="s">
        <v>14838</v>
      </c>
      <c r="BCQ1" t="s">
        <v>14839</v>
      </c>
      <c r="BCR1" t="s">
        <v>14840</v>
      </c>
      <c r="BCS1" t="s">
        <v>14841</v>
      </c>
      <c r="BCT1" t="s">
        <v>14842</v>
      </c>
      <c r="BCU1" t="s">
        <v>14843</v>
      </c>
      <c r="BCV1" t="s">
        <v>14844</v>
      </c>
      <c r="BCW1" t="s">
        <v>14845</v>
      </c>
      <c r="BCX1" t="s">
        <v>14846</v>
      </c>
      <c r="BCY1" t="s">
        <v>14847</v>
      </c>
      <c r="BCZ1" t="s">
        <v>14848</v>
      </c>
      <c r="BDA1" t="s">
        <v>14849</v>
      </c>
      <c r="BDB1" t="s">
        <v>14850</v>
      </c>
      <c r="BDC1" t="s">
        <v>14851</v>
      </c>
      <c r="BDD1" t="s">
        <v>14852</v>
      </c>
      <c r="BDE1" t="s">
        <v>14853</v>
      </c>
      <c r="BDF1" t="s">
        <v>14854</v>
      </c>
      <c r="BDG1" t="s">
        <v>14855</v>
      </c>
      <c r="BDH1" t="s">
        <v>14856</v>
      </c>
      <c r="BDI1" t="s">
        <v>14857</v>
      </c>
      <c r="BDJ1" t="s">
        <v>14858</v>
      </c>
      <c r="BDK1" t="s">
        <v>14859</v>
      </c>
      <c r="BDL1" t="s">
        <v>14860</v>
      </c>
      <c r="BDM1" t="s">
        <v>14861</v>
      </c>
      <c r="BDN1" t="s">
        <v>14862</v>
      </c>
      <c r="BDO1" t="s">
        <v>14863</v>
      </c>
      <c r="BDP1" t="s">
        <v>14864</v>
      </c>
      <c r="BDQ1" t="s">
        <v>14865</v>
      </c>
      <c r="BDR1" t="s">
        <v>14866</v>
      </c>
      <c r="BDS1" t="s">
        <v>14867</v>
      </c>
      <c r="BDT1" t="s">
        <v>14868</v>
      </c>
      <c r="BDU1" t="s">
        <v>14869</v>
      </c>
      <c r="BDV1" t="s">
        <v>14870</v>
      </c>
      <c r="BDW1" t="s">
        <v>14871</v>
      </c>
      <c r="BDX1" t="s">
        <v>14872</v>
      </c>
      <c r="BDY1" t="s">
        <v>14873</v>
      </c>
      <c r="BDZ1" t="s">
        <v>14874</v>
      </c>
      <c r="BEA1" t="s">
        <v>14875</v>
      </c>
      <c r="BEB1" t="s">
        <v>14876</v>
      </c>
      <c r="BEC1" t="s">
        <v>14877</v>
      </c>
      <c r="BED1" t="s">
        <v>14878</v>
      </c>
      <c r="BEE1" t="s">
        <v>14879</v>
      </c>
      <c r="BEF1" t="s">
        <v>14880</v>
      </c>
      <c r="BEG1" t="s">
        <v>14881</v>
      </c>
      <c r="BEH1" t="s">
        <v>14882</v>
      </c>
      <c r="BEI1" t="s">
        <v>14883</v>
      </c>
      <c r="BEJ1" t="s">
        <v>14884</v>
      </c>
      <c r="BEK1" t="s">
        <v>14885</v>
      </c>
      <c r="BEL1" t="s">
        <v>14886</v>
      </c>
      <c r="BEM1" t="s">
        <v>14887</v>
      </c>
      <c r="BEN1" t="s">
        <v>14888</v>
      </c>
      <c r="BEO1" t="s">
        <v>14889</v>
      </c>
      <c r="BEP1" t="s">
        <v>14890</v>
      </c>
      <c r="BEQ1" t="s">
        <v>14891</v>
      </c>
      <c r="BER1" t="s">
        <v>14892</v>
      </c>
      <c r="BES1" t="s">
        <v>14893</v>
      </c>
      <c r="BET1" t="s">
        <v>14894</v>
      </c>
      <c r="BEU1" t="s">
        <v>14895</v>
      </c>
      <c r="BEV1" t="s">
        <v>14896</v>
      </c>
      <c r="BEW1" t="s">
        <v>14897</v>
      </c>
      <c r="BEX1" t="s">
        <v>14898</v>
      </c>
      <c r="BEY1" t="s">
        <v>14899</v>
      </c>
      <c r="BEZ1" t="s">
        <v>14900</v>
      </c>
      <c r="BFA1" t="s">
        <v>14901</v>
      </c>
      <c r="BFB1" t="s">
        <v>14902</v>
      </c>
      <c r="BFC1" t="s">
        <v>14903</v>
      </c>
      <c r="BFD1" t="s">
        <v>14904</v>
      </c>
      <c r="BFE1" t="s">
        <v>14905</v>
      </c>
      <c r="BFF1" t="s">
        <v>14906</v>
      </c>
      <c r="BFG1" t="s">
        <v>332</v>
      </c>
      <c r="BFH1" t="s">
        <v>341</v>
      </c>
      <c r="BFI1" t="s">
        <v>350</v>
      </c>
      <c r="BFJ1" t="s">
        <v>14907</v>
      </c>
      <c r="BFK1" t="s">
        <v>14908</v>
      </c>
      <c r="BFL1" t="s">
        <v>14909</v>
      </c>
      <c r="BFM1" t="s">
        <v>14910</v>
      </c>
      <c r="BFN1" t="s">
        <v>14911</v>
      </c>
      <c r="BFO1" t="s">
        <v>14912</v>
      </c>
      <c r="BFP1" t="s">
        <v>14913</v>
      </c>
      <c r="BFQ1" t="s">
        <v>14914</v>
      </c>
      <c r="BFR1" t="s">
        <v>14915</v>
      </c>
      <c r="BFS1" t="s">
        <v>14916</v>
      </c>
      <c r="BFT1" t="s">
        <v>14917</v>
      </c>
      <c r="BFU1" t="s">
        <v>14918</v>
      </c>
      <c r="BFV1" t="s">
        <v>14919</v>
      </c>
      <c r="BFW1" t="s">
        <v>14920</v>
      </c>
      <c r="BFX1" t="s">
        <v>14921</v>
      </c>
      <c r="BFY1" t="s">
        <v>14922</v>
      </c>
      <c r="BFZ1" t="s">
        <v>14923</v>
      </c>
      <c r="BGB1" t="s">
        <v>14924</v>
      </c>
      <c r="BGC1" t="s">
        <v>14925</v>
      </c>
      <c r="BGD1" t="s">
        <v>14926</v>
      </c>
      <c r="BGE1" t="s">
        <v>14927</v>
      </c>
    </row>
    <row r="2" spans="1:1539">
      <c r="A2">
        <v>362</v>
      </c>
      <c r="B2">
        <v>405</v>
      </c>
      <c r="C2" t="s">
        <v>1557</v>
      </c>
      <c r="D2" t="s">
        <v>1384</v>
      </c>
      <c r="E2" t="s">
        <v>3444</v>
      </c>
      <c r="F2">
        <v>75226</v>
      </c>
      <c r="G2">
        <v>522</v>
      </c>
      <c r="H2">
        <v>7</v>
      </c>
      <c r="I2" t="s">
        <v>15263</v>
      </c>
      <c r="J2" t="s">
        <v>15263</v>
      </c>
      <c r="K2" t="s">
        <v>15263</v>
      </c>
      <c r="L2" t="s">
        <v>1793</v>
      </c>
      <c r="M2" t="s">
        <v>1793</v>
      </c>
      <c r="N2" t="s">
        <v>1793</v>
      </c>
      <c r="O2" t="s">
        <v>1793</v>
      </c>
      <c r="P2" t="s">
        <v>1793</v>
      </c>
      <c r="Q2" t="s">
        <v>1793</v>
      </c>
      <c r="R2" t="s">
        <v>1793</v>
      </c>
      <c r="S2">
        <v>27</v>
      </c>
      <c r="T2">
        <v>4</v>
      </c>
      <c r="U2">
        <v>1</v>
      </c>
      <c r="V2">
        <v>42095</v>
      </c>
      <c r="W2">
        <v>42095</v>
      </c>
      <c r="X2">
        <v>41730</v>
      </c>
      <c r="Y2">
        <v>0</v>
      </c>
      <c r="Z2">
        <v>0</v>
      </c>
      <c r="AA2" t="s">
        <v>15264</v>
      </c>
      <c r="AB2" t="s">
        <v>15265</v>
      </c>
      <c r="AC2">
        <v>0</v>
      </c>
      <c r="AD2">
        <v>0</v>
      </c>
      <c r="AE2">
        <v>0</v>
      </c>
      <c r="AF2">
        <v>39809000</v>
      </c>
      <c r="AG2">
        <v>5627000</v>
      </c>
      <c r="AH2">
        <v>5627000</v>
      </c>
      <c r="AI2">
        <v>0</v>
      </c>
      <c r="AJ2">
        <v>0</v>
      </c>
      <c r="AK2">
        <v>0</v>
      </c>
      <c r="AL2">
        <v>0</v>
      </c>
      <c r="AM2">
        <v>0</v>
      </c>
      <c r="AN2">
        <v>25006000</v>
      </c>
      <c r="AO2">
        <v>25006000</v>
      </c>
      <c r="AP2">
        <v>0</v>
      </c>
      <c r="AQ2">
        <v>0</v>
      </c>
      <c r="AR2">
        <v>0</v>
      </c>
      <c r="AS2">
        <v>0</v>
      </c>
      <c r="AT2">
        <v>0</v>
      </c>
      <c r="AU2">
        <v>0</v>
      </c>
      <c r="AV2">
        <v>0</v>
      </c>
      <c r="AW2">
        <v>0</v>
      </c>
      <c r="AX2">
        <v>0</v>
      </c>
      <c r="AY2">
        <v>2929000</v>
      </c>
      <c r="AZ2">
        <v>121000</v>
      </c>
      <c r="BA2">
        <v>120000</v>
      </c>
      <c r="BB2">
        <v>6006000</v>
      </c>
      <c r="BC2">
        <v>0</v>
      </c>
      <c r="BD2">
        <v>0</v>
      </c>
      <c r="BE2">
        <v>6006000</v>
      </c>
      <c r="BF2">
        <v>0</v>
      </c>
      <c r="BG2">
        <v>0</v>
      </c>
      <c r="BH2">
        <v>20703000</v>
      </c>
      <c r="BI2">
        <v>17484000</v>
      </c>
      <c r="BJ2">
        <v>3219000</v>
      </c>
      <c r="BK2">
        <v>638000</v>
      </c>
      <c r="BL2">
        <v>1350000</v>
      </c>
      <c r="BM2">
        <v>1231000</v>
      </c>
      <c r="BN2">
        <v>60512000</v>
      </c>
      <c r="BO2">
        <v>10963000</v>
      </c>
      <c r="BP2">
        <v>2890000</v>
      </c>
      <c r="BQ2">
        <v>3249000</v>
      </c>
      <c r="BR2">
        <v>3249000</v>
      </c>
      <c r="BS2">
        <v>0</v>
      </c>
      <c r="BT2">
        <v>0</v>
      </c>
      <c r="BU2">
        <v>0</v>
      </c>
      <c r="BV2">
        <v>3883000</v>
      </c>
      <c r="BW2">
        <v>0</v>
      </c>
      <c r="BX2">
        <v>0</v>
      </c>
      <c r="BY2">
        <v>3883000</v>
      </c>
      <c r="BZ2">
        <v>941000</v>
      </c>
      <c r="CA2">
        <v>71475000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39809000</v>
      </c>
      <c r="DY2">
        <v>5627000</v>
      </c>
      <c r="DZ2">
        <v>5627000</v>
      </c>
      <c r="EA2">
        <v>0</v>
      </c>
      <c r="EB2">
        <v>0</v>
      </c>
      <c r="EC2">
        <v>0</v>
      </c>
      <c r="ED2">
        <v>0</v>
      </c>
      <c r="EE2">
        <v>0</v>
      </c>
      <c r="EF2">
        <v>25006000</v>
      </c>
      <c r="EG2">
        <v>25006000</v>
      </c>
      <c r="EH2">
        <v>0</v>
      </c>
      <c r="EI2">
        <v>0</v>
      </c>
      <c r="EJ2">
        <v>0</v>
      </c>
      <c r="EK2">
        <v>0</v>
      </c>
      <c r="EL2">
        <v>0</v>
      </c>
      <c r="EM2">
        <v>0</v>
      </c>
      <c r="EN2">
        <v>0</v>
      </c>
      <c r="EO2">
        <v>0</v>
      </c>
      <c r="EP2">
        <v>0</v>
      </c>
      <c r="EQ2">
        <v>2929000</v>
      </c>
      <c r="ER2">
        <v>121000</v>
      </c>
      <c r="ES2">
        <v>120000</v>
      </c>
      <c r="ET2">
        <v>6006000</v>
      </c>
      <c r="EU2">
        <v>0</v>
      </c>
      <c r="EV2">
        <v>0</v>
      </c>
      <c r="EW2">
        <v>6006000</v>
      </c>
      <c r="EX2">
        <v>0</v>
      </c>
      <c r="EY2">
        <v>0</v>
      </c>
      <c r="EZ2">
        <v>20703000</v>
      </c>
      <c r="FA2">
        <v>17484000</v>
      </c>
      <c r="FB2">
        <v>3219000</v>
      </c>
      <c r="FC2">
        <v>638000</v>
      </c>
      <c r="FD2">
        <v>1350000</v>
      </c>
      <c r="FE2">
        <v>1231000</v>
      </c>
      <c r="FF2">
        <v>60512000</v>
      </c>
      <c r="FG2">
        <v>10963000</v>
      </c>
      <c r="FH2">
        <v>2890000</v>
      </c>
      <c r="FI2">
        <v>3249000</v>
      </c>
      <c r="FJ2">
        <v>3249000</v>
      </c>
      <c r="FK2">
        <v>0</v>
      </c>
      <c r="FL2">
        <v>0</v>
      </c>
      <c r="FM2">
        <v>0</v>
      </c>
      <c r="FN2">
        <v>3883000</v>
      </c>
      <c r="FO2">
        <v>0</v>
      </c>
      <c r="FP2">
        <v>0</v>
      </c>
      <c r="FQ2">
        <v>3883000</v>
      </c>
      <c r="FR2">
        <v>941000</v>
      </c>
      <c r="FS2">
        <v>71475000</v>
      </c>
      <c r="FT2">
        <v>39809000</v>
      </c>
      <c r="FU2">
        <v>5627000</v>
      </c>
      <c r="FV2">
        <v>5627000</v>
      </c>
      <c r="FW2">
        <v>0</v>
      </c>
      <c r="FX2">
        <v>0</v>
      </c>
      <c r="FY2">
        <v>0</v>
      </c>
      <c r="FZ2">
        <v>0</v>
      </c>
      <c r="GA2">
        <v>0</v>
      </c>
      <c r="GB2">
        <v>25006000</v>
      </c>
      <c r="GC2">
        <v>25006000</v>
      </c>
      <c r="GD2">
        <v>0</v>
      </c>
      <c r="GE2">
        <v>0</v>
      </c>
      <c r="GF2">
        <v>0</v>
      </c>
      <c r="GG2">
        <v>0</v>
      </c>
      <c r="GH2">
        <v>0</v>
      </c>
      <c r="GI2">
        <v>0</v>
      </c>
      <c r="GJ2">
        <v>0</v>
      </c>
      <c r="GK2">
        <v>0</v>
      </c>
      <c r="GL2">
        <v>0</v>
      </c>
      <c r="GM2">
        <v>2929000</v>
      </c>
      <c r="GN2">
        <v>121000</v>
      </c>
      <c r="GO2">
        <v>120000</v>
      </c>
      <c r="GP2">
        <v>6006000</v>
      </c>
      <c r="GQ2">
        <v>0</v>
      </c>
      <c r="GR2">
        <v>0</v>
      </c>
      <c r="GS2">
        <v>6006000</v>
      </c>
      <c r="GT2">
        <v>0</v>
      </c>
      <c r="GU2">
        <v>0</v>
      </c>
      <c r="GV2">
        <v>20703000</v>
      </c>
      <c r="GW2">
        <v>17484000</v>
      </c>
      <c r="GX2">
        <v>3219000</v>
      </c>
      <c r="GY2">
        <v>638000</v>
      </c>
      <c r="GZ2">
        <v>1350000</v>
      </c>
      <c r="HA2">
        <v>1231000</v>
      </c>
      <c r="HB2">
        <v>60512000</v>
      </c>
      <c r="HC2">
        <v>10963000</v>
      </c>
      <c r="HD2">
        <v>2890000</v>
      </c>
      <c r="HE2">
        <v>3249000</v>
      </c>
      <c r="HF2">
        <v>3249000</v>
      </c>
      <c r="HG2">
        <v>0</v>
      </c>
      <c r="HH2">
        <v>0</v>
      </c>
      <c r="HI2">
        <v>0</v>
      </c>
      <c r="HJ2">
        <v>3883000</v>
      </c>
      <c r="HK2">
        <v>0</v>
      </c>
      <c r="HL2">
        <v>0</v>
      </c>
      <c r="HM2">
        <v>3883000</v>
      </c>
      <c r="HN2">
        <v>941000</v>
      </c>
      <c r="HO2">
        <v>71475000</v>
      </c>
      <c r="HP2">
        <v>39809000</v>
      </c>
      <c r="HQ2">
        <v>24153173</v>
      </c>
      <c r="HR2">
        <v>28886000</v>
      </c>
      <c r="HS2">
        <v>4819000</v>
      </c>
      <c r="HT2">
        <v>8000000</v>
      </c>
      <c r="HU2">
        <v>8000000</v>
      </c>
      <c r="HV2">
        <v>0</v>
      </c>
      <c r="HW2">
        <v>0</v>
      </c>
      <c r="HX2">
        <v>0</v>
      </c>
      <c r="HY2">
        <v>14795000</v>
      </c>
      <c r="HZ2">
        <v>10266000</v>
      </c>
      <c r="IA2">
        <v>0</v>
      </c>
      <c r="IB2">
        <v>4529000</v>
      </c>
      <c r="IC2">
        <v>1272000</v>
      </c>
      <c r="ID2">
        <v>39809000</v>
      </c>
      <c r="IE2">
        <v>20703000</v>
      </c>
      <c r="IF2">
        <v>60512000</v>
      </c>
      <c r="IG2">
        <v>10963000</v>
      </c>
      <c r="IH2">
        <v>71475000</v>
      </c>
      <c r="II2">
        <v>7961800</v>
      </c>
      <c r="IJ2">
        <v>7970655</v>
      </c>
      <c r="IK2">
        <v>15932455</v>
      </c>
      <c r="IL2">
        <v>4220755</v>
      </c>
      <c r="IM2">
        <v>20153210</v>
      </c>
      <c r="IN2">
        <v>0</v>
      </c>
      <c r="IO2">
        <v>0</v>
      </c>
      <c r="IP2">
        <v>0</v>
      </c>
      <c r="IQ2">
        <v>0</v>
      </c>
      <c r="IR2">
        <v>0</v>
      </c>
      <c r="IS2">
        <v>0</v>
      </c>
      <c r="IT2">
        <v>0</v>
      </c>
      <c r="IU2">
        <v>0</v>
      </c>
      <c r="IV2">
        <v>0</v>
      </c>
      <c r="IW2">
        <v>0</v>
      </c>
      <c r="IX2">
        <v>0</v>
      </c>
      <c r="IY2">
        <v>0</v>
      </c>
      <c r="IZ2">
        <v>0</v>
      </c>
      <c r="JA2">
        <v>0</v>
      </c>
      <c r="JB2">
        <v>0</v>
      </c>
      <c r="JC2">
        <v>-7961800</v>
      </c>
      <c r="JD2">
        <v>-7970655</v>
      </c>
      <c r="JE2">
        <v>-15932455</v>
      </c>
      <c r="JF2">
        <v>-4220755</v>
      </c>
      <c r="JG2">
        <v>-20153210</v>
      </c>
      <c r="JH2">
        <v>7961800</v>
      </c>
      <c r="JI2">
        <v>0</v>
      </c>
      <c r="JJ2">
        <v>0</v>
      </c>
      <c r="JK2">
        <v>0</v>
      </c>
      <c r="JL2">
        <v>0</v>
      </c>
      <c r="JM2">
        <v>0</v>
      </c>
      <c r="JN2">
        <v>0</v>
      </c>
      <c r="JO2">
        <v>0</v>
      </c>
      <c r="JP2">
        <v>0</v>
      </c>
      <c r="JQ2">
        <v>0</v>
      </c>
      <c r="JR2">
        <v>0</v>
      </c>
      <c r="JS2">
        <v>0</v>
      </c>
      <c r="JT2">
        <v>0</v>
      </c>
      <c r="JU2">
        <v>0</v>
      </c>
      <c r="JV2">
        <v>0</v>
      </c>
      <c r="JW2">
        <v>0</v>
      </c>
      <c r="JX2">
        <v>0</v>
      </c>
      <c r="JY2">
        <v>0</v>
      </c>
      <c r="JZ2">
        <v>0</v>
      </c>
      <c r="KA2">
        <v>0</v>
      </c>
      <c r="KB2">
        <v>0</v>
      </c>
      <c r="KC2">
        <v>0</v>
      </c>
      <c r="KD2">
        <v>0</v>
      </c>
      <c r="KE2">
        <v>0</v>
      </c>
      <c r="KF2">
        <v>0</v>
      </c>
      <c r="KG2">
        <v>0</v>
      </c>
      <c r="KH2">
        <v>0</v>
      </c>
      <c r="KI2">
        <v>0</v>
      </c>
      <c r="KJ2">
        <v>7970655</v>
      </c>
      <c r="KK2">
        <v>0</v>
      </c>
      <c r="KL2">
        <v>0</v>
      </c>
      <c r="KM2">
        <v>0</v>
      </c>
      <c r="KN2">
        <v>0</v>
      </c>
      <c r="KO2">
        <v>0</v>
      </c>
      <c r="KP2">
        <v>15932455</v>
      </c>
      <c r="KQ2">
        <v>4220755</v>
      </c>
      <c r="KR2">
        <v>0</v>
      </c>
      <c r="KS2">
        <v>0</v>
      </c>
      <c r="KT2">
        <v>0</v>
      </c>
      <c r="KU2">
        <v>0</v>
      </c>
      <c r="KV2">
        <v>0</v>
      </c>
      <c r="KW2">
        <v>0</v>
      </c>
      <c r="KX2">
        <v>0</v>
      </c>
      <c r="KY2">
        <v>0</v>
      </c>
      <c r="KZ2">
        <v>0</v>
      </c>
      <c r="LA2">
        <v>0</v>
      </c>
      <c r="LB2">
        <v>0</v>
      </c>
      <c r="LC2">
        <v>20153210</v>
      </c>
      <c r="LD2" t="s">
        <v>1792</v>
      </c>
      <c r="LE2" t="s">
        <v>15266</v>
      </c>
      <c r="LF2" t="s">
        <v>1553</v>
      </c>
      <c r="LG2">
        <v>34833023</v>
      </c>
      <c r="LH2">
        <v>2575000</v>
      </c>
      <c r="LI2" t="s">
        <v>15265</v>
      </c>
      <c r="LJ2">
        <v>0</v>
      </c>
      <c r="LK2">
        <v>0</v>
      </c>
      <c r="LL2">
        <v>0</v>
      </c>
      <c r="LM2">
        <v>0</v>
      </c>
      <c r="LN2">
        <v>0</v>
      </c>
      <c r="LO2">
        <v>0</v>
      </c>
      <c r="LP2">
        <v>0</v>
      </c>
      <c r="LQ2">
        <v>0</v>
      </c>
      <c r="LR2">
        <v>0</v>
      </c>
      <c r="LS2">
        <v>0</v>
      </c>
      <c r="LT2" t="s">
        <v>15267</v>
      </c>
      <c r="LU2" t="s">
        <v>15268</v>
      </c>
      <c r="LV2">
        <v>6006000</v>
      </c>
      <c r="LW2">
        <v>33803000</v>
      </c>
      <c r="LX2">
        <v>39809000</v>
      </c>
      <c r="LY2">
        <v>39809000</v>
      </c>
      <c r="LZ2">
        <v>39809000</v>
      </c>
      <c r="MA2">
        <v>6006000</v>
      </c>
      <c r="MB2" t="s">
        <v>15269</v>
      </c>
      <c r="MC2" t="s">
        <v>15268</v>
      </c>
      <c r="MD2">
        <v>0</v>
      </c>
      <c r="ME2">
        <v>0</v>
      </c>
      <c r="MF2">
        <v>0</v>
      </c>
      <c r="MG2">
        <v>0</v>
      </c>
      <c r="MH2">
        <v>0</v>
      </c>
      <c r="MI2">
        <v>0</v>
      </c>
      <c r="MJ2" t="s">
        <v>15267</v>
      </c>
      <c r="MK2" t="s">
        <v>15268</v>
      </c>
      <c r="ML2">
        <v>5847848</v>
      </c>
      <c r="MM2">
        <v>-13136791</v>
      </c>
      <c r="MN2">
        <v>0</v>
      </c>
      <c r="MO2">
        <v>0</v>
      </c>
      <c r="MP2">
        <v>5847848</v>
      </c>
      <c r="MQ2">
        <v>26788377</v>
      </c>
      <c r="MR2">
        <v>18979000</v>
      </c>
      <c r="MS2">
        <v>36936839</v>
      </c>
      <c r="MT2">
        <v>47369000</v>
      </c>
      <c r="MU2">
        <v>1921</v>
      </c>
      <c r="MV2">
        <v>1955</v>
      </c>
      <c r="MW2">
        <v>1965</v>
      </c>
      <c r="MX2">
        <v>1981</v>
      </c>
      <c r="MY2">
        <v>1978</v>
      </c>
      <c r="MZ2">
        <v>1930</v>
      </c>
      <c r="NA2">
        <v>1920</v>
      </c>
      <c r="NB2">
        <v>1881</v>
      </c>
      <c r="NC2">
        <v>1872</v>
      </c>
      <c r="ND2">
        <v>1841</v>
      </c>
      <c r="NE2">
        <v>1801</v>
      </c>
      <c r="NF2">
        <v>1792</v>
      </c>
      <c r="NG2">
        <v>1802</v>
      </c>
      <c r="NH2">
        <v>1812</v>
      </c>
      <c r="NI2">
        <v>0.92677688803627711</v>
      </c>
      <c r="NJ2">
        <v>0</v>
      </c>
      <c r="NK2">
        <v>0</v>
      </c>
      <c r="NL2">
        <v>0</v>
      </c>
      <c r="NM2">
        <v>0</v>
      </c>
      <c r="NN2">
        <v>39809000</v>
      </c>
      <c r="NO2">
        <v>33961152</v>
      </c>
      <c r="NP2" t="s">
        <v>15270</v>
      </c>
      <c r="NQ2" t="s">
        <v>14802</v>
      </c>
      <c r="NR2">
        <v>5847848</v>
      </c>
      <c r="NS2">
        <v>8916</v>
      </c>
      <c r="NT2">
        <v>3497</v>
      </c>
      <c r="NU2">
        <v>0</v>
      </c>
      <c r="NV2" t="s">
        <v>15264</v>
      </c>
      <c r="NW2">
        <v>33961152</v>
      </c>
      <c r="NX2">
        <v>11383.757506434087</v>
      </c>
      <c r="NY2">
        <v>0</v>
      </c>
      <c r="NZ2" t="s">
        <v>15271</v>
      </c>
      <c r="OA2">
        <v>0</v>
      </c>
      <c r="OB2">
        <v>1.002</v>
      </c>
      <c r="OC2">
        <v>0</v>
      </c>
      <c r="OD2">
        <v>0</v>
      </c>
      <c r="OE2">
        <v>0</v>
      </c>
      <c r="OF2">
        <v>1812</v>
      </c>
      <c r="OG2">
        <v>0</v>
      </c>
      <c r="OH2">
        <v>0</v>
      </c>
      <c r="OI2">
        <v>1812</v>
      </c>
      <c r="OJ2">
        <v>0</v>
      </c>
      <c r="OK2">
        <v>0</v>
      </c>
      <c r="OL2">
        <v>1</v>
      </c>
      <c r="OM2">
        <v>1801</v>
      </c>
      <c r="ON2">
        <v>0</v>
      </c>
      <c r="OO2">
        <v>0</v>
      </c>
      <c r="OP2">
        <v>1801</v>
      </c>
      <c r="OQ2">
        <v>0</v>
      </c>
      <c r="OR2">
        <v>0</v>
      </c>
      <c r="OS2">
        <v>1</v>
      </c>
      <c r="OT2">
        <v>0</v>
      </c>
      <c r="OU2" t="s">
        <v>15271</v>
      </c>
      <c r="OV2">
        <v>0</v>
      </c>
      <c r="OW2">
        <v>0</v>
      </c>
      <c r="OX2" t="s">
        <v>15271</v>
      </c>
      <c r="OY2">
        <v>0</v>
      </c>
      <c r="OZ2">
        <v>0</v>
      </c>
      <c r="PA2">
        <v>0</v>
      </c>
      <c r="PB2">
        <v>0</v>
      </c>
      <c r="PC2" t="s">
        <v>15271</v>
      </c>
      <c r="PD2">
        <v>0</v>
      </c>
      <c r="PE2">
        <v>0</v>
      </c>
      <c r="PF2">
        <v>0</v>
      </c>
      <c r="PG2" t="s">
        <v>15271</v>
      </c>
      <c r="PH2">
        <v>0</v>
      </c>
      <c r="PI2">
        <v>0</v>
      </c>
      <c r="PJ2">
        <v>0</v>
      </c>
      <c r="PK2">
        <v>0</v>
      </c>
      <c r="PL2">
        <v>0</v>
      </c>
      <c r="PM2">
        <v>0</v>
      </c>
      <c r="PN2">
        <v>0</v>
      </c>
      <c r="PO2">
        <v>0</v>
      </c>
      <c r="PP2">
        <v>0</v>
      </c>
      <c r="PQ2">
        <v>0</v>
      </c>
      <c r="PR2">
        <v>0</v>
      </c>
      <c r="PS2">
        <v>0</v>
      </c>
      <c r="PT2">
        <v>0</v>
      </c>
      <c r="PU2">
        <v>0.194187864793641</v>
      </c>
      <c r="PV2">
        <v>0.76158992788681101</v>
      </c>
      <c r="PW2">
        <v>-0.194187864793641</v>
      </c>
      <c r="PX2">
        <v>-0.76158992788681101</v>
      </c>
      <c r="PY2" t="s">
        <v>15271</v>
      </c>
      <c r="PZ2">
        <v>0</v>
      </c>
      <c r="QA2">
        <v>0</v>
      </c>
      <c r="QB2">
        <v>0</v>
      </c>
      <c r="QC2">
        <v>0</v>
      </c>
      <c r="QD2">
        <v>33961152</v>
      </c>
      <c r="QE2">
        <v>39809000</v>
      </c>
      <c r="QF2">
        <v>0</v>
      </c>
      <c r="QG2">
        <v>5847848</v>
      </c>
      <c r="QH2">
        <v>0</v>
      </c>
      <c r="QI2">
        <v>5847848</v>
      </c>
      <c r="QJ2">
        <v>0</v>
      </c>
      <c r="QK2">
        <v>-33961152</v>
      </c>
      <c r="QL2">
        <v>0</v>
      </c>
      <c r="QM2">
        <v>0</v>
      </c>
      <c r="QN2">
        <v>5847848</v>
      </c>
      <c r="QO2">
        <v>0</v>
      </c>
      <c r="QP2">
        <v>0</v>
      </c>
      <c r="QQ2">
        <v>0</v>
      </c>
      <c r="QR2">
        <v>0</v>
      </c>
      <c r="QS2">
        <v>0</v>
      </c>
      <c r="QT2">
        <v>39809000</v>
      </c>
      <c r="QU2">
        <v>0</v>
      </c>
      <c r="QV2" t="s">
        <v>15272</v>
      </c>
      <c r="QW2">
        <v>0</v>
      </c>
      <c r="QX2">
        <v>39809000</v>
      </c>
      <c r="QY2">
        <v>0</v>
      </c>
      <c r="QZ2">
        <v>0</v>
      </c>
      <c r="RA2">
        <v>0</v>
      </c>
      <c r="RB2" t="s">
        <v>15271</v>
      </c>
      <c r="RC2">
        <v>0</v>
      </c>
      <c r="RD2">
        <v>0</v>
      </c>
      <c r="RE2">
        <v>0</v>
      </c>
      <c r="RF2">
        <v>0</v>
      </c>
      <c r="RG2">
        <v>0</v>
      </c>
      <c r="RH2">
        <v>0</v>
      </c>
      <c r="RI2">
        <v>0</v>
      </c>
      <c r="RJ2">
        <v>0</v>
      </c>
      <c r="RK2">
        <v>0</v>
      </c>
      <c r="RL2">
        <v>0</v>
      </c>
      <c r="RM2">
        <v>0</v>
      </c>
      <c r="RN2">
        <v>0</v>
      </c>
      <c r="RO2">
        <v>0</v>
      </c>
      <c r="RP2">
        <v>0</v>
      </c>
      <c r="RQ2">
        <v>0</v>
      </c>
      <c r="RR2">
        <v>0</v>
      </c>
      <c r="RS2">
        <v>0</v>
      </c>
      <c r="RT2">
        <v>0</v>
      </c>
      <c r="RU2">
        <v>0</v>
      </c>
      <c r="RV2">
        <v>0</v>
      </c>
      <c r="RW2">
        <v>0</v>
      </c>
      <c r="RX2">
        <v>0</v>
      </c>
      <c r="RY2">
        <v>0</v>
      </c>
      <c r="RZ2">
        <v>0</v>
      </c>
      <c r="SA2">
        <v>0</v>
      </c>
      <c r="SB2">
        <v>0</v>
      </c>
      <c r="SC2">
        <v>0</v>
      </c>
      <c r="SD2">
        <v>0</v>
      </c>
      <c r="SE2">
        <v>0</v>
      </c>
      <c r="SF2">
        <v>0</v>
      </c>
      <c r="SG2">
        <v>0</v>
      </c>
      <c r="SH2">
        <v>0</v>
      </c>
      <c r="SI2">
        <v>0</v>
      </c>
      <c r="SJ2">
        <v>0</v>
      </c>
      <c r="SK2">
        <v>0</v>
      </c>
      <c r="SL2">
        <v>0</v>
      </c>
      <c r="SM2">
        <v>0</v>
      </c>
      <c r="SN2">
        <v>0</v>
      </c>
      <c r="SO2">
        <v>0</v>
      </c>
      <c r="SP2">
        <v>0</v>
      </c>
      <c r="SQ2">
        <v>0</v>
      </c>
      <c r="SR2">
        <v>0</v>
      </c>
      <c r="SS2">
        <v>0</v>
      </c>
      <c r="ST2">
        <v>0</v>
      </c>
      <c r="SU2">
        <v>0</v>
      </c>
      <c r="SV2">
        <v>0</v>
      </c>
      <c r="SW2">
        <v>0</v>
      </c>
      <c r="SX2">
        <v>0</v>
      </c>
      <c r="SY2">
        <v>0</v>
      </c>
      <c r="SZ2">
        <v>0</v>
      </c>
      <c r="TA2">
        <v>0</v>
      </c>
      <c r="TB2">
        <v>0</v>
      </c>
      <c r="TC2">
        <v>0</v>
      </c>
      <c r="TD2">
        <v>0</v>
      </c>
      <c r="TE2">
        <v>0</v>
      </c>
      <c r="TF2">
        <v>0</v>
      </c>
      <c r="TG2">
        <v>0</v>
      </c>
      <c r="TH2">
        <v>0</v>
      </c>
      <c r="TI2">
        <v>0</v>
      </c>
      <c r="TJ2">
        <v>0</v>
      </c>
      <c r="TK2">
        <v>0</v>
      </c>
      <c r="TL2">
        <v>0</v>
      </c>
      <c r="TM2">
        <v>0</v>
      </c>
      <c r="TN2">
        <v>0</v>
      </c>
      <c r="TO2">
        <v>0</v>
      </c>
      <c r="TP2">
        <v>0</v>
      </c>
      <c r="TQ2">
        <v>0</v>
      </c>
      <c r="TR2">
        <v>0</v>
      </c>
      <c r="TS2">
        <v>0</v>
      </c>
      <c r="TT2">
        <v>0</v>
      </c>
      <c r="TU2">
        <v>0</v>
      </c>
      <c r="TV2">
        <v>0</v>
      </c>
      <c r="TW2">
        <v>0</v>
      </c>
      <c r="TX2">
        <v>0</v>
      </c>
      <c r="TY2">
        <v>0</v>
      </c>
      <c r="TZ2">
        <v>0</v>
      </c>
      <c r="UA2">
        <v>0</v>
      </c>
      <c r="UB2">
        <v>0</v>
      </c>
      <c r="UC2">
        <v>0</v>
      </c>
      <c r="UD2">
        <v>0</v>
      </c>
      <c r="UE2">
        <v>0</v>
      </c>
      <c r="UF2">
        <v>0</v>
      </c>
      <c r="UG2" t="s">
        <v>15271</v>
      </c>
      <c r="UH2">
        <v>0</v>
      </c>
      <c r="UI2">
        <v>0</v>
      </c>
      <c r="UJ2">
        <v>0</v>
      </c>
      <c r="UK2">
        <v>0</v>
      </c>
      <c r="UL2">
        <v>0</v>
      </c>
      <c r="UM2" t="s">
        <v>15271</v>
      </c>
      <c r="UN2">
        <v>0</v>
      </c>
      <c r="UO2">
        <v>0</v>
      </c>
      <c r="UP2" t="s">
        <v>15273</v>
      </c>
      <c r="UQ2">
        <v>0</v>
      </c>
      <c r="UR2">
        <v>-1.002</v>
      </c>
      <c r="US2">
        <v>0</v>
      </c>
      <c r="UT2">
        <v>0</v>
      </c>
      <c r="UU2">
        <v>39809000</v>
      </c>
      <c r="UV2" t="s">
        <v>15271</v>
      </c>
      <c r="UW2">
        <v>0</v>
      </c>
      <c r="UX2">
        <v>33961152</v>
      </c>
      <c r="UY2">
        <v>0</v>
      </c>
      <c r="UZ2">
        <v>0</v>
      </c>
      <c r="VA2">
        <v>39809000</v>
      </c>
      <c r="VB2">
        <v>33961152</v>
      </c>
      <c r="VC2">
        <v>5847848</v>
      </c>
      <c r="VD2">
        <v>0</v>
      </c>
      <c r="VE2">
        <v>0</v>
      </c>
      <c r="VF2">
        <v>0</v>
      </c>
      <c r="VG2">
        <v>0</v>
      </c>
      <c r="VH2">
        <v>0</v>
      </c>
      <c r="VI2">
        <v>0</v>
      </c>
      <c r="VJ2">
        <v>0</v>
      </c>
      <c r="VK2">
        <v>0</v>
      </c>
      <c r="VL2">
        <v>0</v>
      </c>
      <c r="VM2">
        <v>0</v>
      </c>
      <c r="VN2">
        <v>0</v>
      </c>
      <c r="VO2">
        <v>0</v>
      </c>
      <c r="VP2">
        <v>0</v>
      </c>
      <c r="VQ2">
        <v>0</v>
      </c>
      <c r="VR2" t="s">
        <v>15271</v>
      </c>
      <c r="VS2" t="s">
        <v>15271</v>
      </c>
      <c r="VT2" t="s">
        <v>15264</v>
      </c>
      <c r="VU2" t="s">
        <v>15271</v>
      </c>
      <c r="VV2" t="s">
        <v>15271</v>
      </c>
      <c r="VW2" t="s">
        <v>15271</v>
      </c>
      <c r="VX2" t="s">
        <v>15271</v>
      </c>
      <c r="VY2" t="s">
        <v>15271</v>
      </c>
      <c r="VZ2" t="s">
        <v>15271</v>
      </c>
      <c r="WA2">
        <v>0</v>
      </c>
      <c r="WB2">
        <v>0</v>
      </c>
      <c r="WC2">
        <v>0</v>
      </c>
      <c r="WD2">
        <v>0</v>
      </c>
      <c r="WE2">
        <v>0</v>
      </c>
      <c r="WF2">
        <v>0</v>
      </c>
      <c r="WG2">
        <v>0</v>
      </c>
      <c r="WH2">
        <v>0</v>
      </c>
      <c r="WI2">
        <v>0</v>
      </c>
      <c r="WJ2">
        <v>0</v>
      </c>
      <c r="WK2">
        <v>0</v>
      </c>
      <c r="WL2">
        <v>0</v>
      </c>
      <c r="WM2">
        <v>0</v>
      </c>
      <c r="WN2">
        <v>0</v>
      </c>
      <c r="WO2">
        <v>0</v>
      </c>
      <c r="WP2">
        <v>0</v>
      </c>
      <c r="WQ2">
        <v>0</v>
      </c>
      <c r="WR2" t="s">
        <v>15274</v>
      </c>
      <c r="WS2">
        <v>0</v>
      </c>
      <c r="WT2">
        <v>0</v>
      </c>
      <c r="WU2" t="s">
        <v>15274</v>
      </c>
      <c r="WV2">
        <v>0</v>
      </c>
      <c r="WW2">
        <v>0</v>
      </c>
      <c r="WX2" t="s">
        <v>15274</v>
      </c>
      <c r="WY2">
        <v>0</v>
      </c>
      <c r="WZ2">
        <v>0</v>
      </c>
      <c r="XA2" t="s">
        <v>15274</v>
      </c>
      <c r="XB2">
        <v>0</v>
      </c>
      <c r="XC2">
        <v>0</v>
      </c>
      <c r="XD2" t="s">
        <v>15274</v>
      </c>
      <c r="XE2">
        <v>0</v>
      </c>
      <c r="XF2">
        <v>0</v>
      </c>
      <c r="XG2" t="s">
        <v>15274</v>
      </c>
      <c r="XH2">
        <v>0</v>
      </c>
      <c r="XI2">
        <v>0</v>
      </c>
      <c r="XJ2" t="s">
        <v>15274</v>
      </c>
      <c r="XK2">
        <v>0</v>
      </c>
      <c r="XL2">
        <v>39809</v>
      </c>
      <c r="XM2" t="s">
        <v>15274</v>
      </c>
      <c r="XN2">
        <v>33961.152000000002</v>
      </c>
      <c r="XO2">
        <v>0</v>
      </c>
      <c r="XP2">
        <v>0</v>
      </c>
      <c r="XQ2">
        <v>405</v>
      </c>
      <c r="XR2" t="s">
        <v>3444</v>
      </c>
      <c r="XS2" t="s">
        <v>15266</v>
      </c>
      <c r="XT2">
        <v>24076130</v>
      </c>
      <c r="XU2">
        <v>3464</v>
      </c>
      <c r="XV2">
        <v>3497</v>
      </c>
      <c r="XW2">
        <v>1.0032000000000001</v>
      </c>
      <c r="XX2">
        <v>24153173</v>
      </c>
      <c r="XY2">
        <v>3497</v>
      </c>
      <c r="XZ2">
        <v>19427777</v>
      </c>
      <c r="YA2">
        <v>3252210</v>
      </c>
      <c r="YB2">
        <v>22679987</v>
      </c>
      <c r="YC2">
        <v>3219000</v>
      </c>
      <c r="YD2">
        <v>3252210</v>
      </c>
      <c r="YE2">
        <v>0</v>
      </c>
      <c r="YF2">
        <v>0</v>
      </c>
      <c r="YG2">
        <v>3252210</v>
      </c>
      <c r="YH2" t="s">
        <v>15264</v>
      </c>
      <c r="YI2">
        <v>0</v>
      </c>
      <c r="YJ2">
        <v>0</v>
      </c>
      <c r="YK2">
        <v>0</v>
      </c>
      <c r="YL2">
        <v>0</v>
      </c>
      <c r="YM2">
        <v>0</v>
      </c>
      <c r="YN2">
        <v>0</v>
      </c>
      <c r="YO2" t="s">
        <v>15275</v>
      </c>
      <c r="YP2">
        <v>0</v>
      </c>
      <c r="YQ2">
        <v>0</v>
      </c>
      <c r="YR2">
        <v>0</v>
      </c>
      <c r="YS2">
        <v>0</v>
      </c>
      <c r="YT2">
        <v>0</v>
      </c>
      <c r="YU2">
        <v>0</v>
      </c>
      <c r="YV2">
        <v>0</v>
      </c>
      <c r="YW2">
        <v>0</v>
      </c>
      <c r="YX2">
        <v>0</v>
      </c>
      <c r="YY2">
        <v>0</v>
      </c>
      <c r="YZ2" t="s">
        <v>15271</v>
      </c>
      <c r="ZA2">
        <v>0</v>
      </c>
      <c r="ZB2">
        <v>0</v>
      </c>
      <c r="ZC2">
        <v>0</v>
      </c>
      <c r="ZD2">
        <v>0</v>
      </c>
      <c r="ZE2">
        <v>0</v>
      </c>
      <c r="ZF2">
        <v>0</v>
      </c>
      <c r="ZG2" t="s">
        <v>15275</v>
      </c>
      <c r="ZH2">
        <v>0</v>
      </c>
      <c r="ZI2">
        <v>0</v>
      </c>
      <c r="ZJ2">
        <v>0</v>
      </c>
      <c r="ZK2">
        <v>0</v>
      </c>
      <c r="ZL2">
        <v>0</v>
      </c>
      <c r="ZM2">
        <v>0</v>
      </c>
      <c r="ZN2">
        <v>0</v>
      </c>
      <c r="ZO2">
        <v>0</v>
      </c>
      <c r="ZP2">
        <v>0</v>
      </c>
      <c r="ZQ2">
        <v>0</v>
      </c>
      <c r="ZR2" t="s">
        <v>15271</v>
      </c>
      <c r="ZS2">
        <v>0</v>
      </c>
      <c r="ZT2">
        <v>0</v>
      </c>
      <c r="ZU2">
        <v>0</v>
      </c>
      <c r="ZV2">
        <v>0</v>
      </c>
      <c r="ZW2">
        <v>0</v>
      </c>
      <c r="ZX2">
        <v>0</v>
      </c>
      <c r="ZY2" t="s">
        <v>15275</v>
      </c>
      <c r="ZZ2">
        <v>0</v>
      </c>
      <c r="AAA2">
        <v>0</v>
      </c>
      <c r="AAB2">
        <v>0</v>
      </c>
      <c r="AAC2">
        <v>0</v>
      </c>
      <c r="AAD2">
        <v>0</v>
      </c>
      <c r="AAE2">
        <v>0</v>
      </c>
      <c r="AAF2">
        <v>0</v>
      </c>
      <c r="AAG2">
        <v>0</v>
      </c>
      <c r="AAH2">
        <v>0</v>
      </c>
      <c r="AAI2">
        <v>0</v>
      </c>
      <c r="AAJ2" t="s">
        <v>15271</v>
      </c>
      <c r="AAK2">
        <v>0</v>
      </c>
      <c r="AAL2">
        <v>0</v>
      </c>
      <c r="AAM2">
        <v>0</v>
      </c>
      <c r="AAN2">
        <v>0</v>
      </c>
      <c r="AAO2">
        <v>0</v>
      </c>
      <c r="AAP2">
        <v>0</v>
      </c>
      <c r="AAQ2" t="s">
        <v>15275</v>
      </c>
      <c r="AAR2">
        <v>0</v>
      </c>
      <c r="AAS2">
        <v>0</v>
      </c>
      <c r="AAT2">
        <v>0</v>
      </c>
      <c r="AAU2">
        <v>0</v>
      </c>
      <c r="AAV2">
        <v>0</v>
      </c>
      <c r="AAW2">
        <v>0</v>
      </c>
      <c r="AAX2">
        <v>0</v>
      </c>
      <c r="AAY2">
        <v>0</v>
      </c>
      <c r="AAZ2">
        <v>0</v>
      </c>
      <c r="ABA2">
        <v>0</v>
      </c>
      <c r="ABB2" t="s">
        <v>15271</v>
      </c>
      <c r="ABC2">
        <v>0</v>
      </c>
      <c r="ABD2">
        <v>0</v>
      </c>
      <c r="ABE2">
        <v>0</v>
      </c>
      <c r="ABF2">
        <v>0</v>
      </c>
      <c r="ABG2">
        <v>0</v>
      </c>
      <c r="ABH2">
        <v>0</v>
      </c>
      <c r="ABI2" t="s">
        <v>15275</v>
      </c>
      <c r="ABJ2">
        <v>0</v>
      </c>
      <c r="ABK2">
        <v>0</v>
      </c>
      <c r="ABL2">
        <v>0</v>
      </c>
      <c r="ABM2">
        <v>0</v>
      </c>
      <c r="ABN2">
        <v>0</v>
      </c>
      <c r="ABO2">
        <v>0</v>
      </c>
      <c r="ABP2">
        <v>0</v>
      </c>
      <c r="ABQ2">
        <v>0</v>
      </c>
      <c r="ABR2">
        <v>0</v>
      </c>
      <c r="ABS2">
        <v>0</v>
      </c>
      <c r="ABT2" t="s">
        <v>15271</v>
      </c>
      <c r="ABU2">
        <v>0</v>
      </c>
      <c r="ABV2">
        <v>0</v>
      </c>
      <c r="ABW2">
        <v>0</v>
      </c>
      <c r="ABX2">
        <v>0</v>
      </c>
      <c r="ABY2">
        <v>0</v>
      </c>
      <c r="ABZ2">
        <v>0</v>
      </c>
      <c r="ACA2" t="s">
        <v>15275</v>
      </c>
      <c r="ACB2">
        <v>0</v>
      </c>
      <c r="ACC2">
        <v>0</v>
      </c>
      <c r="ACD2">
        <v>0</v>
      </c>
      <c r="ACE2">
        <v>0</v>
      </c>
      <c r="ACF2">
        <v>0</v>
      </c>
      <c r="ACG2">
        <v>0</v>
      </c>
      <c r="ACH2">
        <v>0</v>
      </c>
      <c r="ACI2">
        <v>0</v>
      </c>
      <c r="ACJ2">
        <v>0</v>
      </c>
      <c r="ACK2">
        <v>0</v>
      </c>
      <c r="ACL2" t="s">
        <v>15271</v>
      </c>
      <c r="ACM2">
        <v>0</v>
      </c>
      <c r="ACN2">
        <v>0</v>
      </c>
      <c r="ACO2">
        <v>0</v>
      </c>
      <c r="ACP2">
        <v>0</v>
      </c>
      <c r="ACQ2">
        <v>0</v>
      </c>
      <c r="ACR2">
        <v>0</v>
      </c>
      <c r="ACS2" t="s">
        <v>15275</v>
      </c>
      <c r="ACT2">
        <v>0</v>
      </c>
      <c r="ACU2">
        <v>0</v>
      </c>
      <c r="ACV2">
        <v>0</v>
      </c>
      <c r="ACW2">
        <v>0</v>
      </c>
      <c r="ACX2">
        <v>0</v>
      </c>
      <c r="ACY2">
        <v>0</v>
      </c>
      <c r="ACZ2">
        <v>0</v>
      </c>
      <c r="ADA2">
        <v>0</v>
      </c>
      <c r="ADB2">
        <v>0</v>
      </c>
      <c r="ADC2">
        <v>0</v>
      </c>
      <c r="ADD2" t="s">
        <v>15271</v>
      </c>
      <c r="ADE2">
        <v>0</v>
      </c>
      <c r="ADF2">
        <v>0</v>
      </c>
      <c r="ADG2">
        <v>0</v>
      </c>
      <c r="ADH2">
        <v>0</v>
      </c>
      <c r="ADI2">
        <v>0</v>
      </c>
      <c r="ADJ2">
        <v>0</v>
      </c>
      <c r="ADK2" t="s">
        <v>15275</v>
      </c>
      <c r="ADL2">
        <v>0</v>
      </c>
      <c r="ADM2">
        <v>0</v>
      </c>
      <c r="ADN2">
        <v>0</v>
      </c>
      <c r="ADO2">
        <v>0</v>
      </c>
      <c r="ADP2">
        <v>0</v>
      </c>
      <c r="ADQ2">
        <v>0</v>
      </c>
      <c r="ADR2">
        <v>0</v>
      </c>
      <c r="ADS2">
        <v>0</v>
      </c>
      <c r="ADT2">
        <v>0</v>
      </c>
      <c r="ADU2">
        <v>0</v>
      </c>
      <c r="ADV2" t="s">
        <v>15271</v>
      </c>
      <c r="ADW2">
        <v>0</v>
      </c>
      <c r="ADX2">
        <v>0</v>
      </c>
      <c r="ADY2">
        <v>0</v>
      </c>
      <c r="ADZ2">
        <v>0</v>
      </c>
      <c r="AEA2">
        <v>0</v>
      </c>
      <c r="AEB2">
        <v>0</v>
      </c>
      <c r="AEC2" t="s">
        <v>15275</v>
      </c>
      <c r="AED2">
        <v>0</v>
      </c>
      <c r="AEE2">
        <v>0</v>
      </c>
      <c r="AEF2">
        <v>0</v>
      </c>
      <c r="AEG2">
        <v>0</v>
      </c>
      <c r="AEH2">
        <v>0</v>
      </c>
      <c r="AEI2">
        <v>0</v>
      </c>
      <c r="AEJ2">
        <v>0</v>
      </c>
      <c r="AEK2">
        <v>0</v>
      </c>
      <c r="AEL2">
        <v>0</v>
      </c>
      <c r="AEM2">
        <v>0</v>
      </c>
      <c r="AEN2" t="s">
        <v>15271</v>
      </c>
      <c r="AEO2">
        <v>0</v>
      </c>
      <c r="AEP2">
        <v>0</v>
      </c>
      <c r="AEQ2">
        <v>0</v>
      </c>
      <c r="AER2">
        <v>0</v>
      </c>
      <c r="AES2">
        <v>0</v>
      </c>
      <c r="AET2">
        <v>0</v>
      </c>
      <c r="AEU2" t="s">
        <v>15275</v>
      </c>
      <c r="AEV2">
        <v>0</v>
      </c>
      <c r="AEW2">
        <v>0</v>
      </c>
      <c r="AEX2">
        <v>0</v>
      </c>
      <c r="AEY2">
        <v>0</v>
      </c>
      <c r="AEZ2">
        <v>0</v>
      </c>
      <c r="AFA2">
        <v>0</v>
      </c>
      <c r="AFB2">
        <v>0</v>
      </c>
      <c r="AFC2">
        <v>0</v>
      </c>
      <c r="AFD2">
        <v>0</v>
      </c>
      <c r="AFE2">
        <v>0</v>
      </c>
      <c r="AFF2" t="s">
        <v>15271</v>
      </c>
      <c r="AFG2">
        <v>0</v>
      </c>
      <c r="AFH2">
        <v>0</v>
      </c>
      <c r="AFI2">
        <v>0</v>
      </c>
      <c r="AFJ2">
        <v>0</v>
      </c>
      <c r="AFK2">
        <v>0</v>
      </c>
      <c r="AFL2">
        <v>0</v>
      </c>
      <c r="AFM2" t="s">
        <v>15275</v>
      </c>
      <c r="AFN2">
        <v>0</v>
      </c>
      <c r="AFO2">
        <v>0</v>
      </c>
      <c r="AFP2">
        <v>0</v>
      </c>
      <c r="AFQ2">
        <v>0</v>
      </c>
      <c r="AFR2">
        <v>0</v>
      </c>
      <c r="AFS2">
        <v>0</v>
      </c>
      <c r="AFT2">
        <v>0</v>
      </c>
      <c r="AFU2">
        <v>0</v>
      </c>
      <c r="AFV2">
        <v>0</v>
      </c>
      <c r="AFW2">
        <v>0</v>
      </c>
      <c r="AFX2" t="s">
        <v>15271</v>
      </c>
      <c r="AFY2">
        <v>0</v>
      </c>
      <c r="AFZ2">
        <v>0</v>
      </c>
      <c r="AGA2">
        <v>0</v>
      </c>
      <c r="AGB2">
        <v>0</v>
      </c>
      <c r="AGC2">
        <v>0</v>
      </c>
      <c r="AGD2">
        <v>0</v>
      </c>
      <c r="AGE2" t="s">
        <v>15275</v>
      </c>
      <c r="AGF2">
        <v>0</v>
      </c>
      <c r="AGG2">
        <v>0</v>
      </c>
      <c r="AGH2">
        <v>0</v>
      </c>
      <c r="AGI2">
        <v>0</v>
      </c>
      <c r="AGJ2">
        <v>0</v>
      </c>
      <c r="AGK2">
        <v>0</v>
      </c>
      <c r="AGL2">
        <v>0</v>
      </c>
      <c r="AGM2">
        <v>0</v>
      </c>
      <c r="AGN2">
        <v>0</v>
      </c>
      <c r="AGO2">
        <v>0</v>
      </c>
      <c r="AGP2" t="s">
        <v>15271</v>
      </c>
      <c r="AGQ2">
        <v>0</v>
      </c>
      <c r="AGR2">
        <v>0</v>
      </c>
      <c r="AGS2">
        <v>0</v>
      </c>
      <c r="AGT2">
        <v>0</v>
      </c>
      <c r="AGU2">
        <v>0</v>
      </c>
      <c r="AGV2">
        <v>0</v>
      </c>
      <c r="AGW2" t="s">
        <v>15275</v>
      </c>
      <c r="AGX2">
        <v>0</v>
      </c>
      <c r="AGY2">
        <v>0</v>
      </c>
      <c r="AGZ2">
        <v>0</v>
      </c>
      <c r="AHA2">
        <v>0</v>
      </c>
      <c r="AHB2">
        <v>0</v>
      </c>
      <c r="AHC2">
        <v>0</v>
      </c>
      <c r="AHD2">
        <v>0</v>
      </c>
      <c r="AHE2">
        <v>0</v>
      </c>
      <c r="AHF2">
        <v>0</v>
      </c>
      <c r="AHG2">
        <v>0</v>
      </c>
      <c r="AHH2" t="s">
        <v>15271</v>
      </c>
      <c r="AHI2">
        <v>0</v>
      </c>
      <c r="AHJ2">
        <v>0</v>
      </c>
      <c r="AHK2">
        <v>0</v>
      </c>
      <c r="AHL2">
        <v>0</v>
      </c>
      <c r="AHM2">
        <v>0</v>
      </c>
      <c r="AHN2">
        <v>0</v>
      </c>
      <c r="AHO2" t="s">
        <v>15275</v>
      </c>
      <c r="AHP2">
        <v>0</v>
      </c>
      <c r="AHQ2">
        <v>0</v>
      </c>
      <c r="AHR2">
        <v>0</v>
      </c>
      <c r="AHS2">
        <v>0</v>
      </c>
      <c r="AHT2">
        <v>0</v>
      </c>
      <c r="AHU2">
        <v>0</v>
      </c>
      <c r="AHV2">
        <v>0</v>
      </c>
      <c r="AHW2">
        <v>0</v>
      </c>
      <c r="AHX2">
        <v>0</v>
      </c>
      <c r="AHY2">
        <v>0</v>
      </c>
      <c r="AHZ2" t="s">
        <v>15271</v>
      </c>
      <c r="AIA2">
        <v>0</v>
      </c>
      <c r="AIB2">
        <v>0</v>
      </c>
      <c r="AIC2">
        <v>0</v>
      </c>
      <c r="AID2">
        <v>0</v>
      </c>
      <c r="AIE2">
        <v>0</v>
      </c>
      <c r="AIF2">
        <v>0</v>
      </c>
      <c r="AIG2" t="s">
        <v>15275</v>
      </c>
      <c r="AIH2">
        <v>0</v>
      </c>
      <c r="AII2">
        <v>0</v>
      </c>
      <c r="AIJ2">
        <v>0</v>
      </c>
      <c r="AIK2">
        <v>0</v>
      </c>
      <c r="AIL2">
        <v>0</v>
      </c>
      <c r="AIM2">
        <v>0</v>
      </c>
      <c r="AIN2">
        <v>0</v>
      </c>
      <c r="AIO2">
        <v>0</v>
      </c>
      <c r="AIP2">
        <v>0</v>
      </c>
      <c r="AIQ2">
        <v>0</v>
      </c>
      <c r="AIR2" t="s">
        <v>15271</v>
      </c>
      <c r="AIS2">
        <v>0</v>
      </c>
      <c r="AIT2">
        <v>0</v>
      </c>
      <c r="AIU2">
        <v>0</v>
      </c>
      <c r="AIV2">
        <v>0</v>
      </c>
      <c r="AIW2">
        <v>0</v>
      </c>
      <c r="AIX2">
        <v>0</v>
      </c>
      <c r="AIY2" t="s">
        <v>15275</v>
      </c>
      <c r="AIZ2">
        <v>0</v>
      </c>
      <c r="AJA2">
        <v>0</v>
      </c>
      <c r="AJB2">
        <v>0</v>
      </c>
      <c r="AJC2">
        <v>0</v>
      </c>
      <c r="AJD2">
        <v>0</v>
      </c>
      <c r="AJE2">
        <v>0</v>
      </c>
      <c r="AJF2">
        <v>0</v>
      </c>
      <c r="AJG2">
        <v>0</v>
      </c>
      <c r="AJH2">
        <v>0</v>
      </c>
      <c r="AJI2">
        <v>0</v>
      </c>
      <c r="AJJ2" t="s">
        <v>15271</v>
      </c>
      <c r="AJK2">
        <v>0</v>
      </c>
      <c r="AJL2">
        <v>0</v>
      </c>
      <c r="AJM2">
        <v>0</v>
      </c>
      <c r="AJN2">
        <v>0</v>
      </c>
      <c r="AJO2">
        <v>0</v>
      </c>
      <c r="AJP2">
        <v>0</v>
      </c>
      <c r="AJQ2" t="s">
        <v>15275</v>
      </c>
      <c r="AJR2">
        <v>0</v>
      </c>
      <c r="AJS2">
        <v>0</v>
      </c>
      <c r="AJT2">
        <v>0</v>
      </c>
      <c r="AJU2">
        <v>0</v>
      </c>
      <c r="AJV2">
        <v>0</v>
      </c>
      <c r="AJW2">
        <v>0</v>
      </c>
      <c r="AJX2">
        <v>0</v>
      </c>
      <c r="AJY2">
        <v>0</v>
      </c>
      <c r="AJZ2">
        <v>0</v>
      </c>
      <c r="AKA2">
        <v>0</v>
      </c>
      <c r="AKB2" t="s">
        <v>15271</v>
      </c>
      <c r="AKC2">
        <v>0</v>
      </c>
      <c r="AKD2">
        <v>0</v>
      </c>
      <c r="AKE2">
        <v>0</v>
      </c>
      <c r="AKF2">
        <v>0</v>
      </c>
      <c r="AKG2">
        <v>0</v>
      </c>
      <c r="AKH2">
        <v>0</v>
      </c>
      <c r="AKI2" t="s">
        <v>15275</v>
      </c>
      <c r="AKJ2">
        <v>0</v>
      </c>
      <c r="AKK2">
        <v>0</v>
      </c>
      <c r="AKL2">
        <v>0</v>
      </c>
      <c r="AKM2">
        <v>0</v>
      </c>
      <c r="AKN2">
        <v>0</v>
      </c>
      <c r="AKO2">
        <v>0</v>
      </c>
      <c r="AKP2">
        <v>0</v>
      </c>
      <c r="AKQ2">
        <v>0</v>
      </c>
      <c r="AKR2">
        <v>0</v>
      </c>
      <c r="AKS2">
        <v>0</v>
      </c>
      <c r="AKT2" t="s">
        <v>15271</v>
      </c>
      <c r="AKU2">
        <v>0</v>
      </c>
      <c r="AKV2">
        <v>0</v>
      </c>
      <c r="AKW2">
        <v>0</v>
      </c>
      <c r="AKX2">
        <v>0</v>
      </c>
      <c r="AKY2">
        <v>0</v>
      </c>
      <c r="AKZ2">
        <v>0</v>
      </c>
      <c r="ALA2" t="s">
        <v>15275</v>
      </c>
      <c r="ALB2">
        <v>0</v>
      </c>
      <c r="ALC2">
        <v>0</v>
      </c>
      <c r="ALD2">
        <v>0</v>
      </c>
      <c r="ALE2">
        <v>0</v>
      </c>
      <c r="ALF2">
        <v>0</v>
      </c>
      <c r="ALG2">
        <v>0</v>
      </c>
      <c r="ALH2">
        <v>0</v>
      </c>
      <c r="ALI2">
        <v>0</v>
      </c>
      <c r="ALJ2">
        <v>0</v>
      </c>
      <c r="ALK2">
        <v>0</v>
      </c>
      <c r="ALL2" t="s">
        <v>15271</v>
      </c>
      <c r="ALM2">
        <v>0</v>
      </c>
      <c r="ALN2">
        <v>0</v>
      </c>
      <c r="ALO2">
        <v>0</v>
      </c>
      <c r="ALP2">
        <v>0</v>
      </c>
      <c r="ALQ2">
        <v>0</v>
      </c>
      <c r="ALR2">
        <v>0</v>
      </c>
      <c r="ALS2" t="s">
        <v>15275</v>
      </c>
      <c r="ALT2">
        <v>0</v>
      </c>
      <c r="ALU2">
        <v>0</v>
      </c>
      <c r="ALV2">
        <v>0</v>
      </c>
      <c r="ALW2">
        <v>0</v>
      </c>
      <c r="ALX2">
        <v>0</v>
      </c>
      <c r="ALY2">
        <v>0</v>
      </c>
      <c r="ALZ2">
        <v>0</v>
      </c>
      <c r="AMA2">
        <v>0</v>
      </c>
      <c r="AMB2">
        <v>0</v>
      </c>
      <c r="AMC2">
        <v>0</v>
      </c>
      <c r="AMD2" t="s">
        <v>15271</v>
      </c>
      <c r="AME2">
        <v>0</v>
      </c>
      <c r="AMF2">
        <v>0</v>
      </c>
      <c r="AMG2">
        <v>0</v>
      </c>
      <c r="AMH2">
        <v>0</v>
      </c>
      <c r="AMI2">
        <v>0</v>
      </c>
      <c r="AMJ2">
        <v>0</v>
      </c>
      <c r="AMK2" t="s">
        <v>15275</v>
      </c>
      <c r="AML2">
        <v>0</v>
      </c>
      <c r="AMM2">
        <v>0</v>
      </c>
      <c r="AMN2">
        <v>0</v>
      </c>
      <c r="AMO2">
        <v>0</v>
      </c>
      <c r="AMP2">
        <v>0</v>
      </c>
      <c r="AMQ2">
        <v>0</v>
      </c>
      <c r="AMR2">
        <v>0</v>
      </c>
      <c r="AMS2">
        <v>0</v>
      </c>
      <c r="AMT2">
        <v>0</v>
      </c>
      <c r="AMU2">
        <v>0</v>
      </c>
      <c r="AMV2" t="s">
        <v>15271</v>
      </c>
      <c r="AMW2">
        <v>0</v>
      </c>
      <c r="AMX2">
        <v>0</v>
      </c>
      <c r="AMY2">
        <v>0</v>
      </c>
      <c r="AMZ2">
        <v>0</v>
      </c>
      <c r="ANA2">
        <v>0</v>
      </c>
      <c r="ANB2">
        <v>0</v>
      </c>
      <c r="ANC2" t="s">
        <v>15275</v>
      </c>
      <c r="AND2">
        <v>0</v>
      </c>
      <c r="ANE2">
        <v>0</v>
      </c>
      <c r="ANF2">
        <v>0</v>
      </c>
      <c r="ANG2">
        <v>0</v>
      </c>
      <c r="ANH2">
        <v>0</v>
      </c>
      <c r="ANI2">
        <v>0</v>
      </c>
      <c r="ANJ2">
        <v>0</v>
      </c>
      <c r="ANK2">
        <v>0</v>
      </c>
      <c r="ANL2">
        <v>0</v>
      </c>
      <c r="ANM2">
        <v>0</v>
      </c>
      <c r="ANN2" t="s">
        <v>15271</v>
      </c>
      <c r="ANO2">
        <v>0</v>
      </c>
      <c r="ANP2">
        <v>0</v>
      </c>
      <c r="ANQ2">
        <v>0</v>
      </c>
      <c r="ANR2">
        <v>0</v>
      </c>
      <c r="ANS2">
        <v>0</v>
      </c>
      <c r="ANT2">
        <v>0</v>
      </c>
      <c r="ANU2" t="s">
        <v>15275</v>
      </c>
      <c r="ANV2">
        <v>0</v>
      </c>
      <c r="ANW2">
        <v>0</v>
      </c>
      <c r="ANX2">
        <v>0</v>
      </c>
      <c r="ANY2">
        <v>0</v>
      </c>
      <c r="ANZ2">
        <v>0</v>
      </c>
      <c r="AOA2">
        <v>0</v>
      </c>
      <c r="AOB2">
        <v>0</v>
      </c>
      <c r="AOC2">
        <v>0</v>
      </c>
      <c r="AOD2">
        <v>0</v>
      </c>
      <c r="AOE2">
        <v>0</v>
      </c>
      <c r="AOF2" t="s">
        <v>15271</v>
      </c>
      <c r="AOG2">
        <v>0</v>
      </c>
      <c r="AOH2">
        <v>0</v>
      </c>
      <c r="AOI2">
        <v>0</v>
      </c>
      <c r="AOJ2">
        <v>0</v>
      </c>
      <c r="AOK2">
        <v>0</v>
      </c>
      <c r="AOL2">
        <v>0</v>
      </c>
      <c r="AOM2" t="s">
        <v>15275</v>
      </c>
      <c r="AON2">
        <v>0</v>
      </c>
      <c r="AOO2">
        <v>0</v>
      </c>
      <c r="AOP2">
        <v>0</v>
      </c>
      <c r="AOQ2">
        <v>0</v>
      </c>
      <c r="AOR2">
        <v>0</v>
      </c>
      <c r="AOS2">
        <v>0</v>
      </c>
      <c r="AOT2">
        <v>0</v>
      </c>
      <c r="AOU2">
        <v>0</v>
      </c>
      <c r="AOV2">
        <v>0</v>
      </c>
      <c r="AOW2">
        <v>0</v>
      </c>
      <c r="AOX2" t="s">
        <v>15271</v>
      </c>
      <c r="AOY2">
        <v>0</v>
      </c>
      <c r="AOZ2">
        <v>0</v>
      </c>
      <c r="APA2">
        <v>0</v>
      </c>
      <c r="APB2">
        <v>0</v>
      </c>
      <c r="APC2">
        <v>0</v>
      </c>
      <c r="APD2">
        <v>0</v>
      </c>
      <c r="APE2" t="s">
        <v>15275</v>
      </c>
      <c r="APF2">
        <v>0</v>
      </c>
      <c r="APG2">
        <v>0</v>
      </c>
      <c r="APH2">
        <v>0</v>
      </c>
      <c r="API2">
        <v>0</v>
      </c>
      <c r="APJ2">
        <v>0</v>
      </c>
      <c r="APK2">
        <v>0</v>
      </c>
      <c r="APL2">
        <v>0</v>
      </c>
      <c r="APM2">
        <v>0</v>
      </c>
      <c r="APN2">
        <v>0</v>
      </c>
      <c r="APO2">
        <v>0</v>
      </c>
      <c r="APP2" t="s">
        <v>15271</v>
      </c>
      <c r="APQ2">
        <v>0</v>
      </c>
      <c r="APR2">
        <v>0</v>
      </c>
      <c r="APS2">
        <v>0</v>
      </c>
      <c r="APT2">
        <v>0</v>
      </c>
      <c r="APU2">
        <v>0</v>
      </c>
      <c r="APV2">
        <v>0</v>
      </c>
      <c r="APW2" t="s">
        <v>15275</v>
      </c>
      <c r="APX2">
        <v>0</v>
      </c>
      <c r="APY2">
        <v>0</v>
      </c>
      <c r="APZ2">
        <v>0</v>
      </c>
      <c r="AQA2">
        <v>0</v>
      </c>
      <c r="AQB2">
        <v>0</v>
      </c>
      <c r="AQC2">
        <v>0</v>
      </c>
      <c r="AQD2">
        <v>0</v>
      </c>
      <c r="AQE2">
        <v>0</v>
      </c>
      <c r="AQF2">
        <v>0</v>
      </c>
      <c r="AQG2">
        <v>0</v>
      </c>
      <c r="AQH2" t="s">
        <v>15271</v>
      </c>
      <c r="AQI2">
        <v>0</v>
      </c>
      <c r="AQJ2">
        <v>0</v>
      </c>
      <c r="AQK2">
        <v>0</v>
      </c>
      <c r="AQL2">
        <v>0</v>
      </c>
      <c r="AQM2">
        <v>0</v>
      </c>
      <c r="AQN2">
        <v>0</v>
      </c>
      <c r="AQO2" t="s">
        <v>15275</v>
      </c>
      <c r="AQP2">
        <v>0</v>
      </c>
      <c r="AQQ2">
        <v>0</v>
      </c>
      <c r="AQR2">
        <v>0</v>
      </c>
      <c r="AQS2">
        <v>0</v>
      </c>
      <c r="AQT2">
        <v>0</v>
      </c>
      <c r="AQU2">
        <v>0</v>
      </c>
      <c r="AQV2">
        <v>0</v>
      </c>
      <c r="AQW2">
        <v>0</v>
      </c>
      <c r="AQX2">
        <v>0</v>
      </c>
      <c r="AQY2">
        <v>0</v>
      </c>
      <c r="AQZ2" t="s">
        <v>15271</v>
      </c>
      <c r="ARA2">
        <v>0</v>
      </c>
      <c r="ARB2">
        <v>0</v>
      </c>
      <c r="ARC2">
        <v>0</v>
      </c>
      <c r="ARD2">
        <v>0</v>
      </c>
      <c r="ARE2">
        <v>0</v>
      </c>
      <c r="ARF2">
        <v>0</v>
      </c>
      <c r="ARG2" t="s">
        <v>15275</v>
      </c>
      <c r="ARH2">
        <v>0</v>
      </c>
      <c r="ARI2">
        <v>0</v>
      </c>
      <c r="ARJ2">
        <v>0</v>
      </c>
      <c r="ARK2">
        <v>0</v>
      </c>
      <c r="ARL2">
        <v>0</v>
      </c>
      <c r="ARM2">
        <v>0</v>
      </c>
      <c r="ARN2">
        <v>0</v>
      </c>
      <c r="ARO2">
        <v>0</v>
      </c>
      <c r="ARP2">
        <v>0</v>
      </c>
      <c r="ARQ2">
        <v>0</v>
      </c>
      <c r="ARR2" t="s">
        <v>15271</v>
      </c>
      <c r="ARS2">
        <v>0</v>
      </c>
      <c r="ART2">
        <v>0</v>
      </c>
      <c r="ARU2">
        <v>0</v>
      </c>
      <c r="ARV2">
        <v>0</v>
      </c>
      <c r="ARW2">
        <v>0</v>
      </c>
      <c r="ARX2">
        <v>0</v>
      </c>
      <c r="ARY2" t="s">
        <v>15275</v>
      </c>
      <c r="ARZ2">
        <v>0</v>
      </c>
      <c r="ASA2">
        <v>0</v>
      </c>
      <c r="ASB2">
        <v>0</v>
      </c>
      <c r="ASC2">
        <v>0</v>
      </c>
      <c r="ASD2">
        <v>0</v>
      </c>
      <c r="ASE2">
        <v>0</v>
      </c>
      <c r="ASF2">
        <v>0</v>
      </c>
      <c r="ASG2">
        <v>0</v>
      </c>
      <c r="ASH2">
        <v>0</v>
      </c>
      <c r="ASI2">
        <v>0</v>
      </c>
      <c r="ASJ2" t="s">
        <v>15271</v>
      </c>
      <c r="ASK2">
        <v>0</v>
      </c>
      <c r="ASL2">
        <v>0</v>
      </c>
      <c r="ASM2">
        <v>0</v>
      </c>
      <c r="ASN2">
        <v>0</v>
      </c>
      <c r="ASO2">
        <v>0</v>
      </c>
      <c r="ASP2">
        <v>0</v>
      </c>
      <c r="ASQ2" t="s">
        <v>15275</v>
      </c>
      <c r="ASR2">
        <v>0</v>
      </c>
      <c r="ASS2">
        <v>0</v>
      </c>
      <c r="AST2">
        <v>0</v>
      </c>
      <c r="ASU2">
        <v>0</v>
      </c>
      <c r="ASV2">
        <v>0</v>
      </c>
      <c r="ASW2">
        <v>0</v>
      </c>
      <c r="ASX2">
        <v>0</v>
      </c>
      <c r="ASY2">
        <v>0</v>
      </c>
      <c r="ASZ2">
        <v>0</v>
      </c>
      <c r="ATA2">
        <v>0</v>
      </c>
      <c r="ATB2" t="s">
        <v>15271</v>
      </c>
      <c r="ATC2">
        <v>0</v>
      </c>
      <c r="ATD2">
        <v>0</v>
      </c>
      <c r="ATE2">
        <v>0</v>
      </c>
      <c r="ATF2">
        <v>0</v>
      </c>
      <c r="ATG2">
        <v>0</v>
      </c>
      <c r="ATH2">
        <v>0</v>
      </c>
      <c r="ATI2" t="s">
        <v>15275</v>
      </c>
      <c r="ATJ2">
        <v>0</v>
      </c>
      <c r="ATK2">
        <v>0</v>
      </c>
      <c r="ATL2">
        <v>0</v>
      </c>
      <c r="ATM2">
        <v>0</v>
      </c>
      <c r="ATN2">
        <v>0</v>
      </c>
      <c r="ATO2">
        <v>0</v>
      </c>
      <c r="ATP2">
        <v>0</v>
      </c>
      <c r="ATQ2">
        <v>0</v>
      </c>
      <c r="ATR2">
        <v>0</v>
      </c>
      <c r="ATS2">
        <v>0</v>
      </c>
      <c r="ATT2" t="s">
        <v>15271</v>
      </c>
      <c r="ATU2">
        <v>0</v>
      </c>
      <c r="ATV2">
        <v>0</v>
      </c>
      <c r="ATW2">
        <v>0</v>
      </c>
      <c r="ATX2">
        <v>0</v>
      </c>
      <c r="ATY2">
        <v>0</v>
      </c>
      <c r="ATZ2">
        <v>0</v>
      </c>
      <c r="AUA2" t="s">
        <v>15275</v>
      </c>
      <c r="AUB2">
        <v>0</v>
      </c>
      <c r="AUC2">
        <v>0</v>
      </c>
      <c r="AUD2">
        <v>0</v>
      </c>
      <c r="AUE2">
        <v>0</v>
      </c>
      <c r="AUF2">
        <v>0</v>
      </c>
      <c r="AUG2">
        <v>0</v>
      </c>
      <c r="AUH2">
        <v>0</v>
      </c>
      <c r="AUI2">
        <v>0</v>
      </c>
      <c r="AUJ2">
        <v>0</v>
      </c>
      <c r="AUK2">
        <v>0</v>
      </c>
      <c r="AUL2" t="s">
        <v>15271</v>
      </c>
      <c r="AUM2">
        <v>0</v>
      </c>
      <c r="AUN2">
        <v>0</v>
      </c>
      <c r="AUO2">
        <v>0</v>
      </c>
      <c r="AUP2">
        <v>0</v>
      </c>
      <c r="AUQ2">
        <v>0</v>
      </c>
      <c r="AUR2">
        <v>0</v>
      </c>
      <c r="AUS2" t="s">
        <v>15275</v>
      </c>
      <c r="AUT2">
        <v>0</v>
      </c>
      <c r="AUU2">
        <v>0</v>
      </c>
      <c r="AUV2">
        <v>0</v>
      </c>
      <c r="AUW2">
        <v>0</v>
      </c>
      <c r="AUX2">
        <v>0</v>
      </c>
      <c r="AUY2">
        <v>0</v>
      </c>
      <c r="AUZ2">
        <v>0</v>
      </c>
      <c r="AVA2">
        <v>0</v>
      </c>
      <c r="AVB2">
        <v>0</v>
      </c>
      <c r="AVC2">
        <v>0</v>
      </c>
      <c r="AVD2" t="s">
        <v>15271</v>
      </c>
      <c r="AVE2">
        <v>23484000</v>
      </c>
      <c r="AVF2">
        <v>23484000</v>
      </c>
      <c r="AVG2">
        <v>0</v>
      </c>
      <c r="AVH2">
        <v>6000000</v>
      </c>
      <c r="AVI2">
        <v>0</v>
      </c>
      <c r="AVJ2">
        <v>23484000</v>
      </c>
      <c r="AVK2">
        <v>17484000</v>
      </c>
      <c r="AVL2">
        <v>17484000</v>
      </c>
      <c r="AVM2">
        <v>17484000</v>
      </c>
      <c r="AVN2">
        <v>1</v>
      </c>
      <c r="AVO2">
        <v>1</v>
      </c>
      <c r="AVP2">
        <v>1</v>
      </c>
      <c r="AVQ2">
        <v>0</v>
      </c>
      <c r="AVR2">
        <v>1</v>
      </c>
      <c r="AVS2">
        <v>0</v>
      </c>
      <c r="AVT2">
        <v>0</v>
      </c>
      <c r="AVU2">
        <v>0</v>
      </c>
      <c r="AVV2" t="s">
        <v>15276</v>
      </c>
      <c r="AVW2" t="s">
        <v>15276</v>
      </c>
      <c r="AVX2" t="s">
        <v>15277</v>
      </c>
      <c r="AVY2" t="s">
        <v>15277</v>
      </c>
      <c r="AVZ2" t="s">
        <v>15277</v>
      </c>
      <c r="AWA2" t="s">
        <v>15276</v>
      </c>
      <c r="AWB2" t="s">
        <v>15277</v>
      </c>
      <c r="AWC2" t="s">
        <v>15276</v>
      </c>
      <c r="AWD2" t="s">
        <v>15276</v>
      </c>
      <c r="AWE2" t="s">
        <v>15278</v>
      </c>
      <c r="AWF2">
        <v>28886000</v>
      </c>
      <c r="AWG2" t="s">
        <v>15279</v>
      </c>
      <c r="AWH2">
        <v>4819000</v>
      </c>
      <c r="AWI2">
        <v>8000000</v>
      </c>
      <c r="AWJ2">
        <v>0</v>
      </c>
      <c r="AWK2">
        <v>0</v>
      </c>
      <c r="AWL2">
        <v>0</v>
      </c>
      <c r="AWM2">
        <v>10266000</v>
      </c>
      <c r="AWN2">
        <v>0</v>
      </c>
      <c r="AWO2">
        <v>4529000</v>
      </c>
      <c r="AWP2">
        <v>1272000</v>
      </c>
      <c r="AWQ2">
        <v>0</v>
      </c>
      <c r="AWR2" t="s">
        <v>1553</v>
      </c>
      <c r="AWS2">
        <v>0</v>
      </c>
      <c r="AWT2" t="s">
        <v>15280</v>
      </c>
      <c r="AWU2">
        <v>0</v>
      </c>
      <c r="AWV2">
        <v>0</v>
      </c>
      <c r="AWW2">
        <v>0</v>
      </c>
      <c r="AWX2">
        <v>0</v>
      </c>
      <c r="AWY2">
        <v>0</v>
      </c>
      <c r="AWZ2">
        <v>0</v>
      </c>
      <c r="AXA2">
        <v>0</v>
      </c>
      <c r="AXB2">
        <v>10963000</v>
      </c>
      <c r="AXC2">
        <v>28886000</v>
      </c>
      <c r="AXD2">
        <v>2890000</v>
      </c>
      <c r="AXE2">
        <v>2</v>
      </c>
      <c r="AXF2">
        <v>1</v>
      </c>
      <c r="AXG2">
        <v>2</v>
      </c>
      <c r="AXH2">
        <v>2</v>
      </c>
      <c r="AXI2">
        <v>2</v>
      </c>
      <c r="AXJ2">
        <v>3249000</v>
      </c>
      <c r="AXK2" t="s">
        <v>14802</v>
      </c>
      <c r="AXL2" t="s">
        <v>15281</v>
      </c>
      <c r="AXM2" t="s">
        <v>15282</v>
      </c>
      <c r="AXN2" t="s">
        <v>15282</v>
      </c>
      <c r="AXO2">
        <v>3883000</v>
      </c>
      <c r="AXP2">
        <v>1</v>
      </c>
      <c r="AXQ2">
        <v>1</v>
      </c>
      <c r="AXR2">
        <v>0</v>
      </c>
      <c r="AXS2">
        <v>3</v>
      </c>
      <c r="AXT2">
        <v>941000</v>
      </c>
      <c r="AXU2" t="s">
        <v>14802</v>
      </c>
      <c r="AXV2" t="s">
        <v>15282</v>
      </c>
      <c r="AXW2">
        <v>0</v>
      </c>
      <c r="AXX2">
        <v>0</v>
      </c>
      <c r="AXY2">
        <v>0</v>
      </c>
      <c r="AXZ2">
        <v>0</v>
      </c>
      <c r="AYA2">
        <v>638000</v>
      </c>
      <c r="AYB2" t="s">
        <v>15283</v>
      </c>
      <c r="AYC2" t="s">
        <v>15284</v>
      </c>
      <c r="AYD2">
        <v>0</v>
      </c>
      <c r="AYE2">
        <v>0</v>
      </c>
      <c r="AYF2">
        <v>0</v>
      </c>
      <c r="AYG2">
        <v>0</v>
      </c>
      <c r="AYH2">
        <v>0</v>
      </c>
      <c r="AYI2">
        <v>0</v>
      </c>
      <c r="AYJ2">
        <v>0</v>
      </c>
      <c r="AYK2">
        <v>0</v>
      </c>
      <c r="AYL2">
        <v>0</v>
      </c>
      <c r="AYM2">
        <v>0</v>
      </c>
      <c r="AYN2">
        <v>0</v>
      </c>
      <c r="AYO2">
        <v>0</v>
      </c>
      <c r="AYP2">
        <v>0</v>
      </c>
      <c r="AYQ2">
        <v>0</v>
      </c>
      <c r="AYR2">
        <v>0</v>
      </c>
      <c r="AYS2">
        <v>0</v>
      </c>
      <c r="AYT2">
        <v>0</v>
      </c>
      <c r="AYU2">
        <v>0</v>
      </c>
      <c r="AYV2">
        <v>0</v>
      </c>
      <c r="AYW2">
        <v>0</v>
      </c>
      <c r="AYX2">
        <v>0</v>
      </c>
      <c r="AYY2">
        <v>0</v>
      </c>
      <c r="AYZ2">
        <v>0</v>
      </c>
      <c r="AZA2">
        <v>0</v>
      </c>
      <c r="AZB2">
        <v>0</v>
      </c>
      <c r="AZC2">
        <v>0</v>
      </c>
      <c r="AZD2">
        <v>0</v>
      </c>
      <c r="AZE2">
        <v>1350000</v>
      </c>
      <c r="AZF2" t="s">
        <v>15285</v>
      </c>
      <c r="AZG2" t="s">
        <v>15286</v>
      </c>
      <c r="AZH2">
        <v>1231000</v>
      </c>
      <c r="AZI2" t="s">
        <v>15287</v>
      </c>
      <c r="AZJ2" t="s">
        <v>15288</v>
      </c>
      <c r="AZK2">
        <v>0</v>
      </c>
      <c r="AZL2">
        <v>0</v>
      </c>
      <c r="AZM2">
        <v>0</v>
      </c>
      <c r="AZN2">
        <v>0</v>
      </c>
      <c r="AZO2">
        <v>0</v>
      </c>
      <c r="AZP2">
        <v>0</v>
      </c>
      <c r="AZQ2">
        <v>0</v>
      </c>
      <c r="AZR2">
        <v>0</v>
      </c>
      <c r="AZS2">
        <v>0</v>
      </c>
      <c r="AZT2">
        <v>0</v>
      </c>
      <c r="AZU2">
        <v>0</v>
      </c>
      <c r="AZV2">
        <v>0</v>
      </c>
      <c r="AZW2">
        <v>0</v>
      </c>
      <c r="AZX2">
        <v>0</v>
      </c>
      <c r="AZY2">
        <v>0</v>
      </c>
      <c r="AZZ2">
        <v>0</v>
      </c>
      <c r="BAA2">
        <v>0</v>
      </c>
      <c r="BAB2">
        <v>0</v>
      </c>
      <c r="BAC2">
        <v>0</v>
      </c>
      <c r="BAD2">
        <v>0</v>
      </c>
      <c r="BAE2">
        <v>0</v>
      </c>
      <c r="BAF2">
        <v>0</v>
      </c>
      <c r="BAG2">
        <v>0</v>
      </c>
      <c r="BAH2">
        <v>0</v>
      </c>
      <c r="BAI2">
        <v>0</v>
      </c>
      <c r="BAJ2">
        <v>0</v>
      </c>
      <c r="BAK2">
        <v>0</v>
      </c>
      <c r="BAL2">
        <v>0</v>
      </c>
      <c r="BAM2">
        <v>3219000</v>
      </c>
      <c r="BAN2">
        <v>75226</v>
      </c>
      <c r="BAO2" t="s">
        <v>3444</v>
      </c>
      <c r="BAP2" t="s">
        <v>14802</v>
      </c>
      <c r="BAQ2">
        <v>2540000</v>
      </c>
      <c r="BAR2">
        <v>3290000</v>
      </c>
      <c r="BAS2">
        <v>3290000</v>
      </c>
      <c r="BAT2">
        <v>3220000</v>
      </c>
      <c r="BAU2">
        <v>2940000</v>
      </c>
      <c r="BAV2">
        <v>1239700</v>
      </c>
      <c r="BAW2">
        <v>1330198.1000000001</v>
      </c>
      <c r="BAX2">
        <v>0</v>
      </c>
      <c r="BAY2">
        <v>0</v>
      </c>
      <c r="BAZ2">
        <v>0</v>
      </c>
      <c r="BBA2">
        <v>0</v>
      </c>
      <c r="BBB2">
        <v>86</v>
      </c>
      <c r="BBC2">
        <v>36</v>
      </c>
      <c r="BBD2">
        <v>50</v>
      </c>
      <c r="BBE2">
        <v>0</v>
      </c>
      <c r="BBF2">
        <v>0</v>
      </c>
      <c r="BBG2">
        <v>2550000</v>
      </c>
      <c r="BBH2">
        <v>1350000</v>
      </c>
      <c r="BBI2">
        <v>1200000</v>
      </c>
      <c r="BBJ2">
        <v>0</v>
      </c>
      <c r="BBK2">
        <v>0</v>
      </c>
      <c r="BBL2">
        <v>0</v>
      </c>
      <c r="BBM2">
        <v>0</v>
      </c>
      <c r="BBN2">
        <v>1</v>
      </c>
      <c r="BBO2">
        <v>7</v>
      </c>
      <c r="BBP2">
        <v>3</v>
      </c>
      <c r="BBQ2">
        <v>0</v>
      </c>
      <c r="BBR2">
        <v>14</v>
      </c>
      <c r="BBS2">
        <v>7</v>
      </c>
      <c r="BBT2">
        <v>4</v>
      </c>
      <c r="BBU2">
        <v>0</v>
      </c>
      <c r="BBV2">
        <v>0</v>
      </c>
      <c r="BBW2">
        <v>0</v>
      </c>
      <c r="BBX2">
        <v>0</v>
      </c>
      <c r="BBY2">
        <v>0</v>
      </c>
      <c r="BBZ2">
        <v>0</v>
      </c>
      <c r="BCA2">
        <v>0</v>
      </c>
      <c r="BCB2">
        <v>0</v>
      </c>
      <c r="BCC2">
        <v>0</v>
      </c>
      <c r="BCD2">
        <v>42000</v>
      </c>
      <c r="BCE2">
        <v>0</v>
      </c>
      <c r="BCF2">
        <v>519750</v>
      </c>
      <c r="BCG2" t="s">
        <v>15289</v>
      </c>
      <c r="BCH2" t="s">
        <v>15290</v>
      </c>
      <c r="BCI2">
        <v>0</v>
      </c>
      <c r="BCJ2" t="s">
        <v>15289</v>
      </c>
      <c r="BCK2" t="s">
        <v>15291</v>
      </c>
      <c r="BCL2">
        <v>0</v>
      </c>
      <c r="BCM2" t="s">
        <v>15289</v>
      </c>
      <c r="BCN2" t="s">
        <v>15292</v>
      </c>
      <c r="BCO2">
        <v>0</v>
      </c>
      <c r="BCP2">
        <v>0</v>
      </c>
      <c r="BCQ2">
        <v>0</v>
      </c>
      <c r="BCR2">
        <v>0</v>
      </c>
      <c r="BCS2">
        <v>0</v>
      </c>
      <c r="BCT2">
        <v>0</v>
      </c>
      <c r="BCU2">
        <v>0</v>
      </c>
      <c r="BCV2">
        <v>0</v>
      </c>
      <c r="BCW2">
        <v>0</v>
      </c>
      <c r="BCX2">
        <v>0</v>
      </c>
      <c r="BCY2">
        <v>0</v>
      </c>
      <c r="BCZ2">
        <v>0</v>
      </c>
      <c r="BDA2">
        <v>0</v>
      </c>
      <c r="BDB2">
        <v>0</v>
      </c>
      <c r="BDC2">
        <v>0</v>
      </c>
      <c r="BDD2">
        <v>0</v>
      </c>
      <c r="BDE2">
        <v>0</v>
      </c>
      <c r="BDF2">
        <v>0</v>
      </c>
      <c r="BDG2">
        <v>0</v>
      </c>
      <c r="BDH2">
        <v>0</v>
      </c>
      <c r="BDI2">
        <v>0</v>
      </c>
      <c r="BDJ2">
        <v>0</v>
      </c>
      <c r="BDK2">
        <v>0</v>
      </c>
      <c r="BDL2">
        <v>0</v>
      </c>
      <c r="BDM2">
        <v>0</v>
      </c>
      <c r="BDN2">
        <v>0</v>
      </c>
      <c r="BDO2">
        <v>0</v>
      </c>
      <c r="BDP2">
        <v>0</v>
      </c>
      <c r="BDQ2">
        <v>0</v>
      </c>
      <c r="BDR2">
        <v>0</v>
      </c>
      <c r="BDS2">
        <v>0</v>
      </c>
      <c r="BDT2">
        <v>0</v>
      </c>
      <c r="BDU2">
        <v>0</v>
      </c>
      <c r="BDV2">
        <v>0</v>
      </c>
      <c r="BDW2">
        <v>0</v>
      </c>
      <c r="BDX2">
        <v>0</v>
      </c>
      <c r="BDY2">
        <v>0</v>
      </c>
      <c r="BDZ2">
        <v>0</v>
      </c>
      <c r="BEA2">
        <v>0</v>
      </c>
      <c r="BEB2">
        <v>0</v>
      </c>
      <c r="BEC2">
        <v>0</v>
      </c>
      <c r="BED2">
        <v>0</v>
      </c>
      <c r="BEE2">
        <v>0</v>
      </c>
      <c r="BEF2">
        <v>0</v>
      </c>
      <c r="BEG2">
        <v>0</v>
      </c>
      <c r="BEH2">
        <v>0</v>
      </c>
      <c r="BEI2">
        <v>0</v>
      </c>
      <c r="BEJ2">
        <v>0</v>
      </c>
      <c r="BEK2">
        <v>0</v>
      </c>
      <c r="BEL2">
        <v>0</v>
      </c>
      <c r="BEM2">
        <v>0</v>
      </c>
      <c r="BEN2">
        <v>0</v>
      </c>
      <c r="BEO2">
        <v>0</v>
      </c>
      <c r="BEP2">
        <v>0</v>
      </c>
      <c r="BEQ2">
        <v>0</v>
      </c>
      <c r="BER2">
        <v>0</v>
      </c>
      <c r="BES2">
        <v>0</v>
      </c>
      <c r="BET2">
        <v>0</v>
      </c>
      <c r="BEU2">
        <v>0</v>
      </c>
      <c r="BEV2">
        <v>0</v>
      </c>
      <c r="BEW2">
        <v>0</v>
      </c>
      <c r="BEX2">
        <v>0</v>
      </c>
      <c r="BEY2">
        <v>0</v>
      </c>
      <c r="BEZ2">
        <v>0</v>
      </c>
      <c r="BFA2">
        <v>0</v>
      </c>
      <c r="BFB2">
        <v>0</v>
      </c>
      <c r="BFC2">
        <v>0</v>
      </c>
      <c r="BFD2">
        <v>0</v>
      </c>
      <c r="BFE2">
        <v>0</v>
      </c>
      <c r="BFF2">
        <v>0</v>
      </c>
      <c r="BFG2" t="s">
        <v>15267</v>
      </c>
      <c r="BFH2" t="s">
        <v>15269</v>
      </c>
      <c r="BFI2" t="s">
        <v>15267</v>
      </c>
      <c r="BFJ2">
        <v>0</v>
      </c>
      <c r="BFK2">
        <v>0</v>
      </c>
      <c r="BFL2">
        <v>0</v>
      </c>
      <c r="BFM2">
        <v>0</v>
      </c>
      <c r="BFN2">
        <v>0</v>
      </c>
      <c r="BFO2">
        <v>0</v>
      </c>
      <c r="BFP2">
        <v>0</v>
      </c>
      <c r="BFQ2" t="s">
        <v>15293</v>
      </c>
      <c r="BFR2">
        <v>46057</v>
      </c>
      <c r="BFS2" t="s">
        <v>15294</v>
      </c>
      <c r="BFT2">
        <v>22728210</v>
      </c>
      <c r="BFU2">
        <v>10536800</v>
      </c>
      <c r="BFV2">
        <v>7970655</v>
      </c>
      <c r="BFW2">
        <v>4220755</v>
      </c>
      <c r="BFX2" t="s">
        <v>15282</v>
      </c>
      <c r="BFY2">
        <v>36</v>
      </c>
      <c r="BFZ2" t="s">
        <v>15282</v>
      </c>
      <c r="BGA2">
        <v>0</v>
      </c>
      <c r="BGB2" t="s">
        <v>15295</v>
      </c>
      <c r="BGC2">
        <v>7961800</v>
      </c>
      <c r="BGD2">
        <v>7970655</v>
      </c>
      <c r="BGE2">
        <v>4220755</v>
      </c>
    </row>
  </sheetData>
  <phoneticPr fontId="3"/>
  <conditionalFormatting sqref="BFN1:XFD1 BEV1:BFI1 XU1:BES1 OU1:OY1 PC1:PD1 PF1:XS1 A1:OH1">
    <cfRule type="duplicateValues" dxfId="77" priority="1"/>
  </conditionalFormatting>
  <dataValidations count="1">
    <dataValidation type="whole" errorStyle="warning" operator="greaterThanOrEqual" allowBlank="1" showInputMessage="1" showErrorMessage="1" error="0以上の整数（金額）を入力して下さい。" sqref="KK1" xr:uid="{3976EA55-81F2-497F-8E57-8B08EE919A7F}">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7010E-18B2-49EF-95B6-F19EA34D1579}">
  <sheetPr>
    <tabColor theme="9" tint="0.59999389629810485"/>
  </sheetPr>
  <dimension ref="A1:R72"/>
  <sheetViews>
    <sheetView workbookViewId="0">
      <selection activeCell="D14" sqref="D14"/>
    </sheetView>
  </sheetViews>
  <sheetFormatPr defaultRowHeight="13.5"/>
  <cols>
    <col min="1" max="3" width="2.88671875" style="434" customWidth="1"/>
    <col min="4" max="4" width="40" style="434" customWidth="1"/>
    <col min="5" max="5" width="16.109375" style="73" customWidth="1"/>
    <col min="6" max="8" width="14.5546875" style="73" customWidth="1"/>
    <col min="9" max="15" width="16.109375" style="73" customWidth="1"/>
    <col min="16" max="16" width="23.44140625" style="73" customWidth="1"/>
    <col min="17" max="17" width="18.33203125" style="434" hidden="1" customWidth="1"/>
    <col min="18" max="16384" width="8.88671875" style="435"/>
  </cols>
  <sheetData>
    <row r="1" spans="1:18" ht="14.25" customHeight="1">
      <c r="A1" s="434" t="s">
        <v>15368</v>
      </c>
    </row>
    <row r="2" spans="1:18" ht="22.5" customHeight="1">
      <c r="A2" s="436" t="s">
        <v>15444</v>
      </c>
      <c r="B2" s="436"/>
      <c r="C2" s="436"/>
      <c r="D2" s="436"/>
      <c r="E2" s="436"/>
      <c r="F2" s="436"/>
      <c r="G2" s="436"/>
      <c r="H2" s="436"/>
      <c r="I2" s="436"/>
      <c r="J2" s="436"/>
      <c r="K2" s="436"/>
      <c r="L2" s="436"/>
      <c r="M2" s="436"/>
      <c r="N2" s="436"/>
      <c r="O2" s="436"/>
      <c r="P2" s="436"/>
    </row>
    <row r="3" spans="1:18" ht="14.1" customHeight="1"/>
    <row r="4" spans="1:18" ht="48.75" customHeight="1">
      <c r="A4" s="437" t="s">
        <v>15370</v>
      </c>
      <c r="B4" s="438"/>
      <c r="C4" s="438"/>
      <c r="D4" s="439"/>
      <c r="E4" s="82" t="s">
        <v>15371</v>
      </c>
      <c r="F4" s="82" t="s">
        <v>15372</v>
      </c>
      <c r="G4" s="82" t="s">
        <v>15373</v>
      </c>
      <c r="H4" s="82" t="s">
        <v>15374</v>
      </c>
      <c r="I4" s="440" t="s">
        <v>15086</v>
      </c>
      <c r="J4" s="441" t="s">
        <v>15077</v>
      </c>
      <c r="K4" s="441" t="s">
        <v>15375</v>
      </c>
      <c r="L4" s="441" t="s">
        <v>15376</v>
      </c>
      <c r="M4" s="441" t="s">
        <v>15377</v>
      </c>
      <c r="N4" s="442" t="s">
        <v>15378</v>
      </c>
      <c r="O4" s="443"/>
      <c r="P4" s="440" t="s">
        <v>15379</v>
      </c>
      <c r="Q4" s="444" t="s">
        <v>15380</v>
      </c>
    </row>
    <row r="5" spans="1:18" ht="14.25" customHeight="1">
      <c r="A5" s="445"/>
      <c r="B5" s="446"/>
      <c r="C5" s="446"/>
      <c r="D5" s="447"/>
      <c r="E5" s="448" t="s">
        <v>15381</v>
      </c>
      <c r="F5" s="448" t="s">
        <v>15382</v>
      </c>
      <c r="G5" s="448" t="s">
        <v>15383</v>
      </c>
      <c r="H5" s="448" t="s">
        <v>15384</v>
      </c>
      <c r="I5" s="449" t="s">
        <v>15385</v>
      </c>
      <c r="J5" s="450" t="s">
        <v>15386</v>
      </c>
      <c r="K5" s="450" t="s">
        <v>15387</v>
      </c>
      <c r="L5" s="450" t="s">
        <v>15388</v>
      </c>
      <c r="M5" s="450" t="s">
        <v>15389</v>
      </c>
      <c r="N5" s="451" t="s">
        <v>15390</v>
      </c>
      <c r="O5" s="452" t="s">
        <v>15391</v>
      </c>
      <c r="P5" s="453"/>
      <c r="Q5" s="454"/>
    </row>
    <row r="6" spans="1:18" ht="22.5" customHeight="1">
      <c r="A6" s="455"/>
      <c r="E6" s="456" t="s">
        <v>15392</v>
      </c>
      <c r="F6" s="456" t="s">
        <v>15392</v>
      </c>
      <c r="G6" s="456" t="s">
        <v>15392</v>
      </c>
      <c r="H6" s="456" t="s">
        <v>15392</v>
      </c>
      <c r="I6" s="457" t="s">
        <v>15392</v>
      </c>
      <c r="J6" s="456" t="s">
        <v>15392</v>
      </c>
      <c r="K6" s="458" t="s">
        <v>15392</v>
      </c>
      <c r="L6" s="458" t="s">
        <v>15392</v>
      </c>
      <c r="M6" s="458" t="s">
        <v>15392</v>
      </c>
      <c r="N6" s="458" t="s">
        <v>15392</v>
      </c>
      <c r="O6" s="458" t="s">
        <v>15392</v>
      </c>
      <c r="P6" s="459"/>
      <c r="Q6" s="460" t="s">
        <v>14963</v>
      </c>
      <c r="R6" s="461"/>
    </row>
    <row r="7" spans="1:18" ht="20.100000000000001" customHeight="1">
      <c r="A7" s="455" t="s">
        <v>14964</v>
      </c>
      <c r="B7" s="462"/>
      <c r="C7" s="462"/>
      <c r="D7" s="462"/>
      <c r="E7" s="463">
        <f>E8+E15+E21+E26+E27+E28+E29</f>
        <v>25442100</v>
      </c>
      <c r="F7" s="463">
        <f>F8+F15+F21+F26+F27+F28+F29</f>
        <v>0</v>
      </c>
      <c r="G7" s="464">
        <f>G8+G15+G21+G26+G27+G28+G29</f>
        <v>25442100</v>
      </c>
      <c r="H7" s="463">
        <f>H8+H15+H21+H26+H27+H28+H29</f>
        <v>25442100</v>
      </c>
      <c r="I7" s="542">
        <v>26846000</v>
      </c>
      <c r="J7" s="466">
        <f>MIN(G7,H7,I7)</f>
        <v>25442100</v>
      </c>
      <c r="K7" s="466">
        <f>ROUNDDOWN(J7*0.2,0)</f>
        <v>5088420</v>
      </c>
      <c r="L7" s="465">
        <v>5369200</v>
      </c>
      <c r="M7" s="465">
        <v>5369200</v>
      </c>
      <c r="N7" s="467">
        <f>IF(M7-K7&gt;0,M7-K7,0)</f>
        <v>280780</v>
      </c>
      <c r="O7" s="466">
        <f>IF(M7-K7&lt;0,M7-K7,0)</f>
        <v>0</v>
      </c>
      <c r="P7" s="465"/>
      <c r="Q7" s="468" t="e">
        <f>SUM(#REF!)</f>
        <v>#REF!</v>
      </c>
      <c r="R7" s="461"/>
    </row>
    <row r="8" spans="1:18" ht="20.100000000000001" customHeight="1">
      <c r="A8" s="455"/>
      <c r="B8" s="469" t="s">
        <v>14965</v>
      </c>
      <c r="C8" s="470" t="s">
        <v>15393</v>
      </c>
      <c r="D8" s="470"/>
      <c r="E8" s="471">
        <f>SUM(E9:E14)</f>
        <v>3924570</v>
      </c>
      <c r="F8" s="472">
        <f>SUM(F9:F14)</f>
        <v>0</v>
      </c>
      <c r="G8" s="472">
        <f t="shared" ref="G8:G53" si="0">E8-F8</f>
        <v>3924570</v>
      </c>
      <c r="H8" s="472">
        <f>SUM(H9:H14)</f>
        <v>3924570</v>
      </c>
      <c r="I8" s="473"/>
      <c r="J8" s="473"/>
      <c r="K8" s="473"/>
      <c r="L8" s="473"/>
      <c r="M8" s="473"/>
      <c r="N8" s="473"/>
      <c r="O8" s="473"/>
      <c r="P8" s="474"/>
      <c r="Q8" s="468" t="e">
        <f>SUM(#REF!)</f>
        <v>#REF!</v>
      </c>
      <c r="R8" s="475"/>
    </row>
    <row r="9" spans="1:18" ht="20.100000000000001" customHeight="1">
      <c r="A9" s="476"/>
      <c r="B9" s="477"/>
      <c r="C9" s="478" t="s">
        <v>14967</v>
      </c>
      <c r="D9" s="479" t="s">
        <v>15394</v>
      </c>
      <c r="E9" s="474">
        <v>2870070</v>
      </c>
      <c r="F9" s="474"/>
      <c r="G9" s="472">
        <f t="shared" si="0"/>
        <v>2870070</v>
      </c>
      <c r="H9" s="474">
        <v>2870070</v>
      </c>
      <c r="I9" s="473"/>
      <c r="J9" s="473"/>
      <c r="K9" s="473"/>
      <c r="L9" s="473"/>
      <c r="M9" s="473"/>
      <c r="N9" s="473"/>
      <c r="O9" s="473"/>
      <c r="P9" s="474"/>
      <c r="Q9" s="468" t="e">
        <f>SUM(#REF!)</f>
        <v>#REF!</v>
      </c>
      <c r="R9" s="475"/>
    </row>
    <row r="10" spans="1:18" ht="20.100000000000001" customHeight="1">
      <c r="A10" s="476"/>
      <c r="B10" s="477"/>
      <c r="C10" s="480" t="s">
        <v>14970</v>
      </c>
      <c r="D10" s="462" t="s">
        <v>15395</v>
      </c>
      <c r="E10" s="474"/>
      <c r="F10" s="474"/>
      <c r="G10" s="472">
        <f t="shared" si="0"/>
        <v>0</v>
      </c>
      <c r="H10" s="474"/>
      <c r="I10" s="473"/>
      <c r="J10" s="473"/>
      <c r="K10" s="473"/>
      <c r="L10" s="473"/>
      <c r="M10" s="473"/>
      <c r="N10" s="473"/>
      <c r="O10" s="473"/>
      <c r="P10" s="474"/>
      <c r="Q10" s="468" t="e">
        <f>SUM(#REF!)</f>
        <v>#REF!</v>
      </c>
    </row>
    <row r="11" spans="1:18" ht="20.100000000000001" customHeight="1">
      <c r="A11" s="476"/>
      <c r="B11" s="477"/>
      <c r="C11" s="478" t="s">
        <v>14972</v>
      </c>
      <c r="D11" s="462" t="s">
        <v>15396</v>
      </c>
      <c r="E11" s="474">
        <v>1054500</v>
      </c>
      <c r="F11" s="474"/>
      <c r="G11" s="472">
        <f t="shared" si="0"/>
        <v>1054500</v>
      </c>
      <c r="H11" s="474">
        <v>1054500</v>
      </c>
      <c r="I11" s="473"/>
      <c r="J11" s="473"/>
      <c r="K11" s="473"/>
      <c r="L11" s="473"/>
      <c r="M11" s="473"/>
      <c r="N11" s="473"/>
      <c r="O11" s="473"/>
      <c r="P11" s="474"/>
      <c r="Q11" s="468" t="e">
        <f>SUM(#REF!)</f>
        <v>#REF!</v>
      </c>
    </row>
    <row r="12" spans="1:18" ht="20.100000000000001" customHeight="1">
      <c r="A12" s="476"/>
      <c r="B12" s="476"/>
      <c r="C12" s="478" t="s">
        <v>14975</v>
      </c>
      <c r="D12" s="462" t="s">
        <v>15397</v>
      </c>
      <c r="E12" s="474"/>
      <c r="F12" s="474"/>
      <c r="G12" s="472">
        <f t="shared" si="0"/>
        <v>0</v>
      </c>
      <c r="H12" s="474"/>
      <c r="I12" s="473"/>
      <c r="J12" s="473"/>
      <c r="K12" s="473"/>
      <c r="L12" s="473"/>
      <c r="M12" s="473"/>
      <c r="N12" s="473"/>
      <c r="O12" s="473"/>
      <c r="P12" s="474"/>
      <c r="Q12" s="468"/>
    </row>
    <row r="13" spans="1:18" ht="20.100000000000001" customHeight="1">
      <c r="A13" s="476"/>
      <c r="B13" s="476"/>
      <c r="C13" s="480" t="s">
        <v>14977</v>
      </c>
      <c r="D13" s="462" t="s">
        <v>15398</v>
      </c>
      <c r="E13" s="474"/>
      <c r="F13" s="474"/>
      <c r="G13" s="472">
        <f t="shared" si="0"/>
        <v>0</v>
      </c>
      <c r="H13" s="474"/>
      <c r="I13" s="473"/>
      <c r="J13" s="473"/>
      <c r="K13" s="473"/>
      <c r="L13" s="473"/>
      <c r="M13" s="473"/>
      <c r="N13" s="473"/>
      <c r="O13" s="473"/>
      <c r="P13" s="474"/>
      <c r="Q13" s="468"/>
    </row>
    <row r="14" spans="1:18" ht="20.100000000000001" customHeight="1">
      <c r="A14" s="476"/>
      <c r="B14" s="476"/>
      <c r="C14" s="480" t="s">
        <v>15399</v>
      </c>
      <c r="D14" s="462" t="s">
        <v>15400</v>
      </c>
      <c r="E14" s="474"/>
      <c r="F14" s="474"/>
      <c r="G14" s="472">
        <f t="shared" si="0"/>
        <v>0</v>
      </c>
      <c r="H14" s="474"/>
      <c r="I14" s="473"/>
      <c r="J14" s="473"/>
      <c r="K14" s="473"/>
      <c r="L14" s="473"/>
      <c r="M14" s="473"/>
      <c r="N14" s="473"/>
      <c r="O14" s="473"/>
      <c r="P14" s="474"/>
      <c r="Q14" s="468"/>
    </row>
    <row r="15" spans="1:18" ht="20.100000000000001" customHeight="1">
      <c r="A15" s="476"/>
      <c r="B15" s="469" t="s">
        <v>14982</v>
      </c>
      <c r="C15" s="470" t="s">
        <v>15401</v>
      </c>
      <c r="D15" s="470"/>
      <c r="E15" s="471">
        <f>SUM(E16:E20)</f>
        <v>17528358</v>
      </c>
      <c r="F15" s="472">
        <f>SUM(F16:F20)</f>
        <v>0</v>
      </c>
      <c r="G15" s="472">
        <f t="shared" si="0"/>
        <v>17528358</v>
      </c>
      <c r="H15" s="472">
        <f>SUM(H16:H20)</f>
        <v>17528358</v>
      </c>
      <c r="I15" s="473"/>
      <c r="J15" s="473"/>
      <c r="K15" s="473"/>
      <c r="L15" s="473"/>
      <c r="M15" s="473"/>
      <c r="N15" s="473"/>
      <c r="O15" s="473"/>
      <c r="P15" s="474"/>
      <c r="Q15" s="468" t="e">
        <f>SUM(#REF!)</f>
        <v>#REF!</v>
      </c>
    </row>
    <row r="16" spans="1:18" ht="20.100000000000001" customHeight="1">
      <c r="A16" s="476"/>
      <c r="B16" s="476"/>
      <c r="C16" s="481" t="s">
        <v>14967</v>
      </c>
      <c r="D16" s="479" t="s">
        <v>15402</v>
      </c>
      <c r="E16" s="474">
        <v>15657258</v>
      </c>
      <c r="F16" s="474"/>
      <c r="G16" s="472">
        <f t="shared" si="0"/>
        <v>15657258</v>
      </c>
      <c r="H16" s="474">
        <v>15657258</v>
      </c>
      <c r="I16" s="473"/>
      <c r="J16" s="473"/>
      <c r="K16" s="473"/>
      <c r="L16" s="473"/>
      <c r="M16" s="473"/>
      <c r="N16" s="473"/>
      <c r="O16" s="473"/>
      <c r="P16" s="474"/>
      <c r="Q16" s="482" t="e">
        <f>SUM(#REF!)</f>
        <v>#REF!</v>
      </c>
    </row>
    <row r="17" spans="1:17" ht="20.100000000000001" customHeight="1">
      <c r="A17" s="476"/>
      <c r="B17" s="476"/>
      <c r="C17" s="478" t="s">
        <v>14970</v>
      </c>
      <c r="D17" s="462" t="s">
        <v>15403</v>
      </c>
      <c r="E17" s="474"/>
      <c r="F17" s="474"/>
      <c r="G17" s="472">
        <f t="shared" si="0"/>
        <v>0</v>
      </c>
      <c r="H17" s="474"/>
      <c r="I17" s="473"/>
      <c r="J17" s="473"/>
      <c r="K17" s="473"/>
      <c r="L17" s="473"/>
      <c r="M17" s="473"/>
      <c r="N17" s="473"/>
      <c r="O17" s="473"/>
      <c r="P17" s="474"/>
      <c r="Q17" s="482" t="e">
        <f>SUM(#REF!)</f>
        <v>#REF!</v>
      </c>
    </row>
    <row r="18" spans="1:17" ht="20.100000000000001" customHeight="1">
      <c r="A18" s="476"/>
      <c r="B18" s="476"/>
      <c r="C18" s="480" t="s">
        <v>14972</v>
      </c>
      <c r="D18" s="462" t="s">
        <v>15404</v>
      </c>
      <c r="E18" s="474">
        <v>1871100</v>
      </c>
      <c r="F18" s="474"/>
      <c r="G18" s="472">
        <f t="shared" si="0"/>
        <v>1871100</v>
      </c>
      <c r="H18" s="474">
        <v>1871100</v>
      </c>
      <c r="I18" s="473"/>
      <c r="J18" s="473"/>
      <c r="K18" s="473"/>
      <c r="L18" s="473"/>
      <c r="M18" s="473"/>
      <c r="N18" s="473"/>
      <c r="O18" s="473"/>
      <c r="P18" s="474"/>
      <c r="Q18" s="482" t="e">
        <f>SUM(#REF!)</f>
        <v>#REF!</v>
      </c>
    </row>
    <row r="19" spans="1:17" ht="20.100000000000001" customHeight="1">
      <c r="A19" s="476"/>
      <c r="B19" s="477"/>
      <c r="C19" s="478" t="s">
        <v>14975</v>
      </c>
      <c r="D19" s="462" t="s">
        <v>15405</v>
      </c>
      <c r="E19" s="474"/>
      <c r="F19" s="474"/>
      <c r="G19" s="472">
        <f t="shared" si="0"/>
        <v>0</v>
      </c>
      <c r="H19" s="474"/>
      <c r="I19" s="473"/>
      <c r="J19" s="473"/>
      <c r="K19" s="473"/>
      <c r="L19" s="473"/>
      <c r="M19" s="473"/>
      <c r="N19" s="473"/>
      <c r="O19" s="473"/>
      <c r="P19" s="474"/>
      <c r="Q19" s="482" t="e">
        <f>SUM(#REF!)</f>
        <v>#REF!</v>
      </c>
    </row>
    <row r="20" spans="1:17" ht="20.100000000000001" customHeight="1">
      <c r="A20" s="476"/>
      <c r="B20" s="483"/>
      <c r="C20" s="478" t="s">
        <v>14977</v>
      </c>
      <c r="D20" s="462" t="s">
        <v>15400</v>
      </c>
      <c r="E20" s="474"/>
      <c r="F20" s="474"/>
      <c r="G20" s="472">
        <f t="shared" si="0"/>
        <v>0</v>
      </c>
      <c r="H20" s="474"/>
      <c r="I20" s="473"/>
      <c r="J20" s="473"/>
      <c r="K20" s="473"/>
      <c r="L20" s="473"/>
      <c r="M20" s="473"/>
      <c r="N20" s="473"/>
      <c r="O20" s="473"/>
      <c r="P20" s="474"/>
      <c r="Q20" s="482" t="e">
        <f>SUM(#REF!)</f>
        <v>#REF!</v>
      </c>
    </row>
    <row r="21" spans="1:17" ht="20.100000000000001" customHeight="1">
      <c r="A21" s="476"/>
      <c r="B21" s="469" t="s">
        <v>14985</v>
      </c>
      <c r="C21" s="470" t="s">
        <v>15406</v>
      </c>
      <c r="D21" s="470"/>
      <c r="E21" s="471">
        <f>SUM(E22:E25)</f>
        <v>0</v>
      </c>
      <c r="F21" s="471">
        <f>SUM(F22:F25)</f>
        <v>0</v>
      </c>
      <c r="G21" s="472">
        <f t="shared" si="0"/>
        <v>0</v>
      </c>
      <c r="H21" s="471">
        <f>SUM(H22:H25)</f>
        <v>0</v>
      </c>
      <c r="I21" s="473"/>
      <c r="J21" s="473"/>
      <c r="K21" s="473"/>
      <c r="L21" s="473"/>
      <c r="M21" s="473"/>
      <c r="N21" s="473"/>
      <c r="O21" s="473"/>
      <c r="P21" s="474"/>
      <c r="Q21" s="482" t="e">
        <f>SUM(#REF!)</f>
        <v>#REF!</v>
      </c>
    </row>
    <row r="22" spans="1:17" ht="20.100000000000001" customHeight="1">
      <c r="A22" s="476"/>
      <c r="B22" s="476"/>
      <c r="C22" s="481" t="s">
        <v>14967</v>
      </c>
      <c r="D22" s="470" t="s">
        <v>15407</v>
      </c>
      <c r="E22" s="474"/>
      <c r="F22" s="474"/>
      <c r="G22" s="472">
        <f t="shared" si="0"/>
        <v>0</v>
      </c>
      <c r="H22" s="474"/>
      <c r="I22" s="473"/>
      <c r="J22" s="473"/>
      <c r="K22" s="473"/>
      <c r="L22" s="473"/>
      <c r="M22" s="473"/>
      <c r="N22" s="473"/>
      <c r="O22" s="473"/>
      <c r="P22" s="474"/>
      <c r="Q22" s="482" t="e">
        <f>SUM(#REF!)</f>
        <v>#REF!</v>
      </c>
    </row>
    <row r="23" spans="1:17" ht="20.100000000000001" customHeight="1">
      <c r="A23" s="476"/>
      <c r="B23" s="476"/>
      <c r="C23" s="480" t="s">
        <v>14970</v>
      </c>
      <c r="D23" s="484" t="s">
        <v>15408</v>
      </c>
      <c r="E23" s="474"/>
      <c r="F23" s="474"/>
      <c r="G23" s="472">
        <f t="shared" si="0"/>
        <v>0</v>
      </c>
      <c r="H23" s="474"/>
      <c r="I23" s="473"/>
      <c r="J23" s="473"/>
      <c r="K23" s="473"/>
      <c r="L23" s="473"/>
      <c r="M23" s="473"/>
      <c r="N23" s="473"/>
      <c r="O23" s="473"/>
      <c r="P23" s="474"/>
      <c r="Q23" s="482" t="e">
        <f>SUM(#REF!)</f>
        <v>#REF!</v>
      </c>
    </row>
    <row r="24" spans="1:17" ht="19.5" customHeight="1">
      <c r="A24" s="476"/>
      <c r="B24" s="476"/>
      <c r="C24" s="480" t="s">
        <v>14972</v>
      </c>
      <c r="D24" s="485" t="s">
        <v>15409</v>
      </c>
      <c r="E24" s="474"/>
      <c r="F24" s="474"/>
      <c r="G24" s="472">
        <f t="shared" si="0"/>
        <v>0</v>
      </c>
      <c r="H24" s="474"/>
      <c r="I24" s="473"/>
      <c r="J24" s="473"/>
      <c r="K24" s="473"/>
      <c r="L24" s="473"/>
      <c r="M24" s="473"/>
      <c r="N24" s="473"/>
      <c r="O24" s="473"/>
      <c r="P24" s="474"/>
      <c r="Q24" s="482" t="e">
        <f>SUM(#REF!)</f>
        <v>#REF!</v>
      </c>
    </row>
    <row r="25" spans="1:17" ht="20.100000000000001" customHeight="1">
      <c r="A25" s="476"/>
      <c r="B25" s="486"/>
      <c r="C25" s="478" t="s">
        <v>14975</v>
      </c>
      <c r="D25" s="462" t="s">
        <v>15400</v>
      </c>
      <c r="E25" s="474"/>
      <c r="F25" s="474"/>
      <c r="G25" s="472">
        <f t="shared" si="0"/>
        <v>0</v>
      </c>
      <c r="H25" s="474"/>
      <c r="I25" s="473"/>
      <c r="J25" s="473"/>
      <c r="K25" s="473"/>
      <c r="L25" s="473"/>
      <c r="M25" s="473"/>
      <c r="N25" s="473"/>
      <c r="O25" s="473"/>
      <c r="P25" s="474"/>
      <c r="Q25" s="482" t="e">
        <f>SUM(#REF!)</f>
        <v>#REF!</v>
      </c>
    </row>
    <row r="26" spans="1:17" ht="20.100000000000001" customHeight="1">
      <c r="A26" s="477"/>
      <c r="B26" s="469" t="s">
        <v>14993</v>
      </c>
      <c r="C26" s="470" t="s">
        <v>15410</v>
      </c>
      <c r="D26" s="470"/>
      <c r="E26" s="474">
        <v>2503120</v>
      </c>
      <c r="F26" s="474"/>
      <c r="G26" s="472">
        <f t="shared" si="0"/>
        <v>2503120</v>
      </c>
      <c r="H26" s="474">
        <v>2503120</v>
      </c>
      <c r="I26" s="473"/>
      <c r="J26" s="473"/>
      <c r="K26" s="473"/>
      <c r="L26" s="473"/>
      <c r="M26" s="473"/>
      <c r="N26" s="473"/>
      <c r="O26" s="473"/>
      <c r="P26" s="474"/>
      <c r="Q26" s="482" t="e">
        <f>SUM(#REF!)</f>
        <v>#REF!</v>
      </c>
    </row>
    <row r="27" spans="1:17" ht="20.100000000000001" customHeight="1">
      <c r="A27" s="477"/>
      <c r="B27" s="487" t="s">
        <v>15411</v>
      </c>
      <c r="C27" s="470"/>
      <c r="D27" s="470"/>
      <c r="E27" s="474">
        <v>73080</v>
      </c>
      <c r="F27" s="474"/>
      <c r="G27" s="472">
        <f t="shared" si="0"/>
        <v>73080</v>
      </c>
      <c r="H27" s="474">
        <v>73080</v>
      </c>
      <c r="I27" s="473"/>
      <c r="J27" s="473"/>
      <c r="K27" s="473"/>
      <c r="L27" s="473"/>
      <c r="M27" s="473"/>
      <c r="N27" s="473"/>
      <c r="O27" s="473"/>
      <c r="P27" s="474"/>
      <c r="Q27" s="488">
        <f>COUNTIF(H27,"&gt;0")</f>
        <v>1</v>
      </c>
    </row>
    <row r="28" spans="1:17" ht="20.100000000000001" customHeight="1">
      <c r="A28" s="477"/>
      <c r="B28" s="487" t="s">
        <v>15412</v>
      </c>
      <c r="C28" s="470"/>
      <c r="D28" s="470"/>
      <c r="E28" s="474">
        <v>14001</v>
      </c>
      <c r="F28" s="474"/>
      <c r="G28" s="472">
        <f t="shared" si="0"/>
        <v>14001</v>
      </c>
      <c r="H28" s="474">
        <v>14001</v>
      </c>
      <c r="I28" s="473"/>
      <c r="J28" s="473"/>
      <c r="K28" s="473"/>
      <c r="L28" s="473"/>
      <c r="M28" s="473"/>
      <c r="N28" s="473"/>
      <c r="O28" s="473"/>
      <c r="P28" s="489"/>
      <c r="Q28" s="435"/>
    </row>
    <row r="29" spans="1:17" ht="20.100000000000001" customHeight="1">
      <c r="A29" s="476"/>
      <c r="B29" s="469" t="s">
        <v>15000</v>
      </c>
      <c r="C29" s="470" t="s">
        <v>2138</v>
      </c>
      <c r="D29" s="470"/>
      <c r="E29" s="471">
        <f>SUM(E30:E34)</f>
        <v>1398971</v>
      </c>
      <c r="F29" s="472">
        <f>SUM(F30:F34)</f>
        <v>0</v>
      </c>
      <c r="G29" s="472">
        <f t="shared" si="0"/>
        <v>1398971</v>
      </c>
      <c r="H29" s="472">
        <f>SUM(H30:H34)</f>
        <v>1398971</v>
      </c>
      <c r="I29" s="473"/>
      <c r="J29" s="473"/>
      <c r="K29" s="473"/>
      <c r="L29" s="473"/>
      <c r="M29" s="473"/>
      <c r="N29" s="473"/>
      <c r="O29" s="473"/>
      <c r="P29" s="474"/>
      <c r="Q29" s="482" t="e">
        <f>SUM(#REF!)</f>
        <v>#REF!</v>
      </c>
    </row>
    <row r="30" spans="1:17" ht="20.100000000000001" customHeight="1">
      <c r="A30" s="476"/>
      <c r="B30" s="476"/>
      <c r="C30" s="481" t="s">
        <v>14967</v>
      </c>
      <c r="D30" s="470" t="s">
        <v>15413</v>
      </c>
      <c r="E30" s="474"/>
      <c r="F30" s="474"/>
      <c r="G30" s="472">
        <f t="shared" si="0"/>
        <v>0</v>
      </c>
      <c r="H30" s="474"/>
      <c r="I30" s="473"/>
      <c r="J30" s="473"/>
      <c r="K30" s="473"/>
      <c r="L30" s="473"/>
      <c r="M30" s="473"/>
      <c r="N30" s="473"/>
      <c r="O30" s="473"/>
      <c r="P30" s="474"/>
      <c r="Q30" s="482" t="e">
        <f>SUM(#REF!)</f>
        <v>#REF!</v>
      </c>
    </row>
    <row r="31" spans="1:17" ht="20.100000000000001" customHeight="1">
      <c r="A31" s="476"/>
      <c r="B31" s="476"/>
      <c r="C31" s="480" t="s">
        <v>14970</v>
      </c>
      <c r="D31" s="462" t="s">
        <v>15414</v>
      </c>
      <c r="E31" s="474"/>
      <c r="F31" s="474"/>
      <c r="G31" s="472">
        <f t="shared" si="0"/>
        <v>0</v>
      </c>
      <c r="H31" s="474"/>
      <c r="I31" s="473"/>
      <c r="J31" s="473"/>
      <c r="K31" s="473"/>
      <c r="L31" s="473"/>
      <c r="M31" s="473"/>
      <c r="N31" s="473"/>
      <c r="O31" s="473"/>
      <c r="P31" s="474"/>
      <c r="Q31" s="482" t="e">
        <f>SUM(#REF!)</f>
        <v>#REF!</v>
      </c>
    </row>
    <row r="32" spans="1:17" ht="20.100000000000001" customHeight="1">
      <c r="A32" s="476"/>
      <c r="B32" s="476"/>
      <c r="C32" s="480" t="s">
        <v>14972</v>
      </c>
      <c r="D32" s="485" t="s">
        <v>15415</v>
      </c>
      <c r="E32" s="474">
        <v>1398971</v>
      </c>
      <c r="F32" s="474"/>
      <c r="G32" s="472">
        <f t="shared" si="0"/>
        <v>1398971</v>
      </c>
      <c r="H32" s="474">
        <v>1398971</v>
      </c>
      <c r="I32" s="473"/>
      <c r="J32" s="473"/>
      <c r="K32" s="473"/>
      <c r="L32" s="473"/>
      <c r="M32" s="473"/>
      <c r="N32" s="473"/>
      <c r="O32" s="473"/>
      <c r="P32" s="474"/>
      <c r="Q32" s="482" t="e">
        <f>SUM(#REF!)</f>
        <v>#REF!</v>
      </c>
    </row>
    <row r="33" spans="1:18" ht="20.100000000000001" customHeight="1">
      <c r="A33" s="476"/>
      <c r="B33" s="477"/>
      <c r="C33" s="480" t="s">
        <v>14975</v>
      </c>
      <c r="D33" s="490" t="s">
        <v>15006</v>
      </c>
      <c r="E33" s="474"/>
      <c r="F33" s="474"/>
      <c r="G33" s="472">
        <f t="shared" si="0"/>
        <v>0</v>
      </c>
      <c r="H33" s="474"/>
      <c r="I33" s="473"/>
      <c r="J33" s="473"/>
      <c r="K33" s="473"/>
      <c r="L33" s="473"/>
      <c r="M33" s="473"/>
      <c r="N33" s="473"/>
      <c r="O33" s="473"/>
      <c r="P33" s="474"/>
      <c r="Q33" s="482" t="e">
        <f>SUM(#REF!)</f>
        <v>#REF!</v>
      </c>
    </row>
    <row r="34" spans="1:18" ht="20.100000000000001" customHeight="1">
      <c r="A34" s="476"/>
      <c r="B34" s="483"/>
      <c r="C34" s="480" t="s">
        <v>14977</v>
      </c>
      <c r="D34" s="484" t="s">
        <v>15007</v>
      </c>
      <c r="E34" s="474"/>
      <c r="F34" s="474"/>
      <c r="G34" s="472">
        <f t="shared" si="0"/>
        <v>0</v>
      </c>
      <c r="H34" s="474"/>
      <c r="I34" s="473"/>
      <c r="J34" s="473"/>
      <c r="K34" s="473"/>
      <c r="L34" s="473"/>
      <c r="M34" s="473"/>
      <c r="N34" s="473"/>
      <c r="O34" s="473"/>
      <c r="P34" s="474"/>
      <c r="Q34" s="482" t="e">
        <f>SUM(#REF!)</f>
        <v>#REF!</v>
      </c>
    </row>
    <row r="35" spans="1:18" ht="20.100000000000001" customHeight="1">
      <c r="A35" s="487" t="s">
        <v>15416</v>
      </c>
      <c r="B35" s="491"/>
      <c r="E35" s="471">
        <f>E36+E37</f>
        <v>16898292</v>
      </c>
      <c r="F35" s="472">
        <f>SUM(F36:F37)</f>
        <v>4023620</v>
      </c>
      <c r="G35" s="472">
        <f t="shared" si="0"/>
        <v>12874672</v>
      </c>
      <c r="H35" s="472">
        <f>H36+H37</f>
        <v>12874672</v>
      </c>
      <c r="I35" s="474">
        <v>22946479</v>
      </c>
      <c r="J35" s="466">
        <f>MIN(G35,H35,I35)</f>
        <v>12874672</v>
      </c>
      <c r="K35" s="466">
        <f>ROUNDDOWN(J35*0.385,0)</f>
        <v>4956748</v>
      </c>
      <c r="L35" s="465">
        <v>6179250</v>
      </c>
      <c r="M35" s="465">
        <v>6179250</v>
      </c>
      <c r="N35" s="467">
        <f>IF(M35-K35&gt;0,M35-K35,0)</f>
        <v>1222502</v>
      </c>
      <c r="O35" s="466">
        <f>IF(M35-K35&lt;0,M35-K35,0)</f>
        <v>0</v>
      </c>
      <c r="P35" s="465"/>
      <c r="Q35" s="482" t="e">
        <f>SUM(#REF!)</f>
        <v>#REF!</v>
      </c>
      <c r="R35" s="461"/>
    </row>
    <row r="36" spans="1:18" ht="20.100000000000001" customHeight="1">
      <c r="A36" s="455"/>
      <c r="B36" s="492" t="s">
        <v>15417</v>
      </c>
      <c r="C36" s="493"/>
      <c r="D36" s="494"/>
      <c r="E36" s="474">
        <v>13634653</v>
      </c>
      <c r="F36" s="474">
        <v>4023620</v>
      </c>
      <c r="G36" s="472">
        <f t="shared" si="0"/>
        <v>9611033</v>
      </c>
      <c r="H36" s="474">
        <v>9611033</v>
      </c>
      <c r="I36" s="473"/>
      <c r="J36" s="473"/>
      <c r="K36" s="473"/>
      <c r="L36" s="473"/>
      <c r="M36" s="473"/>
      <c r="N36" s="473"/>
      <c r="O36" s="473"/>
      <c r="P36" s="474"/>
      <c r="Q36" s="482" t="e">
        <f>SUM(#REF!)</f>
        <v>#REF!</v>
      </c>
    </row>
    <row r="37" spans="1:18" ht="20.100000000000001" customHeight="1">
      <c r="A37" s="455"/>
      <c r="B37" s="487" t="s">
        <v>15418</v>
      </c>
      <c r="C37" s="495"/>
      <c r="D37" s="495"/>
      <c r="E37" s="471">
        <f>SUM(E38:E40)</f>
        <v>3263639</v>
      </c>
      <c r="F37" s="472">
        <f>SUM(F38:F40)</f>
        <v>0</v>
      </c>
      <c r="G37" s="472">
        <f t="shared" si="0"/>
        <v>3263639</v>
      </c>
      <c r="H37" s="472">
        <f>SUM(H38:H40)</f>
        <v>3263639</v>
      </c>
      <c r="I37" s="473"/>
      <c r="J37" s="473"/>
      <c r="K37" s="473"/>
      <c r="L37" s="473"/>
      <c r="M37" s="473"/>
      <c r="N37" s="473"/>
      <c r="O37" s="473"/>
      <c r="P37" s="474"/>
      <c r="Q37" s="482" t="e">
        <f>SUM(#REF!)</f>
        <v>#REF!</v>
      </c>
    </row>
    <row r="38" spans="1:18" ht="20.100000000000001" customHeight="1">
      <c r="A38" s="476"/>
      <c r="B38" s="455"/>
      <c r="C38" s="481" t="s">
        <v>15419</v>
      </c>
      <c r="D38" s="496"/>
      <c r="E38" s="474"/>
      <c r="F38" s="474"/>
      <c r="G38" s="472">
        <f t="shared" si="0"/>
        <v>0</v>
      </c>
      <c r="H38" s="474"/>
      <c r="I38" s="473"/>
      <c r="J38" s="473"/>
      <c r="K38" s="473"/>
      <c r="L38" s="473"/>
      <c r="M38" s="473"/>
      <c r="N38" s="473"/>
      <c r="O38" s="473"/>
      <c r="P38" s="474"/>
      <c r="Q38" s="482" t="e">
        <f>SUM(#REF!)</f>
        <v>#REF!</v>
      </c>
    </row>
    <row r="39" spans="1:18" ht="20.100000000000001" customHeight="1">
      <c r="A39" s="476"/>
      <c r="B39" s="455"/>
      <c r="C39" s="480" t="s">
        <v>15420</v>
      </c>
      <c r="D39" s="497"/>
      <c r="E39" s="474">
        <v>3263639</v>
      </c>
      <c r="F39" s="474"/>
      <c r="G39" s="472">
        <f t="shared" si="0"/>
        <v>3263639</v>
      </c>
      <c r="H39" s="474">
        <v>3263639</v>
      </c>
      <c r="I39" s="473"/>
      <c r="J39" s="473"/>
      <c r="K39" s="473"/>
      <c r="L39" s="473"/>
      <c r="M39" s="473"/>
      <c r="N39" s="473"/>
      <c r="O39" s="473"/>
      <c r="P39" s="474"/>
      <c r="Q39" s="482" t="e">
        <f>SUM(#REF!)</f>
        <v>#REF!</v>
      </c>
    </row>
    <row r="40" spans="1:18" ht="20.100000000000001" customHeight="1">
      <c r="A40" s="476"/>
      <c r="B40" s="455"/>
      <c r="C40" s="487" t="s">
        <v>15421</v>
      </c>
      <c r="D40" s="496"/>
      <c r="E40" s="471">
        <f>SUM(E41:E46)</f>
        <v>0</v>
      </c>
      <c r="F40" s="472">
        <f>SUM(F41:F46)</f>
        <v>0</v>
      </c>
      <c r="G40" s="472">
        <f t="shared" si="0"/>
        <v>0</v>
      </c>
      <c r="H40" s="472">
        <f>SUM(H41:H46)</f>
        <v>0</v>
      </c>
      <c r="I40" s="473"/>
      <c r="J40" s="473"/>
      <c r="K40" s="473"/>
      <c r="L40" s="473"/>
      <c r="M40" s="473"/>
      <c r="N40" s="473"/>
      <c r="O40" s="473"/>
      <c r="P40" s="474"/>
      <c r="Q40" s="482" t="e">
        <f>SUM(#REF!)</f>
        <v>#REF!</v>
      </c>
    </row>
    <row r="41" spans="1:18" ht="20.100000000000001" customHeight="1">
      <c r="A41" s="476"/>
      <c r="B41" s="455"/>
      <c r="C41" s="455"/>
      <c r="D41" s="498" t="s">
        <v>15422</v>
      </c>
      <c r="E41" s="474"/>
      <c r="F41" s="474"/>
      <c r="G41" s="472">
        <f t="shared" si="0"/>
        <v>0</v>
      </c>
      <c r="H41" s="474"/>
      <c r="I41" s="473"/>
      <c r="J41" s="473"/>
      <c r="K41" s="473"/>
      <c r="L41" s="473"/>
      <c r="M41" s="473"/>
      <c r="N41" s="473"/>
      <c r="O41" s="473"/>
      <c r="P41" s="474"/>
      <c r="Q41" s="468" t="e">
        <f>SUM(#REF!)</f>
        <v>#REF!</v>
      </c>
    </row>
    <row r="42" spans="1:18" ht="20.100000000000001" customHeight="1">
      <c r="A42" s="476"/>
      <c r="B42" s="455"/>
      <c r="C42" s="455"/>
      <c r="D42" s="499" t="s">
        <v>15423</v>
      </c>
      <c r="E42" s="474"/>
      <c r="F42" s="474"/>
      <c r="G42" s="472">
        <f t="shared" si="0"/>
        <v>0</v>
      </c>
      <c r="H42" s="474"/>
      <c r="I42" s="473"/>
      <c r="J42" s="473"/>
      <c r="K42" s="473"/>
      <c r="L42" s="473"/>
      <c r="M42" s="473"/>
      <c r="N42" s="473"/>
      <c r="O42" s="473"/>
      <c r="P42" s="474"/>
      <c r="Q42" s="468" t="e">
        <f>SUM(#REF!)</f>
        <v>#REF!</v>
      </c>
    </row>
    <row r="43" spans="1:18" ht="20.100000000000001" customHeight="1">
      <c r="A43" s="476"/>
      <c r="B43" s="455"/>
      <c r="C43" s="455"/>
      <c r="D43" s="500" t="s">
        <v>15424</v>
      </c>
      <c r="E43" s="474"/>
      <c r="F43" s="474"/>
      <c r="G43" s="472">
        <f t="shared" si="0"/>
        <v>0</v>
      </c>
      <c r="H43" s="474"/>
      <c r="I43" s="473"/>
      <c r="J43" s="473"/>
      <c r="K43" s="473"/>
      <c r="L43" s="473"/>
      <c r="M43" s="473"/>
      <c r="N43" s="473"/>
      <c r="O43" s="473"/>
      <c r="P43" s="474"/>
      <c r="Q43" s="468" t="e">
        <f>SUM(#REF!)</f>
        <v>#REF!</v>
      </c>
    </row>
    <row r="44" spans="1:18" ht="20.100000000000001" customHeight="1">
      <c r="A44" s="476"/>
      <c r="B44" s="455"/>
      <c r="C44" s="455"/>
      <c r="D44" s="499" t="s">
        <v>15425</v>
      </c>
      <c r="E44" s="474"/>
      <c r="F44" s="474"/>
      <c r="G44" s="472">
        <f t="shared" si="0"/>
        <v>0</v>
      </c>
      <c r="H44" s="474"/>
      <c r="I44" s="473"/>
      <c r="J44" s="473"/>
      <c r="K44" s="473"/>
      <c r="L44" s="473"/>
      <c r="M44" s="473"/>
      <c r="N44" s="473"/>
      <c r="O44" s="473"/>
      <c r="P44" s="474"/>
      <c r="Q44" s="468" t="e">
        <f>SUM(#REF!)</f>
        <v>#REF!</v>
      </c>
    </row>
    <row r="45" spans="1:18" ht="20.100000000000001" customHeight="1">
      <c r="A45" s="476"/>
      <c r="B45" s="455"/>
      <c r="C45" s="455"/>
      <c r="D45" s="500" t="s">
        <v>15426</v>
      </c>
      <c r="E45" s="474"/>
      <c r="F45" s="474"/>
      <c r="G45" s="472">
        <f t="shared" si="0"/>
        <v>0</v>
      </c>
      <c r="H45" s="474"/>
      <c r="I45" s="473"/>
      <c r="J45" s="473"/>
      <c r="K45" s="473"/>
      <c r="L45" s="473"/>
      <c r="M45" s="473"/>
      <c r="N45" s="473"/>
      <c r="O45" s="473"/>
      <c r="P45" s="474"/>
      <c r="Q45" s="468" t="e">
        <f>SUM(#REF!)</f>
        <v>#REF!</v>
      </c>
    </row>
    <row r="46" spans="1:18" ht="20.100000000000001" customHeight="1">
      <c r="A46" s="477"/>
      <c r="B46" s="501"/>
      <c r="C46" s="501"/>
      <c r="D46" s="502" t="s">
        <v>15427</v>
      </c>
      <c r="E46" s="474"/>
      <c r="F46" s="474"/>
      <c r="G46" s="472">
        <f t="shared" si="0"/>
        <v>0</v>
      </c>
      <c r="H46" s="474"/>
      <c r="I46" s="473"/>
      <c r="J46" s="473"/>
      <c r="K46" s="473"/>
      <c r="L46" s="473"/>
      <c r="M46" s="473"/>
      <c r="N46" s="473"/>
      <c r="O46" s="473"/>
      <c r="P46" s="474"/>
      <c r="Q46" s="468" t="e">
        <f>SUM(#REF!)</f>
        <v>#REF!</v>
      </c>
    </row>
    <row r="47" spans="1:18" ht="20.100000000000001" customHeight="1">
      <c r="A47" s="503" t="s">
        <v>15428</v>
      </c>
      <c r="B47" s="504"/>
      <c r="C47" s="504"/>
      <c r="D47" s="505"/>
      <c r="E47" s="471">
        <f>E7+E35</f>
        <v>42340392</v>
      </c>
      <c r="F47" s="471">
        <f>F7+F35</f>
        <v>4023620</v>
      </c>
      <c r="G47" s="472">
        <f t="shared" si="0"/>
        <v>38316772</v>
      </c>
      <c r="H47" s="471">
        <f t="shared" ref="H47:M47" si="1">H7+H35</f>
        <v>38316772</v>
      </c>
      <c r="I47" s="473"/>
      <c r="J47" s="471">
        <f t="shared" si="1"/>
        <v>38316772</v>
      </c>
      <c r="K47" s="471">
        <f t="shared" si="1"/>
        <v>10045168</v>
      </c>
      <c r="L47" s="471">
        <f t="shared" si="1"/>
        <v>11548450</v>
      </c>
      <c r="M47" s="471">
        <f t="shared" si="1"/>
        <v>11548450</v>
      </c>
      <c r="N47" s="473"/>
      <c r="O47" s="473"/>
      <c r="P47" s="474"/>
      <c r="Q47" s="468" t="e">
        <f>SUM(#REF!)</f>
        <v>#REF!</v>
      </c>
    </row>
    <row r="48" spans="1:18" ht="20.100000000000001" customHeight="1">
      <c r="A48" s="506" t="s">
        <v>15429</v>
      </c>
      <c r="B48" s="480"/>
      <c r="C48" s="462"/>
      <c r="D48" s="497"/>
      <c r="E48" s="471">
        <f>SUM(E49:E53)</f>
        <v>7058103</v>
      </c>
      <c r="F48" s="471">
        <f>SUM(F49:F53)</f>
        <v>0</v>
      </c>
      <c r="G48" s="472">
        <f t="shared" si="0"/>
        <v>7058103</v>
      </c>
      <c r="H48" s="471">
        <f>SUM(H49:H53)</f>
        <v>7058103</v>
      </c>
      <c r="I48" s="474">
        <v>35659000</v>
      </c>
      <c r="J48" s="466">
        <f>MIN(G48,H48,I48)</f>
        <v>7058103</v>
      </c>
      <c r="K48" s="466">
        <f>ROUNDDOWN(J48*0.385,0)</f>
        <v>2717369</v>
      </c>
      <c r="L48" s="465">
        <v>3619000</v>
      </c>
      <c r="M48" s="465">
        <v>3619000</v>
      </c>
      <c r="N48" s="467">
        <f>IF(M48-K48&gt;0,M48-K48,0)</f>
        <v>901631</v>
      </c>
      <c r="O48" s="466">
        <f>IF(M48-K48&lt;0,M48-K48,0)</f>
        <v>0</v>
      </c>
      <c r="P48" s="465"/>
      <c r="Q48" s="468" t="e">
        <f>SUM(#REF!)</f>
        <v>#REF!</v>
      </c>
      <c r="R48" s="475"/>
    </row>
    <row r="49" spans="1:17" ht="20.100000000000001" customHeight="1">
      <c r="A49" s="477"/>
      <c r="B49" s="470" t="s">
        <v>15430</v>
      </c>
      <c r="C49" s="470"/>
      <c r="D49" s="497"/>
      <c r="E49" s="474">
        <v>1066224</v>
      </c>
      <c r="F49" s="474"/>
      <c r="G49" s="472">
        <f t="shared" si="0"/>
        <v>1066224</v>
      </c>
      <c r="H49" s="474">
        <v>1066224</v>
      </c>
      <c r="I49" s="473"/>
      <c r="J49" s="473"/>
      <c r="K49" s="473"/>
      <c r="L49" s="473"/>
      <c r="M49" s="473"/>
      <c r="N49" s="473"/>
      <c r="O49" s="473"/>
      <c r="P49" s="474"/>
      <c r="Q49" s="468" t="e">
        <f>SUM(#REF!)</f>
        <v>#REF!</v>
      </c>
    </row>
    <row r="50" spans="1:17" ht="20.100000000000001" customHeight="1">
      <c r="A50" s="477"/>
      <c r="B50" s="470" t="s">
        <v>15431</v>
      </c>
      <c r="C50" s="470"/>
      <c r="D50" s="496"/>
      <c r="E50" s="474">
        <v>2132448</v>
      </c>
      <c r="F50" s="474"/>
      <c r="G50" s="472">
        <f t="shared" si="0"/>
        <v>2132448</v>
      </c>
      <c r="H50" s="474">
        <v>2132448</v>
      </c>
      <c r="I50" s="473"/>
      <c r="J50" s="473"/>
      <c r="K50" s="473"/>
      <c r="L50" s="473"/>
      <c r="M50" s="473"/>
      <c r="N50" s="473"/>
      <c r="O50" s="473"/>
      <c r="P50" s="474"/>
      <c r="Q50" s="468" t="e">
        <f>SUM(#REF!)</f>
        <v>#REF!</v>
      </c>
    </row>
    <row r="51" spans="1:17" ht="20.100000000000001" customHeight="1">
      <c r="A51" s="477"/>
      <c r="B51" s="470" t="s">
        <v>15432</v>
      </c>
      <c r="C51" s="470"/>
      <c r="D51" s="497"/>
      <c r="E51" s="474">
        <v>3363862</v>
      </c>
      <c r="F51" s="474"/>
      <c r="G51" s="472">
        <f t="shared" si="0"/>
        <v>3363862</v>
      </c>
      <c r="H51" s="474">
        <v>3363862</v>
      </c>
      <c r="I51" s="473"/>
      <c r="J51" s="473"/>
      <c r="K51" s="473"/>
      <c r="L51" s="473"/>
      <c r="M51" s="473"/>
      <c r="N51" s="473"/>
      <c r="O51" s="473"/>
      <c r="P51" s="474"/>
      <c r="Q51" s="468"/>
    </row>
    <row r="52" spans="1:17" ht="20.100000000000001" customHeight="1">
      <c r="A52" s="477"/>
      <c r="B52" s="470" t="s">
        <v>15433</v>
      </c>
      <c r="C52" s="470"/>
      <c r="D52" s="497"/>
      <c r="E52" s="474"/>
      <c r="F52" s="474"/>
      <c r="G52" s="472">
        <f t="shared" si="0"/>
        <v>0</v>
      </c>
      <c r="H52" s="474"/>
      <c r="I52" s="473"/>
      <c r="J52" s="473"/>
      <c r="K52" s="473"/>
      <c r="L52" s="473"/>
      <c r="M52" s="473"/>
      <c r="N52" s="473"/>
      <c r="O52" s="473"/>
      <c r="P52" s="474"/>
      <c r="Q52" s="468" t="e">
        <f>SUM(#REF!)</f>
        <v>#REF!</v>
      </c>
    </row>
    <row r="53" spans="1:17" ht="20.100000000000001" customHeight="1">
      <c r="A53" s="486"/>
      <c r="B53" s="462" t="s">
        <v>15445</v>
      </c>
      <c r="C53" s="462"/>
      <c r="D53" s="497"/>
      <c r="E53" s="474">
        <v>495569</v>
      </c>
      <c r="F53" s="474"/>
      <c r="G53" s="472">
        <f t="shared" si="0"/>
        <v>495569</v>
      </c>
      <c r="H53" s="474">
        <v>495569</v>
      </c>
      <c r="I53" s="473"/>
      <c r="J53" s="473"/>
      <c r="K53" s="473"/>
      <c r="L53" s="473"/>
      <c r="M53" s="473"/>
      <c r="N53" s="473"/>
      <c r="O53" s="473"/>
      <c r="P53" s="474"/>
      <c r="Q53" s="468" t="e">
        <f>SUM(#REF!)</f>
        <v>#REF!</v>
      </c>
    </row>
    <row r="54" spans="1:17" ht="20.100000000000001" customHeight="1">
      <c r="A54" s="503" t="s">
        <v>15436</v>
      </c>
      <c r="B54" s="504"/>
      <c r="C54" s="504"/>
      <c r="D54" s="505"/>
      <c r="E54" s="471">
        <f t="shared" ref="E54:M54" si="2">E47+E48</f>
        <v>49398495</v>
      </c>
      <c r="F54" s="510">
        <f t="shared" si="2"/>
        <v>4023620</v>
      </c>
      <c r="G54" s="510">
        <f t="shared" si="2"/>
        <v>45374875</v>
      </c>
      <c r="H54" s="510">
        <f t="shared" si="2"/>
        <v>45374875</v>
      </c>
      <c r="I54" s="473"/>
      <c r="J54" s="471">
        <f t="shared" si="2"/>
        <v>45374875</v>
      </c>
      <c r="K54" s="471">
        <f t="shared" si="2"/>
        <v>12762537</v>
      </c>
      <c r="L54" s="471">
        <f t="shared" si="2"/>
        <v>15167450</v>
      </c>
      <c r="M54" s="471">
        <f t="shared" si="2"/>
        <v>15167450</v>
      </c>
      <c r="N54" s="467">
        <f>IF(M54-K54&gt;0,M54-K54,0)</f>
        <v>2404913</v>
      </c>
      <c r="O54" s="466">
        <f>IF(M54-K54&lt;0,M54-K54,0)</f>
        <v>0</v>
      </c>
      <c r="P54" s="511"/>
      <c r="Q54" s="468" t="e">
        <f>SUM(#REF!)</f>
        <v>#REF!</v>
      </c>
    </row>
    <row r="55" spans="1:17" ht="14.1" customHeight="1">
      <c r="A55" s="512"/>
      <c r="B55" s="512"/>
      <c r="C55" s="512"/>
      <c r="D55" s="512"/>
      <c r="E55" s="513"/>
      <c r="F55" s="513"/>
      <c r="G55" s="513"/>
      <c r="H55" s="513"/>
      <c r="I55" s="513"/>
      <c r="J55" s="513"/>
      <c r="K55" s="513"/>
      <c r="L55" s="513"/>
      <c r="M55" s="513"/>
      <c r="N55" s="513"/>
      <c r="O55" s="513"/>
    </row>
    <row r="56" spans="1:17" ht="14.1" customHeight="1">
      <c r="A56" s="514" t="s">
        <v>15041</v>
      </c>
      <c r="B56" s="514"/>
      <c r="C56" s="515" t="s">
        <v>15446</v>
      </c>
      <c r="G56" s="516"/>
      <c r="H56" s="516"/>
      <c r="I56" s="516"/>
      <c r="J56" s="516"/>
      <c r="K56" s="543" t="s">
        <v>14939</v>
      </c>
      <c r="L56" s="543"/>
      <c r="M56" s="543"/>
    </row>
    <row r="57" spans="1:17" ht="14.1" customHeight="1">
      <c r="A57" s="518"/>
      <c r="B57" s="518"/>
      <c r="C57" s="434" t="s">
        <v>15447</v>
      </c>
      <c r="D57" s="519"/>
      <c r="E57" s="520"/>
      <c r="F57" s="520"/>
      <c r="G57" s="520"/>
      <c r="H57" s="520"/>
      <c r="I57" s="520"/>
      <c r="K57" s="544" t="s">
        <v>15448</v>
      </c>
      <c r="L57" s="545"/>
      <c r="M57" s="546"/>
      <c r="N57" s="520"/>
    </row>
    <row r="58" spans="1:17" ht="14.1" customHeight="1">
      <c r="A58" s="518"/>
      <c r="B58" s="518"/>
      <c r="C58" s="515" t="s">
        <v>15355</v>
      </c>
      <c r="K58" s="547" t="s">
        <v>15264</v>
      </c>
      <c r="L58" s="527"/>
      <c r="M58" s="548"/>
    </row>
    <row r="59" spans="1:17" ht="14.1" customHeight="1">
      <c r="A59" s="518"/>
      <c r="B59" s="518"/>
      <c r="C59" s="515" t="s">
        <v>15449</v>
      </c>
      <c r="D59" s="512"/>
      <c r="F59" s="527"/>
      <c r="K59" s="549" t="s">
        <v>15450</v>
      </c>
      <c r="L59" s="545"/>
      <c r="M59" s="546"/>
    </row>
    <row r="60" spans="1:17" ht="14.1" customHeight="1">
      <c r="A60" s="518"/>
      <c r="B60" s="518"/>
      <c r="C60" s="434" t="s">
        <v>15451</v>
      </c>
      <c r="F60" s="527"/>
      <c r="K60" s="547" t="s">
        <v>15271</v>
      </c>
      <c r="L60" s="527"/>
      <c r="M60" s="548"/>
    </row>
    <row r="61" spans="1:17" ht="14.1" customHeight="1">
      <c r="A61" s="518"/>
      <c r="B61" s="518"/>
      <c r="C61" s="434" t="s">
        <v>15452</v>
      </c>
      <c r="F61" s="527"/>
      <c r="K61" s="550" t="s">
        <v>15453</v>
      </c>
      <c r="L61" s="551"/>
      <c r="M61" s="552"/>
      <c r="O61" s="532" t="s">
        <v>15035</v>
      </c>
      <c r="P61" s="533" t="s">
        <v>15454</v>
      </c>
    </row>
    <row r="62" spans="1:17" ht="14.1" customHeight="1">
      <c r="A62" s="512"/>
      <c r="B62" s="512"/>
      <c r="C62" s="515" t="s">
        <v>15359</v>
      </c>
      <c r="E62" s="527"/>
      <c r="K62" s="553" t="s">
        <v>15271</v>
      </c>
      <c r="L62" s="554"/>
      <c r="M62" s="166"/>
      <c r="O62" s="532" t="s">
        <v>14931</v>
      </c>
      <c r="P62" s="555">
        <v>7</v>
      </c>
    </row>
    <row r="63" spans="1:17" ht="14.1" customHeight="1">
      <c r="A63" s="512"/>
      <c r="B63" s="512"/>
      <c r="C63" s="534" t="s">
        <v>15443</v>
      </c>
      <c r="D63" s="512"/>
      <c r="E63" s="527"/>
      <c r="O63" s="532" t="s">
        <v>14930</v>
      </c>
      <c r="P63" s="555">
        <v>522</v>
      </c>
    </row>
    <row r="64" spans="1:17" ht="14.1" customHeight="1">
      <c r="A64" s="512"/>
      <c r="B64" s="512"/>
      <c r="C64" s="534" t="s">
        <v>15361</v>
      </c>
      <c r="D64" s="512"/>
      <c r="E64" s="527"/>
      <c r="K64" s="543" t="s">
        <v>14990</v>
      </c>
      <c r="L64" s="543"/>
      <c r="M64" s="543"/>
      <c r="O64" s="532" t="s">
        <v>14932</v>
      </c>
      <c r="P64" s="555">
        <v>6</v>
      </c>
    </row>
    <row r="65" spans="6:13" ht="14.1" customHeight="1">
      <c r="K65" s="556" t="s">
        <v>15455</v>
      </c>
      <c r="L65" s="556"/>
      <c r="M65" s="556"/>
    </row>
    <row r="66" spans="6:13">
      <c r="F66" s="537"/>
      <c r="K66" s="557">
        <v>24851044</v>
      </c>
      <c r="L66" s="558"/>
      <c r="M66" s="559"/>
    </row>
    <row r="67" spans="6:13">
      <c r="F67" s="537"/>
      <c r="K67" s="560" t="s">
        <v>15456</v>
      </c>
      <c r="L67" s="561"/>
      <c r="M67" s="562"/>
    </row>
    <row r="68" spans="6:13">
      <c r="F68" s="537"/>
      <c r="K68" s="557">
        <v>2154000</v>
      </c>
      <c r="L68" s="558"/>
      <c r="M68" s="559"/>
    </row>
    <row r="69" spans="6:13">
      <c r="K69" s="539"/>
      <c r="L69" s="539"/>
    </row>
    <row r="70" spans="6:13" ht="15.75">
      <c r="L70" s="540"/>
      <c r="M70" s="540"/>
    </row>
    <row r="71" spans="6:13" ht="15.75">
      <c r="K71" s="541"/>
      <c r="L71" s="540"/>
    </row>
    <row r="72" spans="6:13" ht="15.75">
      <c r="L72" s="540"/>
      <c r="M72" s="540"/>
    </row>
  </sheetData>
  <mergeCells count="18">
    <mergeCell ref="K67:M67"/>
    <mergeCell ref="K68:M68"/>
    <mergeCell ref="K69:L69"/>
    <mergeCell ref="L70:M70"/>
    <mergeCell ref="K71:L71"/>
    <mergeCell ref="L72:M72"/>
    <mergeCell ref="A56:B56"/>
    <mergeCell ref="K56:M56"/>
    <mergeCell ref="K61:M61"/>
    <mergeCell ref="K64:M64"/>
    <mergeCell ref="K65:M65"/>
    <mergeCell ref="K66:M66"/>
    <mergeCell ref="A2:P2"/>
    <mergeCell ref="A4:D5"/>
    <mergeCell ref="N4:O4"/>
    <mergeCell ref="B36:D36"/>
    <mergeCell ref="A47:D47"/>
    <mergeCell ref="A54:D54"/>
  </mergeCells>
  <phoneticPr fontId="3"/>
  <dataValidations count="1">
    <dataValidation type="list" allowBlank="1" showInputMessage="1" showErrorMessage="1" sqref="K58 K62 K60" xr:uid="{5F42E8BF-2017-4BD7-9476-5CE87A8AAF20}">
      <formula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65ECF-1745-48D1-ABC5-D6EB190C6FBC}">
  <sheetPr>
    <tabColor theme="9" tint="0.59999389629810485"/>
  </sheetPr>
  <dimension ref="A1:R75"/>
  <sheetViews>
    <sheetView topLeftCell="A4" workbookViewId="0">
      <selection activeCell="F11" sqref="F11"/>
    </sheetView>
  </sheetViews>
  <sheetFormatPr defaultRowHeight="13.5"/>
  <cols>
    <col min="1" max="3" width="2.88671875" style="434" customWidth="1"/>
    <col min="4" max="4" width="40" style="434" customWidth="1"/>
    <col min="5" max="5" width="16.109375" style="73" customWidth="1"/>
    <col min="6" max="8" width="14.5546875" style="73" customWidth="1"/>
    <col min="9" max="15" width="16.109375" style="73" customWidth="1"/>
    <col min="16" max="16" width="23.44140625" style="73" customWidth="1"/>
    <col min="17" max="17" width="18.33203125" style="434" hidden="1" customWidth="1"/>
    <col min="18" max="16384" width="8.88671875" style="435"/>
  </cols>
  <sheetData>
    <row r="1" spans="1:18" ht="14.25" customHeight="1">
      <c r="A1" s="434" t="s">
        <v>15368</v>
      </c>
    </row>
    <row r="2" spans="1:18" ht="22.5" customHeight="1">
      <c r="A2" s="436" t="s">
        <v>15369</v>
      </c>
      <c r="B2" s="436"/>
      <c r="C2" s="436"/>
      <c r="D2" s="436"/>
      <c r="E2" s="436"/>
      <c r="F2" s="436"/>
      <c r="G2" s="436"/>
      <c r="H2" s="436"/>
      <c r="I2" s="436"/>
      <c r="J2" s="436"/>
      <c r="K2" s="436"/>
      <c r="L2" s="436"/>
      <c r="M2" s="436"/>
      <c r="N2" s="436"/>
      <c r="O2" s="436"/>
      <c r="P2" s="436"/>
    </row>
    <row r="3" spans="1:18" ht="14.1" customHeight="1"/>
    <row r="4" spans="1:18" ht="48.75" customHeight="1">
      <c r="A4" s="437" t="s">
        <v>15370</v>
      </c>
      <c r="B4" s="438"/>
      <c r="C4" s="438"/>
      <c r="D4" s="439"/>
      <c r="E4" s="82" t="s">
        <v>15371</v>
      </c>
      <c r="F4" s="82" t="s">
        <v>15372</v>
      </c>
      <c r="G4" s="82" t="s">
        <v>15373</v>
      </c>
      <c r="H4" s="82" t="s">
        <v>15374</v>
      </c>
      <c r="I4" s="440" t="s">
        <v>15086</v>
      </c>
      <c r="J4" s="441" t="s">
        <v>15077</v>
      </c>
      <c r="K4" s="441" t="s">
        <v>15375</v>
      </c>
      <c r="L4" s="441" t="s">
        <v>15376</v>
      </c>
      <c r="M4" s="441" t="s">
        <v>15377</v>
      </c>
      <c r="N4" s="442" t="s">
        <v>15378</v>
      </c>
      <c r="O4" s="443"/>
      <c r="P4" s="440" t="s">
        <v>15379</v>
      </c>
      <c r="Q4" s="444" t="s">
        <v>15380</v>
      </c>
    </row>
    <row r="5" spans="1:18" ht="14.25" customHeight="1">
      <c r="A5" s="445"/>
      <c r="B5" s="446"/>
      <c r="C5" s="446"/>
      <c r="D5" s="447"/>
      <c r="E5" s="448" t="s">
        <v>15381</v>
      </c>
      <c r="F5" s="448" t="s">
        <v>15382</v>
      </c>
      <c r="G5" s="448" t="s">
        <v>15383</v>
      </c>
      <c r="H5" s="448" t="s">
        <v>15384</v>
      </c>
      <c r="I5" s="449" t="s">
        <v>15385</v>
      </c>
      <c r="J5" s="450" t="s">
        <v>15386</v>
      </c>
      <c r="K5" s="450" t="s">
        <v>15387</v>
      </c>
      <c r="L5" s="450" t="s">
        <v>15388</v>
      </c>
      <c r="M5" s="450" t="s">
        <v>15389</v>
      </c>
      <c r="N5" s="451" t="s">
        <v>15390</v>
      </c>
      <c r="O5" s="452" t="s">
        <v>15391</v>
      </c>
      <c r="P5" s="453"/>
      <c r="Q5" s="454"/>
    </row>
    <row r="6" spans="1:18" ht="22.5" customHeight="1">
      <c r="A6" s="455"/>
      <c r="E6" s="456" t="s">
        <v>15392</v>
      </c>
      <c r="F6" s="456" t="s">
        <v>15392</v>
      </c>
      <c r="G6" s="456" t="s">
        <v>15392</v>
      </c>
      <c r="H6" s="456" t="s">
        <v>15392</v>
      </c>
      <c r="I6" s="457" t="s">
        <v>15392</v>
      </c>
      <c r="J6" s="456" t="s">
        <v>15392</v>
      </c>
      <c r="K6" s="458" t="s">
        <v>15392</v>
      </c>
      <c r="L6" s="458" t="s">
        <v>15392</v>
      </c>
      <c r="M6" s="458" t="s">
        <v>15392</v>
      </c>
      <c r="N6" s="458" t="s">
        <v>15392</v>
      </c>
      <c r="O6" s="458" t="s">
        <v>15392</v>
      </c>
      <c r="P6" s="459"/>
      <c r="Q6" s="460" t="s">
        <v>14963</v>
      </c>
      <c r="R6" s="461"/>
    </row>
    <row r="7" spans="1:18" ht="20.100000000000001" customHeight="1">
      <c r="A7" s="455" t="s">
        <v>14964</v>
      </c>
      <c r="B7" s="462"/>
      <c r="C7" s="462"/>
      <c r="D7" s="462"/>
      <c r="E7" s="463">
        <v>26788952</v>
      </c>
      <c r="F7" s="463">
        <v>0</v>
      </c>
      <c r="G7" s="464">
        <v>26788952</v>
      </c>
      <c r="H7" s="463">
        <v>26788952</v>
      </c>
      <c r="I7" s="465">
        <v>26788952</v>
      </c>
      <c r="J7" s="466">
        <v>26788952</v>
      </c>
      <c r="K7" s="466">
        <v>5357790</v>
      </c>
      <c r="L7" s="465">
        <v>5607600</v>
      </c>
      <c r="M7" s="465">
        <v>5607600</v>
      </c>
      <c r="N7" s="467">
        <v>249810</v>
      </c>
      <c r="O7" s="466">
        <v>0</v>
      </c>
      <c r="P7" s="465"/>
      <c r="Q7" s="468" t="e">
        <f>SUM(#REF!)</f>
        <v>#REF!</v>
      </c>
      <c r="R7" s="461"/>
    </row>
    <row r="8" spans="1:18" ht="20.100000000000001" customHeight="1">
      <c r="A8" s="455"/>
      <c r="B8" s="469" t="s">
        <v>14965</v>
      </c>
      <c r="C8" s="470" t="s">
        <v>15393</v>
      </c>
      <c r="D8" s="470"/>
      <c r="E8" s="471">
        <v>4313145</v>
      </c>
      <c r="F8" s="472">
        <v>0</v>
      </c>
      <c r="G8" s="472">
        <v>4313145</v>
      </c>
      <c r="H8" s="472">
        <v>4313145</v>
      </c>
      <c r="I8" s="473"/>
      <c r="J8" s="473"/>
      <c r="K8" s="473"/>
      <c r="L8" s="473"/>
      <c r="M8" s="473"/>
      <c r="N8" s="473"/>
      <c r="O8" s="473"/>
      <c r="P8" s="474"/>
      <c r="Q8" s="468" t="e">
        <f>SUM(#REF!)</f>
        <v>#REF!</v>
      </c>
      <c r="R8" s="475"/>
    </row>
    <row r="9" spans="1:18" ht="20.100000000000001" customHeight="1">
      <c r="A9" s="476"/>
      <c r="B9" s="477"/>
      <c r="C9" s="478" t="s">
        <v>14967</v>
      </c>
      <c r="D9" s="479" t="s">
        <v>15394</v>
      </c>
      <c r="E9" s="474">
        <v>2736645</v>
      </c>
      <c r="F9" s="474"/>
      <c r="G9" s="472">
        <v>2736645</v>
      </c>
      <c r="H9" s="474">
        <v>2736645</v>
      </c>
      <c r="I9" s="473"/>
      <c r="J9" s="473"/>
      <c r="K9" s="473"/>
      <c r="L9" s="473"/>
      <c r="M9" s="473"/>
      <c r="N9" s="473"/>
      <c r="O9" s="473"/>
      <c r="P9" s="474"/>
      <c r="Q9" s="468" t="e">
        <f>SUM(#REF!)</f>
        <v>#REF!</v>
      </c>
      <c r="R9" s="475"/>
    </row>
    <row r="10" spans="1:18" ht="20.100000000000001" customHeight="1">
      <c r="A10" s="476"/>
      <c r="B10" s="477"/>
      <c r="C10" s="480" t="s">
        <v>14970</v>
      </c>
      <c r="D10" s="462" t="s">
        <v>15395</v>
      </c>
      <c r="E10" s="474"/>
      <c r="F10" s="474"/>
      <c r="G10" s="472">
        <v>0</v>
      </c>
      <c r="H10" s="474"/>
      <c r="I10" s="473"/>
      <c r="J10" s="473"/>
      <c r="K10" s="473"/>
      <c r="L10" s="473"/>
      <c r="M10" s="473"/>
      <c r="N10" s="473"/>
      <c r="O10" s="473"/>
      <c r="P10" s="474"/>
      <c r="Q10" s="468" t="e">
        <f>SUM(#REF!)</f>
        <v>#REF!</v>
      </c>
    </row>
    <row r="11" spans="1:18" ht="20.100000000000001" customHeight="1">
      <c r="A11" s="476"/>
      <c r="B11" s="477"/>
      <c r="C11" s="478" t="s">
        <v>14972</v>
      </c>
      <c r="D11" s="462" t="s">
        <v>15396</v>
      </c>
      <c r="E11" s="474">
        <v>1576500</v>
      </c>
      <c r="F11" s="474"/>
      <c r="G11" s="472">
        <v>1576500</v>
      </c>
      <c r="H11" s="474">
        <v>1576500</v>
      </c>
      <c r="I11" s="473"/>
      <c r="J11" s="473"/>
      <c r="K11" s="473"/>
      <c r="L11" s="473"/>
      <c r="M11" s="473"/>
      <c r="N11" s="473"/>
      <c r="O11" s="473"/>
      <c r="P11" s="474"/>
      <c r="Q11" s="468" t="e">
        <f>SUM(#REF!)</f>
        <v>#REF!</v>
      </c>
    </row>
    <row r="12" spans="1:18" ht="20.100000000000001" customHeight="1">
      <c r="A12" s="476"/>
      <c r="B12" s="476"/>
      <c r="C12" s="478" t="s">
        <v>14975</v>
      </c>
      <c r="D12" s="462" t="s">
        <v>15397</v>
      </c>
      <c r="E12" s="474"/>
      <c r="F12" s="474"/>
      <c r="G12" s="472">
        <v>0</v>
      </c>
      <c r="H12" s="474"/>
      <c r="I12" s="473"/>
      <c r="J12" s="473"/>
      <c r="K12" s="473"/>
      <c r="L12" s="473"/>
      <c r="M12" s="473"/>
      <c r="N12" s="473"/>
      <c r="O12" s="473"/>
      <c r="P12" s="474"/>
      <c r="Q12" s="468"/>
    </row>
    <row r="13" spans="1:18" ht="20.100000000000001" customHeight="1">
      <c r="A13" s="476"/>
      <c r="B13" s="476"/>
      <c r="C13" s="480" t="s">
        <v>14977</v>
      </c>
      <c r="D13" s="462" t="s">
        <v>15398</v>
      </c>
      <c r="E13" s="474"/>
      <c r="F13" s="474"/>
      <c r="G13" s="472">
        <v>0</v>
      </c>
      <c r="H13" s="474"/>
      <c r="I13" s="473"/>
      <c r="J13" s="473"/>
      <c r="K13" s="473"/>
      <c r="L13" s="473"/>
      <c r="M13" s="473"/>
      <c r="N13" s="473"/>
      <c r="O13" s="473"/>
      <c r="P13" s="474"/>
      <c r="Q13" s="468"/>
    </row>
    <row r="14" spans="1:18" ht="20.100000000000001" customHeight="1">
      <c r="A14" s="476"/>
      <c r="B14" s="476"/>
      <c r="C14" s="480" t="s">
        <v>15399</v>
      </c>
      <c r="D14" s="462" t="s">
        <v>15400</v>
      </c>
      <c r="E14" s="474"/>
      <c r="F14" s="474"/>
      <c r="G14" s="472">
        <v>0</v>
      </c>
      <c r="H14" s="474"/>
      <c r="I14" s="473"/>
      <c r="J14" s="473"/>
      <c r="K14" s="473"/>
      <c r="L14" s="473"/>
      <c r="M14" s="473"/>
      <c r="N14" s="473"/>
      <c r="O14" s="473"/>
      <c r="P14" s="474"/>
      <c r="Q14" s="468"/>
    </row>
    <row r="15" spans="1:18" ht="20.100000000000001" customHeight="1">
      <c r="A15" s="476"/>
      <c r="B15" s="469" t="s">
        <v>14982</v>
      </c>
      <c r="C15" s="470" t="s">
        <v>15401</v>
      </c>
      <c r="D15" s="470"/>
      <c r="E15" s="471">
        <v>18622360</v>
      </c>
      <c r="F15" s="472">
        <v>0</v>
      </c>
      <c r="G15" s="472">
        <v>18622360</v>
      </c>
      <c r="H15" s="472">
        <v>18622360</v>
      </c>
      <c r="I15" s="473"/>
      <c r="J15" s="473"/>
      <c r="K15" s="473"/>
      <c r="L15" s="473"/>
      <c r="M15" s="473"/>
      <c r="N15" s="473"/>
      <c r="O15" s="473"/>
      <c r="P15" s="474"/>
      <c r="Q15" s="468" t="e">
        <f>SUM(#REF!)</f>
        <v>#REF!</v>
      </c>
    </row>
    <row r="16" spans="1:18" ht="20.100000000000001" customHeight="1">
      <c r="A16" s="476"/>
      <c r="B16" s="476"/>
      <c r="C16" s="481" t="s">
        <v>14967</v>
      </c>
      <c r="D16" s="479" t="s">
        <v>15402</v>
      </c>
      <c r="E16" s="474">
        <v>17099560</v>
      </c>
      <c r="F16" s="474"/>
      <c r="G16" s="472">
        <v>17099560</v>
      </c>
      <c r="H16" s="474">
        <v>17099560</v>
      </c>
      <c r="I16" s="473"/>
      <c r="J16" s="473"/>
      <c r="K16" s="473"/>
      <c r="L16" s="473"/>
      <c r="M16" s="473"/>
      <c r="N16" s="473"/>
      <c r="O16" s="473"/>
      <c r="P16" s="474"/>
      <c r="Q16" s="482" t="e">
        <f>SUM(#REF!)</f>
        <v>#REF!</v>
      </c>
    </row>
    <row r="17" spans="1:17" ht="20.100000000000001" customHeight="1">
      <c r="A17" s="476"/>
      <c r="B17" s="476"/>
      <c r="C17" s="478" t="s">
        <v>14970</v>
      </c>
      <c r="D17" s="462" t="s">
        <v>15403</v>
      </c>
      <c r="E17" s="474"/>
      <c r="F17" s="474"/>
      <c r="G17" s="472">
        <v>0</v>
      </c>
      <c r="H17" s="474"/>
      <c r="I17" s="473"/>
      <c r="J17" s="473"/>
      <c r="K17" s="473"/>
      <c r="L17" s="473"/>
      <c r="M17" s="473"/>
      <c r="N17" s="473"/>
      <c r="O17" s="473"/>
      <c r="P17" s="474"/>
      <c r="Q17" s="482" t="e">
        <f>SUM(#REF!)</f>
        <v>#REF!</v>
      </c>
    </row>
    <row r="18" spans="1:17" ht="20.100000000000001" customHeight="1">
      <c r="A18" s="476"/>
      <c r="B18" s="476"/>
      <c r="C18" s="480" t="s">
        <v>14972</v>
      </c>
      <c r="D18" s="462" t="s">
        <v>15404</v>
      </c>
      <c r="E18" s="474">
        <v>1522800</v>
      </c>
      <c r="F18" s="474"/>
      <c r="G18" s="472">
        <v>1522800</v>
      </c>
      <c r="H18" s="474">
        <v>1522800</v>
      </c>
      <c r="I18" s="473"/>
      <c r="J18" s="473"/>
      <c r="K18" s="473"/>
      <c r="L18" s="473"/>
      <c r="M18" s="473"/>
      <c r="N18" s="473"/>
      <c r="O18" s="473"/>
      <c r="P18" s="474"/>
      <c r="Q18" s="482" t="e">
        <f>SUM(#REF!)</f>
        <v>#REF!</v>
      </c>
    </row>
    <row r="19" spans="1:17" ht="20.100000000000001" customHeight="1">
      <c r="A19" s="476"/>
      <c r="B19" s="477"/>
      <c r="C19" s="478" t="s">
        <v>14975</v>
      </c>
      <c r="D19" s="462" t="s">
        <v>15405</v>
      </c>
      <c r="E19" s="474"/>
      <c r="F19" s="474"/>
      <c r="G19" s="472">
        <v>0</v>
      </c>
      <c r="H19" s="474"/>
      <c r="I19" s="473"/>
      <c r="J19" s="473"/>
      <c r="K19" s="473"/>
      <c r="L19" s="473"/>
      <c r="M19" s="473"/>
      <c r="N19" s="473"/>
      <c r="O19" s="473"/>
      <c r="P19" s="474"/>
      <c r="Q19" s="482" t="e">
        <f>SUM(#REF!)</f>
        <v>#REF!</v>
      </c>
    </row>
    <row r="20" spans="1:17" ht="20.100000000000001" customHeight="1">
      <c r="A20" s="476"/>
      <c r="B20" s="483"/>
      <c r="C20" s="478" t="s">
        <v>14977</v>
      </c>
      <c r="D20" s="462" t="s">
        <v>15400</v>
      </c>
      <c r="E20" s="474"/>
      <c r="F20" s="474"/>
      <c r="G20" s="472">
        <v>0</v>
      </c>
      <c r="H20" s="474"/>
      <c r="I20" s="473"/>
      <c r="J20" s="473"/>
      <c r="K20" s="473"/>
      <c r="L20" s="473"/>
      <c r="M20" s="473"/>
      <c r="N20" s="473"/>
      <c r="O20" s="473"/>
      <c r="P20" s="474"/>
      <c r="Q20" s="482" t="e">
        <f>SUM(#REF!)</f>
        <v>#REF!</v>
      </c>
    </row>
    <row r="21" spans="1:17" ht="20.100000000000001" customHeight="1">
      <c r="A21" s="476"/>
      <c r="B21" s="469" t="s">
        <v>14985</v>
      </c>
      <c r="C21" s="470" t="s">
        <v>15406</v>
      </c>
      <c r="D21" s="470"/>
      <c r="E21" s="471">
        <v>0</v>
      </c>
      <c r="F21" s="471">
        <v>0</v>
      </c>
      <c r="G21" s="472">
        <v>0</v>
      </c>
      <c r="H21" s="471">
        <v>0</v>
      </c>
      <c r="I21" s="473"/>
      <c r="J21" s="473"/>
      <c r="K21" s="473"/>
      <c r="L21" s="473"/>
      <c r="M21" s="473"/>
      <c r="N21" s="473"/>
      <c r="O21" s="473"/>
      <c r="P21" s="474"/>
      <c r="Q21" s="482" t="e">
        <f>SUM(#REF!)</f>
        <v>#REF!</v>
      </c>
    </row>
    <row r="22" spans="1:17" ht="20.100000000000001" customHeight="1">
      <c r="A22" s="476"/>
      <c r="B22" s="476"/>
      <c r="C22" s="481" t="s">
        <v>14967</v>
      </c>
      <c r="D22" s="470" t="s">
        <v>15407</v>
      </c>
      <c r="E22" s="474"/>
      <c r="F22" s="474"/>
      <c r="G22" s="472">
        <v>0</v>
      </c>
      <c r="H22" s="474"/>
      <c r="I22" s="473"/>
      <c r="J22" s="473"/>
      <c r="K22" s="473"/>
      <c r="L22" s="473"/>
      <c r="M22" s="473"/>
      <c r="N22" s="473"/>
      <c r="O22" s="473"/>
      <c r="P22" s="474"/>
      <c r="Q22" s="482" t="e">
        <f>SUM(#REF!)</f>
        <v>#REF!</v>
      </c>
    </row>
    <row r="23" spans="1:17" ht="20.100000000000001" customHeight="1">
      <c r="A23" s="476"/>
      <c r="B23" s="476"/>
      <c r="C23" s="480" t="s">
        <v>14970</v>
      </c>
      <c r="D23" s="484" t="s">
        <v>15408</v>
      </c>
      <c r="E23" s="474"/>
      <c r="F23" s="474"/>
      <c r="G23" s="472">
        <v>0</v>
      </c>
      <c r="H23" s="474"/>
      <c r="I23" s="473"/>
      <c r="J23" s="473"/>
      <c r="K23" s="473"/>
      <c r="L23" s="473"/>
      <c r="M23" s="473"/>
      <c r="N23" s="473"/>
      <c r="O23" s="473"/>
      <c r="P23" s="474"/>
      <c r="Q23" s="482" t="e">
        <f>SUM(#REF!)</f>
        <v>#REF!</v>
      </c>
    </row>
    <row r="24" spans="1:17" ht="19.5" customHeight="1">
      <c r="A24" s="476"/>
      <c r="B24" s="476"/>
      <c r="C24" s="480" t="s">
        <v>14972</v>
      </c>
      <c r="D24" s="485" t="s">
        <v>15409</v>
      </c>
      <c r="E24" s="474"/>
      <c r="F24" s="474"/>
      <c r="G24" s="472">
        <v>0</v>
      </c>
      <c r="H24" s="474"/>
      <c r="I24" s="473"/>
      <c r="J24" s="473"/>
      <c r="K24" s="473"/>
      <c r="L24" s="473"/>
      <c r="M24" s="473"/>
      <c r="N24" s="473"/>
      <c r="O24" s="473"/>
      <c r="P24" s="474"/>
      <c r="Q24" s="482" t="e">
        <f>SUM(#REF!)</f>
        <v>#REF!</v>
      </c>
    </row>
    <row r="25" spans="1:17" ht="20.100000000000001" customHeight="1">
      <c r="A25" s="476"/>
      <c r="B25" s="486"/>
      <c r="C25" s="478" t="s">
        <v>14975</v>
      </c>
      <c r="D25" s="462" t="s">
        <v>15400</v>
      </c>
      <c r="E25" s="474"/>
      <c r="F25" s="474"/>
      <c r="G25" s="472">
        <v>0</v>
      </c>
      <c r="H25" s="474"/>
      <c r="I25" s="473"/>
      <c r="J25" s="473"/>
      <c r="K25" s="473"/>
      <c r="L25" s="473"/>
      <c r="M25" s="473"/>
      <c r="N25" s="473"/>
      <c r="O25" s="473"/>
      <c r="P25" s="474"/>
      <c r="Q25" s="482" t="e">
        <f>SUM(#REF!)</f>
        <v>#REF!</v>
      </c>
    </row>
    <row r="26" spans="1:17" ht="20.100000000000001" customHeight="1">
      <c r="A26" s="477"/>
      <c r="B26" s="469" t="s">
        <v>14993</v>
      </c>
      <c r="C26" s="470" t="s">
        <v>15410</v>
      </c>
      <c r="D26" s="470"/>
      <c r="E26" s="474">
        <v>2401640</v>
      </c>
      <c r="F26" s="474"/>
      <c r="G26" s="472">
        <v>2401640</v>
      </c>
      <c r="H26" s="474">
        <v>2401640</v>
      </c>
      <c r="I26" s="473"/>
      <c r="J26" s="473"/>
      <c r="K26" s="473"/>
      <c r="L26" s="473"/>
      <c r="M26" s="473"/>
      <c r="N26" s="473"/>
      <c r="O26" s="473"/>
      <c r="P26" s="474"/>
      <c r="Q26" s="482" t="e">
        <f>SUM(#REF!)</f>
        <v>#REF!</v>
      </c>
    </row>
    <row r="27" spans="1:17" ht="20.100000000000001" customHeight="1">
      <c r="A27" s="477"/>
      <c r="B27" s="487" t="s">
        <v>15411</v>
      </c>
      <c r="C27" s="470"/>
      <c r="D27" s="470"/>
      <c r="E27" s="474">
        <v>72500</v>
      </c>
      <c r="F27" s="474"/>
      <c r="G27" s="472">
        <v>72500</v>
      </c>
      <c r="H27" s="474">
        <v>72500</v>
      </c>
      <c r="I27" s="473"/>
      <c r="J27" s="473"/>
      <c r="K27" s="473"/>
      <c r="L27" s="473"/>
      <c r="M27" s="473"/>
      <c r="N27" s="473"/>
      <c r="O27" s="473"/>
      <c r="P27" s="474"/>
      <c r="Q27" s="488">
        <f>COUNTIF(H27,"&gt;0")</f>
        <v>1</v>
      </c>
    </row>
    <row r="28" spans="1:17" ht="20.100000000000001" customHeight="1">
      <c r="A28" s="477"/>
      <c r="B28" s="487" t="s">
        <v>15412</v>
      </c>
      <c r="C28" s="470"/>
      <c r="D28" s="470"/>
      <c r="E28" s="474">
        <v>5326</v>
      </c>
      <c r="F28" s="474"/>
      <c r="G28" s="472">
        <v>5326</v>
      </c>
      <c r="H28" s="474">
        <v>5326</v>
      </c>
      <c r="I28" s="473"/>
      <c r="J28" s="473"/>
      <c r="K28" s="473"/>
      <c r="L28" s="473"/>
      <c r="M28" s="473"/>
      <c r="N28" s="473"/>
      <c r="O28" s="473"/>
      <c r="P28" s="489"/>
      <c r="Q28" s="435"/>
    </row>
    <row r="29" spans="1:17" ht="20.100000000000001" customHeight="1">
      <c r="A29" s="476"/>
      <c r="B29" s="469" t="s">
        <v>15000</v>
      </c>
      <c r="C29" s="470" t="s">
        <v>2138</v>
      </c>
      <c r="D29" s="470"/>
      <c r="E29" s="471">
        <v>1373981</v>
      </c>
      <c r="F29" s="472">
        <v>0</v>
      </c>
      <c r="G29" s="472">
        <v>1373981</v>
      </c>
      <c r="H29" s="472">
        <v>1373981</v>
      </c>
      <c r="I29" s="473"/>
      <c r="J29" s="473"/>
      <c r="K29" s="473"/>
      <c r="L29" s="473"/>
      <c r="M29" s="473"/>
      <c r="N29" s="473"/>
      <c r="O29" s="473"/>
      <c r="P29" s="474"/>
      <c r="Q29" s="482" t="e">
        <f>SUM(#REF!)</f>
        <v>#REF!</v>
      </c>
    </row>
    <row r="30" spans="1:17" ht="20.100000000000001" customHeight="1">
      <c r="A30" s="476"/>
      <c r="B30" s="476"/>
      <c r="C30" s="481" t="s">
        <v>14967</v>
      </c>
      <c r="D30" s="470" t="s">
        <v>15413</v>
      </c>
      <c r="E30" s="474"/>
      <c r="F30" s="474"/>
      <c r="G30" s="472">
        <v>0</v>
      </c>
      <c r="H30" s="474"/>
      <c r="I30" s="473"/>
      <c r="J30" s="473"/>
      <c r="K30" s="473"/>
      <c r="L30" s="473"/>
      <c r="M30" s="473"/>
      <c r="N30" s="473"/>
      <c r="O30" s="473"/>
      <c r="P30" s="474"/>
      <c r="Q30" s="482" t="e">
        <f>SUM(#REF!)</f>
        <v>#REF!</v>
      </c>
    </row>
    <row r="31" spans="1:17" ht="20.100000000000001" customHeight="1">
      <c r="A31" s="476"/>
      <c r="B31" s="476"/>
      <c r="C31" s="480" t="s">
        <v>14970</v>
      </c>
      <c r="D31" s="462" t="s">
        <v>15414</v>
      </c>
      <c r="E31" s="474"/>
      <c r="F31" s="474"/>
      <c r="G31" s="472">
        <v>0</v>
      </c>
      <c r="H31" s="474"/>
      <c r="I31" s="473"/>
      <c r="J31" s="473"/>
      <c r="K31" s="473"/>
      <c r="L31" s="473"/>
      <c r="M31" s="473"/>
      <c r="N31" s="473"/>
      <c r="O31" s="473"/>
      <c r="P31" s="474"/>
      <c r="Q31" s="482" t="e">
        <f>SUM(#REF!)</f>
        <v>#REF!</v>
      </c>
    </row>
    <row r="32" spans="1:17" ht="20.100000000000001" customHeight="1">
      <c r="A32" s="476"/>
      <c r="B32" s="476"/>
      <c r="C32" s="480" t="s">
        <v>14972</v>
      </c>
      <c r="D32" s="485" t="s">
        <v>15415</v>
      </c>
      <c r="E32" s="474">
        <v>1373981</v>
      </c>
      <c r="F32" s="474"/>
      <c r="G32" s="472">
        <v>1373981</v>
      </c>
      <c r="H32" s="474">
        <v>1373981</v>
      </c>
      <c r="I32" s="473"/>
      <c r="J32" s="473"/>
      <c r="K32" s="473"/>
      <c r="L32" s="473"/>
      <c r="M32" s="473"/>
      <c r="N32" s="473"/>
      <c r="O32" s="473"/>
      <c r="P32" s="474"/>
      <c r="Q32" s="482" t="e">
        <f>SUM(#REF!)</f>
        <v>#REF!</v>
      </c>
    </row>
    <row r="33" spans="1:18" ht="20.100000000000001" customHeight="1">
      <c r="A33" s="476"/>
      <c r="B33" s="477"/>
      <c r="C33" s="480" t="s">
        <v>14975</v>
      </c>
      <c r="D33" s="490" t="s">
        <v>15006</v>
      </c>
      <c r="E33" s="474"/>
      <c r="F33" s="474"/>
      <c r="G33" s="472">
        <v>0</v>
      </c>
      <c r="H33" s="474"/>
      <c r="I33" s="473"/>
      <c r="J33" s="473"/>
      <c r="K33" s="473"/>
      <c r="L33" s="473"/>
      <c r="M33" s="473"/>
      <c r="N33" s="473"/>
      <c r="O33" s="473"/>
      <c r="P33" s="474"/>
      <c r="Q33" s="482" t="e">
        <f>SUM(#REF!)</f>
        <v>#REF!</v>
      </c>
    </row>
    <row r="34" spans="1:18" ht="20.100000000000001" customHeight="1">
      <c r="A34" s="476"/>
      <c r="B34" s="483"/>
      <c r="C34" s="480" t="s">
        <v>14977</v>
      </c>
      <c r="D34" s="484" t="s">
        <v>15007</v>
      </c>
      <c r="E34" s="474"/>
      <c r="F34" s="474"/>
      <c r="G34" s="472">
        <v>0</v>
      </c>
      <c r="H34" s="474"/>
      <c r="I34" s="473"/>
      <c r="J34" s="473"/>
      <c r="K34" s="473"/>
      <c r="L34" s="473"/>
      <c r="M34" s="473"/>
      <c r="N34" s="473"/>
      <c r="O34" s="473"/>
      <c r="P34" s="474"/>
      <c r="Q34" s="482" t="e">
        <f>SUM(#REF!)</f>
        <v>#REF!</v>
      </c>
    </row>
    <row r="35" spans="1:18" ht="20.100000000000001" customHeight="1">
      <c r="A35" s="487" t="s">
        <v>15416</v>
      </c>
      <c r="B35" s="491"/>
      <c r="E35" s="471">
        <v>23311883</v>
      </c>
      <c r="F35" s="472">
        <v>4844770</v>
      </c>
      <c r="G35" s="472">
        <v>18467113</v>
      </c>
      <c r="H35" s="472">
        <v>13622343</v>
      </c>
      <c r="I35" s="474">
        <v>23139229</v>
      </c>
      <c r="J35" s="466">
        <v>13622343</v>
      </c>
      <c r="K35" s="466">
        <v>5244602</v>
      </c>
      <c r="L35" s="465">
        <v>8389150</v>
      </c>
      <c r="M35" s="465">
        <v>8389150</v>
      </c>
      <c r="N35" s="467">
        <v>3144548</v>
      </c>
      <c r="O35" s="466">
        <v>0</v>
      </c>
      <c r="P35" s="465"/>
      <c r="Q35" s="482" t="e">
        <f>SUM(#REF!)</f>
        <v>#REF!</v>
      </c>
      <c r="R35" s="461"/>
    </row>
    <row r="36" spans="1:18" ht="20.100000000000001" customHeight="1">
      <c r="A36" s="455"/>
      <c r="B36" s="492" t="s">
        <v>15417</v>
      </c>
      <c r="C36" s="493"/>
      <c r="D36" s="494"/>
      <c r="E36" s="474">
        <v>20022503</v>
      </c>
      <c r="F36" s="474">
        <v>4844770</v>
      </c>
      <c r="G36" s="472">
        <v>15177733</v>
      </c>
      <c r="H36" s="474">
        <v>10332963</v>
      </c>
      <c r="I36" s="473"/>
      <c r="J36" s="473"/>
      <c r="K36" s="473"/>
      <c r="L36" s="473"/>
      <c r="M36" s="473"/>
      <c r="N36" s="473"/>
      <c r="O36" s="473"/>
      <c r="P36" s="474"/>
      <c r="Q36" s="482" t="e">
        <f>SUM(#REF!)</f>
        <v>#REF!</v>
      </c>
    </row>
    <row r="37" spans="1:18" ht="20.100000000000001" customHeight="1">
      <c r="A37" s="455"/>
      <c r="B37" s="487" t="s">
        <v>15418</v>
      </c>
      <c r="C37" s="495"/>
      <c r="D37" s="495"/>
      <c r="E37" s="471">
        <v>3289380</v>
      </c>
      <c r="F37" s="472">
        <v>0</v>
      </c>
      <c r="G37" s="472">
        <v>3289380</v>
      </c>
      <c r="H37" s="472">
        <v>3289380</v>
      </c>
      <c r="I37" s="473"/>
      <c r="J37" s="473"/>
      <c r="K37" s="473"/>
      <c r="L37" s="473"/>
      <c r="M37" s="473"/>
      <c r="N37" s="473"/>
      <c r="O37" s="473"/>
      <c r="P37" s="474"/>
      <c r="Q37" s="482" t="e">
        <f>SUM(#REF!)</f>
        <v>#REF!</v>
      </c>
    </row>
    <row r="38" spans="1:18" ht="20.100000000000001" customHeight="1">
      <c r="A38" s="476"/>
      <c r="B38" s="455"/>
      <c r="C38" s="481" t="s">
        <v>15419</v>
      </c>
      <c r="D38" s="496"/>
      <c r="E38" s="474"/>
      <c r="F38" s="474"/>
      <c r="G38" s="472">
        <v>0</v>
      </c>
      <c r="H38" s="474"/>
      <c r="I38" s="473"/>
      <c r="J38" s="473"/>
      <c r="K38" s="473"/>
      <c r="L38" s="473"/>
      <c r="M38" s="473"/>
      <c r="N38" s="473"/>
      <c r="O38" s="473"/>
      <c r="P38" s="474"/>
      <c r="Q38" s="482" t="e">
        <f>SUM(#REF!)</f>
        <v>#REF!</v>
      </c>
    </row>
    <row r="39" spans="1:18" ht="20.100000000000001" customHeight="1">
      <c r="A39" s="476"/>
      <c r="B39" s="455"/>
      <c r="C39" s="480" t="s">
        <v>15420</v>
      </c>
      <c r="D39" s="497"/>
      <c r="E39" s="474">
        <v>3289380</v>
      </c>
      <c r="F39" s="474"/>
      <c r="G39" s="472">
        <v>3289380</v>
      </c>
      <c r="H39" s="474">
        <v>3289380</v>
      </c>
      <c r="I39" s="473"/>
      <c r="J39" s="473"/>
      <c r="K39" s="473"/>
      <c r="L39" s="473"/>
      <c r="M39" s="473"/>
      <c r="N39" s="473"/>
      <c r="O39" s="473"/>
      <c r="P39" s="474"/>
      <c r="Q39" s="482" t="e">
        <f>SUM(#REF!)</f>
        <v>#REF!</v>
      </c>
    </row>
    <row r="40" spans="1:18" ht="20.100000000000001" customHeight="1">
      <c r="A40" s="476"/>
      <c r="B40" s="455"/>
      <c r="C40" s="487" t="s">
        <v>15421</v>
      </c>
      <c r="D40" s="496"/>
      <c r="E40" s="471">
        <v>0</v>
      </c>
      <c r="F40" s="472">
        <v>0</v>
      </c>
      <c r="G40" s="472">
        <v>0</v>
      </c>
      <c r="H40" s="472">
        <v>0</v>
      </c>
      <c r="I40" s="473"/>
      <c r="J40" s="473"/>
      <c r="K40" s="473"/>
      <c r="L40" s="473"/>
      <c r="M40" s="473"/>
      <c r="N40" s="473"/>
      <c r="O40" s="473"/>
      <c r="P40" s="474"/>
      <c r="Q40" s="482" t="e">
        <f>SUM(#REF!)</f>
        <v>#REF!</v>
      </c>
    </row>
    <row r="41" spans="1:18" ht="20.100000000000001" customHeight="1">
      <c r="A41" s="476"/>
      <c r="B41" s="455"/>
      <c r="C41" s="455"/>
      <c r="D41" s="498" t="s">
        <v>15422</v>
      </c>
      <c r="E41" s="474"/>
      <c r="F41" s="474"/>
      <c r="G41" s="472">
        <v>0</v>
      </c>
      <c r="H41" s="474"/>
      <c r="I41" s="473"/>
      <c r="J41" s="473"/>
      <c r="K41" s="473"/>
      <c r="L41" s="473"/>
      <c r="M41" s="473"/>
      <c r="N41" s="473"/>
      <c r="O41" s="473"/>
      <c r="P41" s="474"/>
      <c r="Q41" s="468" t="e">
        <f>SUM(#REF!)</f>
        <v>#REF!</v>
      </c>
    </row>
    <row r="42" spans="1:18" ht="20.100000000000001" customHeight="1">
      <c r="A42" s="476"/>
      <c r="B42" s="455"/>
      <c r="C42" s="455"/>
      <c r="D42" s="499" t="s">
        <v>15423</v>
      </c>
      <c r="E42" s="474"/>
      <c r="F42" s="474"/>
      <c r="G42" s="472">
        <v>0</v>
      </c>
      <c r="H42" s="474"/>
      <c r="I42" s="473"/>
      <c r="J42" s="473"/>
      <c r="K42" s="473"/>
      <c r="L42" s="473"/>
      <c r="M42" s="473"/>
      <c r="N42" s="473"/>
      <c r="O42" s="473"/>
      <c r="P42" s="474"/>
      <c r="Q42" s="468" t="e">
        <f>SUM(#REF!)</f>
        <v>#REF!</v>
      </c>
    </row>
    <row r="43" spans="1:18" ht="20.100000000000001" customHeight="1">
      <c r="A43" s="476"/>
      <c r="B43" s="455"/>
      <c r="C43" s="455"/>
      <c r="D43" s="500" t="s">
        <v>15424</v>
      </c>
      <c r="E43" s="474"/>
      <c r="F43" s="474"/>
      <c r="G43" s="472">
        <v>0</v>
      </c>
      <c r="H43" s="474"/>
      <c r="I43" s="473"/>
      <c r="J43" s="473"/>
      <c r="K43" s="473"/>
      <c r="L43" s="473"/>
      <c r="M43" s="473"/>
      <c r="N43" s="473"/>
      <c r="O43" s="473"/>
      <c r="P43" s="474"/>
      <c r="Q43" s="468" t="e">
        <f>SUM(#REF!)</f>
        <v>#REF!</v>
      </c>
    </row>
    <row r="44" spans="1:18" ht="20.100000000000001" customHeight="1">
      <c r="A44" s="476"/>
      <c r="B44" s="455"/>
      <c r="C44" s="455"/>
      <c r="D44" s="499" t="s">
        <v>15425</v>
      </c>
      <c r="E44" s="474"/>
      <c r="F44" s="474"/>
      <c r="G44" s="472">
        <v>0</v>
      </c>
      <c r="H44" s="474"/>
      <c r="I44" s="473"/>
      <c r="J44" s="473"/>
      <c r="K44" s="473"/>
      <c r="L44" s="473"/>
      <c r="M44" s="473"/>
      <c r="N44" s="473"/>
      <c r="O44" s="473"/>
      <c r="P44" s="474"/>
      <c r="Q44" s="468" t="e">
        <f>SUM(#REF!)</f>
        <v>#REF!</v>
      </c>
    </row>
    <row r="45" spans="1:18" ht="20.100000000000001" customHeight="1">
      <c r="A45" s="476"/>
      <c r="B45" s="455"/>
      <c r="C45" s="455"/>
      <c r="D45" s="500" t="s">
        <v>15426</v>
      </c>
      <c r="E45" s="474"/>
      <c r="F45" s="474"/>
      <c r="G45" s="472">
        <v>0</v>
      </c>
      <c r="H45" s="474"/>
      <c r="I45" s="473"/>
      <c r="J45" s="473"/>
      <c r="K45" s="473"/>
      <c r="L45" s="473"/>
      <c r="M45" s="473"/>
      <c r="N45" s="473"/>
      <c r="O45" s="473"/>
      <c r="P45" s="474"/>
      <c r="Q45" s="468" t="e">
        <f>SUM(#REF!)</f>
        <v>#REF!</v>
      </c>
    </row>
    <row r="46" spans="1:18" ht="20.100000000000001" customHeight="1">
      <c r="A46" s="477"/>
      <c r="B46" s="501"/>
      <c r="C46" s="501"/>
      <c r="D46" s="502" t="s">
        <v>15427</v>
      </c>
      <c r="E46" s="474"/>
      <c r="F46" s="474"/>
      <c r="G46" s="472">
        <v>0</v>
      </c>
      <c r="H46" s="474"/>
      <c r="I46" s="473"/>
      <c r="J46" s="473"/>
      <c r="K46" s="473"/>
      <c r="L46" s="473"/>
      <c r="M46" s="473"/>
      <c r="N46" s="473"/>
      <c r="O46" s="473"/>
      <c r="P46" s="474"/>
      <c r="Q46" s="468" t="e">
        <f>SUM(#REF!)</f>
        <v>#REF!</v>
      </c>
    </row>
    <row r="47" spans="1:18" ht="20.100000000000001" customHeight="1">
      <c r="A47" s="503" t="s">
        <v>15428</v>
      </c>
      <c r="B47" s="504"/>
      <c r="C47" s="504"/>
      <c r="D47" s="505"/>
      <c r="E47" s="471">
        <v>50100835</v>
      </c>
      <c r="F47" s="471">
        <v>4844770</v>
      </c>
      <c r="G47" s="472">
        <v>45256065</v>
      </c>
      <c r="H47" s="471">
        <v>40411295</v>
      </c>
      <c r="I47" s="473"/>
      <c r="J47" s="471">
        <v>40411295</v>
      </c>
      <c r="K47" s="471">
        <v>10602392</v>
      </c>
      <c r="L47" s="471">
        <v>13996750</v>
      </c>
      <c r="M47" s="471">
        <v>13996750</v>
      </c>
      <c r="N47" s="473"/>
      <c r="O47" s="473"/>
      <c r="P47" s="474"/>
      <c r="Q47" s="468" t="e">
        <f>SUM(#REF!)</f>
        <v>#REF!</v>
      </c>
    </row>
    <row r="48" spans="1:18" ht="20.100000000000001" customHeight="1">
      <c r="A48" s="506" t="s">
        <v>15429</v>
      </c>
      <c r="B48" s="480"/>
      <c r="C48" s="462"/>
      <c r="D48" s="497"/>
      <c r="E48" s="471">
        <v>2587904</v>
      </c>
      <c r="F48" s="471">
        <v>0</v>
      </c>
      <c r="G48" s="472">
        <v>2587904</v>
      </c>
      <c r="H48" s="471">
        <v>2587904</v>
      </c>
      <c r="I48" s="474">
        <v>40188000</v>
      </c>
      <c r="J48" s="466">
        <v>2587904</v>
      </c>
      <c r="K48" s="466">
        <v>996343</v>
      </c>
      <c r="L48" s="465">
        <v>1627010</v>
      </c>
      <c r="M48" s="465">
        <v>1627010</v>
      </c>
      <c r="N48" s="467">
        <v>630667</v>
      </c>
      <c r="O48" s="466">
        <v>0</v>
      </c>
      <c r="P48" s="465"/>
      <c r="Q48" s="468" t="e">
        <f>SUM(#REF!)</f>
        <v>#REF!</v>
      </c>
      <c r="R48" s="475"/>
    </row>
    <row r="49" spans="1:17" ht="20.100000000000001" customHeight="1">
      <c r="A49" s="477"/>
      <c r="B49" s="470" t="s">
        <v>15430</v>
      </c>
      <c r="C49" s="470"/>
      <c r="D49" s="497"/>
      <c r="E49" s="474">
        <v>431068</v>
      </c>
      <c r="F49" s="474"/>
      <c r="G49" s="472">
        <v>431068</v>
      </c>
      <c r="H49" s="474">
        <v>431068</v>
      </c>
      <c r="I49" s="473"/>
      <c r="J49" s="473"/>
      <c r="K49" s="473"/>
      <c r="L49" s="473"/>
      <c r="M49" s="473"/>
      <c r="N49" s="473"/>
      <c r="O49" s="473"/>
      <c r="P49" s="474"/>
      <c r="Q49" s="468" t="e">
        <f>SUM(#REF!)</f>
        <v>#REF!</v>
      </c>
    </row>
    <row r="50" spans="1:17" ht="20.100000000000001" customHeight="1">
      <c r="A50" s="477"/>
      <c r="B50" s="507" t="s">
        <v>15431</v>
      </c>
      <c r="C50" s="470"/>
      <c r="D50" s="496"/>
      <c r="E50" s="471">
        <v>798828</v>
      </c>
      <c r="F50" s="471">
        <v>0</v>
      </c>
      <c r="G50" s="472">
        <v>798828</v>
      </c>
      <c r="H50" s="471">
        <v>798828</v>
      </c>
      <c r="I50" s="473"/>
      <c r="J50" s="473"/>
      <c r="K50" s="473"/>
      <c r="L50" s="473"/>
      <c r="M50" s="473"/>
      <c r="N50" s="473"/>
      <c r="O50" s="473"/>
      <c r="P50" s="474"/>
      <c r="Q50" s="468" t="e">
        <f>SUM(#REF!)</f>
        <v>#REF!</v>
      </c>
    </row>
    <row r="51" spans="1:17" ht="20.100000000000001" customHeight="1">
      <c r="A51" s="477"/>
      <c r="B51" s="508"/>
      <c r="C51" s="470" t="s">
        <v>15346</v>
      </c>
      <c r="D51" s="497"/>
      <c r="E51" s="474">
        <v>798828</v>
      </c>
      <c r="F51" s="474"/>
      <c r="G51" s="472">
        <v>798828</v>
      </c>
      <c r="H51" s="474">
        <v>798828</v>
      </c>
      <c r="I51" s="473"/>
      <c r="J51" s="473"/>
      <c r="K51" s="473"/>
      <c r="L51" s="473"/>
      <c r="M51" s="473"/>
      <c r="N51" s="473"/>
      <c r="O51" s="473"/>
      <c r="P51" s="474"/>
      <c r="Q51" s="468"/>
    </row>
    <row r="52" spans="1:17" ht="20.100000000000001" customHeight="1">
      <c r="A52" s="477"/>
      <c r="B52" s="509"/>
      <c r="C52" s="470" t="s">
        <v>15347</v>
      </c>
      <c r="D52" s="497"/>
      <c r="E52" s="474"/>
      <c r="F52" s="474"/>
      <c r="G52" s="472">
        <v>0</v>
      </c>
      <c r="H52" s="474"/>
      <c r="I52" s="473"/>
      <c r="J52" s="473"/>
      <c r="K52" s="473"/>
      <c r="L52" s="473"/>
      <c r="M52" s="473"/>
      <c r="N52" s="473"/>
      <c r="O52" s="473"/>
      <c r="P52" s="474"/>
      <c r="Q52" s="468"/>
    </row>
    <row r="53" spans="1:17" ht="20.100000000000001" customHeight="1">
      <c r="A53" s="477"/>
      <c r="B53" s="470" t="s">
        <v>15432</v>
      </c>
      <c r="C53" s="470"/>
      <c r="D53" s="497"/>
      <c r="E53" s="474">
        <v>287579</v>
      </c>
      <c r="F53" s="474"/>
      <c r="G53" s="472">
        <v>287579</v>
      </c>
      <c r="H53" s="474">
        <v>287579</v>
      </c>
      <c r="I53" s="473"/>
      <c r="J53" s="473"/>
      <c r="K53" s="473"/>
      <c r="L53" s="473"/>
      <c r="M53" s="473"/>
      <c r="N53" s="473"/>
      <c r="O53" s="473"/>
      <c r="P53" s="474"/>
      <c r="Q53" s="468"/>
    </row>
    <row r="54" spans="1:17" ht="20.100000000000001" customHeight="1">
      <c r="A54" s="477"/>
      <c r="B54" s="470" t="s">
        <v>15433</v>
      </c>
      <c r="C54" s="470"/>
      <c r="D54" s="497"/>
      <c r="E54" s="474">
        <v>671015</v>
      </c>
      <c r="F54" s="474"/>
      <c r="G54" s="472">
        <v>671015</v>
      </c>
      <c r="H54" s="474">
        <v>671015</v>
      </c>
      <c r="I54" s="473"/>
      <c r="J54" s="473"/>
      <c r="K54" s="473"/>
      <c r="L54" s="473"/>
      <c r="M54" s="473"/>
      <c r="N54" s="473"/>
      <c r="O54" s="473"/>
      <c r="P54" s="474"/>
      <c r="Q54" s="468" t="e">
        <f>SUM(#REF!)</f>
        <v>#REF!</v>
      </c>
    </row>
    <row r="55" spans="1:17" ht="20.100000000000001" customHeight="1">
      <c r="A55" s="477"/>
      <c r="B55" s="462" t="s">
        <v>15434</v>
      </c>
      <c r="C55" s="462"/>
      <c r="D55" s="497"/>
      <c r="E55" s="474"/>
      <c r="F55" s="474"/>
      <c r="G55" s="472">
        <v>0</v>
      </c>
      <c r="H55" s="474"/>
      <c r="I55" s="473"/>
      <c r="J55" s="473"/>
      <c r="K55" s="473"/>
      <c r="L55" s="473"/>
      <c r="M55" s="473"/>
      <c r="N55" s="473"/>
      <c r="O55" s="473"/>
      <c r="P55" s="474"/>
      <c r="Q55" s="468"/>
    </row>
    <row r="56" spans="1:17" ht="20.100000000000001" customHeight="1">
      <c r="A56" s="486"/>
      <c r="B56" s="462" t="s">
        <v>15435</v>
      </c>
      <c r="C56" s="462"/>
      <c r="D56" s="497"/>
      <c r="E56" s="474">
        <v>399414</v>
      </c>
      <c r="F56" s="474"/>
      <c r="G56" s="472">
        <v>399414</v>
      </c>
      <c r="H56" s="474">
        <v>399414</v>
      </c>
      <c r="I56" s="473"/>
      <c r="J56" s="473"/>
      <c r="K56" s="473"/>
      <c r="L56" s="473"/>
      <c r="M56" s="473"/>
      <c r="N56" s="473"/>
      <c r="O56" s="473"/>
      <c r="P56" s="474"/>
      <c r="Q56" s="468" t="e">
        <f>SUM(#REF!)</f>
        <v>#REF!</v>
      </c>
    </row>
    <row r="57" spans="1:17" ht="20.100000000000001" customHeight="1">
      <c r="A57" s="503" t="s">
        <v>15436</v>
      </c>
      <c r="B57" s="504"/>
      <c r="C57" s="504"/>
      <c r="D57" s="505"/>
      <c r="E57" s="471">
        <v>52688739</v>
      </c>
      <c r="F57" s="510">
        <v>4844770</v>
      </c>
      <c r="G57" s="510">
        <v>47843969</v>
      </c>
      <c r="H57" s="510">
        <v>42999199</v>
      </c>
      <c r="I57" s="473"/>
      <c r="J57" s="471">
        <v>42999199</v>
      </c>
      <c r="K57" s="471">
        <v>11598735</v>
      </c>
      <c r="L57" s="471">
        <v>15623760</v>
      </c>
      <c r="M57" s="471">
        <v>15623760</v>
      </c>
      <c r="N57" s="467">
        <v>4025025</v>
      </c>
      <c r="O57" s="466">
        <v>0</v>
      </c>
      <c r="P57" s="511"/>
      <c r="Q57" s="468" t="e">
        <f>SUM(#REF!)</f>
        <v>#REF!</v>
      </c>
    </row>
    <row r="58" spans="1:17" ht="14.1" customHeight="1">
      <c r="A58" s="512"/>
      <c r="B58" s="512"/>
      <c r="C58" s="512"/>
      <c r="D58" s="512"/>
      <c r="E58" s="513"/>
      <c r="F58" s="513"/>
      <c r="G58" s="513"/>
      <c r="H58" s="513"/>
      <c r="I58" s="513"/>
      <c r="J58" s="513"/>
      <c r="K58" s="513"/>
      <c r="L58" s="513"/>
      <c r="M58" s="513"/>
      <c r="N58" s="513"/>
      <c r="O58" s="513"/>
    </row>
    <row r="59" spans="1:17" ht="14.1" customHeight="1">
      <c r="A59" s="514" t="s">
        <v>15041</v>
      </c>
      <c r="B59" s="514"/>
      <c r="C59" s="515" t="s">
        <v>15353</v>
      </c>
      <c r="G59" s="516"/>
      <c r="H59" s="516"/>
      <c r="I59" s="516"/>
      <c r="J59" s="421" t="s">
        <v>14938</v>
      </c>
      <c r="K59" s="421"/>
      <c r="L59" s="517" t="s">
        <v>14939</v>
      </c>
      <c r="M59" s="517"/>
    </row>
    <row r="60" spans="1:17" ht="14.1" customHeight="1">
      <c r="A60" s="518"/>
      <c r="B60" s="518"/>
      <c r="C60" s="434" t="s">
        <v>15354</v>
      </c>
      <c r="D60" s="519"/>
      <c r="E60" s="520"/>
      <c r="F60" s="520"/>
      <c r="G60" s="520"/>
      <c r="H60" s="520"/>
      <c r="I60" s="520"/>
      <c r="J60" s="521" t="s">
        <v>14969</v>
      </c>
      <c r="K60" s="522"/>
      <c r="L60" s="523" t="s">
        <v>14969</v>
      </c>
      <c r="M60" s="524"/>
      <c r="N60" s="520"/>
    </row>
    <row r="61" spans="1:17" ht="14.1" customHeight="1">
      <c r="A61" s="518"/>
      <c r="B61" s="518"/>
      <c r="C61" s="515" t="s">
        <v>15355</v>
      </c>
      <c r="J61" s="421" t="s">
        <v>1793</v>
      </c>
      <c r="K61" s="421"/>
      <c r="L61" s="525" t="s">
        <v>15264</v>
      </c>
      <c r="M61" s="526"/>
    </row>
    <row r="62" spans="1:17" ht="14.1" customHeight="1">
      <c r="A62" s="518"/>
      <c r="B62" s="518"/>
      <c r="C62" s="515" t="s">
        <v>15437</v>
      </c>
      <c r="D62" s="512"/>
      <c r="F62" s="527"/>
      <c r="J62" s="528" t="s">
        <v>15047</v>
      </c>
      <c r="K62" s="528"/>
      <c r="L62" s="529" t="s">
        <v>15438</v>
      </c>
      <c r="M62" s="530"/>
    </row>
    <row r="63" spans="1:17" ht="14.1" customHeight="1">
      <c r="A63" s="518"/>
      <c r="B63" s="518"/>
      <c r="C63" s="434" t="s">
        <v>15439</v>
      </c>
      <c r="F63" s="527"/>
      <c r="J63" s="421" t="s">
        <v>15440</v>
      </c>
      <c r="K63" s="421"/>
      <c r="L63" s="525" t="s">
        <v>15271</v>
      </c>
      <c r="M63" s="531"/>
    </row>
    <row r="64" spans="1:17" ht="14.1" customHeight="1">
      <c r="A64" s="518"/>
      <c r="B64" s="518"/>
      <c r="C64" s="434" t="s">
        <v>15441</v>
      </c>
      <c r="F64" s="527"/>
      <c r="J64" s="528" t="s">
        <v>14979</v>
      </c>
      <c r="K64" s="528"/>
      <c r="L64" s="529" t="s">
        <v>14979</v>
      </c>
      <c r="M64" s="530"/>
      <c r="O64" s="532" t="s">
        <v>15035</v>
      </c>
      <c r="P64" s="533" t="s">
        <v>15442</v>
      </c>
    </row>
    <row r="65" spans="1:16" ht="14.1" customHeight="1">
      <c r="A65" s="512"/>
      <c r="B65" s="512"/>
      <c r="C65" s="515" t="s">
        <v>15359</v>
      </c>
      <c r="E65" s="527"/>
      <c r="J65" s="421" t="s">
        <v>1553</v>
      </c>
      <c r="K65" s="421"/>
      <c r="L65" s="525" t="s">
        <v>15271</v>
      </c>
      <c r="M65" s="531"/>
      <c r="O65" s="532" t="s">
        <v>14931</v>
      </c>
      <c r="P65" s="533">
        <v>7</v>
      </c>
    </row>
    <row r="66" spans="1:16" ht="14.1" customHeight="1">
      <c r="A66" s="512"/>
      <c r="B66" s="512"/>
      <c r="C66" s="534" t="s">
        <v>15443</v>
      </c>
      <c r="D66" s="512"/>
      <c r="E66" s="527"/>
      <c r="J66" s="516"/>
      <c r="K66" s="516"/>
      <c r="M66" s="516"/>
      <c r="O66" s="532" t="s">
        <v>14930</v>
      </c>
      <c r="P66" s="533">
        <v>522</v>
      </c>
    </row>
    <row r="67" spans="1:16" ht="14.1" customHeight="1">
      <c r="A67" s="512"/>
      <c r="B67" s="512"/>
      <c r="C67" s="534" t="s">
        <v>15361</v>
      </c>
      <c r="D67" s="512"/>
      <c r="E67" s="527"/>
      <c r="K67" s="516"/>
      <c r="L67" s="517" t="s">
        <v>14990</v>
      </c>
      <c r="M67" s="517"/>
      <c r="O67" s="532" t="s">
        <v>14932</v>
      </c>
      <c r="P67" s="533">
        <v>6</v>
      </c>
    </row>
    <row r="68" spans="1:16" ht="14.1" customHeight="1">
      <c r="J68" s="516"/>
      <c r="K68" s="516"/>
      <c r="L68" s="535" t="s">
        <v>14992</v>
      </c>
      <c r="M68" s="536"/>
    </row>
    <row r="69" spans="1:16">
      <c r="F69" s="537"/>
      <c r="J69" s="516"/>
      <c r="K69" s="516"/>
      <c r="L69" s="538">
        <v>25555269</v>
      </c>
      <c r="M69" s="524" t="s">
        <v>14943</v>
      </c>
    </row>
    <row r="70" spans="1:16">
      <c r="F70" s="537"/>
      <c r="J70" s="516"/>
      <c r="K70" s="516"/>
      <c r="L70" s="523" t="s">
        <v>14997</v>
      </c>
      <c r="M70" s="524"/>
    </row>
    <row r="71" spans="1:16">
      <c r="F71" s="537"/>
      <c r="J71" s="516"/>
      <c r="K71" s="516"/>
      <c r="L71" s="538">
        <v>2085000</v>
      </c>
      <c r="M71" s="524" t="s">
        <v>14943</v>
      </c>
    </row>
    <row r="72" spans="1:16">
      <c r="K72" s="539"/>
      <c r="L72" s="539"/>
    </row>
    <row r="73" spans="1:16" ht="15.75">
      <c r="L73" s="540"/>
      <c r="M73" s="540"/>
    </row>
    <row r="74" spans="1:16" ht="15.75">
      <c r="K74" s="541"/>
      <c r="L74" s="540"/>
    </row>
    <row r="75" spans="1:16" ht="15.75">
      <c r="L75" s="540"/>
      <c r="M75" s="540"/>
    </row>
  </sheetData>
  <mergeCells count="24">
    <mergeCell ref="L67:M67"/>
    <mergeCell ref="L68:M68"/>
    <mergeCell ref="K72:L72"/>
    <mergeCell ref="L73:M73"/>
    <mergeCell ref="K74:L74"/>
    <mergeCell ref="L75:M75"/>
    <mergeCell ref="J62:K62"/>
    <mergeCell ref="L62:M62"/>
    <mergeCell ref="J63:K63"/>
    <mergeCell ref="J64:K64"/>
    <mergeCell ref="L64:M64"/>
    <mergeCell ref="J65:K65"/>
    <mergeCell ref="A57:D57"/>
    <mergeCell ref="A59:B59"/>
    <mergeCell ref="J59:K59"/>
    <mergeCell ref="L59:M59"/>
    <mergeCell ref="J60:K60"/>
    <mergeCell ref="J61:K61"/>
    <mergeCell ref="A2:P2"/>
    <mergeCell ref="A4:D5"/>
    <mergeCell ref="N4:O4"/>
    <mergeCell ref="B36:D36"/>
    <mergeCell ref="A47:D47"/>
    <mergeCell ref="B51:B52"/>
  </mergeCells>
  <phoneticPr fontId="3"/>
  <dataValidations count="4">
    <dataValidation type="list" allowBlank="1" showInputMessage="1" showErrorMessage="1" sqref="J61:K61" xr:uid="{97071215-2053-4620-A040-1F14AC27A1C6}">
      <formula1>"①原則の上限,②選択可能な計算式,③特例(イ),④特例(ロ),⑤個別協議"</formula1>
    </dataValidation>
    <dataValidation type="list" allowBlank="1" showInputMessage="1" showErrorMessage="1" sqref="J63:K63" xr:uid="{A5A7B738-57BD-4E7A-AAB5-32B892BE5344}">
      <formula1>"①原則の上限式,②特例の上限式"</formula1>
    </dataValidation>
    <dataValidation type="list" allowBlank="1" showInputMessage="1" showErrorMessage="1" sqref="J65:K65" xr:uid="{7D894643-0E9F-4B5C-927B-8D668B8713E5}">
      <formula1>"①標準額,②個別協議"</formula1>
    </dataValidation>
    <dataValidation type="list" allowBlank="1" showInputMessage="1" showErrorMessage="1" sqref="L61 L63 L65" xr:uid="{3CC360D3-A423-45AD-B0EC-5800768EA74F}">
      <formula1>"○,×"</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F2EA5-4E2A-4F12-A978-6BA601D79ABF}">
  <sheetPr>
    <tabColor theme="9" tint="0.59999389629810485"/>
  </sheetPr>
  <dimension ref="B1:U77"/>
  <sheetViews>
    <sheetView workbookViewId="0">
      <selection activeCell="G16" sqref="G16"/>
    </sheetView>
  </sheetViews>
  <sheetFormatPr defaultColWidth="8" defaultRowHeight="13.5"/>
  <cols>
    <col min="1" max="1" width="1" style="71" customWidth="1"/>
    <col min="2" max="4" width="2.88671875" style="72" customWidth="1"/>
    <col min="5" max="5" width="40" style="72" customWidth="1"/>
    <col min="6" max="6" width="16.109375" style="72" customWidth="1"/>
    <col min="7" max="9" width="14.5546875" style="72" customWidth="1"/>
    <col min="10" max="17" width="16.109375" style="72" customWidth="1"/>
    <col min="18" max="18" width="2.6640625" style="71" customWidth="1"/>
    <col min="19" max="19" width="16.44140625" style="71" bestFit="1" customWidth="1"/>
    <col min="20" max="20" width="14.77734375" style="71" customWidth="1"/>
    <col min="21" max="16384" width="8" style="71"/>
  </cols>
  <sheetData>
    <row r="1" spans="2:20" ht="14.25" customHeight="1">
      <c r="B1" s="72" t="s">
        <v>14946</v>
      </c>
    </row>
    <row r="2" spans="2:20" ht="14.25" customHeight="1">
      <c r="S2" s="201"/>
      <c r="T2" s="201"/>
    </row>
    <row r="3" spans="2:20" ht="22.5" customHeight="1">
      <c r="B3" s="387" t="s">
        <v>15367</v>
      </c>
      <c r="C3" s="387"/>
      <c r="D3" s="387"/>
      <c r="E3" s="387"/>
      <c r="F3" s="387"/>
      <c r="G3" s="387"/>
      <c r="H3" s="387"/>
      <c r="I3" s="387"/>
      <c r="J3" s="387"/>
      <c r="K3" s="387"/>
      <c r="L3" s="387"/>
      <c r="M3" s="387"/>
      <c r="N3" s="387"/>
      <c r="O3" s="387"/>
      <c r="P3" s="387"/>
      <c r="Q3" s="387"/>
    </row>
    <row r="4" spans="2:20" ht="14.1" customHeight="1"/>
    <row r="5" spans="2:20" ht="34.5" customHeight="1">
      <c r="B5" s="388" t="s">
        <v>14948</v>
      </c>
      <c r="C5" s="389"/>
      <c r="D5" s="389"/>
      <c r="E5" s="390"/>
      <c r="F5" s="328" t="s">
        <v>14934</v>
      </c>
      <c r="G5" s="328" t="s">
        <v>14949</v>
      </c>
      <c r="H5" s="328" t="s">
        <v>14935</v>
      </c>
      <c r="I5" s="328" t="s">
        <v>15298</v>
      </c>
      <c r="J5" s="331" t="s">
        <v>14936</v>
      </c>
      <c r="K5" s="330" t="s">
        <v>14937</v>
      </c>
      <c r="L5" s="330" t="s">
        <v>14950</v>
      </c>
      <c r="M5" s="330" t="s">
        <v>14951</v>
      </c>
      <c r="N5" s="330" t="s">
        <v>14952</v>
      </c>
      <c r="O5" s="388" t="s">
        <v>14953</v>
      </c>
      <c r="P5" s="390"/>
      <c r="Q5" s="84" t="s">
        <v>14954</v>
      </c>
    </row>
    <row r="6" spans="2:20" ht="14.25" customHeight="1">
      <c r="B6" s="391"/>
      <c r="C6" s="392"/>
      <c r="D6" s="392"/>
      <c r="E6" s="393"/>
      <c r="F6" s="88" t="s">
        <v>14955</v>
      </c>
      <c r="G6" s="88" t="s">
        <v>14956</v>
      </c>
      <c r="H6" s="88" t="s">
        <v>14957</v>
      </c>
      <c r="I6" s="88" t="s">
        <v>14958</v>
      </c>
      <c r="J6" s="332" t="s">
        <v>14940</v>
      </c>
      <c r="K6" s="90" t="s">
        <v>14941</v>
      </c>
      <c r="L6" s="90" t="s">
        <v>14945</v>
      </c>
      <c r="M6" s="90" t="s">
        <v>14959</v>
      </c>
      <c r="N6" s="90" t="s">
        <v>14960</v>
      </c>
      <c r="O6" s="92" t="s">
        <v>14961</v>
      </c>
      <c r="P6" s="93" t="s">
        <v>14962</v>
      </c>
      <c r="Q6" s="111"/>
    </row>
    <row r="7" spans="2:20" ht="16.5" customHeight="1">
      <c r="B7" s="159"/>
      <c r="F7" s="98" t="s">
        <v>14963</v>
      </c>
      <c r="G7" s="98" t="s">
        <v>14963</v>
      </c>
      <c r="H7" s="98" t="s">
        <v>14963</v>
      </c>
      <c r="I7" s="98" t="s">
        <v>14963</v>
      </c>
      <c r="J7" s="333" t="s">
        <v>14963</v>
      </c>
      <c r="K7" s="98" t="s">
        <v>14963</v>
      </c>
      <c r="L7" s="101" t="s">
        <v>14963</v>
      </c>
      <c r="M7" s="101" t="s">
        <v>14963</v>
      </c>
      <c r="N7" s="101" t="s">
        <v>14963</v>
      </c>
      <c r="O7" s="101" t="s">
        <v>14963</v>
      </c>
      <c r="P7" s="101" t="s">
        <v>14963</v>
      </c>
      <c r="Q7" s="334"/>
    </row>
    <row r="8" spans="2:20" ht="16.5" customHeight="1">
      <c r="B8" s="159" t="s">
        <v>15261</v>
      </c>
      <c r="C8" s="103"/>
      <c r="D8" s="103"/>
      <c r="E8" s="103"/>
      <c r="F8" s="106">
        <v>32312660</v>
      </c>
      <c r="G8" s="106">
        <v>0</v>
      </c>
      <c r="H8" s="106">
        <v>32312660</v>
      </c>
      <c r="I8" s="106">
        <v>32312660</v>
      </c>
      <c r="J8" s="336">
        <v>32312660</v>
      </c>
      <c r="K8" s="108">
        <v>32312660</v>
      </c>
      <c r="L8" s="108">
        <v>6462532</v>
      </c>
      <c r="M8" s="336">
        <v>5737800</v>
      </c>
      <c r="N8" s="336">
        <v>5737800</v>
      </c>
      <c r="O8" s="335">
        <v>0</v>
      </c>
      <c r="P8" s="108">
        <v>-724732</v>
      </c>
      <c r="Q8" s="336"/>
    </row>
    <row r="9" spans="2:20" ht="16.5" customHeight="1">
      <c r="B9" s="159"/>
      <c r="C9" s="337" t="s">
        <v>15021</v>
      </c>
      <c r="D9" s="115" t="s">
        <v>15299</v>
      </c>
      <c r="E9" s="115"/>
      <c r="F9" s="118">
        <v>4917222</v>
      </c>
      <c r="G9" s="118">
        <v>0</v>
      </c>
      <c r="H9" s="106">
        <v>4917222</v>
      </c>
      <c r="I9" s="118">
        <v>4917222</v>
      </c>
      <c r="J9" s="120"/>
      <c r="K9" s="120"/>
      <c r="L9" s="120"/>
      <c r="M9" s="120"/>
      <c r="N9" s="120"/>
      <c r="O9" s="120"/>
      <c r="P9" s="120"/>
      <c r="Q9" s="338"/>
    </row>
    <row r="10" spans="2:20" ht="16.5" customHeight="1">
      <c r="B10" s="339"/>
      <c r="C10" s="160"/>
      <c r="D10" s="324" t="s">
        <v>15300</v>
      </c>
      <c r="E10" s="325" t="s">
        <v>15301</v>
      </c>
      <c r="F10" s="338">
        <v>3315222</v>
      </c>
      <c r="G10" s="338">
        <v>0</v>
      </c>
      <c r="H10" s="106">
        <v>3315222</v>
      </c>
      <c r="I10" s="338">
        <v>3315222</v>
      </c>
      <c r="J10" s="120"/>
      <c r="K10" s="120"/>
      <c r="L10" s="120"/>
      <c r="M10" s="120"/>
      <c r="N10" s="120"/>
      <c r="O10" s="120"/>
      <c r="P10" s="120"/>
      <c r="Q10" s="338"/>
    </row>
    <row r="11" spans="2:20" ht="16.5" customHeight="1">
      <c r="B11" s="339"/>
      <c r="C11" s="160"/>
      <c r="D11" s="105" t="s">
        <v>15302</v>
      </c>
      <c r="E11" s="103" t="s">
        <v>15303</v>
      </c>
      <c r="F11" s="338">
        <v>0</v>
      </c>
      <c r="G11" s="338">
        <v>0</v>
      </c>
      <c r="H11" s="106">
        <v>0</v>
      </c>
      <c r="I11" s="338">
        <v>0</v>
      </c>
      <c r="J11" s="120"/>
      <c r="K11" s="120"/>
      <c r="L11" s="120"/>
      <c r="M11" s="120"/>
      <c r="N11" s="120"/>
      <c r="O11" s="120"/>
      <c r="P11" s="120"/>
      <c r="Q11" s="338"/>
    </row>
    <row r="12" spans="2:20" ht="16.5" customHeight="1">
      <c r="B12" s="339"/>
      <c r="C12" s="160"/>
      <c r="D12" s="324" t="s">
        <v>15304</v>
      </c>
      <c r="E12" s="103" t="s">
        <v>15305</v>
      </c>
      <c r="F12" s="338">
        <v>1602000</v>
      </c>
      <c r="G12" s="338">
        <v>0</v>
      </c>
      <c r="H12" s="106">
        <v>1602000</v>
      </c>
      <c r="I12" s="338">
        <v>1602000</v>
      </c>
      <c r="J12" s="120"/>
      <c r="K12" s="120"/>
      <c r="L12" s="120"/>
      <c r="M12" s="120"/>
      <c r="N12" s="120"/>
      <c r="O12" s="120"/>
      <c r="P12" s="120"/>
      <c r="Q12" s="338"/>
    </row>
    <row r="13" spans="2:20" ht="16.5" customHeight="1">
      <c r="B13" s="339"/>
      <c r="C13" s="339"/>
      <c r="D13" s="324" t="s">
        <v>15306</v>
      </c>
      <c r="E13" s="103" t="s">
        <v>15307</v>
      </c>
      <c r="F13" s="338">
        <v>0</v>
      </c>
      <c r="G13" s="338">
        <v>0</v>
      </c>
      <c r="H13" s="106">
        <v>0</v>
      </c>
      <c r="I13" s="338">
        <v>0</v>
      </c>
      <c r="J13" s="120"/>
      <c r="K13" s="120"/>
      <c r="L13" s="120"/>
      <c r="M13" s="120"/>
      <c r="N13" s="120"/>
      <c r="O13" s="120"/>
      <c r="P13" s="120"/>
      <c r="Q13" s="338"/>
    </row>
    <row r="14" spans="2:20" ht="16.5" customHeight="1">
      <c r="B14" s="339"/>
      <c r="C14" s="339"/>
      <c r="D14" s="105" t="s">
        <v>15308</v>
      </c>
      <c r="E14" s="103" t="s">
        <v>15309</v>
      </c>
      <c r="F14" s="338">
        <v>0</v>
      </c>
      <c r="G14" s="338">
        <v>0</v>
      </c>
      <c r="H14" s="106">
        <v>0</v>
      </c>
      <c r="I14" s="338">
        <v>0</v>
      </c>
      <c r="J14" s="120"/>
      <c r="K14" s="120"/>
      <c r="L14" s="120"/>
      <c r="M14" s="120"/>
      <c r="N14" s="120"/>
      <c r="O14" s="120"/>
      <c r="P14" s="120"/>
      <c r="Q14" s="338"/>
    </row>
    <row r="15" spans="2:20" ht="16.5" customHeight="1">
      <c r="B15" s="339"/>
      <c r="C15" s="339"/>
      <c r="D15" s="105" t="s">
        <v>15310</v>
      </c>
      <c r="E15" s="103" t="s">
        <v>15311</v>
      </c>
      <c r="F15" s="338">
        <v>0</v>
      </c>
      <c r="G15" s="338">
        <v>0</v>
      </c>
      <c r="H15" s="106">
        <v>0</v>
      </c>
      <c r="I15" s="338">
        <v>0</v>
      </c>
      <c r="J15" s="120"/>
      <c r="K15" s="120"/>
      <c r="L15" s="120"/>
      <c r="M15" s="120"/>
      <c r="N15" s="120"/>
      <c r="O15" s="120"/>
      <c r="P15" s="120"/>
      <c r="Q15" s="338"/>
    </row>
    <row r="16" spans="2:20" ht="16.5" customHeight="1">
      <c r="B16" s="339"/>
      <c r="C16" s="337" t="s">
        <v>15312</v>
      </c>
      <c r="D16" s="115" t="s">
        <v>15313</v>
      </c>
      <c r="E16" s="115"/>
      <c r="F16" s="118">
        <v>23267684</v>
      </c>
      <c r="G16" s="118">
        <v>0</v>
      </c>
      <c r="H16" s="106">
        <v>23267684</v>
      </c>
      <c r="I16" s="118">
        <v>23267684</v>
      </c>
      <c r="J16" s="120"/>
      <c r="K16" s="120"/>
      <c r="L16" s="120"/>
      <c r="M16" s="120"/>
      <c r="N16" s="120"/>
      <c r="O16" s="120"/>
      <c r="P16" s="120"/>
      <c r="Q16" s="338"/>
    </row>
    <row r="17" spans="2:21" ht="16.5" customHeight="1">
      <c r="B17" s="339"/>
      <c r="C17" s="339"/>
      <c r="D17" s="135" t="s">
        <v>15300</v>
      </c>
      <c r="E17" s="325" t="s">
        <v>15314</v>
      </c>
      <c r="F17" s="338">
        <v>21847484</v>
      </c>
      <c r="G17" s="338">
        <v>0</v>
      </c>
      <c r="H17" s="106">
        <v>21847484</v>
      </c>
      <c r="I17" s="338">
        <v>21847484</v>
      </c>
      <c r="J17" s="120"/>
      <c r="K17" s="120"/>
      <c r="L17" s="120"/>
      <c r="M17" s="120"/>
      <c r="N17" s="120"/>
      <c r="O17" s="120"/>
      <c r="P17" s="120"/>
      <c r="Q17" s="338"/>
    </row>
    <row r="18" spans="2:21" ht="16.5" customHeight="1">
      <c r="B18" s="339"/>
      <c r="C18" s="339"/>
      <c r="D18" s="324" t="s">
        <v>15302</v>
      </c>
      <c r="E18" s="103" t="s">
        <v>15315</v>
      </c>
      <c r="F18" s="338">
        <v>0</v>
      </c>
      <c r="G18" s="338">
        <v>0</v>
      </c>
      <c r="H18" s="106">
        <v>0</v>
      </c>
      <c r="I18" s="338">
        <v>0</v>
      </c>
      <c r="J18" s="120"/>
      <c r="K18" s="120"/>
      <c r="L18" s="120"/>
      <c r="M18" s="120"/>
      <c r="N18" s="120"/>
      <c r="O18" s="120"/>
      <c r="P18" s="120"/>
      <c r="Q18" s="338"/>
    </row>
    <row r="19" spans="2:21" ht="16.5" customHeight="1">
      <c r="B19" s="339"/>
      <c r="C19" s="339"/>
      <c r="D19" s="105" t="s">
        <v>15304</v>
      </c>
      <c r="E19" s="103" t="s">
        <v>15316</v>
      </c>
      <c r="F19" s="338">
        <v>1420200</v>
      </c>
      <c r="G19" s="338">
        <v>0</v>
      </c>
      <c r="H19" s="106">
        <v>1420200</v>
      </c>
      <c r="I19" s="338">
        <v>1420200</v>
      </c>
      <c r="J19" s="120"/>
      <c r="K19" s="120"/>
      <c r="L19" s="120"/>
      <c r="M19" s="120"/>
      <c r="N19" s="120"/>
      <c r="O19" s="120"/>
      <c r="P19" s="120"/>
      <c r="Q19" s="338"/>
      <c r="U19" s="340"/>
    </row>
    <row r="20" spans="2:21" ht="16.5" customHeight="1">
      <c r="B20" s="339"/>
      <c r="C20" s="160"/>
      <c r="D20" s="324" t="s">
        <v>15306</v>
      </c>
      <c r="E20" s="103" t="s">
        <v>15317</v>
      </c>
      <c r="F20" s="338">
        <v>0</v>
      </c>
      <c r="G20" s="338">
        <v>0</v>
      </c>
      <c r="H20" s="106">
        <v>0</v>
      </c>
      <c r="I20" s="338">
        <v>0</v>
      </c>
      <c r="J20" s="120"/>
      <c r="K20" s="120"/>
      <c r="L20" s="120"/>
      <c r="M20" s="120"/>
      <c r="N20" s="120"/>
      <c r="O20" s="120"/>
      <c r="P20" s="120"/>
      <c r="Q20" s="338"/>
    </row>
    <row r="21" spans="2:21" ht="16.5" customHeight="1">
      <c r="B21" s="339"/>
      <c r="C21" s="341"/>
      <c r="D21" s="324" t="s">
        <v>15308</v>
      </c>
      <c r="E21" s="103" t="s">
        <v>15311</v>
      </c>
      <c r="F21" s="338">
        <v>0</v>
      </c>
      <c r="G21" s="338">
        <v>0</v>
      </c>
      <c r="H21" s="106">
        <v>0</v>
      </c>
      <c r="I21" s="338">
        <v>0</v>
      </c>
      <c r="J21" s="120"/>
      <c r="K21" s="120"/>
      <c r="L21" s="120"/>
      <c r="M21" s="120"/>
      <c r="N21" s="120"/>
      <c r="O21" s="120"/>
      <c r="P21" s="120"/>
      <c r="Q21" s="338"/>
    </row>
    <row r="22" spans="2:21" ht="16.5" customHeight="1">
      <c r="B22" s="339"/>
      <c r="C22" s="337" t="s">
        <v>15032</v>
      </c>
      <c r="D22" s="115" t="s">
        <v>15318</v>
      </c>
      <c r="E22" s="115"/>
      <c r="F22" s="118">
        <v>0</v>
      </c>
      <c r="G22" s="118">
        <v>0</v>
      </c>
      <c r="H22" s="106">
        <v>0</v>
      </c>
      <c r="I22" s="118">
        <v>0</v>
      </c>
      <c r="J22" s="120"/>
      <c r="K22" s="120"/>
      <c r="L22" s="120"/>
      <c r="M22" s="120"/>
      <c r="N22" s="120"/>
      <c r="O22" s="120"/>
      <c r="P22" s="120"/>
      <c r="Q22" s="338"/>
    </row>
    <row r="23" spans="2:21" ht="16.5" customHeight="1">
      <c r="B23" s="339"/>
      <c r="C23" s="339"/>
      <c r="D23" s="135" t="s">
        <v>15300</v>
      </c>
      <c r="E23" s="115" t="s">
        <v>15319</v>
      </c>
      <c r="F23" s="338">
        <v>0</v>
      </c>
      <c r="G23" s="338">
        <v>0</v>
      </c>
      <c r="H23" s="106">
        <v>0</v>
      </c>
      <c r="I23" s="338">
        <v>0</v>
      </c>
      <c r="J23" s="120"/>
      <c r="K23" s="120"/>
      <c r="L23" s="120"/>
      <c r="M23" s="120"/>
      <c r="N23" s="120"/>
      <c r="O23" s="120"/>
      <c r="P23" s="120"/>
      <c r="Q23" s="338"/>
    </row>
    <row r="24" spans="2:21" ht="16.5" customHeight="1">
      <c r="B24" s="339"/>
      <c r="C24" s="339"/>
      <c r="D24" s="105" t="s">
        <v>15302</v>
      </c>
      <c r="E24" s="103" t="s">
        <v>15320</v>
      </c>
      <c r="F24" s="338">
        <v>0</v>
      </c>
      <c r="G24" s="338">
        <v>0</v>
      </c>
      <c r="H24" s="106">
        <v>0</v>
      </c>
      <c r="I24" s="338">
        <v>0</v>
      </c>
      <c r="J24" s="120"/>
      <c r="K24" s="120"/>
      <c r="L24" s="120"/>
      <c r="M24" s="120"/>
      <c r="N24" s="120"/>
      <c r="O24" s="120"/>
      <c r="P24" s="120"/>
      <c r="Q24" s="338"/>
    </row>
    <row r="25" spans="2:21" ht="16.5" customHeight="1">
      <c r="B25" s="339"/>
      <c r="C25" s="339"/>
      <c r="D25" s="105" t="s">
        <v>15304</v>
      </c>
      <c r="E25" s="141" t="s">
        <v>15321</v>
      </c>
      <c r="F25" s="338">
        <v>0</v>
      </c>
      <c r="G25" s="338">
        <v>0</v>
      </c>
      <c r="H25" s="106">
        <v>0</v>
      </c>
      <c r="I25" s="338">
        <v>0</v>
      </c>
      <c r="J25" s="120"/>
      <c r="K25" s="120"/>
      <c r="L25" s="120"/>
      <c r="M25" s="120"/>
      <c r="N25" s="120"/>
      <c r="O25" s="120"/>
      <c r="P25" s="120"/>
      <c r="Q25" s="338"/>
    </row>
    <row r="26" spans="2:21" ht="16.5" customHeight="1">
      <c r="B26" s="339"/>
      <c r="C26" s="167"/>
      <c r="D26" s="324" t="s">
        <v>15306</v>
      </c>
      <c r="E26" s="103" t="s">
        <v>15311</v>
      </c>
      <c r="F26" s="338">
        <v>0</v>
      </c>
      <c r="G26" s="338">
        <v>0</v>
      </c>
      <c r="H26" s="106">
        <v>0</v>
      </c>
      <c r="I26" s="338">
        <v>0</v>
      </c>
      <c r="J26" s="120"/>
      <c r="K26" s="120"/>
      <c r="L26" s="120"/>
      <c r="M26" s="120"/>
      <c r="N26" s="120"/>
      <c r="O26" s="120"/>
      <c r="P26" s="120"/>
      <c r="Q26" s="338"/>
    </row>
    <row r="27" spans="2:21" ht="16.5" customHeight="1">
      <c r="B27" s="160"/>
      <c r="C27" s="337" t="s">
        <v>15322</v>
      </c>
      <c r="D27" s="115" t="s">
        <v>15323</v>
      </c>
      <c r="E27" s="115"/>
      <c r="F27" s="338">
        <v>2827450</v>
      </c>
      <c r="G27" s="338">
        <v>0</v>
      </c>
      <c r="H27" s="106">
        <v>2827450</v>
      </c>
      <c r="I27" s="338">
        <v>2827450</v>
      </c>
      <c r="J27" s="120"/>
      <c r="K27" s="120"/>
      <c r="L27" s="120"/>
      <c r="M27" s="120"/>
      <c r="N27" s="120"/>
      <c r="O27" s="120"/>
      <c r="P27" s="120"/>
      <c r="Q27" s="338"/>
    </row>
    <row r="28" spans="2:21" ht="16.5" customHeight="1">
      <c r="B28" s="160"/>
      <c r="C28" s="342" t="s">
        <v>15324</v>
      </c>
      <c r="D28" s="115"/>
      <c r="E28" s="115"/>
      <c r="F28" s="338">
        <v>93933</v>
      </c>
      <c r="G28" s="338">
        <v>0</v>
      </c>
      <c r="H28" s="106">
        <v>93933</v>
      </c>
      <c r="I28" s="338">
        <v>93933</v>
      </c>
      <c r="J28" s="120"/>
      <c r="K28" s="120"/>
      <c r="L28" s="120"/>
      <c r="M28" s="120"/>
      <c r="N28" s="120"/>
      <c r="O28" s="120"/>
      <c r="P28" s="120"/>
      <c r="Q28" s="338"/>
    </row>
    <row r="29" spans="2:21" ht="16.5" customHeight="1">
      <c r="B29" s="160"/>
      <c r="C29" s="342" t="s">
        <v>15325</v>
      </c>
      <c r="D29" s="115"/>
      <c r="E29" s="115"/>
      <c r="F29" s="338">
        <v>617</v>
      </c>
      <c r="G29" s="338">
        <v>0</v>
      </c>
      <c r="H29" s="106">
        <v>617</v>
      </c>
      <c r="I29" s="338">
        <v>617</v>
      </c>
      <c r="J29" s="120"/>
      <c r="K29" s="120"/>
      <c r="L29" s="120"/>
      <c r="M29" s="120"/>
      <c r="N29" s="120"/>
      <c r="O29" s="120"/>
      <c r="P29" s="120"/>
      <c r="Q29" s="343"/>
    </row>
    <row r="30" spans="2:21" ht="16.5" customHeight="1">
      <c r="B30" s="339"/>
      <c r="C30" s="337" t="s">
        <v>15326</v>
      </c>
      <c r="D30" s="115" t="s">
        <v>15327</v>
      </c>
      <c r="E30" s="115"/>
      <c r="F30" s="118">
        <v>1205754</v>
      </c>
      <c r="G30" s="118">
        <v>0</v>
      </c>
      <c r="H30" s="106">
        <v>1205754</v>
      </c>
      <c r="I30" s="118">
        <v>1205754</v>
      </c>
      <c r="J30" s="120"/>
      <c r="K30" s="120"/>
      <c r="L30" s="120"/>
      <c r="M30" s="120"/>
      <c r="N30" s="120"/>
      <c r="O30" s="120"/>
      <c r="P30" s="120"/>
      <c r="Q30" s="338"/>
    </row>
    <row r="31" spans="2:21" ht="16.5" customHeight="1">
      <c r="B31" s="339"/>
      <c r="C31" s="339"/>
      <c r="D31" s="135" t="s">
        <v>15300</v>
      </c>
      <c r="E31" s="115" t="s">
        <v>15328</v>
      </c>
      <c r="F31" s="338">
        <v>0</v>
      </c>
      <c r="G31" s="338">
        <v>0</v>
      </c>
      <c r="H31" s="106">
        <v>0</v>
      </c>
      <c r="I31" s="338">
        <v>0</v>
      </c>
      <c r="J31" s="120"/>
      <c r="K31" s="120"/>
      <c r="L31" s="120"/>
      <c r="M31" s="120"/>
      <c r="N31" s="120"/>
      <c r="O31" s="120"/>
      <c r="P31" s="120"/>
      <c r="Q31" s="338"/>
    </row>
    <row r="32" spans="2:21" ht="16.5" customHeight="1">
      <c r="B32" s="339"/>
      <c r="C32" s="339"/>
      <c r="D32" s="105" t="s">
        <v>15302</v>
      </c>
      <c r="E32" s="103" t="s">
        <v>15329</v>
      </c>
      <c r="F32" s="338">
        <v>0</v>
      </c>
      <c r="G32" s="338">
        <v>0</v>
      </c>
      <c r="H32" s="106">
        <v>0</v>
      </c>
      <c r="I32" s="338">
        <v>0</v>
      </c>
      <c r="J32" s="120"/>
      <c r="K32" s="120"/>
      <c r="L32" s="120"/>
      <c r="M32" s="120"/>
      <c r="N32" s="120"/>
      <c r="O32" s="120"/>
      <c r="P32" s="120"/>
      <c r="Q32" s="338"/>
    </row>
    <row r="33" spans="2:17" ht="16.5" customHeight="1">
      <c r="B33" s="339"/>
      <c r="C33" s="339"/>
      <c r="D33" s="105" t="s">
        <v>15304</v>
      </c>
      <c r="E33" s="141" t="s">
        <v>15330</v>
      </c>
      <c r="F33" s="338">
        <v>1205754</v>
      </c>
      <c r="G33" s="338">
        <v>0</v>
      </c>
      <c r="H33" s="106">
        <v>1205754</v>
      </c>
      <c r="I33" s="338">
        <v>1205754</v>
      </c>
      <c r="J33" s="120"/>
      <c r="K33" s="120"/>
      <c r="L33" s="120"/>
      <c r="M33" s="120"/>
      <c r="N33" s="120"/>
      <c r="O33" s="120"/>
      <c r="P33" s="120"/>
      <c r="Q33" s="338"/>
    </row>
    <row r="34" spans="2:17" ht="16.5" customHeight="1">
      <c r="B34" s="339"/>
      <c r="C34" s="160"/>
      <c r="D34" s="105" t="s">
        <v>15306</v>
      </c>
      <c r="E34" s="141" t="s">
        <v>15006</v>
      </c>
      <c r="F34" s="338">
        <v>0</v>
      </c>
      <c r="G34" s="338">
        <v>0</v>
      </c>
      <c r="H34" s="106">
        <v>0</v>
      </c>
      <c r="I34" s="338">
        <v>0</v>
      </c>
      <c r="J34" s="120"/>
      <c r="K34" s="120"/>
      <c r="L34" s="120"/>
      <c r="M34" s="120"/>
      <c r="N34" s="120"/>
      <c r="O34" s="120"/>
      <c r="P34" s="120"/>
      <c r="Q34" s="338"/>
    </row>
    <row r="35" spans="2:17" ht="16.5" customHeight="1">
      <c r="B35" s="339"/>
      <c r="C35" s="341"/>
      <c r="D35" s="105" t="s">
        <v>15308</v>
      </c>
      <c r="E35" s="103" t="s">
        <v>15331</v>
      </c>
      <c r="F35" s="338">
        <v>0</v>
      </c>
      <c r="G35" s="338">
        <v>0</v>
      </c>
      <c r="H35" s="106">
        <v>0</v>
      </c>
      <c r="I35" s="338">
        <v>0</v>
      </c>
      <c r="J35" s="120"/>
      <c r="K35" s="120"/>
      <c r="L35" s="120"/>
      <c r="M35" s="120"/>
      <c r="N35" s="120"/>
      <c r="O35" s="120"/>
      <c r="P35" s="120"/>
      <c r="Q35" s="338"/>
    </row>
    <row r="36" spans="2:17" ht="16.5" customHeight="1">
      <c r="B36" s="342" t="s">
        <v>15262</v>
      </c>
      <c r="C36" s="344"/>
      <c r="F36" s="118">
        <v>26212935</v>
      </c>
      <c r="G36" s="118">
        <v>5366120</v>
      </c>
      <c r="H36" s="106">
        <v>20846815</v>
      </c>
      <c r="I36" s="118">
        <v>20846815</v>
      </c>
      <c r="J36" s="118">
        <v>23345168</v>
      </c>
      <c r="K36" s="108">
        <v>20846815</v>
      </c>
      <c r="L36" s="108">
        <v>8026023</v>
      </c>
      <c r="M36" s="336">
        <v>8752975</v>
      </c>
      <c r="N36" s="336">
        <v>8752975</v>
      </c>
      <c r="O36" s="335">
        <v>726952</v>
      </c>
      <c r="P36" s="108">
        <v>0</v>
      </c>
      <c r="Q36" s="338"/>
    </row>
    <row r="37" spans="2:17" ht="16.5" customHeight="1">
      <c r="B37" s="159"/>
      <c r="C37" s="375" t="s">
        <v>15332</v>
      </c>
      <c r="D37" s="394"/>
      <c r="E37" s="376"/>
      <c r="F37" s="118">
        <v>22953323</v>
      </c>
      <c r="G37" s="118">
        <v>5366120</v>
      </c>
      <c r="H37" s="106">
        <v>17587203</v>
      </c>
      <c r="I37" s="118">
        <v>17587203</v>
      </c>
      <c r="J37" s="120"/>
      <c r="K37" s="120"/>
      <c r="L37" s="120"/>
      <c r="M37" s="120"/>
      <c r="N37" s="120"/>
      <c r="O37" s="120"/>
      <c r="P37" s="120"/>
      <c r="Q37" s="338"/>
    </row>
    <row r="38" spans="2:17" ht="16.5" customHeight="1">
      <c r="B38" s="159"/>
      <c r="C38" s="342" t="s">
        <v>15333</v>
      </c>
      <c r="D38" s="345"/>
      <c r="E38" s="345"/>
      <c r="F38" s="118">
        <v>3259612</v>
      </c>
      <c r="G38" s="118">
        <v>0</v>
      </c>
      <c r="H38" s="106">
        <v>3259612</v>
      </c>
      <c r="I38" s="118">
        <v>3259612</v>
      </c>
      <c r="J38" s="120"/>
      <c r="K38" s="120"/>
      <c r="L38" s="120"/>
      <c r="M38" s="120"/>
      <c r="N38" s="120"/>
      <c r="O38" s="120"/>
      <c r="P38" s="120"/>
      <c r="Q38" s="338"/>
    </row>
    <row r="39" spans="2:17" ht="16.5" customHeight="1">
      <c r="B39" s="339"/>
      <c r="C39" s="159"/>
      <c r="D39" s="135" t="s">
        <v>15334</v>
      </c>
      <c r="E39" s="136"/>
      <c r="F39" s="338">
        <v>0</v>
      </c>
      <c r="G39" s="338">
        <v>0</v>
      </c>
      <c r="H39" s="106">
        <v>0</v>
      </c>
      <c r="I39" s="338">
        <v>0</v>
      </c>
      <c r="J39" s="120"/>
      <c r="K39" s="120"/>
      <c r="L39" s="120"/>
      <c r="M39" s="120"/>
      <c r="N39" s="120"/>
      <c r="O39" s="120"/>
      <c r="P39" s="120"/>
      <c r="Q39" s="338"/>
    </row>
    <row r="40" spans="2:17" ht="16.5" customHeight="1">
      <c r="B40" s="339"/>
      <c r="C40" s="159"/>
      <c r="D40" s="105" t="s">
        <v>15335</v>
      </c>
      <c r="E40" s="164"/>
      <c r="F40" s="338">
        <v>3259612</v>
      </c>
      <c r="G40" s="338">
        <v>0</v>
      </c>
      <c r="H40" s="106">
        <v>3259612</v>
      </c>
      <c r="I40" s="338">
        <v>3259612</v>
      </c>
      <c r="J40" s="120"/>
      <c r="K40" s="120"/>
      <c r="L40" s="120"/>
      <c r="M40" s="120"/>
      <c r="N40" s="120"/>
      <c r="O40" s="120"/>
      <c r="P40" s="120"/>
      <c r="Q40" s="338"/>
    </row>
    <row r="41" spans="2:17" ht="16.5" customHeight="1">
      <c r="B41" s="339"/>
      <c r="C41" s="159"/>
      <c r="D41" s="342" t="s">
        <v>15336</v>
      </c>
      <c r="E41" s="136"/>
      <c r="F41" s="118">
        <v>0</v>
      </c>
      <c r="G41" s="118">
        <v>0</v>
      </c>
      <c r="H41" s="106">
        <v>0</v>
      </c>
      <c r="I41" s="118">
        <v>0</v>
      </c>
      <c r="J41" s="120"/>
      <c r="K41" s="120"/>
      <c r="L41" s="120"/>
      <c r="M41" s="120"/>
      <c r="N41" s="120"/>
      <c r="O41" s="120"/>
      <c r="P41" s="120"/>
      <c r="Q41" s="338"/>
    </row>
    <row r="42" spans="2:17" ht="16.5" customHeight="1">
      <c r="B42" s="339"/>
      <c r="C42" s="159"/>
      <c r="D42" s="159"/>
      <c r="E42" s="117" t="s">
        <v>15337</v>
      </c>
      <c r="F42" s="338">
        <v>0</v>
      </c>
      <c r="G42" s="338">
        <v>0</v>
      </c>
      <c r="H42" s="106">
        <v>0</v>
      </c>
      <c r="I42" s="338">
        <v>0</v>
      </c>
      <c r="J42" s="120"/>
      <c r="K42" s="120"/>
      <c r="L42" s="120"/>
      <c r="M42" s="120"/>
      <c r="N42" s="120"/>
      <c r="O42" s="120"/>
      <c r="P42" s="120"/>
      <c r="Q42" s="338"/>
    </row>
    <row r="43" spans="2:17" ht="16.5" customHeight="1">
      <c r="B43" s="339"/>
      <c r="C43" s="159"/>
      <c r="D43" s="159"/>
      <c r="E43" s="111" t="s">
        <v>15338</v>
      </c>
      <c r="F43" s="338">
        <v>0</v>
      </c>
      <c r="G43" s="338">
        <v>0</v>
      </c>
      <c r="H43" s="106">
        <v>0</v>
      </c>
      <c r="I43" s="338">
        <v>0</v>
      </c>
      <c r="J43" s="120"/>
      <c r="K43" s="120"/>
      <c r="L43" s="120"/>
      <c r="M43" s="120"/>
      <c r="N43" s="120"/>
      <c r="O43" s="120"/>
      <c r="P43" s="120"/>
      <c r="Q43" s="338"/>
    </row>
    <row r="44" spans="2:17" ht="16.5" customHeight="1">
      <c r="B44" s="339"/>
      <c r="C44" s="159"/>
      <c r="D44" s="159"/>
      <c r="E44" s="346" t="s">
        <v>15339</v>
      </c>
      <c r="F44" s="338">
        <v>0</v>
      </c>
      <c r="G44" s="338">
        <v>0</v>
      </c>
      <c r="H44" s="106">
        <v>0</v>
      </c>
      <c r="I44" s="338">
        <v>0</v>
      </c>
      <c r="J44" s="120"/>
      <c r="K44" s="120"/>
      <c r="L44" s="120"/>
      <c r="M44" s="120"/>
      <c r="N44" s="120"/>
      <c r="O44" s="120"/>
      <c r="P44" s="120"/>
      <c r="Q44" s="338"/>
    </row>
    <row r="45" spans="2:17" ht="16.5" customHeight="1">
      <c r="B45" s="339"/>
      <c r="C45" s="159"/>
      <c r="D45" s="159"/>
      <c r="E45" s="111" t="s">
        <v>15340</v>
      </c>
      <c r="F45" s="338">
        <v>0</v>
      </c>
      <c r="G45" s="338">
        <v>0</v>
      </c>
      <c r="H45" s="106">
        <v>0</v>
      </c>
      <c r="I45" s="338">
        <v>0</v>
      </c>
      <c r="J45" s="120"/>
      <c r="K45" s="120"/>
      <c r="L45" s="120"/>
      <c r="M45" s="120"/>
      <c r="N45" s="120"/>
      <c r="O45" s="120"/>
      <c r="P45" s="120"/>
      <c r="Q45" s="338"/>
    </row>
    <row r="46" spans="2:17" ht="16.5" customHeight="1">
      <c r="B46" s="339"/>
      <c r="C46" s="159"/>
      <c r="D46" s="159"/>
      <c r="E46" s="346" t="s">
        <v>15341</v>
      </c>
      <c r="F46" s="338">
        <v>0</v>
      </c>
      <c r="G46" s="338">
        <v>0</v>
      </c>
      <c r="H46" s="106">
        <v>0</v>
      </c>
      <c r="I46" s="338">
        <v>0</v>
      </c>
      <c r="J46" s="120"/>
      <c r="K46" s="120"/>
      <c r="L46" s="120"/>
      <c r="M46" s="120"/>
      <c r="N46" s="120"/>
      <c r="O46" s="120"/>
      <c r="P46" s="120"/>
      <c r="Q46" s="338"/>
    </row>
    <row r="47" spans="2:17" ht="16.5" customHeight="1">
      <c r="B47" s="160"/>
      <c r="C47" s="347"/>
      <c r="D47" s="347"/>
      <c r="E47" s="348" t="s">
        <v>15342</v>
      </c>
      <c r="F47" s="338">
        <v>0</v>
      </c>
      <c r="G47" s="338">
        <v>0</v>
      </c>
      <c r="H47" s="106">
        <v>0</v>
      </c>
      <c r="I47" s="338">
        <v>0</v>
      </c>
      <c r="J47" s="120"/>
      <c r="K47" s="120"/>
      <c r="L47" s="120"/>
      <c r="M47" s="120"/>
      <c r="N47" s="120"/>
      <c r="O47" s="120"/>
      <c r="P47" s="120"/>
      <c r="Q47" s="338"/>
    </row>
    <row r="48" spans="2:17" ht="16.5" customHeight="1">
      <c r="B48" s="395" t="s">
        <v>15343</v>
      </c>
      <c r="C48" s="395"/>
      <c r="D48" s="395"/>
      <c r="E48" s="395"/>
      <c r="F48" s="118">
        <v>58525595</v>
      </c>
      <c r="G48" s="118">
        <v>5366120</v>
      </c>
      <c r="H48" s="106">
        <v>53159475</v>
      </c>
      <c r="I48" s="118">
        <v>53159475</v>
      </c>
      <c r="J48" s="120"/>
      <c r="K48" s="118">
        <v>53159475</v>
      </c>
      <c r="L48" s="118">
        <v>14488555</v>
      </c>
      <c r="M48" s="118">
        <v>14490775</v>
      </c>
      <c r="N48" s="118">
        <v>14490775</v>
      </c>
      <c r="O48" s="120"/>
      <c r="P48" s="120"/>
      <c r="Q48" s="338"/>
    </row>
    <row r="49" spans="2:17" ht="16.5" customHeight="1">
      <c r="B49" s="158" t="s">
        <v>15019</v>
      </c>
      <c r="C49" s="105"/>
      <c r="D49" s="103"/>
      <c r="E49" s="164"/>
      <c r="F49" s="118">
        <v>2463748</v>
      </c>
      <c r="G49" s="118">
        <v>0</v>
      </c>
      <c r="H49" s="106">
        <v>2463748</v>
      </c>
      <c r="I49" s="118">
        <v>2463748</v>
      </c>
      <c r="J49" s="338">
        <v>40188000</v>
      </c>
      <c r="K49" s="108">
        <v>2463748</v>
      </c>
      <c r="L49" s="108">
        <v>948542</v>
      </c>
      <c r="M49" s="336">
        <v>1439515</v>
      </c>
      <c r="N49" s="336">
        <v>1439515</v>
      </c>
      <c r="O49" s="335">
        <v>490973</v>
      </c>
      <c r="P49" s="108">
        <v>0</v>
      </c>
      <c r="Q49" s="338"/>
    </row>
    <row r="50" spans="2:17" ht="16.5" customHeight="1">
      <c r="B50" s="160"/>
      <c r="C50" s="115" t="s">
        <v>15344</v>
      </c>
      <c r="D50" s="115"/>
      <c r="E50" s="164"/>
      <c r="F50" s="338">
        <v>856960</v>
      </c>
      <c r="G50" s="338">
        <v>0</v>
      </c>
      <c r="H50" s="106">
        <v>856960</v>
      </c>
      <c r="I50" s="338">
        <v>856960</v>
      </c>
      <c r="J50" s="120"/>
      <c r="K50" s="120"/>
      <c r="L50" s="120"/>
      <c r="M50" s="120"/>
      <c r="N50" s="120"/>
      <c r="O50" s="120"/>
      <c r="P50" s="120"/>
      <c r="Q50" s="338"/>
    </row>
    <row r="51" spans="2:17" ht="16.5" customHeight="1">
      <c r="B51" s="160"/>
      <c r="C51" s="342" t="s">
        <v>15345</v>
      </c>
      <c r="D51" s="115"/>
      <c r="E51" s="136"/>
      <c r="F51" s="118">
        <v>576061</v>
      </c>
      <c r="G51" s="118">
        <v>0</v>
      </c>
      <c r="H51" s="106">
        <v>576061</v>
      </c>
      <c r="I51" s="118">
        <v>576061</v>
      </c>
      <c r="J51" s="120"/>
      <c r="K51" s="120"/>
      <c r="L51" s="120"/>
      <c r="M51" s="120"/>
      <c r="N51" s="120"/>
      <c r="O51" s="120"/>
      <c r="P51" s="120"/>
      <c r="Q51" s="338"/>
    </row>
    <row r="52" spans="2:17" ht="20.100000000000001" customHeight="1">
      <c r="B52" s="160"/>
      <c r="C52" s="396"/>
      <c r="D52" s="135" t="s">
        <v>15346</v>
      </c>
      <c r="E52" s="164"/>
      <c r="F52" s="338">
        <v>576061</v>
      </c>
      <c r="G52" s="338">
        <v>0</v>
      </c>
      <c r="H52" s="106">
        <v>576061</v>
      </c>
      <c r="I52" s="338">
        <v>576061</v>
      </c>
      <c r="J52" s="120"/>
      <c r="K52" s="120"/>
      <c r="L52" s="120"/>
      <c r="M52" s="120"/>
      <c r="N52" s="120"/>
      <c r="O52" s="120"/>
      <c r="P52" s="120"/>
      <c r="Q52" s="338"/>
    </row>
    <row r="53" spans="2:17" ht="20.100000000000001" customHeight="1">
      <c r="B53" s="160"/>
      <c r="C53" s="397"/>
      <c r="D53" s="105" t="s">
        <v>15347</v>
      </c>
      <c r="E53" s="164"/>
      <c r="F53" s="338">
        <v>0</v>
      </c>
      <c r="G53" s="338">
        <v>0</v>
      </c>
      <c r="H53" s="106">
        <v>0</v>
      </c>
      <c r="I53" s="338">
        <v>0</v>
      </c>
      <c r="J53" s="120"/>
      <c r="K53" s="120"/>
      <c r="L53" s="120"/>
      <c r="M53" s="120"/>
      <c r="N53" s="120"/>
      <c r="O53" s="120"/>
      <c r="P53" s="120"/>
      <c r="Q53" s="338"/>
    </row>
    <row r="54" spans="2:17" ht="20.100000000000001" customHeight="1">
      <c r="B54" s="160"/>
      <c r="C54" s="103" t="s">
        <v>15348</v>
      </c>
      <c r="D54" s="103"/>
      <c r="E54" s="164"/>
      <c r="F54" s="338">
        <v>0</v>
      </c>
      <c r="G54" s="338">
        <v>0</v>
      </c>
      <c r="H54" s="106">
        <v>0</v>
      </c>
      <c r="I54" s="338">
        <v>0</v>
      </c>
      <c r="J54" s="120"/>
      <c r="K54" s="120"/>
      <c r="L54" s="120"/>
      <c r="M54" s="120"/>
      <c r="N54" s="120"/>
      <c r="O54" s="120"/>
      <c r="P54" s="120"/>
      <c r="Q54" s="338"/>
    </row>
    <row r="55" spans="2:17" ht="20.100000000000001" customHeight="1">
      <c r="B55" s="160"/>
      <c r="C55" s="115" t="s">
        <v>15349</v>
      </c>
      <c r="D55" s="115"/>
      <c r="E55" s="164"/>
      <c r="F55" s="338">
        <v>0</v>
      </c>
      <c r="G55" s="338">
        <v>0</v>
      </c>
      <c r="H55" s="106">
        <v>0</v>
      </c>
      <c r="I55" s="338">
        <v>0</v>
      </c>
      <c r="J55" s="120"/>
      <c r="K55" s="120"/>
      <c r="L55" s="120"/>
      <c r="M55" s="120"/>
      <c r="N55" s="120"/>
      <c r="O55" s="120"/>
      <c r="P55" s="120"/>
      <c r="Q55" s="349"/>
    </row>
    <row r="56" spans="2:17" ht="20.100000000000001" customHeight="1">
      <c r="B56" s="160"/>
      <c r="C56" s="115" t="s">
        <v>15350</v>
      </c>
      <c r="D56" s="115"/>
      <c r="E56" s="164"/>
      <c r="F56" s="338">
        <v>659002</v>
      </c>
      <c r="G56" s="338">
        <v>0</v>
      </c>
      <c r="H56" s="106">
        <v>659002</v>
      </c>
      <c r="I56" s="338">
        <v>659002</v>
      </c>
      <c r="J56" s="120"/>
      <c r="K56" s="120"/>
      <c r="L56" s="120"/>
      <c r="M56" s="120"/>
      <c r="N56" s="120"/>
      <c r="O56" s="120"/>
      <c r="P56" s="120"/>
      <c r="Q56" s="349"/>
    </row>
    <row r="57" spans="2:17" ht="20.100000000000001" customHeight="1">
      <c r="B57" s="167"/>
      <c r="C57" s="103" t="s">
        <v>15351</v>
      </c>
      <c r="D57" s="103"/>
      <c r="E57" s="136"/>
      <c r="F57" s="338">
        <v>371725</v>
      </c>
      <c r="G57" s="338">
        <v>0</v>
      </c>
      <c r="H57" s="106">
        <v>371725</v>
      </c>
      <c r="I57" s="338">
        <v>371725</v>
      </c>
      <c r="J57" s="120"/>
      <c r="K57" s="120"/>
      <c r="L57" s="120"/>
      <c r="M57" s="120"/>
      <c r="N57" s="120"/>
      <c r="O57" s="120"/>
      <c r="P57" s="120"/>
      <c r="Q57" s="349"/>
    </row>
    <row r="58" spans="2:17" ht="16.5" customHeight="1">
      <c r="B58" s="383" t="s">
        <v>15352</v>
      </c>
      <c r="C58" s="384"/>
      <c r="D58" s="384"/>
      <c r="E58" s="385"/>
      <c r="F58" s="118">
        <v>60989343</v>
      </c>
      <c r="G58" s="118">
        <v>5366120</v>
      </c>
      <c r="H58" s="106">
        <v>55623223</v>
      </c>
      <c r="I58" s="118">
        <v>55623223</v>
      </c>
      <c r="J58" s="120"/>
      <c r="K58" s="118">
        <v>55623223</v>
      </c>
      <c r="L58" s="118">
        <v>15437097</v>
      </c>
      <c r="M58" s="118">
        <v>15930290</v>
      </c>
      <c r="N58" s="118">
        <v>15930290</v>
      </c>
      <c r="O58" s="335">
        <v>493193</v>
      </c>
      <c r="P58" s="108">
        <v>0</v>
      </c>
      <c r="Q58" s="350"/>
    </row>
    <row r="59" spans="2:17" ht="16.5" customHeight="1">
      <c r="B59" s="85"/>
      <c r="C59" s="85"/>
      <c r="D59" s="85"/>
      <c r="E59" s="85"/>
      <c r="F59" s="174"/>
      <c r="G59" s="174"/>
      <c r="H59" s="174"/>
      <c r="I59" s="174"/>
      <c r="J59" s="174"/>
      <c r="K59" s="174"/>
      <c r="L59" s="174"/>
      <c r="M59" s="174"/>
      <c r="N59" s="174"/>
      <c r="O59" s="174"/>
      <c r="P59" s="174"/>
    </row>
    <row r="60" spans="2:17" ht="16.5" customHeight="1">
      <c r="B60" s="386" t="s">
        <v>15041</v>
      </c>
      <c r="C60" s="386"/>
      <c r="D60" s="351" t="s">
        <v>15353</v>
      </c>
      <c r="H60" s="352"/>
      <c r="I60" s="352"/>
      <c r="J60" s="352"/>
      <c r="K60" s="373" t="s">
        <v>14938</v>
      </c>
      <c r="L60" s="373"/>
      <c r="M60" s="373" t="s">
        <v>14939</v>
      </c>
      <c r="N60" s="373"/>
      <c r="P60" s="315" t="s">
        <v>15035</v>
      </c>
      <c r="Q60" s="353" t="str">
        <f>[1]初期設定!B8</f>
        <v>小野町</v>
      </c>
    </row>
    <row r="61" spans="2:17" ht="16.5" customHeight="1">
      <c r="B61" s="351"/>
      <c r="C61" s="351"/>
      <c r="D61" s="72" t="s">
        <v>15354</v>
      </c>
      <c r="E61" s="310"/>
      <c r="F61" s="310"/>
      <c r="G61" s="310"/>
      <c r="H61" s="310"/>
      <c r="I61" s="310"/>
      <c r="J61" s="310"/>
      <c r="K61" s="383" t="s">
        <v>14969</v>
      </c>
      <c r="L61" s="385"/>
      <c r="M61" s="135" t="s">
        <v>14969</v>
      </c>
      <c r="N61" s="136"/>
      <c r="O61" s="310"/>
      <c r="P61" s="315" t="s">
        <v>14931</v>
      </c>
      <c r="Q61" s="354" t="str">
        <f>[1]初期設定!B12</f>
        <v>07</v>
      </c>
    </row>
    <row r="62" spans="2:17" ht="16.5" customHeight="1">
      <c r="B62" s="351"/>
      <c r="C62" s="351"/>
      <c r="D62" s="351" t="s">
        <v>15355</v>
      </c>
      <c r="K62" s="373" t="str">
        <f>[1]初期設定!B37</f>
        <v>⑤個別協議</v>
      </c>
      <c r="L62" s="373"/>
      <c r="M62" s="379" t="e">
        <f>IF(COUNTIF([1]初期設定!B37,"*個別*")&gt;0,"○","×")</f>
        <v>#VALUE!</v>
      </c>
      <c r="N62" s="380"/>
      <c r="P62" s="315" t="s">
        <v>14930</v>
      </c>
      <c r="Q62" s="354" t="str">
        <f>[1]初期設定!B11</f>
        <v>522</v>
      </c>
    </row>
    <row r="63" spans="2:17" ht="16.5" customHeight="1">
      <c r="B63" s="351"/>
      <c r="C63" s="351"/>
      <c r="D63" s="351" t="s">
        <v>15356</v>
      </c>
      <c r="E63" s="85"/>
      <c r="G63" s="85"/>
      <c r="K63" s="377" t="s">
        <v>15047</v>
      </c>
      <c r="L63" s="378"/>
      <c r="M63" s="377" t="s">
        <v>14984</v>
      </c>
      <c r="N63" s="378"/>
      <c r="P63" s="315" t="s">
        <v>14932</v>
      </c>
      <c r="Q63" s="117" t="str">
        <f>[1]初期設定!B13</f>
        <v>6</v>
      </c>
    </row>
    <row r="64" spans="2:17" ht="16.5" customHeight="1">
      <c r="B64" s="351"/>
      <c r="C64" s="351"/>
      <c r="D64" s="72" t="s">
        <v>15357</v>
      </c>
      <c r="G64" s="85"/>
      <c r="K64" s="373" t="str">
        <f>[1]初期設定!B53</f>
        <v>①原則の上限額</v>
      </c>
      <c r="L64" s="373"/>
      <c r="M64" s="379" t="e">
        <f>IF(COUNTIF([1]初期設定!B59,"*個別*")&gt;0,"○","×")</f>
        <v>#VALUE!</v>
      </c>
      <c r="N64" s="380"/>
    </row>
    <row r="65" spans="2:17" ht="16.5" customHeight="1">
      <c r="B65" s="351"/>
      <c r="C65" s="351"/>
      <c r="D65" s="72" t="s">
        <v>15358</v>
      </c>
      <c r="G65" s="85"/>
      <c r="K65" s="374" t="s">
        <v>14979</v>
      </c>
      <c r="L65" s="374"/>
      <c r="M65" s="381"/>
      <c r="N65" s="382"/>
      <c r="P65" s="371" t="s">
        <v>15009</v>
      </c>
      <c r="Q65" s="372"/>
    </row>
    <row r="66" spans="2:17" s="72" customFormat="1" ht="16.5" customHeight="1">
      <c r="B66" s="85"/>
      <c r="C66" s="85"/>
      <c r="D66" s="351" t="s">
        <v>15359</v>
      </c>
      <c r="F66" s="85"/>
      <c r="K66" s="373" t="str">
        <f>[1]初期設定!B59</f>
        <v>①標準額</v>
      </c>
      <c r="L66" s="373"/>
      <c r="M66" s="339"/>
      <c r="P66" s="135" t="s">
        <v>15011</v>
      </c>
      <c r="Q66" s="136"/>
    </row>
    <row r="67" spans="2:17" s="72" customFormat="1" ht="16.5" customHeight="1">
      <c r="B67" s="85"/>
      <c r="C67" s="85"/>
      <c r="D67" s="201" t="s">
        <v>15360</v>
      </c>
      <c r="E67" s="85"/>
      <c r="F67" s="85"/>
      <c r="K67" s="352"/>
      <c r="L67" s="352"/>
      <c r="N67" s="355"/>
      <c r="P67" s="357">
        <f>SUM(P69,P71,P73)</f>
        <v>0</v>
      </c>
      <c r="Q67" s="136" t="s">
        <v>14943</v>
      </c>
    </row>
    <row r="68" spans="2:17" s="72" customFormat="1" ht="16.5" customHeight="1">
      <c r="B68" s="85"/>
      <c r="C68" s="85"/>
      <c r="D68" s="201" t="s">
        <v>15361</v>
      </c>
      <c r="E68" s="85"/>
      <c r="F68" s="85"/>
      <c r="L68" s="352"/>
      <c r="M68" s="373" t="s">
        <v>14990</v>
      </c>
      <c r="N68" s="373"/>
      <c r="P68" s="374" t="s">
        <v>15014</v>
      </c>
      <c r="Q68" s="374"/>
    </row>
    <row r="69" spans="2:17" s="72" customFormat="1" ht="16.5" customHeight="1">
      <c r="D69" s="72" t="s">
        <v>15362</v>
      </c>
      <c r="E69" s="310"/>
      <c r="F69" s="310"/>
      <c r="G69" s="310"/>
      <c r="H69" s="310"/>
      <c r="I69" s="310"/>
      <c r="J69" s="310"/>
      <c r="K69" s="352"/>
      <c r="L69" s="352"/>
      <c r="M69" s="375" t="s">
        <v>14992</v>
      </c>
      <c r="N69" s="376"/>
      <c r="P69" s="357">
        <f>[1]初期設定!B46</f>
        <v>0</v>
      </c>
      <c r="Q69" s="136" t="s">
        <v>14943</v>
      </c>
    </row>
    <row r="70" spans="2:17" s="72" customFormat="1" ht="16.5" customHeight="1">
      <c r="D70" s="310"/>
      <c r="E70" s="310"/>
      <c r="F70" s="310"/>
      <c r="G70" s="310"/>
      <c r="H70" s="310"/>
      <c r="I70" s="310"/>
      <c r="J70" s="310"/>
      <c r="K70" s="352"/>
      <c r="L70" s="352"/>
      <c r="M70" s="357">
        <f>[1]初期設定!B40</f>
        <v>21897654</v>
      </c>
      <c r="N70" s="136" t="s">
        <v>14943</v>
      </c>
      <c r="P70" s="374" t="s">
        <v>15017</v>
      </c>
      <c r="Q70" s="374"/>
    </row>
    <row r="71" spans="2:17" s="72" customFormat="1" ht="16.5" customHeight="1">
      <c r="G71" s="201"/>
      <c r="K71" s="352"/>
      <c r="L71" s="352"/>
      <c r="M71" s="135" t="s">
        <v>14997</v>
      </c>
      <c r="N71" s="136"/>
      <c r="P71" s="357">
        <f>[1]初期設定!B47</f>
        <v>0</v>
      </c>
      <c r="Q71" s="136" t="s">
        <v>14943</v>
      </c>
    </row>
    <row r="72" spans="2:17" s="72" customFormat="1" ht="16.5" customHeight="1">
      <c r="G72" s="201"/>
      <c r="K72" s="352"/>
      <c r="L72" s="352"/>
      <c r="M72" s="357">
        <f>[1]初期設定!B41</f>
        <v>2650000</v>
      </c>
      <c r="N72" s="136" t="s">
        <v>14943</v>
      </c>
      <c r="P72" s="135" t="s">
        <v>15363</v>
      </c>
      <c r="Q72" s="136"/>
    </row>
    <row r="73" spans="2:17" s="72" customFormat="1" ht="16.5" customHeight="1">
      <c r="G73" s="201"/>
      <c r="P73" s="357">
        <f>SUM(P75,P77)</f>
        <v>0</v>
      </c>
      <c r="Q73" s="136" t="s">
        <v>14943</v>
      </c>
    </row>
    <row r="74" spans="2:17" s="72" customFormat="1" ht="16.5" customHeight="1">
      <c r="G74" s="201"/>
      <c r="P74" s="358" t="s">
        <v>15364</v>
      </c>
      <c r="Q74" s="359"/>
    </row>
    <row r="75" spans="2:17" s="72" customFormat="1" ht="16.5" customHeight="1">
      <c r="G75" s="201"/>
      <c r="M75" s="367" t="s">
        <v>15005</v>
      </c>
      <c r="N75" s="368"/>
      <c r="P75" s="357">
        <f>[1]初期設定!B49</f>
        <v>0</v>
      </c>
      <c r="Q75" s="359" t="s">
        <v>14943</v>
      </c>
    </row>
    <row r="76" spans="2:17" s="72" customFormat="1" ht="16.5" customHeight="1">
      <c r="M76" s="369" t="str">
        <f>[1]初期設定!B45</f>
        <v>②未実施</v>
      </c>
      <c r="N76" s="370"/>
      <c r="P76" s="360" t="s">
        <v>15365</v>
      </c>
      <c r="Q76" s="359"/>
    </row>
    <row r="77" spans="2:17" s="72" customFormat="1" ht="16.5" customHeight="1">
      <c r="P77" s="357">
        <f>[1]初期設定!B50</f>
        <v>0</v>
      </c>
      <c r="Q77" s="359" t="s">
        <v>14943</v>
      </c>
    </row>
  </sheetData>
  <mergeCells count="27">
    <mergeCell ref="K62:L62"/>
    <mergeCell ref="M62:N62"/>
    <mergeCell ref="B3:Q3"/>
    <mergeCell ref="B5:E6"/>
    <mergeCell ref="O5:P5"/>
    <mergeCell ref="C37:E37"/>
    <mergeCell ref="B48:E48"/>
    <mergeCell ref="C52:C53"/>
    <mergeCell ref="B58:E58"/>
    <mergeCell ref="B60:C60"/>
    <mergeCell ref="K60:L60"/>
    <mergeCell ref="M60:N60"/>
    <mergeCell ref="K61:L61"/>
    <mergeCell ref="K63:L63"/>
    <mergeCell ref="M63:N63"/>
    <mergeCell ref="K64:L64"/>
    <mergeCell ref="M64:N64"/>
    <mergeCell ref="K65:L65"/>
    <mergeCell ref="M65:N65"/>
    <mergeCell ref="M75:N75"/>
    <mergeCell ref="M76:N76"/>
    <mergeCell ref="P65:Q65"/>
    <mergeCell ref="K66:L66"/>
    <mergeCell ref="M68:N68"/>
    <mergeCell ref="P68:Q68"/>
    <mergeCell ref="M69:N69"/>
    <mergeCell ref="P70:Q70"/>
  </mergeCells>
  <phoneticPr fontId="3"/>
  <conditionalFormatting sqref="J8 M8:N8 I10:I15 F17:G21 I17:I21 F23:G29 I23:I29 F31:G35 I31:I35 F39:G40 I39:I40 F42:G47 I42:I47 M36:N36 F50:G50 I50 J49 M49:N49 I52:I57 F52:G57 F10:G15">
    <cfRule type="notContainsBlanks" dxfId="76" priority="1">
      <formula>LEN(TRIM(F8))&gt;0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A537E-8F14-417F-AA78-C378F4ED786B}">
  <sheetPr>
    <tabColor theme="9" tint="0.59999389629810485"/>
    <pageSetUpPr fitToPage="1"/>
  </sheetPr>
  <dimension ref="B1:U77"/>
  <sheetViews>
    <sheetView showGridLines="0" view="pageBreakPreview" topLeftCell="A16" zoomScale="90" zoomScaleNormal="55" zoomScaleSheetLayoutView="90" workbookViewId="0">
      <selection activeCell="G19" sqref="G19"/>
    </sheetView>
  </sheetViews>
  <sheetFormatPr defaultColWidth="8.6640625" defaultRowHeight="13.5"/>
  <cols>
    <col min="1" max="1" width="1" style="71" customWidth="1"/>
    <col min="2" max="4" width="2.88671875" style="72" customWidth="1"/>
    <col min="5" max="5" width="39.109375" style="72" customWidth="1"/>
    <col min="6" max="6" width="15.77734375" style="72" customWidth="1"/>
    <col min="7" max="9" width="14.21875" style="72" customWidth="1"/>
    <col min="10" max="17" width="15.77734375" style="72" customWidth="1"/>
    <col min="18" max="18" width="2.5546875" style="71" customWidth="1"/>
    <col min="19" max="19" width="16.109375" style="71" bestFit="1" customWidth="1"/>
    <col min="20" max="20" width="14.44140625" style="71" customWidth="1"/>
    <col min="21" max="16384" width="8.6640625" style="71"/>
  </cols>
  <sheetData>
    <row r="1" spans="2:20" ht="14.25" customHeight="1">
      <c r="B1" s="73" t="s">
        <v>14946</v>
      </c>
      <c r="C1" s="73"/>
      <c r="D1" s="73"/>
      <c r="E1" s="73"/>
      <c r="F1" s="73"/>
      <c r="G1" s="73"/>
      <c r="H1" s="73"/>
      <c r="I1" s="73"/>
      <c r="J1" s="73"/>
      <c r="K1" s="73"/>
      <c r="L1" s="73"/>
      <c r="M1" s="73"/>
      <c r="N1" s="73"/>
      <c r="O1" s="73"/>
      <c r="P1" s="73"/>
      <c r="Q1" s="73"/>
    </row>
    <row r="2" spans="2:20" ht="14.25" customHeight="1">
      <c r="B2" s="73"/>
      <c r="C2" s="73"/>
      <c r="D2" s="73"/>
      <c r="E2" s="73"/>
      <c r="F2" s="73"/>
      <c r="G2" s="73"/>
      <c r="H2" s="73"/>
      <c r="I2" s="73"/>
      <c r="J2" s="73"/>
      <c r="K2" s="73"/>
      <c r="L2" s="73"/>
      <c r="M2" s="73"/>
      <c r="N2" s="73"/>
      <c r="O2" s="73"/>
      <c r="P2" s="73"/>
      <c r="Q2" s="73"/>
      <c r="S2" s="201"/>
      <c r="T2" s="201"/>
    </row>
    <row r="3" spans="2:20" ht="22.5" customHeight="1">
      <c r="B3" s="398" t="s">
        <v>15366</v>
      </c>
      <c r="C3" s="398"/>
      <c r="D3" s="398"/>
      <c r="E3" s="398"/>
      <c r="F3" s="398"/>
      <c r="G3" s="398"/>
      <c r="H3" s="398"/>
      <c r="I3" s="398"/>
      <c r="J3" s="398"/>
      <c r="K3" s="398"/>
      <c r="L3" s="398"/>
      <c r="M3" s="398"/>
      <c r="N3" s="398"/>
      <c r="O3" s="398"/>
      <c r="P3" s="398"/>
      <c r="Q3" s="398"/>
    </row>
    <row r="4" spans="2:20" ht="14.1" customHeight="1">
      <c r="B4" s="73"/>
      <c r="C4" s="73"/>
      <c r="D4" s="73"/>
      <c r="E4" s="73"/>
      <c r="F4" s="73"/>
      <c r="G4" s="73"/>
      <c r="H4" s="73"/>
      <c r="I4" s="73"/>
      <c r="J4" s="73"/>
      <c r="K4" s="73"/>
      <c r="L4" s="73"/>
      <c r="M4" s="73"/>
      <c r="N4" s="73"/>
      <c r="O4" s="73"/>
      <c r="P4" s="73"/>
      <c r="Q4" s="73"/>
    </row>
    <row r="5" spans="2:20" ht="34.5" customHeight="1">
      <c r="B5" s="388" t="s">
        <v>14948</v>
      </c>
      <c r="C5" s="389"/>
      <c r="D5" s="389"/>
      <c r="E5" s="390"/>
      <c r="F5" s="328" t="s">
        <v>14934</v>
      </c>
      <c r="G5" s="328" t="s">
        <v>14949</v>
      </c>
      <c r="H5" s="328" t="s">
        <v>14935</v>
      </c>
      <c r="I5" s="328" t="s">
        <v>15298</v>
      </c>
      <c r="J5" s="331" t="s">
        <v>14936</v>
      </c>
      <c r="K5" s="330" t="s">
        <v>14937</v>
      </c>
      <c r="L5" s="330" t="s">
        <v>14950</v>
      </c>
      <c r="M5" s="330" t="s">
        <v>14951</v>
      </c>
      <c r="N5" s="330" t="s">
        <v>14952</v>
      </c>
      <c r="O5" s="388" t="s">
        <v>14953</v>
      </c>
      <c r="P5" s="390"/>
      <c r="Q5" s="84" t="s">
        <v>14954</v>
      </c>
    </row>
    <row r="6" spans="2:20" ht="14.25" customHeight="1">
      <c r="B6" s="391"/>
      <c r="C6" s="392"/>
      <c r="D6" s="392"/>
      <c r="E6" s="393"/>
      <c r="F6" s="88" t="s">
        <v>14955</v>
      </c>
      <c r="G6" s="88" t="s">
        <v>14956</v>
      </c>
      <c r="H6" s="88" t="s">
        <v>14957</v>
      </c>
      <c r="I6" s="88" t="s">
        <v>14958</v>
      </c>
      <c r="J6" s="332" t="s">
        <v>14940</v>
      </c>
      <c r="K6" s="90" t="s">
        <v>14941</v>
      </c>
      <c r="L6" s="90" t="s">
        <v>14945</v>
      </c>
      <c r="M6" s="90" t="s">
        <v>14959</v>
      </c>
      <c r="N6" s="90" t="s">
        <v>14960</v>
      </c>
      <c r="O6" s="92" t="s">
        <v>14961</v>
      </c>
      <c r="P6" s="93" t="s">
        <v>14962</v>
      </c>
      <c r="Q6" s="111"/>
    </row>
    <row r="7" spans="2:20" ht="16.5" customHeight="1">
      <c r="B7" s="159"/>
      <c r="F7" s="98" t="s">
        <v>14963</v>
      </c>
      <c r="G7" s="98" t="s">
        <v>14963</v>
      </c>
      <c r="H7" s="98" t="s">
        <v>14963</v>
      </c>
      <c r="I7" s="98" t="s">
        <v>14963</v>
      </c>
      <c r="J7" s="333" t="s">
        <v>14963</v>
      </c>
      <c r="K7" s="98" t="s">
        <v>14963</v>
      </c>
      <c r="L7" s="101" t="s">
        <v>14963</v>
      </c>
      <c r="M7" s="101" t="s">
        <v>14963</v>
      </c>
      <c r="N7" s="101" t="s">
        <v>14963</v>
      </c>
      <c r="O7" s="101" t="s">
        <v>14963</v>
      </c>
      <c r="P7" s="101" t="s">
        <v>14963</v>
      </c>
      <c r="Q7" s="334"/>
    </row>
    <row r="8" spans="2:20" ht="16.5" customHeight="1">
      <c r="B8" s="159" t="s">
        <v>15261</v>
      </c>
      <c r="C8" s="103"/>
      <c r="D8" s="103"/>
      <c r="E8" s="103"/>
      <c r="F8" s="106">
        <v>32537465</v>
      </c>
      <c r="G8" s="106">
        <v>0</v>
      </c>
      <c r="H8" s="106">
        <v>32537465</v>
      </c>
      <c r="I8" s="106">
        <v>32537465</v>
      </c>
      <c r="J8" s="109">
        <v>32537465</v>
      </c>
      <c r="K8" s="108">
        <v>32537465</v>
      </c>
      <c r="L8" s="108">
        <v>6507493</v>
      </c>
      <c r="M8" s="109">
        <v>7737000</v>
      </c>
      <c r="N8" s="109">
        <v>7737000</v>
      </c>
      <c r="O8" s="335">
        <v>1229507</v>
      </c>
      <c r="P8" s="108">
        <v>0</v>
      </c>
      <c r="Q8" s="336"/>
    </row>
    <row r="9" spans="2:20" ht="16.5" customHeight="1">
      <c r="B9" s="159"/>
      <c r="C9" s="337" t="s">
        <v>15021</v>
      </c>
      <c r="D9" s="115" t="s">
        <v>15299</v>
      </c>
      <c r="E9" s="115"/>
      <c r="F9" s="118">
        <v>6259143</v>
      </c>
      <c r="G9" s="118">
        <v>0</v>
      </c>
      <c r="H9" s="106">
        <v>6259143</v>
      </c>
      <c r="I9" s="118">
        <v>6259143</v>
      </c>
      <c r="J9" s="120"/>
      <c r="K9" s="120"/>
      <c r="L9" s="120"/>
      <c r="M9" s="120"/>
      <c r="N9" s="120"/>
      <c r="O9" s="120"/>
      <c r="P9" s="120"/>
      <c r="Q9" s="338"/>
    </row>
    <row r="10" spans="2:20" ht="16.5" customHeight="1">
      <c r="B10" s="339"/>
      <c r="C10" s="160"/>
      <c r="D10" s="324" t="s">
        <v>15300</v>
      </c>
      <c r="E10" s="325" t="s">
        <v>15301</v>
      </c>
      <c r="F10" s="129">
        <v>4647393</v>
      </c>
      <c r="G10" s="129">
        <v>0</v>
      </c>
      <c r="H10" s="106">
        <v>4647393</v>
      </c>
      <c r="I10" s="129">
        <v>4647393</v>
      </c>
      <c r="J10" s="120"/>
      <c r="K10" s="120"/>
      <c r="L10" s="120"/>
      <c r="M10" s="120"/>
      <c r="N10" s="120"/>
      <c r="O10" s="120"/>
      <c r="P10" s="120"/>
      <c r="Q10" s="338"/>
    </row>
    <row r="11" spans="2:20" ht="16.5" customHeight="1">
      <c r="B11" s="339"/>
      <c r="C11" s="160"/>
      <c r="D11" s="105" t="s">
        <v>15302</v>
      </c>
      <c r="E11" s="103" t="s">
        <v>15303</v>
      </c>
      <c r="F11" s="129">
        <v>0</v>
      </c>
      <c r="G11" s="129">
        <v>0</v>
      </c>
      <c r="H11" s="106">
        <v>0</v>
      </c>
      <c r="I11" s="129">
        <v>0</v>
      </c>
      <c r="J11" s="120"/>
      <c r="K11" s="120"/>
      <c r="L11" s="120"/>
      <c r="M11" s="120"/>
      <c r="N11" s="120"/>
      <c r="O11" s="120"/>
      <c r="P11" s="120"/>
      <c r="Q11" s="338"/>
    </row>
    <row r="12" spans="2:20" ht="16.5" customHeight="1">
      <c r="B12" s="339"/>
      <c r="C12" s="160"/>
      <c r="D12" s="324" t="s">
        <v>15304</v>
      </c>
      <c r="E12" s="103" t="s">
        <v>15305</v>
      </c>
      <c r="F12" s="129">
        <v>1611750</v>
      </c>
      <c r="G12" s="129">
        <v>0</v>
      </c>
      <c r="H12" s="106">
        <v>1611750</v>
      </c>
      <c r="I12" s="129">
        <v>1611750</v>
      </c>
      <c r="J12" s="120"/>
      <c r="K12" s="120"/>
      <c r="L12" s="120"/>
      <c r="M12" s="120"/>
      <c r="N12" s="120"/>
      <c r="O12" s="120"/>
      <c r="P12" s="120"/>
      <c r="Q12" s="338"/>
    </row>
    <row r="13" spans="2:20" ht="16.5" customHeight="1">
      <c r="B13" s="339"/>
      <c r="C13" s="339"/>
      <c r="D13" s="324" t="s">
        <v>15306</v>
      </c>
      <c r="E13" s="103" t="s">
        <v>15307</v>
      </c>
      <c r="F13" s="129">
        <v>0</v>
      </c>
      <c r="G13" s="129">
        <v>0</v>
      </c>
      <c r="H13" s="106">
        <v>0</v>
      </c>
      <c r="I13" s="129">
        <v>0</v>
      </c>
      <c r="J13" s="120"/>
      <c r="K13" s="120"/>
      <c r="L13" s="120"/>
      <c r="M13" s="120"/>
      <c r="N13" s="120"/>
      <c r="O13" s="120"/>
      <c r="P13" s="120"/>
      <c r="Q13" s="338"/>
    </row>
    <row r="14" spans="2:20" ht="16.5" customHeight="1">
      <c r="B14" s="339"/>
      <c r="C14" s="339"/>
      <c r="D14" s="105" t="s">
        <v>15308</v>
      </c>
      <c r="E14" s="103" t="s">
        <v>15309</v>
      </c>
      <c r="F14" s="129">
        <v>0</v>
      </c>
      <c r="G14" s="129">
        <v>0</v>
      </c>
      <c r="H14" s="106">
        <v>0</v>
      </c>
      <c r="I14" s="129">
        <v>0</v>
      </c>
      <c r="J14" s="120"/>
      <c r="K14" s="120"/>
      <c r="L14" s="120"/>
      <c r="M14" s="120"/>
      <c r="N14" s="120"/>
      <c r="O14" s="120"/>
      <c r="P14" s="120"/>
      <c r="Q14" s="338"/>
    </row>
    <row r="15" spans="2:20" ht="16.5" customHeight="1">
      <c r="B15" s="339"/>
      <c r="C15" s="339"/>
      <c r="D15" s="105" t="s">
        <v>15310</v>
      </c>
      <c r="E15" s="103" t="s">
        <v>15311</v>
      </c>
      <c r="F15" s="129">
        <v>0</v>
      </c>
      <c r="G15" s="129">
        <v>0</v>
      </c>
      <c r="H15" s="106">
        <v>0</v>
      </c>
      <c r="I15" s="129">
        <v>0</v>
      </c>
      <c r="J15" s="120"/>
      <c r="K15" s="120"/>
      <c r="L15" s="120"/>
      <c r="M15" s="120"/>
      <c r="N15" s="120"/>
      <c r="O15" s="120"/>
      <c r="P15" s="120"/>
      <c r="Q15" s="338"/>
    </row>
    <row r="16" spans="2:20" ht="16.5" customHeight="1">
      <c r="B16" s="339"/>
      <c r="C16" s="337" t="s">
        <v>15312</v>
      </c>
      <c r="D16" s="115" t="s">
        <v>15313</v>
      </c>
      <c r="E16" s="115"/>
      <c r="F16" s="118">
        <v>22522622</v>
      </c>
      <c r="G16" s="118">
        <v>0</v>
      </c>
      <c r="H16" s="106">
        <v>22522622</v>
      </c>
      <c r="I16" s="118">
        <v>22522622</v>
      </c>
      <c r="J16" s="120"/>
      <c r="K16" s="120"/>
      <c r="L16" s="120"/>
      <c r="M16" s="120"/>
      <c r="N16" s="120"/>
      <c r="O16" s="120"/>
      <c r="P16" s="120"/>
      <c r="Q16" s="338"/>
    </row>
    <row r="17" spans="2:21" ht="16.5" customHeight="1">
      <c r="B17" s="339"/>
      <c r="C17" s="339"/>
      <c r="D17" s="135" t="s">
        <v>15300</v>
      </c>
      <c r="E17" s="325" t="s">
        <v>15314</v>
      </c>
      <c r="F17" s="129">
        <v>20578622</v>
      </c>
      <c r="G17" s="129">
        <v>0</v>
      </c>
      <c r="H17" s="106">
        <v>20578622</v>
      </c>
      <c r="I17" s="129">
        <v>20578622</v>
      </c>
      <c r="J17" s="120"/>
      <c r="K17" s="120"/>
      <c r="L17" s="120"/>
      <c r="M17" s="120"/>
      <c r="N17" s="120"/>
      <c r="O17" s="120"/>
      <c r="P17" s="120"/>
      <c r="Q17" s="338"/>
    </row>
    <row r="18" spans="2:21" ht="16.5" customHeight="1">
      <c r="B18" s="339"/>
      <c r="C18" s="339"/>
      <c r="D18" s="324" t="s">
        <v>15302</v>
      </c>
      <c r="E18" s="103" t="s">
        <v>15315</v>
      </c>
      <c r="F18" s="129">
        <v>0</v>
      </c>
      <c r="G18" s="129">
        <v>0</v>
      </c>
      <c r="H18" s="106">
        <v>0</v>
      </c>
      <c r="I18" s="129">
        <v>0</v>
      </c>
      <c r="J18" s="120"/>
      <c r="K18" s="120"/>
      <c r="L18" s="120"/>
      <c r="M18" s="120"/>
      <c r="N18" s="120"/>
      <c r="O18" s="120"/>
      <c r="P18" s="120"/>
      <c r="Q18" s="338"/>
    </row>
    <row r="19" spans="2:21" ht="16.5" customHeight="1">
      <c r="B19" s="339"/>
      <c r="C19" s="339"/>
      <c r="D19" s="105" t="s">
        <v>15304</v>
      </c>
      <c r="E19" s="103" t="s">
        <v>15316</v>
      </c>
      <c r="F19" s="129">
        <v>1944000</v>
      </c>
      <c r="G19" s="129">
        <v>0</v>
      </c>
      <c r="H19" s="106">
        <v>1944000</v>
      </c>
      <c r="I19" s="129">
        <v>1944000</v>
      </c>
      <c r="J19" s="120"/>
      <c r="K19" s="120"/>
      <c r="L19" s="120"/>
      <c r="M19" s="120"/>
      <c r="N19" s="120"/>
      <c r="O19" s="120"/>
      <c r="P19" s="120"/>
      <c r="Q19" s="338"/>
      <c r="U19" s="340"/>
    </row>
    <row r="20" spans="2:21" ht="16.5" customHeight="1">
      <c r="B20" s="339"/>
      <c r="C20" s="160"/>
      <c r="D20" s="324" t="s">
        <v>15306</v>
      </c>
      <c r="E20" s="103" t="s">
        <v>15317</v>
      </c>
      <c r="F20" s="129">
        <v>0</v>
      </c>
      <c r="G20" s="129">
        <v>0</v>
      </c>
      <c r="H20" s="106">
        <v>0</v>
      </c>
      <c r="I20" s="129">
        <v>0</v>
      </c>
      <c r="J20" s="120"/>
      <c r="K20" s="120"/>
      <c r="L20" s="120"/>
      <c r="M20" s="120"/>
      <c r="N20" s="120"/>
      <c r="O20" s="120"/>
      <c r="P20" s="120"/>
      <c r="Q20" s="338"/>
    </row>
    <row r="21" spans="2:21" ht="16.5" customHeight="1">
      <c r="B21" s="339"/>
      <c r="C21" s="341"/>
      <c r="D21" s="324" t="s">
        <v>15308</v>
      </c>
      <c r="E21" s="103" t="s">
        <v>15311</v>
      </c>
      <c r="F21" s="129">
        <v>0</v>
      </c>
      <c r="G21" s="129">
        <v>0</v>
      </c>
      <c r="H21" s="106">
        <v>0</v>
      </c>
      <c r="I21" s="129">
        <v>0</v>
      </c>
      <c r="J21" s="120"/>
      <c r="K21" s="120"/>
      <c r="L21" s="120"/>
      <c r="M21" s="120"/>
      <c r="N21" s="120"/>
      <c r="O21" s="120"/>
      <c r="P21" s="120"/>
      <c r="Q21" s="338"/>
    </row>
    <row r="22" spans="2:21" ht="16.5" customHeight="1">
      <c r="B22" s="339"/>
      <c r="C22" s="337" t="s">
        <v>15032</v>
      </c>
      <c r="D22" s="115" t="s">
        <v>15318</v>
      </c>
      <c r="E22" s="115"/>
      <c r="F22" s="118">
        <v>0</v>
      </c>
      <c r="G22" s="118">
        <v>0</v>
      </c>
      <c r="H22" s="106">
        <v>0</v>
      </c>
      <c r="I22" s="118">
        <v>0</v>
      </c>
      <c r="J22" s="120"/>
      <c r="K22" s="120"/>
      <c r="L22" s="120"/>
      <c r="M22" s="120"/>
      <c r="N22" s="120"/>
      <c r="O22" s="120"/>
      <c r="P22" s="120"/>
      <c r="Q22" s="338"/>
    </row>
    <row r="23" spans="2:21" ht="16.5" customHeight="1">
      <c r="B23" s="339"/>
      <c r="C23" s="339"/>
      <c r="D23" s="135" t="s">
        <v>15300</v>
      </c>
      <c r="E23" s="115" t="s">
        <v>15319</v>
      </c>
      <c r="F23" s="129">
        <v>0</v>
      </c>
      <c r="G23" s="129">
        <v>0</v>
      </c>
      <c r="H23" s="106">
        <v>0</v>
      </c>
      <c r="I23" s="129">
        <v>0</v>
      </c>
      <c r="J23" s="120"/>
      <c r="K23" s="120"/>
      <c r="L23" s="120"/>
      <c r="M23" s="120"/>
      <c r="N23" s="120"/>
      <c r="O23" s="120"/>
      <c r="P23" s="120"/>
      <c r="Q23" s="338"/>
    </row>
    <row r="24" spans="2:21" ht="16.5" customHeight="1">
      <c r="B24" s="339"/>
      <c r="C24" s="339"/>
      <c r="D24" s="105" t="s">
        <v>15302</v>
      </c>
      <c r="E24" s="103" t="s">
        <v>15320</v>
      </c>
      <c r="F24" s="129">
        <v>0</v>
      </c>
      <c r="G24" s="129">
        <v>0</v>
      </c>
      <c r="H24" s="106">
        <v>0</v>
      </c>
      <c r="I24" s="129">
        <v>0</v>
      </c>
      <c r="J24" s="120"/>
      <c r="K24" s="120"/>
      <c r="L24" s="120"/>
      <c r="M24" s="120"/>
      <c r="N24" s="120"/>
      <c r="O24" s="120"/>
      <c r="P24" s="120"/>
      <c r="Q24" s="338"/>
    </row>
    <row r="25" spans="2:21" ht="16.5" customHeight="1">
      <c r="B25" s="339"/>
      <c r="C25" s="339"/>
      <c r="D25" s="105" t="s">
        <v>15304</v>
      </c>
      <c r="E25" s="141" t="s">
        <v>15321</v>
      </c>
      <c r="F25" s="129">
        <v>0</v>
      </c>
      <c r="G25" s="129">
        <v>0</v>
      </c>
      <c r="H25" s="106">
        <v>0</v>
      </c>
      <c r="I25" s="129">
        <v>0</v>
      </c>
      <c r="J25" s="120"/>
      <c r="K25" s="120"/>
      <c r="L25" s="120"/>
      <c r="M25" s="120"/>
      <c r="N25" s="120"/>
      <c r="O25" s="120"/>
      <c r="P25" s="120"/>
      <c r="Q25" s="338"/>
    </row>
    <row r="26" spans="2:21" ht="16.5" customHeight="1">
      <c r="B26" s="339"/>
      <c r="C26" s="167"/>
      <c r="D26" s="324" t="s">
        <v>15306</v>
      </c>
      <c r="E26" s="103" t="s">
        <v>15311</v>
      </c>
      <c r="F26" s="129">
        <v>0</v>
      </c>
      <c r="G26" s="129">
        <v>0</v>
      </c>
      <c r="H26" s="106">
        <v>0</v>
      </c>
      <c r="I26" s="129">
        <v>0</v>
      </c>
      <c r="J26" s="120"/>
      <c r="K26" s="120"/>
      <c r="L26" s="120"/>
      <c r="M26" s="120"/>
      <c r="N26" s="120"/>
      <c r="O26" s="120"/>
      <c r="P26" s="120"/>
      <c r="Q26" s="338"/>
    </row>
    <row r="27" spans="2:21" ht="16.5" customHeight="1">
      <c r="B27" s="160"/>
      <c r="C27" s="337" t="s">
        <v>15322</v>
      </c>
      <c r="D27" s="115" t="s">
        <v>15323</v>
      </c>
      <c r="E27" s="115"/>
      <c r="F27" s="129">
        <v>2639820</v>
      </c>
      <c r="G27" s="129">
        <v>0</v>
      </c>
      <c r="H27" s="106">
        <v>2639820</v>
      </c>
      <c r="I27" s="129">
        <v>2639820</v>
      </c>
      <c r="J27" s="120"/>
      <c r="K27" s="120"/>
      <c r="L27" s="120"/>
      <c r="M27" s="120"/>
      <c r="N27" s="120"/>
      <c r="O27" s="120"/>
      <c r="P27" s="120"/>
      <c r="Q27" s="338"/>
    </row>
    <row r="28" spans="2:21" ht="16.5" customHeight="1">
      <c r="B28" s="160"/>
      <c r="C28" s="342" t="s">
        <v>15324</v>
      </c>
      <c r="D28" s="115"/>
      <c r="E28" s="115"/>
      <c r="F28" s="129">
        <v>91980</v>
      </c>
      <c r="G28" s="129">
        <v>0</v>
      </c>
      <c r="H28" s="106">
        <v>91980</v>
      </c>
      <c r="I28" s="129">
        <v>91980</v>
      </c>
      <c r="J28" s="120"/>
      <c r="K28" s="120"/>
      <c r="L28" s="120"/>
      <c r="M28" s="120"/>
      <c r="N28" s="120"/>
      <c r="O28" s="120"/>
      <c r="P28" s="120"/>
      <c r="Q28" s="338"/>
    </row>
    <row r="29" spans="2:21" ht="16.5" customHeight="1">
      <c r="B29" s="160"/>
      <c r="C29" s="342" t="s">
        <v>15325</v>
      </c>
      <c r="D29" s="115"/>
      <c r="E29" s="115"/>
      <c r="F29" s="129">
        <v>2540</v>
      </c>
      <c r="G29" s="129">
        <v>0</v>
      </c>
      <c r="H29" s="106">
        <v>2540</v>
      </c>
      <c r="I29" s="129">
        <v>2540</v>
      </c>
      <c r="J29" s="120"/>
      <c r="K29" s="120"/>
      <c r="L29" s="120"/>
      <c r="M29" s="120"/>
      <c r="N29" s="120"/>
      <c r="O29" s="120"/>
      <c r="P29" s="120"/>
      <c r="Q29" s="343"/>
    </row>
    <row r="30" spans="2:21" ht="16.5" customHeight="1">
      <c r="B30" s="339"/>
      <c r="C30" s="337" t="s">
        <v>15326</v>
      </c>
      <c r="D30" s="115" t="s">
        <v>15327</v>
      </c>
      <c r="E30" s="115"/>
      <c r="F30" s="118">
        <v>1021360</v>
      </c>
      <c r="G30" s="118">
        <v>0</v>
      </c>
      <c r="H30" s="106">
        <v>1021360</v>
      </c>
      <c r="I30" s="118">
        <v>1021360</v>
      </c>
      <c r="J30" s="120"/>
      <c r="K30" s="120"/>
      <c r="L30" s="120"/>
      <c r="M30" s="120"/>
      <c r="N30" s="120"/>
      <c r="O30" s="120"/>
      <c r="P30" s="120"/>
      <c r="Q30" s="338"/>
    </row>
    <row r="31" spans="2:21" ht="16.5" customHeight="1">
      <c r="B31" s="339"/>
      <c r="C31" s="339"/>
      <c r="D31" s="135" t="s">
        <v>15300</v>
      </c>
      <c r="E31" s="115" t="s">
        <v>15328</v>
      </c>
      <c r="F31" s="129">
        <v>0</v>
      </c>
      <c r="G31" s="129">
        <v>0</v>
      </c>
      <c r="H31" s="106">
        <v>0</v>
      </c>
      <c r="I31" s="129">
        <v>0</v>
      </c>
      <c r="J31" s="120"/>
      <c r="K31" s="120"/>
      <c r="L31" s="120"/>
      <c r="M31" s="120"/>
      <c r="N31" s="120"/>
      <c r="O31" s="120"/>
      <c r="P31" s="120"/>
      <c r="Q31" s="338"/>
    </row>
    <row r="32" spans="2:21" ht="16.5" customHeight="1">
      <c r="B32" s="339"/>
      <c r="C32" s="339"/>
      <c r="D32" s="105" t="s">
        <v>15302</v>
      </c>
      <c r="E32" s="103" t="s">
        <v>15329</v>
      </c>
      <c r="F32" s="129">
        <v>0</v>
      </c>
      <c r="G32" s="129">
        <v>0</v>
      </c>
      <c r="H32" s="106">
        <v>0</v>
      </c>
      <c r="I32" s="129">
        <v>0</v>
      </c>
      <c r="J32" s="120"/>
      <c r="K32" s="120"/>
      <c r="L32" s="120"/>
      <c r="M32" s="120"/>
      <c r="N32" s="120"/>
      <c r="O32" s="120"/>
      <c r="P32" s="120"/>
      <c r="Q32" s="338"/>
    </row>
    <row r="33" spans="2:17" ht="16.5" customHeight="1">
      <c r="B33" s="339"/>
      <c r="C33" s="339"/>
      <c r="D33" s="105" t="s">
        <v>15304</v>
      </c>
      <c r="E33" s="141" t="s">
        <v>15330</v>
      </c>
      <c r="F33" s="129">
        <v>1021360</v>
      </c>
      <c r="G33" s="129">
        <v>0</v>
      </c>
      <c r="H33" s="106">
        <v>1021360</v>
      </c>
      <c r="I33" s="129">
        <v>1021360</v>
      </c>
      <c r="J33" s="120"/>
      <c r="K33" s="120"/>
      <c r="L33" s="120"/>
      <c r="M33" s="120"/>
      <c r="N33" s="120"/>
      <c r="O33" s="120"/>
      <c r="P33" s="120"/>
      <c r="Q33" s="338"/>
    </row>
    <row r="34" spans="2:17" ht="16.5" customHeight="1">
      <c r="B34" s="339"/>
      <c r="C34" s="160"/>
      <c r="D34" s="105" t="s">
        <v>15306</v>
      </c>
      <c r="E34" s="141" t="s">
        <v>15006</v>
      </c>
      <c r="F34" s="129">
        <v>0</v>
      </c>
      <c r="G34" s="129">
        <v>0</v>
      </c>
      <c r="H34" s="106">
        <v>0</v>
      </c>
      <c r="I34" s="129">
        <v>0</v>
      </c>
      <c r="J34" s="120"/>
      <c r="K34" s="120"/>
      <c r="L34" s="120"/>
      <c r="M34" s="120"/>
      <c r="N34" s="120"/>
      <c r="O34" s="120"/>
      <c r="P34" s="120"/>
      <c r="Q34" s="338"/>
    </row>
    <row r="35" spans="2:17" ht="16.5" customHeight="1">
      <c r="B35" s="339"/>
      <c r="C35" s="341"/>
      <c r="D35" s="105" t="s">
        <v>15308</v>
      </c>
      <c r="E35" s="103" t="s">
        <v>15331</v>
      </c>
      <c r="F35" s="129">
        <v>0</v>
      </c>
      <c r="G35" s="129">
        <v>0</v>
      </c>
      <c r="H35" s="106">
        <v>0</v>
      </c>
      <c r="I35" s="129">
        <v>0</v>
      </c>
      <c r="J35" s="120"/>
      <c r="K35" s="120"/>
      <c r="L35" s="120"/>
      <c r="M35" s="120"/>
      <c r="N35" s="120"/>
      <c r="O35" s="120"/>
      <c r="P35" s="120"/>
      <c r="Q35" s="338"/>
    </row>
    <row r="36" spans="2:17" ht="16.5" customHeight="1">
      <c r="B36" s="342" t="s">
        <v>15262</v>
      </c>
      <c r="C36" s="344"/>
      <c r="F36" s="118">
        <v>27822673</v>
      </c>
      <c r="G36" s="118">
        <v>5676840</v>
      </c>
      <c r="H36" s="106">
        <v>22145833</v>
      </c>
      <c r="I36" s="118">
        <v>21921293</v>
      </c>
      <c r="J36" s="116">
        <v>23641651</v>
      </c>
      <c r="K36" s="108">
        <v>21921293</v>
      </c>
      <c r="L36" s="108">
        <v>8439697</v>
      </c>
      <c r="M36" s="109">
        <v>9095625</v>
      </c>
      <c r="N36" s="109">
        <v>9095625</v>
      </c>
      <c r="O36" s="335">
        <v>655928</v>
      </c>
      <c r="P36" s="108">
        <v>0</v>
      </c>
      <c r="Q36" s="338"/>
    </row>
    <row r="37" spans="2:17" ht="16.5" customHeight="1">
      <c r="B37" s="159"/>
      <c r="C37" s="375" t="s">
        <v>15332</v>
      </c>
      <c r="D37" s="394"/>
      <c r="E37" s="376"/>
      <c r="F37" s="118">
        <v>24735064</v>
      </c>
      <c r="G37" s="118">
        <v>5676840</v>
      </c>
      <c r="H37" s="106">
        <v>19058224</v>
      </c>
      <c r="I37" s="118">
        <v>19058224</v>
      </c>
      <c r="J37" s="120"/>
      <c r="K37" s="120"/>
      <c r="L37" s="120"/>
      <c r="M37" s="120"/>
      <c r="N37" s="120"/>
      <c r="O37" s="120"/>
      <c r="P37" s="120"/>
      <c r="Q37" s="338"/>
    </row>
    <row r="38" spans="2:17" ht="16.5" customHeight="1">
      <c r="B38" s="159"/>
      <c r="C38" s="342" t="s">
        <v>15333</v>
      </c>
      <c r="D38" s="345"/>
      <c r="E38" s="345"/>
      <c r="F38" s="118">
        <v>3087609</v>
      </c>
      <c r="G38" s="118">
        <v>0</v>
      </c>
      <c r="H38" s="106">
        <v>3087609</v>
      </c>
      <c r="I38" s="118">
        <v>2863069</v>
      </c>
      <c r="J38" s="120"/>
      <c r="K38" s="120"/>
      <c r="L38" s="120"/>
      <c r="M38" s="120"/>
      <c r="N38" s="120"/>
      <c r="O38" s="120"/>
      <c r="P38" s="120"/>
      <c r="Q38" s="338"/>
    </row>
    <row r="39" spans="2:17" ht="16.5" customHeight="1">
      <c r="B39" s="339"/>
      <c r="C39" s="159"/>
      <c r="D39" s="135" t="s">
        <v>15334</v>
      </c>
      <c r="E39" s="136"/>
      <c r="F39" s="129">
        <v>0</v>
      </c>
      <c r="G39" s="129">
        <v>0</v>
      </c>
      <c r="H39" s="106">
        <v>0</v>
      </c>
      <c r="I39" s="129">
        <v>0</v>
      </c>
      <c r="J39" s="120"/>
      <c r="K39" s="120"/>
      <c r="L39" s="120"/>
      <c r="M39" s="120"/>
      <c r="N39" s="120"/>
      <c r="O39" s="120"/>
      <c r="P39" s="120"/>
      <c r="Q39" s="338"/>
    </row>
    <row r="40" spans="2:17" ht="16.5" customHeight="1">
      <c r="B40" s="339"/>
      <c r="C40" s="159"/>
      <c r="D40" s="105" t="s">
        <v>15335</v>
      </c>
      <c r="E40" s="164"/>
      <c r="F40" s="129">
        <v>3087609</v>
      </c>
      <c r="G40" s="129">
        <v>0</v>
      </c>
      <c r="H40" s="106">
        <v>3087609</v>
      </c>
      <c r="I40" s="129">
        <v>2863069</v>
      </c>
      <c r="J40" s="120"/>
      <c r="K40" s="120"/>
      <c r="L40" s="120"/>
      <c r="M40" s="120"/>
      <c r="N40" s="120"/>
      <c r="O40" s="120"/>
      <c r="P40" s="120"/>
      <c r="Q40" s="338"/>
    </row>
    <row r="41" spans="2:17" ht="16.5" customHeight="1">
      <c r="B41" s="339"/>
      <c r="C41" s="159"/>
      <c r="D41" s="342" t="s">
        <v>15336</v>
      </c>
      <c r="E41" s="136"/>
      <c r="F41" s="118">
        <v>0</v>
      </c>
      <c r="G41" s="118">
        <v>0</v>
      </c>
      <c r="H41" s="106">
        <v>0</v>
      </c>
      <c r="I41" s="118">
        <v>0</v>
      </c>
      <c r="J41" s="120"/>
      <c r="K41" s="120"/>
      <c r="L41" s="120"/>
      <c r="M41" s="120"/>
      <c r="N41" s="120"/>
      <c r="O41" s="120"/>
      <c r="P41" s="120"/>
      <c r="Q41" s="338"/>
    </row>
    <row r="42" spans="2:17" ht="16.5" customHeight="1">
      <c r="B42" s="339"/>
      <c r="C42" s="159"/>
      <c r="D42" s="159"/>
      <c r="E42" s="117" t="s">
        <v>15337</v>
      </c>
      <c r="F42" s="129">
        <v>0</v>
      </c>
      <c r="G42" s="129">
        <v>0</v>
      </c>
      <c r="H42" s="106">
        <v>0</v>
      </c>
      <c r="I42" s="129">
        <v>0</v>
      </c>
      <c r="J42" s="120"/>
      <c r="K42" s="120"/>
      <c r="L42" s="120"/>
      <c r="M42" s="120"/>
      <c r="N42" s="120"/>
      <c r="O42" s="120"/>
      <c r="P42" s="120"/>
      <c r="Q42" s="338"/>
    </row>
    <row r="43" spans="2:17" ht="16.5" customHeight="1">
      <c r="B43" s="339"/>
      <c r="C43" s="159"/>
      <c r="D43" s="159"/>
      <c r="E43" s="111" t="s">
        <v>15338</v>
      </c>
      <c r="F43" s="129">
        <v>0</v>
      </c>
      <c r="G43" s="129">
        <v>0</v>
      </c>
      <c r="H43" s="106">
        <v>0</v>
      </c>
      <c r="I43" s="129">
        <v>0</v>
      </c>
      <c r="J43" s="120"/>
      <c r="K43" s="120"/>
      <c r="L43" s="120"/>
      <c r="M43" s="120"/>
      <c r="N43" s="120"/>
      <c r="O43" s="120"/>
      <c r="P43" s="120"/>
      <c r="Q43" s="338"/>
    </row>
    <row r="44" spans="2:17" ht="16.5" customHeight="1">
      <c r="B44" s="339"/>
      <c r="C44" s="159"/>
      <c r="D44" s="159"/>
      <c r="E44" s="346" t="s">
        <v>15339</v>
      </c>
      <c r="F44" s="129">
        <v>0</v>
      </c>
      <c r="G44" s="129">
        <v>0</v>
      </c>
      <c r="H44" s="106">
        <v>0</v>
      </c>
      <c r="I44" s="129">
        <v>0</v>
      </c>
      <c r="J44" s="120"/>
      <c r="K44" s="120"/>
      <c r="L44" s="120"/>
      <c r="M44" s="120"/>
      <c r="N44" s="120"/>
      <c r="O44" s="120"/>
      <c r="P44" s="120"/>
      <c r="Q44" s="338"/>
    </row>
    <row r="45" spans="2:17" ht="16.5" customHeight="1">
      <c r="B45" s="339"/>
      <c r="C45" s="159"/>
      <c r="D45" s="159"/>
      <c r="E45" s="111" t="s">
        <v>15340</v>
      </c>
      <c r="F45" s="129">
        <v>0</v>
      </c>
      <c r="G45" s="129">
        <v>0</v>
      </c>
      <c r="H45" s="106">
        <v>0</v>
      </c>
      <c r="I45" s="129">
        <v>0</v>
      </c>
      <c r="J45" s="120"/>
      <c r="K45" s="120"/>
      <c r="L45" s="120"/>
      <c r="M45" s="120"/>
      <c r="N45" s="120"/>
      <c r="O45" s="120"/>
      <c r="P45" s="120"/>
      <c r="Q45" s="338"/>
    </row>
    <row r="46" spans="2:17" ht="16.5" customHeight="1">
      <c r="B46" s="339"/>
      <c r="C46" s="159"/>
      <c r="D46" s="159"/>
      <c r="E46" s="346" t="s">
        <v>15341</v>
      </c>
      <c r="F46" s="129">
        <v>0</v>
      </c>
      <c r="G46" s="129">
        <v>0</v>
      </c>
      <c r="H46" s="106">
        <v>0</v>
      </c>
      <c r="I46" s="129">
        <v>0</v>
      </c>
      <c r="J46" s="120"/>
      <c r="K46" s="120"/>
      <c r="L46" s="120"/>
      <c r="M46" s="120"/>
      <c r="N46" s="120"/>
      <c r="O46" s="120"/>
      <c r="P46" s="120"/>
      <c r="Q46" s="338"/>
    </row>
    <row r="47" spans="2:17" ht="16.5" customHeight="1">
      <c r="B47" s="160"/>
      <c r="C47" s="347"/>
      <c r="D47" s="347"/>
      <c r="E47" s="348" t="s">
        <v>15342</v>
      </c>
      <c r="F47" s="129">
        <v>0</v>
      </c>
      <c r="G47" s="129">
        <v>0</v>
      </c>
      <c r="H47" s="106">
        <v>0</v>
      </c>
      <c r="I47" s="129">
        <v>0</v>
      </c>
      <c r="J47" s="120"/>
      <c r="K47" s="120"/>
      <c r="L47" s="120"/>
      <c r="M47" s="120"/>
      <c r="N47" s="120"/>
      <c r="O47" s="120"/>
      <c r="P47" s="120"/>
      <c r="Q47" s="338"/>
    </row>
    <row r="48" spans="2:17" ht="16.5" customHeight="1">
      <c r="B48" s="395" t="s">
        <v>15343</v>
      </c>
      <c r="C48" s="395"/>
      <c r="D48" s="395"/>
      <c r="E48" s="395"/>
      <c r="F48" s="118">
        <v>60360138</v>
      </c>
      <c r="G48" s="118">
        <v>5676840</v>
      </c>
      <c r="H48" s="106">
        <v>54683298</v>
      </c>
      <c r="I48" s="118">
        <v>54458758</v>
      </c>
      <c r="J48" s="120"/>
      <c r="K48" s="118">
        <v>54458758</v>
      </c>
      <c r="L48" s="118">
        <v>14947190</v>
      </c>
      <c r="M48" s="118">
        <v>16832625</v>
      </c>
      <c r="N48" s="118">
        <v>16832625</v>
      </c>
      <c r="O48" s="120"/>
      <c r="P48" s="120"/>
      <c r="Q48" s="338"/>
    </row>
    <row r="49" spans="2:17" ht="16.5" customHeight="1">
      <c r="B49" s="158" t="s">
        <v>15019</v>
      </c>
      <c r="C49" s="105"/>
      <c r="D49" s="103"/>
      <c r="E49" s="164"/>
      <c r="F49" s="118">
        <v>2686840</v>
      </c>
      <c r="G49" s="118">
        <v>0</v>
      </c>
      <c r="H49" s="106">
        <v>2686840</v>
      </c>
      <c r="I49" s="118">
        <v>2686840</v>
      </c>
      <c r="J49" s="129">
        <v>18620000</v>
      </c>
      <c r="K49" s="108">
        <v>2686840</v>
      </c>
      <c r="L49" s="108">
        <v>1034433</v>
      </c>
      <c r="M49" s="109">
        <v>1292830</v>
      </c>
      <c r="N49" s="109">
        <v>1292830</v>
      </c>
      <c r="O49" s="335">
        <v>258397</v>
      </c>
      <c r="P49" s="108">
        <v>0</v>
      </c>
      <c r="Q49" s="338"/>
    </row>
    <row r="50" spans="2:17" ht="16.5" customHeight="1">
      <c r="B50" s="160"/>
      <c r="C50" s="115" t="s">
        <v>15344</v>
      </c>
      <c r="D50" s="115"/>
      <c r="E50" s="164"/>
      <c r="F50" s="129">
        <v>891258</v>
      </c>
      <c r="G50" s="129">
        <v>0</v>
      </c>
      <c r="H50" s="106">
        <v>891258</v>
      </c>
      <c r="I50" s="129">
        <v>891258</v>
      </c>
      <c r="J50" s="120"/>
      <c r="K50" s="120"/>
      <c r="L50" s="120"/>
      <c r="M50" s="120"/>
      <c r="N50" s="120"/>
      <c r="O50" s="120"/>
      <c r="P50" s="120"/>
      <c r="Q50" s="338"/>
    </row>
    <row r="51" spans="2:17" ht="16.5" customHeight="1">
      <c r="B51" s="160"/>
      <c r="C51" s="342" t="s">
        <v>15345</v>
      </c>
      <c r="D51" s="115"/>
      <c r="E51" s="136"/>
      <c r="F51" s="118">
        <v>624244</v>
      </c>
      <c r="G51" s="118">
        <v>0</v>
      </c>
      <c r="H51" s="106">
        <v>624244</v>
      </c>
      <c r="I51" s="118">
        <v>624244</v>
      </c>
      <c r="J51" s="120"/>
      <c r="K51" s="120"/>
      <c r="L51" s="120"/>
      <c r="M51" s="120"/>
      <c r="N51" s="120"/>
      <c r="O51" s="120"/>
      <c r="P51" s="120"/>
      <c r="Q51" s="338"/>
    </row>
    <row r="52" spans="2:17" ht="20.100000000000001" customHeight="1">
      <c r="B52" s="160"/>
      <c r="C52" s="396"/>
      <c r="D52" s="135" t="s">
        <v>15346</v>
      </c>
      <c r="E52" s="164"/>
      <c r="F52" s="129">
        <v>624244</v>
      </c>
      <c r="G52" s="129">
        <v>0</v>
      </c>
      <c r="H52" s="106">
        <v>624244</v>
      </c>
      <c r="I52" s="129">
        <v>624244</v>
      </c>
      <c r="J52" s="120"/>
      <c r="K52" s="120"/>
      <c r="L52" s="120"/>
      <c r="M52" s="120"/>
      <c r="N52" s="120"/>
      <c r="O52" s="120"/>
      <c r="P52" s="120"/>
      <c r="Q52" s="338"/>
    </row>
    <row r="53" spans="2:17" ht="20.100000000000001" customHeight="1">
      <c r="B53" s="160"/>
      <c r="C53" s="397"/>
      <c r="D53" s="105" t="s">
        <v>15347</v>
      </c>
      <c r="E53" s="164"/>
      <c r="F53" s="129">
        <v>0</v>
      </c>
      <c r="G53" s="129">
        <v>0</v>
      </c>
      <c r="H53" s="106">
        <v>0</v>
      </c>
      <c r="I53" s="129">
        <v>0</v>
      </c>
      <c r="J53" s="120"/>
      <c r="K53" s="120"/>
      <c r="L53" s="120"/>
      <c r="M53" s="120"/>
      <c r="N53" s="120"/>
      <c r="O53" s="120"/>
      <c r="P53" s="120"/>
      <c r="Q53" s="338"/>
    </row>
    <row r="54" spans="2:17" ht="20.100000000000001" customHeight="1">
      <c r="B54" s="160"/>
      <c r="C54" s="103" t="s">
        <v>15348</v>
      </c>
      <c r="D54" s="103"/>
      <c r="E54" s="164"/>
      <c r="F54" s="129">
        <v>0</v>
      </c>
      <c r="G54" s="129">
        <v>0</v>
      </c>
      <c r="H54" s="106">
        <v>0</v>
      </c>
      <c r="I54" s="129">
        <v>0</v>
      </c>
      <c r="J54" s="120"/>
      <c r="K54" s="120"/>
      <c r="L54" s="120"/>
      <c r="M54" s="120"/>
      <c r="N54" s="120"/>
      <c r="O54" s="120"/>
      <c r="P54" s="120"/>
      <c r="Q54" s="338"/>
    </row>
    <row r="55" spans="2:17" ht="20.100000000000001" customHeight="1">
      <c r="B55" s="160"/>
      <c r="C55" s="115" t="s">
        <v>15349</v>
      </c>
      <c r="D55" s="115"/>
      <c r="E55" s="164"/>
      <c r="F55" s="129">
        <v>0</v>
      </c>
      <c r="G55" s="129">
        <v>0</v>
      </c>
      <c r="H55" s="106">
        <v>0</v>
      </c>
      <c r="I55" s="129">
        <v>0</v>
      </c>
      <c r="J55" s="120"/>
      <c r="K55" s="120"/>
      <c r="L55" s="120"/>
      <c r="M55" s="120"/>
      <c r="N55" s="120"/>
      <c r="O55" s="120"/>
      <c r="P55" s="120"/>
      <c r="Q55" s="349"/>
    </row>
    <row r="56" spans="2:17" ht="20.100000000000001" customHeight="1">
      <c r="B56" s="160"/>
      <c r="C56" s="115" t="s">
        <v>15350</v>
      </c>
      <c r="D56" s="115"/>
      <c r="E56" s="164"/>
      <c r="F56" s="129">
        <v>714122</v>
      </c>
      <c r="G56" s="129">
        <v>0</v>
      </c>
      <c r="H56" s="106">
        <v>714122</v>
      </c>
      <c r="I56" s="129">
        <v>714122</v>
      </c>
      <c r="J56" s="120"/>
      <c r="K56" s="120"/>
      <c r="L56" s="120"/>
      <c r="M56" s="120"/>
      <c r="N56" s="120"/>
      <c r="O56" s="120"/>
      <c r="P56" s="120"/>
      <c r="Q56" s="349"/>
    </row>
    <row r="57" spans="2:17" ht="20.100000000000001" customHeight="1">
      <c r="B57" s="167"/>
      <c r="C57" s="103" t="s">
        <v>15351</v>
      </c>
      <c r="D57" s="103"/>
      <c r="E57" s="136"/>
      <c r="F57" s="129">
        <v>457216</v>
      </c>
      <c r="G57" s="129">
        <v>0</v>
      </c>
      <c r="H57" s="106">
        <v>457216</v>
      </c>
      <c r="I57" s="129">
        <v>457216</v>
      </c>
      <c r="J57" s="120"/>
      <c r="K57" s="120"/>
      <c r="L57" s="120"/>
      <c r="M57" s="120"/>
      <c r="N57" s="120"/>
      <c r="O57" s="120"/>
      <c r="P57" s="120"/>
      <c r="Q57" s="349"/>
    </row>
    <row r="58" spans="2:17" ht="16.5" customHeight="1">
      <c r="B58" s="383" t="s">
        <v>15352</v>
      </c>
      <c r="C58" s="384"/>
      <c r="D58" s="384"/>
      <c r="E58" s="385"/>
      <c r="F58" s="118">
        <v>63046978</v>
      </c>
      <c r="G58" s="118">
        <v>5676840</v>
      </c>
      <c r="H58" s="106">
        <v>57370138</v>
      </c>
      <c r="I58" s="118">
        <v>57145598</v>
      </c>
      <c r="J58" s="120"/>
      <c r="K58" s="118">
        <v>57145598</v>
      </c>
      <c r="L58" s="118">
        <v>15981623</v>
      </c>
      <c r="M58" s="118">
        <v>18125455</v>
      </c>
      <c r="N58" s="118">
        <v>18125455</v>
      </c>
      <c r="O58" s="335">
        <v>2143832</v>
      </c>
      <c r="P58" s="108">
        <v>0</v>
      </c>
      <c r="Q58" s="350"/>
    </row>
    <row r="59" spans="2:17" ht="16.5" customHeight="1">
      <c r="B59" s="85"/>
      <c r="C59" s="85"/>
      <c r="D59" s="85"/>
      <c r="E59" s="85"/>
      <c r="F59" s="174"/>
      <c r="G59" s="174"/>
      <c r="H59" s="174"/>
      <c r="I59" s="174"/>
      <c r="J59" s="174"/>
      <c r="K59" s="174"/>
      <c r="L59" s="174"/>
      <c r="M59" s="174"/>
      <c r="N59" s="174"/>
      <c r="O59" s="174"/>
      <c r="P59" s="174"/>
    </row>
    <row r="60" spans="2:17" ht="16.5" customHeight="1">
      <c r="B60" s="386" t="s">
        <v>15041</v>
      </c>
      <c r="C60" s="386"/>
      <c r="D60" s="351" t="s">
        <v>15353</v>
      </c>
      <c r="H60" s="352"/>
      <c r="I60" s="352"/>
      <c r="J60" s="352"/>
      <c r="K60" s="373" t="s">
        <v>14938</v>
      </c>
      <c r="L60" s="373"/>
      <c r="M60" s="373" t="s">
        <v>14939</v>
      </c>
      <c r="N60" s="373"/>
      <c r="P60" s="315" t="s">
        <v>15035</v>
      </c>
      <c r="Q60" s="353" t="str">
        <f>[2]初期設定!B7</f>
        <v>小野町</v>
      </c>
    </row>
    <row r="61" spans="2:17" ht="16.5" customHeight="1">
      <c r="B61" s="351"/>
      <c r="C61" s="351"/>
      <c r="D61" s="72" t="s">
        <v>15354</v>
      </c>
      <c r="E61" s="310"/>
      <c r="F61" s="310"/>
      <c r="G61" s="310"/>
      <c r="H61" s="310"/>
      <c r="I61" s="310"/>
      <c r="J61" s="310"/>
      <c r="K61" s="383" t="s">
        <v>14969</v>
      </c>
      <c r="L61" s="385"/>
      <c r="M61" s="135" t="s">
        <v>14969</v>
      </c>
      <c r="N61" s="136"/>
      <c r="O61" s="310"/>
      <c r="P61" s="315" t="s">
        <v>14931</v>
      </c>
      <c r="Q61" s="354" t="str">
        <f>[2]初期設定!B11</f>
        <v>07</v>
      </c>
    </row>
    <row r="62" spans="2:17" ht="16.5" customHeight="1">
      <c r="B62" s="351"/>
      <c r="C62" s="351"/>
      <c r="D62" s="351" t="s">
        <v>15355</v>
      </c>
      <c r="K62" s="373" t="str">
        <f>IF('[2]総合事業上限額算定の手引き（事前の個別協議なし）'!C59="",'[2]総合事業上限額算定の手引き（事前の個別協議あり）'!E55,'[2]総合事業上限額算定の手引き（事前の個別協議なし）'!C59)</f>
        <v>⑤個別協議希望</v>
      </c>
      <c r="L62" s="373"/>
      <c r="M62" s="379" t="s">
        <v>14933</v>
      </c>
      <c r="N62" s="380"/>
      <c r="P62" s="315" t="s">
        <v>14930</v>
      </c>
      <c r="Q62" s="354" t="str">
        <f>[2]初期設定!B10</f>
        <v>522</v>
      </c>
    </row>
    <row r="63" spans="2:17" ht="16.5" customHeight="1">
      <c r="B63" s="351"/>
      <c r="C63" s="351"/>
      <c r="D63" s="351" t="s">
        <v>15356</v>
      </c>
      <c r="E63" s="85"/>
      <c r="G63" s="85"/>
      <c r="K63" s="377" t="s">
        <v>15047</v>
      </c>
      <c r="L63" s="378"/>
      <c r="M63" s="377" t="s">
        <v>14984</v>
      </c>
      <c r="N63" s="378"/>
      <c r="P63" s="315" t="s">
        <v>14932</v>
      </c>
      <c r="Q63" s="117" t="str">
        <f>[2]初期設定!B12</f>
        <v>6</v>
      </c>
    </row>
    <row r="64" spans="2:17" ht="16.5" customHeight="1">
      <c r="B64" s="351"/>
      <c r="C64" s="351"/>
      <c r="D64" s="72" t="s">
        <v>15357</v>
      </c>
      <c r="G64" s="85"/>
      <c r="K64" s="373" t="str">
        <f>[2]初期設定!B51</f>
        <v>①原則の上限額</v>
      </c>
      <c r="L64" s="373"/>
      <c r="M64" s="379" t="e">
        <f>IF(COUNTIF('[2]包括的支援事業(社会保障充実分) 標準額の手引き'!H13,"*個別*")&gt;0,"○","×")</f>
        <v>#VALUE!</v>
      </c>
      <c r="N64" s="380"/>
    </row>
    <row r="65" spans="2:17" ht="16.5" customHeight="1">
      <c r="B65" s="351"/>
      <c r="C65" s="351"/>
      <c r="D65" s="72" t="s">
        <v>15358</v>
      </c>
      <c r="G65" s="85"/>
      <c r="K65" s="374" t="s">
        <v>14979</v>
      </c>
      <c r="L65" s="374"/>
      <c r="M65" s="381"/>
      <c r="N65" s="382"/>
      <c r="P65" s="371" t="s">
        <v>15009</v>
      </c>
      <c r="Q65" s="372"/>
    </row>
    <row r="66" spans="2:17" s="72" customFormat="1" ht="16.5" customHeight="1">
      <c r="B66" s="85"/>
      <c r="C66" s="85"/>
      <c r="D66" s="351" t="s">
        <v>15359</v>
      </c>
      <c r="F66" s="85"/>
      <c r="K66" s="373" t="str">
        <f>IF('[2]包括的支援事業(社会保障充実分) 標準額の手引き'!H13="","未設定",'[2]包括的支援事業(社会保障充実分) 標準額の手引き'!H13)</f>
        <v>①標準額</v>
      </c>
      <c r="L66" s="373"/>
      <c r="M66" s="339"/>
      <c r="P66" s="135" t="s">
        <v>15011</v>
      </c>
      <c r="Q66" s="136"/>
    </row>
    <row r="67" spans="2:17" s="72" customFormat="1" ht="16.5" customHeight="1">
      <c r="B67" s="85"/>
      <c r="C67" s="85"/>
      <c r="D67" s="201" t="s">
        <v>15360</v>
      </c>
      <c r="E67" s="85"/>
      <c r="F67" s="85"/>
      <c r="K67" s="352"/>
      <c r="L67" s="352"/>
      <c r="N67" s="355"/>
      <c r="P67" s="356">
        <f>SUM(P69,P71,P73)</f>
        <v>0</v>
      </c>
      <c r="Q67" s="136"/>
    </row>
    <row r="68" spans="2:17" s="72" customFormat="1" ht="16.5" customHeight="1">
      <c r="B68" s="85"/>
      <c r="C68" s="85"/>
      <c r="D68" s="201" t="s">
        <v>15361</v>
      </c>
      <c r="E68" s="85"/>
      <c r="F68" s="85"/>
      <c r="L68" s="352"/>
      <c r="M68" s="373" t="s">
        <v>14990</v>
      </c>
      <c r="N68" s="373"/>
      <c r="P68" s="374" t="s">
        <v>15014</v>
      </c>
      <c r="Q68" s="374"/>
    </row>
    <row r="69" spans="2:17" s="72" customFormat="1" ht="16.5" customHeight="1">
      <c r="D69" s="72" t="s">
        <v>15362</v>
      </c>
      <c r="E69" s="310"/>
      <c r="F69" s="310"/>
      <c r="G69" s="310"/>
      <c r="H69" s="310"/>
      <c r="I69" s="310"/>
      <c r="J69" s="310"/>
      <c r="K69" s="352"/>
      <c r="L69" s="352"/>
      <c r="M69" s="375" t="s">
        <v>14992</v>
      </c>
      <c r="N69" s="376"/>
      <c r="P69" s="356">
        <f>[2]初期設定!B39</f>
        <v>0</v>
      </c>
      <c r="Q69" s="136"/>
    </row>
    <row r="70" spans="2:17" s="72" customFormat="1" ht="16.5" customHeight="1">
      <c r="D70" s="310"/>
      <c r="E70" s="310"/>
      <c r="F70" s="310"/>
      <c r="G70" s="310"/>
      <c r="H70" s="310"/>
      <c r="I70" s="310"/>
      <c r="J70" s="310"/>
      <c r="K70" s="352"/>
      <c r="L70" s="352"/>
      <c r="M70" s="357">
        <f>[2]初期設定!B46</f>
        <v>33303297</v>
      </c>
      <c r="N70" s="136" t="s">
        <v>14943</v>
      </c>
      <c r="P70" s="374" t="s">
        <v>15017</v>
      </c>
      <c r="Q70" s="374"/>
    </row>
    <row r="71" spans="2:17" s="72" customFormat="1" ht="16.5" customHeight="1">
      <c r="G71" s="201"/>
      <c r="K71" s="352"/>
      <c r="L71" s="352"/>
      <c r="M71" s="135" t="s">
        <v>14997</v>
      </c>
      <c r="N71" s="136"/>
      <c r="P71" s="356">
        <f>[2]初期設定!B40</f>
        <v>0</v>
      </c>
      <c r="Q71" s="136"/>
    </row>
    <row r="72" spans="2:17" s="72" customFormat="1" ht="16.5" customHeight="1">
      <c r="G72" s="201"/>
      <c r="K72" s="352"/>
      <c r="L72" s="352"/>
      <c r="M72" s="357">
        <f>[2]初期設定!B47</f>
        <v>2843000</v>
      </c>
      <c r="N72" s="136" t="s">
        <v>14943</v>
      </c>
      <c r="P72" s="135" t="s">
        <v>15363</v>
      </c>
      <c r="Q72" s="136"/>
    </row>
    <row r="73" spans="2:17" s="72" customFormat="1" ht="16.5" customHeight="1">
      <c r="G73" s="201"/>
      <c r="P73" s="356">
        <f>[2]初期設定!B41</f>
        <v>0</v>
      </c>
      <c r="Q73" s="136"/>
    </row>
    <row r="74" spans="2:17" s="72" customFormat="1" ht="16.5" customHeight="1">
      <c r="G74" s="201"/>
      <c r="P74" s="358" t="s">
        <v>15364</v>
      </c>
      <c r="Q74" s="359"/>
    </row>
    <row r="75" spans="2:17" s="72" customFormat="1" ht="16.5" customHeight="1">
      <c r="G75" s="201"/>
      <c r="M75" s="367" t="s">
        <v>15005</v>
      </c>
      <c r="N75" s="368"/>
      <c r="P75" s="356">
        <f>[2]初期設定!B42</f>
        <v>0</v>
      </c>
      <c r="Q75" s="359"/>
    </row>
    <row r="76" spans="2:17" s="72" customFormat="1" ht="16.5" customHeight="1">
      <c r="M76" s="369" t="str">
        <f>[2]初期設定!B38</f>
        <v>②未実施</v>
      </c>
      <c r="N76" s="370"/>
      <c r="P76" s="360" t="s">
        <v>15365</v>
      </c>
      <c r="Q76" s="359"/>
    </row>
    <row r="77" spans="2:17" s="72" customFormat="1" ht="16.5" customHeight="1">
      <c r="P77" s="356">
        <f>[2]初期設定!B43</f>
        <v>0</v>
      </c>
      <c r="Q77" s="359"/>
    </row>
  </sheetData>
  <mergeCells count="27">
    <mergeCell ref="C52:C53"/>
    <mergeCell ref="P65:Q65"/>
    <mergeCell ref="B58:E58"/>
    <mergeCell ref="B3:Q3"/>
    <mergeCell ref="B5:E6"/>
    <mergeCell ref="O5:P5"/>
    <mergeCell ref="C37:E37"/>
    <mergeCell ref="B48:E48"/>
    <mergeCell ref="B60:C60"/>
    <mergeCell ref="K60:L60"/>
    <mergeCell ref="M60:N60"/>
    <mergeCell ref="K61:L61"/>
    <mergeCell ref="K62:L62"/>
    <mergeCell ref="M62:N62"/>
    <mergeCell ref="K63:L63"/>
    <mergeCell ref="M63:N63"/>
    <mergeCell ref="K64:L64"/>
    <mergeCell ref="M64:N64"/>
    <mergeCell ref="K65:L65"/>
    <mergeCell ref="M65:N65"/>
    <mergeCell ref="M76:N76"/>
    <mergeCell ref="K66:L66"/>
    <mergeCell ref="M68:N68"/>
    <mergeCell ref="P68:Q68"/>
    <mergeCell ref="M69:N69"/>
    <mergeCell ref="P70:Q70"/>
    <mergeCell ref="M75:N75"/>
  </mergeCells>
  <phoneticPr fontId="3"/>
  <conditionalFormatting sqref="J8 M8:N8 I10:I15 I17:I21 F23:G29 I23:I29 F31:G35 I31:I35 F39:G40 I39:I40 F42:G47 I42:I47 M36:N36 F50:G50 I50 J49 M49:N49 I52:I57 F52:G57 F10:G15 F17:G21">
    <cfRule type="notContainsBlanks" dxfId="75" priority="1">
      <formula>LEN(TRIM(F8))&gt;0</formula>
    </cfRule>
  </conditionalFormatting>
  <printOptions horizontalCentered="1"/>
  <pageMargins left="0.23622047244094491" right="0.35433070866141736" top="0.74803149606299213" bottom="0.74803149606299213" header="0.31496062992125984" footer="0.31496062992125984"/>
  <pageSetup paperSize="9" scale="37"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B901-E32A-4DA6-BBE6-1DBB55211A0C}">
  <sheetPr>
    <tabColor theme="9" tint="0.59999389629810485"/>
    <pageSetUpPr fitToPage="1"/>
  </sheetPr>
  <dimension ref="B1:U60"/>
  <sheetViews>
    <sheetView showGridLines="0" tabSelected="1" view="pageBreakPreview" zoomScale="90" zoomScaleNormal="55" zoomScaleSheetLayoutView="90" workbookViewId="0">
      <selection activeCell="I72" sqref="I72"/>
    </sheetView>
  </sheetViews>
  <sheetFormatPr defaultColWidth="8.6640625" defaultRowHeight="13.5"/>
  <cols>
    <col min="1" max="1" width="1" style="71" customWidth="1"/>
    <col min="2" max="4" width="2.88671875" style="72" customWidth="1"/>
    <col min="5" max="5" width="39.109375" style="72" customWidth="1"/>
    <col min="6" max="6" width="15.77734375" style="72" customWidth="1"/>
    <col min="7" max="9" width="14.21875" style="72" customWidth="1"/>
    <col min="10" max="17" width="15.77734375" style="72" customWidth="1"/>
    <col min="18" max="18" width="2.5546875" style="71" customWidth="1"/>
    <col min="19" max="19" width="16.109375" style="71" bestFit="1" customWidth="1"/>
    <col min="20" max="20" width="14.44140625" style="71" customWidth="1"/>
    <col min="21" max="16384" width="8.6640625" style="71"/>
  </cols>
  <sheetData>
    <row r="1" spans="2:20" ht="14.25" customHeight="1">
      <c r="B1" s="73" t="s">
        <v>14946</v>
      </c>
      <c r="C1" s="73"/>
      <c r="D1" s="73"/>
      <c r="E1" s="73"/>
      <c r="F1" s="73"/>
      <c r="G1" s="73"/>
      <c r="H1" s="73"/>
      <c r="I1" s="73"/>
      <c r="J1" s="73"/>
      <c r="K1" s="73"/>
      <c r="L1" s="73"/>
      <c r="M1" s="73"/>
      <c r="N1" s="73"/>
      <c r="O1" s="73"/>
      <c r="P1" s="73"/>
      <c r="Q1" s="73"/>
    </row>
    <row r="2" spans="2:20" ht="14.25" customHeight="1">
      <c r="B2" s="73"/>
      <c r="C2" s="73"/>
      <c r="D2" s="73"/>
      <c r="E2" s="73"/>
      <c r="F2" s="73"/>
      <c r="G2" s="73"/>
      <c r="H2" s="73"/>
      <c r="I2" s="73"/>
      <c r="J2" s="73"/>
      <c r="K2" s="73"/>
      <c r="L2" s="73"/>
      <c r="M2" s="73"/>
      <c r="N2" s="73"/>
      <c r="O2" s="73"/>
      <c r="P2" s="73"/>
      <c r="Q2" s="73"/>
      <c r="S2" s="201"/>
      <c r="T2" s="201"/>
    </row>
    <row r="3" spans="2:20" ht="22.5" customHeight="1">
      <c r="B3" s="398" t="s">
        <v>15297</v>
      </c>
      <c r="C3" s="398"/>
      <c r="D3" s="398"/>
      <c r="E3" s="398"/>
      <c r="F3" s="398"/>
      <c r="G3" s="398"/>
      <c r="H3" s="398"/>
      <c r="I3" s="398"/>
      <c r="J3" s="398"/>
      <c r="K3" s="398"/>
      <c r="L3" s="398"/>
      <c r="M3" s="398"/>
      <c r="N3" s="398"/>
      <c r="O3" s="398"/>
      <c r="P3" s="398"/>
      <c r="Q3" s="398"/>
    </row>
    <row r="4" spans="2:20" ht="14.1" customHeight="1">
      <c r="B4" s="73"/>
      <c r="C4" s="73"/>
      <c r="D4" s="73"/>
      <c r="E4" s="73"/>
      <c r="F4" s="73"/>
      <c r="G4" s="73"/>
      <c r="H4" s="73"/>
      <c r="I4" s="73"/>
      <c r="J4" s="73"/>
      <c r="K4" s="73"/>
      <c r="L4" s="73"/>
      <c r="M4" s="73"/>
      <c r="N4" s="73"/>
      <c r="O4" s="73"/>
      <c r="P4" s="73"/>
      <c r="Q4" s="73"/>
    </row>
    <row r="5" spans="2:20" ht="34.5" customHeight="1">
      <c r="B5" s="388" t="s">
        <v>14948</v>
      </c>
      <c r="C5" s="389"/>
      <c r="D5" s="389"/>
      <c r="E5" s="390"/>
      <c r="F5" s="328" t="s">
        <v>14934</v>
      </c>
      <c r="G5" s="328" t="s">
        <v>14949</v>
      </c>
      <c r="H5" s="328" t="s">
        <v>14935</v>
      </c>
      <c r="I5" s="328" t="s">
        <v>15298</v>
      </c>
      <c r="J5" s="331" t="s">
        <v>14936</v>
      </c>
      <c r="K5" s="330" t="s">
        <v>14937</v>
      </c>
      <c r="L5" s="330" t="s">
        <v>14950</v>
      </c>
      <c r="M5" s="330" t="s">
        <v>14951</v>
      </c>
      <c r="N5" s="330" t="s">
        <v>14952</v>
      </c>
      <c r="O5" s="388" t="s">
        <v>14953</v>
      </c>
      <c r="P5" s="390"/>
      <c r="Q5" s="84" t="s">
        <v>14954</v>
      </c>
    </row>
    <row r="6" spans="2:20" ht="14.25" customHeight="1">
      <c r="B6" s="391"/>
      <c r="C6" s="392"/>
      <c r="D6" s="392"/>
      <c r="E6" s="393"/>
      <c r="F6" s="88" t="s">
        <v>14955</v>
      </c>
      <c r="G6" s="88" t="s">
        <v>14956</v>
      </c>
      <c r="H6" s="88" t="s">
        <v>14957</v>
      </c>
      <c r="I6" s="88" t="s">
        <v>14958</v>
      </c>
      <c r="J6" s="332" t="s">
        <v>14940</v>
      </c>
      <c r="K6" s="90" t="s">
        <v>14941</v>
      </c>
      <c r="L6" s="90" t="s">
        <v>14945</v>
      </c>
      <c r="M6" s="90" t="s">
        <v>14959</v>
      </c>
      <c r="N6" s="90" t="s">
        <v>14960</v>
      </c>
      <c r="O6" s="92" t="s">
        <v>14961</v>
      </c>
      <c r="P6" s="93" t="s">
        <v>14962</v>
      </c>
      <c r="Q6" s="111"/>
    </row>
    <row r="7" spans="2:20" ht="16.5" customHeight="1">
      <c r="B7" s="159"/>
      <c r="F7" s="98" t="s">
        <v>14963</v>
      </c>
      <c r="G7" s="98" t="s">
        <v>14963</v>
      </c>
      <c r="H7" s="98" t="s">
        <v>14963</v>
      </c>
      <c r="I7" s="98" t="s">
        <v>14963</v>
      </c>
      <c r="J7" s="333" t="s">
        <v>14963</v>
      </c>
      <c r="K7" s="98" t="s">
        <v>14963</v>
      </c>
      <c r="L7" s="101" t="s">
        <v>14963</v>
      </c>
      <c r="M7" s="101" t="s">
        <v>14963</v>
      </c>
      <c r="N7" s="101" t="s">
        <v>14963</v>
      </c>
      <c r="O7" s="101" t="s">
        <v>14963</v>
      </c>
      <c r="P7" s="101" t="s">
        <v>14963</v>
      </c>
      <c r="Q7" s="334"/>
    </row>
    <row r="8" spans="2:20" ht="16.5" customHeight="1">
      <c r="B8" s="159" t="s">
        <v>15261</v>
      </c>
      <c r="C8" s="103"/>
      <c r="D8" s="103"/>
      <c r="E8" s="103"/>
      <c r="F8" s="106">
        <v>35770401</v>
      </c>
      <c r="G8" s="106">
        <v>0</v>
      </c>
      <c r="H8" s="106">
        <v>35770401</v>
      </c>
      <c r="I8" s="106">
        <v>35770401</v>
      </c>
      <c r="J8" s="109">
        <v>35770401</v>
      </c>
      <c r="K8" s="108">
        <v>35770401</v>
      </c>
      <c r="L8" s="108">
        <v>7154080</v>
      </c>
      <c r="M8" s="109">
        <v>7249800</v>
      </c>
      <c r="N8" s="109">
        <v>7249800</v>
      </c>
      <c r="O8" s="335">
        <v>95720</v>
      </c>
      <c r="P8" s="108">
        <v>0</v>
      </c>
      <c r="Q8" s="336"/>
    </row>
    <row r="9" spans="2:20" ht="16.5" customHeight="1">
      <c r="B9" s="159"/>
      <c r="C9" s="337" t="s">
        <v>15021</v>
      </c>
      <c r="D9" s="115" t="s">
        <v>15299</v>
      </c>
      <c r="E9" s="115"/>
      <c r="F9" s="118">
        <v>7480665</v>
      </c>
      <c r="G9" s="118">
        <v>0</v>
      </c>
      <c r="H9" s="106">
        <v>7480665</v>
      </c>
      <c r="I9" s="118">
        <v>7480665</v>
      </c>
      <c r="J9" s="120"/>
      <c r="K9" s="120"/>
      <c r="L9" s="120"/>
      <c r="M9" s="120"/>
      <c r="N9" s="120"/>
      <c r="O9" s="120"/>
      <c r="P9" s="120"/>
      <c r="Q9" s="338"/>
    </row>
    <row r="10" spans="2:20" ht="16.5" customHeight="1">
      <c r="B10" s="339"/>
      <c r="C10" s="160"/>
      <c r="D10" s="324" t="s">
        <v>15300</v>
      </c>
      <c r="E10" s="325" t="s">
        <v>15301</v>
      </c>
      <c r="F10" s="129">
        <v>6006465</v>
      </c>
      <c r="G10" s="129">
        <v>0</v>
      </c>
      <c r="H10" s="106">
        <v>6006465</v>
      </c>
      <c r="I10" s="129">
        <v>6006465</v>
      </c>
      <c r="J10" s="120"/>
      <c r="K10" s="120"/>
      <c r="L10" s="120"/>
      <c r="M10" s="120"/>
      <c r="N10" s="120"/>
      <c r="O10" s="120"/>
      <c r="P10" s="120"/>
      <c r="Q10" s="338"/>
    </row>
    <row r="11" spans="2:20" ht="16.5" customHeight="1">
      <c r="B11" s="339"/>
      <c r="C11" s="160"/>
      <c r="D11" s="105" t="s">
        <v>15302</v>
      </c>
      <c r="E11" s="103" t="s">
        <v>15303</v>
      </c>
      <c r="F11" s="129">
        <v>0</v>
      </c>
      <c r="G11" s="129">
        <v>0</v>
      </c>
      <c r="H11" s="106">
        <v>0</v>
      </c>
      <c r="I11" s="129">
        <v>0</v>
      </c>
      <c r="J11" s="120"/>
      <c r="K11" s="120"/>
      <c r="L11" s="120"/>
      <c r="M11" s="120"/>
      <c r="N11" s="120"/>
      <c r="O11" s="120"/>
      <c r="P11" s="120"/>
      <c r="Q11" s="338"/>
    </row>
    <row r="12" spans="2:20" ht="16.5" customHeight="1">
      <c r="B12" s="339"/>
      <c r="C12" s="160"/>
      <c r="D12" s="324" t="s">
        <v>15304</v>
      </c>
      <c r="E12" s="103" t="s">
        <v>15305</v>
      </c>
      <c r="F12" s="129">
        <v>1474200</v>
      </c>
      <c r="G12" s="129">
        <v>0</v>
      </c>
      <c r="H12" s="106">
        <v>1474200</v>
      </c>
      <c r="I12" s="129">
        <v>1474200</v>
      </c>
      <c r="J12" s="120"/>
      <c r="K12" s="120"/>
      <c r="L12" s="120"/>
      <c r="M12" s="120"/>
      <c r="N12" s="120"/>
      <c r="O12" s="120"/>
      <c r="P12" s="120"/>
      <c r="Q12" s="338"/>
    </row>
    <row r="13" spans="2:20" ht="16.5" customHeight="1">
      <c r="B13" s="339"/>
      <c r="C13" s="339"/>
      <c r="D13" s="324" t="s">
        <v>15306</v>
      </c>
      <c r="E13" s="103" t="s">
        <v>15307</v>
      </c>
      <c r="F13" s="129">
        <v>0</v>
      </c>
      <c r="G13" s="129">
        <v>0</v>
      </c>
      <c r="H13" s="106">
        <v>0</v>
      </c>
      <c r="I13" s="129">
        <v>0</v>
      </c>
      <c r="J13" s="120"/>
      <c r="K13" s="120"/>
      <c r="L13" s="120"/>
      <c r="M13" s="120"/>
      <c r="N13" s="120"/>
      <c r="O13" s="120"/>
      <c r="P13" s="120"/>
      <c r="Q13" s="338"/>
    </row>
    <row r="14" spans="2:20" ht="16.5" customHeight="1">
      <c r="B14" s="339"/>
      <c r="C14" s="339"/>
      <c r="D14" s="105" t="s">
        <v>15308</v>
      </c>
      <c r="E14" s="103" t="s">
        <v>15309</v>
      </c>
      <c r="F14" s="129">
        <v>0</v>
      </c>
      <c r="G14" s="129">
        <v>0</v>
      </c>
      <c r="H14" s="106">
        <v>0</v>
      </c>
      <c r="I14" s="129">
        <v>0</v>
      </c>
      <c r="J14" s="120"/>
      <c r="K14" s="120"/>
      <c r="L14" s="120"/>
      <c r="M14" s="120"/>
      <c r="N14" s="120"/>
      <c r="O14" s="120"/>
      <c r="P14" s="120"/>
      <c r="Q14" s="338"/>
    </row>
    <row r="15" spans="2:20" ht="16.5" customHeight="1">
      <c r="B15" s="339"/>
      <c r="C15" s="339"/>
      <c r="D15" s="105" t="s">
        <v>15310</v>
      </c>
      <c r="E15" s="103" t="s">
        <v>15311</v>
      </c>
      <c r="F15" s="129">
        <v>0</v>
      </c>
      <c r="G15" s="129">
        <v>0</v>
      </c>
      <c r="H15" s="106">
        <v>0</v>
      </c>
      <c r="I15" s="129">
        <v>0</v>
      </c>
      <c r="J15" s="120"/>
      <c r="K15" s="120"/>
      <c r="L15" s="120"/>
      <c r="M15" s="120"/>
      <c r="N15" s="120"/>
      <c r="O15" s="120"/>
      <c r="P15" s="120"/>
      <c r="Q15" s="338"/>
    </row>
    <row r="16" spans="2:20" ht="16.5" customHeight="1">
      <c r="B16" s="339"/>
      <c r="C16" s="337" t="s">
        <v>15312</v>
      </c>
      <c r="D16" s="115" t="s">
        <v>15313</v>
      </c>
      <c r="E16" s="115"/>
      <c r="F16" s="118">
        <v>24427941</v>
      </c>
      <c r="G16" s="118">
        <v>0</v>
      </c>
      <c r="H16" s="106">
        <v>24427941</v>
      </c>
      <c r="I16" s="118">
        <v>24427941</v>
      </c>
      <c r="J16" s="120"/>
      <c r="K16" s="120"/>
      <c r="L16" s="120"/>
      <c r="M16" s="120"/>
      <c r="N16" s="120"/>
      <c r="O16" s="120"/>
      <c r="P16" s="120"/>
      <c r="Q16" s="338"/>
    </row>
    <row r="17" spans="2:21" ht="16.5" customHeight="1">
      <c r="B17" s="339"/>
      <c r="C17" s="339"/>
      <c r="D17" s="135" t="s">
        <v>15300</v>
      </c>
      <c r="E17" s="325" t="s">
        <v>15314</v>
      </c>
      <c r="F17" s="129">
        <v>22760141</v>
      </c>
      <c r="G17" s="129">
        <v>0</v>
      </c>
      <c r="H17" s="106">
        <v>22760141</v>
      </c>
      <c r="I17" s="129">
        <v>22760141</v>
      </c>
      <c r="J17" s="120"/>
      <c r="K17" s="120"/>
      <c r="L17" s="120"/>
      <c r="M17" s="120"/>
      <c r="N17" s="120"/>
      <c r="O17" s="120"/>
      <c r="P17" s="120"/>
      <c r="Q17" s="338"/>
    </row>
    <row r="18" spans="2:21" ht="16.5" customHeight="1">
      <c r="B18" s="339"/>
      <c r="C18" s="339"/>
      <c r="D18" s="324" t="s">
        <v>15302</v>
      </c>
      <c r="E18" s="103" t="s">
        <v>15315</v>
      </c>
      <c r="F18" s="129">
        <v>0</v>
      </c>
      <c r="G18" s="129">
        <v>0</v>
      </c>
      <c r="H18" s="106">
        <v>0</v>
      </c>
      <c r="I18" s="129">
        <v>0</v>
      </c>
      <c r="J18" s="120"/>
      <c r="K18" s="120"/>
      <c r="L18" s="120"/>
      <c r="M18" s="120"/>
      <c r="N18" s="120"/>
      <c r="O18" s="120"/>
      <c r="P18" s="120"/>
      <c r="Q18" s="338"/>
    </row>
    <row r="19" spans="2:21" ht="16.5" customHeight="1">
      <c r="B19" s="339"/>
      <c r="C19" s="339"/>
      <c r="D19" s="105" t="s">
        <v>15304</v>
      </c>
      <c r="E19" s="103" t="s">
        <v>15316</v>
      </c>
      <c r="F19" s="129">
        <v>1667800</v>
      </c>
      <c r="G19" s="129">
        <v>0</v>
      </c>
      <c r="H19" s="106">
        <v>1667800</v>
      </c>
      <c r="I19" s="129">
        <v>1667800</v>
      </c>
      <c r="J19" s="120"/>
      <c r="K19" s="120"/>
      <c r="L19" s="120"/>
      <c r="M19" s="120"/>
      <c r="N19" s="120"/>
      <c r="O19" s="120"/>
      <c r="P19" s="120"/>
      <c r="Q19" s="338"/>
      <c r="U19" s="340"/>
    </row>
    <row r="20" spans="2:21" ht="16.5" customHeight="1">
      <c r="B20" s="339"/>
      <c r="C20" s="160"/>
      <c r="D20" s="324" t="s">
        <v>15306</v>
      </c>
      <c r="E20" s="103" t="s">
        <v>15317</v>
      </c>
      <c r="F20" s="129">
        <v>0</v>
      </c>
      <c r="G20" s="129">
        <v>0</v>
      </c>
      <c r="H20" s="106">
        <v>0</v>
      </c>
      <c r="I20" s="129">
        <v>0</v>
      </c>
      <c r="J20" s="120"/>
      <c r="K20" s="120"/>
      <c r="L20" s="120"/>
      <c r="M20" s="120"/>
      <c r="N20" s="120"/>
      <c r="O20" s="120"/>
      <c r="P20" s="120"/>
      <c r="Q20" s="338"/>
    </row>
    <row r="21" spans="2:21" ht="16.5" customHeight="1">
      <c r="B21" s="339"/>
      <c r="C21" s="341"/>
      <c r="D21" s="324" t="s">
        <v>15308</v>
      </c>
      <c r="E21" s="103" t="s">
        <v>15311</v>
      </c>
      <c r="F21" s="129">
        <v>0</v>
      </c>
      <c r="G21" s="129">
        <v>0</v>
      </c>
      <c r="H21" s="106">
        <v>0</v>
      </c>
      <c r="I21" s="129">
        <v>0</v>
      </c>
      <c r="J21" s="120"/>
      <c r="K21" s="120"/>
      <c r="L21" s="120"/>
      <c r="M21" s="120"/>
      <c r="N21" s="120"/>
      <c r="O21" s="120"/>
      <c r="P21" s="120"/>
      <c r="Q21" s="338"/>
    </row>
    <row r="22" spans="2:21" ht="16.5" customHeight="1">
      <c r="B22" s="339"/>
      <c r="C22" s="337" t="s">
        <v>15032</v>
      </c>
      <c r="D22" s="115" t="s">
        <v>15318</v>
      </c>
      <c r="E22" s="115"/>
      <c r="F22" s="118">
        <v>0</v>
      </c>
      <c r="G22" s="118">
        <v>0</v>
      </c>
      <c r="H22" s="106">
        <v>0</v>
      </c>
      <c r="I22" s="118">
        <v>0</v>
      </c>
      <c r="J22" s="120"/>
      <c r="K22" s="120"/>
      <c r="L22" s="120"/>
      <c r="M22" s="120"/>
      <c r="N22" s="120"/>
      <c r="O22" s="120"/>
      <c r="P22" s="120"/>
      <c r="Q22" s="338"/>
    </row>
    <row r="23" spans="2:21" ht="16.5" customHeight="1">
      <c r="B23" s="339"/>
      <c r="C23" s="339"/>
      <c r="D23" s="135" t="s">
        <v>15300</v>
      </c>
      <c r="E23" s="115" t="s">
        <v>15319</v>
      </c>
      <c r="F23" s="129">
        <v>0</v>
      </c>
      <c r="G23" s="129">
        <v>0</v>
      </c>
      <c r="H23" s="106">
        <v>0</v>
      </c>
      <c r="I23" s="129">
        <v>0</v>
      </c>
      <c r="J23" s="120"/>
      <c r="K23" s="120"/>
      <c r="L23" s="120"/>
      <c r="M23" s="120"/>
      <c r="N23" s="120"/>
      <c r="O23" s="120"/>
      <c r="P23" s="120"/>
      <c r="Q23" s="338"/>
    </row>
    <row r="24" spans="2:21" ht="16.5" customHeight="1">
      <c r="B24" s="339"/>
      <c r="C24" s="339"/>
      <c r="D24" s="105" t="s">
        <v>15302</v>
      </c>
      <c r="E24" s="103" t="s">
        <v>15320</v>
      </c>
      <c r="F24" s="129">
        <v>0</v>
      </c>
      <c r="G24" s="129">
        <v>0</v>
      </c>
      <c r="H24" s="106">
        <v>0</v>
      </c>
      <c r="I24" s="129">
        <v>0</v>
      </c>
      <c r="J24" s="120"/>
      <c r="K24" s="120"/>
      <c r="L24" s="120"/>
      <c r="M24" s="120"/>
      <c r="N24" s="120"/>
      <c r="O24" s="120"/>
      <c r="P24" s="120"/>
      <c r="Q24" s="338"/>
    </row>
    <row r="25" spans="2:21" ht="16.5" customHeight="1">
      <c r="B25" s="339"/>
      <c r="C25" s="339"/>
      <c r="D25" s="105" t="s">
        <v>15304</v>
      </c>
      <c r="E25" s="141" t="s">
        <v>15321</v>
      </c>
      <c r="F25" s="129">
        <v>0</v>
      </c>
      <c r="G25" s="129">
        <v>0</v>
      </c>
      <c r="H25" s="106">
        <v>0</v>
      </c>
      <c r="I25" s="129">
        <v>0</v>
      </c>
      <c r="J25" s="120"/>
      <c r="K25" s="120"/>
      <c r="L25" s="120"/>
      <c r="M25" s="120"/>
      <c r="N25" s="120"/>
      <c r="O25" s="120"/>
      <c r="P25" s="120"/>
      <c r="Q25" s="338"/>
    </row>
    <row r="26" spans="2:21" ht="16.5" customHeight="1">
      <c r="B26" s="339"/>
      <c r="C26" s="167"/>
      <c r="D26" s="324" t="s">
        <v>15306</v>
      </c>
      <c r="E26" s="103" t="s">
        <v>15311</v>
      </c>
      <c r="F26" s="129">
        <v>0</v>
      </c>
      <c r="G26" s="129">
        <v>0</v>
      </c>
      <c r="H26" s="106">
        <v>0</v>
      </c>
      <c r="I26" s="129">
        <v>0</v>
      </c>
      <c r="J26" s="120"/>
      <c r="K26" s="120"/>
      <c r="L26" s="120"/>
      <c r="M26" s="120"/>
      <c r="N26" s="120"/>
      <c r="O26" s="120"/>
      <c r="P26" s="120"/>
      <c r="Q26" s="338"/>
    </row>
    <row r="27" spans="2:21" ht="16.5" customHeight="1">
      <c r="B27" s="160"/>
      <c r="C27" s="337" t="s">
        <v>15322</v>
      </c>
      <c r="D27" s="115" t="s">
        <v>15323</v>
      </c>
      <c r="E27" s="115"/>
      <c r="F27" s="129">
        <v>2743560</v>
      </c>
      <c r="G27" s="129">
        <v>0</v>
      </c>
      <c r="H27" s="106">
        <v>2743560</v>
      </c>
      <c r="I27" s="129">
        <v>2743560</v>
      </c>
      <c r="J27" s="120"/>
      <c r="K27" s="120"/>
      <c r="L27" s="120"/>
      <c r="M27" s="120"/>
      <c r="N27" s="120"/>
      <c r="O27" s="120"/>
      <c r="P27" s="120"/>
      <c r="Q27" s="338"/>
    </row>
    <row r="28" spans="2:21" ht="16.5" customHeight="1">
      <c r="B28" s="160"/>
      <c r="C28" s="342" t="s">
        <v>15324</v>
      </c>
      <c r="D28" s="115"/>
      <c r="E28" s="115"/>
      <c r="F28" s="129">
        <v>99981</v>
      </c>
      <c r="G28" s="129">
        <v>0</v>
      </c>
      <c r="H28" s="106">
        <v>99981</v>
      </c>
      <c r="I28" s="129">
        <v>99981</v>
      </c>
      <c r="J28" s="120"/>
      <c r="K28" s="120"/>
      <c r="L28" s="120"/>
      <c r="M28" s="120"/>
      <c r="N28" s="120"/>
      <c r="O28" s="120"/>
      <c r="P28" s="120"/>
      <c r="Q28" s="338"/>
    </row>
    <row r="29" spans="2:21" ht="16.5" customHeight="1">
      <c r="B29" s="160"/>
      <c r="C29" s="342" t="s">
        <v>15325</v>
      </c>
      <c r="D29" s="115"/>
      <c r="E29" s="115"/>
      <c r="F29" s="129">
        <v>24552</v>
      </c>
      <c r="G29" s="129">
        <v>0</v>
      </c>
      <c r="H29" s="106">
        <v>24552</v>
      </c>
      <c r="I29" s="129">
        <v>24552</v>
      </c>
      <c r="J29" s="120"/>
      <c r="K29" s="120"/>
      <c r="L29" s="120"/>
      <c r="M29" s="120"/>
      <c r="N29" s="120"/>
      <c r="O29" s="120"/>
      <c r="P29" s="120"/>
      <c r="Q29" s="343"/>
    </row>
    <row r="30" spans="2:21" ht="16.5" customHeight="1">
      <c r="B30" s="339"/>
      <c r="C30" s="337" t="s">
        <v>15326</v>
      </c>
      <c r="D30" s="115" t="s">
        <v>15327</v>
      </c>
      <c r="E30" s="115"/>
      <c r="F30" s="118">
        <v>993702</v>
      </c>
      <c r="G30" s="118">
        <v>0</v>
      </c>
      <c r="H30" s="106">
        <v>993702</v>
      </c>
      <c r="I30" s="118">
        <v>993702</v>
      </c>
      <c r="J30" s="120"/>
      <c r="K30" s="120"/>
      <c r="L30" s="120"/>
      <c r="M30" s="120"/>
      <c r="N30" s="120"/>
      <c r="O30" s="120"/>
      <c r="P30" s="120"/>
      <c r="Q30" s="338"/>
    </row>
    <row r="31" spans="2:21" ht="16.5" customHeight="1">
      <c r="B31" s="339"/>
      <c r="C31" s="339"/>
      <c r="D31" s="135" t="s">
        <v>15300</v>
      </c>
      <c r="E31" s="115" t="s">
        <v>15328</v>
      </c>
      <c r="F31" s="129">
        <v>0</v>
      </c>
      <c r="G31" s="129">
        <v>0</v>
      </c>
      <c r="H31" s="106">
        <v>0</v>
      </c>
      <c r="I31" s="129">
        <v>0</v>
      </c>
      <c r="J31" s="120"/>
      <c r="K31" s="120"/>
      <c r="L31" s="120"/>
      <c r="M31" s="120"/>
      <c r="N31" s="120"/>
      <c r="O31" s="120"/>
      <c r="P31" s="120"/>
      <c r="Q31" s="338"/>
    </row>
    <row r="32" spans="2:21" ht="16.5" customHeight="1">
      <c r="B32" s="339"/>
      <c r="C32" s="339"/>
      <c r="D32" s="105" t="s">
        <v>15302</v>
      </c>
      <c r="E32" s="103" t="s">
        <v>15329</v>
      </c>
      <c r="F32" s="129">
        <v>0</v>
      </c>
      <c r="G32" s="129">
        <v>0</v>
      </c>
      <c r="H32" s="106">
        <v>0</v>
      </c>
      <c r="I32" s="129">
        <v>0</v>
      </c>
      <c r="J32" s="120"/>
      <c r="K32" s="120"/>
      <c r="L32" s="120"/>
      <c r="M32" s="120"/>
      <c r="N32" s="120"/>
      <c r="O32" s="120"/>
      <c r="P32" s="120"/>
      <c r="Q32" s="338"/>
    </row>
    <row r="33" spans="2:17" ht="16.5" customHeight="1">
      <c r="B33" s="339"/>
      <c r="C33" s="339"/>
      <c r="D33" s="105" t="s">
        <v>15304</v>
      </c>
      <c r="E33" s="141" t="s">
        <v>15330</v>
      </c>
      <c r="F33" s="129">
        <v>993702</v>
      </c>
      <c r="G33" s="129">
        <v>0</v>
      </c>
      <c r="H33" s="106">
        <v>993702</v>
      </c>
      <c r="I33" s="129">
        <v>993702</v>
      </c>
      <c r="J33" s="120"/>
      <c r="K33" s="120"/>
      <c r="L33" s="120"/>
      <c r="M33" s="120"/>
      <c r="N33" s="120"/>
      <c r="O33" s="120"/>
      <c r="P33" s="120"/>
      <c r="Q33" s="338"/>
    </row>
    <row r="34" spans="2:17" ht="16.5" customHeight="1">
      <c r="B34" s="339"/>
      <c r="C34" s="160"/>
      <c r="D34" s="105" t="s">
        <v>15306</v>
      </c>
      <c r="E34" s="141" t="s">
        <v>15006</v>
      </c>
      <c r="F34" s="129">
        <v>0</v>
      </c>
      <c r="G34" s="129">
        <v>0</v>
      </c>
      <c r="H34" s="106">
        <v>0</v>
      </c>
      <c r="I34" s="129">
        <v>0</v>
      </c>
      <c r="J34" s="120"/>
      <c r="K34" s="120"/>
      <c r="L34" s="120"/>
      <c r="M34" s="120"/>
      <c r="N34" s="120"/>
      <c r="O34" s="120"/>
      <c r="P34" s="120"/>
      <c r="Q34" s="338"/>
    </row>
    <row r="35" spans="2:17" ht="16.5" customHeight="1">
      <c r="B35" s="339"/>
      <c r="C35" s="341"/>
      <c r="D35" s="105" t="s">
        <v>15308</v>
      </c>
      <c r="E35" s="103" t="s">
        <v>15331</v>
      </c>
      <c r="F35" s="129">
        <v>0</v>
      </c>
      <c r="G35" s="129">
        <v>0</v>
      </c>
      <c r="H35" s="106">
        <v>0</v>
      </c>
      <c r="I35" s="129">
        <v>0</v>
      </c>
      <c r="J35" s="120"/>
      <c r="K35" s="120"/>
      <c r="L35" s="120"/>
      <c r="M35" s="120"/>
      <c r="N35" s="120"/>
      <c r="O35" s="120"/>
      <c r="P35" s="120"/>
      <c r="Q35" s="338"/>
    </row>
    <row r="36" spans="2:17" ht="16.5" customHeight="1">
      <c r="B36" s="342" t="s">
        <v>15262</v>
      </c>
      <c r="C36" s="344"/>
      <c r="F36" s="118">
        <v>30888451</v>
      </c>
      <c r="G36" s="118">
        <v>6340080</v>
      </c>
      <c r="H36" s="106">
        <v>24548371</v>
      </c>
      <c r="I36" s="118">
        <v>24548371</v>
      </c>
      <c r="J36" s="116">
        <v>23915894</v>
      </c>
      <c r="K36" s="108">
        <v>23915894</v>
      </c>
      <c r="L36" s="108">
        <v>9207619</v>
      </c>
      <c r="M36" s="109">
        <v>9207619</v>
      </c>
      <c r="N36" s="109">
        <v>9207619</v>
      </c>
      <c r="O36" s="335">
        <v>0</v>
      </c>
      <c r="P36" s="108">
        <v>0</v>
      </c>
      <c r="Q36" s="338"/>
    </row>
    <row r="37" spans="2:17" ht="16.5" customHeight="1">
      <c r="B37" s="159"/>
      <c r="C37" s="375" t="s">
        <v>15332</v>
      </c>
      <c r="D37" s="394"/>
      <c r="E37" s="376"/>
      <c r="F37" s="118">
        <v>25943303</v>
      </c>
      <c r="G37" s="118">
        <v>6340080</v>
      </c>
      <c r="H37" s="106">
        <v>19603223</v>
      </c>
      <c r="I37" s="118">
        <v>19603223</v>
      </c>
      <c r="J37" s="120"/>
      <c r="K37" s="120"/>
      <c r="L37" s="120"/>
      <c r="M37" s="120"/>
      <c r="N37" s="120"/>
      <c r="O37" s="120"/>
      <c r="P37" s="120"/>
      <c r="Q37" s="338"/>
    </row>
    <row r="38" spans="2:17" ht="16.5" customHeight="1">
      <c r="B38" s="159"/>
      <c r="C38" s="342" t="s">
        <v>15333</v>
      </c>
      <c r="D38" s="345"/>
      <c r="E38" s="345"/>
      <c r="F38" s="118">
        <v>4945148</v>
      </c>
      <c r="G38" s="118">
        <v>0</v>
      </c>
      <c r="H38" s="106">
        <v>4945148</v>
      </c>
      <c r="I38" s="118">
        <v>4945148</v>
      </c>
      <c r="J38" s="120"/>
      <c r="K38" s="120"/>
      <c r="L38" s="120"/>
      <c r="M38" s="120"/>
      <c r="N38" s="120"/>
      <c r="O38" s="120"/>
      <c r="P38" s="120"/>
      <c r="Q38" s="338"/>
    </row>
    <row r="39" spans="2:17" ht="16.5" customHeight="1">
      <c r="B39" s="339"/>
      <c r="C39" s="159"/>
      <c r="D39" s="135" t="s">
        <v>15334</v>
      </c>
      <c r="E39" s="136"/>
      <c r="F39" s="129">
        <v>0</v>
      </c>
      <c r="G39" s="129">
        <v>0</v>
      </c>
      <c r="H39" s="106">
        <v>0</v>
      </c>
      <c r="I39" s="129">
        <v>0</v>
      </c>
      <c r="J39" s="120"/>
      <c r="K39" s="120"/>
      <c r="L39" s="120"/>
      <c r="M39" s="120"/>
      <c r="N39" s="120"/>
      <c r="O39" s="120"/>
      <c r="P39" s="120"/>
      <c r="Q39" s="338"/>
    </row>
    <row r="40" spans="2:17" ht="16.5" customHeight="1">
      <c r="B40" s="339"/>
      <c r="C40" s="159"/>
      <c r="D40" s="105" t="s">
        <v>15335</v>
      </c>
      <c r="E40" s="164"/>
      <c r="F40" s="129">
        <v>2586720</v>
      </c>
      <c r="G40" s="129">
        <v>0</v>
      </c>
      <c r="H40" s="106">
        <v>2586720</v>
      </c>
      <c r="I40" s="129">
        <v>2586720</v>
      </c>
      <c r="J40" s="120"/>
      <c r="K40" s="120"/>
      <c r="L40" s="120"/>
      <c r="M40" s="120"/>
      <c r="N40" s="120"/>
      <c r="O40" s="120"/>
      <c r="P40" s="120"/>
      <c r="Q40" s="338"/>
    </row>
    <row r="41" spans="2:17" ht="16.5" customHeight="1">
      <c r="B41" s="339"/>
      <c r="C41" s="159"/>
      <c r="D41" s="342" t="s">
        <v>15336</v>
      </c>
      <c r="E41" s="136"/>
      <c r="F41" s="118">
        <v>2358428</v>
      </c>
      <c r="G41" s="118">
        <v>0</v>
      </c>
      <c r="H41" s="106">
        <v>2358428</v>
      </c>
      <c r="I41" s="118">
        <v>2358428</v>
      </c>
      <c r="J41" s="120"/>
      <c r="K41" s="120"/>
      <c r="L41" s="120"/>
      <c r="M41" s="120"/>
      <c r="N41" s="120"/>
      <c r="O41" s="120"/>
      <c r="P41" s="120"/>
      <c r="Q41" s="338"/>
    </row>
    <row r="42" spans="2:17" ht="16.5" customHeight="1">
      <c r="B42" s="339"/>
      <c r="C42" s="159"/>
      <c r="D42" s="159"/>
      <c r="E42" s="117" t="s">
        <v>15337</v>
      </c>
      <c r="F42" s="129">
        <v>2358428</v>
      </c>
      <c r="G42" s="129">
        <v>0</v>
      </c>
      <c r="H42" s="106">
        <v>2358428</v>
      </c>
      <c r="I42" s="129">
        <v>2358428</v>
      </c>
      <c r="J42" s="120"/>
      <c r="K42" s="120"/>
      <c r="L42" s="120"/>
      <c r="M42" s="120"/>
      <c r="N42" s="120"/>
      <c r="O42" s="120"/>
      <c r="P42" s="120"/>
      <c r="Q42" s="338"/>
    </row>
    <row r="43" spans="2:17" ht="16.5" customHeight="1">
      <c r="B43" s="339"/>
      <c r="C43" s="159"/>
      <c r="D43" s="159"/>
      <c r="E43" s="111" t="s">
        <v>15338</v>
      </c>
      <c r="F43" s="129">
        <v>0</v>
      </c>
      <c r="G43" s="129">
        <v>0</v>
      </c>
      <c r="H43" s="106">
        <v>0</v>
      </c>
      <c r="I43" s="129">
        <v>0</v>
      </c>
      <c r="J43" s="120"/>
      <c r="K43" s="120"/>
      <c r="L43" s="120"/>
      <c r="M43" s="120"/>
      <c r="N43" s="120"/>
      <c r="O43" s="120"/>
      <c r="P43" s="120"/>
      <c r="Q43" s="338"/>
    </row>
    <row r="44" spans="2:17" ht="16.5" customHeight="1">
      <c r="B44" s="339"/>
      <c r="C44" s="159"/>
      <c r="D44" s="159"/>
      <c r="E44" s="346" t="s">
        <v>15339</v>
      </c>
      <c r="F44" s="129">
        <v>0</v>
      </c>
      <c r="G44" s="129">
        <v>0</v>
      </c>
      <c r="H44" s="106">
        <v>0</v>
      </c>
      <c r="I44" s="129">
        <v>0</v>
      </c>
      <c r="J44" s="120"/>
      <c r="K44" s="120"/>
      <c r="L44" s="120"/>
      <c r="M44" s="120"/>
      <c r="N44" s="120"/>
      <c r="O44" s="120"/>
      <c r="P44" s="120"/>
      <c r="Q44" s="338"/>
    </row>
    <row r="45" spans="2:17" ht="16.5" customHeight="1">
      <c r="B45" s="339"/>
      <c r="C45" s="159"/>
      <c r="D45" s="159"/>
      <c r="E45" s="111" t="s">
        <v>15340</v>
      </c>
      <c r="F45" s="129">
        <v>0</v>
      </c>
      <c r="G45" s="129">
        <v>0</v>
      </c>
      <c r="H45" s="106">
        <v>0</v>
      </c>
      <c r="I45" s="129">
        <v>0</v>
      </c>
      <c r="J45" s="120"/>
      <c r="K45" s="120"/>
      <c r="L45" s="120"/>
      <c r="M45" s="120"/>
      <c r="N45" s="120"/>
      <c r="O45" s="120"/>
      <c r="P45" s="120"/>
      <c r="Q45" s="338"/>
    </row>
    <row r="46" spans="2:17" ht="16.5" customHeight="1">
      <c r="B46" s="339"/>
      <c r="C46" s="159"/>
      <c r="D46" s="159"/>
      <c r="E46" s="346" t="s">
        <v>15341</v>
      </c>
      <c r="F46" s="129">
        <v>0</v>
      </c>
      <c r="G46" s="129">
        <v>0</v>
      </c>
      <c r="H46" s="106">
        <v>0</v>
      </c>
      <c r="I46" s="129">
        <v>0</v>
      </c>
      <c r="J46" s="120"/>
      <c r="K46" s="120"/>
      <c r="L46" s="120"/>
      <c r="M46" s="120"/>
      <c r="N46" s="120"/>
      <c r="O46" s="120"/>
      <c r="P46" s="120"/>
      <c r="Q46" s="338"/>
    </row>
    <row r="47" spans="2:17" ht="16.5" customHeight="1">
      <c r="B47" s="160"/>
      <c r="C47" s="347"/>
      <c r="D47" s="347"/>
      <c r="E47" s="348" t="s">
        <v>15342</v>
      </c>
      <c r="F47" s="129">
        <v>0</v>
      </c>
      <c r="G47" s="129">
        <v>0</v>
      </c>
      <c r="H47" s="106">
        <v>0</v>
      </c>
      <c r="I47" s="129">
        <v>0</v>
      </c>
      <c r="J47" s="120"/>
      <c r="K47" s="120"/>
      <c r="L47" s="120"/>
      <c r="M47" s="120"/>
      <c r="N47" s="120"/>
      <c r="O47" s="120"/>
      <c r="P47" s="120"/>
      <c r="Q47" s="338"/>
    </row>
    <row r="48" spans="2:17" ht="16.5" customHeight="1">
      <c r="B48" s="395" t="s">
        <v>15343</v>
      </c>
      <c r="C48" s="395"/>
      <c r="D48" s="395"/>
      <c r="E48" s="395"/>
      <c r="F48" s="118">
        <v>66658852</v>
      </c>
      <c r="G48" s="118">
        <v>6340080</v>
      </c>
      <c r="H48" s="106">
        <v>60318772</v>
      </c>
      <c r="I48" s="118">
        <v>60318772</v>
      </c>
      <c r="J48" s="120"/>
      <c r="K48" s="118">
        <v>59686295</v>
      </c>
      <c r="L48" s="118">
        <v>16361699</v>
      </c>
      <c r="M48" s="118">
        <v>16457419</v>
      </c>
      <c r="N48" s="118">
        <v>16457419</v>
      </c>
      <c r="O48" s="120"/>
      <c r="P48" s="120"/>
      <c r="Q48" s="338"/>
    </row>
    <row r="49" spans="2:17" ht="16.5" customHeight="1">
      <c r="B49" s="158" t="s">
        <v>15019</v>
      </c>
      <c r="C49" s="105"/>
      <c r="D49" s="103"/>
      <c r="E49" s="164"/>
      <c r="F49" s="118">
        <v>3046087</v>
      </c>
      <c r="G49" s="118">
        <v>0</v>
      </c>
      <c r="H49" s="106">
        <v>3046087</v>
      </c>
      <c r="I49" s="118">
        <v>3046087</v>
      </c>
      <c r="J49" s="129">
        <v>18620000</v>
      </c>
      <c r="K49" s="108">
        <v>3046087</v>
      </c>
      <c r="L49" s="108">
        <v>1172743</v>
      </c>
      <c r="M49" s="109">
        <v>1262415</v>
      </c>
      <c r="N49" s="109">
        <v>1262415</v>
      </c>
      <c r="O49" s="335">
        <v>89672</v>
      </c>
      <c r="P49" s="108">
        <v>0</v>
      </c>
      <c r="Q49" s="338"/>
    </row>
    <row r="50" spans="2:17" ht="16.5" customHeight="1">
      <c r="B50" s="160"/>
      <c r="C50" s="115" t="s">
        <v>15344</v>
      </c>
      <c r="D50" s="115"/>
      <c r="E50" s="164"/>
      <c r="F50" s="129">
        <v>689088</v>
      </c>
      <c r="G50" s="129">
        <v>0</v>
      </c>
      <c r="H50" s="106">
        <v>689088</v>
      </c>
      <c r="I50" s="129">
        <v>689088</v>
      </c>
      <c r="J50" s="120"/>
      <c r="K50" s="120"/>
      <c r="L50" s="120"/>
      <c r="M50" s="120"/>
      <c r="N50" s="120"/>
      <c r="O50" s="120"/>
      <c r="P50" s="120"/>
      <c r="Q50" s="338"/>
    </row>
    <row r="51" spans="2:17" ht="16.5" customHeight="1">
      <c r="B51" s="160"/>
      <c r="C51" s="342" t="s">
        <v>15345</v>
      </c>
      <c r="D51" s="115"/>
      <c r="E51" s="136"/>
      <c r="F51" s="118">
        <v>765533</v>
      </c>
      <c r="G51" s="118">
        <v>0</v>
      </c>
      <c r="H51" s="106">
        <v>765533</v>
      </c>
      <c r="I51" s="118">
        <v>765533</v>
      </c>
      <c r="J51" s="120"/>
      <c r="K51" s="120"/>
      <c r="L51" s="120"/>
      <c r="M51" s="120"/>
      <c r="N51" s="120"/>
      <c r="O51" s="120"/>
      <c r="P51" s="120"/>
      <c r="Q51" s="338"/>
    </row>
    <row r="52" spans="2:17" ht="20.100000000000001" customHeight="1">
      <c r="B52" s="160"/>
      <c r="C52" s="396"/>
      <c r="D52" s="135" t="s">
        <v>15346</v>
      </c>
      <c r="E52" s="164"/>
      <c r="F52" s="129">
        <v>765533</v>
      </c>
      <c r="G52" s="129">
        <v>0</v>
      </c>
      <c r="H52" s="106">
        <v>765533</v>
      </c>
      <c r="I52" s="129">
        <v>765533</v>
      </c>
      <c r="J52" s="120"/>
      <c r="K52" s="120"/>
      <c r="L52" s="120"/>
      <c r="M52" s="120"/>
      <c r="N52" s="120"/>
      <c r="O52" s="120"/>
      <c r="P52" s="120"/>
      <c r="Q52" s="338"/>
    </row>
    <row r="53" spans="2:17" ht="20.100000000000001" customHeight="1">
      <c r="B53" s="160"/>
      <c r="C53" s="397"/>
      <c r="D53" s="105" t="s">
        <v>15347</v>
      </c>
      <c r="E53" s="164"/>
      <c r="F53" s="129">
        <v>0</v>
      </c>
      <c r="G53" s="129">
        <v>0</v>
      </c>
      <c r="H53" s="106">
        <v>0</v>
      </c>
      <c r="I53" s="129">
        <v>0</v>
      </c>
      <c r="J53" s="120"/>
      <c r="K53" s="120"/>
      <c r="L53" s="120"/>
      <c r="M53" s="120"/>
      <c r="N53" s="120"/>
      <c r="O53" s="120"/>
      <c r="P53" s="120"/>
      <c r="Q53" s="338"/>
    </row>
    <row r="54" spans="2:17" ht="20.100000000000001" customHeight="1">
      <c r="B54" s="160"/>
      <c r="C54" s="103" t="s">
        <v>15348</v>
      </c>
      <c r="D54" s="103"/>
      <c r="E54" s="164"/>
      <c r="F54" s="129">
        <v>0</v>
      </c>
      <c r="G54" s="129">
        <v>0</v>
      </c>
      <c r="H54" s="106">
        <v>0</v>
      </c>
      <c r="I54" s="129">
        <v>0</v>
      </c>
      <c r="J54" s="120"/>
      <c r="K54" s="120"/>
      <c r="L54" s="120"/>
      <c r="M54" s="120"/>
      <c r="N54" s="120"/>
      <c r="O54" s="120"/>
      <c r="P54" s="120"/>
      <c r="Q54" s="338"/>
    </row>
    <row r="55" spans="2:17" ht="20.100000000000001" customHeight="1">
      <c r="B55" s="160"/>
      <c r="C55" s="115" t="s">
        <v>15349</v>
      </c>
      <c r="D55" s="115"/>
      <c r="E55" s="164"/>
      <c r="F55" s="129">
        <v>0</v>
      </c>
      <c r="G55" s="129">
        <v>0</v>
      </c>
      <c r="H55" s="106">
        <v>0</v>
      </c>
      <c r="I55" s="129">
        <v>0</v>
      </c>
      <c r="J55" s="120"/>
      <c r="K55" s="120"/>
      <c r="L55" s="120"/>
      <c r="M55" s="120"/>
      <c r="N55" s="120"/>
      <c r="O55" s="120"/>
      <c r="P55" s="120"/>
      <c r="Q55" s="349"/>
    </row>
    <row r="56" spans="2:17" ht="20.100000000000001" customHeight="1">
      <c r="B56" s="160"/>
      <c r="C56" s="115" t="s">
        <v>15350</v>
      </c>
      <c r="D56" s="115"/>
      <c r="E56" s="164"/>
      <c r="F56" s="129">
        <v>1020711</v>
      </c>
      <c r="G56" s="129">
        <v>0</v>
      </c>
      <c r="H56" s="106">
        <v>1020711</v>
      </c>
      <c r="I56" s="129">
        <v>1020711</v>
      </c>
      <c r="J56" s="120"/>
      <c r="K56" s="120"/>
      <c r="L56" s="120"/>
      <c r="M56" s="120"/>
      <c r="N56" s="120"/>
      <c r="O56" s="120"/>
      <c r="P56" s="120"/>
      <c r="Q56" s="349"/>
    </row>
    <row r="57" spans="2:17" ht="20.100000000000001" customHeight="1">
      <c r="B57" s="167"/>
      <c r="C57" s="103" t="s">
        <v>15351</v>
      </c>
      <c r="D57" s="103"/>
      <c r="E57" s="136"/>
      <c r="F57" s="129">
        <v>570755</v>
      </c>
      <c r="G57" s="129">
        <v>0</v>
      </c>
      <c r="H57" s="106">
        <v>570755</v>
      </c>
      <c r="I57" s="129">
        <v>570755</v>
      </c>
      <c r="J57" s="120"/>
      <c r="K57" s="120"/>
      <c r="L57" s="120"/>
      <c r="M57" s="120"/>
      <c r="N57" s="120"/>
      <c r="O57" s="120"/>
      <c r="P57" s="120"/>
      <c r="Q57" s="349"/>
    </row>
    <row r="58" spans="2:17" ht="16.5" customHeight="1">
      <c r="B58" s="383" t="s">
        <v>15352</v>
      </c>
      <c r="C58" s="384"/>
      <c r="D58" s="384"/>
      <c r="E58" s="385"/>
      <c r="F58" s="118">
        <v>69704939</v>
      </c>
      <c r="G58" s="118">
        <v>6340080</v>
      </c>
      <c r="H58" s="106">
        <v>63364859</v>
      </c>
      <c r="I58" s="118">
        <v>63364859</v>
      </c>
      <c r="J58" s="120"/>
      <c r="K58" s="118">
        <v>62732382</v>
      </c>
      <c r="L58" s="118">
        <v>17534442</v>
      </c>
      <c r="M58" s="118">
        <v>17719834</v>
      </c>
      <c r="N58" s="118">
        <v>17719834</v>
      </c>
      <c r="O58" s="335">
        <v>185392</v>
      </c>
      <c r="P58" s="108">
        <v>0</v>
      </c>
      <c r="Q58" s="350"/>
    </row>
    <row r="59" spans="2:17" ht="16.5" customHeight="1">
      <c r="B59" s="85"/>
      <c r="C59" s="85"/>
      <c r="D59" s="85"/>
      <c r="E59" s="85"/>
      <c r="F59" s="174"/>
      <c r="G59" s="174"/>
      <c r="H59" s="174"/>
      <c r="I59" s="174"/>
      <c r="J59" s="174"/>
      <c r="K59" s="174"/>
      <c r="L59" s="174"/>
      <c r="M59" s="174"/>
      <c r="N59" s="174"/>
      <c r="O59" s="174"/>
      <c r="P59" s="174"/>
    </row>
    <row r="60" spans="2:17" s="72" customFormat="1" ht="16.5" customHeight="1">
      <c r="P60" s="356">
        <f>[3]初期設定!B45</f>
        <v>0</v>
      </c>
      <c r="Q60" s="359"/>
    </row>
  </sheetData>
  <mergeCells count="7">
    <mergeCell ref="C52:C53"/>
    <mergeCell ref="B58:E58"/>
    <mergeCell ref="B3:Q3"/>
    <mergeCell ref="B5:E6"/>
    <mergeCell ref="O5:P5"/>
    <mergeCell ref="C37:E37"/>
    <mergeCell ref="B48:E48"/>
  </mergeCells>
  <phoneticPr fontId="3"/>
  <conditionalFormatting sqref="J8 M8:N8 I10:I15 I17:I21 F23:G29 I23:I29 F31:G35 I31:I35 F39:G40 I39:I40 F42:G47 I42:I47 M36:N36 F50:G50 I50 J49 M49:N49 I52:I57 F52:G57 F10:G15 F17:G21">
    <cfRule type="notContainsBlanks" dxfId="74" priority="1">
      <formula>LEN(TRIM(F8))&gt;0</formula>
    </cfRule>
  </conditionalFormatting>
  <printOptions horizontalCentered="1"/>
  <pageMargins left="0.23622047244094491" right="0.35433070866141736" top="0.74803149606299213" bottom="0.74803149606299213" header="0.31496062992125984" footer="0.31496062992125984"/>
  <pageSetup paperSize="9" scale="47" orientation="landscap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A9FEC-8637-4F36-8DDC-26D3845EC8F7}">
  <sheetPr>
    <tabColor theme="9" tint="0.59999389629810485"/>
    <pageSetUpPr fitToPage="1"/>
  </sheetPr>
  <dimension ref="A1:AG59"/>
  <sheetViews>
    <sheetView showGridLines="0" view="pageBreakPreview" topLeftCell="A16" zoomScale="90" zoomScaleNormal="55" zoomScaleSheetLayoutView="90" workbookViewId="0">
      <selection activeCell="E16" sqref="E16"/>
    </sheetView>
  </sheetViews>
  <sheetFormatPr defaultColWidth="8.88671875" defaultRowHeight="13.5"/>
  <cols>
    <col min="1" max="1" width="1.6640625" style="71" customWidth="1"/>
    <col min="2" max="4" width="2.88671875" style="72" customWidth="1"/>
    <col min="5" max="5" width="48.33203125" style="72" customWidth="1"/>
    <col min="6" max="6" width="10.6640625" style="72" hidden="1" customWidth="1"/>
    <col min="7" max="7" width="18.33203125" style="72" customWidth="1"/>
    <col min="8" max="8" width="10.6640625" style="72" hidden="1" customWidth="1"/>
    <col min="9" max="9" width="18.33203125" style="72" customWidth="1"/>
    <col min="10" max="10" width="10.77734375" style="72" hidden="1" customWidth="1"/>
    <col min="11" max="11" width="18.33203125" style="72" customWidth="1"/>
    <col min="12" max="12" width="10.77734375" style="72" hidden="1" customWidth="1"/>
    <col min="13" max="13" width="18.33203125" style="72" customWidth="1"/>
    <col min="14" max="14" width="10.77734375" style="72" hidden="1" customWidth="1"/>
    <col min="15" max="15" width="18.33203125" style="72" customWidth="1"/>
    <col min="16" max="16" width="10.77734375" style="72" hidden="1" customWidth="1"/>
    <col min="17" max="17" width="18.33203125" style="72" customWidth="1"/>
    <col min="18" max="18" width="10.77734375" style="72" hidden="1" customWidth="1"/>
    <col min="19" max="19" width="18.33203125" style="72" customWidth="1"/>
    <col min="20" max="20" width="10.6640625" style="72" hidden="1" customWidth="1"/>
    <col min="21" max="21" width="18.33203125" style="72" customWidth="1"/>
    <col min="22" max="22" width="10.6640625" style="72" hidden="1" customWidth="1"/>
    <col min="23" max="23" width="18.33203125" style="72" customWidth="1"/>
    <col min="24" max="24" width="10.6640625" style="72" hidden="1" customWidth="1"/>
    <col min="25" max="25" width="18.33203125" style="72" customWidth="1"/>
    <col min="26" max="26" width="10.6640625" style="72" hidden="1" customWidth="1"/>
    <col min="27" max="27" width="18.33203125" style="72" customWidth="1"/>
    <col min="28" max="28" width="10.6640625" style="72" hidden="1" customWidth="1"/>
    <col min="29" max="29" width="18.33203125" style="72" customWidth="1"/>
    <col min="30" max="30" width="8.21875" style="72" hidden="1" customWidth="1"/>
    <col min="31" max="32" width="18.33203125" style="72" hidden="1" customWidth="1"/>
    <col min="33" max="33" width="5.33203125" style="71" customWidth="1"/>
    <col min="34" max="35" width="65.6640625" style="71" customWidth="1"/>
    <col min="36" max="16384" width="8.88671875" style="71"/>
  </cols>
  <sheetData>
    <row r="1" spans="1:32">
      <c r="F1" s="72" t="s">
        <v>14928</v>
      </c>
      <c r="H1" s="72" t="s">
        <v>14928</v>
      </c>
      <c r="J1" s="72" t="s">
        <v>14928</v>
      </c>
      <c r="L1" s="72" t="s">
        <v>14928</v>
      </c>
      <c r="N1" s="72" t="s">
        <v>14928</v>
      </c>
      <c r="P1" s="72" t="s">
        <v>14928</v>
      </c>
      <c r="R1" s="72" t="s">
        <v>14928</v>
      </c>
      <c r="T1" s="72" t="s">
        <v>14928</v>
      </c>
      <c r="V1" s="72" t="s">
        <v>14928</v>
      </c>
      <c r="X1" s="72" t="s">
        <v>14928</v>
      </c>
      <c r="Z1" s="72" t="s">
        <v>14928</v>
      </c>
      <c r="AB1" s="72" t="s">
        <v>14928</v>
      </c>
    </row>
    <row r="2" spans="1:32" ht="14.1" customHeight="1">
      <c r="A2" s="73" t="s">
        <v>14946</v>
      </c>
    </row>
    <row r="3" spans="1:32" ht="22.5" customHeight="1">
      <c r="B3" s="398" t="s">
        <v>15296</v>
      </c>
      <c r="C3" s="398"/>
      <c r="D3" s="398"/>
      <c r="E3" s="398"/>
      <c r="F3" s="398"/>
      <c r="G3" s="398"/>
      <c r="H3" s="398"/>
      <c r="I3" s="398"/>
      <c r="J3" s="398"/>
      <c r="K3" s="398"/>
      <c r="L3" s="398"/>
      <c r="M3" s="398"/>
      <c r="N3" s="398"/>
      <c r="O3" s="398"/>
      <c r="P3" s="398"/>
      <c r="Q3" s="398"/>
      <c r="R3" s="398"/>
      <c r="S3" s="398"/>
      <c r="T3" s="398"/>
      <c r="U3" s="398"/>
      <c r="V3" s="398"/>
      <c r="W3" s="398"/>
      <c r="X3" s="398"/>
      <c r="Y3" s="398"/>
      <c r="Z3" s="398"/>
      <c r="AA3" s="398"/>
      <c r="AB3" s="398"/>
      <c r="AC3" s="398"/>
      <c r="AD3" s="74"/>
      <c r="AE3" s="74"/>
      <c r="AF3" s="74"/>
    </row>
    <row r="4" spans="1:32" ht="22.5" customHeight="1">
      <c r="B4" s="75"/>
      <c r="C4" s="75"/>
      <c r="D4" s="75"/>
      <c r="E4" s="76"/>
      <c r="F4" s="77"/>
      <c r="G4" s="78"/>
      <c r="H4" s="79"/>
      <c r="I4" s="78"/>
      <c r="J4" s="79"/>
      <c r="K4" s="78"/>
      <c r="L4" s="79"/>
      <c r="M4" s="78"/>
      <c r="N4" s="79"/>
      <c r="O4" s="78"/>
      <c r="P4" s="79"/>
      <c r="Q4" s="78"/>
      <c r="R4" s="79"/>
      <c r="S4" s="78"/>
      <c r="T4" s="78"/>
      <c r="U4" s="78"/>
      <c r="V4" s="78"/>
      <c r="W4" s="78"/>
      <c r="X4" s="78"/>
      <c r="Y4" s="78"/>
      <c r="Z4" s="78"/>
      <c r="AA4" s="78"/>
      <c r="AB4" s="78"/>
      <c r="AC4" s="78"/>
      <c r="AD4" s="78"/>
      <c r="AE4" s="78"/>
      <c r="AF4" s="78"/>
    </row>
    <row r="5" spans="1:32" ht="26.25" customHeight="1">
      <c r="B5" s="80"/>
      <c r="C5" s="80"/>
      <c r="D5" s="80"/>
      <c r="E5" s="76"/>
      <c r="F5" s="77"/>
      <c r="G5" s="78"/>
      <c r="H5" s="79"/>
      <c r="I5" s="78"/>
      <c r="J5" s="79"/>
      <c r="K5" s="78"/>
      <c r="L5" s="79"/>
      <c r="M5" s="78"/>
      <c r="N5" s="79"/>
      <c r="O5" s="78"/>
      <c r="P5" s="79"/>
      <c r="Q5" s="78"/>
      <c r="R5" s="79"/>
      <c r="S5" s="78"/>
      <c r="T5" s="78"/>
      <c r="U5" s="78"/>
      <c r="V5" s="78"/>
      <c r="W5" s="78"/>
      <c r="X5" s="78"/>
      <c r="Y5" s="78"/>
      <c r="Z5" s="78"/>
      <c r="AA5" s="78"/>
      <c r="AB5" s="78"/>
      <c r="AC5" s="81"/>
      <c r="AD5" s="81"/>
      <c r="AE5" s="81"/>
      <c r="AF5" s="81"/>
    </row>
    <row r="6" spans="1:32" ht="34.5" customHeight="1">
      <c r="B6" s="406" t="s">
        <v>14948</v>
      </c>
      <c r="C6" s="407"/>
      <c r="D6" s="407"/>
      <c r="E6" s="408"/>
      <c r="F6" s="329"/>
      <c r="G6" s="326" t="s">
        <v>14934</v>
      </c>
      <c r="H6" s="328"/>
      <c r="I6" s="326" t="s">
        <v>14949</v>
      </c>
      <c r="J6" s="328"/>
      <c r="K6" s="326" t="s">
        <v>14935</v>
      </c>
      <c r="L6" s="328"/>
      <c r="M6" s="82" t="s">
        <v>14944</v>
      </c>
      <c r="N6" s="328"/>
      <c r="O6" s="83" t="s">
        <v>14936</v>
      </c>
      <c r="P6" s="330"/>
      <c r="Q6" s="327" t="s">
        <v>14937</v>
      </c>
      <c r="R6" s="330"/>
      <c r="S6" s="327" t="s">
        <v>14950</v>
      </c>
      <c r="T6" s="327"/>
      <c r="U6" s="330" t="s">
        <v>14951</v>
      </c>
      <c r="V6" s="330"/>
      <c r="W6" s="330" t="s">
        <v>14952</v>
      </c>
      <c r="X6" s="329"/>
      <c r="Y6" s="388" t="s">
        <v>14953</v>
      </c>
      <c r="Z6" s="389"/>
      <c r="AA6" s="390"/>
      <c r="AB6" s="330"/>
      <c r="AC6" s="84" t="s">
        <v>14954</v>
      </c>
      <c r="AD6" s="85"/>
      <c r="AE6" s="85"/>
      <c r="AF6" s="85"/>
    </row>
    <row r="7" spans="1:32" ht="27" customHeight="1">
      <c r="B7" s="409"/>
      <c r="C7" s="410"/>
      <c r="D7" s="410"/>
      <c r="E7" s="411"/>
      <c r="F7" s="86"/>
      <c r="G7" s="87" t="s">
        <v>14955</v>
      </c>
      <c r="H7" s="88"/>
      <c r="I7" s="87" t="s">
        <v>14956</v>
      </c>
      <c r="J7" s="88"/>
      <c r="K7" s="87" t="s">
        <v>14957</v>
      </c>
      <c r="L7" s="88"/>
      <c r="M7" s="87" t="s">
        <v>14958</v>
      </c>
      <c r="N7" s="88"/>
      <c r="O7" s="89" t="s">
        <v>14940</v>
      </c>
      <c r="P7" s="90"/>
      <c r="Q7" s="91" t="s">
        <v>14941</v>
      </c>
      <c r="R7" s="90"/>
      <c r="S7" s="91" t="s">
        <v>14945</v>
      </c>
      <c r="T7" s="91"/>
      <c r="U7" s="90" t="s">
        <v>14959</v>
      </c>
      <c r="V7" s="90"/>
      <c r="W7" s="90" t="s">
        <v>14960</v>
      </c>
      <c r="X7" s="90"/>
      <c r="Y7" s="92" t="s">
        <v>14961</v>
      </c>
      <c r="Z7" s="93"/>
      <c r="AA7" s="93" t="s">
        <v>14962</v>
      </c>
      <c r="AB7" s="90"/>
      <c r="AC7" s="94"/>
      <c r="AD7" s="95"/>
      <c r="AE7" s="95"/>
      <c r="AF7" s="95"/>
    </row>
    <row r="8" spans="1:32" ht="14.25" customHeight="1">
      <c r="B8" s="96"/>
      <c r="C8" s="80"/>
      <c r="D8" s="80"/>
      <c r="E8" s="80"/>
      <c r="G8" s="97" t="s">
        <v>14963</v>
      </c>
      <c r="H8" s="98"/>
      <c r="I8" s="97" t="s">
        <v>14963</v>
      </c>
      <c r="J8" s="98"/>
      <c r="K8" s="97" t="s">
        <v>14963</v>
      </c>
      <c r="L8" s="98"/>
      <c r="M8" s="97" t="s">
        <v>14963</v>
      </c>
      <c r="N8" s="98"/>
      <c r="O8" s="99" t="s">
        <v>14963</v>
      </c>
      <c r="P8" s="98"/>
      <c r="Q8" s="97" t="s">
        <v>14963</v>
      </c>
      <c r="R8" s="98"/>
      <c r="S8" s="100" t="s">
        <v>14963</v>
      </c>
      <c r="T8" s="100"/>
      <c r="U8" s="101" t="s">
        <v>14963</v>
      </c>
      <c r="V8" s="101"/>
      <c r="W8" s="101" t="s">
        <v>14963</v>
      </c>
      <c r="X8" s="101"/>
      <c r="Y8" s="101" t="s">
        <v>14963</v>
      </c>
      <c r="Z8" s="101"/>
      <c r="AA8" s="101" t="s">
        <v>14963</v>
      </c>
      <c r="AB8" s="101"/>
      <c r="AC8" s="100" t="s">
        <v>14963</v>
      </c>
      <c r="AD8" s="76"/>
      <c r="AE8" s="77"/>
      <c r="AF8" s="77"/>
    </row>
    <row r="9" spans="1:32" ht="20.100000000000001" customHeight="1">
      <c r="B9" s="96" t="s">
        <v>14964</v>
      </c>
      <c r="C9" s="102"/>
      <c r="D9" s="102"/>
      <c r="E9" s="102"/>
      <c r="F9" s="103" t="s">
        <v>14053</v>
      </c>
      <c r="G9" s="104">
        <v>34677442</v>
      </c>
      <c r="H9" s="105" t="s">
        <v>14101</v>
      </c>
      <c r="I9" s="104">
        <v>0</v>
      </c>
      <c r="J9" s="106" t="s">
        <v>14149</v>
      </c>
      <c r="K9" s="107">
        <v>34677442</v>
      </c>
      <c r="L9" s="106" t="s">
        <v>14197</v>
      </c>
      <c r="M9" s="104">
        <v>34030529</v>
      </c>
      <c r="N9" s="106" t="s">
        <v>14245</v>
      </c>
      <c r="O9" s="108">
        <v>34030529</v>
      </c>
      <c r="P9" s="106" t="s">
        <v>14259</v>
      </c>
      <c r="Q9" s="106">
        <v>34030529</v>
      </c>
      <c r="R9" s="106" t="s">
        <v>14264</v>
      </c>
      <c r="S9" s="104">
        <v>6806105</v>
      </c>
      <c r="T9" s="104" t="s">
        <v>14269</v>
      </c>
      <c r="U9" s="109">
        <v>8011400</v>
      </c>
      <c r="V9" s="104" t="s">
        <v>14274</v>
      </c>
      <c r="W9" s="109">
        <v>8011400</v>
      </c>
      <c r="X9" s="104" t="s">
        <v>14279</v>
      </c>
      <c r="Y9" s="104">
        <v>1205295</v>
      </c>
      <c r="Z9" s="104" t="s">
        <v>14284</v>
      </c>
      <c r="AA9" s="104">
        <v>0</v>
      </c>
      <c r="AB9" s="110" t="s">
        <v>14289</v>
      </c>
      <c r="AC9" s="111"/>
    </row>
    <row r="10" spans="1:32" ht="20.100000000000001" customHeight="1">
      <c r="B10" s="96"/>
      <c r="C10" s="112" t="s">
        <v>14965</v>
      </c>
      <c r="D10" s="113" t="s">
        <v>14966</v>
      </c>
      <c r="E10" s="114"/>
      <c r="F10" s="115" t="s">
        <v>14054</v>
      </c>
      <c r="G10" s="116">
        <v>5135587</v>
      </c>
      <c r="H10" s="117" t="s">
        <v>14102</v>
      </c>
      <c r="I10" s="116">
        <v>0</v>
      </c>
      <c r="J10" s="118" t="s">
        <v>14150</v>
      </c>
      <c r="K10" s="119">
        <v>5135587</v>
      </c>
      <c r="L10" s="118" t="s">
        <v>14198</v>
      </c>
      <c r="M10" s="116">
        <v>5135587</v>
      </c>
      <c r="N10" s="120"/>
      <c r="O10" s="121"/>
      <c r="P10" s="120"/>
      <c r="Q10" s="121"/>
      <c r="R10" s="120"/>
      <c r="S10" s="121"/>
      <c r="T10" s="121"/>
      <c r="U10" s="121"/>
      <c r="V10" s="121"/>
      <c r="W10" s="121"/>
      <c r="X10" s="121"/>
      <c r="Y10" s="121"/>
      <c r="Z10" s="121"/>
      <c r="AA10" s="121"/>
      <c r="AB10" s="122" t="s">
        <v>14290</v>
      </c>
      <c r="AC10" s="123"/>
      <c r="AD10" s="124"/>
      <c r="AE10" s="412" t="s">
        <v>14938</v>
      </c>
      <c r="AF10" s="373"/>
    </row>
    <row r="11" spans="1:32" ht="20.100000000000001" customHeight="1">
      <c r="B11" s="125"/>
      <c r="C11" s="126"/>
      <c r="D11" s="127" t="s">
        <v>14967</v>
      </c>
      <c r="E11" s="128" t="s">
        <v>14968</v>
      </c>
      <c r="F11" s="325" t="s">
        <v>14055</v>
      </c>
      <c r="G11" s="129">
        <v>4782787</v>
      </c>
      <c r="H11" s="116" t="s">
        <v>14103</v>
      </c>
      <c r="I11" s="129">
        <v>0</v>
      </c>
      <c r="J11" s="116" t="s">
        <v>14151</v>
      </c>
      <c r="K11" s="119">
        <v>4782787</v>
      </c>
      <c r="L11" s="118" t="s">
        <v>14199</v>
      </c>
      <c r="M11" s="129">
        <v>4782787</v>
      </c>
      <c r="N11" s="120"/>
      <c r="O11" s="121"/>
      <c r="P11" s="120"/>
      <c r="Q11" s="121"/>
      <c r="R11" s="120"/>
      <c r="S11" s="121"/>
      <c r="T11" s="121"/>
      <c r="U11" s="121"/>
      <c r="V11" s="121"/>
      <c r="W11" s="121"/>
      <c r="X11" s="121"/>
      <c r="Y11" s="121"/>
      <c r="Z11" s="121"/>
      <c r="AA11" s="121"/>
      <c r="AB11" s="122" t="s">
        <v>14291</v>
      </c>
      <c r="AC11" s="123"/>
      <c r="AD11" s="124"/>
      <c r="AE11" s="130" t="s">
        <v>14969</v>
      </c>
      <c r="AF11" s="131"/>
    </row>
    <row r="12" spans="1:32" ht="20.100000000000001" customHeight="1">
      <c r="B12" s="125"/>
      <c r="C12" s="126"/>
      <c r="D12" s="132" t="s">
        <v>14970</v>
      </c>
      <c r="E12" s="102" t="s">
        <v>14971</v>
      </c>
      <c r="F12" s="103" t="s">
        <v>14056</v>
      </c>
      <c r="G12" s="129">
        <v>0</v>
      </c>
      <c r="H12" s="116" t="s">
        <v>14104</v>
      </c>
      <c r="I12" s="129">
        <v>0</v>
      </c>
      <c r="J12" s="116" t="s">
        <v>14152</v>
      </c>
      <c r="K12" s="119">
        <v>0</v>
      </c>
      <c r="L12" s="118" t="s">
        <v>14200</v>
      </c>
      <c r="M12" s="129">
        <v>0</v>
      </c>
      <c r="N12" s="120"/>
      <c r="O12" s="121"/>
      <c r="P12" s="120"/>
      <c r="Q12" s="121"/>
      <c r="R12" s="120"/>
      <c r="S12" s="121"/>
      <c r="T12" s="121"/>
      <c r="U12" s="121"/>
      <c r="V12" s="121"/>
      <c r="W12" s="121"/>
      <c r="X12" s="121"/>
      <c r="Y12" s="121"/>
      <c r="Z12" s="121"/>
      <c r="AA12" s="121"/>
      <c r="AB12" s="122" t="s">
        <v>14292</v>
      </c>
      <c r="AC12" s="123"/>
      <c r="AD12" s="124"/>
      <c r="AE12" s="413" t="e">
        <f>IF(当該年度上限額設定状況!D8="","未設定",当該年度上限額設定状況!D8)</f>
        <v>#REF!</v>
      </c>
      <c r="AF12" s="414"/>
    </row>
    <row r="13" spans="1:32" ht="20.100000000000001" customHeight="1">
      <c r="B13" s="125"/>
      <c r="C13" s="126"/>
      <c r="D13" s="127" t="s">
        <v>14972</v>
      </c>
      <c r="E13" s="102" t="s">
        <v>14973</v>
      </c>
      <c r="F13" s="103" t="s">
        <v>14057</v>
      </c>
      <c r="G13" s="129">
        <v>352800</v>
      </c>
      <c r="H13" s="116" t="s">
        <v>14105</v>
      </c>
      <c r="I13" s="129">
        <v>0</v>
      </c>
      <c r="J13" s="116" t="s">
        <v>14153</v>
      </c>
      <c r="K13" s="119">
        <v>352800</v>
      </c>
      <c r="L13" s="118" t="s">
        <v>14201</v>
      </c>
      <c r="M13" s="129">
        <v>352800</v>
      </c>
      <c r="N13" s="120"/>
      <c r="O13" s="121"/>
      <c r="P13" s="120"/>
      <c r="Q13" s="121"/>
      <c r="R13" s="120"/>
      <c r="S13" s="121"/>
      <c r="T13" s="121"/>
      <c r="U13" s="121"/>
      <c r="V13" s="121"/>
      <c r="W13" s="121"/>
      <c r="X13" s="121"/>
      <c r="Y13" s="121"/>
      <c r="Z13" s="121"/>
      <c r="AA13" s="121"/>
      <c r="AB13" s="122" t="s">
        <v>14293</v>
      </c>
      <c r="AC13" s="123"/>
      <c r="AD13" s="124"/>
      <c r="AE13" s="415" t="s">
        <v>14974</v>
      </c>
      <c r="AF13" s="415"/>
    </row>
    <row r="14" spans="1:32" ht="20.100000000000001" customHeight="1">
      <c r="B14" s="125"/>
      <c r="C14" s="133"/>
      <c r="D14" s="127" t="s">
        <v>14975</v>
      </c>
      <c r="E14" s="102" t="s">
        <v>14976</v>
      </c>
      <c r="F14" s="103" t="s">
        <v>14058</v>
      </c>
      <c r="G14" s="129">
        <v>0</v>
      </c>
      <c r="H14" s="116" t="s">
        <v>14106</v>
      </c>
      <c r="I14" s="129">
        <v>0</v>
      </c>
      <c r="J14" s="116" t="s">
        <v>14154</v>
      </c>
      <c r="K14" s="119">
        <v>0</v>
      </c>
      <c r="L14" s="118" t="s">
        <v>14202</v>
      </c>
      <c r="M14" s="129">
        <v>0</v>
      </c>
      <c r="N14" s="120"/>
      <c r="O14" s="121"/>
      <c r="P14" s="120"/>
      <c r="Q14" s="121"/>
      <c r="R14" s="120"/>
      <c r="S14" s="121"/>
      <c r="T14" s="121"/>
      <c r="U14" s="121"/>
      <c r="V14" s="121"/>
      <c r="W14" s="121"/>
      <c r="X14" s="121"/>
      <c r="Y14" s="121"/>
      <c r="Z14" s="121"/>
      <c r="AA14" s="121"/>
      <c r="AB14" s="122" t="s">
        <v>14294</v>
      </c>
      <c r="AC14" s="123"/>
      <c r="AD14" s="124"/>
      <c r="AE14" s="373" t="str">
        <f>IF(当該年度上限額設定状況!D9="","未設定",当該年度上限額設定状況!D9)</f>
        <v>①原則の上限額</v>
      </c>
      <c r="AF14" s="373"/>
    </row>
    <row r="15" spans="1:32" ht="20.100000000000001" customHeight="1">
      <c r="B15" s="125"/>
      <c r="C15" s="133"/>
      <c r="D15" s="132" t="s">
        <v>14977</v>
      </c>
      <c r="E15" s="102" t="s">
        <v>14978</v>
      </c>
      <c r="F15" s="103" t="s">
        <v>14059</v>
      </c>
      <c r="G15" s="129">
        <v>0</v>
      </c>
      <c r="H15" s="116" t="s">
        <v>14107</v>
      </c>
      <c r="I15" s="129">
        <v>0</v>
      </c>
      <c r="J15" s="116" t="s">
        <v>14155</v>
      </c>
      <c r="K15" s="119">
        <v>0</v>
      </c>
      <c r="L15" s="118" t="s">
        <v>14203</v>
      </c>
      <c r="M15" s="129">
        <v>0</v>
      </c>
      <c r="N15" s="120"/>
      <c r="O15" s="121"/>
      <c r="P15" s="120"/>
      <c r="Q15" s="121"/>
      <c r="R15" s="120"/>
      <c r="S15" s="121"/>
      <c r="T15" s="121"/>
      <c r="U15" s="121"/>
      <c r="V15" s="121"/>
      <c r="W15" s="121"/>
      <c r="X15" s="121"/>
      <c r="Y15" s="121"/>
      <c r="Z15" s="121"/>
      <c r="AA15" s="121"/>
      <c r="AB15" s="122" t="s">
        <v>14295</v>
      </c>
      <c r="AC15" s="123"/>
      <c r="AD15" s="124"/>
      <c r="AE15" s="403" t="s">
        <v>14979</v>
      </c>
      <c r="AF15" s="403"/>
    </row>
    <row r="16" spans="1:32" ht="20.100000000000001" customHeight="1">
      <c r="B16" s="125"/>
      <c r="C16" s="133"/>
      <c r="D16" s="132" t="s">
        <v>14980</v>
      </c>
      <c r="E16" s="102" t="s">
        <v>14981</v>
      </c>
      <c r="F16" s="103" t="s">
        <v>14060</v>
      </c>
      <c r="G16" s="129">
        <v>0</v>
      </c>
      <c r="H16" s="116" t="s">
        <v>14108</v>
      </c>
      <c r="I16" s="129">
        <v>0</v>
      </c>
      <c r="J16" s="116" t="s">
        <v>14156</v>
      </c>
      <c r="K16" s="119">
        <v>0</v>
      </c>
      <c r="L16" s="118" t="s">
        <v>14204</v>
      </c>
      <c r="M16" s="129">
        <v>0</v>
      </c>
      <c r="N16" s="120"/>
      <c r="O16" s="121"/>
      <c r="P16" s="120"/>
      <c r="Q16" s="121"/>
      <c r="R16" s="120"/>
      <c r="S16" s="121"/>
      <c r="T16" s="121"/>
      <c r="U16" s="121"/>
      <c r="V16" s="121"/>
      <c r="W16" s="121"/>
      <c r="X16" s="121"/>
      <c r="Y16" s="121"/>
      <c r="Z16" s="121"/>
      <c r="AA16" s="121"/>
      <c r="AB16" s="122" t="s">
        <v>14296</v>
      </c>
      <c r="AC16" s="123"/>
      <c r="AD16" s="124"/>
      <c r="AE16" s="373" t="e">
        <f>IF(当該年度上限額設定状況!D10="","未設定",当該年度上限額設定状況!D10)</f>
        <v>#REF!</v>
      </c>
      <c r="AF16" s="373"/>
    </row>
    <row r="17" spans="2:33" ht="20.100000000000001" customHeight="1">
      <c r="B17" s="125"/>
      <c r="C17" s="112" t="s">
        <v>14982</v>
      </c>
      <c r="D17" s="113" t="s">
        <v>14983</v>
      </c>
      <c r="E17" s="114"/>
      <c r="F17" s="115" t="s">
        <v>14061</v>
      </c>
      <c r="G17" s="116">
        <v>21535628</v>
      </c>
      <c r="H17" s="116" t="s">
        <v>14109</v>
      </c>
      <c r="I17" s="116">
        <v>0</v>
      </c>
      <c r="J17" s="116" t="s">
        <v>14157</v>
      </c>
      <c r="K17" s="119">
        <v>21535628</v>
      </c>
      <c r="L17" s="118" t="s">
        <v>14205</v>
      </c>
      <c r="M17" s="116">
        <v>21535628</v>
      </c>
      <c r="N17" s="120"/>
      <c r="O17" s="121"/>
      <c r="P17" s="120"/>
      <c r="Q17" s="121"/>
      <c r="R17" s="120"/>
      <c r="S17" s="121"/>
      <c r="T17" s="121"/>
      <c r="U17" s="121"/>
      <c r="V17" s="121"/>
      <c r="W17" s="121"/>
      <c r="X17" s="121"/>
      <c r="Y17" s="121"/>
      <c r="Z17" s="121"/>
      <c r="AA17" s="121"/>
      <c r="AB17" s="122" t="s">
        <v>14297</v>
      </c>
      <c r="AC17" s="123"/>
      <c r="AD17" s="124"/>
      <c r="AE17" s="71"/>
      <c r="AF17" s="71"/>
    </row>
    <row r="18" spans="2:33" ht="20.100000000000001" customHeight="1">
      <c r="B18" s="125"/>
      <c r="C18" s="133"/>
      <c r="D18" s="134" t="s">
        <v>14967</v>
      </c>
      <c r="E18" s="128" t="s">
        <v>14968</v>
      </c>
      <c r="F18" s="325" t="s">
        <v>14062</v>
      </c>
      <c r="G18" s="129">
        <v>21396128</v>
      </c>
      <c r="H18" s="116" t="s">
        <v>14110</v>
      </c>
      <c r="I18" s="129">
        <v>0</v>
      </c>
      <c r="J18" s="116" t="s">
        <v>14158</v>
      </c>
      <c r="K18" s="119">
        <v>21396128</v>
      </c>
      <c r="L18" s="118" t="s">
        <v>14206</v>
      </c>
      <c r="M18" s="129">
        <v>21396128</v>
      </c>
      <c r="N18" s="120"/>
      <c r="O18" s="121"/>
      <c r="P18" s="120"/>
      <c r="Q18" s="121"/>
      <c r="R18" s="120"/>
      <c r="S18" s="121"/>
      <c r="T18" s="121"/>
      <c r="U18" s="121"/>
      <c r="V18" s="121"/>
      <c r="W18" s="121"/>
      <c r="X18" s="121"/>
      <c r="Y18" s="121"/>
      <c r="Z18" s="121"/>
      <c r="AA18" s="121"/>
      <c r="AB18" s="122" t="s">
        <v>14298</v>
      </c>
      <c r="AC18" s="123"/>
      <c r="AD18" s="124"/>
      <c r="AE18" s="373" t="s">
        <v>14939</v>
      </c>
      <c r="AF18" s="373"/>
    </row>
    <row r="19" spans="2:33" ht="20.100000000000001" customHeight="1">
      <c r="B19" s="125"/>
      <c r="C19" s="133"/>
      <c r="D19" s="127" t="s">
        <v>14970</v>
      </c>
      <c r="E19" s="102" t="s">
        <v>14971</v>
      </c>
      <c r="F19" s="103" t="s">
        <v>14063</v>
      </c>
      <c r="G19" s="129">
        <v>0</v>
      </c>
      <c r="H19" s="116" t="s">
        <v>14111</v>
      </c>
      <c r="I19" s="129">
        <v>0</v>
      </c>
      <c r="J19" s="116" t="s">
        <v>14159</v>
      </c>
      <c r="K19" s="119">
        <v>0</v>
      </c>
      <c r="L19" s="118" t="s">
        <v>14207</v>
      </c>
      <c r="M19" s="129">
        <v>0</v>
      </c>
      <c r="N19" s="120"/>
      <c r="O19" s="121"/>
      <c r="P19" s="120"/>
      <c r="Q19" s="121"/>
      <c r="R19" s="120"/>
      <c r="S19" s="121"/>
      <c r="T19" s="121"/>
      <c r="U19" s="121"/>
      <c r="V19" s="121"/>
      <c r="W19" s="121"/>
      <c r="X19" s="121"/>
      <c r="Y19" s="121"/>
      <c r="Z19" s="121"/>
      <c r="AA19" s="121"/>
      <c r="AB19" s="122" t="s">
        <v>14299</v>
      </c>
      <c r="AC19" s="123"/>
      <c r="AD19" s="124"/>
      <c r="AE19" s="135" t="s">
        <v>14969</v>
      </c>
      <c r="AF19" s="136"/>
    </row>
    <row r="20" spans="2:33" ht="20.100000000000001" customHeight="1">
      <c r="B20" s="125"/>
      <c r="C20" s="133"/>
      <c r="D20" s="132" t="s">
        <v>14972</v>
      </c>
      <c r="E20" s="102" t="s">
        <v>14973</v>
      </c>
      <c r="F20" s="103" t="s">
        <v>14064</v>
      </c>
      <c r="G20" s="129">
        <v>139500</v>
      </c>
      <c r="H20" s="116" t="s">
        <v>14112</v>
      </c>
      <c r="I20" s="129">
        <v>0</v>
      </c>
      <c r="J20" s="116" t="s">
        <v>14160</v>
      </c>
      <c r="K20" s="119">
        <v>139500</v>
      </c>
      <c r="L20" s="118" t="s">
        <v>14208</v>
      </c>
      <c r="M20" s="129">
        <v>139500</v>
      </c>
      <c r="N20" s="120"/>
      <c r="O20" s="121"/>
      <c r="P20" s="120"/>
      <c r="Q20" s="121"/>
      <c r="R20" s="120"/>
      <c r="S20" s="121"/>
      <c r="T20" s="121"/>
      <c r="U20" s="121"/>
      <c r="V20" s="121"/>
      <c r="W20" s="121"/>
      <c r="X20" s="121"/>
      <c r="Y20" s="121"/>
      <c r="Z20" s="121"/>
      <c r="AA20" s="121"/>
      <c r="AB20" s="122" t="s">
        <v>14300</v>
      </c>
      <c r="AC20" s="123"/>
      <c r="AD20" s="124"/>
      <c r="AE20" s="379" t="str">
        <f>IF(COUNTIF(AE12,"*個別*")&gt;0,"○","×")</f>
        <v>×</v>
      </c>
      <c r="AF20" s="380"/>
      <c r="AG20" s="137"/>
    </row>
    <row r="21" spans="2:33" ht="20.100000000000001" customHeight="1">
      <c r="B21" s="125"/>
      <c r="C21" s="133"/>
      <c r="D21" s="127" t="s">
        <v>14975</v>
      </c>
      <c r="E21" s="102" t="s">
        <v>14976</v>
      </c>
      <c r="F21" s="103" t="s">
        <v>14065</v>
      </c>
      <c r="G21" s="129">
        <v>0</v>
      </c>
      <c r="H21" s="116" t="s">
        <v>14113</v>
      </c>
      <c r="I21" s="129">
        <v>0</v>
      </c>
      <c r="J21" s="116" t="s">
        <v>14161</v>
      </c>
      <c r="K21" s="119">
        <v>0</v>
      </c>
      <c r="L21" s="118" t="s">
        <v>14209</v>
      </c>
      <c r="M21" s="129">
        <v>0</v>
      </c>
      <c r="N21" s="120"/>
      <c r="O21" s="121"/>
      <c r="P21" s="120"/>
      <c r="Q21" s="121"/>
      <c r="R21" s="120"/>
      <c r="S21" s="121"/>
      <c r="T21" s="121"/>
      <c r="U21" s="121"/>
      <c r="V21" s="121"/>
      <c r="W21" s="121"/>
      <c r="X21" s="121"/>
      <c r="Y21" s="121"/>
      <c r="Z21" s="121"/>
      <c r="AA21" s="121"/>
      <c r="AB21" s="122" t="s">
        <v>14301</v>
      </c>
      <c r="AC21" s="123"/>
      <c r="AD21" s="124"/>
      <c r="AE21" s="404" t="s">
        <v>14984</v>
      </c>
      <c r="AF21" s="405"/>
      <c r="AG21" s="137"/>
    </row>
    <row r="22" spans="2:33" ht="20.100000000000001" customHeight="1">
      <c r="B22" s="125"/>
      <c r="C22" s="138"/>
      <c r="D22" s="127" t="s">
        <v>14977</v>
      </c>
      <c r="E22" s="102" t="s">
        <v>14981</v>
      </c>
      <c r="F22" s="103" t="s">
        <v>14066</v>
      </c>
      <c r="G22" s="129">
        <v>0</v>
      </c>
      <c r="H22" s="116" t="s">
        <v>14114</v>
      </c>
      <c r="I22" s="129">
        <v>0</v>
      </c>
      <c r="J22" s="116" t="s">
        <v>14162</v>
      </c>
      <c r="K22" s="119">
        <v>0</v>
      </c>
      <c r="L22" s="118" t="s">
        <v>14210</v>
      </c>
      <c r="M22" s="129">
        <v>0</v>
      </c>
      <c r="N22" s="120"/>
      <c r="O22" s="121"/>
      <c r="P22" s="120"/>
      <c r="Q22" s="121"/>
      <c r="R22" s="120"/>
      <c r="S22" s="121"/>
      <c r="T22" s="121"/>
      <c r="U22" s="121"/>
      <c r="V22" s="121"/>
      <c r="W22" s="121"/>
      <c r="X22" s="121"/>
      <c r="Y22" s="121"/>
      <c r="Z22" s="121"/>
      <c r="AA22" s="121"/>
      <c r="AB22" s="122" t="s">
        <v>14302</v>
      </c>
      <c r="AC22" s="123"/>
      <c r="AD22" s="124"/>
      <c r="AE22" s="379" t="str">
        <f>IF(COUNTIF(AE16,"*個別*")&gt;0,"○","×")</f>
        <v>×</v>
      </c>
      <c r="AF22" s="380"/>
      <c r="AG22" s="137"/>
    </row>
    <row r="23" spans="2:33" ht="20.100000000000001" customHeight="1">
      <c r="B23" s="125"/>
      <c r="C23" s="112" t="s">
        <v>14985</v>
      </c>
      <c r="D23" s="113" t="s">
        <v>14986</v>
      </c>
      <c r="E23" s="114"/>
      <c r="F23" s="115" t="s">
        <v>14067</v>
      </c>
      <c r="G23" s="116">
        <v>0</v>
      </c>
      <c r="H23" s="116" t="s">
        <v>14115</v>
      </c>
      <c r="I23" s="116">
        <v>0</v>
      </c>
      <c r="J23" s="116" t="s">
        <v>14163</v>
      </c>
      <c r="K23" s="119">
        <v>0</v>
      </c>
      <c r="L23" s="118" t="s">
        <v>14211</v>
      </c>
      <c r="M23" s="116">
        <v>0</v>
      </c>
      <c r="N23" s="120"/>
      <c r="O23" s="121"/>
      <c r="P23" s="120"/>
      <c r="Q23" s="121"/>
      <c r="R23" s="120"/>
      <c r="S23" s="121"/>
      <c r="T23" s="121"/>
      <c r="U23" s="121"/>
      <c r="V23" s="121"/>
      <c r="W23" s="121"/>
      <c r="X23" s="121"/>
      <c r="Y23" s="121"/>
      <c r="Z23" s="121"/>
      <c r="AA23" s="121"/>
      <c r="AB23" s="122" t="s">
        <v>14303</v>
      </c>
      <c r="AC23" s="123"/>
      <c r="AD23" s="124"/>
      <c r="AE23" s="139"/>
      <c r="AF23" s="139"/>
      <c r="AG23" s="137"/>
    </row>
    <row r="24" spans="2:33" ht="20.100000000000001" customHeight="1">
      <c r="B24" s="125"/>
      <c r="C24" s="133"/>
      <c r="D24" s="134" t="s">
        <v>14967</v>
      </c>
      <c r="E24" s="114" t="s">
        <v>14987</v>
      </c>
      <c r="F24" s="115" t="s">
        <v>14068</v>
      </c>
      <c r="G24" s="129">
        <v>0</v>
      </c>
      <c r="H24" s="116" t="s">
        <v>14116</v>
      </c>
      <c r="I24" s="129">
        <v>0</v>
      </c>
      <c r="J24" s="116" t="s">
        <v>14164</v>
      </c>
      <c r="K24" s="119">
        <v>0</v>
      </c>
      <c r="L24" s="118" t="s">
        <v>14212</v>
      </c>
      <c r="M24" s="129">
        <v>0</v>
      </c>
      <c r="N24" s="120"/>
      <c r="O24" s="121"/>
      <c r="P24" s="120"/>
      <c r="Q24" s="121"/>
      <c r="R24" s="120"/>
      <c r="S24" s="121"/>
      <c r="T24" s="121"/>
      <c r="U24" s="121"/>
      <c r="V24" s="121"/>
      <c r="W24" s="121"/>
      <c r="X24" s="121"/>
      <c r="Y24" s="121"/>
      <c r="Z24" s="121"/>
      <c r="AA24" s="121"/>
      <c r="AB24" s="122" t="s">
        <v>14304</v>
      </c>
      <c r="AC24" s="123"/>
      <c r="AD24" s="124"/>
      <c r="AG24" s="137"/>
    </row>
    <row r="25" spans="2:33" ht="20.100000000000001" customHeight="1">
      <c r="B25" s="125"/>
      <c r="C25" s="133"/>
      <c r="D25" s="132" t="s">
        <v>14970</v>
      </c>
      <c r="E25" s="102" t="s">
        <v>14988</v>
      </c>
      <c r="F25" s="103" t="s">
        <v>14069</v>
      </c>
      <c r="G25" s="129">
        <v>0</v>
      </c>
      <c r="H25" s="116" t="s">
        <v>14117</v>
      </c>
      <c r="I25" s="129">
        <v>0</v>
      </c>
      <c r="J25" s="116" t="s">
        <v>14165</v>
      </c>
      <c r="K25" s="119">
        <v>0</v>
      </c>
      <c r="L25" s="118" t="s">
        <v>14213</v>
      </c>
      <c r="M25" s="129">
        <v>0</v>
      </c>
      <c r="N25" s="120"/>
      <c r="O25" s="121"/>
      <c r="P25" s="120"/>
      <c r="Q25" s="121"/>
      <c r="R25" s="120"/>
      <c r="S25" s="121"/>
      <c r="T25" s="121"/>
      <c r="U25" s="121"/>
      <c r="V25" s="121"/>
      <c r="W25" s="121"/>
      <c r="X25" s="121"/>
      <c r="Y25" s="121"/>
      <c r="Z25" s="121"/>
      <c r="AA25" s="121"/>
      <c r="AB25" s="122" t="s">
        <v>14305</v>
      </c>
      <c r="AC25" s="123"/>
      <c r="AD25" s="124"/>
    </row>
    <row r="26" spans="2:33" ht="20.100000000000001" customHeight="1">
      <c r="B26" s="125"/>
      <c r="C26" s="126"/>
      <c r="D26" s="132" t="s">
        <v>14972</v>
      </c>
      <c r="E26" s="140" t="s">
        <v>14989</v>
      </c>
      <c r="F26" s="141" t="s">
        <v>14070</v>
      </c>
      <c r="G26" s="129">
        <v>0</v>
      </c>
      <c r="H26" s="116" t="s">
        <v>14118</v>
      </c>
      <c r="I26" s="129">
        <v>0</v>
      </c>
      <c r="J26" s="116" t="s">
        <v>14166</v>
      </c>
      <c r="K26" s="119">
        <v>0</v>
      </c>
      <c r="L26" s="118" t="s">
        <v>14214</v>
      </c>
      <c r="M26" s="129">
        <v>0</v>
      </c>
      <c r="N26" s="120"/>
      <c r="O26" s="121"/>
      <c r="P26" s="120"/>
      <c r="Q26" s="121"/>
      <c r="R26" s="120"/>
      <c r="S26" s="121"/>
      <c r="T26" s="121"/>
      <c r="U26" s="121"/>
      <c r="V26" s="121"/>
      <c r="W26" s="121"/>
      <c r="X26" s="121"/>
      <c r="Y26" s="121"/>
      <c r="Z26" s="121"/>
      <c r="AA26" s="121"/>
      <c r="AB26" s="122" t="s">
        <v>14306</v>
      </c>
      <c r="AC26" s="123"/>
      <c r="AD26" s="124"/>
      <c r="AE26" s="373" t="s">
        <v>14990</v>
      </c>
      <c r="AF26" s="373"/>
    </row>
    <row r="27" spans="2:33" ht="20.100000000000001" customHeight="1">
      <c r="B27" s="125"/>
      <c r="C27" s="142"/>
      <c r="D27" s="132" t="s">
        <v>14975</v>
      </c>
      <c r="E27" s="140" t="s">
        <v>14991</v>
      </c>
      <c r="F27" s="141" t="s">
        <v>14071</v>
      </c>
      <c r="G27" s="129">
        <v>0</v>
      </c>
      <c r="H27" s="116" t="s">
        <v>14119</v>
      </c>
      <c r="I27" s="129">
        <v>0</v>
      </c>
      <c r="J27" s="116" t="s">
        <v>14167</v>
      </c>
      <c r="K27" s="119">
        <v>0</v>
      </c>
      <c r="L27" s="118" t="s">
        <v>14215</v>
      </c>
      <c r="M27" s="129">
        <v>0</v>
      </c>
      <c r="N27" s="120"/>
      <c r="O27" s="121"/>
      <c r="P27" s="120"/>
      <c r="Q27" s="121"/>
      <c r="R27" s="120"/>
      <c r="S27" s="121"/>
      <c r="T27" s="121"/>
      <c r="U27" s="121"/>
      <c r="V27" s="121"/>
      <c r="W27" s="121"/>
      <c r="X27" s="121"/>
      <c r="Y27" s="121"/>
      <c r="Z27" s="121"/>
      <c r="AA27" s="121"/>
      <c r="AB27" s="122" t="s">
        <v>14307</v>
      </c>
      <c r="AC27" s="123"/>
      <c r="AD27" s="124"/>
      <c r="AE27" s="375" t="s">
        <v>14992</v>
      </c>
      <c r="AF27" s="376"/>
    </row>
    <row r="28" spans="2:33" ht="20.100000000000001" customHeight="1">
      <c r="B28" s="143"/>
      <c r="C28" s="112" t="s">
        <v>14993</v>
      </c>
      <c r="D28" s="113" t="s">
        <v>14994</v>
      </c>
      <c r="E28" s="114"/>
      <c r="F28" s="115" t="s">
        <v>14072</v>
      </c>
      <c r="G28" s="129">
        <v>2564140</v>
      </c>
      <c r="H28" s="116" t="s">
        <v>14120</v>
      </c>
      <c r="I28" s="129">
        <v>0</v>
      </c>
      <c r="J28" s="116" t="s">
        <v>14168</v>
      </c>
      <c r="K28" s="119">
        <v>2564140</v>
      </c>
      <c r="L28" s="118" t="s">
        <v>14216</v>
      </c>
      <c r="M28" s="129">
        <v>2564140</v>
      </c>
      <c r="N28" s="120"/>
      <c r="O28" s="121"/>
      <c r="P28" s="120"/>
      <c r="Q28" s="121"/>
      <c r="R28" s="120"/>
      <c r="S28" s="121"/>
      <c r="T28" s="121"/>
      <c r="U28" s="121"/>
      <c r="V28" s="121"/>
      <c r="W28" s="121"/>
      <c r="X28" s="121"/>
      <c r="Y28" s="121"/>
      <c r="Z28" s="121"/>
      <c r="AA28" s="121"/>
      <c r="AB28" s="122" t="s">
        <v>14308</v>
      </c>
      <c r="AC28" s="123"/>
      <c r="AD28" s="124"/>
      <c r="AE28" s="129"/>
      <c r="AF28" s="136" t="s">
        <v>14943</v>
      </c>
    </row>
    <row r="29" spans="2:33" ht="20.100000000000001" customHeight="1">
      <c r="B29" s="143"/>
      <c r="C29" s="112" t="s">
        <v>14995</v>
      </c>
      <c r="D29" s="113" t="s">
        <v>14996</v>
      </c>
      <c r="E29" s="114"/>
      <c r="F29" s="115" t="s">
        <v>14073</v>
      </c>
      <c r="G29" s="129">
        <v>96395</v>
      </c>
      <c r="H29" s="116" t="s">
        <v>14121</v>
      </c>
      <c r="I29" s="129">
        <v>0</v>
      </c>
      <c r="J29" s="116" t="s">
        <v>14169</v>
      </c>
      <c r="K29" s="119">
        <v>96395</v>
      </c>
      <c r="L29" s="118" t="s">
        <v>14217</v>
      </c>
      <c r="M29" s="129">
        <v>96395</v>
      </c>
      <c r="N29" s="120"/>
      <c r="O29" s="121"/>
      <c r="P29" s="120"/>
      <c r="Q29" s="121"/>
      <c r="R29" s="120"/>
      <c r="S29" s="121"/>
      <c r="T29" s="121"/>
      <c r="U29" s="121"/>
      <c r="V29" s="121"/>
      <c r="W29" s="121"/>
      <c r="X29" s="121"/>
      <c r="Y29" s="121"/>
      <c r="Z29" s="121"/>
      <c r="AA29" s="121"/>
      <c r="AB29" s="122" t="s">
        <v>14309</v>
      </c>
      <c r="AC29" s="123"/>
      <c r="AD29" s="124"/>
      <c r="AE29" s="135" t="s">
        <v>14997</v>
      </c>
      <c r="AF29" s="136"/>
    </row>
    <row r="30" spans="2:33" ht="20.100000000000001" customHeight="1">
      <c r="B30" s="143"/>
      <c r="C30" s="112" t="s">
        <v>14998</v>
      </c>
      <c r="D30" s="113" t="s">
        <v>14999</v>
      </c>
      <c r="E30" s="114"/>
      <c r="F30" s="115" t="s">
        <v>14074</v>
      </c>
      <c r="G30" s="129">
        <v>40966</v>
      </c>
      <c r="H30" s="116" t="s">
        <v>14122</v>
      </c>
      <c r="I30" s="129">
        <v>0</v>
      </c>
      <c r="J30" s="116" t="s">
        <v>14170</v>
      </c>
      <c r="K30" s="119">
        <v>40966</v>
      </c>
      <c r="L30" s="118" t="s">
        <v>14218</v>
      </c>
      <c r="M30" s="129">
        <v>40966</v>
      </c>
      <c r="N30" s="120"/>
      <c r="O30" s="121"/>
      <c r="P30" s="120"/>
      <c r="Q30" s="121"/>
      <c r="R30" s="120"/>
      <c r="S30" s="121"/>
      <c r="T30" s="121"/>
      <c r="U30" s="121"/>
      <c r="V30" s="121"/>
      <c r="W30" s="121"/>
      <c r="X30" s="121"/>
      <c r="Y30" s="121"/>
      <c r="Z30" s="121"/>
      <c r="AA30" s="121"/>
      <c r="AB30" s="122" t="s">
        <v>14310</v>
      </c>
      <c r="AC30" s="123"/>
      <c r="AD30" s="124"/>
      <c r="AE30" s="129"/>
      <c r="AF30" s="136" t="s">
        <v>14943</v>
      </c>
    </row>
    <row r="31" spans="2:33" ht="20.100000000000001" customHeight="1">
      <c r="B31" s="125"/>
      <c r="C31" s="112" t="s">
        <v>15000</v>
      </c>
      <c r="D31" s="113" t="s">
        <v>15001</v>
      </c>
      <c r="E31" s="114"/>
      <c r="F31" s="115" t="s">
        <v>14075</v>
      </c>
      <c r="G31" s="116">
        <v>5304726</v>
      </c>
      <c r="H31" s="116" t="s">
        <v>14123</v>
      </c>
      <c r="I31" s="116">
        <v>0</v>
      </c>
      <c r="J31" s="116" t="s">
        <v>14171</v>
      </c>
      <c r="K31" s="119">
        <v>5304726</v>
      </c>
      <c r="L31" s="118" t="s">
        <v>14219</v>
      </c>
      <c r="M31" s="116">
        <v>4657813</v>
      </c>
      <c r="N31" s="120"/>
      <c r="O31" s="121"/>
      <c r="P31" s="120"/>
      <c r="Q31" s="121"/>
      <c r="R31" s="120"/>
      <c r="S31" s="121"/>
      <c r="T31" s="121"/>
      <c r="U31" s="121"/>
      <c r="V31" s="121"/>
      <c r="W31" s="121"/>
      <c r="X31" s="121"/>
      <c r="Y31" s="121"/>
      <c r="Z31" s="121"/>
      <c r="AA31" s="121"/>
      <c r="AB31" s="122" t="s">
        <v>14311</v>
      </c>
      <c r="AC31" s="123"/>
      <c r="AD31" s="124"/>
      <c r="AE31" s="71"/>
      <c r="AF31" s="71"/>
    </row>
    <row r="32" spans="2:33" ht="20.100000000000001" customHeight="1">
      <c r="B32" s="125"/>
      <c r="C32" s="133"/>
      <c r="D32" s="134" t="s">
        <v>14967</v>
      </c>
      <c r="E32" s="114" t="s">
        <v>15002</v>
      </c>
      <c r="F32" s="115" t="s">
        <v>14076</v>
      </c>
      <c r="G32" s="129">
        <v>0</v>
      </c>
      <c r="H32" s="116" t="s">
        <v>14124</v>
      </c>
      <c r="I32" s="129">
        <v>0</v>
      </c>
      <c r="J32" s="116" t="s">
        <v>14172</v>
      </c>
      <c r="K32" s="119">
        <v>0</v>
      </c>
      <c r="L32" s="118" t="s">
        <v>14220</v>
      </c>
      <c r="M32" s="129">
        <v>0</v>
      </c>
      <c r="N32" s="120"/>
      <c r="O32" s="121"/>
      <c r="P32" s="120"/>
      <c r="Q32" s="121"/>
      <c r="R32" s="120"/>
      <c r="S32" s="121"/>
      <c r="T32" s="121"/>
      <c r="U32" s="121"/>
      <c r="V32" s="121"/>
      <c r="W32" s="121"/>
      <c r="X32" s="121"/>
      <c r="Y32" s="121"/>
      <c r="Z32" s="121"/>
      <c r="AA32" s="121"/>
      <c r="AB32" s="122" t="s">
        <v>14312</v>
      </c>
      <c r="AC32" s="123"/>
      <c r="AD32" s="124"/>
      <c r="AE32" s="71"/>
      <c r="AF32" s="71"/>
    </row>
    <row r="33" spans="2:32" ht="20.100000000000001" customHeight="1">
      <c r="B33" s="125"/>
      <c r="C33" s="133"/>
      <c r="D33" s="132" t="s">
        <v>14970</v>
      </c>
      <c r="E33" s="102" t="s">
        <v>15003</v>
      </c>
      <c r="F33" s="103" t="s">
        <v>14077</v>
      </c>
      <c r="G33" s="129">
        <v>0</v>
      </c>
      <c r="H33" s="116" t="s">
        <v>14125</v>
      </c>
      <c r="I33" s="129">
        <v>0</v>
      </c>
      <c r="J33" s="116" t="s">
        <v>14173</v>
      </c>
      <c r="K33" s="119">
        <v>0</v>
      </c>
      <c r="L33" s="118" t="s">
        <v>14221</v>
      </c>
      <c r="M33" s="129">
        <v>0</v>
      </c>
      <c r="N33" s="120"/>
      <c r="O33" s="121"/>
      <c r="P33" s="120"/>
      <c r="Q33" s="121"/>
      <c r="R33" s="120"/>
      <c r="S33" s="121"/>
      <c r="T33" s="121"/>
      <c r="U33" s="121"/>
      <c r="V33" s="121"/>
      <c r="W33" s="121"/>
      <c r="X33" s="121"/>
      <c r="Y33" s="121"/>
      <c r="Z33" s="121"/>
      <c r="AA33" s="121"/>
      <c r="AB33" s="122" t="s">
        <v>14313</v>
      </c>
      <c r="AC33" s="123"/>
      <c r="AD33" s="124"/>
      <c r="AE33" s="71"/>
      <c r="AF33" s="71"/>
    </row>
    <row r="34" spans="2:32" ht="20.100000000000001" customHeight="1">
      <c r="B34" s="125"/>
      <c r="C34" s="133"/>
      <c r="D34" s="132" t="s">
        <v>14972</v>
      </c>
      <c r="E34" s="140" t="s">
        <v>15004</v>
      </c>
      <c r="F34" s="141" t="s">
        <v>14078</v>
      </c>
      <c r="G34" s="129">
        <v>5304726</v>
      </c>
      <c r="H34" s="116" t="s">
        <v>14126</v>
      </c>
      <c r="I34" s="129">
        <v>0</v>
      </c>
      <c r="J34" s="116" t="s">
        <v>14174</v>
      </c>
      <c r="K34" s="119">
        <v>5304726</v>
      </c>
      <c r="L34" s="118" t="s">
        <v>14222</v>
      </c>
      <c r="M34" s="129">
        <v>4657813</v>
      </c>
      <c r="N34" s="120"/>
      <c r="O34" s="121"/>
      <c r="P34" s="120"/>
      <c r="Q34" s="121"/>
      <c r="R34" s="120"/>
      <c r="S34" s="121"/>
      <c r="T34" s="121"/>
      <c r="U34" s="121"/>
      <c r="V34" s="121"/>
      <c r="W34" s="121"/>
      <c r="X34" s="121"/>
      <c r="Y34" s="121"/>
      <c r="Z34" s="121"/>
      <c r="AA34" s="121"/>
      <c r="AB34" s="122" t="s">
        <v>14314</v>
      </c>
      <c r="AC34" s="123"/>
      <c r="AD34" s="124"/>
      <c r="AE34" s="373" t="s">
        <v>15005</v>
      </c>
      <c r="AF34" s="373"/>
    </row>
    <row r="35" spans="2:32" ht="20.100000000000001" customHeight="1">
      <c r="B35" s="96"/>
      <c r="C35" s="126"/>
      <c r="D35" s="132" t="s">
        <v>14975</v>
      </c>
      <c r="E35" s="140" t="s">
        <v>15006</v>
      </c>
      <c r="F35" s="141" t="s">
        <v>14079</v>
      </c>
      <c r="G35" s="129">
        <v>0</v>
      </c>
      <c r="H35" s="116" t="s">
        <v>14127</v>
      </c>
      <c r="I35" s="129">
        <v>0</v>
      </c>
      <c r="J35" s="116" t="s">
        <v>14175</v>
      </c>
      <c r="K35" s="119">
        <v>0</v>
      </c>
      <c r="L35" s="118" t="s">
        <v>14223</v>
      </c>
      <c r="M35" s="129">
        <v>0</v>
      </c>
      <c r="N35" s="120"/>
      <c r="O35" s="121"/>
      <c r="P35" s="120"/>
      <c r="Q35" s="121"/>
      <c r="R35" s="120"/>
      <c r="S35" s="121"/>
      <c r="T35" s="121"/>
      <c r="U35" s="121"/>
      <c r="V35" s="121"/>
      <c r="W35" s="121"/>
      <c r="X35" s="121"/>
      <c r="Y35" s="121"/>
      <c r="Z35" s="121"/>
      <c r="AA35" s="121"/>
      <c r="AB35" s="122" t="s">
        <v>14315</v>
      </c>
      <c r="AC35" s="123"/>
      <c r="AD35" s="144"/>
      <c r="AE35" s="369" t="e">
        <f>#REF!</f>
        <v>#REF!</v>
      </c>
      <c r="AF35" s="370"/>
    </row>
    <row r="36" spans="2:32" ht="20.100000000000001" customHeight="1">
      <c r="B36" s="143"/>
      <c r="C36" s="142"/>
      <c r="D36" s="132" t="s">
        <v>14977</v>
      </c>
      <c r="E36" s="102" t="s">
        <v>15007</v>
      </c>
      <c r="F36" s="103" t="s">
        <v>14080</v>
      </c>
      <c r="G36" s="129">
        <v>0</v>
      </c>
      <c r="H36" s="116" t="s">
        <v>14128</v>
      </c>
      <c r="I36" s="129">
        <v>0</v>
      </c>
      <c r="J36" s="116" t="s">
        <v>14176</v>
      </c>
      <c r="K36" s="119">
        <v>0</v>
      </c>
      <c r="L36" s="118" t="s">
        <v>14224</v>
      </c>
      <c r="M36" s="129">
        <v>0</v>
      </c>
      <c r="N36" s="120"/>
      <c r="O36" s="121"/>
      <c r="P36" s="120"/>
      <c r="Q36" s="121"/>
      <c r="R36" s="120"/>
      <c r="S36" s="121"/>
      <c r="T36" s="121"/>
      <c r="U36" s="121"/>
      <c r="V36" s="121"/>
      <c r="W36" s="121"/>
      <c r="X36" s="121"/>
      <c r="Y36" s="121"/>
      <c r="Z36" s="121"/>
      <c r="AA36" s="121"/>
      <c r="AB36" s="122" t="s">
        <v>14316</v>
      </c>
      <c r="AC36" s="123"/>
      <c r="AD36" s="144"/>
      <c r="AE36" s="71"/>
      <c r="AF36" s="71"/>
    </row>
    <row r="37" spans="2:32" ht="20.100000000000001" customHeight="1">
      <c r="B37" s="145" t="s">
        <v>15008</v>
      </c>
      <c r="C37" s="78"/>
      <c r="D37" s="80"/>
      <c r="E37" s="80"/>
      <c r="F37" s="72" t="s">
        <v>14081</v>
      </c>
      <c r="G37" s="146">
        <v>22347005</v>
      </c>
      <c r="H37" s="116" t="s">
        <v>14129</v>
      </c>
      <c r="I37" s="146">
        <v>0</v>
      </c>
      <c r="J37" s="116" t="s">
        <v>14177</v>
      </c>
      <c r="K37" s="147">
        <v>22347005</v>
      </c>
      <c r="L37" s="108" t="s">
        <v>14225</v>
      </c>
      <c r="M37" s="146">
        <v>22347005</v>
      </c>
      <c r="N37" s="108" t="s">
        <v>14246</v>
      </c>
      <c r="O37" s="108">
        <v>24076130</v>
      </c>
      <c r="P37" s="108" t="s">
        <v>14260</v>
      </c>
      <c r="Q37" s="106">
        <v>22347005</v>
      </c>
      <c r="R37" s="108" t="s">
        <v>14265</v>
      </c>
      <c r="S37" s="146">
        <v>8603596</v>
      </c>
      <c r="T37" s="146" t="s">
        <v>14270</v>
      </c>
      <c r="U37" s="109">
        <v>8908900</v>
      </c>
      <c r="V37" s="146" t="s">
        <v>14275</v>
      </c>
      <c r="W37" s="109">
        <v>8908900</v>
      </c>
      <c r="X37" s="146" t="s">
        <v>14280</v>
      </c>
      <c r="Y37" s="104">
        <v>305304</v>
      </c>
      <c r="Z37" s="146" t="s">
        <v>14285</v>
      </c>
      <c r="AA37" s="104">
        <v>0</v>
      </c>
      <c r="AB37" s="148" t="s">
        <v>14317</v>
      </c>
      <c r="AC37" s="111"/>
      <c r="AD37" s="144"/>
      <c r="AE37" s="379" t="s">
        <v>15009</v>
      </c>
      <c r="AF37" s="380"/>
    </row>
    <row r="38" spans="2:32" ht="20.100000000000001" customHeight="1">
      <c r="B38" s="96"/>
      <c r="C38" s="149" t="s">
        <v>14965</v>
      </c>
      <c r="D38" s="113" t="s">
        <v>15010</v>
      </c>
      <c r="E38" s="150"/>
      <c r="F38" s="151" t="s">
        <v>14082</v>
      </c>
      <c r="G38" s="116">
        <v>19140546</v>
      </c>
      <c r="H38" s="116" t="s">
        <v>14130</v>
      </c>
      <c r="I38" s="116">
        <v>0</v>
      </c>
      <c r="J38" s="116" t="s">
        <v>14178</v>
      </c>
      <c r="K38" s="119">
        <v>19140546</v>
      </c>
      <c r="L38" s="118" t="s">
        <v>14226</v>
      </c>
      <c r="M38" s="116">
        <v>19140546</v>
      </c>
      <c r="N38" s="120"/>
      <c r="O38" s="121"/>
      <c r="P38" s="120"/>
      <c r="Q38" s="121"/>
      <c r="R38" s="120"/>
      <c r="S38" s="121"/>
      <c r="T38" s="121"/>
      <c r="U38" s="121"/>
      <c r="V38" s="121"/>
      <c r="W38" s="121"/>
      <c r="X38" s="121"/>
      <c r="Y38" s="121"/>
      <c r="Z38" s="121"/>
      <c r="AA38" s="121"/>
      <c r="AB38" s="122" t="s">
        <v>14318</v>
      </c>
      <c r="AC38" s="123"/>
      <c r="AD38" s="144"/>
      <c r="AE38" s="135" t="s">
        <v>15011</v>
      </c>
      <c r="AF38" s="136"/>
    </row>
    <row r="39" spans="2:32" ht="20.100000000000001" customHeight="1">
      <c r="B39" s="96"/>
      <c r="C39" s="112" t="s">
        <v>14982</v>
      </c>
      <c r="D39" s="113" t="s">
        <v>15012</v>
      </c>
      <c r="E39" s="152"/>
      <c r="F39" s="151" t="s">
        <v>14083</v>
      </c>
      <c r="G39" s="116">
        <v>3206459</v>
      </c>
      <c r="H39" s="116" t="s">
        <v>14131</v>
      </c>
      <c r="I39" s="116">
        <v>0</v>
      </c>
      <c r="J39" s="116" t="s">
        <v>14179</v>
      </c>
      <c r="K39" s="119">
        <v>3206459</v>
      </c>
      <c r="L39" s="118" t="s">
        <v>14227</v>
      </c>
      <c r="M39" s="116">
        <v>3206459</v>
      </c>
      <c r="N39" s="120"/>
      <c r="O39" s="121"/>
      <c r="P39" s="120"/>
      <c r="Q39" s="121"/>
      <c r="R39" s="120"/>
      <c r="S39" s="121"/>
      <c r="T39" s="121"/>
      <c r="U39" s="121"/>
      <c r="V39" s="121"/>
      <c r="W39" s="121"/>
      <c r="X39" s="121"/>
      <c r="Y39" s="121"/>
      <c r="Z39" s="121"/>
      <c r="AA39" s="121"/>
      <c r="AB39" s="122" t="s">
        <v>14319</v>
      </c>
      <c r="AC39" s="123"/>
      <c r="AD39" s="144"/>
      <c r="AE39" s="153" t="e">
        <f>AE41+AE43+AE45</f>
        <v>#REF!</v>
      </c>
      <c r="AF39" s="136" t="s">
        <v>14943</v>
      </c>
    </row>
    <row r="40" spans="2:32" ht="20.100000000000001" customHeight="1">
      <c r="B40" s="125"/>
      <c r="C40" s="154"/>
      <c r="D40" s="134" t="s">
        <v>14967</v>
      </c>
      <c r="E40" s="155" t="s">
        <v>15013</v>
      </c>
      <c r="F40" s="151" t="s">
        <v>14084</v>
      </c>
      <c r="G40" s="129">
        <v>0</v>
      </c>
      <c r="H40" s="151" t="s">
        <v>14132</v>
      </c>
      <c r="I40" s="129">
        <v>0</v>
      </c>
      <c r="J40" s="116" t="s">
        <v>14180</v>
      </c>
      <c r="K40" s="119">
        <v>0</v>
      </c>
      <c r="L40" s="118" t="s">
        <v>14228</v>
      </c>
      <c r="M40" s="116">
        <v>0</v>
      </c>
      <c r="N40" s="120"/>
      <c r="O40" s="121"/>
      <c r="P40" s="120"/>
      <c r="Q40" s="121"/>
      <c r="R40" s="120"/>
      <c r="S40" s="121"/>
      <c r="T40" s="121"/>
      <c r="U40" s="121"/>
      <c r="V40" s="121"/>
      <c r="W40" s="121"/>
      <c r="X40" s="121"/>
      <c r="Y40" s="121"/>
      <c r="Z40" s="121"/>
      <c r="AA40" s="121"/>
      <c r="AB40" s="122" t="s">
        <v>14320</v>
      </c>
      <c r="AC40" s="123"/>
      <c r="AD40" s="144"/>
      <c r="AE40" s="399" t="s">
        <v>15014</v>
      </c>
      <c r="AF40" s="400"/>
    </row>
    <row r="41" spans="2:32" ht="20.100000000000001" customHeight="1">
      <c r="B41" s="125"/>
      <c r="C41" s="154"/>
      <c r="D41" s="132" t="s">
        <v>14970</v>
      </c>
      <c r="E41" s="156" t="s">
        <v>15015</v>
      </c>
      <c r="F41" s="151" t="s">
        <v>14085</v>
      </c>
      <c r="G41" s="129">
        <v>2170991</v>
      </c>
      <c r="H41" s="151" t="s">
        <v>14133</v>
      </c>
      <c r="I41" s="129">
        <v>0</v>
      </c>
      <c r="J41" s="116" t="s">
        <v>14181</v>
      </c>
      <c r="K41" s="119">
        <v>2170991</v>
      </c>
      <c r="L41" s="118" t="s">
        <v>14229</v>
      </c>
      <c r="M41" s="116">
        <v>2170991</v>
      </c>
      <c r="N41" s="120"/>
      <c r="O41" s="121"/>
      <c r="P41" s="120"/>
      <c r="Q41" s="121"/>
      <c r="R41" s="120"/>
      <c r="S41" s="121"/>
      <c r="T41" s="121"/>
      <c r="U41" s="121"/>
      <c r="V41" s="121"/>
      <c r="W41" s="121"/>
      <c r="X41" s="121"/>
      <c r="Y41" s="121"/>
      <c r="Z41" s="121"/>
      <c r="AA41" s="121"/>
      <c r="AB41" s="122" t="s">
        <v>14321</v>
      </c>
      <c r="AC41" s="123"/>
      <c r="AD41" s="144"/>
      <c r="AE41" s="153" t="e">
        <f>#REF!</f>
        <v>#REF!</v>
      </c>
      <c r="AF41" s="136" t="s">
        <v>14943</v>
      </c>
    </row>
    <row r="42" spans="2:32" ht="20.100000000000001" customHeight="1">
      <c r="B42" s="125"/>
      <c r="C42" s="154"/>
      <c r="D42" s="145" t="s">
        <v>14972</v>
      </c>
      <c r="E42" s="155" t="s">
        <v>15016</v>
      </c>
      <c r="F42" s="151" t="s">
        <v>14086</v>
      </c>
      <c r="G42" s="129">
        <v>1035468</v>
      </c>
      <c r="H42" s="151" t="s">
        <v>14134</v>
      </c>
      <c r="I42" s="129">
        <v>0</v>
      </c>
      <c r="J42" s="116" t="s">
        <v>14182</v>
      </c>
      <c r="K42" s="119">
        <v>1035468</v>
      </c>
      <c r="L42" s="118" t="s">
        <v>14230</v>
      </c>
      <c r="M42" s="116">
        <v>1035468</v>
      </c>
      <c r="N42" s="120"/>
      <c r="O42" s="121"/>
      <c r="P42" s="120"/>
      <c r="Q42" s="121"/>
      <c r="R42" s="120"/>
      <c r="S42" s="121"/>
      <c r="T42" s="121"/>
      <c r="U42" s="121"/>
      <c r="V42" s="121"/>
      <c r="W42" s="121"/>
      <c r="X42" s="121"/>
      <c r="Y42" s="121"/>
      <c r="Z42" s="121"/>
      <c r="AA42" s="121"/>
      <c r="AB42" s="122" t="s">
        <v>14322</v>
      </c>
      <c r="AC42" s="123"/>
      <c r="AD42" s="144"/>
      <c r="AE42" s="399" t="s">
        <v>15017</v>
      </c>
      <c r="AF42" s="400"/>
    </row>
    <row r="43" spans="2:32" ht="20.100000000000001" customHeight="1">
      <c r="B43" s="134">
        <v>3</v>
      </c>
      <c r="C43" s="155" t="s">
        <v>15018</v>
      </c>
      <c r="D43" s="157"/>
      <c r="E43" s="157"/>
      <c r="F43" s="151" t="s">
        <v>14087</v>
      </c>
      <c r="G43" s="116">
        <v>57024447</v>
      </c>
      <c r="H43" s="151" t="s">
        <v>14135</v>
      </c>
      <c r="I43" s="116">
        <v>0</v>
      </c>
      <c r="J43" s="116" t="s">
        <v>14183</v>
      </c>
      <c r="K43" s="119">
        <v>57024447</v>
      </c>
      <c r="L43" s="118" t="s">
        <v>14231</v>
      </c>
      <c r="M43" s="116">
        <v>56377534</v>
      </c>
      <c r="N43" s="120"/>
      <c r="O43" s="121"/>
      <c r="P43" s="118" t="s">
        <v>14261</v>
      </c>
      <c r="Q43" s="116">
        <v>56377534</v>
      </c>
      <c r="R43" s="118" t="s">
        <v>14266</v>
      </c>
      <c r="S43" s="116">
        <v>15409701</v>
      </c>
      <c r="T43" s="116" t="s">
        <v>14271</v>
      </c>
      <c r="U43" s="116">
        <v>16920300</v>
      </c>
      <c r="V43" s="116" t="s">
        <v>14276</v>
      </c>
      <c r="W43" s="116">
        <v>16920300</v>
      </c>
      <c r="X43" s="116" t="s">
        <v>14281</v>
      </c>
      <c r="Y43" s="116">
        <v>1510599</v>
      </c>
      <c r="Z43" s="116" t="s">
        <v>14286</v>
      </c>
      <c r="AA43" s="116">
        <v>0</v>
      </c>
      <c r="AB43" s="122" t="s">
        <v>14323</v>
      </c>
      <c r="AC43" s="123"/>
      <c r="AD43" s="144"/>
      <c r="AE43" s="153" t="e">
        <f>#REF!</f>
        <v>#REF!</v>
      </c>
      <c r="AF43" s="136" t="s">
        <v>14943</v>
      </c>
    </row>
    <row r="44" spans="2:32" ht="20.100000000000001" customHeight="1">
      <c r="B44" s="158" t="s">
        <v>15019</v>
      </c>
      <c r="C44" s="159"/>
      <c r="F44" s="151" t="s">
        <v>14088</v>
      </c>
      <c r="G44" s="116">
        <v>6988184</v>
      </c>
      <c r="H44" s="151" t="s">
        <v>14136</v>
      </c>
      <c r="I44" s="116">
        <v>0</v>
      </c>
      <c r="J44" s="116" t="s">
        <v>14184</v>
      </c>
      <c r="K44" s="119">
        <v>6988184</v>
      </c>
      <c r="L44" s="118" t="s">
        <v>14232</v>
      </c>
      <c r="M44" s="116">
        <v>6988184</v>
      </c>
      <c r="N44" s="118" t="s">
        <v>14247</v>
      </c>
      <c r="O44" s="116">
        <v>28886000</v>
      </c>
      <c r="P44" s="108" t="s">
        <v>14262</v>
      </c>
      <c r="Q44" s="106">
        <v>6988184</v>
      </c>
      <c r="R44" s="108" t="s">
        <v>14267</v>
      </c>
      <c r="S44" s="146">
        <v>2690450</v>
      </c>
      <c r="T44" s="146" t="s">
        <v>14272</v>
      </c>
      <c r="U44" s="109">
        <v>2862860</v>
      </c>
      <c r="V44" s="146" t="s">
        <v>14277</v>
      </c>
      <c r="W44" s="109">
        <v>2862860</v>
      </c>
      <c r="X44" s="146" t="s">
        <v>14282</v>
      </c>
      <c r="Y44" s="104">
        <v>172410</v>
      </c>
      <c r="Z44" s="146" t="s">
        <v>14287</v>
      </c>
      <c r="AA44" s="104">
        <v>0</v>
      </c>
      <c r="AB44" s="122" t="s">
        <v>14324</v>
      </c>
      <c r="AC44" s="111"/>
      <c r="AD44" s="144"/>
      <c r="AE44" s="383" t="s">
        <v>15020</v>
      </c>
      <c r="AF44" s="385"/>
    </row>
    <row r="45" spans="2:32" ht="20.100000000000001" customHeight="1">
      <c r="B45" s="160"/>
      <c r="C45" s="161" t="s">
        <v>15021</v>
      </c>
      <c r="D45" s="162" t="s">
        <v>15022</v>
      </c>
      <c r="E45" s="136"/>
      <c r="F45" s="151" t="s">
        <v>14089</v>
      </c>
      <c r="G45" s="129">
        <v>782337</v>
      </c>
      <c r="H45" s="151" t="s">
        <v>14137</v>
      </c>
      <c r="I45" s="129">
        <v>0</v>
      </c>
      <c r="J45" s="116" t="s">
        <v>14185</v>
      </c>
      <c r="K45" s="119">
        <v>782337</v>
      </c>
      <c r="L45" s="118" t="s">
        <v>14233</v>
      </c>
      <c r="M45" s="129">
        <v>782337</v>
      </c>
      <c r="N45" s="118" t="s">
        <v>14248</v>
      </c>
      <c r="O45" s="116">
        <v>4819000</v>
      </c>
      <c r="P45" s="120"/>
      <c r="Q45" s="121"/>
      <c r="R45" s="120"/>
      <c r="S45" s="121"/>
      <c r="T45" s="121"/>
      <c r="U45" s="121"/>
      <c r="V45" s="121"/>
      <c r="W45" s="121"/>
      <c r="X45" s="121"/>
      <c r="Y45" s="121"/>
      <c r="Z45" s="121"/>
      <c r="AA45" s="121"/>
      <c r="AB45" s="122" t="s">
        <v>14325</v>
      </c>
      <c r="AC45" s="123"/>
      <c r="AD45" s="144"/>
      <c r="AE45" s="153" t="e">
        <f>#REF!</f>
        <v>#REF!</v>
      </c>
      <c r="AF45" s="136" t="s">
        <v>14943</v>
      </c>
    </row>
    <row r="46" spans="2:32" ht="20.100000000000001" customHeight="1">
      <c r="B46" s="160"/>
      <c r="C46" s="161" t="s">
        <v>14982</v>
      </c>
      <c r="D46" s="162" t="s">
        <v>15023</v>
      </c>
      <c r="E46" s="136"/>
      <c r="F46" s="151" t="s">
        <v>14090</v>
      </c>
      <c r="G46" s="116">
        <v>3124000</v>
      </c>
      <c r="H46" s="151" t="s">
        <v>14138</v>
      </c>
      <c r="I46" s="116">
        <v>0</v>
      </c>
      <c r="J46" s="116" t="s">
        <v>14186</v>
      </c>
      <c r="K46" s="119">
        <v>3124000</v>
      </c>
      <c r="L46" s="118" t="s">
        <v>14234</v>
      </c>
      <c r="M46" s="116">
        <v>3124000</v>
      </c>
      <c r="N46" s="118" t="s">
        <v>14249</v>
      </c>
      <c r="O46" s="116">
        <v>8000000</v>
      </c>
      <c r="P46" s="120"/>
      <c r="Q46" s="121"/>
      <c r="R46" s="120"/>
      <c r="S46" s="121"/>
      <c r="T46" s="121"/>
      <c r="U46" s="121"/>
      <c r="V46" s="121"/>
      <c r="W46" s="121"/>
      <c r="X46" s="121"/>
      <c r="Y46" s="121"/>
      <c r="Z46" s="121"/>
      <c r="AA46" s="121"/>
      <c r="AB46" s="122" t="s">
        <v>14326</v>
      </c>
      <c r="AC46" s="123"/>
      <c r="AD46" s="144"/>
      <c r="AE46" s="163"/>
      <c r="AF46" s="163"/>
    </row>
    <row r="47" spans="2:32" ht="20.100000000000001" customHeight="1">
      <c r="B47" s="160"/>
      <c r="C47" s="401"/>
      <c r="D47" s="135" t="s">
        <v>15024</v>
      </c>
      <c r="E47" s="164" t="s">
        <v>15025</v>
      </c>
      <c r="F47" s="151" t="s">
        <v>14091</v>
      </c>
      <c r="G47" s="129">
        <v>3124000</v>
      </c>
      <c r="H47" s="151"/>
      <c r="I47" s="129">
        <v>0</v>
      </c>
      <c r="J47" s="116" t="s">
        <v>14187</v>
      </c>
      <c r="K47" s="119">
        <v>3124000</v>
      </c>
      <c r="L47" s="118" t="s">
        <v>14235</v>
      </c>
      <c r="M47" s="129">
        <v>3124000</v>
      </c>
      <c r="N47" s="118" t="s">
        <v>14250</v>
      </c>
      <c r="O47" s="116">
        <v>8000000</v>
      </c>
      <c r="P47" s="120"/>
      <c r="Q47" s="121"/>
      <c r="R47" s="120"/>
      <c r="S47" s="121"/>
      <c r="T47" s="121"/>
      <c r="U47" s="121"/>
      <c r="V47" s="121"/>
      <c r="W47" s="121"/>
      <c r="X47" s="121"/>
      <c r="Y47" s="121"/>
      <c r="Z47" s="121"/>
      <c r="AA47" s="121"/>
      <c r="AB47" s="122" t="s">
        <v>14327</v>
      </c>
      <c r="AC47" s="123"/>
      <c r="AD47" s="144"/>
      <c r="AE47" s="163"/>
      <c r="AF47" s="163"/>
    </row>
    <row r="48" spans="2:32" ht="20.100000000000001" customHeight="1">
      <c r="B48" s="160"/>
      <c r="C48" s="401"/>
      <c r="D48" s="105" t="s">
        <v>15026</v>
      </c>
      <c r="E48" s="164" t="s">
        <v>15027</v>
      </c>
      <c r="F48" s="151" t="s">
        <v>14092</v>
      </c>
      <c r="G48" s="129">
        <v>0</v>
      </c>
      <c r="H48" s="151"/>
      <c r="I48" s="129">
        <v>0</v>
      </c>
      <c r="J48" s="116" t="s">
        <v>14188</v>
      </c>
      <c r="K48" s="119">
        <v>0</v>
      </c>
      <c r="L48" s="118" t="s">
        <v>14236</v>
      </c>
      <c r="M48" s="129">
        <v>0</v>
      </c>
      <c r="N48" s="118" t="s">
        <v>14251</v>
      </c>
      <c r="O48" s="116">
        <v>0</v>
      </c>
      <c r="P48" s="120"/>
      <c r="Q48" s="121"/>
      <c r="R48" s="120"/>
      <c r="S48" s="121"/>
      <c r="T48" s="121"/>
      <c r="U48" s="121"/>
      <c r="V48" s="121"/>
      <c r="W48" s="121"/>
      <c r="X48" s="121"/>
      <c r="Y48" s="121"/>
      <c r="Z48" s="121"/>
      <c r="AA48" s="121"/>
      <c r="AB48" s="122" t="s">
        <v>14328</v>
      </c>
      <c r="AC48" s="123"/>
      <c r="AD48" s="144"/>
      <c r="AE48" s="163"/>
      <c r="AF48" s="163"/>
    </row>
    <row r="49" spans="2:32" ht="20.100000000000001" customHeight="1">
      <c r="B49" s="160"/>
      <c r="C49" s="401"/>
      <c r="D49" s="165" t="s">
        <v>15028</v>
      </c>
      <c r="E49" s="166" t="s">
        <v>15029</v>
      </c>
      <c r="F49" s="151" t="s">
        <v>14093</v>
      </c>
      <c r="G49" s="129">
        <v>0</v>
      </c>
      <c r="H49" s="151"/>
      <c r="I49" s="129">
        <v>0</v>
      </c>
      <c r="J49" s="118" t="s">
        <v>14189</v>
      </c>
      <c r="K49" s="119">
        <v>0</v>
      </c>
      <c r="L49" s="118" t="s">
        <v>14237</v>
      </c>
      <c r="M49" s="129">
        <v>0</v>
      </c>
      <c r="N49" s="118" t="s">
        <v>14252</v>
      </c>
      <c r="O49" s="118">
        <v>0</v>
      </c>
      <c r="P49" s="120"/>
      <c r="Q49" s="120"/>
      <c r="R49" s="120"/>
      <c r="S49" s="120"/>
      <c r="T49" s="120"/>
      <c r="U49" s="120"/>
      <c r="V49" s="120"/>
      <c r="W49" s="120"/>
      <c r="X49" s="120"/>
      <c r="Y49" s="120"/>
      <c r="Z49" s="120"/>
      <c r="AA49" s="120"/>
      <c r="AB49" s="122" t="s">
        <v>14329</v>
      </c>
      <c r="AC49" s="123"/>
      <c r="AD49" s="144"/>
      <c r="AE49" s="163"/>
      <c r="AF49" s="163"/>
    </row>
    <row r="50" spans="2:32" ht="20.100000000000001" customHeight="1">
      <c r="B50" s="160"/>
      <c r="C50" s="402"/>
      <c r="D50" s="165" t="s">
        <v>15030</v>
      </c>
      <c r="E50" s="164" t="s">
        <v>15031</v>
      </c>
      <c r="F50" s="151" t="s">
        <v>72</v>
      </c>
      <c r="G50" s="129">
        <v>2030564</v>
      </c>
      <c r="H50" s="151" t="s">
        <v>14143</v>
      </c>
      <c r="I50" s="129">
        <v>0</v>
      </c>
      <c r="J50" s="151" t="s">
        <v>14191</v>
      </c>
      <c r="K50" s="119">
        <v>2030564</v>
      </c>
      <c r="L50" s="151" t="s">
        <v>14239</v>
      </c>
      <c r="M50" s="129">
        <v>2030564</v>
      </c>
      <c r="N50" s="151" t="s">
        <v>14254</v>
      </c>
      <c r="O50" s="116">
        <v>14795000</v>
      </c>
      <c r="P50" s="120"/>
      <c r="Q50" s="121"/>
      <c r="R50" s="120"/>
      <c r="S50" s="121"/>
      <c r="T50" s="121"/>
      <c r="U50" s="121"/>
      <c r="V50" s="121"/>
      <c r="W50" s="121"/>
      <c r="X50" s="121"/>
      <c r="Y50" s="121"/>
      <c r="Z50" s="121"/>
      <c r="AA50" s="121"/>
      <c r="AB50" s="122" t="s">
        <v>14331</v>
      </c>
      <c r="AC50" s="123"/>
      <c r="AD50" s="144"/>
      <c r="AE50" s="163"/>
      <c r="AF50" s="163"/>
    </row>
    <row r="51" spans="2:32" ht="20.100000000000001" customHeight="1">
      <c r="B51" s="160"/>
      <c r="C51" s="161" t="s">
        <v>15032</v>
      </c>
      <c r="D51" s="103" t="s">
        <v>15033</v>
      </c>
      <c r="E51" s="164"/>
      <c r="F51" s="151" t="s">
        <v>14095</v>
      </c>
      <c r="G51" s="116">
        <v>0</v>
      </c>
      <c r="H51" s="151" t="s">
        <v>14144</v>
      </c>
      <c r="I51" s="116">
        <v>0</v>
      </c>
      <c r="J51" s="116" t="s">
        <v>14192</v>
      </c>
      <c r="K51" s="119">
        <v>0</v>
      </c>
      <c r="L51" s="118" t="s">
        <v>14240</v>
      </c>
      <c r="M51" s="116">
        <v>0</v>
      </c>
      <c r="N51" s="118" t="s">
        <v>14255</v>
      </c>
      <c r="O51" s="116">
        <v>10266000</v>
      </c>
      <c r="P51" s="120"/>
      <c r="Q51" s="121"/>
      <c r="R51" s="120"/>
      <c r="S51" s="121"/>
      <c r="T51" s="121"/>
      <c r="U51" s="121"/>
      <c r="V51" s="121"/>
      <c r="W51" s="121"/>
      <c r="X51" s="121"/>
      <c r="Y51" s="121"/>
      <c r="Z51" s="121"/>
      <c r="AA51" s="121"/>
      <c r="AB51" s="122" t="s">
        <v>14332</v>
      </c>
      <c r="AC51" s="123"/>
      <c r="AD51" s="144"/>
      <c r="AE51" s="163"/>
      <c r="AF51" s="163"/>
    </row>
    <row r="52" spans="2:32" ht="20.100000000000001" customHeight="1">
      <c r="B52" s="160"/>
      <c r="C52" s="320"/>
      <c r="D52" s="135" t="s">
        <v>15024</v>
      </c>
      <c r="E52" s="162" t="s">
        <v>15034</v>
      </c>
      <c r="F52" s="151" t="s">
        <v>14096</v>
      </c>
      <c r="G52" s="129">
        <v>0</v>
      </c>
      <c r="H52" s="151" t="s">
        <v>14145</v>
      </c>
      <c r="I52" s="129">
        <v>0</v>
      </c>
      <c r="J52" s="116" t="s">
        <v>14193</v>
      </c>
      <c r="K52" s="119">
        <v>0</v>
      </c>
      <c r="L52" s="118" t="s">
        <v>14241</v>
      </c>
      <c r="M52" s="129">
        <v>0</v>
      </c>
      <c r="N52" s="118" t="s">
        <v>14256</v>
      </c>
      <c r="O52" s="116">
        <v>0</v>
      </c>
      <c r="P52" s="120"/>
      <c r="Q52" s="121"/>
      <c r="R52" s="120"/>
      <c r="S52" s="121"/>
      <c r="T52" s="121"/>
      <c r="U52" s="121"/>
      <c r="V52" s="121"/>
      <c r="W52" s="121"/>
      <c r="X52" s="121"/>
      <c r="Y52" s="121"/>
      <c r="Z52" s="121"/>
      <c r="AA52" s="121"/>
      <c r="AB52" s="122" t="s">
        <v>14333</v>
      </c>
      <c r="AC52" s="123"/>
      <c r="AD52" s="144"/>
      <c r="AE52" s="315" t="s">
        <v>15035</v>
      </c>
      <c r="AF52" s="117" t="e">
        <f>#REF!</f>
        <v>#REF!</v>
      </c>
    </row>
    <row r="53" spans="2:32" ht="20.100000000000001" customHeight="1">
      <c r="B53" s="160"/>
      <c r="C53" s="320"/>
      <c r="D53" s="105" t="s">
        <v>15026</v>
      </c>
      <c r="E53" s="162" t="s">
        <v>15036</v>
      </c>
      <c r="F53" s="151" t="s">
        <v>14097</v>
      </c>
      <c r="G53" s="129">
        <v>2030564</v>
      </c>
      <c r="H53" s="151" t="s">
        <v>14146</v>
      </c>
      <c r="I53" s="129">
        <v>0</v>
      </c>
      <c r="J53" s="116" t="s">
        <v>14194</v>
      </c>
      <c r="K53" s="119">
        <v>2030564</v>
      </c>
      <c r="L53" s="118" t="s">
        <v>14242</v>
      </c>
      <c r="M53" s="129">
        <v>2030564</v>
      </c>
      <c r="N53" s="118" t="s">
        <v>14257</v>
      </c>
      <c r="O53" s="116">
        <v>4529000</v>
      </c>
      <c r="P53" s="120"/>
      <c r="Q53" s="121"/>
      <c r="R53" s="120"/>
      <c r="S53" s="121"/>
      <c r="T53" s="121"/>
      <c r="U53" s="121"/>
      <c r="V53" s="121"/>
      <c r="W53" s="121"/>
      <c r="X53" s="121"/>
      <c r="Y53" s="121"/>
      <c r="Z53" s="121"/>
      <c r="AA53" s="121"/>
      <c r="AB53" s="122" t="s">
        <v>14334</v>
      </c>
      <c r="AC53" s="123"/>
      <c r="AD53" s="144"/>
      <c r="AE53" s="315" t="s">
        <v>14930</v>
      </c>
      <c r="AF53" s="117" t="e">
        <f>#REF!</f>
        <v>#REF!</v>
      </c>
    </row>
    <row r="54" spans="2:32" ht="20.100000000000001" customHeight="1">
      <c r="B54" s="160"/>
      <c r="C54" s="321"/>
      <c r="D54" s="105" t="s">
        <v>15037</v>
      </c>
      <c r="E54" s="162" t="s">
        <v>15038</v>
      </c>
      <c r="F54" s="151" t="s">
        <v>14098</v>
      </c>
      <c r="G54" s="129">
        <v>1051283</v>
      </c>
      <c r="H54" s="151" t="s">
        <v>14147</v>
      </c>
      <c r="I54" s="129">
        <v>0</v>
      </c>
      <c r="J54" s="116" t="s">
        <v>14195</v>
      </c>
      <c r="K54" s="119">
        <v>1051283</v>
      </c>
      <c r="L54" s="118" t="s">
        <v>14243</v>
      </c>
      <c r="M54" s="129">
        <v>1051283</v>
      </c>
      <c r="N54" s="118" t="s">
        <v>14258</v>
      </c>
      <c r="O54" s="116">
        <v>1272000</v>
      </c>
      <c r="P54" s="120"/>
      <c r="Q54" s="121"/>
      <c r="R54" s="120"/>
      <c r="S54" s="121"/>
      <c r="T54" s="121"/>
      <c r="U54" s="121"/>
      <c r="V54" s="121"/>
      <c r="W54" s="121"/>
      <c r="X54" s="121"/>
      <c r="Y54" s="121"/>
      <c r="Z54" s="121"/>
      <c r="AA54" s="121"/>
      <c r="AB54" s="122" t="s">
        <v>14335</v>
      </c>
      <c r="AC54" s="123"/>
      <c r="AD54" s="144"/>
      <c r="AE54" s="315" t="s">
        <v>14929</v>
      </c>
      <c r="AF54" s="117" t="e">
        <f>#REF!</f>
        <v>#REF!</v>
      </c>
    </row>
    <row r="55" spans="2:32" ht="20.100000000000001" customHeight="1">
      <c r="B55" s="167"/>
      <c r="C55" s="168" t="s">
        <v>14993</v>
      </c>
      <c r="D55" s="162" t="s">
        <v>15039</v>
      </c>
      <c r="E55" s="136"/>
      <c r="F55" s="151" t="s">
        <v>14099</v>
      </c>
      <c r="G55" s="129">
        <v>64012631</v>
      </c>
      <c r="H55" s="151" t="s">
        <v>14148</v>
      </c>
      <c r="I55" s="129">
        <v>0</v>
      </c>
      <c r="J55" s="118" t="s">
        <v>14196</v>
      </c>
      <c r="K55" s="119">
        <v>64012631</v>
      </c>
      <c r="L55" s="118" t="s">
        <v>14244</v>
      </c>
      <c r="M55" s="129">
        <v>63365718</v>
      </c>
      <c r="N55" s="118"/>
      <c r="O55" s="116"/>
      <c r="P55" s="120" t="s">
        <v>14263</v>
      </c>
      <c r="Q55" s="121">
        <v>63365718</v>
      </c>
      <c r="R55" s="120" t="s">
        <v>14268</v>
      </c>
      <c r="S55" s="121">
        <v>18100151</v>
      </c>
      <c r="T55" s="121" t="s">
        <v>14273</v>
      </c>
      <c r="U55" s="121">
        <v>19783160</v>
      </c>
      <c r="V55" s="121" t="s">
        <v>14278</v>
      </c>
      <c r="W55" s="121">
        <v>19783160</v>
      </c>
      <c r="X55" s="121" t="s">
        <v>14283</v>
      </c>
      <c r="Y55" s="121">
        <v>1683009</v>
      </c>
      <c r="Z55" s="121" t="s">
        <v>14288</v>
      </c>
      <c r="AA55" s="121">
        <v>0</v>
      </c>
      <c r="AB55" s="122" t="s">
        <v>14336</v>
      </c>
      <c r="AC55" s="123"/>
      <c r="AD55" s="144"/>
      <c r="AE55" s="315" t="s">
        <v>14931</v>
      </c>
      <c r="AF55" s="117" t="e">
        <f>#REF!</f>
        <v>#REF!</v>
      </c>
    </row>
    <row r="56" spans="2:32" ht="16.5" customHeight="1">
      <c r="B56" s="169">
        <v>5</v>
      </c>
      <c r="C56" s="114" t="s">
        <v>15040</v>
      </c>
      <c r="D56" s="114"/>
      <c r="E56" s="155"/>
      <c r="F56" s="151" t="s">
        <v>14100</v>
      </c>
      <c r="G56" s="116">
        <v>64983969</v>
      </c>
      <c r="H56" s="151" t="s">
        <v>14148</v>
      </c>
      <c r="I56" s="116">
        <v>0</v>
      </c>
      <c r="J56" s="118" t="s">
        <v>14196</v>
      </c>
      <c r="K56" s="119">
        <v>64983969</v>
      </c>
      <c r="L56" s="118" t="s">
        <v>14244</v>
      </c>
      <c r="M56" s="116">
        <v>64983969</v>
      </c>
      <c r="N56" s="118"/>
      <c r="O56" s="121"/>
      <c r="P56" s="118" t="s">
        <v>14263</v>
      </c>
      <c r="Q56" s="116">
        <v>64983969</v>
      </c>
      <c r="R56" s="118" t="s">
        <v>14268</v>
      </c>
      <c r="S56" s="116">
        <v>18604924</v>
      </c>
      <c r="T56" s="116" t="s">
        <v>14273</v>
      </c>
      <c r="U56" s="116">
        <v>20153210</v>
      </c>
      <c r="V56" s="116" t="s">
        <v>14278</v>
      </c>
      <c r="W56" s="116">
        <v>20153210</v>
      </c>
      <c r="X56" s="116" t="s">
        <v>14283</v>
      </c>
      <c r="Y56" s="104">
        <v>1548286</v>
      </c>
      <c r="Z56" s="146" t="s">
        <v>14287</v>
      </c>
      <c r="AA56" s="104">
        <v>0</v>
      </c>
      <c r="AB56" s="122" t="s">
        <v>14336</v>
      </c>
      <c r="AC56" s="170"/>
      <c r="AD56" s="171"/>
      <c r="AE56" s="315" t="s">
        <v>14932</v>
      </c>
      <c r="AF56" s="117" t="e">
        <f>#REF!</f>
        <v>#REF!</v>
      </c>
    </row>
    <row r="57" spans="2:32" ht="23.1" customHeight="1">
      <c r="B57" s="172"/>
      <c r="C57" s="172"/>
      <c r="D57" s="172"/>
      <c r="E57" s="172"/>
      <c r="F57" s="85"/>
      <c r="G57" s="173"/>
      <c r="H57" s="174"/>
      <c r="I57" s="173"/>
      <c r="J57" s="174"/>
      <c r="K57" s="173"/>
      <c r="L57" s="174"/>
      <c r="M57" s="173"/>
      <c r="N57" s="174"/>
      <c r="O57" s="173"/>
      <c r="P57" s="174"/>
      <c r="Q57" s="173"/>
      <c r="R57" s="174"/>
      <c r="S57" s="173"/>
      <c r="T57" s="173"/>
      <c r="U57" s="173"/>
      <c r="V57" s="173"/>
      <c r="W57" s="173"/>
      <c r="X57" s="173"/>
      <c r="Y57" s="173"/>
      <c r="Z57" s="173"/>
      <c r="AA57" s="173"/>
      <c r="AB57" s="173"/>
      <c r="AC57" s="80"/>
      <c r="AD57" s="80"/>
    </row>
    <row r="58" spans="2:32" ht="19.350000000000001" customHeight="1">
      <c r="B58" s="80"/>
      <c r="C58" s="80"/>
      <c r="D58" s="197"/>
      <c r="E58" s="80"/>
      <c r="G58" s="80"/>
      <c r="I58" s="80"/>
      <c r="K58" s="80"/>
      <c r="M58" s="80"/>
      <c r="O58" s="80"/>
      <c r="P58" s="180" t="s">
        <v>319</v>
      </c>
      <c r="R58" s="203"/>
      <c r="Z58" s="180"/>
      <c r="AA58" s="204"/>
      <c r="AB58" s="204"/>
      <c r="AD58" s="201"/>
      <c r="AE58" s="201"/>
      <c r="AF58" s="201"/>
    </row>
    <row r="59" spans="2:32" ht="19.350000000000001" customHeight="1">
      <c r="B59" s="80"/>
      <c r="C59" s="80"/>
      <c r="D59" s="197"/>
      <c r="E59" s="80"/>
      <c r="G59" s="80"/>
      <c r="I59" s="80"/>
      <c r="K59" s="80"/>
      <c r="M59" s="80"/>
      <c r="O59" s="80"/>
      <c r="R59" s="203"/>
    </row>
  </sheetData>
  <mergeCells count="22">
    <mergeCell ref="AE21:AF21"/>
    <mergeCell ref="B3:AC3"/>
    <mergeCell ref="B6:E7"/>
    <mergeCell ref="Y6:AA6"/>
    <mergeCell ref="AE10:AF10"/>
    <mergeCell ref="AE12:AF12"/>
    <mergeCell ref="AE13:AF13"/>
    <mergeCell ref="AE14:AF14"/>
    <mergeCell ref="AE15:AF15"/>
    <mergeCell ref="AE16:AF16"/>
    <mergeCell ref="AE18:AF18"/>
    <mergeCell ref="AE20:AF20"/>
    <mergeCell ref="AE40:AF40"/>
    <mergeCell ref="AE42:AF42"/>
    <mergeCell ref="AE44:AF44"/>
    <mergeCell ref="C47:C50"/>
    <mergeCell ref="AE22:AF22"/>
    <mergeCell ref="AE26:AF26"/>
    <mergeCell ref="AE27:AF27"/>
    <mergeCell ref="AE34:AF34"/>
    <mergeCell ref="AE35:AF35"/>
    <mergeCell ref="AE37:AF37"/>
  </mergeCells>
  <phoneticPr fontId="3"/>
  <conditionalFormatting sqref="AE28">
    <cfRule type="notContainsBlanks" dxfId="73" priority="32">
      <formula>LEN(TRIM(AE28))&gt;0</formula>
    </cfRule>
  </conditionalFormatting>
  <conditionalFormatting sqref="AE30">
    <cfRule type="notContainsBlanks" dxfId="72" priority="31">
      <formula>LEN(TRIM(AE30))&gt;0</formula>
    </cfRule>
  </conditionalFormatting>
  <conditionalFormatting sqref="R44:S44">
    <cfRule type="expression" dxfId="71" priority="29">
      <formula>AND(#REF!&lt;&gt;"",#REF!&lt;&gt;0)</formula>
    </cfRule>
  </conditionalFormatting>
  <conditionalFormatting sqref="R37:S37">
    <cfRule type="expression" dxfId="70" priority="30">
      <formula>AND(#REF!&lt;&gt;"",#REF!&lt;&gt;0)</formula>
    </cfRule>
  </conditionalFormatting>
  <conditionalFormatting sqref="U9 W9">
    <cfRule type="notContainsBlanks" dxfId="69" priority="28">
      <formula>LEN(TRIM(U9))&gt;0</formula>
    </cfRule>
  </conditionalFormatting>
  <conditionalFormatting sqref="U37">
    <cfRule type="notContainsBlanks" dxfId="68" priority="27">
      <formula>LEN(TRIM(U37))&gt;0</formula>
    </cfRule>
  </conditionalFormatting>
  <conditionalFormatting sqref="U44">
    <cfRule type="notContainsBlanks" dxfId="67" priority="26">
      <formula>LEN(TRIM(U44))&gt;0</formula>
    </cfRule>
  </conditionalFormatting>
  <conditionalFormatting sqref="T44">
    <cfRule type="expression" dxfId="66" priority="24">
      <formula>AND(#REF!&lt;&gt;"",#REF!&lt;&gt;0)</formula>
    </cfRule>
  </conditionalFormatting>
  <conditionalFormatting sqref="T37">
    <cfRule type="expression" dxfId="65" priority="25">
      <formula>AND(#REF!&lt;&gt;"",#REF!&lt;&gt;0)</formula>
    </cfRule>
  </conditionalFormatting>
  <conditionalFormatting sqref="V44">
    <cfRule type="expression" dxfId="64" priority="22">
      <formula>AND(#REF!&lt;&gt;"",#REF!&lt;&gt;0)</formula>
    </cfRule>
  </conditionalFormatting>
  <conditionalFormatting sqref="V37">
    <cfRule type="expression" dxfId="63" priority="23">
      <formula>AND(#REF!&lt;&gt;"",#REF!&lt;&gt;0)</formula>
    </cfRule>
  </conditionalFormatting>
  <conditionalFormatting sqref="X44">
    <cfRule type="expression" dxfId="62" priority="20">
      <formula>AND(#REF!&lt;&gt;"",#REF!&lt;&gt;0)</formula>
    </cfRule>
  </conditionalFormatting>
  <conditionalFormatting sqref="X37">
    <cfRule type="expression" dxfId="61" priority="21">
      <formula>AND(#REF!&lt;&gt;"",#REF!&lt;&gt;0)</formula>
    </cfRule>
  </conditionalFormatting>
  <conditionalFormatting sqref="Z44">
    <cfRule type="expression" dxfId="60" priority="18">
      <formula>AND(#REF!&lt;&gt;"",#REF!&lt;&gt;0)</formula>
    </cfRule>
  </conditionalFormatting>
  <conditionalFormatting sqref="Z37">
    <cfRule type="expression" dxfId="59" priority="19">
      <formula>AND(#REF!&lt;&gt;"",#REF!&lt;&gt;0)</formula>
    </cfRule>
  </conditionalFormatting>
  <conditionalFormatting sqref="G11:G16 I11:I16 M11:M16">
    <cfRule type="notContainsBlanks" dxfId="58" priority="17">
      <formula>LEN(TRIM(G11))&gt;0</formula>
    </cfRule>
  </conditionalFormatting>
  <conditionalFormatting sqref="G18:G22 I18:I22">
    <cfRule type="notContainsBlanks" dxfId="57" priority="16">
      <formula>LEN(TRIM(G18))&gt;0</formula>
    </cfRule>
  </conditionalFormatting>
  <conditionalFormatting sqref="I24:I30 G24:G30">
    <cfRule type="notContainsBlanks" dxfId="56" priority="15">
      <formula>LEN(TRIM(G24))&gt;0</formula>
    </cfRule>
  </conditionalFormatting>
  <conditionalFormatting sqref="G40:G42 G32:G36 G45 I45 I32:I36 I40:I42">
    <cfRule type="notContainsBlanks" dxfId="55" priority="14">
      <formula>LEN(TRIM(G32))&gt;0</formula>
    </cfRule>
  </conditionalFormatting>
  <conditionalFormatting sqref="G52:G55 I52:I55 G47:G50 I47:I50">
    <cfRule type="notContainsBlanks" dxfId="54" priority="13">
      <formula>LEN(TRIM(G47))&gt;0</formula>
    </cfRule>
  </conditionalFormatting>
  <conditionalFormatting sqref="W37">
    <cfRule type="notContainsBlanks" dxfId="53" priority="9">
      <formula>LEN(TRIM(W37))&gt;0</formula>
    </cfRule>
  </conditionalFormatting>
  <conditionalFormatting sqref="W44">
    <cfRule type="notContainsBlanks" dxfId="52" priority="8">
      <formula>LEN(TRIM(W44))&gt;0</formula>
    </cfRule>
  </conditionalFormatting>
  <conditionalFormatting sqref="Z56">
    <cfRule type="expression" dxfId="51" priority="7">
      <formula>AND(#REF!&lt;&gt;"",#REF!&lt;&gt;0)</formula>
    </cfRule>
  </conditionalFormatting>
  <conditionalFormatting sqref="M18:M22">
    <cfRule type="notContainsBlanks" dxfId="50" priority="6">
      <formula>LEN(TRIM(M18))&gt;0</formula>
    </cfRule>
  </conditionalFormatting>
  <conditionalFormatting sqref="M24:M30">
    <cfRule type="notContainsBlanks" dxfId="49" priority="5">
      <formula>LEN(TRIM(M24))&gt;0</formula>
    </cfRule>
  </conditionalFormatting>
  <conditionalFormatting sqref="M32:M36">
    <cfRule type="notContainsBlanks" dxfId="48" priority="4">
      <formula>LEN(TRIM(M32))&gt;0</formula>
    </cfRule>
  </conditionalFormatting>
  <conditionalFormatting sqref="M45">
    <cfRule type="notContainsBlanks" dxfId="47" priority="3">
      <formula>LEN(TRIM(M45))&gt;0</formula>
    </cfRule>
  </conditionalFormatting>
  <conditionalFormatting sqref="M47:M50">
    <cfRule type="notContainsBlanks" dxfId="46" priority="2">
      <formula>LEN(TRIM(M47))&gt;0</formula>
    </cfRule>
  </conditionalFormatting>
  <conditionalFormatting sqref="M52:M55">
    <cfRule type="notContainsBlanks" dxfId="45" priority="1">
      <formula>LEN(TRIM(M52))&gt;0</formula>
    </cfRule>
  </conditionalFormatting>
  <dataValidations count="4">
    <dataValidation type="whole" allowBlank="1" showInputMessage="1" showErrorMessage="1" error="整数（0以上）を入力して下さい。" sqref="AE30 AE28 G11:G16 G18:G22 G24:G30 G32:G36 G40:G42 G45 G47:G50 G52:G55 I11:I16 I18:I22 I24:I30 I32:I36 I40:I42 I45 M52:M55 I52:I55 M11:M16 M18:M22 M24:M30 M32:M36 M45 I47:I50 M47:M50" xr:uid="{E63D5615-F86D-4A41-B25B-433F11B0913B}">
      <formula1>0</formula1>
      <formula2>9999999999999990</formula2>
    </dataValidation>
    <dataValidation type="whole" operator="greaterThanOrEqual" allowBlank="1" showInputMessage="1" showErrorMessage="1" error="0以上の整数（金額）を入力して下さい。" sqref="M40:N42" xr:uid="{9B8A3EB6-ECD3-4DC3-8648-C2F699845856}">
      <formula1>0</formula1>
    </dataValidation>
    <dataValidation type="decimal" allowBlank="1" showInputMessage="1" showErrorMessage="1" error="数字（金額）を入力して下さい。" sqref="O9:P9 N47:N48 P52 O37:P37 O47:P50 P54:P55 N45:P45 N52:O55 J32:J36 J40:J42 J24:J30 J45 J52:J55 J18:J22 J47:J49 J11:J16" xr:uid="{CE8921E2-55ED-4EAC-887D-84B2704E5EC6}">
      <formula1>-9999999999999990</formula1>
      <formula2>9999999999999990</formula2>
    </dataValidation>
    <dataValidation type="whole" errorStyle="warning" operator="greaterThanOrEqual" allowBlank="1" showInputMessage="1" showErrorMessage="1" error="0以上の整数（金額）を入力して下さい。" sqref="I38:N38 AB38 G38" xr:uid="{AD3C5E78-AFDC-4202-8DB4-15A87A0226A6}">
      <formula1>0</formula1>
    </dataValidation>
  </dataValidations>
  <printOptions horizontalCentered="1"/>
  <pageMargins left="0.23622047244094491" right="0.35433070866141736" top="0.74803149606299213" bottom="0.74803149606299213" header="0.31496062992125984" footer="0.31496062992125984"/>
  <pageSetup paperSize="9" scale="40" orientation="landscape"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54B0B-F410-4CD7-8D1B-C63B6D837038}">
  <sheetPr>
    <tabColor theme="9" tint="0.59999389629810485"/>
    <pageSetUpPr fitToPage="1"/>
  </sheetPr>
  <dimension ref="A1:AG104"/>
  <sheetViews>
    <sheetView showGridLines="0" view="pageBreakPreview" topLeftCell="O1" zoomScale="90" zoomScaleNormal="55" zoomScaleSheetLayoutView="90" workbookViewId="0">
      <selection activeCell="W15" sqref="W15"/>
    </sheetView>
  </sheetViews>
  <sheetFormatPr defaultColWidth="8.88671875" defaultRowHeight="13.5"/>
  <cols>
    <col min="1" max="1" width="1.6640625" style="71" customWidth="1"/>
    <col min="2" max="4" width="2.88671875" style="72" customWidth="1"/>
    <col min="5" max="5" width="48.33203125" style="72" customWidth="1"/>
    <col min="6" max="6" width="10.6640625" style="72" hidden="1" customWidth="1"/>
    <col min="7" max="7" width="18.33203125" style="72" customWidth="1"/>
    <col min="8" max="8" width="10.6640625" style="72" hidden="1" customWidth="1"/>
    <col min="9" max="9" width="18.33203125" style="72" customWidth="1"/>
    <col min="10" max="10" width="10.77734375" style="72" hidden="1" customWidth="1"/>
    <col min="11" max="11" width="18.33203125" style="72" customWidth="1"/>
    <col min="12" max="12" width="10.77734375" style="72" hidden="1" customWidth="1"/>
    <col min="13" max="13" width="18.33203125" style="72" customWidth="1"/>
    <col min="14" max="14" width="10.77734375" style="72" hidden="1" customWidth="1"/>
    <col min="15" max="15" width="18.33203125" style="72" customWidth="1"/>
    <col min="16" max="16" width="10.77734375" style="72" hidden="1" customWidth="1"/>
    <col min="17" max="17" width="18.33203125" style="72" customWidth="1"/>
    <col min="18" max="18" width="10.77734375" style="72" hidden="1" customWidth="1"/>
    <col min="19" max="19" width="18.33203125" style="72" customWidth="1"/>
    <col min="20" max="20" width="10.6640625" style="72" hidden="1" customWidth="1"/>
    <col min="21" max="21" width="18.33203125" style="72" customWidth="1"/>
    <col min="22" max="22" width="10.6640625" style="72" hidden="1" customWidth="1"/>
    <col min="23" max="23" width="18.33203125" style="72" customWidth="1"/>
    <col min="24" max="24" width="10.6640625" style="72" hidden="1" customWidth="1"/>
    <col min="25" max="25" width="18.33203125" style="72" customWidth="1"/>
    <col min="26" max="26" width="10.6640625" style="72" hidden="1" customWidth="1"/>
    <col min="27" max="27" width="18.33203125" style="72" customWidth="1"/>
    <col min="28" max="28" width="10.6640625" style="72" hidden="1" customWidth="1"/>
    <col min="29" max="29" width="18.33203125" style="72" customWidth="1"/>
    <col min="30" max="30" width="8.21875" style="72" hidden="1" customWidth="1"/>
    <col min="31" max="32" width="18.33203125" style="72" hidden="1" customWidth="1"/>
    <col min="33" max="33" width="5.33203125" style="71" customWidth="1"/>
    <col min="34" max="35" width="65.6640625" style="71" customWidth="1"/>
    <col min="36" max="16384" width="8.88671875" style="71"/>
  </cols>
  <sheetData>
    <row r="1" spans="1:32">
      <c r="F1" s="72" t="s">
        <v>14928</v>
      </c>
      <c r="H1" s="72" t="s">
        <v>14928</v>
      </c>
      <c r="J1" s="72" t="s">
        <v>14928</v>
      </c>
      <c r="L1" s="72" t="s">
        <v>14928</v>
      </c>
      <c r="N1" s="72" t="s">
        <v>14928</v>
      </c>
      <c r="P1" s="72" t="s">
        <v>14928</v>
      </c>
      <c r="R1" s="72" t="s">
        <v>14928</v>
      </c>
      <c r="T1" s="72" t="s">
        <v>14928</v>
      </c>
      <c r="V1" s="72" t="s">
        <v>14928</v>
      </c>
      <c r="X1" s="72" t="s">
        <v>14928</v>
      </c>
      <c r="Z1" s="72" t="s">
        <v>14928</v>
      </c>
      <c r="AB1" s="72" t="s">
        <v>14928</v>
      </c>
    </row>
    <row r="2" spans="1:32" ht="14.1" customHeight="1">
      <c r="A2" s="73" t="s">
        <v>14946</v>
      </c>
    </row>
    <row r="3" spans="1:32" ht="22.5" customHeight="1">
      <c r="B3" s="398" t="s">
        <v>14947</v>
      </c>
      <c r="C3" s="398"/>
      <c r="D3" s="398"/>
      <c r="E3" s="398"/>
      <c r="F3" s="398"/>
      <c r="G3" s="398"/>
      <c r="H3" s="398"/>
      <c r="I3" s="398"/>
      <c r="J3" s="398"/>
      <c r="K3" s="398"/>
      <c r="L3" s="398"/>
      <c r="M3" s="398"/>
      <c r="N3" s="398"/>
      <c r="O3" s="398"/>
      <c r="P3" s="398"/>
      <c r="Q3" s="398"/>
      <c r="R3" s="398"/>
      <c r="S3" s="398"/>
      <c r="T3" s="398"/>
      <c r="U3" s="398"/>
      <c r="V3" s="398"/>
      <c r="W3" s="398"/>
      <c r="X3" s="398"/>
      <c r="Y3" s="398"/>
      <c r="Z3" s="398"/>
      <c r="AA3" s="398"/>
      <c r="AB3" s="398"/>
      <c r="AC3" s="398"/>
      <c r="AD3" s="74"/>
      <c r="AE3" s="74"/>
      <c r="AF3" s="74"/>
    </row>
    <row r="4" spans="1:32" ht="22.5" customHeight="1">
      <c r="B4" s="75"/>
      <c r="C4" s="75"/>
      <c r="D4" s="75"/>
      <c r="E4" s="76"/>
      <c r="F4" s="77"/>
      <c r="G4" s="78"/>
      <c r="H4" s="79"/>
      <c r="I4" s="78"/>
      <c r="J4" s="79"/>
      <c r="K4" s="78"/>
      <c r="L4" s="79"/>
      <c r="M4" s="78"/>
      <c r="N4" s="79"/>
      <c r="O4" s="78"/>
      <c r="P4" s="79"/>
      <c r="Q4" s="78"/>
      <c r="R4" s="79"/>
      <c r="S4" s="78"/>
      <c r="T4" s="78"/>
      <c r="U4" s="78"/>
      <c r="V4" s="78"/>
      <c r="W4" s="78"/>
      <c r="X4" s="78"/>
      <c r="Y4" s="78"/>
      <c r="Z4" s="78"/>
      <c r="AA4" s="78"/>
      <c r="AB4" s="78"/>
      <c r="AC4" s="78"/>
      <c r="AD4" s="78"/>
      <c r="AE4" s="78"/>
      <c r="AF4" s="78"/>
    </row>
    <row r="5" spans="1:32" ht="26.25" customHeight="1">
      <c r="B5" s="80"/>
      <c r="C5" s="80"/>
      <c r="D5" s="80"/>
      <c r="E5" s="76"/>
      <c r="F5" s="77"/>
      <c r="G5" s="78"/>
      <c r="H5" s="79"/>
      <c r="I5" s="78"/>
      <c r="J5" s="79"/>
      <c r="K5" s="78"/>
      <c r="L5" s="79"/>
      <c r="M5" s="78"/>
      <c r="N5" s="79"/>
      <c r="O5" s="78"/>
      <c r="P5" s="79"/>
      <c r="Q5" s="78"/>
      <c r="R5" s="79"/>
      <c r="S5" s="78"/>
      <c r="T5" s="78"/>
      <c r="U5" s="78"/>
      <c r="V5" s="78"/>
      <c r="W5" s="78"/>
      <c r="X5" s="78"/>
      <c r="Y5" s="78"/>
      <c r="Z5" s="78"/>
      <c r="AA5" s="78"/>
      <c r="AB5" s="78"/>
      <c r="AC5" s="81"/>
      <c r="AD5" s="81"/>
      <c r="AE5" s="81"/>
      <c r="AF5" s="81"/>
    </row>
    <row r="6" spans="1:32" ht="34.5" customHeight="1">
      <c r="B6" s="406" t="s">
        <v>14948</v>
      </c>
      <c r="C6" s="407"/>
      <c r="D6" s="407"/>
      <c r="E6" s="408"/>
      <c r="F6" s="329"/>
      <c r="G6" s="326" t="s">
        <v>14934</v>
      </c>
      <c r="H6" s="328"/>
      <c r="I6" s="326" t="s">
        <v>14949</v>
      </c>
      <c r="J6" s="328"/>
      <c r="K6" s="326" t="s">
        <v>14935</v>
      </c>
      <c r="L6" s="328"/>
      <c r="M6" s="82" t="s">
        <v>14944</v>
      </c>
      <c r="N6" s="328"/>
      <c r="O6" s="83" t="s">
        <v>14936</v>
      </c>
      <c r="P6" s="330"/>
      <c r="Q6" s="327" t="s">
        <v>14937</v>
      </c>
      <c r="R6" s="330"/>
      <c r="S6" s="327" t="s">
        <v>14950</v>
      </c>
      <c r="T6" s="327"/>
      <c r="U6" s="330" t="s">
        <v>14951</v>
      </c>
      <c r="V6" s="330"/>
      <c r="W6" s="330" t="s">
        <v>14952</v>
      </c>
      <c r="X6" s="329"/>
      <c r="Y6" s="388" t="s">
        <v>14953</v>
      </c>
      <c r="Z6" s="389"/>
      <c r="AA6" s="390"/>
      <c r="AB6" s="330"/>
      <c r="AC6" s="84" t="s">
        <v>14954</v>
      </c>
      <c r="AD6" s="85"/>
      <c r="AE6" s="85"/>
      <c r="AF6" s="85"/>
    </row>
    <row r="7" spans="1:32" ht="27" customHeight="1">
      <c r="B7" s="409"/>
      <c r="C7" s="410"/>
      <c r="D7" s="410"/>
      <c r="E7" s="411"/>
      <c r="F7" s="86"/>
      <c r="G7" s="87" t="s">
        <v>14955</v>
      </c>
      <c r="H7" s="88"/>
      <c r="I7" s="87" t="s">
        <v>14956</v>
      </c>
      <c r="J7" s="88"/>
      <c r="K7" s="87" t="s">
        <v>14957</v>
      </c>
      <c r="L7" s="88"/>
      <c r="M7" s="87" t="s">
        <v>14958</v>
      </c>
      <c r="N7" s="88"/>
      <c r="O7" s="89" t="s">
        <v>14940</v>
      </c>
      <c r="P7" s="90"/>
      <c r="Q7" s="91" t="s">
        <v>14941</v>
      </c>
      <c r="R7" s="90"/>
      <c r="S7" s="91" t="s">
        <v>14945</v>
      </c>
      <c r="T7" s="91"/>
      <c r="U7" s="90" t="s">
        <v>14959</v>
      </c>
      <c r="V7" s="90"/>
      <c r="W7" s="90" t="s">
        <v>14960</v>
      </c>
      <c r="X7" s="90"/>
      <c r="Y7" s="92" t="s">
        <v>14961</v>
      </c>
      <c r="Z7" s="93"/>
      <c r="AA7" s="93" t="s">
        <v>14962</v>
      </c>
      <c r="AB7" s="90"/>
      <c r="AC7" s="94"/>
      <c r="AD7" s="95"/>
      <c r="AE7" s="95"/>
      <c r="AF7" s="95"/>
    </row>
    <row r="8" spans="1:32" ht="14.25" customHeight="1">
      <c r="B8" s="96"/>
      <c r="C8" s="80"/>
      <c r="D8" s="80"/>
      <c r="E8" s="80"/>
      <c r="G8" s="97" t="s">
        <v>14963</v>
      </c>
      <c r="H8" s="98"/>
      <c r="I8" s="97" t="s">
        <v>14963</v>
      </c>
      <c r="J8" s="98"/>
      <c r="K8" s="97" t="s">
        <v>14963</v>
      </c>
      <c r="L8" s="98"/>
      <c r="M8" s="97" t="s">
        <v>14963</v>
      </c>
      <c r="N8" s="98"/>
      <c r="O8" s="99" t="s">
        <v>14963</v>
      </c>
      <c r="P8" s="98"/>
      <c r="Q8" s="97" t="s">
        <v>14963</v>
      </c>
      <c r="R8" s="98"/>
      <c r="S8" s="100" t="s">
        <v>14963</v>
      </c>
      <c r="T8" s="100"/>
      <c r="U8" s="101" t="s">
        <v>14963</v>
      </c>
      <c r="V8" s="101"/>
      <c r="W8" s="101" t="s">
        <v>14963</v>
      </c>
      <c r="X8" s="101"/>
      <c r="Y8" s="101" t="s">
        <v>14963</v>
      </c>
      <c r="Z8" s="101"/>
      <c r="AA8" s="101" t="s">
        <v>14963</v>
      </c>
      <c r="AB8" s="101"/>
      <c r="AC8" s="100" t="s">
        <v>14963</v>
      </c>
      <c r="AD8" s="76"/>
      <c r="AE8" s="77"/>
      <c r="AF8" s="77"/>
    </row>
    <row r="9" spans="1:32" ht="20.100000000000001" customHeight="1">
      <c r="B9" s="96" t="s">
        <v>14964</v>
      </c>
      <c r="C9" s="102"/>
      <c r="D9" s="102"/>
      <c r="E9" s="102"/>
      <c r="F9" s="103" t="s">
        <v>14053</v>
      </c>
      <c r="G9" s="104">
        <v>34669742</v>
      </c>
      <c r="H9" s="105" t="s">
        <v>14101</v>
      </c>
      <c r="I9" s="104">
        <v>0</v>
      </c>
      <c r="J9" s="106" t="s">
        <v>14149</v>
      </c>
      <c r="K9" s="107">
        <v>34669742</v>
      </c>
      <c r="L9" s="106" t="s">
        <v>14197</v>
      </c>
      <c r="M9" s="104">
        <v>34669742</v>
      </c>
      <c r="N9" s="106" t="s">
        <v>14245</v>
      </c>
      <c r="O9" s="108">
        <v>34669742</v>
      </c>
      <c r="P9" s="106" t="s">
        <v>14259</v>
      </c>
      <c r="Q9" s="106">
        <v>34669742</v>
      </c>
      <c r="R9" s="106" t="s">
        <v>14264</v>
      </c>
      <c r="S9" s="104">
        <v>6933948</v>
      </c>
      <c r="T9" s="104" t="s">
        <v>14269</v>
      </c>
      <c r="U9" s="109">
        <v>7961800</v>
      </c>
      <c r="V9" s="104"/>
      <c r="W9" s="109">
        <v>7961800</v>
      </c>
      <c r="X9" s="104" t="s">
        <v>14279</v>
      </c>
      <c r="Y9" s="104">
        <v>1027852</v>
      </c>
      <c r="Z9" s="104" t="s">
        <v>14284</v>
      </c>
      <c r="AA9" s="104">
        <v>0</v>
      </c>
      <c r="AB9" s="110" t="s">
        <v>14289</v>
      </c>
      <c r="AC9" s="111"/>
    </row>
    <row r="10" spans="1:32" ht="20.100000000000001" customHeight="1">
      <c r="B10" s="96"/>
      <c r="C10" s="112" t="s">
        <v>14965</v>
      </c>
      <c r="D10" s="113" t="s">
        <v>14966</v>
      </c>
      <c r="E10" s="114"/>
      <c r="F10" s="115" t="s">
        <v>14054</v>
      </c>
      <c r="G10" s="116">
        <v>4890339</v>
      </c>
      <c r="H10" s="117" t="s">
        <v>14102</v>
      </c>
      <c r="I10" s="116">
        <v>0</v>
      </c>
      <c r="J10" s="118" t="s">
        <v>14150</v>
      </c>
      <c r="K10" s="119">
        <v>4890339</v>
      </c>
      <c r="L10" s="118" t="s">
        <v>14198</v>
      </c>
      <c r="M10" s="116">
        <v>4890339</v>
      </c>
      <c r="N10" s="120"/>
      <c r="O10" s="121"/>
      <c r="P10" s="120"/>
      <c r="Q10" s="121"/>
      <c r="R10" s="120"/>
      <c r="S10" s="121"/>
      <c r="T10" s="121"/>
      <c r="U10" s="121"/>
      <c r="V10" s="121"/>
      <c r="W10" s="121"/>
      <c r="X10" s="121"/>
      <c r="Y10" s="121"/>
      <c r="Z10" s="121"/>
      <c r="AA10" s="121"/>
      <c r="AB10" s="122" t="s">
        <v>14290</v>
      </c>
      <c r="AC10" s="123"/>
      <c r="AD10" s="124"/>
      <c r="AE10" s="412" t="s">
        <v>14938</v>
      </c>
      <c r="AF10" s="373"/>
    </row>
    <row r="11" spans="1:32" ht="20.100000000000001" customHeight="1">
      <c r="B11" s="125"/>
      <c r="C11" s="126"/>
      <c r="D11" s="127" t="s">
        <v>14967</v>
      </c>
      <c r="E11" s="128" t="s">
        <v>14968</v>
      </c>
      <c r="F11" s="325" t="s">
        <v>14055</v>
      </c>
      <c r="G11" s="129">
        <v>4890339</v>
      </c>
      <c r="H11" s="116"/>
      <c r="I11" s="129">
        <v>0</v>
      </c>
      <c r="J11" s="116" t="s">
        <v>14151</v>
      </c>
      <c r="K11" s="119">
        <v>4890339</v>
      </c>
      <c r="L11" s="118" t="s">
        <v>14199</v>
      </c>
      <c r="M11" s="129">
        <v>4890339</v>
      </c>
      <c r="N11" s="120"/>
      <c r="O11" s="121"/>
      <c r="P11" s="120"/>
      <c r="Q11" s="121"/>
      <c r="R11" s="120"/>
      <c r="S11" s="121"/>
      <c r="T11" s="121"/>
      <c r="U11" s="121"/>
      <c r="V11" s="121"/>
      <c r="W11" s="121"/>
      <c r="X11" s="121"/>
      <c r="Y11" s="121"/>
      <c r="Z11" s="121"/>
      <c r="AA11" s="121"/>
      <c r="AB11" s="122" t="s">
        <v>14291</v>
      </c>
      <c r="AC11" s="123"/>
      <c r="AD11" s="124"/>
      <c r="AE11" s="130" t="s">
        <v>14969</v>
      </c>
      <c r="AF11" s="131"/>
    </row>
    <row r="12" spans="1:32" ht="20.100000000000001" customHeight="1">
      <c r="B12" s="125"/>
      <c r="C12" s="126"/>
      <c r="D12" s="132" t="s">
        <v>14970</v>
      </c>
      <c r="E12" s="102" t="s">
        <v>14971</v>
      </c>
      <c r="F12" s="103" t="s">
        <v>14056</v>
      </c>
      <c r="G12" s="129">
        <v>0</v>
      </c>
      <c r="H12" s="116"/>
      <c r="I12" s="129">
        <v>0</v>
      </c>
      <c r="J12" s="116" t="s">
        <v>14152</v>
      </c>
      <c r="K12" s="119">
        <v>0</v>
      </c>
      <c r="L12" s="118" t="s">
        <v>14200</v>
      </c>
      <c r="M12" s="129">
        <v>0</v>
      </c>
      <c r="N12" s="120"/>
      <c r="O12" s="121"/>
      <c r="P12" s="120"/>
      <c r="Q12" s="121"/>
      <c r="R12" s="120"/>
      <c r="S12" s="121"/>
      <c r="T12" s="121"/>
      <c r="U12" s="121"/>
      <c r="V12" s="121"/>
      <c r="W12" s="121"/>
      <c r="X12" s="121"/>
      <c r="Y12" s="121"/>
      <c r="Z12" s="121"/>
      <c r="AA12" s="121"/>
      <c r="AB12" s="122" t="s">
        <v>14292</v>
      </c>
      <c r="AC12" s="123"/>
      <c r="AD12" s="124"/>
      <c r="AE12" s="413" t="e">
        <f>IF(当該年度上限額設定状況!D8="","未設定",当該年度上限額設定状況!D8)</f>
        <v>#REF!</v>
      </c>
      <c r="AF12" s="414"/>
    </row>
    <row r="13" spans="1:32" ht="20.100000000000001" customHeight="1">
      <c r="B13" s="125"/>
      <c r="C13" s="126"/>
      <c r="D13" s="127" t="s">
        <v>14972</v>
      </c>
      <c r="E13" s="102" t="s">
        <v>14973</v>
      </c>
      <c r="F13" s="103" t="s">
        <v>14057</v>
      </c>
      <c r="G13" s="129">
        <v>0</v>
      </c>
      <c r="H13" s="116"/>
      <c r="I13" s="129">
        <v>0</v>
      </c>
      <c r="J13" s="116" t="s">
        <v>14153</v>
      </c>
      <c r="K13" s="119">
        <v>0</v>
      </c>
      <c r="L13" s="118" t="s">
        <v>14201</v>
      </c>
      <c r="M13" s="129">
        <v>0</v>
      </c>
      <c r="N13" s="120"/>
      <c r="O13" s="121"/>
      <c r="P13" s="120"/>
      <c r="Q13" s="121"/>
      <c r="R13" s="120"/>
      <c r="S13" s="121"/>
      <c r="T13" s="121"/>
      <c r="U13" s="121"/>
      <c r="V13" s="121"/>
      <c r="W13" s="121"/>
      <c r="X13" s="121"/>
      <c r="Y13" s="121"/>
      <c r="Z13" s="121"/>
      <c r="AA13" s="121"/>
      <c r="AB13" s="122" t="s">
        <v>14293</v>
      </c>
      <c r="AC13" s="123"/>
      <c r="AD13" s="124"/>
      <c r="AE13" s="415" t="s">
        <v>14974</v>
      </c>
      <c r="AF13" s="415"/>
    </row>
    <row r="14" spans="1:32" ht="20.100000000000001" customHeight="1">
      <c r="B14" s="125"/>
      <c r="C14" s="133"/>
      <c r="D14" s="127" t="s">
        <v>14975</v>
      </c>
      <c r="E14" s="102" t="s">
        <v>14976</v>
      </c>
      <c r="F14" s="103" t="s">
        <v>14058</v>
      </c>
      <c r="G14" s="129">
        <v>0</v>
      </c>
      <c r="H14" s="116"/>
      <c r="I14" s="129">
        <v>0</v>
      </c>
      <c r="J14" s="116" t="s">
        <v>14154</v>
      </c>
      <c r="K14" s="119">
        <v>0</v>
      </c>
      <c r="L14" s="118" t="s">
        <v>14202</v>
      </c>
      <c r="M14" s="129">
        <v>0</v>
      </c>
      <c r="N14" s="120"/>
      <c r="O14" s="121"/>
      <c r="P14" s="120"/>
      <c r="Q14" s="121"/>
      <c r="R14" s="120"/>
      <c r="S14" s="121"/>
      <c r="T14" s="121"/>
      <c r="U14" s="121"/>
      <c r="V14" s="121"/>
      <c r="W14" s="121"/>
      <c r="X14" s="121"/>
      <c r="Y14" s="121"/>
      <c r="Z14" s="121"/>
      <c r="AA14" s="121"/>
      <c r="AB14" s="122" t="s">
        <v>14294</v>
      </c>
      <c r="AC14" s="123"/>
      <c r="AD14" s="124"/>
      <c r="AE14" s="373" t="str">
        <f>IF(当該年度上限額設定状況!D9="","未設定",当該年度上限額設定状況!D9)</f>
        <v>①原則の上限額</v>
      </c>
      <c r="AF14" s="373"/>
    </row>
    <row r="15" spans="1:32" ht="20.100000000000001" customHeight="1">
      <c r="B15" s="125"/>
      <c r="C15" s="133"/>
      <c r="D15" s="132" t="s">
        <v>14977</v>
      </c>
      <c r="E15" s="102" t="s">
        <v>14978</v>
      </c>
      <c r="F15" s="103" t="s">
        <v>14059</v>
      </c>
      <c r="G15" s="129">
        <v>0</v>
      </c>
      <c r="H15" s="116"/>
      <c r="I15" s="129">
        <v>0</v>
      </c>
      <c r="J15" s="116" t="s">
        <v>14155</v>
      </c>
      <c r="K15" s="119">
        <v>0</v>
      </c>
      <c r="L15" s="118" t="s">
        <v>14203</v>
      </c>
      <c r="M15" s="129">
        <v>0</v>
      </c>
      <c r="N15" s="120"/>
      <c r="O15" s="121"/>
      <c r="P15" s="120"/>
      <c r="Q15" s="121"/>
      <c r="R15" s="120"/>
      <c r="S15" s="121"/>
      <c r="T15" s="121"/>
      <c r="U15" s="121"/>
      <c r="V15" s="121"/>
      <c r="W15" s="121"/>
      <c r="X15" s="121"/>
      <c r="Y15" s="121"/>
      <c r="Z15" s="121"/>
      <c r="AA15" s="121"/>
      <c r="AB15" s="122" t="s">
        <v>14295</v>
      </c>
      <c r="AC15" s="123"/>
      <c r="AD15" s="124"/>
      <c r="AE15" s="403" t="s">
        <v>14979</v>
      </c>
      <c r="AF15" s="403"/>
    </row>
    <row r="16" spans="1:32" ht="20.100000000000001" customHeight="1">
      <c r="B16" s="125"/>
      <c r="C16" s="133"/>
      <c r="D16" s="132" t="s">
        <v>14980</v>
      </c>
      <c r="E16" s="102" t="s">
        <v>14981</v>
      </c>
      <c r="F16" s="103" t="s">
        <v>14060</v>
      </c>
      <c r="G16" s="129">
        <v>0</v>
      </c>
      <c r="H16" s="116"/>
      <c r="I16" s="129">
        <v>0</v>
      </c>
      <c r="J16" s="116" t="s">
        <v>14156</v>
      </c>
      <c r="K16" s="119">
        <v>0</v>
      </c>
      <c r="L16" s="118" t="s">
        <v>14204</v>
      </c>
      <c r="M16" s="129">
        <v>0</v>
      </c>
      <c r="N16" s="120"/>
      <c r="O16" s="121"/>
      <c r="P16" s="120"/>
      <c r="Q16" s="121"/>
      <c r="R16" s="120"/>
      <c r="S16" s="121"/>
      <c r="T16" s="121"/>
      <c r="U16" s="121"/>
      <c r="V16" s="121"/>
      <c r="W16" s="121"/>
      <c r="X16" s="121"/>
      <c r="Y16" s="121"/>
      <c r="Z16" s="121"/>
      <c r="AA16" s="121"/>
      <c r="AB16" s="122" t="s">
        <v>14296</v>
      </c>
      <c r="AC16" s="123"/>
      <c r="AD16" s="124"/>
      <c r="AE16" s="373" t="e">
        <f>IF(当該年度上限額設定状況!D10="","未設定",当該年度上限額設定状況!D10)</f>
        <v>#REF!</v>
      </c>
      <c r="AF16" s="373"/>
    </row>
    <row r="17" spans="2:33" ht="20.100000000000001" customHeight="1">
      <c r="B17" s="125"/>
      <c r="C17" s="112" t="s">
        <v>14982</v>
      </c>
      <c r="D17" s="113" t="s">
        <v>14983</v>
      </c>
      <c r="E17" s="114"/>
      <c r="F17" s="115" t="s">
        <v>14061</v>
      </c>
      <c r="G17" s="116">
        <v>21161565</v>
      </c>
      <c r="H17" s="116" t="s">
        <v>14109</v>
      </c>
      <c r="I17" s="116">
        <v>0</v>
      </c>
      <c r="J17" s="116" t="s">
        <v>14157</v>
      </c>
      <c r="K17" s="119">
        <v>21161565</v>
      </c>
      <c r="L17" s="118" t="s">
        <v>14205</v>
      </c>
      <c r="M17" s="116">
        <v>21161565</v>
      </c>
      <c r="N17" s="120"/>
      <c r="O17" s="121"/>
      <c r="P17" s="120"/>
      <c r="Q17" s="121"/>
      <c r="R17" s="120"/>
      <c r="S17" s="121"/>
      <c r="T17" s="121"/>
      <c r="U17" s="121"/>
      <c r="V17" s="121"/>
      <c r="W17" s="121"/>
      <c r="X17" s="121"/>
      <c r="Y17" s="121"/>
      <c r="Z17" s="121"/>
      <c r="AA17" s="121"/>
      <c r="AB17" s="122" t="s">
        <v>14297</v>
      </c>
      <c r="AC17" s="123"/>
      <c r="AD17" s="124"/>
      <c r="AE17" s="71"/>
      <c r="AF17" s="71"/>
    </row>
    <row r="18" spans="2:33" ht="20.100000000000001" customHeight="1">
      <c r="B18" s="125"/>
      <c r="C18" s="133"/>
      <c r="D18" s="134" t="s">
        <v>14967</v>
      </c>
      <c r="E18" s="128" t="s">
        <v>14968</v>
      </c>
      <c r="F18" s="325" t="s">
        <v>14062</v>
      </c>
      <c r="G18" s="129">
        <v>21161565</v>
      </c>
      <c r="H18" s="116"/>
      <c r="I18" s="129">
        <v>0</v>
      </c>
      <c r="J18" s="116" t="s">
        <v>14158</v>
      </c>
      <c r="K18" s="119">
        <v>21161565</v>
      </c>
      <c r="L18" s="118" t="s">
        <v>14206</v>
      </c>
      <c r="M18" s="129">
        <v>21161565</v>
      </c>
      <c r="N18" s="120"/>
      <c r="O18" s="121"/>
      <c r="P18" s="120"/>
      <c r="Q18" s="121"/>
      <c r="R18" s="120"/>
      <c r="S18" s="121"/>
      <c r="T18" s="121"/>
      <c r="U18" s="121"/>
      <c r="V18" s="121"/>
      <c r="W18" s="121"/>
      <c r="X18" s="121"/>
      <c r="Y18" s="121"/>
      <c r="Z18" s="121"/>
      <c r="AA18" s="121"/>
      <c r="AB18" s="122" t="s">
        <v>14298</v>
      </c>
      <c r="AC18" s="123"/>
      <c r="AD18" s="124"/>
      <c r="AE18" s="373" t="s">
        <v>14939</v>
      </c>
      <c r="AF18" s="373"/>
    </row>
    <row r="19" spans="2:33" ht="20.100000000000001" customHeight="1">
      <c r="B19" s="125"/>
      <c r="C19" s="133"/>
      <c r="D19" s="127" t="s">
        <v>14970</v>
      </c>
      <c r="E19" s="102" t="s">
        <v>14971</v>
      </c>
      <c r="F19" s="103" t="s">
        <v>14063</v>
      </c>
      <c r="G19" s="129">
        <v>0</v>
      </c>
      <c r="H19" s="116"/>
      <c r="I19" s="129">
        <v>0</v>
      </c>
      <c r="J19" s="116" t="s">
        <v>14159</v>
      </c>
      <c r="K19" s="119">
        <v>0</v>
      </c>
      <c r="L19" s="118" t="s">
        <v>14207</v>
      </c>
      <c r="M19" s="129">
        <v>0</v>
      </c>
      <c r="N19" s="120"/>
      <c r="O19" s="121"/>
      <c r="P19" s="120"/>
      <c r="Q19" s="121"/>
      <c r="R19" s="120"/>
      <c r="S19" s="121"/>
      <c r="T19" s="121"/>
      <c r="U19" s="121"/>
      <c r="V19" s="121"/>
      <c r="W19" s="121"/>
      <c r="X19" s="121"/>
      <c r="Y19" s="121"/>
      <c r="Z19" s="121"/>
      <c r="AA19" s="121"/>
      <c r="AB19" s="122" t="s">
        <v>14299</v>
      </c>
      <c r="AC19" s="123"/>
      <c r="AD19" s="124"/>
      <c r="AE19" s="135" t="s">
        <v>14969</v>
      </c>
      <c r="AF19" s="136"/>
    </row>
    <row r="20" spans="2:33" ht="20.100000000000001" customHeight="1">
      <c r="B20" s="125"/>
      <c r="C20" s="133"/>
      <c r="D20" s="132" t="s">
        <v>14972</v>
      </c>
      <c r="E20" s="102" t="s">
        <v>14973</v>
      </c>
      <c r="F20" s="103" t="s">
        <v>14064</v>
      </c>
      <c r="G20" s="129">
        <v>0</v>
      </c>
      <c r="H20" s="116"/>
      <c r="I20" s="129">
        <v>0</v>
      </c>
      <c r="J20" s="116" t="s">
        <v>14160</v>
      </c>
      <c r="K20" s="119">
        <v>0</v>
      </c>
      <c r="L20" s="118" t="s">
        <v>14208</v>
      </c>
      <c r="M20" s="129">
        <v>0</v>
      </c>
      <c r="N20" s="120"/>
      <c r="O20" s="121"/>
      <c r="P20" s="120"/>
      <c r="Q20" s="121"/>
      <c r="R20" s="120"/>
      <c r="S20" s="121"/>
      <c r="T20" s="121"/>
      <c r="U20" s="121"/>
      <c r="V20" s="121"/>
      <c r="W20" s="121"/>
      <c r="X20" s="121"/>
      <c r="Y20" s="121"/>
      <c r="Z20" s="121"/>
      <c r="AA20" s="121"/>
      <c r="AB20" s="122" t="s">
        <v>14300</v>
      </c>
      <c r="AC20" s="123"/>
      <c r="AD20" s="124"/>
      <c r="AE20" s="379" t="str">
        <f>IF(COUNTIF(AE12,"*個別*")&gt;0,"○","×")</f>
        <v>×</v>
      </c>
      <c r="AF20" s="380"/>
      <c r="AG20" s="137"/>
    </row>
    <row r="21" spans="2:33" ht="20.100000000000001" customHeight="1">
      <c r="B21" s="125"/>
      <c r="C21" s="133"/>
      <c r="D21" s="127" t="s">
        <v>14975</v>
      </c>
      <c r="E21" s="102" t="s">
        <v>14976</v>
      </c>
      <c r="F21" s="103" t="s">
        <v>14065</v>
      </c>
      <c r="G21" s="129">
        <v>0</v>
      </c>
      <c r="H21" s="116"/>
      <c r="I21" s="129">
        <v>0</v>
      </c>
      <c r="J21" s="116" t="s">
        <v>14161</v>
      </c>
      <c r="K21" s="119">
        <v>0</v>
      </c>
      <c r="L21" s="118" t="s">
        <v>14209</v>
      </c>
      <c r="M21" s="129">
        <v>0</v>
      </c>
      <c r="N21" s="120"/>
      <c r="O21" s="121"/>
      <c r="P21" s="120"/>
      <c r="Q21" s="121"/>
      <c r="R21" s="120"/>
      <c r="S21" s="121"/>
      <c r="T21" s="121"/>
      <c r="U21" s="121"/>
      <c r="V21" s="121"/>
      <c r="W21" s="121"/>
      <c r="X21" s="121"/>
      <c r="Y21" s="121"/>
      <c r="Z21" s="121"/>
      <c r="AA21" s="121"/>
      <c r="AB21" s="122" t="s">
        <v>14301</v>
      </c>
      <c r="AC21" s="123"/>
      <c r="AD21" s="124"/>
      <c r="AE21" s="404" t="s">
        <v>14984</v>
      </c>
      <c r="AF21" s="405"/>
      <c r="AG21" s="137"/>
    </row>
    <row r="22" spans="2:33" ht="20.100000000000001" customHeight="1">
      <c r="B22" s="125"/>
      <c r="C22" s="138"/>
      <c r="D22" s="127" t="s">
        <v>14977</v>
      </c>
      <c r="E22" s="102" t="s">
        <v>14981</v>
      </c>
      <c r="F22" s="103" t="s">
        <v>14066</v>
      </c>
      <c r="G22" s="129">
        <v>0</v>
      </c>
      <c r="H22" s="116"/>
      <c r="I22" s="129">
        <v>0</v>
      </c>
      <c r="J22" s="116" t="s">
        <v>14162</v>
      </c>
      <c r="K22" s="119">
        <v>0</v>
      </c>
      <c r="L22" s="118" t="s">
        <v>14210</v>
      </c>
      <c r="M22" s="129">
        <v>0</v>
      </c>
      <c r="N22" s="120"/>
      <c r="O22" s="121"/>
      <c r="P22" s="120"/>
      <c r="Q22" s="121"/>
      <c r="R22" s="120"/>
      <c r="S22" s="121"/>
      <c r="T22" s="121"/>
      <c r="U22" s="121"/>
      <c r="V22" s="121"/>
      <c r="W22" s="121"/>
      <c r="X22" s="121"/>
      <c r="Y22" s="121"/>
      <c r="Z22" s="121"/>
      <c r="AA22" s="121"/>
      <c r="AB22" s="122" t="s">
        <v>14302</v>
      </c>
      <c r="AC22" s="123"/>
      <c r="AD22" s="124"/>
      <c r="AE22" s="379" t="str">
        <f>IF(COUNTIF(AE16,"*個別*")&gt;0,"○","×")</f>
        <v>×</v>
      </c>
      <c r="AF22" s="380"/>
      <c r="AG22" s="137"/>
    </row>
    <row r="23" spans="2:33" ht="20.100000000000001" customHeight="1">
      <c r="B23" s="125"/>
      <c r="C23" s="112" t="s">
        <v>14985</v>
      </c>
      <c r="D23" s="113" t="s">
        <v>14986</v>
      </c>
      <c r="E23" s="114"/>
      <c r="F23" s="115" t="s">
        <v>14067</v>
      </c>
      <c r="G23" s="116">
        <v>0</v>
      </c>
      <c r="H23" s="116" t="s">
        <v>14115</v>
      </c>
      <c r="I23" s="116">
        <v>0</v>
      </c>
      <c r="J23" s="116" t="s">
        <v>14163</v>
      </c>
      <c r="K23" s="119">
        <v>0</v>
      </c>
      <c r="L23" s="118" t="s">
        <v>14211</v>
      </c>
      <c r="M23" s="116">
        <v>0</v>
      </c>
      <c r="N23" s="120"/>
      <c r="O23" s="121"/>
      <c r="P23" s="120"/>
      <c r="Q23" s="121"/>
      <c r="R23" s="120"/>
      <c r="S23" s="121"/>
      <c r="T23" s="121"/>
      <c r="U23" s="121"/>
      <c r="V23" s="121"/>
      <c r="W23" s="121"/>
      <c r="X23" s="121"/>
      <c r="Y23" s="121"/>
      <c r="Z23" s="121"/>
      <c r="AA23" s="121"/>
      <c r="AB23" s="122" t="s">
        <v>14303</v>
      </c>
      <c r="AC23" s="123"/>
      <c r="AD23" s="124"/>
      <c r="AE23" s="139"/>
      <c r="AF23" s="139"/>
      <c r="AG23" s="137"/>
    </row>
    <row r="24" spans="2:33" ht="20.100000000000001" customHeight="1">
      <c r="B24" s="125"/>
      <c r="C24" s="133"/>
      <c r="D24" s="134" t="s">
        <v>14967</v>
      </c>
      <c r="E24" s="114" t="s">
        <v>14987</v>
      </c>
      <c r="F24" s="115" t="s">
        <v>14068</v>
      </c>
      <c r="G24" s="129">
        <v>0</v>
      </c>
      <c r="H24" s="116"/>
      <c r="I24" s="129">
        <v>0</v>
      </c>
      <c r="J24" s="116" t="s">
        <v>14164</v>
      </c>
      <c r="K24" s="119">
        <v>0</v>
      </c>
      <c r="L24" s="118" t="s">
        <v>14212</v>
      </c>
      <c r="M24" s="129">
        <v>0</v>
      </c>
      <c r="N24" s="120"/>
      <c r="O24" s="121"/>
      <c r="P24" s="120"/>
      <c r="Q24" s="121"/>
      <c r="R24" s="120"/>
      <c r="S24" s="121"/>
      <c r="T24" s="121"/>
      <c r="U24" s="121"/>
      <c r="V24" s="121"/>
      <c r="W24" s="121"/>
      <c r="X24" s="121"/>
      <c r="Y24" s="121"/>
      <c r="Z24" s="121"/>
      <c r="AA24" s="121"/>
      <c r="AB24" s="122" t="s">
        <v>14304</v>
      </c>
      <c r="AC24" s="123"/>
      <c r="AD24" s="124"/>
      <c r="AG24" s="137"/>
    </row>
    <row r="25" spans="2:33" ht="20.100000000000001" customHeight="1">
      <c r="B25" s="125"/>
      <c r="C25" s="133"/>
      <c r="D25" s="132" t="s">
        <v>14970</v>
      </c>
      <c r="E25" s="102" t="s">
        <v>14988</v>
      </c>
      <c r="F25" s="103" t="s">
        <v>14069</v>
      </c>
      <c r="G25" s="129">
        <v>0</v>
      </c>
      <c r="H25" s="116"/>
      <c r="I25" s="129">
        <v>0</v>
      </c>
      <c r="J25" s="116" t="s">
        <v>14165</v>
      </c>
      <c r="K25" s="119">
        <v>0</v>
      </c>
      <c r="L25" s="118" t="s">
        <v>14213</v>
      </c>
      <c r="M25" s="129">
        <v>0</v>
      </c>
      <c r="N25" s="120"/>
      <c r="O25" s="121"/>
      <c r="P25" s="120"/>
      <c r="Q25" s="121"/>
      <c r="R25" s="120"/>
      <c r="S25" s="121"/>
      <c r="T25" s="121"/>
      <c r="U25" s="121"/>
      <c r="V25" s="121"/>
      <c r="W25" s="121"/>
      <c r="X25" s="121"/>
      <c r="Y25" s="121"/>
      <c r="Z25" s="121"/>
      <c r="AA25" s="121"/>
      <c r="AB25" s="122" t="s">
        <v>14305</v>
      </c>
      <c r="AC25" s="123"/>
      <c r="AD25" s="124"/>
    </row>
    <row r="26" spans="2:33" ht="20.100000000000001" customHeight="1">
      <c r="B26" s="125"/>
      <c r="C26" s="126"/>
      <c r="D26" s="132" t="s">
        <v>14972</v>
      </c>
      <c r="E26" s="140" t="s">
        <v>14989</v>
      </c>
      <c r="F26" s="141" t="s">
        <v>14070</v>
      </c>
      <c r="G26" s="129">
        <v>0</v>
      </c>
      <c r="H26" s="116"/>
      <c r="I26" s="129">
        <v>0</v>
      </c>
      <c r="J26" s="116" t="s">
        <v>14166</v>
      </c>
      <c r="K26" s="119">
        <v>0</v>
      </c>
      <c r="L26" s="118" t="s">
        <v>14214</v>
      </c>
      <c r="M26" s="129">
        <v>0</v>
      </c>
      <c r="N26" s="120"/>
      <c r="O26" s="121"/>
      <c r="P26" s="120"/>
      <c r="Q26" s="121"/>
      <c r="R26" s="120"/>
      <c r="S26" s="121"/>
      <c r="T26" s="121"/>
      <c r="U26" s="121"/>
      <c r="V26" s="121"/>
      <c r="W26" s="121"/>
      <c r="X26" s="121"/>
      <c r="Y26" s="121"/>
      <c r="Z26" s="121"/>
      <c r="AA26" s="121"/>
      <c r="AB26" s="122" t="s">
        <v>14306</v>
      </c>
      <c r="AC26" s="123"/>
      <c r="AD26" s="124"/>
      <c r="AE26" s="373" t="s">
        <v>14990</v>
      </c>
      <c r="AF26" s="373"/>
    </row>
    <row r="27" spans="2:33" ht="20.100000000000001" customHeight="1">
      <c r="B27" s="125"/>
      <c r="C27" s="142"/>
      <c r="D27" s="132" t="s">
        <v>14975</v>
      </c>
      <c r="E27" s="140" t="s">
        <v>14991</v>
      </c>
      <c r="F27" s="141" t="s">
        <v>14071</v>
      </c>
      <c r="G27" s="129">
        <v>0</v>
      </c>
      <c r="H27" s="116"/>
      <c r="I27" s="129">
        <v>0</v>
      </c>
      <c r="J27" s="116" t="s">
        <v>14167</v>
      </c>
      <c r="K27" s="119">
        <v>0</v>
      </c>
      <c r="L27" s="118" t="s">
        <v>14215</v>
      </c>
      <c r="M27" s="129">
        <v>0</v>
      </c>
      <c r="N27" s="120"/>
      <c r="O27" s="121"/>
      <c r="P27" s="120"/>
      <c r="Q27" s="121"/>
      <c r="R27" s="120"/>
      <c r="S27" s="121"/>
      <c r="T27" s="121"/>
      <c r="U27" s="121"/>
      <c r="V27" s="121"/>
      <c r="W27" s="121"/>
      <c r="X27" s="121"/>
      <c r="Y27" s="121"/>
      <c r="Z27" s="121"/>
      <c r="AA27" s="121"/>
      <c r="AB27" s="122" t="s">
        <v>14307</v>
      </c>
      <c r="AC27" s="123"/>
      <c r="AD27" s="124"/>
      <c r="AE27" s="375" t="s">
        <v>14992</v>
      </c>
      <c r="AF27" s="376"/>
    </row>
    <row r="28" spans="2:33" ht="20.100000000000001" customHeight="1">
      <c r="B28" s="143"/>
      <c r="C28" s="112" t="s">
        <v>14993</v>
      </c>
      <c r="D28" s="113" t="s">
        <v>14994</v>
      </c>
      <c r="E28" s="114"/>
      <c r="F28" s="115" t="s">
        <v>14072</v>
      </c>
      <c r="G28" s="129">
        <v>2483420</v>
      </c>
      <c r="H28" s="116"/>
      <c r="I28" s="129">
        <v>0</v>
      </c>
      <c r="J28" s="116" t="s">
        <v>14168</v>
      </c>
      <c r="K28" s="119">
        <v>2483420</v>
      </c>
      <c r="L28" s="118" t="s">
        <v>14216</v>
      </c>
      <c r="M28" s="129">
        <v>2483420</v>
      </c>
      <c r="N28" s="120"/>
      <c r="O28" s="121"/>
      <c r="P28" s="120"/>
      <c r="Q28" s="121"/>
      <c r="R28" s="120"/>
      <c r="S28" s="121"/>
      <c r="T28" s="121"/>
      <c r="U28" s="121"/>
      <c r="V28" s="121"/>
      <c r="W28" s="121"/>
      <c r="X28" s="121"/>
      <c r="Y28" s="121"/>
      <c r="Z28" s="121"/>
      <c r="AA28" s="121"/>
      <c r="AB28" s="122" t="s">
        <v>14308</v>
      </c>
      <c r="AC28" s="123"/>
      <c r="AD28" s="124"/>
      <c r="AE28" s="129"/>
      <c r="AF28" s="136" t="s">
        <v>14943</v>
      </c>
    </row>
    <row r="29" spans="2:33" ht="20.100000000000001" customHeight="1">
      <c r="B29" s="143"/>
      <c r="C29" s="112" t="s">
        <v>14995</v>
      </c>
      <c r="D29" s="113" t="s">
        <v>14996</v>
      </c>
      <c r="E29" s="114"/>
      <c r="F29" s="115" t="s">
        <v>14073</v>
      </c>
      <c r="G29" s="129">
        <v>96594</v>
      </c>
      <c r="H29" s="116"/>
      <c r="I29" s="129">
        <v>0</v>
      </c>
      <c r="J29" s="116" t="s">
        <v>14169</v>
      </c>
      <c r="K29" s="119">
        <v>96594</v>
      </c>
      <c r="L29" s="118" t="s">
        <v>14217</v>
      </c>
      <c r="M29" s="129">
        <v>96594</v>
      </c>
      <c r="N29" s="120"/>
      <c r="O29" s="121"/>
      <c r="P29" s="120"/>
      <c r="Q29" s="121"/>
      <c r="R29" s="120"/>
      <c r="S29" s="121"/>
      <c r="T29" s="121"/>
      <c r="U29" s="121"/>
      <c r="V29" s="121"/>
      <c r="W29" s="121"/>
      <c r="X29" s="121"/>
      <c r="Y29" s="121"/>
      <c r="Z29" s="121"/>
      <c r="AA29" s="121"/>
      <c r="AB29" s="122" t="s">
        <v>14309</v>
      </c>
      <c r="AC29" s="123"/>
      <c r="AD29" s="124"/>
      <c r="AE29" s="135" t="s">
        <v>14997</v>
      </c>
      <c r="AF29" s="136"/>
    </row>
    <row r="30" spans="2:33" ht="20.100000000000001" customHeight="1">
      <c r="B30" s="143"/>
      <c r="C30" s="112" t="s">
        <v>14998</v>
      </c>
      <c r="D30" s="113" t="s">
        <v>14999</v>
      </c>
      <c r="E30" s="114"/>
      <c r="F30" s="115" t="s">
        <v>14074</v>
      </c>
      <c r="G30" s="129">
        <v>76704</v>
      </c>
      <c r="H30" s="116"/>
      <c r="I30" s="129">
        <v>0</v>
      </c>
      <c r="J30" s="116" t="s">
        <v>14170</v>
      </c>
      <c r="K30" s="119">
        <v>76704</v>
      </c>
      <c r="L30" s="118" t="s">
        <v>14218</v>
      </c>
      <c r="M30" s="129">
        <v>76704</v>
      </c>
      <c r="N30" s="120"/>
      <c r="O30" s="121"/>
      <c r="P30" s="120"/>
      <c r="Q30" s="121"/>
      <c r="R30" s="120"/>
      <c r="S30" s="121"/>
      <c r="T30" s="121"/>
      <c r="U30" s="121"/>
      <c r="V30" s="121"/>
      <c r="W30" s="121"/>
      <c r="X30" s="121"/>
      <c r="Y30" s="121"/>
      <c r="Z30" s="121"/>
      <c r="AA30" s="121"/>
      <c r="AB30" s="122" t="s">
        <v>14310</v>
      </c>
      <c r="AC30" s="123"/>
      <c r="AD30" s="124"/>
      <c r="AE30" s="129"/>
      <c r="AF30" s="136" t="s">
        <v>14943</v>
      </c>
    </row>
    <row r="31" spans="2:33" ht="20.100000000000001" customHeight="1">
      <c r="B31" s="125"/>
      <c r="C31" s="112" t="s">
        <v>15000</v>
      </c>
      <c r="D31" s="113" t="s">
        <v>15001</v>
      </c>
      <c r="E31" s="114"/>
      <c r="F31" s="115" t="s">
        <v>14075</v>
      </c>
      <c r="G31" s="116">
        <v>5961120</v>
      </c>
      <c r="H31" s="116" t="s">
        <v>14123</v>
      </c>
      <c r="I31" s="116">
        <v>0</v>
      </c>
      <c r="J31" s="116" t="s">
        <v>14171</v>
      </c>
      <c r="K31" s="119">
        <v>5961120</v>
      </c>
      <c r="L31" s="118" t="s">
        <v>14219</v>
      </c>
      <c r="M31" s="116">
        <v>5961120</v>
      </c>
      <c r="N31" s="120"/>
      <c r="O31" s="121"/>
      <c r="P31" s="120"/>
      <c r="Q31" s="121"/>
      <c r="R31" s="120"/>
      <c r="S31" s="121"/>
      <c r="T31" s="121"/>
      <c r="U31" s="121"/>
      <c r="V31" s="121"/>
      <c r="W31" s="121"/>
      <c r="X31" s="121"/>
      <c r="Y31" s="121"/>
      <c r="Z31" s="121"/>
      <c r="AA31" s="121"/>
      <c r="AB31" s="122" t="s">
        <v>14311</v>
      </c>
      <c r="AC31" s="123"/>
      <c r="AD31" s="124"/>
      <c r="AE31" s="71"/>
      <c r="AF31" s="71"/>
    </row>
    <row r="32" spans="2:33" ht="20.100000000000001" customHeight="1">
      <c r="B32" s="125"/>
      <c r="C32" s="133"/>
      <c r="D32" s="134" t="s">
        <v>14967</v>
      </c>
      <c r="E32" s="114" t="s">
        <v>15002</v>
      </c>
      <c r="F32" s="115" t="s">
        <v>14076</v>
      </c>
      <c r="G32" s="129">
        <v>0</v>
      </c>
      <c r="H32" s="116"/>
      <c r="I32" s="129">
        <v>0</v>
      </c>
      <c r="J32" s="116" t="s">
        <v>14172</v>
      </c>
      <c r="K32" s="119">
        <v>0</v>
      </c>
      <c r="L32" s="118" t="s">
        <v>14220</v>
      </c>
      <c r="M32" s="129">
        <v>0</v>
      </c>
      <c r="N32" s="120"/>
      <c r="O32" s="121"/>
      <c r="P32" s="120"/>
      <c r="Q32" s="121"/>
      <c r="R32" s="120"/>
      <c r="S32" s="121"/>
      <c r="T32" s="121"/>
      <c r="U32" s="121"/>
      <c r="V32" s="121"/>
      <c r="W32" s="121"/>
      <c r="X32" s="121"/>
      <c r="Y32" s="121"/>
      <c r="Z32" s="121"/>
      <c r="AA32" s="121"/>
      <c r="AB32" s="122" t="s">
        <v>14312</v>
      </c>
      <c r="AC32" s="123"/>
      <c r="AD32" s="124"/>
      <c r="AE32" s="71"/>
      <c r="AF32" s="71"/>
    </row>
    <row r="33" spans="2:32" ht="20.100000000000001" customHeight="1">
      <c r="B33" s="125"/>
      <c r="C33" s="133"/>
      <c r="D33" s="132" t="s">
        <v>14970</v>
      </c>
      <c r="E33" s="102" t="s">
        <v>15003</v>
      </c>
      <c r="F33" s="103" t="s">
        <v>14077</v>
      </c>
      <c r="G33" s="129">
        <v>0</v>
      </c>
      <c r="H33" s="116"/>
      <c r="I33" s="129">
        <v>0</v>
      </c>
      <c r="J33" s="116" t="s">
        <v>14173</v>
      </c>
      <c r="K33" s="119">
        <v>0</v>
      </c>
      <c r="L33" s="118" t="s">
        <v>14221</v>
      </c>
      <c r="M33" s="129">
        <v>0</v>
      </c>
      <c r="N33" s="120"/>
      <c r="O33" s="121"/>
      <c r="P33" s="120"/>
      <c r="Q33" s="121"/>
      <c r="R33" s="120"/>
      <c r="S33" s="121"/>
      <c r="T33" s="121"/>
      <c r="U33" s="121"/>
      <c r="V33" s="121"/>
      <c r="W33" s="121"/>
      <c r="X33" s="121"/>
      <c r="Y33" s="121"/>
      <c r="Z33" s="121"/>
      <c r="AA33" s="121"/>
      <c r="AB33" s="122" t="s">
        <v>14313</v>
      </c>
      <c r="AC33" s="123"/>
      <c r="AD33" s="124"/>
      <c r="AE33" s="71"/>
      <c r="AF33" s="71"/>
    </row>
    <row r="34" spans="2:32" ht="20.100000000000001" customHeight="1">
      <c r="B34" s="125"/>
      <c r="C34" s="133"/>
      <c r="D34" s="132" t="s">
        <v>14972</v>
      </c>
      <c r="E34" s="140" t="s">
        <v>15004</v>
      </c>
      <c r="F34" s="141" t="s">
        <v>14078</v>
      </c>
      <c r="G34" s="129">
        <v>5961120</v>
      </c>
      <c r="H34" s="116"/>
      <c r="I34" s="129">
        <v>0</v>
      </c>
      <c r="J34" s="116" t="s">
        <v>14174</v>
      </c>
      <c r="K34" s="119">
        <v>5961120</v>
      </c>
      <c r="L34" s="118" t="s">
        <v>14222</v>
      </c>
      <c r="M34" s="129">
        <v>5961120</v>
      </c>
      <c r="N34" s="120"/>
      <c r="O34" s="121"/>
      <c r="P34" s="120"/>
      <c r="Q34" s="121"/>
      <c r="R34" s="120"/>
      <c r="S34" s="121"/>
      <c r="T34" s="121"/>
      <c r="U34" s="121"/>
      <c r="V34" s="121"/>
      <c r="W34" s="121"/>
      <c r="X34" s="121"/>
      <c r="Y34" s="121"/>
      <c r="Z34" s="121"/>
      <c r="AA34" s="121"/>
      <c r="AB34" s="122" t="s">
        <v>14314</v>
      </c>
      <c r="AC34" s="123"/>
      <c r="AD34" s="124"/>
      <c r="AE34" s="373" t="s">
        <v>15005</v>
      </c>
      <c r="AF34" s="373"/>
    </row>
    <row r="35" spans="2:32" ht="20.100000000000001" customHeight="1">
      <c r="B35" s="96"/>
      <c r="C35" s="126"/>
      <c r="D35" s="132" t="s">
        <v>14975</v>
      </c>
      <c r="E35" s="140" t="s">
        <v>15006</v>
      </c>
      <c r="F35" s="141" t="s">
        <v>14079</v>
      </c>
      <c r="G35" s="129">
        <v>0</v>
      </c>
      <c r="H35" s="116"/>
      <c r="I35" s="129">
        <v>0</v>
      </c>
      <c r="J35" s="116" t="s">
        <v>14175</v>
      </c>
      <c r="K35" s="119">
        <v>0</v>
      </c>
      <c r="L35" s="118" t="s">
        <v>14223</v>
      </c>
      <c r="M35" s="129">
        <v>0</v>
      </c>
      <c r="N35" s="120"/>
      <c r="O35" s="121"/>
      <c r="P35" s="120"/>
      <c r="Q35" s="121"/>
      <c r="R35" s="120"/>
      <c r="S35" s="121"/>
      <c r="T35" s="121"/>
      <c r="U35" s="121"/>
      <c r="V35" s="121"/>
      <c r="W35" s="121"/>
      <c r="X35" s="121"/>
      <c r="Y35" s="121"/>
      <c r="Z35" s="121"/>
      <c r="AA35" s="121"/>
      <c r="AB35" s="122" t="s">
        <v>14315</v>
      </c>
      <c r="AC35" s="123"/>
      <c r="AD35" s="144"/>
      <c r="AE35" s="369" t="e">
        <f>#REF!</f>
        <v>#REF!</v>
      </c>
      <c r="AF35" s="370"/>
    </row>
    <row r="36" spans="2:32" ht="20.100000000000001" customHeight="1">
      <c r="B36" s="143"/>
      <c r="C36" s="142"/>
      <c r="D36" s="132" t="s">
        <v>14977</v>
      </c>
      <c r="E36" s="102" t="s">
        <v>15007</v>
      </c>
      <c r="F36" s="103" t="s">
        <v>14080</v>
      </c>
      <c r="G36" s="129">
        <v>0</v>
      </c>
      <c r="H36" s="116"/>
      <c r="I36" s="129">
        <v>0</v>
      </c>
      <c r="J36" s="116" t="s">
        <v>14176</v>
      </c>
      <c r="K36" s="119">
        <v>0</v>
      </c>
      <c r="L36" s="118" t="s">
        <v>14224</v>
      </c>
      <c r="M36" s="129">
        <v>0</v>
      </c>
      <c r="N36" s="120"/>
      <c r="O36" s="121"/>
      <c r="P36" s="120"/>
      <c r="Q36" s="121"/>
      <c r="R36" s="120"/>
      <c r="S36" s="121"/>
      <c r="T36" s="121"/>
      <c r="U36" s="121"/>
      <c r="V36" s="121"/>
      <c r="W36" s="121"/>
      <c r="X36" s="121"/>
      <c r="Y36" s="121"/>
      <c r="Z36" s="121"/>
      <c r="AA36" s="121"/>
      <c r="AB36" s="122" t="s">
        <v>14316</v>
      </c>
      <c r="AC36" s="123"/>
      <c r="AD36" s="144"/>
      <c r="AE36" s="71"/>
      <c r="AF36" s="71"/>
    </row>
    <row r="37" spans="2:32" ht="20.100000000000001" customHeight="1">
      <c r="B37" s="145" t="s">
        <v>15008</v>
      </c>
      <c r="C37" s="78"/>
      <c r="D37" s="80"/>
      <c r="E37" s="80"/>
      <c r="F37" s="72" t="s">
        <v>14081</v>
      </c>
      <c r="G37" s="146">
        <v>19787269</v>
      </c>
      <c r="H37" s="116" t="s">
        <v>14129</v>
      </c>
      <c r="I37" s="146">
        <v>0</v>
      </c>
      <c r="J37" s="116" t="s">
        <v>14177</v>
      </c>
      <c r="K37" s="147">
        <v>19787269</v>
      </c>
      <c r="L37" s="108" t="s">
        <v>14225</v>
      </c>
      <c r="M37" s="146">
        <v>19787269</v>
      </c>
      <c r="N37" s="108" t="s">
        <v>14246</v>
      </c>
      <c r="O37" s="108">
        <v>24153173</v>
      </c>
      <c r="P37" s="108" t="s">
        <v>14260</v>
      </c>
      <c r="Q37" s="106">
        <v>19787269</v>
      </c>
      <c r="R37" s="108" t="s">
        <v>14265</v>
      </c>
      <c r="S37" s="146">
        <v>7618098</v>
      </c>
      <c r="T37" s="146" t="s">
        <v>14270</v>
      </c>
      <c r="U37" s="109">
        <v>7970655</v>
      </c>
      <c r="V37" s="146"/>
      <c r="W37" s="109">
        <v>7970655</v>
      </c>
      <c r="X37" s="146" t="s">
        <v>14280</v>
      </c>
      <c r="Y37" s="104">
        <v>352557</v>
      </c>
      <c r="Z37" s="146" t="s">
        <v>14285</v>
      </c>
      <c r="AA37" s="104">
        <v>0</v>
      </c>
      <c r="AB37" s="148" t="s">
        <v>14317</v>
      </c>
      <c r="AC37" s="111"/>
      <c r="AD37" s="144"/>
      <c r="AE37" s="379" t="s">
        <v>15009</v>
      </c>
      <c r="AF37" s="380"/>
    </row>
    <row r="38" spans="2:32" ht="20.100000000000001" customHeight="1">
      <c r="B38" s="96"/>
      <c r="C38" s="149" t="s">
        <v>14965</v>
      </c>
      <c r="D38" s="113" t="s">
        <v>15010</v>
      </c>
      <c r="E38" s="150"/>
      <c r="F38" s="151" t="s">
        <v>14082</v>
      </c>
      <c r="G38" s="116">
        <v>16815527</v>
      </c>
      <c r="H38" s="116" t="s">
        <v>14130</v>
      </c>
      <c r="I38" s="116">
        <v>0</v>
      </c>
      <c r="J38" s="116" t="s">
        <v>14178</v>
      </c>
      <c r="K38" s="119">
        <v>16815527</v>
      </c>
      <c r="L38" s="118" t="s">
        <v>14226</v>
      </c>
      <c r="M38" s="116">
        <v>16815527</v>
      </c>
      <c r="N38" s="120"/>
      <c r="O38" s="121"/>
      <c r="P38" s="120"/>
      <c r="Q38" s="121"/>
      <c r="R38" s="120"/>
      <c r="S38" s="121"/>
      <c r="T38" s="121"/>
      <c r="U38" s="121"/>
      <c r="V38" s="121"/>
      <c r="W38" s="121"/>
      <c r="X38" s="121"/>
      <c r="Y38" s="121"/>
      <c r="Z38" s="121"/>
      <c r="AA38" s="121"/>
      <c r="AB38" s="122" t="s">
        <v>14318</v>
      </c>
      <c r="AC38" s="123"/>
      <c r="AD38" s="144"/>
      <c r="AE38" s="135" t="s">
        <v>15011</v>
      </c>
      <c r="AF38" s="136"/>
    </row>
    <row r="39" spans="2:32" ht="20.100000000000001" customHeight="1">
      <c r="B39" s="96"/>
      <c r="C39" s="112" t="s">
        <v>14982</v>
      </c>
      <c r="D39" s="113" t="s">
        <v>15012</v>
      </c>
      <c r="E39" s="152"/>
      <c r="F39" s="151" t="s">
        <v>14083</v>
      </c>
      <c r="G39" s="116">
        <v>2971742</v>
      </c>
      <c r="H39" s="116" t="s">
        <v>14131</v>
      </c>
      <c r="I39" s="116">
        <v>0</v>
      </c>
      <c r="J39" s="116" t="s">
        <v>14179</v>
      </c>
      <c r="K39" s="119">
        <v>2971742</v>
      </c>
      <c r="L39" s="118" t="s">
        <v>14227</v>
      </c>
      <c r="M39" s="116">
        <v>2971742</v>
      </c>
      <c r="N39" s="120"/>
      <c r="O39" s="121"/>
      <c r="P39" s="120"/>
      <c r="Q39" s="121"/>
      <c r="R39" s="120"/>
      <c r="S39" s="121"/>
      <c r="T39" s="121"/>
      <c r="U39" s="121"/>
      <c r="V39" s="121"/>
      <c r="W39" s="121"/>
      <c r="X39" s="121"/>
      <c r="Y39" s="121"/>
      <c r="Z39" s="121"/>
      <c r="AA39" s="121"/>
      <c r="AB39" s="122" t="s">
        <v>14319</v>
      </c>
      <c r="AC39" s="123"/>
      <c r="AD39" s="144"/>
      <c r="AE39" s="153" t="e">
        <f>AE41+AE43+AE45</f>
        <v>#REF!</v>
      </c>
      <c r="AF39" s="136" t="s">
        <v>14943</v>
      </c>
    </row>
    <row r="40" spans="2:32" ht="20.100000000000001" customHeight="1">
      <c r="B40" s="125"/>
      <c r="C40" s="154"/>
      <c r="D40" s="134" t="s">
        <v>14967</v>
      </c>
      <c r="E40" s="155" t="s">
        <v>15013</v>
      </c>
      <c r="F40" s="151" t="s">
        <v>14084</v>
      </c>
      <c r="G40" s="129">
        <v>638000</v>
      </c>
      <c r="H40" s="151"/>
      <c r="I40" s="129">
        <v>0</v>
      </c>
      <c r="J40" s="116" t="s">
        <v>14180</v>
      </c>
      <c r="K40" s="119">
        <v>638000</v>
      </c>
      <c r="L40" s="118" t="s">
        <v>14228</v>
      </c>
      <c r="M40" s="116">
        <v>638000</v>
      </c>
      <c r="N40" s="120"/>
      <c r="O40" s="121"/>
      <c r="P40" s="120"/>
      <c r="Q40" s="121"/>
      <c r="R40" s="120"/>
      <c r="S40" s="121"/>
      <c r="T40" s="121"/>
      <c r="U40" s="121"/>
      <c r="V40" s="121"/>
      <c r="W40" s="121"/>
      <c r="X40" s="121"/>
      <c r="Y40" s="121"/>
      <c r="Z40" s="121"/>
      <c r="AA40" s="121"/>
      <c r="AB40" s="122" t="s">
        <v>14320</v>
      </c>
      <c r="AC40" s="123"/>
      <c r="AD40" s="144"/>
      <c r="AE40" s="399" t="s">
        <v>15014</v>
      </c>
      <c r="AF40" s="400"/>
    </row>
    <row r="41" spans="2:32" ht="20.100000000000001" customHeight="1">
      <c r="B41" s="125"/>
      <c r="C41" s="154"/>
      <c r="D41" s="132" t="s">
        <v>14970</v>
      </c>
      <c r="E41" s="156" t="s">
        <v>15015</v>
      </c>
      <c r="F41" s="151" t="s">
        <v>14085</v>
      </c>
      <c r="G41" s="129">
        <v>1311742</v>
      </c>
      <c r="H41" s="151"/>
      <c r="I41" s="129">
        <v>0</v>
      </c>
      <c r="J41" s="116" t="s">
        <v>14181</v>
      </c>
      <c r="K41" s="119">
        <v>1311742</v>
      </c>
      <c r="L41" s="118" t="s">
        <v>14229</v>
      </c>
      <c r="M41" s="116">
        <v>1311742</v>
      </c>
      <c r="N41" s="120"/>
      <c r="O41" s="121"/>
      <c r="P41" s="120"/>
      <c r="Q41" s="121"/>
      <c r="R41" s="120"/>
      <c r="S41" s="121"/>
      <c r="T41" s="121"/>
      <c r="U41" s="121"/>
      <c r="V41" s="121"/>
      <c r="W41" s="121"/>
      <c r="X41" s="121"/>
      <c r="Y41" s="121"/>
      <c r="Z41" s="121"/>
      <c r="AA41" s="121"/>
      <c r="AB41" s="122" t="s">
        <v>14321</v>
      </c>
      <c r="AC41" s="123"/>
      <c r="AD41" s="144"/>
      <c r="AE41" s="153" t="e">
        <f>#REF!</f>
        <v>#REF!</v>
      </c>
      <c r="AF41" s="136" t="s">
        <v>14943</v>
      </c>
    </row>
    <row r="42" spans="2:32" ht="20.100000000000001" customHeight="1">
      <c r="B42" s="125"/>
      <c r="C42" s="154"/>
      <c r="D42" s="145" t="s">
        <v>14972</v>
      </c>
      <c r="E42" s="155" t="s">
        <v>15016</v>
      </c>
      <c r="F42" s="151" t="s">
        <v>14086</v>
      </c>
      <c r="G42" s="129">
        <v>1022000</v>
      </c>
      <c r="H42" s="151"/>
      <c r="I42" s="129">
        <v>0</v>
      </c>
      <c r="J42" s="116" t="s">
        <v>14182</v>
      </c>
      <c r="K42" s="119">
        <v>1022000</v>
      </c>
      <c r="L42" s="118" t="s">
        <v>14230</v>
      </c>
      <c r="M42" s="116">
        <v>1022000</v>
      </c>
      <c r="N42" s="120"/>
      <c r="O42" s="121"/>
      <c r="P42" s="120"/>
      <c r="Q42" s="121"/>
      <c r="R42" s="120"/>
      <c r="S42" s="121"/>
      <c r="T42" s="121"/>
      <c r="U42" s="121"/>
      <c r="V42" s="121"/>
      <c r="W42" s="121"/>
      <c r="X42" s="121"/>
      <c r="Y42" s="121"/>
      <c r="Z42" s="121"/>
      <c r="AA42" s="121"/>
      <c r="AB42" s="122" t="s">
        <v>14322</v>
      </c>
      <c r="AC42" s="123"/>
      <c r="AD42" s="144"/>
      <c r="AE42" s="399" t="s">
        <v>15017</v>
      </c>
      <c r="AF42" s="400"/>
    </row>
    <row r="43" spans="2:32" ht="20.100000000000001" customHeight="1">
      <c r="B43" s="134">
        <v>3</v>
      </c>
      <c r="C43" s="155" t="s">
        <v>15018</v>
      </c>
      <c r="D43" s="157"/>
      <c r="E43" s="157"/>
      <c r="F43" s="151" t="s">
        <v>14087</v>
      </c>
      <c r="G43" s="116">
        <v>54457011</v>
      </c>
      <c r="H43" s="151" t="s">
        <v>14135</v>
      </c>
      <c r="I43" s="116">
        <v>0</v>
      </c>
      <c r="J43" s="116" t="s">
        <v>14183</v>
      </c>
      <c r="K43" s="119">
        <v>54457011</v>
      </c>
      <c r="L43" s="118" t="s">
        <v>14231</v>
      </c>
      <c r="M43" s="116">
        <v>54457011</v>
      </c>
      <c r="N43" s="120"/>
      <c r="O43" s="121"/>
      <c r="P43" s="118" t="s">
        <v>14261</v>
      </c>
      <c r="Q43" s="116">
        <v>54457011</v>
      </c>
      <c r="R43" s="118" t="s">
        <v>14266</v>
      </c>
      <c r="S43" s="116">
        <v>14552046</v>
      </c>
      <c r="T43" s="116" t="s">
        <v>14271</v>
      </c>
      <c r="U43" s="116">
        <v>15932455</v>
      </c>
      <c r="V43" s="116" t="s">
        <v>14276</v>
      </c>
      <c r="W43" s="116">
        <v>15932455</v>
      </c>
      <c r="X43" s="116" t="s">
        <v>14281</v>
      </c>
      <c r="Y43" s="116">
        <v>1380409</v>
      </c>
      <c r="Z43" s="116" t="s">
        <v>14286</v>
      </c>
      <c r="AA43" s="116">
        <v>0</v>
      </c>
      <c r="AB43" s="122" t="s">
        <v>14323</v>
      </c>
      <c r="AC43" s="123"/>
      <c r="AD43" s="144"/>
      <c r="AE43" s="153" t="e">
        <f>#REF!</f>
        <v>#REF!</v>
      </c>
      <c r="AF43" s="136" t="s">
        <v>14943</v>
      </c>
    </row>
    <row r="44" spans="2:32" ht="20.100000000000001" customHeight="1">
      <c r="B44" s="158" t="s">
        <v>15019</v>
      </c>
      <c r="C44" s="159"/>
      <c r="F44" s="151" t="s">
        <v>14088</v>
      </c>
      <c r="G44" s="116">
        <v>10526958</v>
      </c>
      <c r="H44" s="151" t="s">
        <v>14136</v>
      </c>
      <c r="I44" s="116">
        <v>0</v>
      </c>
      <c r="J44" s="116" t="s">
        <v>14184</v>
      </c>
      <c r="K44" s="119">
        <v>10526958</v>
      </c>
      <c r="L44" s="118" t="s">
        <v>14232</v>
      </c>
      <c r="M44" s="116">
        <v>10526958</v>
      </c>
      <c r="N44" s="118" t="s">
        <v>14247</v>
      </c>
      <c r="O44" s="116">
        <v>28886000</v>
      </c>
      <c r="P44" s="108" t="s">
        <v>14262</v>
      </c>
      <c r="Q44" s="106">
        <v>10526958</v>
      </c>
      <c r="R44" s="108" t="s">
        <v>14267</v>
      </c>
      <c r="S44" s="146">
        <v>4052878</v>
      </c>
      <c r="T44" s="146" t="s">
        <v>14272</v>
      </c>
      <c r="U44" s="109">
        <v>4220755</v>
      </c>
      <c r="V44" s="146"/>
      <c r="W44" s="109">
        <v>4220755</v>
      </c>
      <c r="X44" s="146" t="s">
        <v>14282</v>
      </c>
      <c r="Y44" s="104">
        <v>167877</v>
      </c>
      <c r="Z44" s="146" t="s">
        <v>14287</v>
      </c>
      <c r="AA44" s="104">
        <v>0</v>
      </c>
      <c r="AB44" s="122" t="s">
        <v>14324</v>
      </c>
      <c r="AC44" s="111"/>
      <c r="AD44" s="144"/>
      <c r="AE44" s="383" t="s">
        <v>15020</v>
      </c>
      <c r="AF44" s="385"/>
    </row>
    <row r="45" spans="2:32" ht="20.100000000000001" customHeight="1">
      <c r="B45" s="160"/>
      <c r="C45" s="161" t="s">
        <v>15021</v>
      </c>
      <c r="D45" s="162" t="s">
        <v>15022</v>
      </c>
      <c r="E45" s="136"/>
      <c r="F45" s="151" t="s">
        <v>14089</v>
      </c>
      <c r="G45" s="129">
        <v>2758726</v>
      </c>
      <c r="H45" s="151"/>
      <c r="I45" s="129">
        <v>0</v>
      </c>
      <c r="J45" s="116" t="s">
        <v>14185</v>
      </c>
      <c r="K45" s="119">
        <v>2758726</v>
      </c>
      <c r="L45" s="118" t="s">
        <v>14233</v>
      </c>
      <c r="M45" s="129">
        <v>2758726</v>
      </c>
      <c r="N45" s="118" t="s">
        <v>14248</v>
      </c>
      <c r="O45" s="116">
        <v>4819000</v>
      </c>
      <c r="P45" s="120"/>
      <c r="Q45" s="121"/>
      <c r="R45" s="120"/>
      <c r="S45" s="121"/>
      <c r="T45" s="121"/>
      <c r="U45" s="121"/>
      <c r="V45" s="121"/>
      <c r="W45" s="121"/>
      <c r="X45" s="121"/>
      <c r="Y45" s="121"/>
      <c r="Z45" s="121"/>
      <c r="AA45" s="121"/>
      <c r="AB45" s="122" t="s">
        <v>14325</v>
      </c>
      <c r="AC45" s="123"/>
      <c r="AD45" s="144"/>
      <c r="AE45" s="153" t="e">
        <f>#REF!</f>
        <v>#REF!</v>
      </c>
      <c r="AF45" s="136" t="s">
        <v>14943</v>
      </c>
    </row>
    <row r="46" spans="2:32" ht="20.100000000000001" customHeight="1">
      <c r="B46" s="160"/>
      <c r="C46" s="161" t="s">
        <v>14982</v>
      </c>
      <c r="D46" s="162" t="s">
        <v>15023</v>
      </c>
      <c r="E46" s="136"/>
      <c r="F46" s="151" t="s">
        <v>14090</v>
      </c>
      <c r="G46" s="116">
        <v>3249000</v>
      </c>
      <c r="H46" s="151" t="s">
        <v>14138</v>
      </c>
      <c r="I46" s="116">
        <v>0</v>
      </c>
      <c r="J46" s="116" t="s">
        <v>14186</v>
      </c>
      <c r="K46" s="119">
        <v>3249000</v>
      </c>
      <c r="L46" s="118" t="s">
        <v>14234</v>
      </c>
      <c r="M46" s="116">
        <v>3249000</v>
      </c>
      <c r="N46" s="118" t="s">
        <v>14249</v>
      </c>
      <c r="O46" s="116">
        <v>8000000</v>
      </c>
      <c r="P46" s="120"/>
      <c r="Q46" s="121"/>
      <c r="R46" s="120"/>
      <c r="S46" s="121"/>
      <c r="T46" s="121"/>
      <c r="U46" s="121"/>
      <c r="V46" s="121"/>
      <c r="W46" s="121"/>
      <c r="X46" s="121"/>
      <c r="Y46" s="121"/>
      <c r="Z46" s="121"/>
      <c r="AA46" s="121"/>
      <c r="AB46" s="122" t="s">
        <v>14326</v>
      </c>
      <c r="AC46" s="123"/>
      <c r="AD46" s="144"/>
      <c r="AE46" s="163"/>
      <c r="AF46" s="163"/>
    </row>
    <row r="47" spans="2:32" ht="20.100000000000001" customHeight="1">
      <c r="B47" s="160"/>
      <c r="C47" s="401"/>
      <c r="D47" s="135" t="s">
        <v>15024</v>
      </c>
      <c r="E47" s="164" t="s">
        <v>15025</v>
      </c>
      <c r="F47" s="151" t="s">
        <v>14091</v>
      </c>
      <c r="G47" s="129">
        <v>3249000</v>
      </c>
      <c r="H47" s="151"/>
      <c r="I47" s="129">
        <v>0</v>
      </c>
      <c r="J47" s="116" t="s">
        <v>14187</v>
      </c>
      <c r="K47" s="119">
        <v>3249000</v>
      </c>
      <c r="L47" s="118" t="s">
        <v>14235</v>
      </c>
      <c r="M47" s="129">
        <v>3249000</v>
      </c>
      <c r="N47" s="118" t="s">
        <v>14250</v>
      </c>
      <c r="O47" s="116">
        <v>8000000</v>
      </c>
      <c r="P47" s="120"/>
      <c r="Q47" s="121"/>
      <c r="R47" s="120"/>
      <c r="S47" s="121"/>
      <c r="T47" s="121"/>
      <c r="U47" s="121"/>
      <c r="V47" s="121"/>
      <c r="W47" s="121"/>
      <c r="X47" s="121"/>
      <c r="Y47" s="121"/>
      <c r="Z47" s="121"/>
      <c r="AA47" s="121"/>
      <c r="AB47" s="122" t="s">
        <v>14327</v>
      </c>
      <c r="AC47" s="123"/>
      <c r="AD47" s="144"/>
      <c r="AE47" s="163"/>
      <c r="AF47" s="163"/>
    </row>
    <row r="48" spans="2:32" ht="20.100000000000001" customHeight="1">
      <c r="B48" s="160"/>
      <c r="C48" s="401"/>
      <c r="D48" s="105" t="s">
        <v>15026</v>
      </c>
      <c r="E48" s="164" t="s">
        <v>15027</v>
      </c>
      <c r="F48" s="151" t="s">
        <v>14092</v>
      </c>
      <c r="G48" s="129">
        <v>0</v>
      </c>
      <c r="H48" s="151"/>
      <c r="I48" s="129">
        <v>0</v>
      </c>
      <c r="J48" s="116" t="s">
        <v>14188</v>
      </c>
      <c r="K48" s="119">
        <v>0</v>
      </c>
      <c r="L48" s="118" t="s">
        <v>14236</v>
      </c>
      <c r="M48" s="129">
        <v>0</v>
      </c>
      <c r="N48" s="118" t="s">
        <v>14251</v>
      </c>
      <c r="O48" s="116">
        <v>0</v>
      </c>
      <c r="P48" s="120"/>
      <c r="Q48" s="121"/>
      <c r="R48" s="120"/>
      <c r="S48" s="121"/>
      <c r="T48" s="121"/>
      <c r="U48" s="121"/>
      <c r="V48" s="121"/>
      <c r="W48" s="121"/>
      <c r="X48" s="121"/>
      <c r="Y48" s="121"/>
      <c r="Z48" s="121"/>
      <c r="AA48" s="121"/>
      <c r="AB48" s="122" t="s">
        <v>14328</v>
      </c>
      <c r="AC48" s="123"/>
      <c r="AD48" s="144"/>
      <c r="AE48" s="163"/>
      <c r="AF48" s="163"/>
    </row>
    <row r="49" spans="2:32" ht="20.100000000000001" customHeight="1">
      <c r="B49" s="160"/>
      <c r="C49" s="401"/>
      <c r="D49" s="165" t="s">
        <v>15028</v>
      </c>
      <c r="E49" s="166" t="s">
        <v>15029</v>
      </c>
      <c r="F49" s="151" t="s">
        <v>14093</v>
      </c>
      <c r="G49" s="129">
        <v>0</v>
      </c>
      <c r="H49" s="151"/>
      <c r="I49" s="129">
        <v>0</v>
      </c>
      <c r="J49" s="118" t="s">
        <v>14189</v>
      </c>
      <c r="K49" s="119">
        <v>0</v>
      </c>
      <c r="L49" s="118" t="s">
        <v>14237</v>
      </c>
      <c r="M49" s="129">
        <v>0</v>
      </c>
      <c r="N49" s="118" t="s">
        <v>14252</v>
      </c>
      <c r="O49" s="118">
        <v>0</v>
      </c>
      <c r="P49" s="120"/>
      <c r="Q49" s="120"/>
      <c r="R49" s="120"/>
      <c r="S49" s="120"/>
      <c r="T49" s="120"/>
      <c r="U49" s="120"/>
      <c r="V49" s="120"/>
      <c r="W49" s="120"/>
      <c r="X49" s="120"/>
      <c r="Y49" s="120"/>
      <c r="Z49" s="120"/>
      <c r="AA49" s="120"/>
      <c r="AB49" s="122" t="s">
        <v>14329</v>
      </c>
      <c r="AC49" s="123"/>
      <c r="AD49" s="144"/>
      <c r="AE49" s="163"/>
      <c r="AF49" s="163"/>
    </row>
    <row r="50" spans="2:32" ht="20.100000000000001" customHeight="1">
      <c r="B50" s="160"/>
      <c r="C50" s="402"/>
      <c r="D50" s="165" t="s">
        <v>15030</v>
      </c>
      <c r="E50" s="164" t="s">
        <v>15031</v>
      </c>
      <c r="F50" s="151" t="s">
        <v>72</v>
      </c>
      <c r="G50" s="129">
        <v>0</v>
      </c>
      <c r="H50" s="151"/>
      <c r="I50" s="129">
        <v>0</v>
      </c>
      <c r="J50" s="151" t="s">
        <v>14190</v>
      </c>
      <c r="K50" s="119">
        <v>0</v>
      </c>
      <c r="L50" s="151" t="s">
        <v>14238</v>
      </c>
      <c r="M50" s="129">
        <v>0</v>
      </c>
      <c r="N50" s="151" t="s">
        <v>14253</v>
      </c>
      <c r="O50" s="116">
        <v>0</v>
      </c>
      <c r="P50" s="120"/>
      <c r="Q50" s="121"/>
      <c r="R50" s="120"/>
      <c r="S50" s="121"/>
      <c r="T50" s="121"/>
      <c r="U50" s="121"/>
      <c r="V50" s="121"/>
      <c r="W50" s="121"/>
      <c r="X50" s="121"/>
      <c r="Y50" s="121"/>
      <c r="Z50" s="121"/>
      <c r="AA50" s="121"/>
      <c r="AB50" s="122" t="s">
        <v>14330</v>
      </c>
      <c r="AC50" s="123"/>
      <c r="AD50" s="144"/>
      <c r="AE50" s="163"/>
      <c r="AF50" s="163"/>
    </row>
    <row r="51" spans="2:32" ht="20.100000000000001" customHeight="1">
      <c r="B51" s="160"/>
      <c r="C51" s="161" t="s">
        <v>15032</v>
      </c>
      <c r="D51" s="103" t="s">
        <v>15033</v>
      </c>
      <c r="E51" s="164"/>
      <c r="F51" s="151" t="s">
        <v>14095</v>
      </c>
      <c r="G51" s="116">
        <v>3751816</v>
      </c>
      <c r="H51" s="151" t="s">
        <v>14143</v>
      </c>
      <c r="I51" s="116">
        <v>0</v>
      </c>
      <c r="J51" s="116" t="s">
        <v>14191</v>
      </c>
      <c r="K51" s="119">
        <v>3751816</v>
      </c>
      <c r="L51" s="118" t="s">
        <v>14239</v>
      </c>
      <c r="M51" s="116">
        <v>3751816</v>
      </c>
      <c r="N51" s="118" t="s">
        <v>14254</v>
      </c>
      <c r="O51" s="116">
        <v>14795000</v>
      </c>
      <c r="P51" s="120"/>
      <c r="Q51" s="121"/>
      <c r="R51" s="120"/>
      <c r="S51" s="121"/>
      <c r="T51" s="121"/>
      <c r="U51" s="121"/>
      <c r="V51" s="121"/>
      <c r="W51" s="121"/>
      <c r="X51" s="121"/>
      <c r="Y51" s="121"/>
      <c r="Z51" s="121"/>
      <c r="AA51" s="121"/>
      <c r="AB51" s="122" t="s">
        <v>14331</v>
      </c>
      <c r="AC51" s="123"/>
      <c r="AD51" s="144"/>
      <c r="AE51" s="163"/>
      <c r="AF51" s="163"/>
    </row>
    <row r="52" spans="2:32" ht="20.100000000000001" customHeight="1">
      <c r="B52" s="160"/>
      <c r="C52" s="320"/>
      <c r="D52" s="135" t="s">
        <v>15024</v>
      </c>
      <c r="E52" s="162" t="s">
        <v>15034</v>
      </c>
      <c r="F52" s="151" t="s">
        <v>14096</v>
      </c>
      <c r="G52" s="129">
        <v>0</v>
      </c>
      <c r="H52" s="151"/>
      <c r="I52" s="129">
        <v>0</v>
      </c>
      <c r="J52" s="116" t="s">
        <v>14192</v>
      </c>
      <c r="K52" s="119">
        <v>0</v>
      </c>
      <c r="L52" s="118" t="s">
        <v>14240</v>
      </c>
      <c r="M52" s="129">
        <v>0</v>
      </c>
      <c r="N52" s="118" t="s">
        <v>14255</v>
      </c>
      <c r="O52" s="116">
        <v>10266000</v>
      </c>
      <c r="P52" s="120"/>
      <c r="Q52" s="121"/>
      <c r="R52" s="120"/>
      <c r="S52" s="121"/>
      <c r="T52" s="121"/>
      <c r="U52" s="121"/>
      <c r="V52" s="121"/>
      <c r="W52" s="121"/>
      <c r="X52" s="121"/>
      <c r="Y52" s="121"/>
      <c r="Z52" s="121"/>
      <c r="AA52" s="121"/>
      <c r="AB52" s="122" t="s">
        <v>14332</v>
      </c>
      <c r="AC52" s="123"/>
      <c r="AD52" s="144"/>
      <c r="AE52" s="315" t="s">
        <v>15035</v>
      </c>
      <c r="AF52" s="117" t="e">
        <f>#REF!</f>
        <v>#REF!</v>
      </c>
    </row>
    <row r="53" spans="2:32" ht="20.100000000000001" customHeight="1">
      <c r="B53" s="160"/>
      <c r="C53" s="320"/>
      <c r="D53" s="105" t="s">
        <v>15026</v>
      </c>
      <c r="E53" s="162" t="s">
        <v>15036</v>
      </c>
      <c r="F53" s="151" t="s">
        <v>14097</v>
      </c>
      <c r="G53" s="129">
        <v>0</v>
      </c>
      <c r="H53" s="151"/>
      <c r="I53" s="129">
        <v>0</v>
      </c>
      <c r="J53" s="116" t="s">
        <v>14193</v>
      </c>
      <c r="K53" s="119">
        <v>0</v>
      </c>
      <c r="L53" s="118" t="s">
        <v>14241</v>
      </c>
      <c r="M53" s="129">
        <v>0</v>
      </c>
      <c r="N53" s="118" t="s">
        <v>14256</v>
      </c>
      <c r="O53" s="116">
        <v>0</v>
      </c>
      <c r="P53" s="120"/>
      <c r="Q53" s="121"/>
      <c r="R53" s="120"/>
      <c r="S53" s="121"/>
      <c r="T53" s="121"/>
      <c r="U53" s="121"/>
      <c r="V53" s="121"/>
      <c r="W53" s="121"/>
      <c r="X53" s="121"/>
      <c r="Y53" s="121"/>
      <c r="Z53" s="121"/>
      <c r="AA53" s="121"/>
      <c r="AB53" s="122" t="s">
        <v>14333</v>
      </c>
      <c r="AC53" s="123"/>
      <c r="AD53" s="144"/>
      <c r="AE53" s="315" t="s">
        <v>14930</v>
      </c>
      <c r="AF53" s="117" t="e">
        <f>#REF!</f>
        <v>#REF!</v>
      </c>
    </row>
    <row r="54" spans="2:32" ht="20.100000000000001" customHeight="1">
      <c r="B54" s="160"/>
      <c r="C54" s="321"/>
      <c r="D54" s="105" t="s">
        <v>15037</v>
      </c>
      <c r="E54" s="162" t="s">
        <v>15038</v>
      </c>
      <c r="F54" s="151" t="s">
        <v>14098</v>
      </c>
      <c r="G54" s="129">
        <v>3751816</v>
      </c>
      <c r="H54" s="151"/>
      <c r="I54" s="129">
        <v>0</v>
      </c>
      <c r="J54" s="116" t="s">
        <v>14194</v>
      </c>
      <c r="K54" s="119">
        <v>3751816</v>
      </c>
      <c r="L54" s="118" t="s">
        <v>14242</v>
      </c>
      <c r="M54" s="129">
        <v>3751816</v>
      </c>
      <c r="N54" s="118" t="s">
        <v>14257</v>
      </c>
      <c r="O54" s="116">
        <v>4529000</v>
      </c>
      <c r="P54" s="120"/>
      <c r="Q54" s="121"/>
      <c r="R54" s="120"/>
      <c r="S54" s="121"/>
      <c r="T54" s="121"/>
      <c r="U54" s="121"/>
      <c r="V54" s="121"/>
      <c r="W54" s="121"/>
      <c r="X54" s="121"/>
      <c r="Y54" s="121"/>
      <c r="Z54" s="121"/>
      <c r="AA54" s="121"/>
      <c r="AB54" s="122" t="s">
        <v>14334</v>
      </c>
      <c r="AC54" s="123"/>
      <c r="AD54" s="144"/>
      <c r="AE54" s="315" t="s">
        <v>14929</v>
      </c>
      <c r="AF54" s="117" t="e">
        <f>#REF!</f>
        <v>#REF!</v>
      </c>
    </row>
    <row r="55" spans="2:32" ht="20.100000000000001" customHeight="1">
      <c r="B55" s="167"/>
      <c r="C55" s="168" t="s">
        <v>14993</v>
      </c>
      <c r="D55" s="162" t="s">
        <v>15039</v>
      </c>
      <c r="E55" s="136"/>
      <c r="F55" s="151" t="s">
        <v>14099</v>
      </c>
      <c r="G55" s="129">
        <v>767416</v>
      </c>
      <c r="H55" s="151"/>
      <c r="I55" s="129">
        <v>0</v>
      </c>
      <c r="J55" s="118" t="s">
        <v>14195</v>
      </c>
      <c r="K55" s="119">
        <v>767416</v>
      </c>
      <c r="L55" s="118" t="s">
        <v>14243</v>
      </c>
      <c r="M55" s="129">
        <v>767416</v>
      </c>
      <c r="N55" s="118" t="s">
        <v>14258</v>
      </c>
      <c r="O55" s="116">
        <v>1272000</v>
      </c>
      <c r="P55" s="120"/>
      <c r="Q55" s="121"/>
      <c r="R55" s="120"/>
      <c r="S55" s="121"/>
      <c r="T55" s="121"/>
      <c r="U55" s="121"/>
      <c r="V55" s="121"/>
      <c r="W55" s="121"/>
      <c r="X55" s="121"/>
      <c r="Y55" s="121"/>
      <c r="Z55" s="121"/>
      <c r="AA55" s="121"/>
      <c r="AB55" s="122" t="s">
        <v>14335</v>
      </c>
      <c r="AC55" s="123"/>
      <c r="AD55" s="144"/>
      <c r="AE55" s="315" t="s">
        <v>14931</v>
      </c>
      <c r="AF55" s="117" t="e">
        <f>#REF!</f>
        <v>#REF!</v>
      </c>
    </row>
    <row r="56" spans="2:32" ht="16.5" customHeight="1">
      <c r="B56" s="169">
        <v>5</v>
      </c>
      <c r="C56" s="114" t="s">
        <v>15040</v>
      </c>
      <c r="D56" s="114"/>
      <c r="E56" s="155"/>
      <c r="F56" s="151" t="s">
        <v>14100</v>
      </c>
      <c r="G56" s="116">
        <v>64983969</v>
      </c>
      <c r="H56" s="151" t="s">
        <v>14148</v>
      </c>
      <c r="I56" s="116">
        <v>0</v>
      </c>
      <c r="J56" s="118" t="s">
        <v>14196</v>
      </c>
      <c r="K56" s="119">
        <v>64983969</v>
      </c>
      <c r="L56" s="118" t="s">
        <v>14244</v>
      </c>
      <c r="M56" s="116">
        <v>64983969</v>
      </c>
      <c r="N56" s="118"/>
      <c r="O56" s="121"/>
      <c r="P56" s="118" t="s">
        <v>14263</v>
      </c>
      <c r="Q56" s="116">
        <v>64983969</v>
      </c>
      <c r="R56" s="118" t="s">
        <v>14268</v>
      </c>
      <c r="S56" s="116">
        <v>18604924</v>
      </c>
      <c r="T56" s="116" t="s">
        <v>14273</v>
      </c>
      <c r="U56" s="116">
        <v>20153210</v>
      </c>
      <c r="V56" s="116" t="s">
        <v>14278</v>
      </c>
      <c r="W56" s="116">
        <v>20153210</v>
      </c>
      <c r="X56" s="116" t="s">
        <v>14283</v>
      </c>
      <c r="Y56" s="104">
        <v>1548286</v>
      </c>
      <c r="Z56" s="146" t="s">
        <v>14287</v>
      </c>
      <c r="AA56" s="104">
        <v>0</v>
      </c>
      <c r="AB56" s="122" t="s">
        <v>14336</v>
      </c>
      <c r="AC56" s="170"/>
      <c r="AD56" s="171"/>
      <c r="AE56" s="315" t="s">
        <v>14932</v>
      </c>
      <c r="AF56" s="117" t="e">
        <f>#REF!</f>
        <v>#REF!</v>
      </c>
    </row>
    <row r="57" spans="2:32" ht="23.1" customHeight="1">
      <c r="B57" s="172"/>
      <c r="C57" s="172"/>
      <c r="D57" s="172"/>
      <c r="E57" s="172"/>
      <c r="F57" s="85"/>
      <c r="G57" s="173"/>
      <c r="H57" s="174"/>
      <c r="I57" s="173"/>
      <c r="J57" s="174"/>
      <c r="K57" s="173"/>
      <c r="L57" s="174"/>
      <c r="M57" s="173"/>
      <c r="N57" s="174"/>
      <c r="O57" s="173"/>
      <c r="P57" s="174"/>
      <c r="Q57" s="173"/>
      <c r="R57" s="174"/>
      <c r="S57" s="173"/>
      <c r="T57" s="173"/>
      <c r="U57" s="173"/>
      <c r="V57" s="173"/>
      <c r="W57" s="173"/>
      <c r="X57" s="173"/>
      <c r="Y57" s="173"/>
      <c r="Z57" s="173"/>
      <c r="AA57" s="173"/>
      <c r="AB57" s="173"/>
      <c r="AC57" s="80"/>
      <c r="AD57" s="80"/>
    </row>
    <row r="58" spans="2:32" ht="19.899999999999999" customHeight="1">
      <c r="B58" s="424" t="s">
        <v>15041</v>
      </c>
      <c r="C58" s="424"/>
      <c r="D58" s="175">
        <v>1</v>
      </c>
      <c r="E58" s="176" t="s">
        <v>15042</v>
      </c>
      <c r="F58" s="176"/>
      <c r="G58" s="176"/>
      <c r="H58" s="176"/>
      <c r="I58" s="176"/>
      <c r="J58" s="176"/>
      <c r="K58" s="176"/>
      <c r="L58" s="176"/>
      <c r="M58" s="176"/>
      <c r="N58" s="176"/>
      <c r="O58" s="176"/>
      <c r="P58" s="176"/>
      <c r="Q58" s="421" t="s">
        <v>14938</v>
      </c>
      <c r="R58" s="421"/>
      <c r="S58" s="421"/>
      <c r="T58" s="316"/>
      <c r="U58" s="421" t="s">
        <v>14939</v>
      </c>
      <c r="V58" s="421"/>
      <c r="W58" s="421"/>
      <c r="X58" s="172"/>
      <c r="Y58" s="177"/>
      <c r="Z58" s="177"/>
      <c r="AA58" s="316" t="s">
        <v>15035</v>
      </c>
      <c r="AB58" s="316"/>
      <c r="AC58" s="311" t="e">
        <f>#REF!</f>
        <v>#REF!</v>
      </c>
      <c r="AD58" s="178"/>
      <c r="AE58" s="179"/>
      <c r="AF58" s="179"/>
    </row>
    <row r="59" spans="2:32" ht="19.899999999999999" customHeight="1">
      <c r="B59" s="322"/>
      <c r="C59" s="322"/>
      <c r="D59" s="175"/>
      <c r="E59" s="176" t="s">
        <v>15043</v>
      </c>
      <c r="F59" s="176"/>
      <c r="G59" s="176"/>
      <c r="H59" s="176"/>
      <c r="I59" s="176"/>
      <c r="J59" s="176"/>
      <c r="K59" s="176"/>
      <c r="L59" s="176"/>
      <c r="M59" s="176"/>
      <c r="N59" s="176"/>
      <c r="O59" s="176"/>
      <c r="P59" s="176"/>
      <c r="Q59" s="421" t="s">
        <v>14969</v>
      </c>
      <c r="R59" s="421"/>
      <c r="S59" s="421"/>
      <c r="T59" s="180" t="s">
        <v>15044</v>
      </c>
      <c r="U59" s="421" t="s">
        <v>14969</v>
      </c>
      <c r="V59" s="421"/>
      <c r="W59" s="421"/>
      <c r="X59" s="172"/>
      <c r="Y59" s="177"/>
      <c r="Z59" s="177"/>
      <c r="AA59" s="316" t="s">
        <v>14931</v>
      </c>
      <c r="AB59" s="316"/>
      <c r="AC59" s="316" t="e">
        <f>#REF!&amp;"（"&amp;#REF!&amp;"）"</f>
        <v>#REF!</v>
      </c>
      <c r="AD59" s="178"/>
      <c r="AE59" s="179"/>
      <c r="AF59" s="179"/>
    </row>
    <row r="60" spans="2:32" ht="19.899999999999999" customHeight="1">
      <c r="B60" s="322"/>
      <c r="C60" s="322"/>
      <c r="D60" s="175"/>
      <c r="E60" s="181" t="s">
        <v>15045</v>
      </c>
      <c r="F60" s="182"/>
      <c r="G60" s="182"/>
      <c r="H60" s="182"/>
      <c r="I60" s="182"/>
      <c r="J60" s="182"/>
      <c r="K60" s="182"/>
      <c r="L60" s="182"/>
      <c r="M60" s="182"/>
      <c r="N60" s="182"/>
      <c r="O60" s="182"/>
      <c r="P60" s="182"/>
      <c r="Q60" s="373" t="e">
        <f>IF(当該年度上限額設定状況!D8="","未設定",当該年度上限額設定状況!D8)</f>
        <v>#REF!</v>
      </c>
      <c r="R60" s="373"/>
      <c r="S60" s="373"/>
      <c r="T60" s="315"/>
      <c r="U60" s="421" t="str">
        <f>IF(COUNTIF(Q60,"*個別*")&gt;0,"○","×")</f>
        <v>×</v>
      </c>
      <c r="V60" s="421"/>
      <c r="W60" s="421"/>
      <c r="X60" s="172"/>
      <c r="Y60" s="177"/>
      <c r="Z60" s="177"/>
      <c r="AA60" s="316" t="s">
        <v>14930</v>
      </c>
      <c r="AB60" s="316"/>
      <c r="AC60" s="316" t="e">
        <f>#REF!</f>
        <v>#REF!</v>
      </c>
      <c r="AD60" s="178"/>
      <c r="AE60" s="179"/>
      <c r="AF60" s="179"/>
    </row>
    <row r="61" spans="2:32" ht="19.899999999999999" customHeight="1">
      <c r="B61" s="322"/>
      <c r="C61" s="322"/>
      <c r="D61" s="175">
        <v>2</v>
      </c>
      <c r="E61" s="183" t="s">
        <v>15046</v>
      </c>
      <c r="F61" s="184"/>
      <c r="G61" s="184"/>
      <c r="H61" s="184"/>
      <c r="I61" s="184"/>
      <c r="J61" s="184"/>
      <c r="K61" s="184"/>
      <c r="L61" s="184"/>
      <c r="M61" s="184"/>
      <c r="N61" s="184"/>
      <c r="O61" s="184"/>
      <c r="P61" s="184"/>
      <c r="Q61" s="423" t="s">
        <v>15047</v>
      </c>
      <c r="R61" s="423"/>
      <c r="S61" s="423"/>
      <c r="T61" s="317"/>
      <c r="U61" s="422" t="s">
        <v>14979</v>
      </c>
      <c r="V61" s="422"/>
      <c r="W61" s="422"/>
      <c r="X61" s="185"/>
      <c r="Y61" s="183"/>
      <c r="Z61" s="183"/>
      <c r="AA61" s="316" t="s">
        <v>14932</v>
      </c>
      <c r="AB61" s="316"/>
      <c r="AC61" s="316" t="e">
        <f>#REF!</f>
        <v>#REF!</v>
      </c>
      <c r="AD61" s="172"/>
      <c r="AE61" s="85"/>
      <c r="AF61" s="85"/>
    </row>
    <row r="62" spans="2:32" ht="19.899999999999999" customHeight="1">
      <c r="B62" s="322"/>
      <c r="C62" s="322"/>
      <c r="D62" s="175">
        <v>3</v>
      </c>
      <c r="E62" s="183" t="s">
        <v>15048</v>
      </c>
      <c r="F62" s="186"/>
      <c r="G62" s="186"/>
      <c r="H62" s="186"/>
      <c r="I62" s="186"/>
      <c r="J62" s="186"/>
      <c r="K62" s="186"/>
      <c r="L62" s="186"/>
      <c r="M62" s="186"/>
      <c r="N62" s="186"/>
      <c r="O62" s="186"/>
      <c r="P62" s="180" t="s">
        <v>315</v>
      </c>
      <c r="Q62" s="373" t="str">
        <f>IF(当該年度上限額設定状況!D9="","未設定",当該年度上限額設定状況!D9)</f>
        <v>①原則の上限額</v>
      </c>
      <c r="R62" s="373"/>
      <c r="S62" s="373"/>
      <c r="T62" s="180" t="s">
        <v>15049</v>
      </c>
      <c r="U62" s="421" t="str">
        <f>IF(COUNTIF(Q64,"*個別*")&gt;0,"○","×")</f>
        <v>×</v>
      </c>
      <c r="V62" s="421"/>
      <c r="W62" s="421"/>
      <c r="X62" s="172"/>
      <c r="Y62" s="183"/>
      <c r="Z62" s="183"/>
      <c r="AD62" s="172"/>
      <c r="AE62" s="85"/>
      <c r="AF62" s="85"/>
    </row>
    <row r="63" spans="2:32" ht="19.899999999999999" customHeight="1">
      <c r="B63" s="187"/>
      <c r="C63" s="187"/>
      <c r="D63" s="175">
        <v>4</v>
      </c>
      <c r="E63" s="183" t="s">
        <v>15050</v>
      </c>
      <c r="F63" s="183"/>
      <c r="G63" s="183"/>
      <c r="H63" s="183"/>
      <c r="I63" s="183"/>
      <c r="J63" s="183"/>
      <c r="K63" s="183"/>
      <c r="L63" s="188"/>
      <c r="M63" s="183"/>
      <c r="N63" s="188"/>
      <c r="O63" s="183"/>
      <c r="P63" s="188"/>
      <c r="Q63" s="422" t="s">
        <v>14979</v>
      </c>
      <c r="R63" s="422"/>
      <c r="S63" s="422"/>
      <c r="T63" s="185"/>
      <c r="W63" s="189"/>
      <c r="X63" s="189"/>
      <c r="Y63" s="183"/>
      <c r="Z63" s="183"/>
      <c r="AA63" s="312" t="s">
        <v>15009</v>
      </c>
      <c r="AB63" s="313"/>
      <c r="AC63" s="323"/>
      <c r="AD63" s="172"/>
      <c r="AE63" s="85"/>
      <c r="AF63" s="85"/>
    </row>
    <row r="64" spans="2:32" ht="19.899999999999999" customHeight="1">
      <c r="B64" s="187"/>
      <c r="C64" s="187"/>
      <c r="D64" s="175">
        <v>5</v>
      </c>
      <c r="E64" s="183" t="s">
        <v>15051</v>
      </c>
      <c r="F64" s="183"/>
      <c r="G64" s="183"/>
      <c r="H64" s="183"/>
      <c r="I64" s="183"/>
      <c r="J64" s="183"/>
      <c r="K64" s="183"/>
      <c r="L64" s="188"/>
      <c r="M64" s="183"/>
      <c r="N64" s="188"/>
      <c r="O64" s="183"/>
      <c r="P64" s="180" t="s">
        <v>316</v>
      </c>
      <c r="Q64" s="373" t="e">
        <f>IF(当該年度上限額設定状況!D10="","未設定",当該年度上限額設定状況!D10)</f>
        <v>#REF!</v>
      </c>
      <c r="R64" s="373"/>
      <c r="S64" s="373"/>
      <c r="T64" s="85"/>
      <c r="Y64" s="183"/>
      <c r="Z64" s="183"/>
      <c r="AA64" s="135" t="s">
        <v>15011</v>
      </c>
      <c r="AB64" s="115"/>
      <c r="AC64" s="136"/>
    </row>
    <row r="65" spans="2:32" ht="19.899999999999999" customHeight="1">
      <c r="B65" s="187"/>
      <c r="C65" s="187"/>
      <c r="D65" s="175">
        <v>6</v>
      </c>
      <c r="E65" s="183" t="s">
        <v>15052</v>
      </c>
      <c r="F65" s="183"/>
      <c r="G65" s="183"/>
      <c r="H65" s="183"/>
      <c r="I65" s="183"/>
      <c r="J65" s="183"/>
      <c r="K65" s="183"/>
      <c r="L65" s="188"/>
      <c r="M65" s="183"/>
      <c r="N65" s="188"/>
      <c r="O65" s="183"/>
      <c r="R65" s="188"/>
      <c r="S65" s="183"/>
      <c r="T65" s="183"/>
      <c r="W65" s="190"/>
      <c r="X65" s="190"/>
      <c r="Y65" s="183"/>
      <c r="Z65" s="180" t="s">
        <v>321</v>
      </c>
      <c r="AA65" s="191" t="e">
        <f>SUM(AA67,AA69,AA71)</f>
        <v>#REF!</v>
      </c>
      <c r="AB65" s="192"/>
      <c r="AC65" s="136" t="s">
        <v>14943</v>
      </c>
      <c r="AD65" s="85"/>
      <c r="AE65" s="85"/>
      <c r="AF65" s="85"/>
    </row>
    <row r="66" spans="2:32" ht="19.899999999999999" customHeight="1">
      <c r="B66" s="187"/>
      <c r="C66" s="187"/>
      <c r="D66" s="175">
        <v>7</v>
      </c>
      <c r="E66" s="72" t="s">
        <v>15053</v>
      </c>
      <c r="F66" s="183"/>
      <c r="G66" s="183"/>
      <c r="H66" s="183"/>
      <c r="I66" s="183"/>
      <c r="J66" s="183"/>
      <c r="K66" s="183"/>
      <c r="L66" s="188"/>
      <c r="M66" s="183"/>
      <c r="N66" s="188"/>
      <c r="O66" s="183"/>
      <c r="P66" s="180" t="s">
        <v>317</v>
      </c>
      <c r="Q66" s="421" t="s">
        <v>14990</v>
      </c>
      <c r="R66" s="421"/>
      <c r="S66" s="421"/>
      <c r="T66" s="316"/>
      <c r="U66" s="373" t="s">
        <v>15005</v>
      </c>
      <c r="V66" s="373"/>
      <c r="W66" s="373"/>
      <c r="X66" s="85"/>
      <c r="Y66" s="177"/>
      <c r="Z66" s="177"/>
      <c r="AA66" s="318" t="s">
        <v>15014</v>
      </c>
      <c r="AB66" s="193"/>
      <c r="AC66" s="319"/>
    </row>
    <row r="67" spans="2:32" ht="19.899999999999999" customHeight="1">
      <c r="B67" s="172"/>
      <c r="C67" s="172"/>
      <c r="D67" s="194" t="s">
        <v>15054</v>
      </c>
      <c r="E67" s="176" t="s">
        <v>15055</v>
      </c>
      <c r="F67" s="176"/>
      <c r="G67" s="176"/>
      <c r="H67" s="176"/>
      <c r="I67" s="176"/>
      <c r="J67" s="176"/>
      <c r="K67" s="176"/>
      <c r="L67" s="176"/>
      <c r="M67" s="176"/>
      <c r="N67" s="176"/>
      <c r="O67" s="176"/>
      <c r="P67" s="176"/>
      <c r="Q67" s="416" t="s">
        <v>14992</v>
      </c>
      <c r="R67" s="416"/>
      <c r="S67" s="416"/>
      <c r="T67" s="180" t="s">
        <v>320</v>
      </c>
      <c r="U67" s="417" t="e">
        <f>#REF!</f>
        <v>#REF!</v>
      </c>
      <c r="V67" s="417"/>
      <c r="W67" s="417"/>
      <c r="X67" s="179"/>
      <c r="Y67" s="80"/>
      <c r="Z67" s="180" t="s">
        <v>322</v>
      </c>
      <c r="AA67" s="195" t="e">
        <f>#REF!</f>
        <v>#REF!</v>
      </c>
      <c r="AB67" s="196"/>
      <c r="AC67" s="136" t="s">
        <v>14943</v>
      </c>
    </row>
    <row r="68" spans="2:32" ht="19.899999999999999" customHeight="1">
      <c r="B68" s="172"/>
      <c r="C68" s="172"/>
      <c r="D68" s="197"/>
      <c r="E68" s="197" t="s">
        <v>15056</v>
      </c>
      <c r="F68" s="85"/>
      <c r="G68" s="172"/>
      <c r="H68" s="85"/>
      <c r="I68" s="80"/>
      <c r="K68" s="80"/>
      <c r="M68" s="80"/>
      <c r="O68" s="80"/>
      <c r="P68" s="198"/>
      <c r="Q68" s="199">
        <f>シート反映用データ!LG2</f>
        <v>34833023</v>
      </c>
      <c r="R68" s="200" t="s">
        <v>15057</v>
      </c>
      <c r="S68" s="314" t="s">
        <v>15058</v>
      </c>
      <c r="T68" s="201"/>
      <c r="AA68" s="318" t="s">
        <v>15017</v>
      </c>
      <c r="AB68" s="193"/>
      <c r="AC68" s="319"/>
      <c r="AD68" s="202"/>
      <c r="AE68" s="202"/>
      <c r="AF68" s="202"/>
    </row>
    <row r="69" spans="2:32" ht="19.350000000000001" customHeight="1">
      <c r="B69" s="172"/>
      <c r="C69" s="172"/>
      <c r="D69" s="197"/>
      <c r="E69" s="80"/>
      <c r="G69" s="80"/>
      <c r="I69" s="80"/>
      <c r="K69" s="80"/>
      <c r="M69" s="80"/>
      <c r="O69" s="80"/>
      <c r="Q69" s="418" t="s">
        <v>14997</v>
      </c>
      <c r="R69" s="419"/>
      <c r="S69" s="420"/>
      <c r="T69" s="172"/>
      <c r="U69" s="159"/>
      <c r="Z69" s="180" t="s">
        <v>323</v>
      </c>
      <c r="AA69" s="195" t="e">
        <f>#REF!</f>
        <v>#REF!</v>
      </c>
      <c r="AB69" s="196"/>
      <c r="AC69" s="136" t="s">
        <v>14943</v>
      </c>
    </row>
    <row r="70" spans="2:32" ht="19.350000000000001" customHeight="1">
      <c r="B70" s="80"/>
      <c r="C70" s="80"/>
      <c r="P70" s="180" t="s">
        <v>318</v>
      </c>
      <c r="Q70" s="199">
        <f>シート反映用データ!LH2</f>
        <v>2575000</v>
      </c>
      <c r="R70" s="200"/>
      <c r="S70" s="314" t="s">
        <v>15058</v>
      </c>
      <c r="T70" s="201"/>
      <c r="U70" s="159"/>
      <c r="AA70" s="383" t="s">
        <v>15020</v>
      </c>
      <c r="AB70" s="384"/>
      <c r="AC70" s="385"/>
      <c r="AD70" s="202"/>
      <c r="AE70" s="202"/>
      <c r="AF70" s="202"/>
    </row>
    <row r="71" spans="2:32" ht="19.350000000000001" customHeight="1">
      <c r="B71" s="80"/>
      <c r="C71" s="80"/>
      <c r="R71" s="203"/>
      <c r="Z71" s="180" t="s">
        <v>324</v>
      </c>
      <c r="AA71" s="195" t="e">
        <f>#REF!</f>
        <v>#REF!</v>
      </c>
      <c r="AB71" s="196"/>
      <c r="AC71" s="136" t="s">
        <v>14943</v>
      </c>
    </row>
    <row r="72" spans="2:32" ht="19.350000000000001" customHeight="1">
      <c r="B72" s="80"/>
      <c r="C72" s="80"/>
      <c r="D72" s="197"/>
      <c r="E72" s="80"/>
      <c r="G72" s="80"/>
      <c r="I72" s="80"/>
      <c r="K72" s="80"/>
      <c r="M72" s="80"/>
      <c r="O72" s="80"/>
      <c r="P72" s="180" t="s">
        <v>319</v>
      </c>
      <c r="R72" s="203"/>
      <c r="Z72" s="180"/>
      <c r="AA72" s="204"/>
      <c r="AB72" s="204"/>
      <c r="AD72" s="201"/>
      <c r="AE72" s="201"/>
      <c r="AF72" s="201"/>
    </row>
    <row r="73" spans="2:32" ht="19.350000000000001" customHeight="1">
      <c r="B73" s="80"/>
      <c r="C73" s="80"/>
      <c r="D73" s="197"/>
      <c r="E73" s="80"/>
      <c r="G73" s="80"/>
      <c r="I73" s="80"/>
      <c r="K73" s="80"/>
      <c r="M73" s="80"/>
      <c r="O73" s="80"/>
      <c r="R73" s="203"/>
    </row>
    <row r="74" spans="2:32" ht="14.1" customHeight="1">
      <c r="B74" s="80"/>
      <c r="C74" s="80"/>
      <c r="D74" s="197"/>
      <c r="E74" s="80"/>
      <c r="G74" s="80"/>
      <c r="I74" s="80"/>
      <c r="K74" s="80"/>
      <c r="M74" s="80"/>
      <c r="O74" s="80"/>
    </row>
    <row r="75" spans="2:32" s="72" customFormat="1" ht="21" customHeight="1">
      <c r="B75" s="205" t="s">
        <v>15059</v>
      </c>
      <c r="C75" s="69"/>
      <c r="D75" s="69"/>
      <c r="E75" s="69"/>
      <c r="F75" s="69"/>
      <c r="G75" s="69"/>
      <c r="H75" s="69"/>
      <c r="I75" s="201"/>
      <c r="J75" s="201"/>
    </row>
    <row r="76" spans="2:32" s="72" customFormat="1" ht="21" customHeight="1">
      <c r="B76" s="26" t="s">
        <v>15060</v>
      </c>
      <c r="C76" s="26"/>
      <c r="D76" s="26"/>
      <c r="E76" s="69"/>
      <c r="F76" s="69"/>
      <c r="G76" s="69"/>
      <c r="H76" s="69"/>
      <c r="I76" s="201"/>
      <c r="J76" s="201"/>
    </row>
    <row r="77" spans="2:32" s="72" customFormat="1" ht="15.75">
      <c r="B77" s="206"/>
      <c r="C77" s="206" t="s">
        <v>15061</v>
      </c>
      <c r="D77" s="207"/>
      <c r="E77" s="208"/>
      <c r="F77" s="209"/>
      <c r="G77" s="207"/>
      <c r="H77" s="210"/>
      <c r="I77" s="201"/>
      <c r="J77" s="201"/>
      <c r="R77"/>
      <c r="S77"/>
      <c r="T77"/>
      <c r="U77"/>
      <c r="V77"/>
      <c r="W77"/>
      <c r="X77"/>
      <c r="Y77"/>
      <c r="Z77"/>
    </row>
    <row r="78" spans="2:32" s="72" customFormat="1" ht="16.5" thickBot="1">
      <c r="B78" s="211"/>
      <c r="C78" s="212" t="s">
        <v>15062</v>
      </c>
      <c r="D78" s="213" t="s">
        <v>15063</v>
      </c>
      <c r="E78" s="213"/>
      <c r="F78" s="214"/>
      <c r="G78" s="215" t="s">
        <v>14943</v>
      </c>
      <c r="H78" s="216"/>
      <c r="I78" s="201"/>
      <c r="J78" s="201"/>
      <c r="K78"/>
      <c r="L78"/>
      <c r="M78"/>
      <c r="N78"/>
      <c r="O78"/>
      <c r="P78"/>
      <c r="R78"/>
      <c r="S78"/>
      <c r="T78"/>
      <c r="U78"/>
      <c r="V78"/>
      <c r="W78"/>
      <c r="X78"/>
      <c r="Y78"/>
      <c r="Z78"/>
    </row>
    <row r="79" spans="2:32" s="72" customFormat="1" ht="16.5" thickBot="1">
      <c r="B79" s="211"/>
      <c r="C79" s="217"/>
      <c r="D79" s="218" t="s">
        <v>14942</v>
      </c>
      <c r="E79" s="219" t="s">
        <v>15064</v>
      </c>
      <c r="F79" t="s">
        <v>325</v>
      </c>
      <c r="G79" s="220" t="e">
        <f>IF(#REF!="①実施",M38,"")</f>
        <v>#REF!</v>
      </c>
      <c r="H79" s="221"/>
      <c r="I79" s="201"/>
      <c r="J79" s="201"/>
      <c r="K79"/>
      <c r="L79"/>
      <c r="M79"/>
      <c r="N79"/>
      <c r="O79"/>
      <c r="P79"/>
      <c r="R79"/>
      <c r="S79"/>
      <c r="T79"/>
      <c r="U79"/>
      <c r="V79"/>
      <c r="W79"/>
      <c r="X79"/>
      <c r="Y79"/>
      <c r="Z79"/>
    </row>
    <row r="80" spans="2:32" s="72" customFormat="1" ht="15.75">
      <c r="B80" s="222"/>
      <c r="C80" s="223"/>
      <c r="D80" s="224" t="s">
        <v>15065</v>
      </c>
      <c r="E80" s="219" t="s">
        <v>15066</v>
      </c>
      <c r="F80" t="s">
        <v>326</v>
      </c>
      <c r="G80" s="225" t="e">
        <f>IF(G79="","",MIN(K37,M37)-G79)</f>
        <v>#REF!</v>
      </c>
      <c r="H80" s="226"/>
      <c r="I80" s="201"/>
      <c r="J80" s="201"/>
      <c r="K80"/>
      <c r="L80"/>
      <c r="M80"/>
      <c r="N80"/>
      <c r="O80"/>
      <c r="P80"/>
      <c r="R80"/>
      <c r="S80"/>
      <c r="T80"/>
      <c r="U80"/>
      <c r="V80"/>
      <c r="W80"/>
      <c r="X80"/>
      <c r="Y80"/>
      <c r="Z80"/>
    </row>
    <row r="81" spans="2:28" s="72" customFormat="1" ht="15.75">
      <c r="B81" s="227"/>
      <c r="C81" s="228"/>
      <c r="D81" s="229" t="s">
        <v>15067</v>
      </c>
      <c r="E81" s="219" t="s">
        <v>15068</v>
      </c>
      <c r="F81" t="s">
        <v>327</v>
      </c>
      <c r="G81" s="230" t="e">
        <f>IF(G80="","",(G79+G80))</f>
        <v>#REF!</v>
      </c>
      <c r="H81" s="231" t="s">
        <v>331</v>
      </c>
      <c r="I81" s="201" t="e">
        <f>IF(G81=MIN(K37,M37),"OK","金額が一致しません")</f>
        <v>#REF!</v>
      </c>
      <c r="J81" s="201"/>
      <c r="K81"/>
      <c r="L81"/>
      <c r="M81"/>
      <c r="N81"/>
      <c r="O81"/>
      <c r="P81"/>
      <c r="R81"/>
      <c r="S81"/>
      <c r="T81"/>
      <c r="U81"/>
      <c r="V81"/>
      <c r="W81"/>
      <c r="X81"/>
      <c r="Y81"/>
      <c r="Z81"/>
      <c r="AA81"/>
      <c r="AB81"/>
    </row>
    <row r="82" spans="2:28" ht="15.75">
      <c r="B82" s="232"/>
      <c r="C82" s="233"/>
      <c r="D82" s="229" t="s">
        <v>15069</v>
      </c>
      <c r="E82" s="219" t="s">
        <v>15070</v>
      </c>
      <c r="F82" t="s">
        <v>328</v>
      </c>
      <c r="G82" s="234" t="e">
        <f>IF(G79="","",O37)</f>
        <v>#REF!</v>
      </c>
      <c r="H82" s="231"/>
      <c r="K82"/>
      <c r="L82"/>
      <c r="M82"/>
      <c r="N82"/>
      <c r="O82"/>
      <c r="P82"/>
      <c r="R82"/>
      <c r="S82"/>
      <c r="T82"/>
      <c r="U82"/>
      <c r="V82"/>
      <c r="W82"/>
      <c r="X82"/>
      <c r="Y82"/>
      <c r="Z82"/>
      <c r="AA82"/>
      <c r="AB82"/>
    </row>
    <row r="83" spans="2:28" ht="16.5" thickBot="1">
      <c r="B83" s="235"/>
      <c r="C83" s="236"/>
      <c r="D83" s="224" t="s">
        <v>15071</v>
      </c>
      <c r="E83" s="219" t="s">
        <v>15072</v>
      </c>
      <c r="F83" t="s">
        <v>329</v>
      </c>
      <c r="G83" s="237" t="e">
        <f>IF(G82="","",(MIN(G81:G82)))</f>
        <v>#REF!</v>
      </c>
      <c r="H83" s="231" t="s">
        <v>15073</v>
      </c>
      <c r="I83" s="238" t="e">
        <f>IF(G83=Q37+AE43,"OK","金額が一致しません")</f>
        <v>#REF!</v>
      </c>
      <c r="K83" s="239"/>
      <c r="L83"/>
      <c r="M83"/>
      <c r="N83"/>
      <c r="O83"/>
      <c r="P83"/>
      <c r="R83"/>
      <c r="S83"/>
      <c r="T83"/>
      <c r="U83"/>
      <c r="V83"/>
      <c r="W83"/>
      <c r="X83"/>
      <c r="Y83"/>
      <c r="Z83"/>
      <c r="AA83"/>
      <c r="AB83"/>
    </row>
    <row r="84" spans="2:28" ht="16.5" thickBot="1">
      <c r="B84" s="232"/>
      <c r="C84" s="240"/>
      <c r="D84" s="229" t="s">
        <v>15062</v>
      </c>
      <c r="E84" s="219" t="s">
        <v>15074</v>
      </c>
      <c r="F84" t="s">
        <v>330</v>
      </c>
      <c r="G84" s="241" t="e">
        <f>IF(G83="","",MAX((G83-G80),0))</f>
        <v>#REF!</v>
      </c>
      <c r="H84" s="231" t="s">
        <v>333</v>
      </c>
      <c r="I84" s="72" t="e">
        <f>IF(G84=#REF!,"OK","初期設定シートと一致しません")</f>
        <v>#REF!</v>
      </c>
      <c r="K84"/>
      <c r="L84"/>
      <c r="M84"/>
      <c r="N84"/>
      <c r="O84"/>
      <c r="P84"/>
      <c r="R84"/>
      <c r="S84"/>
      <c r="T84"/>
      <c r="U84"/>
      <c r="V84"/>
      <c r="W84"/>
      <c r="X84"/>
      <c r="Y84"/>
      <c r="Z84"/>
      <c r="AA84"/>
      <c r="AB84"/>
    </row>
    <row r="85" spans="2:28" ht="15.75">
      <c r="B85" s="73"/>
      <c r="C85" s="73"/>
      <c r="D85" s="73"/>
      <c r="E85" s="242"/>
      <c r="F85" s="242"/>
      <c r="G85" s="243"/>
      <c r="H85" s="244"/>
      <c r="K85"/>
      <c r="L85"/>
      <c r="M85"/>
      <c r="N85"/>
      <c r="O85"/>
      <c r="P85"/>
      <c r="R85"/>
      <c r="S85"/>
      <c r="T85"/>
      <c r="U85"/>
      <c r="V85"/>
      <c r="W85"/>
      <c r="X85"/>
      <c r="Y85"/>
      <c r="Z85"/>
      <c r="AA85"/>
      <c r="AB85"/>
    </row>
    <row r="86" spans="2:28" ht="15.75">
      <c r="B86" s="73"/>
      <c r="C86" s="245" t="s">
        <v>15075</v>
      </c>
      <c r="D86" s="26"/>
      <c r="E86" s="246"/>
      <c r="F86" s="246"/>
      <c r="G86" s="69"/>
      <c r="H86" s="69"/>
      <c r="K86"/>
      <c r="L86"/>
      <c r="M86"/>
      <c r="N86"/>
      <c r="O86"/>
      <c r="P86"/>
      <c r="R86"/>
      <c r="S86"/>
      <c r="T86"/>
      <c r="U86"/>
      <c r="V86"/>
      <c r="W86"/>
      <c r="X86"/>
      <c r="Y86"/>
      <c r="Z86"/>
      <c r="AA86"/>
      <c r="AB86"/>
    </row>
    <row r="87" spans="2:28" ht="16.5" thickBot="1">
      <c r="B87" s="73"/>
      <c r="C87" s="247" t="s">
        <v>15076</v>
      </c>
      <c r="D87" s="248" t="s">
        <v>15077</v>
      </c>
      <c r="E87" s="249"/>
      <c r="F87" s="249"/>
      <c r="G87" s="250" t="s">
        <v>15058</v>
      </c>
      <c r="H87" s="69"/>
      <c r="K87"/>
      <c r="L87"/>
      <c r="M87"/>
      <c r="N87"/>
      <c r="O87"/>
      <c r="P87"/>
      <c r="R87"/>
      <c r="S87"/>
      <c r="T87"/>
      <c r="U87"/>
      <c r="V87"/>
      <c r="W87"/>
      <c r="X87"/>
      <c r="Y87"/>
      <c r="Z87"/>
      <c r="AA87"/>
      <c r="AB87"/>
    </row>
    <row r="88" spans="2:28" ht="16.5" thickBot="1">
      <c r="B88" s="73"/>
      <c r="C88" s="251"/>
      <c r="D88" s="252" t="s">
        <v>15078</v>
      </c>
      <c r="E88" s="253" t="s">
        <v>15079</v>
      </c>
      <c r="F88" s="246" t="s">
        <v>334</v>
      </c>
      <c r="G88" s="220">
        <f>IF(M34="","",M34)</f>
        <v>5961120</v>
      </c>
      <c r="H88" s="254"/>
      <c r="I88" s="201"/>
      <c r="J88" s="201"/>
      <c r="K88"/>
      <c r="L88"/>
      <c r="M88"/>
      <c r="N88"/>
      <c r="O88"/>
      <c r="P88"/>
      <c r="R88"/>
      <c r="S88"/>
      <c r="T88"/>
      <c r="U88"/>
      <c r="V88"/>
      <c r="W88"/>
      <c r="X88"/>
      <c r="Y88"/>
      <c r="Z88"/>
      <c r="AA88"/>
      <c r="AB88"/>
    </row>
    <row r="89" spans="2:28" ht="15.75">
      <c r="B89" s="73"/>
      <c r="C89" s="251"/>
      <c r="D89" s="252" t="s">
        <v>15080</v>
      </c>
      <c r="E89" s="255" t="s">
        <v>15081</v>
      </c>
      <c r="F89" s="256" t="s">
        <v>335</v>
      </c>
      <c r="G89" s="257">
        <f>IF(G88="","",MIN(K9,M9)-G88)</f>
        <v>28708622</v>
      </c>
      <c r="H89" s="231"/>
      <c r="I89" s="201"/>
      <c r="J89" s="201"/>
      <c r="K89"/>
      <c r="L89"/>
      <c r="M89"/>
      <c r="N89"/>
      <c r="O89"/>
      <c r="P89"/>
      <c r="R89"/>
      <c r="S89"/>
      <c r="T89"/>
      <c r="U89"/>
      <c r="V89"/>
      <c r="W89"/>
      <c r="X89"/>
      <c r="Y89"/>
      <c r="Z89"/>
      <c r="AA89"/>
      <c r="AB89"/>
    </row>
    <row r="90" spans="2:28" ht="15.75">
      <c r="B90" s="73"/>
      <c r="C90" s="251"/>
      <c r="D90" s="252" t="s">
        <v>15082</v>
      </c>
      <c r="E90" s="255" t="s">
        <v>15083</v>
      </c>
      <c r="F90" s="255" t="s">
        <v>15084</v>
      </c>
      <c r="G90" s="230">
        <f>IF(G89="","",(G88+G89))</f>
        <v>34669742</v>
      </c>
      <c r="H90" s="231" t="s">
        <v>340</v>
      </c>
      <c r="I90" s="201" t="str">
        <f>IF(G90=MIN(K9,M9),"OK","金額が一致しません")</f>
        <v>OK</v>
      </c>
      <c r="J90" s="201"/>
      <c r="K90"/>
      <c r="L90"/>
      <c r="M90"/>
      <c r="N90"/>
      <c r="O90"/>
      <c r="P90"/>
      <c r="R90"/>
      <c r="S90"/>
      <c r="T90"/>
      <c r="U90"/>
      <c r="V90"/>
      <c r="W90"/>
      <c r="X90"/>
      <c r="Y90"/>
      <c r="Z90"/>
      <c r="AA90"/>
      <c r="AB90"/>
    </row>
    <row r="91" spans="2:28" ht="15.75">
      <c r="B91" s="73"/>
      <c r="C91" s="251"/>
      <c r="D91" s="252" t="s">
        <v>15085</v>
      </c>
      <c r="E91" s="255" t="s">
        <v>15086</v>
      </c>
      <c r="F91" s="255" t="s">
        <v>337</v>
      </c>
      <c r="G91" s="234">
        <f>IF(G88="","",O9)</f>
        <v>34669742</v>
      </c>
      <c r="H91" s="231"/>
      <c r="K91"/>
      <c r="L91"/>
      <c r="M91"/>
      <c r="N91"/>
      <c r="O91"/>
      <c r="P91"/>
      <c r="R91"/>
      <c r="S91"/>
      <c r="T91"/>
      <c r="U91"/>
      <c r="V91"/>
      <c r="W91"/>
      <c r="X91"/>
      <c r="Y91"/>
      <c r="Z91"/>
      <c r="AA91"/>
      <c r="AB91"/>
    </row>
    <row r="92" spans="2:28" ht="16.5" thickBot="1">
      <c r="B92" s="73"/>
      <c r="C92" s="251"/>
      <c r="D92" s="252" t="s">
        <v>15087</v>
      </c>
      <c r="E92" s="255" t="s">
        <v>15088</v>
      </c>
      <c r="F92" s="258" t="s">
        <v>338</v>
      </c>
      <c r="G92" s="237">
        <f>IF(G91="","",(MIN(G90:G91)))</f>
        <v>34669742</v>
      </c>
      <c r="H92" s="231" t="s">
        <v>15089</v>
      </c>
      <c r="I92" s="238" t="e">
        <f>IF(G92=Q9+AE41,"OK","金額が一致しません")</f>
        <v>#REF!</v>
      </c>
      <c r="K92"/>
      <c r="L92"/>
      <c r="M92"/>
      <c r="N92"/>
      <c r="O92"/>
      <c r="P92"/>
      <c r="R92"/>
      <c r="S92"/>
      <c r="T92"/>
      <c r="U92"/>
      <c r="V92"/>
      <c r="W92"/>
      <c r="X92"/>
      <c r="Y92"/>
      <c r="Z92"/>
      <c r="AA92"/>
      <c r="AB92"/>
    </row>
    <row r="93" spans="2:28" ht="16.5" thickBot="1">
      <c r="B93" s="73"/>
      <c r="C93" s="259"/>
      <c r="D93" s="252" t="s">
        <v>15076</v>
      </c>
      <c r="E93" s="219" t="s">
        <v>15074</v>
      </c>
      <c r="F93" s="260" t="s">
        <v>15090</v>
      </c>
      <c r="G93" s="241">
        <f>IF(G92="","",MAX((G92-G89),0))</f>
        <v>5961120</v>
      </c>
      <c r="H93" s="261" t="s">
        <v>342</v>
      </c>
      <c r="I93" s="72" t="e">
        <f>IF(G93=#REF!,"OK","初期設定シートと一致しません")</f>
        <v>#REF!</v>
      </c>
      <c r="K93"/>
      <c r="L93"/>
      <c r="M93"/>
      <c r="N93"/>
      <c r="O93"/>
      <c r="P93"/>
      <c r="R93"/>
      <c r="S93"/>
      <c r="T93"/>
      <c r="U93"/>
      <c r="V93"/>
      <c r="W93"/>
      <c r="X93"/>
      <c r="Y93"/>
      <c r="Z93"/>
      <c r="AA93"/>
      <c r="AB93"/>
    </row>
    <row r="94" spans="2:28" ht="15.75">
      <c r="B94" s="73"/>
      <c r="C94" s="26"/>
      <c r="D94" s="26"/>
      <c r="E94" s="246"/>
      <c r="F94" s="246"/>
      <c r="G94" s="262"/>
      <c r="H94" s="262"/>
      <c r="K94"/>
      <c r="L94"/>
      <c r="M94"/>
      <c r="N94"/>
      <c r="O94"/>
      <c r="P94"/>
      <c r="R94"/>
      <c r="S94"/>
      <c r="T94"/>
      <c r="U94"/>
      <c r="V94"/>
      <c r="W94"/>
      <c r="X94"/>
      <c r="Y94"/>
      <c r="Z94"/>
      <c r="AA94"/>
      <c r="AB94"/>
    </row>
    <row r="95" spans="2:28" ht="15.75">
      <c r="B95" s="73"/>
      <c r="C95" s="26" t="s">
        <v>15091</v>
      </c>
      <c r="D95" s="26"/>
      <c r="E95" s="246"/>
      <c r="F95" s="246"/>
      <c r="G95" s="262"/>
      <c r="H95" s="262"/>
      <c r="K95"/>
      <c r="L95"/>
      <c r="M95"/>
      <c r="N95"/>
      <c r="O95"/>
      <c r="P95"/>
      <c r="R95"/>
      <c r="S95"/>
      <c r="T95"/>
      <c r="U95"/>
      <c r="V95"/>
      <c r="W95"/>
      <c r="X95"/>
      <c r="Y95"/>
      <c r="Z95"/>
      <c r="AA95"/>
      <c r="AB95"/>
    </row>
    <row r="96" spans="2:28" ht="16.5" thickBot="1">
      <c r="B96" s="73"/>
      <c r="C96" s="247" t="s">
        <v>15076</v>
      </c>
      <c r="D96" s="263" t="s">
        <v>15077</v>
      </c>
      <c r="E96" s="253"/>
      <c r="F96" s="249"/>
      <c r="G96" s="264" t="s">
        <v>14943</v>
      </c>
      <c r="H96" s="262"/>
      <c r="K96"/>
      <c r="L96"/>
      <c r="M96"/>
      <c r="N96"/>
      <c r="O96"/>
      <c r="P96"/>
      <c r="R96"/>
      <c r="S96"/>
      <c r="T96"/>
      <c r="U96"/>
      <c r="V96"/>
      <c r="W96"/>
      <c r="X96"/>
      <c r="Y96"/>
      <c r="Z96"/>
      <c r="AA96"/>
      <c r="AB96"/>
    </row>
    <row r="97" spans="2:16" ht="16.5" thickBot="1">
      <c r="B97" s="73"/>
      <c r="C97" s="251"/>
      <c r="D97" s="265" t="s">
        <v>15078</v>
      </c>
      <c r="E97" s="266" t="s">
        <v>15079</v>
      </c>
      <c r="F97" s="266" t="s">
        <v>343</v>
      </c>
      <c r="G97" s="220" t="e">
        <f>IF(#REF!="①実施",M46,"")</f>
        <v>#REF!</v>
      </c>
      <c r="H97" s="254"/>
      <c r="I97" s="201"/>
      <c r="J97" s="201"/>
      <c r="K97"/>
      <c r="L97"/>
      <c r="M97"/>
      <c r="N97"/>
      <c r="O97"/>
      <c r="P97"/>
    </row>
    <row r="98" spans="2:16" ht="15.75">
      <c r="B98" s="73"/>
      <c r="C98" s="251"/>
      <c r="D98" s="252" t="s">
        <v>15080</v>
      </c>
      <c r="E98" s="255" t="s">
        <v>15092</v>
      </c>
      <c r="F98" s="255" t="s">
        <v>344</v>
      </c>
      <c r="G98" s="257" t="e">
        <f>IF(G97="","",MIN(K44,M44)-G97)</f>
        <v>#REF!</v>
      </c>
      <c r="H98" s="231"/>
      <c r="I98" s="201"/>
      <c r="J98" s="201"/>
    </row>
    <row r="99" spans="2:16" ht="15.75">
      <c r="B99" s="73"/>
      <c r="C99" s="251"/>
      <c r="D99" s="252" t="s">
        <v>15082</v>
      </c>
      <c r="E99" s="255" t="s">
        <v>15083</v>
      </c>
      <c r="F99" s="255" t="s">
        <v>15093</v>
      </c>
      <c r="G99" s="230" t="e">
        <f>IF(G98="","",(G97+G98))</f>
        <v>#REF!</v>
      </c>
      <c r="H99" s="231" t="s">
        <v>349</v>
      </c>
      <c r="I99" s="201" t="e">
        <f>IF(G99=MIN(K44,M44),"OK","金額が一致しません")</f>
        <v>#REF!</v>
      </c>
      <c r="J99" s="201"/>
    </row>
    <row r="100" spans="2:16" ht="15.75">
      <c r="B100" s="73"/>
      <c r="C100" s="251"/>
      <c r="D100" s="252" t="s">
        <v>15085</v>
      </c>
      <c r="E100" s="255" t="s">
        <v>15086</v>
      </c>
      <c r="F100" s="255" t="s">
        <v>346</v>
      </c>
      <c r="G100" s="234" t="e">
        <f>IF(G97="","",O44)</f>
        <v>#REF!</v>
      </c>
      <c r="H100" s="231"/>
    </row>
    <row r="101" spans="2:16" ht="16.5" thickBot="1">
      <c r="C101" s="267"/>
      <c r="D101" s="268" t="s">
        <v>15087</v>
      </c>
      <c r="E101" s="255" t="s">
        <v>15088</v>
      </c>
      <c r="F101" s="255" t="s">
        <v>347</v>
      </c>
      <c r="G101" s="237" t="e">
        <f>IF(G100="","",(MIN(G99:G100)))</f>
        <v>#REF!</v>
      </c>
      <c r="H101" s="231" t="s">
        <v>15094</v>
      </c>
      <c r="I101" s="238" t="e">
        <f>IF(G101=Q44+AE45,"OK","金額が一致しません")</f>
        <v>#REF!</v>
      </c>
    </row>
    <row r="102" spans="2:16" ht="16.5" thickBot="1">
      <c r="C102" s="269"/>
      <c r="D102" s="268" t="s">
        <v>15076</v>
      </c>
      <c r="E102" s="219" t="s">
        <v>15074</v>
      </c>
      <c r="F102" s="219" t="s">
        <v>15095</v>
      </c>
      <c r="G102" s="241" t="e">
        <f>IF(G101="","",MAX((G101-G98),0))</f>
        <v>#REF!</v>
      </c>
      <c r="H102" s="261" t="s">
        <v>351</v>
      </c>
      <c r="I102" s="72" t="e">
        <f>IF(G102=#REF!,"OK","初期設定シートと一致しません")</f>
        <v>#REF!</v>
      </c>
    </row>
    <row r="104" spans="2:16">
      <c r="C104" s="72" t="s">
        <v>15096</v>
      </c>
    </row>
  </sheetData>
  <mergeCells count="41">
    <mergeCell ref="AE13:AF13"/>
    <mergeCell ref="B3:AC3"/>
    <mergeCell ref="B6:E7"/>
    <mergeCell ref="Y6:AA6"/>
    <mergeCell ref="AE10:AF10"/>
    <mergeCell ref="AE12:AF12"/>
    <mergeCell ref="AE37:AF37"/>
    <mergeCell ref="AE14:AF14"/>
    <mergeCell ref="AE15:AF15"/>
    <mergeCell ref="AE16:AF16"/>
    <mergeCell ref="AE18:AF18"/>
    <mergeCell ref="AE20:AF20"/>
    <mergeCell ref="AE21:AF21"/>
    <mergeCell ref="AE22:AF22"/>
    <mergeCell ref="AE26:AF26"/>
    <mergeCell ref="AE27:AF27"/>
    <mergeCell ref="AE34:AF34"/>
    <mergeCell ref="AE35:AF35"/>
    <mergeCell ref="AE40:AF40"/>
    <mergeCell ref="AE42:AF42"/>
    <mergeCell ref="AE44:AF44"/>
    <mergeCell ref="C47:C50"/>
    <mergeCell ref="B58:C58"/>
    <mergeCell ref="Q58:S58"/>
    <mergeCell ref="U58:W58"/>
    <mergeCell ref="Q59:S59"/>
    <mergeCell ref="U59:W59"/>
    <mergeCell ref="Q60:S60"/>
    <mergeCell ref="U60:W60"/>
    <mergeCell ref="Q61:S61"/>
    <mergeCell ref="U61:W61"/>
    <mergeCell ref="Q67:S67"/>
    <mergeCell ref="U67:W67"/>
    <mergeCell ref="Q69:S69"/>
    <mergeCell ref="AA70:AC70"/>
    <mergeCell ref="Q62:S62"/>
    <mergeCell ref="U62:W62"/>
    <mergeCell ref="Q63:S63"/>
    <mergeCell ref="Q64:S64"/>
    <mergeCell ref="Q66:S66"/>
    <mergeCell ref="U66:W66"/>
  </mergeCells>
  <phoneticPr fontId="3"/>
  <conditionalFormatting sqref="U9 W9">
    <cfRule type="notContainsBlanks" dxfId="44" priority="28">
      <formula>LEN(TRIM(U9))&gt;0</formula>
    </cfRule>
  </conditionalFormatting>
  <conditionalFormatting sqref="G11:G16 I11:I16 M11:M16">
    <cfRule type="notContainsBlanks" dxfId="43" priority="17">
      <formula>LEN(TRIM(G11))&gt;0</formula>
    </cfRule>
  </conditionalFormatting>
  <conditionalFormatting sqref="G18:G22 I18:I22">
    <cfRule type="notContainsBlanks" dxfId="42" priority="16">
      <formula>LEN(TRIM(G18))&gt;0</formula>
    </cfRule>
  </conditionalFormatting>
  <conditionalFormatting sqref="I24:I30 G24:G30">
    <cfRule type="notContainsBlanks" dxfId="41" priority="15">
      <formula>LEN(TRIM(G24))&gt;0</formula>
    </cfRule>
  </conditionalFormatting>
  <conditionalFormatting sqref="AE28">
    <cfRule type="notContainsBlanks" dxfId="40" priority="44">
      <formula>LEN(TRIM(AE28))&gt;0</formula>
    </cfRule>
  </conditionalFormatting>
  <conditionalFormatting sqref="AE30">
    <cfRule type="notContainsBlanks" dxfId="39" priority="43">
      <formula>LEN(TRIM(AE30))&gt;0</formula>
    </cfRule>
  </conditionalFormatting>
  <conditionalFormatting sqref="AC58:AC59">
    <cfRule type="containsBlanks" dxfId="38" priority="12">
      <formula>LEN(TRIM(AC58))=0</formula>
    </cfRule>
  </conditionalFormatting>
  <conditionalFormatting sqref="Q68">
    <cfRule type="notContainsBlanks" dxfId="37" priority="11">
      <formula>LEN(TRIM(Q68))&gt;0</formula>
    </cfRule>
  </conditionalFormatting>
  <conditionalFormatting sqref="Q70">
    <cfRule type="notContainsBlanks" dxfId="36" priority="10">
      <formula>LEN(TRIM(Q70))&gt;0</formula>
    </cfRule>
  </conditionalFormatting>
  <conditionalFormatting sqref="W37">
    <cfRule type="notContainsBlanks" dxfId="35" priority="9">
      <formula>LEN(TRIM(W37))&gt;0</formula>
    </cfRule>
  </conditionalFormatting>
  <conditionalFormatting sqref="W44">
    <cfRule type="notContainsBlanks" dxfId="34" priority="8">
      <formula>LEN(TRIM(W44))&gt;0</formula>
    </cfRule>
  </conditionalFormatting>
  <conditionalFormatting sqref="Z56">
    <cfRule type="expression" dxfId="33" priority="7">
      <formula>AND(#REF!&lt;&gt;"",#REF!&lt;&gt;0)</formula>
    </cfRule>
  </conditionalFormatting>
  <conditionalFormatting sqref="M18:M22">
    <cfRule type="notContainsBlanks" dxfId="32" priority="6">
      <formula>LEN(TRIM(M18))&gt;0</formula>
    </cfRule>
  </conditionalFormatting>
  <conditionalFormatting sqref="M24:M30">
    <cfRule type="notContainsBlanks" dxfId="31" priority="5">
      <formula>LEN(TRIM(M24))&gt;0</formula>
    </cfRule>
  </conditionalFormatting>
  <conditionalFormatting sqref="M32:M36">
    <cfRule type="notContainsBlanks" dxfId="30" priority="4">
      <formula>LEN(TRIM(M32))&gt;0</formula>
    </cfRule>
  </conditionalFormatting>
  <conditionalFormatting sqref="M45">
    <cfRule type="notContainsBlanks" dxfId="29" priority="3">
      <formula>LEN(TRIM(M45))&gt;0</formula>
    </cfRule>
  </conditionalFormatting>
  <conditionalFormatting sqref="M47:M50">
    <cfRule type="notContainsBlanks" dxfId="28" priority="2">
      <formula>LEN(TRIM(M47))&gt;0</formula>
    </cfRule>
  </conditionalFormatting>
  <conditionalFormatting sqref="M52:M55">
    <cfRule type="notContainsBlanks" dxfId="27" priority="1">
      <formula>LEN(TRIM(M52))&gt;0</formula>
    </cfRule>
  </conditionalFormatting>
  <conditionalFormatting sqref="R44:S44">
    <cfRule type="expression" dxfId="26" priority="29">
      <formula>AND(#REF!&lt;&gt;"",#REF!&lt;&gt;0)</formula>
    </cfRule>
  </conditionalFormatting>
  <conditionalFormatting sqref="R37:S37">
    <cfRule type="expression" dxfId="25" priority="30">
      <formula>AND(#REF!&lt;&gt;"",#REF!&lt;&gt;0)</formula>
    </cfRule>
  </conditionalFormatting>
  <conditionalFormatting sqref="U37">
    <cfRule type="notContainsBlanks" dxfId="24" priority="27">
      <formula>LEN(TRIM(U37))&gt;0</formula>
    </cfRule>
  </conditionalFormatting>
  <conditionalFormatting sqref="U44">
    <cfRule type="notContainsBlanks" dxfId="23" priority="26">
      <formula>LEN(TRIM(U44))&gt;0</formula>
    </cfRule>
  </conditionalFormatting>
  <conditionalFormatting sqref="T44">
    <cfRule type="expression" dxfId="22" priority="24">
      <formula>AND(#REF!&lt;&gt;"",#REF!&lt;&gt;0)</formula>
    </cfRule>
  </conditionalFormatting>
  <conditionalFormatting sqref="T37">
    <cfRule type="expression" dxfId="21" priority="25">
      <formula>AND(#REF!&lt;&gt;"",#REF!&lt;&gt;0)</formula>
    </cfRule>
  </conditionalFormatting>
  <conditionalFormatting sqref="V44">
    <cfRule type="expression" dxfId="20" priority="22">
      <formula>AND(#REF!&lt;&gt;"",#REF!&lt;&gt;0)</formula>
    </cfRule>
  </conditionalFormatting>
  <conditionalFormatting sqref="V37">
    <cfRule type="expression" dxfId="19" priority="23">
      <formula>AND(#REF!&lt;&gt;"",#REF!&lt;&gt;0)</formula>
    </cfRule>
  </conditionalFormatting>
  <conditionalFormatting sqref="X44">
    <cfRule type="expression" dxfId="18" priority="20">
      <formula>AND(#REF!&lt;&gt;"",#REF!&lt;&gt;0)</formula>
    </cfRule>
  </conditionalFormatting>
  <conditionalFormatting sqref="X37">
    <cfRule type="expression" dxfId="17" priority="21">
      <formula>AND(#REF!&lt;&gt;"",#REF!&lt;&gt;0)</formula>
    </cfRule>
  </conditionalFormatting>
  <conditionalFormatting sqref="Z44">
    <cfRule type="expression" dxfId="16" priority="18">
      <formula>AND(#REF!&lt;&gt;"",#REF!&lt;&gt;0)</formula>
    </cfRule>
  </conditionalFormatting>
  <conditionalFormatting sqref="Z37">
    <cfRule type="expression" dxfId="15" priority="19">
      <formula>AND(#REF!&lt;&gt;"",#REF!&lt;&gt;0)</formula>
    </cfRule>
  </conditionalFormatting>
  <conditionalFormatting sqref="G40:G42 G32:G36 G45 I45 I32:I36 I40:I42">
    <cfRule type="notContainsBlanks" dxfId="14" priority="14">
      <formula>LEN(TRIM(G32))&gt;0</formula>
    </cfRule>
  </conditionalFormatting>
  <conditionalFormatting sqref="G52:G55 I52:I55 G47:G50 I47:I50">
    <cfRule type="notContainsBlanks" dxfId="13" priority="13">
      <formula>LEN(TRIM(G47))&gt;0</formula>
    </cfRule>
  </conditionalFormatting>
  <dataValidations count="7">
    <dataValidation type="whole" errorStyle="warning" operator="greaterThanOrEqual" allowBlank="1" showInputMessage="1" showErrorMessage="1" error="0以上の整数（金額）を入力して下さい。" sqref="I38:N38 AB38 G38" xr:uid="{D7CA85AF-FA37-4B4D-900D-10CD4DED77B6}">
      <formula1>0</formula1>
    </dataValidation>
    <dataValidation type="list" allowBlank="1" showInputMessage="1" showErrorMessage="1" sqref="U67:V67" xr:uid="{F4B9C153-4CB0-4061-B432-03FD464E4EF5}">
      <formula1>"①実施,②未実施"</formula1>
    </dataValidation>
    <dataValidation type="decimal" allowBlank="1" showInputMessage="1" showErrorMessage="1" error="数字（金額）を入力して下さい。" sqref="O9:P9 N47:N48 P52 O37:P37 O47:P50 P54:P55 N45:P45 N52:O55 J32:J36 J40:J42 J24:J30 J45 J52:J55 J18:J22 J47:J49 J11:J16" xr:uid="{36AA4AED-3C00-44E7-B7DF-D7D7C66773D7}">
      <formula1>-9999999999999990</formula1>
      <formula2>9999999999999990</formula2>
    </dataValidation>
    <dataValidation allowBlank="1" showErrorMessage="1" sqref="Q62 Q64 Q60 W64:X64" xr:uid="{4ED3E937-6D6D-47AE-BE55-3BD938A39163}"/>
    <dataValidation type="whole" operator="greaterThanOrEqual" allowBlank="1" showInputMessage="1" showErrorMessage="1" error="0以上の整数（金額）を入力して下さい。" sqref="M40:N42" xr:uid="{DB35DC42-0F24-43B3-A139-AF762FA6F851}">
      <formula1>0</formula1>
    </dataValidation>
    <dataValidation errorStyle="information" allowBlank="1" showInputMessage="1" showErrorMessage="1" sqref="Q68:Q70" xr:uid="{BE4DBD19-2416-4864-B0E2-E8A21F2571F5}"/>
    <dataValidation type="whole" allowBlank="1" showInputMessage="1" showErrorMessage="1" error="整数（0以上）を入力して下さい。" sqref="AE30 AE28 G11:G16 G18:G22 G24:G30 G32:G36 G40:G42 G45 G47:G50 G52:G55 I11:I16 I18:I22 I24:I30 I32:I36 I40:I42 I45 M52:M55 I52:I55 M11:M16 M18:M22 M24:M30 M32:M36 M45 I47:I50 M47:M50" xr:uid="{0B2097C9-06C9-44F9-9C82-A4EE7DE2C10E}">
      <formula1>0</formula1>
      <formula2>9999999999999990</formula2>
    </dataValidation>
  </dataValidations>
  <printOptions horizontalCentered="1"/>
  <pageMargins left="0.23622047244094491" right="0.35433070866141736" top="0.74803149606299213" bottom="0.74803149606299213" header="0.31496062992125984" footer="0.31496062992125984"/>
  <pageSetup paperSize="9" scale="34" orientation="landscape"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5586D-ECCA-4E8E-AC69-E7A335929822}">
  <sheetPr codeName="Sheet23">
    <tabColor theme="4" tint="0.79998168889431442"/>
    <pageSetUpPr fitToPage="1"/>
  </sheetPr>
  <dimension ref="A1:BU36"/>
  <sheetViews>
    <sheetView showGridLines="0" view="pageBreakPreview" zoomScale="80" zoomScaleNormal="91" zoomScaleSheetLayoutView="80" workbookViewId="0">
      <pane xSplit="4" ySplit="4" topLeftCell="E5" activePane="bottomRight" state="frozen"/>
      <selection pane="topRight" activeCell="E1" sqref="E1"/>
      <selection pane="bottomLeft" activeCell="A5" sqref="A5"/>
      <selection pane="bottomRight" activeCell="E7" sqref="E7"/>
    </sheetView>
  </sheetViews>
  <sheetFormatPr defaultColWidth="20.77734375" defaultRowHeight="15.75"/>
  <cols>
    <col min="1" max="1" width="13.33203125" style="70" bestFit="1" customWidth="1"/>
    <col min="2" max="2" width="56.77734375" style="70" customWidth="1"/>
    <col min="3" max="3" width="20.5546875" style="70" customWidth="1"/>
    <col min="4" max="4" width="10.77734375" style="70" hidden="1" customWidth="1"/>
    <col min="5" max="5" width="24.33203125" style="70" bestFit="1" customWidth="1"/>
    <col min="6" max="6" width="10.77734375" style="70" hidden="1" customWidth="1"/>
    <col min="7" max="7" width="20.77734375" style="70"/>
    <col min="8" max="8" width="10.77734375" style="70" hidden="1" customWidth="1"/>
    <col min="9" max="9" width="20.77734375" style="70"/>
    <col min="10" max="10" width="10.77734375" style="70" hidden="1" customWidth="1"/>
    <col min="11" max="11" width="20.77734375" style="70"/>
    <col min="12" max="12" width="10.77734375" style="70" hidden="1" customWidth="1"/>
    <col min="13" max="13" width="20.77734375" style="70"/>
    <col min="14" max="14" width="10.77734375" style="70" hidden="1" customWidth="1"/>
    <col min="15" max="15" width="20.77734375" style="70"/>
    <col min="16" max="16" width="10.77734375" style="70" hidden="1" customWidth="1"/>
    <col min="17" max="17" width="20.77734375" style="70"/>
    <col min="18" max="18" width="10.77734375" style="70" hidden="1" customWidth="1"/>
    <col min="19" max="19" width="20.77734375" style="70"/>
    <col min="20" max="20" width="10.77734375" style="70" hidden="1" customWidth="1"/>
    <col min="21" max="21" width="20.77734375" style="70"/>
    <col min="22" max="22" width="10.77734375" style="70" hidden="1" customWidth="1"/>
    <col min="23" max="23" width="20.77734375" style="70"/>
    <col min="24" max="24" width="10.77734375" style="70" hidden="1" customWidth="1"/>
    <col min="25" max="25" width="20.77734375" style="70"/>
    <col min="26" max="26" width="10.77734375" style="70" hidden="1" customWidth="1"/>
    <col min="27" max="27" width="20.77734375" style="70"/>
    <col min="28" max="28" width="10.77734375" style="70" hidden="1" customWidth="1"/>
    <col min="29" max="29" width="20.77734375" style="70"/>
    <col min="30" max="30" width="10.77734375" style="70" hidden="1" customWidth="1"/>
    <col min="31" max="31" width="20.77734375" style="70"/>
    <col min="32" max="32" width="10.77734375" style="70" hidden="1" customWidth="1"/>
    <col min="33" max="33" width="20.77734375" style="70"/>
    <col min="34" max="34" width="10.77734375" style="70" hidden="1" customWidth="1"/>
    <col min="35" max="35" width="20.77734375" style="70"/>
    <col min="36" max="36" width="10.77734375" style="70" hidden="1" customWidth="1"/>
    <col min="37" max="37" width="20.77734375" style="70"/>
    <col min="38" max="38" width="10.77734375" style="70" hidden="1" customWidth="1"/>
    <col min="39" max="39" width="20.77734375" style="70"/>
    <col min="40" max="40" width="10.77734375" style="70" hidden="1" customWidth="1"/>
    <col min="41" max="41" width="20.77734375" style="70"/>
    <col min="42" max="42" width="10.77734375" style="70" hidden="1" customWidth="1"/>
    <col min="43" max="43" width="20.77734375" style="70"/>
    <col min="44" max="44" width="10.77734375" style="70" hidden="1" customWidth="1"/>
    <col min="45" max="45" width="20.77734375" style="70"/>
    <col min="46" max="46" width="10.77734375" style="70" hidden="1" customWidth="1"/>
    <col min="47" max="47" width="20.77734375" style="70"/>
    <col min="48" max="48" width="10.77734375" style="70" hidden="1" customWidth="1"/>
    <col min="49" max="49" width="20.77734375" style="70"/>
    <col min="50" max="50" width="10.77734375" style="70" hidden="1" customWidth="1"/>
    <col min="51" max="51" width="20.77734375" style="70"/>
    <col min="52" max="52" width="10.77734375" style="70" hidden="1" customWidth="1"/>
    <col min="53" max="53" width="20.77734375" style="70"/>
    <col min="54" max="54" width="10.77734375" style="70" hidden="1" customWidth="1"/>
    <col min="55" max="55" width="20.77734375" style="70"/>
    <col min="56" max="56" width="10.77734375" style="70" hidden="1" customWidth="1"/>
    <col min="57" max="57" width="20.77734375" style="70"/>
    <col min="58" max="58" width="10.77734375" style="70" hidden="1" customWidth="1"/>
    <col min="59" max="59" width="20.77734375" style="70"/>
    <col min="60" max="60" width="10.77734375" style="70" hidden="1" customWidth="1"/>
    <col min="61" max="61" width="20.77734375" style="70"/>
    <col min="62" max="62" width="10.77734375" style="70" hidden="1" customWidth="1"/>
    <col min="63" max="63" width="20.77734375" style="70"/>
    <col min="64" max="64" width="10.77734375" style="70" hidden="1" customWidth="1"/>
    <col min="65" max="65" width="20.77734375" style="70"/>
    <col min="66" max="66" width="10.77734375" style="70" hidden="1" customWidth="1"/>
    <col min="67" max="67" width="20.77734375" style="70"/>
    <col min="68" max="68" width="10.77734375" style="70" hidden="1" customWidth="1"/>
    <col min="69" max="69" width="20.77734375" style="70"/>
    <col min="70" max="70" width="10.77734375" style="70" hidden="1" customWidth="1"/>
    <col min="71" max="16384" width="20.77734375" style="70"/>
  </cols>
  <sheetData>
    <row r="1" spans="1:73">
      <c r="D1" s="70" t="s">
        <v>14928</v>
      </c>
      <c r="F1" s="70" t="s">
        <v>14928</v>
      </c>
      <c r="H1" s="70" t="s">
        <v>14928</v>
      </c>
      <c r="J1" s="70" t="s">
        <v>14928</v>
      </c>
      <c r="L1" s="70" t="s">
        <v>14928</v>
      </c>
      <c r="N1" s="70" t="s">
        <v>14928</v>
      </c>
      <c r="P1" s="70" t="s">
        <v>14928</v>
      </c>
      <c r="R1" s="70" t="s">
        <v>14928</v>
      </c>
      <c r="T1" s="70" t="s">
        <v>14928</v>
      </c>
      <c r="V1" s="70" t="s">
        <v>14928</v>
      </c>
      <c r="X1" s="70" t="s">
        <v>14928</v>
      </c>
      <c r="Z1" s="70" t="s">
        <v>14928</v>
      </c>
      <c r="AB1" s="70" t="s">
        <v>14928</v>
      </c>
      <c r="AD1" s="70" t="s">
        <v>14928</v>
      </c>
      <c r="AF1" s="70" t="s">
        <v>14928</v>
      </c>
      <c r="AH1" s="70" t="s">
        <v>14928</v>
      </c>
      <c r="AJ1" s="70" t="s">
        <v>14928</v>
      </c>
      <c r="AL1" s="70" t="s">
        <v>14928</v>
      </c>
      <c r="AN1" s="70" t="s">
        <v>14928</v>
      </c>
      <c r="AP1" s="70" t="s">
        <v>14928</v>
      </c>
      <c r="AR1" s="70" t="s">
        <v>14928</v>
      </c>
      <c r="AT1" s="70" t="s">
        <v>14928</v>
      </c>
      <c r="AV1" s="70" t="s">
        <v>14928</v>
      </c>
      <c r="AX1" s="70" t="s">
        <v>14928</v>
      </c>
      <c r="AZ1" s="70" t="s">
        <v>14928</v>
      </c>
      <c r="BB1" s="70" t="s">
        <v>14928</v>
      </c>
      <c r="BD1" s="70" t="s">
        <v>14928</v>
      </c>
      <c r="BF1" s="70" t="s">
        <v>14928</v>
      </c>
      <c r="BH1" s="70" t="s">
        <v>14928</v>
      </c>
      <c r="BJ1" s="70" t="s">
        <v>14928</v>
      </c>
      <c r="BL1" s="70" t="s">
        <v>14928</v>
      </c>
      <c r="BN1" s="70" t="s">
        <v>14928</v>
      </c>
      <c r="BP1" s="70" t="s">
        <v>14928</v>
      </c>
      <c r="BR1" s="70" t="s">
        <v>14928</v>
      </c>
    </row>
    <row r="2" spans="1:73" ht="17.25" customHeight="1">
      <c r="A2" s="427" t="s">
        <v>15097</v>
      </c>
      <c r="B2" s="427"/>
      <c r="C2" s="427"/>
      <c r="D2" s="271"/>
      <c r="E2" s="272"/>
      <c r="F2" s="272"/>
      <c r="G2" s="272"/>
      <c r="H2" s="272"/>
      <c r="I2" s="272"/>
      <c r="J2" s="272"/>
      <c r="K2" s="272"/>
      <c r="L2" s="272"/>
      <c r="M2" s="272"/>
      <c r="N2" s="272"/>
    </row>
    <row r="3" spans="1:73" ht="25.5" customHeight="1">
      <c r="B3" s="428"/>
      <c r="C3" s="428"/>
      <c r="D3" s="273"/>
      <c r="E3" s="70" t="e">
        <f>IF(#REF!="○","※広域連合等にあっては、2以降に表示された構成市町村について入力をしてください","")</f>
        <v>#REF!</v>
      </c>
    </row>
    <row r="4" spans="1:73" ht="25.5" customHeight="1">
      <c r="B4" s="274"/>
      <c r="C4" s="273"/>
      <c r="D4" s="273"/>
      <c r="E4" s="275">
        <v>1</v>
      </c>
      <c r="F4" s="275"/>
      <c r="G4" s="275">
        <v>2</v>
      </c>
      <c r="H4" s="275"/>
      <c r="I4" s="275">
        <v>3</v>
      </c>
      <c r="J4" s="275"/>
      <c r="K4" s="275">
        <v>4</v>
      </c>
      <c r="L4" s="275"/>
      <c r="M4" s="275">
        <v>5</v>
      </c>
      <c r="N4" s="275"/>
      <c r="O4" s="275">
        <v>6</v>
      </c>
      <c r="P4" s="275"/>
      <c r="Q4" s="275">
        <v>7</v>
      </c>
      <c r="R4" s="275"/>
      <c r="S4" s="275">
        <v>8</v>
      </c>
      <c r="T4" s="275"/>
      <c r="U4" s="275">
        <v>9</v>
      </c>
      <c r="V4" s="275"/>
      <c r="W4" s="275">
        <v>10</v>
      </c>
      <c r="X4" s="275"/>
      <c r="Y4" s="275">
        <v>11</v>
      </c>
      <c r="Z4" s="275"/>
      <c r="AA4" s="275">
        <v>12</v>
      </c>
      <c r="AB4" s="275"/>
      <c r="AC4" s="275">
        <v>13</v>
      </c>
      <c r="AD4" s="275"/>
      <c r="AE4" s="275">
        <v>14</v>
      </c>
      <c r="AF4" s="275"/>
      <c r="AG4" s="275">
        <v>15</v>
      </c>
      <c r="AH4" s="275"/>
      <c r="AI4" s="275">
        <v>16</v>
      </c>
      <c r="AJ4" s="275"/>
      <c r="AK4" s="275">
        <v>17</v>
      </c>
      <c r="AL4" s="275"/>
      <c r="AM4" s="275">
        <v>18</v>
      </c>
      <c r="AN4" s="275"/>
      <c r="AO4" s="275">
        <v>19</v>
      </c>
      <c r="AP4" s="275"/>
      <c r="AQ4" s="275">
        <v>20</v>
      </c>
      <c r="AR4" s="275"/>
      <c r="AS4" s="275">
        <v>21</v>
      </c>
      <c r="AT4" s="275"/>
      <c r="AU4" s="275">
        <v>22</v>
      </c>
      <c r="AV4" s="275"/>
      <c r="AW4" s="275">
        <v>23</v>
      </c>
      <c r="AX4" s="275"/>
      <c r="AY4" s="275">
        <v>24</v>
      </c>
      <c r="AZ4" s="275"/>
      <c r="BA4" s="275">
        <v>25</v>
      </c>
      <c r="BB4" s="275"/>
      <c r="BC4" s="275">
        <v>26</v>
      </c>
      <c r="BD4" s="275"/>
      <c r="BE4" s="275">
        <v>27</v>
      </c>
      <c r="BF4" s="275"/>
      <c r="BG4" s="275">
        <v>28</v>
      </c>
      <c r="BH4" s="275"/>
      <c r="BI4" s="275">
        <v>29</v>
      </c>
      <c r="BJ4" s="275"/>
      <c r="BK4" s="275">
        <v>30</v>
      </c>
      <c r="BL4" s="275"/>
      <c r="BM4" s="275">
        <v>31</v>
      </c>
      <c r="BN4" s="275"/>
      <c r="BO4" s="275">
        <v>32</v>
      </c>
      <c r="BP4" s="275"/>
      <c r="BQ4" s="275">
        <v>33</v>
      </c>
      <c r="BR4" s="275"/>
      <c r="BS4" s="275">
        <v>34</v>
      </c>
    </row>
    <row r="5" spans="1:73" ht="25.5" customHeight="1">
      <c r="B5" s="274"/>
      <c r="C5" s="273"/>
      <c r="D5" s="276" t="s">
        <v>583</v>
      </c>
      <c r="E5" s="275" t="str">
        <f>IFERROR(VLOOKUP(#REF!&amp;"-"&amp;E4,PullDown!$L:$N,3,FALSE),"")</f>
        <v/>
      </c>
      <c r="F5" s="275" t="s">
        <v>600</v>
      </c>
      <c r="G5" s="275" t="str">
        <f>IFERROR(VLOOKUP($E$5&amp;"-"&amp;G4,PullDown!$L:$N,3,FALSE),"")</f>
        <v/>
      </c>
      <c r="H5" s="275" t="s">
        <v>617</v>
      </c>
      <c r="I5" s="275" t="str">
        <f>IFERROR(VLOOKUP($E$5&amp;"-"&amp;I4,PullDown!$L:$N,3,FALSE),"")</f>
        <v/>
      </c>
      <c r="J5" s="275" t="s">
        <v>634</v>
      </c>
      <c r="K5" s="275" t="str">
        <f>IFERROR(VLOOKUP($E$5&amp;"-"&amp;K4,PullDown!$L:$N,3,FALSE),"")</f>
        <v/>
      </c>
      <c r="L5" s="275" t="s">
        <v>651</v>
      </c>
      <c r="M5" s="275" t="str">
        <f>IFERROR(VLOOKUP($E$5&amp;"-"&amp;M4,PullDown!$L:$N,3,FALSE),"")</f>
        <v/>
      </c>
      <c r="N5" s="275" t="s">
        <v>668</v>
      </c>
      <c r="O5" s="275" t="str">
        <f>IFERROR(VLOOKUP($E$5&amp;"-"&amp;O4,PullDown!$L:$N,3,FALSE),"")</f>
        <v/>
      </c>
      <c r="P5" s="275" t="s">
        <v>685</v>
      </c>
      <c r="Q5" s="275" t="str">
        <f>IFERROR(VLOOKUP($E$5&amp;"-"&amp;Q4,PullDown!$L:$N,3,FALSE),"")</f>
        <v/>
      </c>
      <c r="R5" s="275" t="s">
        <v>702</v>
      </c>
      <c r="S5" s="275" t="str">
        <f>IFERROR(VLOOKUP($E$5&amp;"-"&amp;S4,PullDown!$L:$N,3,FALSE),"")</f>
        <v/>
      </c>
      <c r="T5" s="275" t="s">
        <v>719</v>
      </c>
      <c r="U5" s="275" t="str">
        <f>IFERROR(VLOOKUP($E$5&amp;"-"&amp;U4,PullDown!$L:$N,3,FALSE),"")</f>
        <v/>
      </c>
      <c r="V5" s="275" t="s">
        <v>736</v>
      </c>
      <c r="W5" s="275" t="str">
        <f>IFERROR(VLOOKUP($E$5&amp;"-"&amp;W4,PullDown!$L:$N,3,FALSE),"")</f>
        <v/>
      </c>
      <c r="X5" s="275" t="s">
        <v>753</v>
      </c>
      <c r="Y5" s="275" t="str">
        <f>IFERROR(VLOOKUP($E$5&amp;"-"&amp;Y4,PullDown!$L:$N,3,FALSE),"")</f>
        <v/>
      </c>
      <c r="Z5" s="275" t="s">
        <v>770</v>
      </c>
      <c r="AA5" s="275" t="str">
        <f>IFERROR(VLOOKUP($E$5&amp;"-"&amp;AA4,PullDown!$L:$N,3,FALSE),"")</f>
        <v/>
      </c>
      <c r="AB5" s="275" t="s">
        <v>787</v>
      </c>
      <c r="AC5" s="275" t="str">
        <f>IFERROR(VLOOKUP($E$5&amp;"-"&amp;AC4,PullDown!$L:$N,3,FALSE),"")</f>
        <v/>
      </c>
      <c r="AD5" s="275" t="s">
        <v>804</v>
      </c>
      <c r="AE5" s="275" t="str">
        <f>IFERROR(VLOOKUP($E$5&amp;"-"&amp;AE4,PullDown!$L:$N,3,FALSE),"")</f>
        <v/>
      </c>
      <c r="AF5" s="275" t="s">
        <v>821</v>
      </c>
      <c r="AG5" s="275" t="str">
        <f>IFERROR(VLOOKUP($E$5&amp;"-"&amp;AG4,PullDown!$L:$N,3,FALSE),"")</f>
        <v/>
      </c>
      <c r="AH5" s="275" t="s">
        <v>838</v>
      </c>
      <c r="AI5" s="275" t="str">
        <f>IFERROR(VLOOKUP($E$5&amp;"-"&amp;AI4,PullDown!$L:$N,3,FALSE),"")</f>
        <v/>
      </c>
      <c r="AJ5" s="275" t="s">
        <v>855</v>
      </c>
      <c r="AK5" s="275" t="str">
        <f>IFERROR(VLOOKUP($E$5&amp;"-"&amp;AK4,PullDown!$L:$N,3,FALSE),"")</f>
        <v/>
      </c>
      <c r="AL5" s="275" t="s">
        <v>872</v>
      </c>
      <c r="AM5" s="275" t="str">
        <f>IFERROR(VLOOKUP($E$5&amp;"-"&amp;AM4,PullDown!$L:$N,3,FALSE),"")</f>
        <v/>
      </c>
      <c r="AN5" s="275" t="s">
        <v>889</v>
      </c>
      <c r="AO5" s="275" t="str">
        <f>IFERROR(VLOOKUP($E$5&amp;"-"&amp;AO4,PullDown!$L:$N,3,FALSE),"")</f>
        <v/>
      </c>
      <c r="AP5" s="275" t="s">
        <v>906</v>
      </c>
      <c r="AQ5" s="275" t="str">
        <f>IFERROR(VLOOKUP($E$5&amp;"-"&amp;AQ4,PullDown!$L:$N,3,FALSE),"")</f>
        <v/>
      </c>
      <c r="AR5" s="275" t="s">
        <v>923</v>
      </c>
      <c r="AS5" s="275" t="str">
        <f>IFERROR(VLOOKUP($E$5&amp;"-"&amp;AS4,PullDown!$L:$N,3,FALSE),"")</f>
        <v/>
      </c>
      <c r="AT5" s="275" t="s">
        <v>940</v>
      </c>
      <c r="AU5" s="275" t="str">
        <f>IFERROR(VLOOKUP($E$5&amp;"-"&amp;AU4,PullDown!$L:$N,3,FALSE),"")</f>
        <v/>
      </c>
      <c r="AV5" s="275" t="s">
        <v>957</v>
      </c>
      <c r="AW5" s="275" t="str">
        <f>IFERROR(VLOOKUP($E$5&amp;"-"&amp;AW4,PullDown!$L:$N,3,FALSE),"")</f>
        <v/>
      </c>
      <c r="AX5" s="275" t="s">
        <v>974</v>
      </c>
      <c r="AY5" s="275" t="str">
        <f>IFERROR(VLOOKUP($E$5&amp;"-"&amp;AY4,PullDown!$L:$N,3,FALSE),"")</f>
        <v/>
      </c>
      <c r="AZ5" s="275" t="s">
        <v>991</v>
      </c>
      <c r="BA5" s="275" t="str">
        <f>IFERROR(VLOOKUP($E$5&amp;"-"&amp;BA4,PullDown!$L:$N,3,FALSE),"")</f>
        <v/>
      </c>
      <c r="BB5" s="275" t="s">
        <v>1008</v>
      </c>
      <c r="BC5" s="275" t="str">
        <f>IFERROR(VLOOKUP($E$5&amp;"-"&amp;BC4,PullDown!$L:$N,3,FALSE),"")</f>
        <v/>
      </c>
      <c r="BD5" s="275" t="s">
        <v>1025</v>
      </c>
      <c r="BE5" s="275" t="str">
        <f>IFERROR(VLOOKUP($E$5&amp;"-"&amp;BE4,PullDown!$L:$N,3,FALSE),"")</f>
        <v/>
      </c>
      <c r="BF5" s="275" t="s">
        <v>1042</v>
      </c>
      <c r="BG5" s="275" t="str">
        <f>IFERROR(VLOOKUP($E$5&amp;"-"&amp;BG4,PullDown!$L:$N,3,FALSE),"")</f>
        <v/>
      </c>
      <c r="BH5" s="275" t="s">
        <v>1059</v>
      </c>
      <c r="BI5" s="275" t="str">
        <f>IFERROR(VLOOKUP($E$5&amp;"-"&amp;BI4,PullDown!$L:$N,3,FALSE),"")</f>
        <v/>
      </c>
      <c r="BJ5" s="275" t="s">
        <v>1076</v>
      </c>
      <c r="BK5" s="275" t="str">
        <f>IFERROR(VLOOKUP($E$5&amp;"-"&amp;BK4,PullDown!$L:$N,3,FALSE),"")</f>
        <v/>
      </c>
      <c r="BL5" s="275" t="s">
        <v>1093</v>
      </c>
      <c r="BM5" s="275" t="str">
        <f>IFERROR(VLOOKUP($E$5&amp;"-"&amp;BM4,PullDown!$L:$N,3,FALSE),"")</f>
        <v/>
      </c>
      <c r="BN5" s="275" t="s">
        <v>1110</v>
      </c>
      <c r="BO5" s="275" t="str">
        <f>IFERROR(VLOOKUP($E$5&amp;"-"&amp;BO4,PullDown!$L:$N,3,FALSE),"")</f>
        <v/>
      </c>
      <c r="BP5" s="275" t="s">
        <v>1127</v>
      </c>
      <c r="BQ5" s="275" t="str">
        <f>IFERROR(VLOOKUP($E$5&amp;"-"&amp;BQ4,PullDown!$L:$N,3,FALSE),"")</f>
        <v/>
      </c>
      <c r="BR5" s="275" t="s">
        <v>1144</v>
      </c>
      <c r="BS5" s="275" t="str">
        <f>IFERROR(VLOOKUP($E$5&amp;"-"&amp;BS4,PullDown!$L:$N,3,FALSE),"")</f>
        <v/>
      </c>
    </row>
    <row r="6" spans="1:73" ht="20.100000000000001" customHeight="1">
      <c r="B6" s="277"/>
      <c r="C6" s="278" t="s">
        <v>15098</v>
      </c>
      <c r="D6" s="276" t="s">
        <v>15099</v>
      </c>
      <c r="E6" s="275" t="str">
        <f>IFERROR(VLOOKUP(E5,PullDown!$N:$T,7,FALSE),"")</f>
        <v/>
      </c>
      <c r="F6" s="275" t="s">
        <v>15100</v>
      </c>
      <c r="G6" s="275" t="str">
        <f>IFERROR(VLOOKUP(G5,PullDown!$N:$T,7,FALSE),"")</f>
        <v/>
      </c>
      <c r="H6" s="275" t="s">
        <v>15101</v>
      </c>
      <c r="I6" s="275" t="str">
        <f>IFERROR(VLOOKUP(I5,PullDown!$N:$T,7,FALSE),"")</f>
        <v/>
      </c>
      <c r="J6" s="275" t="s">
        <v>15102</v>
      </c>
      <c r="K6" s="275" t="str">
        <f>IFERROR(VLOOKUP(K5,PullDown!$N:$T,7,FALSE),"")</f>
        <v/>
      </c>
      <c r="L6" s="275" t="s">
        <v>15103</v>
      </c>
      <c r="M6" s="275" t="str">
        <f>IFERROR(VLOOKUP(M5,PullDown!$N:$T,7,FALSE),"")</f>
        <v/>
      </c>
      <c r="N6" s="275" t="s">
        <v>15104</v>
      </c>
      <c r="O6" s="275" t="str">
        <f>IFERROR(VLOOKUP(O5,PullDown!$N:$T,7,FALSE),"")</f>
        <v/>
      </c>
      <c r="P6" s="275" t="s">
        <v>15105</v>
      </c>
      <c r="Q6" s="275" t="str">
        <f>IFERROR(VLOOKUP(Q5,PullDown!$N:$T,7,FALSE),"")</f>
        <v/>
      </c>
      <c r="R6" s="275" t="s">
        <v>15106</v>
      </c>
      <c r="S6" s="275" t="str">
        <f>IFERROR(VLOOKUP(S5,PullDown!$N:$T,7,FALSE),"")</f>
        <v/>
      </c>
      <c r="T6" s="275" t="s">
        <v>15107</v>
      </c>
      <c r="U6" s="275" t="str">
        <f>IFERROR(VLOOKUP(U5,PullDown!$N:$T,7,FALSE),"")</f>
        <v/>
      </c>
      <c r="V6" s="275" t="s">
        <v>15108</v>
      </c>
      <c r="W6" s="275" t="str">
        <f>IFERROR(VLOOKUP(W5,PullDown!$N:$T,7,FALSE),"")</f>
        <v/>
      </c>
      <c r="X6" s="275" t="s">
        <v>15109</v>
      </c>
      <c r="Y6" s="275" t="str">
        <f>IFERROR(VLOOKUP(Y5,PullDown!$N:$T,7,FALSE),"")</f>
        <v/>
      </c>
      <c r="Z6" s="275" t="s">
        <v>15110</v>
      </c>
      <c r="AA6" s="275" t="str">
        <f>IFERROR(VLOOKUP(AA5,PullDown!$N:$T,7,FALSE),"")</f>
        <v/>
      </c>
      <c r="AB6" s="275" t="s">
        <v>15111</v>
      </c>
      <c r="AC6" s="275" t="str">
        <f>IFERROR(VLOOKUP(AC5,PullDown!$N:$T,7,FALSE),"")</f>
        <v/>
      </c>
      <c r="AD6" s="275" t="s">
        <v>15112</v>
      </c>
      <c r="AE6" s="275" t="str">
        <f>IFERROR(VLOOKUP(AE5,PullDown!$N:$T,7,FALSE),"")</f>
        <v/>
      </c>
      <c r="AF6" s="275" t="s">
        <v>15113</v>
      </c>
      <c r="AG6" s="275" t="str">
        <f>IFERROR(VLOOKUP(AG5,PullDown!$N:$T,7,FALSE),"")</f>
        <v/>
      </c>
      <c r="AH6" s="275" t="s">
        <v>15114</v>
      </c>
      <c r="AI6" s="275" t="str">
        <f>IFERROR(VLOOKUP(AI5,PullDown!$N:$T,7,FALSE),"")</f>
        <v/>
      </c>
      <c r="AJ6" s="275" t="s">
        <v>15115</v>
      </c>
      <c r="AK6" s="275" t="str">
        <f>IFERROR(VLOOKUP(AK5,PullDown!$N:$T,7,FALSE),"")</f>
        <v/>
      </c>
      <c r="AL6" s="275" t="s">
        <v>15116</v>
      </c>
      <c r="AM6" s="275" t="str">
        <f>IFERROR(VLOOKUP(AM5,PullDown!$N:$T,7,FALSE),"")</f>
        <v/>
      </c>
      <c r="AN6" s="275" t="s">
        <v>15117</v>
      </c>
      <c r="AO6" s="275" t="str">
        <f>IFERROR(VLOOKUP(AO5,PullDown!$N:$T,7,FALSE),"")</f>
        <v/>
      </c>
      <c r="AP6" s="275" t="s">
        <v>15118</v>
      </c>
      <c r="AQ6" s="275" t="str">
        <f>IFERROR(VLOOKUP(AQ5,PullDown!$N:$T,7,FALSE),"")</f>
        <v/>
      </c>
      <c r="AR6" s="275" t="s">
        <v>15119</v>
      </c>
      <c r="AS6" s="275" t="str">
        <f>IFERROR(VLOOKUP(AS5,PullDown!$N:$T,7,FALSE),"")</f>
        <v/>
      </c>
      <c r="AT6" s="275" t="s">
        <v>15120</v>
      </c>
      <c r="AU6" s="275" t="str">
        <f>IFERROR(VLOOKUP(AU5,PullDown!$N:$T,7,FALSE),"")</f>
        <v/>
      </c>
      <c r="AV6" s="275" t="s">
        <v>15121</v>
      </c>
      <c r="AW6" s="275" t="str">
        <f>IFERROR(VLOOKUP(AW5,PullDown!$N:$T,7,FALSE),"")</f>
        <v/>
      </c>
      <c r="AX6" s="275" t="s">
        <v>15122</v>
      </c>
      <c r="AY6" s="275" t="str">
        <f>IFERROR(VLOOKUP(AY5,PullDown!$N:$T,7,FALSE),"")</f>
        <v/>
      </c>
      <c r="AZ6" s="275" t="s">
        <v>15123</v>
      </c>
      <c r="BA6" s="275" t="str">
        <f>IFERROR(VLOOKUP(BA5,PullDown!$N:$T,7,FALSE),"")</f>
        <v/>
      </c>
      <c r="BB6" s="275" t="s">
        <v>15124</v>
      </c>
      <c r="BC6" s="275" t="str">
        <f>IFERROR(VLOOKUP(BC5,PullDown!$N:$T,7,FALSE),"")</f>
        <v/>
      </c>
      <c r="BD6" s="275" t="s">
        <v>15125</v>
      </c>
      <c r="BE6" s="275" t="str">
        <f>IFERROR(VLOOKUP(BE5,PullDown!$N:$T,7,FALSE),"")</f>
        <v/>
      </c>
      <c r="BF6" s="275" t="s">
        <v>15126</v>
      </c>
      <c r="BG6" s="275" t="str">
        <f>IFERROR(VLOOKUP(BG5,PullDown!$N:$T,7,FALSE),"")</f>
        <v/>
      </c>
      <c r="BH6" s="275" t="s">
        <v>15127</v>
      </c>
      <c r="BI6" s="275" t="str">
        <f>IFERROR(VLOOKUP(BI5,PullDown!$N:$T,7,FALSE),"")</f>
        <v/>
      </c>
      <c r="BJ6" s="275" t="s">
        <v>15128</v>
      </c>
      <c r="BK6" s="275" t="str">
        <f>IFERROR(VLOOKUP(BK5,PullDown!$N:$T,7,FALSE),"")</f>
        <v/>
      </c>
      <c r="BL6" s="275" t="s">
        <v>15129</v>
      </c>
      <c r="BM6" s="275" t="str">
        <f>IFERROR(VLOOKUP(BM5,PullDown!$N:$T,7,FALSE),"")</f>
        <v/>
      </c>
      <c r="BN6" s="275" t="s">
        <v>15130</v>
      </c>
      <c r="BO6" s="275" t="str">
        <f>IFERROR(VLOOKUP(BO5,PullDown!$N:$T,7,FALSE),"")</f>
        <v/>
      </c>
      <c r="BP6" s="275" t="s">
        <v>15131</v>
      </c>
      <c r="BQ6" s="275" t="str">
        <f>IFERROR(VLOOKUP(BQ5,PullDown!$N:$T,7,FALSE),"")</f>
        <v/>
      </c>
      <c r="BR6" s="275" t="s">
        <v>15132</v>
      </c>
      <c r="BS6" s="275" t="str">
        <f>IFERROR(VLOOKUP(BS5,PullDown!$N:$T,7,FALSE),"")</f>
        <v/>
      </c>
    </row>
    <row r="7" spans="1:73" ht="20.100000000000001" customHeight="1">
      <c r="B7" s="279"/>
      <c r="C7" s="278" t="s">
        <v>15133</v>
      </c>
      <c r="D7" s="276" t="s">
        <v>585</v>
      </c>
      <c r="E7" s="280" t="str">
        <f>シート反映用データ!XS2</f>
        <v>①原則の上限額</v>
      </c>
      <c r="F7" s="280" t="s">
        <v>602</v>
      </c>
      <c r="G7" s="280">
        <f>シート反映用データ!YK2</f>
        <v>0</v>
      </c>
      <c r="H7" s="280" t="s">
        <v>619</v>
      </c>
      <c r="I7" s="280">
        <f>シート反映用データ!ZC2</f>
        <v>0</v>
      </c>
      <c r="J7" s="280" t="s">
        <v>636</v>
      </c>
      <c r="K7" s="280">
        <f>シート反映用データ!ZU2</f>
        <v>0</v>
      </c>
      <c r="L7" s="280" t="s">
        <v>653</v>
      </c>
      <c r="M7" s="280">
        <f>シート反映用データ!AAM2</f>
        <v>0</v>
      </c>
      <c r="N7" s="280" t="s">
        <v>670</v>
      </c>
      <c r="O7" s="280">
        <f>シート反映用データ!ABE2</f>
        <v>0</v>
      </c>
      <c r="P7" s="280" t="s">
        <v>687</v>
      </c>
      <c r="Q7" s="280">
        <f>シート反映用データ!ABW2</f>
        <v>0</v>
      </c>
      <c r="R7" s="280" t="s">
        <v>704</v>
      </c>
      <c r="S7" s="280">
        <f>シート反映用データ!ACO2</f>
        <v>0</v>
      </c>
      <c r="T7" s="280" t="s">
        <v>721</v>
      </c>
      <c r="U7" s="280">
        <f>シート反映用データ!ADG2</f>
        <v>0</v>
      </c>
      <c r="V7" s="280" t="s">
        <v>738</v>
      </c>
      <c r="W7" s="280">
        <f>シート反映用データ!ADY2</f>
        <v>0</v>
      </c>
      <c r="X7" s="280" t="s">
        <v>755</v>
      </c>
      <c r="Y7" s="280">
        <f>シート反映用データ!AEQ2</f>
        <v>0</v>
      </c>
      <c r="Z7" s="280" t="s">
        <v>772</v>
      </c>
      <c r="AA7" s="280">
        <f>シート反映用データ!AFI2</f>
        <v>0</v>
      </c>
      <c r="AB7" s="280" t="s">
        <v>789</v>
      </c>
      <c r="AC7" s="280">
        <f>シート反映用データ!AGA2</f>
        <v>0</v>
      </c>
      <c r="AD7" s="280" t="s">
        <v>806</v>
      </c>
      <c r="AE7" s="280">
        <f>シート反映用データ!AGS2</f>
        <v>0</v>
      </c>
      <c r="AF7" s="280" t="s">
        <v>823</v>
      </c>
      <c r="AG7" s="280">
        <f>シート反映用データ!AHK2</f>
        <v>0</v>
      </c>
      <c r="AH7" s="280" t="s">
        <v>840</v>
      </c>
      <c r="AI7" s="280">
        <f>シート反映用データ!AIC2</f>
        <v>0</v>
      </c>
      <c r="AJ7" s="280" t="s">
        <v>857</v>
      </c>
      <c r="AK7" s="280">
        <f>シート反映用データ!AIU2</f>
        <v>0</v>
      </c>
      <c r="AL7" s="280" t="s">
        <v>874</v>
      </c>
      <c r="AM7" s="280">
        <f>シート反映用データ!AJM2</f>
        <v>0</v>
      </c>
      <c r="AN7" s="280" t="s">
        <v>891</v>
      </c>
      <c r="AO7" s="280">
        <f>シート反映用データ!AKE2</f>
        <v>0</v>
      </c>
      <c r="AP7" s="280" t="s">
        <v>908</v>
      </c>
      <c r="AQ7" s="280">
        <f>シート反映用データ!AKW2</f>
        <v>0</v>
      </c>
      <c r="AR7" s="280" t="s">
        <v>925</v>
      </c>
      <c r="AS7" s="280">
        <f>シート反映用データ!ALO2</f>
        <v>0</v>
      </c>
      <c r="AT7" s="280" t="s">
        <v>942</v>
      </c>
      <c r="AU7" s="280">
        <f>シート反映用データ!AMG2</f>
        <v>0</v>
      </c>
      <c r="AV7" s="280" t="s">
        <v>959</v>
      </c>
      <c r="AW7" s="280">
        <f>シート反映用データ!AMY2</f>
        <v>0</v>
      </c>
      <c r="AX7" s="280" t="s">
        <v>976</v>
      </c>
      <c r="AY7" s="280">
        <f>シート反映用データ!ANQ2</f>
        <v>0</v>
      </c>
      <c r="AZ7" s="280" t="s">
        <v>993</v>
      </c>
      <c r="BA7" s="280">
        <f>シート反映用データ!AOI2</f>
        <v>0</v>
      </c>
      <c r="BB7" s="280" t="s">
        <v>1010</v>
      </c>
      <c r="BC7" s="280">
        <f>シート反映用データ!APA2</f>
        <v>0</v>
      </c>
      <c r="BD7" s="280" t="s">
        <v>1027</v>
      </c>
      <c r="BE7" s="280">
        <f>シート反映用データ!APS2</f>
        <v>0</v>
      </c>
      <c r="BF7" s="280" t="s">
        <v>1044</v>
      </c>
      <c r="BG7" s="280">
        <f>シート反映用データ!AQK2</f>
        <v>0</v>
      </c>
      <c r="BH7" s="280" t="s">
        <v>1061</v>
      </c>
      <c r="BI7" s="280">
        <f>シート反映用データ!ARC2</f>
        <v>0</v>
      </c>
      <c r="BJ7" s="280" t="s">
        <v>1078</v>
      </c>
      <c r="BK7" s="280">
        <f>シート反映用データ!ARU2</f>
        <v>0</v>
      </c>
      <c r="BL7" s="280" t="s">
        <v>1095</v>
      </c>
      <c r="BM7" s="280">
        <f>シート反映用データ!ASM2</f>
        <v>0</v>
      </c>
      <c r="BN7" s="280" t="s">
        <v>1112</v>
      </c>
      <c r="BO7" s="280">
        <f>シート反映用データ!ATE2</f>
        <v>0</v>
      </c>
      <c r="BP7" s="280" t="s">
        <v>1129</v>
      </c>
      <c r="BQ7" s="280">
        <f>シート反映用データ!ATW2</f>
        <v>0</v>
      </c>
      <c r="BR7" s="280" t="s">
        <v>1146</v>
      </c>
      <c r="BS7" s="280">
        <f>シート反映用データ!AUO2</f>
        <v>0</v>
      </c>
      <c r="BU7" s="70" t="s">
        <v>15134</v>
      </c>
    </row>
    <row r="8" spans="1:73" ht="20.100000000000001" customHeight="1">
      <c r="B8" s="277"/>
      <c r="C8" s="278" t="s">
        <v>15135</v>
      </c>
      <c r="D8" s="278"/>
      <c r="E8" s="281" t="e">
        <f>IF(#REF!="○",SUM('（参考）包括・任意事業の上限額算定の手引き'!G8:BS8),IF(AND(E7=A17,E30="○")=TRUE,E20,E14))</f>
        <v>#REF!</v>
      </c>
      <c r="F8" s="281"/>
      <c r="G8" s="281">
        <f>IF(AND(G7=$A$17,G30="○")=TRUE,G20,G14)</f>
        <v>0</v>
      </c>
      <c r="H8" s="281"/>
      <c r="I8" s="281">
        <f>IF(AND(I7=$A$17,I30="○")=TRUE,I20,I14)</f>
        <v>0</v>
      </c>
      <c r="J8" s="281"/>
      <c r="K8" s="281">
        <f>IF(AND(K7=$A$17,K30="○")=TRUE,K20,K14)</f>
        <v>0</v>
      </c>
      <c r="L8" s="281"/>
      <c r="M8" s="281">
        <f>IF(AND(M7=$A$17,M30="○")=TRUE,M20,M14)</f>
        <v>0</v>
      </c>
      <c r="N8" s="281"/>
      <c r="O8" s="281">
        <f>IF(AND(O7=$A$17,O30="○")=TRUE,O20,O14)</f>
        <v>0</v>
      </c>
      <c r="P8" s="281"/>
      <c r="Q8" s="281">
        <f>IF(AND(Q7=$A$17,Q30="○")=TRUE,Q20,Q14)</f>
        <v>0</v>
      </c>
      <c r="R8" s="281"/>
      <c r="S8" s="281">
        <f>IF(AND(S7=$A$17,S30="○")=TRUE,S20,S14)</f>
        <v>0</v>
      </c>
      <c r="T8" s="281"/>
      <c r="U8" s="281">
        <f>IF(AND(U7=$A$17,U30="○")=TRUE,U20,U14)</f>
        <v>0</v>
      </c>
      <c r="V8" s="281"/>
      <c r="W8" s="281">
        <f>IF(AND(W7=$A$17,W30="○")=TRUE,W20,W14)</f>
        <v>0</v>
      </c>
      <c r="X8" s="281"/>
      <c r="Y8" s="281">
        <f>IF(AND(Y7=$A$17,Y30="○")=TRUE,Y20,Y14)</f>
        <v>0</v>
      </c>
      <c r="Z8" s="281"/>
      <c r="AA8" s="281">
        <f>IF(AND(AA7=$A$17,AA30="○")=TRUE,AA20,AA14)</f>
        <v>0</v>
      </c>
      <c r="AB8" s="281"/>
      <c r="AC8" s="281">
        <f>IF(AND(AC7=$A$17,AC30="○")=TRUE,AC20,AC14)</f>
        <v>0</v>
      </c>
      <c r="AD8" s="281"/>
      <c r="AE8" s="281">
        <f>IF(AND(AE7=$A$17,AE30="○")=TRUE,AE20,AE14)</f>
        <v>0</v>
      </c>
      <c r="AF8" s="281"/>
      <c r="AG8" s="281">
        <f>IF(AND(AG7=$A$17,AG30="○")=TRUE,AG20,AG14)</f>
        <v>0</v>
      </c>
      <c r="AH8" s="281"/>
      <c r="AI8" s="281">
        <f>IF(AND(AI7=$A$17,AI30="○")=TRUE,AI20,AI14)</f>
        <v>0</v>
      </c>
      <c r="AJ8" s="281"/>
      <c r="AK8" s="281">
        <f>IF(AND(AK7=$A$17,AK30="○")=TRUE,AK20,AK14)</f>
        <v>0</v>
      </c>
      <c r="AL8" s="281"/>
      <c r="AM8" s="281">
        <f>IF(AND(AM7=$A$17,AM30="○")=TRUE,AM20,AM14)</f>
        <v>0</v>
      </c>
      <c r="AN8" s="281"/>
      <c r="AO8" s="281">
        <f>IF(AND(AO7=$A$17,AO30="○")=TRUE,AO20,AO14)</f>
        <v>0</v>
      </c>
      <c r="AP8" s="281"/>
      <c r="AQ8" s="281">
        <f>IF(AND(AQ7=$A$17,AQ30="○")=TRUE,AQ20,AQ14)</f>
        <v>0</v>
      </c>
      <c r="AR8" s="281"/>
      <c r="AS8" s="281">
        <f>IF(AND(AS7=$A$17,AS30="○")=TRUE,AS20,AS14)</f>
        <v>0</v>
      </c>
      <c r="AT8" s="281"/>
      <c r="AU8" s="281">
        <f>IF(AND(AU7=$A$17,AU30="○")=TRUE,AU20,AU14)</f>
        <v>0</v>
      </c>
      <c r="AV8" s="281"/>
      <c r="AW8" s="281">
        <f>IF(AND(AW7=$A$17,AW30="○")=TRUE,AW20,AW14)</f>
        <v>0</v>
      </c>
      <c r="AX8" s="281"/>
      <c r="AY8" s="281">
        <f>IF(AND(AY7=$A$17,AY30="○")=TRUE,AY20,AY14)</f>
        <v>0</v>
      </c>
      <c r="AZ8" s="281"/>
      <c r="BA8" s="281">
        <f>IF(AND(BA7=$A$17,BA30="○")=TRUE,BA20,BA14)</f>
        <v>0</v>
      </c>
      <c r="BB8" s="281"/>
      <c r="BC8" s="281">
        <f>IF(AND(BC7=$A$17,BC30="○")=TRUE,BC20,BC14)</f>
        <v>0</v>
      </c>
      <c r="BD8" s="281"/>
      <c r="BE8" s="281">
        <f>IF(AND(BE7=$A$17,BE30="○")=TRUE,BE20,BE14)</f>
        <v>0</v>
      </c>
      <c r="BF8" s="281"/>
      <c r="BG8" s="281">
        <f>IF(AND(BG7=$A$17,BG30="○")=TRUE,BG20,BG14)</f>
        <v>0</v>
      </c>
      <c r="BH8" s="281"/>
      <c r="BI8" s="281">
        <f>IF(AND(BI7=$A$17,BI30="○")=TRUE,BI20,BI14)</f>
        <v>0</v>
      </c>
      <c r="BJ8" s="281"/>
      <c r="BK8" s="281">
        <f>IF(AND(BK7=$A$17,BK30="○")=TRUE,BK20,BK14)</f>
        <v>0</v>
      </c>
      <c r="BL8" s="281"/>
      <c r="BM8" s="281">
        <f>IF(AND(BM7=$A$17,BM30="○")=TRUE,BM20,BM14)</f>
        <v>0</v>
      </c>
      <c r="BN8" s="281"/>
      <c r="BO8" s="281">
        <f>IF(AND(BO7=$A$17,BO30="○")=TRUE,BO20,BO14)</f>
        <v>0</v>
      </c>
      <c r="BP8" s="281"/>
      <c r="BQ8" s="281">
        <f>IF(AND(BQ7=$A$17,BQ30="○")=TRUE,BQ20,BQ14)</f>
        <v>0</v>
      </c>
      <c r="BR8" s="281"/>
      <c r="BS8" s="281">
        <f>IF(AND(BS7=$A$17,BS30="○")=TRUE,BS20,BS14)</f>
        <v>0</v>
      </c>
      <c r="BU8" s="70" t="s">
        <v>15136</v>
      </c>
    </row>
    <row r="9" spans="1:73" ht="20.100000000000001" customHeight="1">
      <c r="B9" s="277"/>
      <c r="C9" s="282"/>
      <c r="D9" s="282"/>
      <c r="E9" s="283" t="str">
        <f>IF(COUNTIF(E7,"*特例*")=1,IF(E30="×","特例の上限式の適用条件を確認してください",""),"")</f>
        <v/>
      </c>
      <c r="F9" s="283"/>
      <c r="G9" s="283" t="str">
        <f>IF(COUNTIF(G7,"*特例*")=1,IF(G30="×","特例の上限式の適用条件を確認してください",""),"")</f>
        <v/>
      </c>
      <c r="H9" s="283"/>
      <c r="I9" s="283" t="str">
        <f>IF(COUNTIF(I7,"*特例*")=1,IF(I30="×","特例の上限式の適用条件を確認してください",""),"")</f>
        <v/>
      </c>
      <c r="J9" s="283"/>
      <c r="K9" s="283" t="str">
        <f>IF(COUNTIF(K7,"*特例*")=1,IF(K30="×","特例の上限式の適用条件を確認してください",""),"")</f>
        <v/>
      </c>
      <c r="L9" s="283"/>
      <c r="M9" s="283" t="str">
        <f>IF(COUNTIF(M7,"*特例*")=1,IF(M30="×","特例の上限式の適用条件を確認してください",""),"")</f>
        <v/>
      </c>
      <c r="N9" s="283"/>
      <c r="O9" s="283" t="str">
        <f>IF(COUNTIF(O7,"*特例*")=1,IF(O30="×","特例の上限式の適用条件を確認してください",""),"")</f>
        <v/>
      </c>
      <c r="P9" s="283"/>
      <c r="Q9" s="283" t="str">
        <f>IF(COUNTIF(Q7,"*特例*")=1,IF(Q30="×","特例の上限式の適用条件を確認してください",""),"")</f>
        <v/>
      </c>
      <c r="R9" s="283"/>
      <c r="S9" s="283" t="str">
        <f>IF(COUNTIF(S7,"*特例*")=1,IF(S30="×","特例の上限式の適用条件を確認してください",""),"")</f>
        <v/>
      </c>
      <c r="T9" s="283"/>
      <c r="U9" s="283" t="str">
        <f>IF(COUNTIF(U7,"*特例*")=1,IF(U30="×","特例の上限式の適用条件を確認してください",""),"")</f>
        <v/>
      </c>
      <c r="V9" s="283"/>
      <c r="W9" s="283" t="str">
        <f>IF(COUNTIF(W7,"*特例*")=1,IF(W30="×","特例の上限式の適用条件を確認してください",""),"")</f>
        <v/>
      </c>
      <c r="X9" s="283"/>
      <c r="Y9" s="283" t="str">
        <f>IF(COUNTIF(Y7,"*特例*")=1,IF(Y30="×","特例の上限式の適用条件を確認してください",""),"")</f>
        <v/>
      </c>
      <c r="Z9" s="283"/>
      <c r="AA9" s="283" t="str">
        <f>IF(COUNTIF(AA7,"*特例*")=1,IF(AA30="×","特例の上限式の適用条件を確認してください",""),"")</f>
        <v/>
      </c>
      <c r="AB9" s="283"/>
      <c r="AC9" s="283" t="str">
        <f>IF(COUNTIF(AC7,"*特例*")=1,IF(AC30="×","特例の上限式の適用条件を確認してください",""),"")</f>
        <v/>
      </c>
      <c r="AD9" s="283"/>
      <c r="AE9" s="283" t="str">
        <f>IF(COUNTIF(AE7,"*特例*")=1,IF(AE30="×","特例の上限式の適用条件を確認してください",""),"")</f>
        <v/>
      </c>
      <c r="AF9" s="283"/>
      <c r="AG9" s="283" t="str">
        <f>IF(COUNTIF(AG7,"*特例*")=1,IF(AG30="×","特例の上限式の適用条件を確認してください",""),"")</f>
        <v/>
      </c>
      <c r="AH9" s="283"/>
      <c r="AI9" s="283" t="str">
        <f>IF(COUNTIF(AI7,"*特例*")=1,IF(AI30="×","特例の上限式の適用条件を確認してください",""),"")</f>
        <v/>
      </c>
      <c r="AJ9" s="283"/>
      <c r="AK9" s="283" t="str">
        <f>IF(COUNTIF(AK7,"*特例*")=1,IF(AK30="×","特例の上限式の適用条件を確認してください",""),"")</f>
        <v/>
      </c>
      <c r="AL9" s="283"/>
      <c r="AM9" s="283" t="str">
        <f>IF(COUNTIF(AM7,"*特例*")=1,IF(AM30="×","特例の上限式の適用条件を確認してください",""),"")</f>
        <v/>
      </c>
      <c r="AN9" s="283"/>
      <c r="AO9" s="283" t="str">
        <f>IF(COUNTIF(AO7,"*特例*")=1,IF(AO30="×","特例の上限式の適用条件を確認してください",""),"")</f>
        <v/>
      </c>
      <c r="AP9" s="283"/>
      <c r="AQ9" s="283" t="str">
        <f>IF(COUNTIF(AQ7,"*特例*")=1,IF(AQ30="×","特例の上限式の適用条件を確認してください",""),"")</f>
        <v/>
      </c>
      <c r="AR9" s="283"/>
      <c r="AS9" s="283" t="str">
        <f>IF(COUNTIF(AS7,"*特例*")=1,IF(AS30="×","特例の上限式の適用条件を確認してください",""),"")</f>
        <v/>
      </c>
      <c r="AT9" s="283"/>
      <c r="AU9" s="283" t="str">
        <f>IF(COUNTIF(AU7,"*特例*")=1,IF(AU30="×","特例の上限式の適用条件を確認してください",""),"")</f>
        <v/>
      </c>
      <c r="AV9" s="283"/>
      <c r="AW9" s="283" t="str">
        <f>IF(COUNTIF(AW7,"*特例*")=1,IF(AW30="×","特例の上限式の適用条件を確認してください",""),"")</f>
        <v/>
      </c>
      <c r="AX9" s="283"/>
      <c r="AY9" s="283" t="str">
        <f>IF(COUNTIF(AY7,"*特例*")=1,IF(AY30="×","特例の上限式の適用条件を確認してください",""),"")</f>
        <v/>
      </c>
      <c r="AZ9" s="283"/>
      <c r="BA9" s="283" t="str">
        <f>IF(COUNTIF(BA7,"*特例*")=1,IF(BA30="×","特例の上限式の適用条件を確認してください",""),"")</f>
        <v/>
      </c>
      <c r="BB9" s="283"/>
      <c r="BC9" s="283" t="str">
        <f>IF(COUNTIF(BC7,"*特例*")=1,IF(BC30="×","特例の上限式の適用条件を確認してください",""),"")</f>
        <v/>
      </c>
      <c r="BD9" s="283"/>
      <c r="BE9" s="283" t="str">
        <f>IF(COUNTIF(BE7,"*特例*")=1,IF(BE30="×","特例の上限式の適用条件を確認してください",""),"")</f>
        <v/>
      </c>
      <c r="BF9" s="283"/>
      <c r="BG9" s="283" t="str">
        <f>IF(COUNTIF(BG7,"*特例*")=1,IF(BG30="×","特例の上限式の適用条件を確認してください",""),"")</f>
        <v/>
      </c>
      <c r="BH9" s="283"/>
      <c r="BI9" s="283" t="str">
        <f>IF(COUNTIF(BI7,"*特例*")=1,IF(BI30="×","特例の上限式の適用条件を確認してください",""),"")</f>
        <v/>
      </c>
      <c r="BJ9" s="283"/>
      <c r="BK9" s="283" t="str">
        <f>IF(COUNTIF(BK7,"*特例*")=1,IF(BK30="×","特例の上限式の適用条件を確認してください",""),"")</f>
        <v/>
      </c>
      <c r="BL9" s="283"/>
      <c r="BM9" s="283" t="str">
        <f>IF(COUNTIF(BM7,"*特例*")=1,IF(BM30="×","特例の上限式の適用条件を確認してください",""),"")</f>
        <v/>
      </c>
      <c r="BN9" s="283"/>
      <c r="BO9" s="283" t="str">
        <f>IF(COUNTIF(BO7,"*特例*")=1,IF(BO30="×","特例の上限式の適用条件を確認してください",""),"")</f>
        <v/>
      </c>
      <c r="BP9" s="283"/>
      <c r="BQ9" s="283" t="str">
        <f>IF(COUNTIF(BQ7,"*特例*")=1,IF(BQ30="×","特例の上限式の適用条件を確認してください",""),"")</f>
        <v/>
      </c>
      <c r="BR9" s="283"/>
      <c r="BS9" s="283" t="str">
        <f>IF(COUNTIF(BS7,"*特例*")=1,IF(BS30="×","特例の上限式の適用条件を確認してください",""),"")</f>
        <v/>
      </c>
    </row>
    <row r="10" spans="1:73" ht="20.100000000000001" customHeight="1">
      <c r="A10" s="429" t="s">
        <v>1552</v>
      </c>
      <c r="B10" s="284" t="s">
        <v>15137</v>
      </c>
      <c r="C10" s="276"/>
      <c r="D10" s="276" t="s">
        <v>586</v>
      </c>
      <c r="E10" s="281">
        <f>シート反映用データ!XT2</f>
        <v>24076130</v>
      </c>
      <c r="F10" s="281" t="s">
        <v>603</v>
      </c>
      <c r="G10" s="281">
        <f>シート反映用データ!YL2</f>
        <v>0</v>
      </c>
      <c r="H10" s="281" t="s">
        <v>620</v>
      </c>
      <c r="I10" s="281">
        <f>シート反映用データ!ZD2</f>
        <v>0</v>
      </c>
      <c r="J10" s="281" t="s">
        <v>637</v>
      </c>
      <c r="K10" s="281">
        <f>シート反映用データ!ZV2</f>
        <v>0</v>
      </c>
      <c r="L10" s="281" t="s">
        <v>654</v>
      </c>
      <c r="M10" s="281">
        <f>シート反映用データ!AAN2</f>
        <v>0</v>
      </c>
      <c r="N10" s="281" t="s">
        <v>671</v>
      </c>
      <c r="O10" s="281">
        <f>シート反映用データ!ABF2</f>
        <v>0</v>
      </c>
      <c r="P10" s="281" t="s">
        <v>688</v>
      </c>
      <c r="Q10" s="281">
        <f>シート反映用データ!ABX2</f>
        <v>0</v>
      </c>
      <c r="R10" s="281" t="s">
        <v>705</v>
      </c>
      <c r="S10" s="281">
        <f>シート反映用データ!ACP2</f>
        <v>0</v>
      </c>
      <c r="T10" s="281" t="s">
        <v>722</v>
      </c>
      <c r="U10" s="281">
        <f>シート反映用データ!ADH2</f>
        <v>0</v>
      </c>
      <c r="V10" s="281" t="s">
        <v>739</v>
      </c>
      <c r="W10" s="281">
        <f>シート反映用データ!ADZ2</f>
        <v>0</v>
      </c>
      <c r="X10" s="281" t="s">
        <v>756</v>
      </c>
      <c r="Y10" s="281">
        <f>シート反映用データ!AER2</f>
        <v>0</v>
      </c>
      <c r="Z10" s="281" t="s">
        <v>773</v>
      </c>
      <c r="AA10" s="281">
        <f>シート反映用データ!AFJ2</f>
        <v>0</v>
      </c>
      <c r="AB10" s="281" t="s">
        <v>790</v>
      </c>
      <c r="AC10" s="281">
        <f>シート反映用データ!AGB2</f>
        <v>0</v>
      </c>
      <c r="AD10" s="281" t="s">
        <v>807</v>
      </c>
      <c r="AE10" s="281">
        <f>シート反映用データ!AGT2</f>
        <v>0</v>
      </c>
      <c r="AF10" s="281" t="s">
        <v>824</v>
      </c>
      <c r="AG10" s="281">
        <f>シート反映用データ!AHL2</f>
        <v>0</v>
      </c>
      <c r="AH10" s="281" t="s">
        <v>841</v>
      </c>
      <c r="AI10" s="281">
        <f>シート反映用データ!AID2</f>
        <v>0</v>
      </c>
      <c r="AJ10" s="281" t="s">
        <v>858</v>
      </c>
      <c r="AK10" s="281">
        <f>シート反映用データ!AIV2</f>
        <v>0</v>
      </c>
      <c r="AL10" s="281" t="s">
        <v>875</v>
      </c>
      <c r="AM10" s="281">
        <f>シート反映用データ!AJN2</f>
        <v>0</v>
      </c>
      <c r="AN10" s="281" t="s">
        <v>892</v>
      </c>
      <c r="AO10" s="281">
        <f>シート反映用データ!AKF2</f>
        <v>0</v>
      </c>
      <c r="AP10" s="281" t="s">
        <v>909</v>
      </c>
      <c r="AQ10" s="281">
        <f>シート反映用データ!AKX2</f>
        <v>0</v>
      </c>
      <c r="AR10" s="281" t="s">
        <v>926</v>
      </c>
      <c r="AS10" s="281">
        <f>シート反映用データ!ALP2</f>
        <v>0</v>
      </c>
      <c r="AT10" s="281" t="s">
        <v>943</v>
      </c>
      <c r="AU10" s="281">
        <f>シート反映用データ!AMH2</f>
        <v>0</v>
      </c>
      <c r="AV10" s="281" t="s">
        <v>960</v>
      </c>
      <c r="AW10" s="281">
        <f>シート反映用データ!AMZ2</f>
        <v>0</v>
      </c>
      <c r="AX10" s="281" t="s">
        <v>977</v>
      </c>
      <c r="AY10" s="281">
        <f>シート反映用データ!ANR2</f>
        <v>0</v>
      </c>
      <c r="AZ10" s="281" t="s">
        <v>994</v>
      </c>
      <c r="BA10" s="281">
        <f>シート反映用データ!AOJ2</f>
        <v>0</v>
      </c>
      <c r="BB10" s="281" t="s">
        <v>1011</v>
      </c>
      <c r="BC10" s="281">
        <f>シート反映用データ!APB2</f>
        <v>0</v>
      </c>
      <c r="BD10" s="281" t="s">
        <v>1028</v>
      </c>
      <c r="BE10" s="281">
        <f>シート反映用データ!APT2</f>
        <v>0</v>
      </c>
      <c r="BF10" s="281" t="s">
        <v>1045</v>
      </c>
      <c r="BG10" s="281">
        <f>シート反映用データ!AQL2</f>
        <v>0</v>
      </c>
      <c r="BH10" s="281" t="s">
        <v>1062</v>
      </c>
      <c r="BI10" s="281">
        <f>シート反映用データ!ARD2</f>
        <v>0</v>
      </c>
      <c r="BJ10" s="281" t="s">
        <v>1079</v>
      </c>
      <c r="BK10" s="281">
        <f>シート反映用データ!ARV2</f>
        <v>0</v>
      </c>
      <c r="BL10" s="281" t="s">
        <v>1096</v>
      </c>
      <c r="BM10" s="281">
        <f>シート反映用データ!ASN2</f>
        <v>0</v>
      </c>
      <c r="BN10" s="281" t="s">
        <v>1113</v>
      </c>
      <c r="BO10" s="281">
        <f>シート反映用データ!ATF2</f>
        <v>0</v>
      </c>
      <c r="BP10" s="281" t="s">
        <v>1130</v>
      </c>
      <c r="BQ10" s="281">
        <f>シート反映用データ!ATX2</f>
        <v>0</v>
      </c>
      <c r="BR10" s="281" t="s">
        <v>1147</v>
      </c>
      <c r="BS10" s="281">
        <f>シート反映用データ!AUP2</f>
        <v>0</v>
      </c>
    </row>
    <row r="11" spans="1:73" ht="20.100000000000001" customHeight="1">
      <c r="A11" s="430"/>
      <c r="B11" s="275" t="s">
        <v>15138</v>
      </c>
      <c r="C11" s="285"/>
      <c r="D11" s="285" t="s">
        <v>587</v>
      </c>
      <c r="E11" s="286">
        <f>シート反映用データ!XU2</f>
        <v>3464</v>
      </c>
      <c r="F11" s="286" t="s">
        <v>604</v>
      </c>
      <c r="G11" s="286">
        <f>シート反映用データ!YM2</f>
        <v>0</v>
      </c>
      <c r="H11" s="286" t="s">
        <v>621</v>
      </c>
      <c r="I11" s="286">
        <f>シート反映用データ!ZE2</f>
        <v>0</v>
      </c>
      <c r="J11" s="286" t="s">
        <v>638</v>
      </c>
      <c r="K11" s="286">
        <f>シート反映用データ!ZW2</f>
        <v>0</v>
      </c>
      <c r="L11" s="286" t="s">
        <v>655</v>
      </c>
      <c r="M11" s="286">
        <f>シート反映用データ!AAO2</f>
        <v>0</v>
      </c>
      <c r="N11" s="286" t="s">
        <v>672</v>
      </c>
      <c r="O11" s="286">
        <f>シート反映用データ!ABG2</f>
        <v>0</v>
      </c>
      <c r="P11" s="286" t="s">
        <v>689</v>
      </c>
      <c r="Q11" s="286">
        <f>シート反映用データ!ABY2</f>
        <v>0</v>
      </c>
      <c r="R11" s="286" t="s">
        <v>706</v>
      </c>
      <c r="S11" s="286">
        <f>シート反映用データ!ACQ2</f>
        <v>0</v>
      </c>
      <c r="T11" s="286" t="s">
        <v>723</v>
      </c>
      <c r="U11" s="286">
        <f>シート反映用データ!ADI2</f>
        <v>0</v>
      </c>
      <c r="V11" s="286" t="s">
        <v>740</v>
      </c>
      <c r="W11" s="286">
        <f>シート反映用データ!AEA2</f>
        <v>0</v>
      </c>
      <c r="X11" s="286" t="s">
        <v>757</v>
      </c>
      <c r="Y11" s="286">
        <f>シート反映用データ!AES2</f>
        <v>0</v>
      </c>
      <c r="Z11" s="286" t="s">
        <v>774</v>
      </c>
      <c r="AA11" s="286">
        <f>シート反映用データ!AFK2</f>
        <v>0</v>
      </c>
      <c r="AB11" s="286" t="s">
        <v>791</v>
      </c>
      <c r="AC11" s="286">
        <f>シート反映用データ!AGC2</f>
        <v>0</v>
      </c>
      <c r="AD11" s="286" t="s">
        <v>808</v>
      </c>
      <c r="AE11" s="286">
        <f>シート反映用データ!AGU2</f>
        <v>0</v>
      </c>
      <c r="AF11" s="286" t="s">
        <v>825</v>
      </c>
      <c r="AG11" s="286">
        <f>シート反映用データ!AHM2</f>
        <v>0</v>
      </c>
      <c r="AH11" s="286" t="s">
        <v>842</v>
      </c>
      <c r="AI11" s="286">
        <f>シート反映用データ!AIE2</f>
        <v>0</v>
      </c>
      <c r="AJ11" s="286" t="s">
        <v>859</v>
      </c>
      <c r="AK11" s="286">
        <f>シート反映用データ!AIW2</f>
        <v>0</v>
      </c>
      <c r="AL11" s="286" t="s">
        <v>876</v>
      </c>
      <c r="AM11" s="286">
        <f>シート反映用データ!AJO2</f>
        <v>0</v>
      </c>
      <c r="AN11" s="286" t="s">
        <v>893</v>
      </c>
      <c r="AO11" s="286">
        <f>シート反映用データ!AKG2</f>
        <v>0</v>
      </c>
      <c r="AP11" s="286" t="s">
        <v>910</v>
      </c>
      <c r="AQ11" s="286">
        <f>シート反映用データ!AKY2</f>
        <v>0</v>
      </c>
      <c r="AR11" s="286" t="s">
        <v>927</v>
      </c>
      <c r="AS11" s="286">
        <f>シート反映用データ!ALQ2</f>
        <v>0</v>
      </c>
      <c r="AT11" s="286" t="s">
        <v>944</v>
      </c>
      <c r="AU11" s="286">
        <f>シート反映用データ!AMI2</f>
        <v>0</v>
      </c>
      <c r="AV11" s="286" t="s">
        <v>961</v>
      </c>
      <c r="AW11" s="286">
        <f>シート反映用データ!ANA2</f>
        <v>0</v>
      </c>
      <c r="AX11" s="286" t="s">
        <v>978</v>
      </c>
      <c r="AY11" s="286">
        <f>シート反映用データ!ANS2</f>
        <v>0</v>
      </c>
      <c r="AZ11" s="286" t="s">
        <v>995</v>
      </c>
      <c r="BA11" s="286">
        <f>シート反映用データ!AOK2</f>
        <v>0</v>
      </c>
      <c r="BB11" s="286" t="s">
        <v>1012</v>
      </c>
      <c r="BC11" s="286">
        <f>シート反映用データ!APC2</f>
        <v>0</v>
      </c>
      <c r="BD11" s="286" t="s">
        <v>1029</v>
      </c>
      <c r="BE11" s="286">
        <f>シート反映用データ!APU2</f>
        <v>0</v>
      </c>
      <c r="BF11" s="286" t="s">
        <v>1046</v>
      </c>
      <c r="BG11" s="286">
        <f>シート反映用データ!AQM2</f>
        <v>0</v>
      </c>
      <c r="BH11" s="286" t="s">
        <v>1063</v>
      </c>
      <c r="BI11" s="286">
        <f>シート反映用データ!ARE2</f>
        <v>0</v>
      </c>
      <c r="BJ11" s="286" t="s">
        <v>1080</v>
      </c>
      <c r="BK11" s="286">
        <f>シート反映用データ!ARW2</f>
        <v>0</v>
      </c>
      <c r="BL11" s="286" t="s">
        <v>1097</v>
      </c>
      <c r="BM11" s="286">
        <f>シート反映用データ!ASO2</f>
        <v>0</v>
      </c>
      <c r="BN11" s="286" t="s">
        <v>1114</v>
      </c>
      <c r="BO11" s="286">
        <f>シート反映用データ!ATG2</f>
        <v>0</v>
      </c>
      <c r="BP11" s="286" t="s">
        <v>1131</v>
      </c>
      <c r="BQ11" s="286">
        <f>シート反映用データ!ATY2</f>
        <v>0</v>
      </c>
      <c r="BR11" s="286" t="s">
        <v>1148</v>
      </c>
      <c r="BS11" s="286">
        <f>シート反映用データ!AUQ2</f>
        <v>0</v>
      </c>
    </row>
    <row r="12" spans="1:73" ht="20.100000000000001" customHeight="1">
      <c r="A12" s="430"/>
      <c r="B12" s="275" t="s">
        <v>15139</v>
      </c>
      <c r="C12" s="287"/>
      <c r="D12" s="287" t="s">
        <v>588</v>
      </c>
      <c r="E12" s="286">
        <f>シート反映用データ!XV2</f>
        <v>3497</v>
      </c>
      <c r="F12" s="286" t="s">
        <v>605</v>
      </c>
      <c r="G12" s="286">
        <f>シート反映用データ!YN2</f>
        <v>0</v>
      </c>
      <c r="H12" s="286" t="s">
        <v>622</v>
      </c>
      <c r="I12" s="286">
        <f>シート反映用データ!ZF2</f>
        <v>0</v>
      </c>
      <c r="J12" s="286" t="s">
        <v>639</v>
      </c>
      <c r="K12" s="286">
        <f>シート反映用データ!ZX2</f>
        <v>0</v>
      </c>
      <c r="L12" s="286" t="s">
        <v>656</v>
      </c>
      <c r="M12" s="286">
        <f>シート反映用データ!AAP2</f>
        <v>0</v>
      </c>
      <c r="N12" s="286" t="s">
        <v>673</v>
      </c>
      <c r="O12" s="286">
        <f>シート反映用データ!ABH2</f>
        <v>0</v>
      </c>
      <c r="P12" s="286" t="s">
        <v>690</v>
      </c>
      <c r="Q12" s="286">
        <f>シート反映用データ!ABZ2</f>
        <v>0</v>
      </c>
      <c r="R12" s="286" t="s">
        <v>707</v>
      </c>
      <c r="S12" s="286">
        <f>シート反映用データ!ACR2</f>
        <v>0</v>
      </c>
      <c r="T12" s="286" t="s">
        <v>724</v>
      </c>
      <c r="U12" s="286">
        <f>シート反映用データ!ADJ2</f>
        <v>0</v>
      </c>
      <c r="V12" s="286" t="s">
        <v>741</v>
      </c>
      <c r="W12" s="286">
        <f>シート反映用データ!AEB2</f>
        <v>0</v>
      </c>
      <c r="X12" s="286" t="s">
        <v>758</v>
      </c>
      <c r="Y12" s="286">
        <f>シート反映用データ!AET2</f>
        <v>0</v>
      </c>
      <c r="Z12" s="286" t="s">
        <v>775</v>
      </c>
      <c r="AA12" s="286">
        <f>シート反映用データ!AFL2</f>
        <v>0</v>
      </c>
      <c r="AB12" s="286" t="s">
        <v>792</v>
      </c>
      <c r="AC12" s="286">
        <f>シート反映用データ!AGD2</f>
        <v>0</v>
      </c>
      <c r="AD12" s="286" t="s">
        <v>809</v>
      </c>
      <c r="AE12" s="286">
        <f>シート反映用データ!AGV2</f>
        <v>0</v>
      </c>
      <c r="AF12" s="286" t="s">
        <v>826</v>
      </c>
      <c r="AG12" s="286">
        <f>シート反映用データ!AHN2</f>
        <v>0</v>
      </c>
      <c r="AH12" s="286" t="s">
        <v>843</v>
      </c>
      <c r="AI12" s="286">
        <f>シート反映用データ!AIF2</f>
        <v>0</v>
      </c>
      <c r="AJ12" s="286" t="s">
        <v>860</v>
      </c>
      <c r="AK12" s="286">
        <f>シート反映用データ!AIX2</f>
        <v>0</v>
      </c>
      <c r="AL12" s="286" t="s">
        <v>877</v>
      </c>
      <c r="AM12" s="286">
        <f>シート反映用データ!AJP2</f>
        <v>0</v>
      </c>
      <c r="AN12" s="286" t="s">
        <v>894</v>
      </c>
      <c r="AO12" s="286">
        <f>シート反映用データ!AKH2</f>
        <v>0</v>
      </c>
      <c r="AP12" s="286" t="s">
        <v>911</v>
      </c>
      <c r="AQ12" s="286">
        <f>シート反映用データ!AKZ2</f>
        <v>0</v>
      </c>
      <c r="AR12" s="286" t="s">
        <v>928</v>
      </c>
      <c r="AS12" s="286">
        <f>シート反映用データ!ALR2</f>
        <v>0</v>
      </c>
      <c r="AT12" s="286" t="s">
        <v>945</v>
      </c>
      <c r="AU12" s="286">
        <f>シート反映用データ!AMJ2</f>
        <v>0</v>
      </c>
      <c r="AV12" s="286" t="s">
        <v>962</v>
      </c>
      <c r="AW12" s="286">
        <f>シート反映用データ!ANB2</f>
        <v>0</v>
      </c>
      <c r="AX12" s="286" t="s">
        <v>979</v>
      </c>
      <c r="AY12" s="286">
        <f>シート反映用データ!ANT2</f>
        <v>0</v>
      </c>
      <c r="AZ12" s="286" t="s">
        <v>996</v>
      </c>
      <c r="BA12" s="286">
        <f>シート反映用データ!AOL2</f>
        <v>0</v>
      </c>
      <c r="BB12" s="286" t="s">
        <v>1013</v>
      </c>
      <c r="BC12" s="286">
        <f>シート反映用データ!APD2</f>
        <v>0</v>
      </c>
      <c r="BD12" s="286" t="s">
        <v>1030</v>
      </c>
      <c r="BE12" s="286">
        <f>シート反映用データ!APV2</f>
        <v>0</v>
      </c>
      <c r="BF12" s="286" t="s">
        <v>1047</v>
      </c>
      <c r="BG12" s="286">
        <f>シート反映用データ!AQN2</f>
        <v>0</v>
      </c>
      <c r="BH12" s="286" t="s">
        <v>1064</v>
      </c>
      <c r="BI12" s="286">
        <f>シート反映用データ!ARF2</f>
        <v>0</v>
      </c>
      <c r="BJ12" s="286" t="s">
        <v>1081</v>
      </c>
      <c r="BK12" s="286">
        <f>シート反映用データ!ARX2</f>
        <v>0</v>
      </c>
      <c r="BL12" s="286" t="s">
        <v>1098</v>
      </c>
      <c r="BM12" s="286">
        <f>シート反映用データ!ASP2</f>
        <v>0</v>
      </c>
      <c r="BN12" s="286" t="s">
        <v>1115</v>
      </c>
      <c r="BO12" s="286">
        <f>シート反映用データ!ATH2</f>
        <v>0</v>
      </c>
      <c r="BP12" s="286" t="s">
        <v>1132</v>
      </c>
      <c r="BQ12" s="286">
        <f>シート反映用データ!ATZ2</f>
        <v>0</v>
      </c>
      <c r="BR12" s="286" t="s">
        <v>1149</v>
      </c>
      <c r="BS12" s="286">
        <f>シート反映用データ!AUR2</f>
        <v>0</v>
      </c>
    </row>
    <row r="13" spans="1:73" ht="20.100000000000001" customHeight="1">
      <c r="A13" s="430"/>
      <c r="B13" s="288" t="s">
        <v>15140</v>
      </c>
      <c r="C13" s="276" t="s">
        <v>15141</v>
      </c>
      <c r="D13" s="276" t="s">
        <v>589</v>
      </c>
      <c r="E13" s="289">
        <f>IFERROR(ROUND(1+((E12-E11)/E11)/3,4)," ")</f>
        <v>1.0032000000000001</v>
      </c>
      <c r="F13" s="289" t="s">
        <v>606</v>
      </c>
      <c r="G13" s="289" t="str">
        <f>IFERROR(ROUND(1+((G12-G11)/G11)/3,4)," ")</f>
        <v xml:space="preserve"> </v>
      </c>
      <c r="H13" s="289" t="s">
        <v>623</v>
      </c>
      <c r="I13" s="289" t="str">
        <f>IFERROR(ROUND(1+((I12-I11)/I11)/3,4)," ")</f>
        <v xml:space="preserve"> </v>
      </c>
      <c r="J13" s="289" t="s">
        <v>640</v>
      </c>
      <c r="K13" s="289" t="str">
        <f>IFERROR(ROUND(1+((K12-K11)/K11)/3,4)," ")</f>
        <v xml:space="preserve"> </v>
      </c>
      <c r="L13" s="289" t="s">
        <v>657</v>
      </c>
      <c r="M13" s="289" t="str">
        <f>IFERROR(ROUND(1+((M12-M11)/M11)/3,4)," ")</f>
        <v xml:space="preserve"> </v>
      </c>
      <c r="N13" s="289" t="s">
        <v>674</v>
      </c>
      <c r="O13" s="289" t="str">
        <f>IFERROR(ROUND(1+((O12-O11)/O11)/3,4)," ")</f>
        <v xml:space="preserve"> </v>
      </c>
      <c r="P13" s="289" t="s">
        <v>691</v>
      </c>
      <c r="Q13" s="289" t="str">
        <f>IFERROR(ROUND(1+((Q12-Q11)/Q11)/3,4)," ")</f>
        <v xml:space="preserve"> </v>
      </c>
      <c r="R13" s="289" t="s">
        <v>708</v>
      </c>
      <c r="S13" s="289" t="str">
        <f>IFERROR(ROUND(1+((S12-S11)/S11)/3,4)," ")</f>
        <v xml:space="preserve"> </v>
      </c>
      <c r="T13" s="289" t="s">
        <v>725</v>
      </c>
      <c r="U13" s="289" t="str">
        <f>IFERROR(ROUND(1+((U12-U11)/U11)/3,4)," ")</f>
        <v xml:space="preserve"> </v>
      </c>
      <c r="V13" s="289" t="s">
        <v>742</v>
      </c>
      <c r="W13" s="289" t="str">
        <f>IFERROR(ROUND(1+((W12-W11)/W11)/3,4)," ")</f>
        <v xml:space="preserve"> </v>
      </c>
      <c r="X13" s="289" t="s">
        <v>759</v>
      </c>
      <c r="Y13" s="289" t="str">
        <f>IFERROR(ROUND(1+((Y12-Y11)/Y11)/3,4)," ")</f>
        <v xml:space="preserve"> </v>
      </c>
      <c r="Z13" s="289" t="s">
        <v>776</v>
      </c>
      <c r="AA13" s="289" t="str">
        <f>IFERROR(ROUND(1+((AA12-AA11)/AA11)/3,4)," ")</f>
        <v xml:space="preserve"> </v>
      </c>
      <c r="AB13" s="289" t="s">
        <v>793</v>
      </c>
      <c r="AC13" s="289" t="str">
        <f>IFERROR(ROUND(1+((AC12-AC11)/AC11)/3,4)," ")</f>
        <v xml:space="preserve"> </v>
      </c>
      <c r="AD13" s="289" t="s">
        <v>810</v>
      </c>
      <c r="AE13" s="289" t="str">
        <f>IFERROR(ROUND(1+((AE12-AE11)/AE11)/3,4)," ")</f>
        <v xml:space="preserve"> </v>
      </c>
      <c r="AF13" s="289" t="s">
        <v>827</v>
      </c>
      <c r="AG13" s="289" t="str">
        <f>IFERROR(ROUND(1+((AG12-AG11)/AG11)/3,4)," ")</f>
        <v xml:space="preserve"> </v>
      </c>
      <c r="AH13" s="289" t="s">
        <v>844</v>
      </c>
      <c r="AI13" s="289" t="str">
        <f>IFERROR(ROUND(1+((AI12-AI11)/AI11)/3,4)," ")</f>
        <v xml:space="preserve"> </v>
      </c>
      <c r="AJ13" s="289" t="s">
        <v>861</v>
      </c>
      <c r="AK13" s="289" t="str">
        <f>IFERROR(ROUND(1+((AK12-AK11)/AK11)/3,4)," ")</f>
        <v xml:space="preserve"> </v>
      </c>
      <c r="AL13" s="289" t="s">
        <v>878</v>
      </c>
      <c r="AM13" s="289" t="str">
        <f>IFERROR(ROUND(1+((AM12-AM11)/AM11)/3,4)," ")</f>
        <v xml:space="preserve"> </v>
      </c>
      <c r="AN13" s="289" t="s">
        <v>895</v>
      </c>
      <c r="AO13" s="289" t="str">
        <f>IFERROR(ROUND(1+((AO12-AO11)/AO11)/3,4)," ")</f>
        <v xml:space="preserve"> </v>
      </c>
      <c r="AP13" s="289" t="s">
        <v>912</v>
      </c>
      <c r="AQ13" s="289" t="str">
        <f>IFERROR(ROUND(1+((AQ12-AQ11)/AQ11)/3,4)," ")</f>
        <v xml:space="preserve"> </v>
      </c>
      <c r="AR13" s="289" t="s">
        <v>929</v>
      </c>
      <c r="AS13" s="289" t="str">
        <f>IFERROR(ROUND(1+((AS12-AS11)/AS11)/3,4)," ")</f>
        <v xml:space="preserve"> </v>
      </c>
      <c r="AT13" s="289" t="s">
        <v>946</v>
      </c>
      <c r="AU13" s="289" t="str">
        <f>IFERROR(ROUND(1+((AU12-AU11)/AU11)/3,4)," ")</f>
        <v xml:space="preserve"> </v>
      </c>
      <c r="AV13" s="289" t="s">
        <v>963</v>
      </c>
      <c r="AW13" s="289" t="str">
        <f>IFERROR(ROUND(1+((AW12-AW11)/AW11)/3,4)," ")</f>
        <v xml:space="preserve"> </v>
      </c>
      <c r="AX13" s="289" t="s">
        <v>980</v>
      </c>
      <c r="AY13" s="289" t="str">
        <f>IFERROR(ROUND(1+((AY12-AY11)/AY11)/3,4)," ")</f>
        <v xml:space="preserve"> </v>
      </c>
      <c r="AZ13" s="289" t="s">
        <v>997</v>
      </c>
      <c r="BA13" s="289" t="str">
        <f>IFERROR(ROUND(1+((BA12-BA11)/BA11)/3,4)," ")</f>
        <v xml:space="preserve"> </v>
      </c>
      <c r="BB13" s="289" t="s">
        <v>1014</v>
      </c>
      <c r="BC13" s="289" t="str">
        <f>IFERROR(ROUND(1+((BC12-BC11)/BC11)/3,4)," ")</f>
        <v xml:space="preserve"> </v>
      </c>
      <c r="BD13" s="289" t="s">
        <v>1031</v>
      </c>
      <c r="BE13" s="289" t="str">
        <f>IFERROR(ROUND(1+((BE12-BE11)/BE11)/3,4)," ")</f>
        <v xml:space="preserve"> </v>
      </c>
      <c r="BF13" s="289" t="s">
        <v>1048</v>
      </c>
      <c r="BG13" s="289" t="str">
        <f>IFERROR(ROUND(1+((BG12-BG11)/BG11)/3,4)," ")</f>
        <v xml:space="preserve"> </v>
      </c>
      <c r="BH13" s="289" t="s">
        <v>1065</v>
      </c>
      <c r="BI13" s="289" t="str">
        <f>IFERROR(ROUND(1+((BI12-BI11)/BI11)/3,4)," ")</f>
        <v xml:space="preserve"> </v>
      </c>
      <c r="BJ13" s="289" t="s">
        <v>1082</v>
      </c>
      <c r="BK13" s="289" t="str">
        <f>IFERROR(ROUND(1+((BK12-BK11)/BK11)/3,4)," ")</f>
        <v xml:space="preserve"> </v>
      </c>
      <c r="BL13" s="289" t="s">
        <v>1099</v>
      </c>
      <c r="BM13" s="289" t="str">
        <f>IFERROR(ROUND(1+((BM12-BM11)/BM11)/3,4)," ")</f>
        <v xml:space="preserve"> </v>
      </c>
      <c r="BN13" s="289" t="s">
        <v>1116</v>
      </c>
      <c r="BO13" s="289" t="str">
        <f>IFERROR(ROUND(1+((BO12-BO11)/BO11)/3,4)," ")</f>
        <v xml:space="preserve"> </v>
      </c>
      <c r="BP13" s="289" t="s">
        <v>1133</v>
      </c>
      <c r="BQ13" s="289" t="str">
        <f>IFERROR(ROUND(1+((BQ12-BQ11)/BQ11)/3,4)," ")</f>
        <v xml:space="preserve"> </v>
      </c>
      <c r="BR13" s="289" t="s">
        <v>1150</v>
      </c>
      <c r="BS13" s="289" t="str">
        <f>IFERROR(ROUND(1+((BS12-BS11)/BS11)/3,4)," ")</f>
        <v xml:space="preserve"> </v>
      </c>
    </row>
    <row r="14" spans="1:73" ht="20.100000000000001" customHeight="1">
      <c r="A14" s="431"/>
      <c r="B14" s="275" t="s">
        <v>15142</v>
      </c>
      <c r="C14" s="287" t="s">
        <v>15143</v>
      </c>
      <c r="D14" s="287" t="s">
        <v>15144</v>
      </c>
      <c r="E14" s="281">
        <f>IFERROR(ROUNDDOWN(E10*E13,0),0)</f>
        <v>24153173</v>
      </c>
      <c r="F14" s="281" t="s">
        <v>15145</v>
      </c>
      <c r="G14" s="281">
        <f>IFERROR(ROUNDDOWN(G10*G13,0),0)</f>
        <v>0</v>
      </c>
      <c r="H14" s="281" t="s">
        <v>15146</v>
      </c>
      <c r="I14" s="281">
        <f>IFERROR(ROUNDDOWN(I10*I13,0),0)</f>
        <v>0</v>
      </c>
      <c r="J14" s="281" t="s">
        <v>15147</v>
      </c>
      <c r="K14" s="281">
        <f>IFERROR(ROUNDDOWN(K10*K13,0),0)</f>
        <v>0</v>
      </c>
      <c r="L14" s="281" t="s">
        <v>15148</v>
      </c>
      <c r="M14" s="281">
        <f>IFERROR(ROUNDDOWN(M10*M13,0),0)</f>
        <v>0</v>
      </c>
      <c r="N14" s="281" t="s">
        <v>15149</v>
      </c>
      <c r="O14" s="281">
        <f>IFERROR(ROUNDDOWN(O10*O13,0),0)</f>
        <v>0</v>
      </c>
      <c r="P14" s="281" t="s">
        <v>15150</v>
      </c>
      <c r="Q14" s="281">
        <f>IFERROR(ROUNDDOWN(Q10*Q13,0),0)</f>
        <v>0</v>
      </c>
      <c r="R14" s="281" t="s">
        <v>15151</v>
      </c>
      <c r="S14" s="281">
        <f>IFERROR(ROUNDDOWN(S10*S13,0),0)</f>
        <v>0</v>
      </c>
      <c r="T14" s="281" t="s">
        <v>15152</v>
      </c>
      <c r="U14" s="281">
        <f>IFERROR(ROUNDDOWN(U10*U13,0),0)</f>
        <v>0</v>
      </c>
      <c r="V14" s="281" t="s">
        <v>15153</v>
      </c>
      <c r="W14" s="281">
        <f>IFERROR(ROUNDDOWN(W10*W13,0),0)</f>
        <v>0</v>
      </c>
      <c r="X14" s="281" t="s">
        <v>15154</v>
      </c>
      <c r="Y14" s="281">
        <f>IFERROR(ROUNDDOWN(Y10*Y13,0),0)</f>
        <v>0</v>
      </c>
      <c r="Z14" s="281" t="s">
        <v>15155</v>
      </c>
      <c r="AA14" s="281">
        <f>IFERROR(ROUNDDOWN(AA10*AA13,0),0)</f>
        <v>0</v>
      </c>
      <c r="AB14" s="281" t="s">
        <v>15156</v>
      </c>
      <c r="AC14" s="281">
        <f>IFERROR(ROUNDDOWN(AC10*AC13,0),0)</f>
        <v>0</v>
      </c>
      <c r="AD14" s="281" t="s">
        <v>15157</v>
      </c>
      <c r="AE14" s="281">
        <f>IFERROR(ROUNDDOWN(AE10*AE13,0),0)</f>
        <v>0</v>
      </c>
      <c r="AF14" s="281" t="s">
        <v>15158</v>
      </c>
      <c r="AG14" s="281">
        <f>IFERROR(ROUNDDOWN(AG10*AG13,0),0)</f>
        <v>0</v>
      </c>
      <c r="AH14" s="281" t="s">
        <v>15159</v>
      </c>
      <c r="AI14" s="281">
        <f>IFERROR(ROUNDDOWN(AI10*AI13,0),0)</f>
        <v>0</v>
      </c>
      <c r="AJ14" s="281" t="s">
        <v>15160</v>
      </c>
      <c r="AK14" s="281">
        <f>IFERROR(ROUNDDOWN(AK10*AK13,0),0)</f>
        <v>0</v>
      </c>
      <c r="AL14" s="281" t="s">
        <v>15161</v>
      </c>
      <c r="AM14" s="281">
        <f>IFERROR(ROUNDDOWN(AM10*AM13,0),0)</f>
        <v>0</v>
      </c>
      <c r="AN14" s="281" t="s">
        <v>15162</v>
      </c>
      <c r="AO14" s="281">
        <f>IFERROR(ROUNDDOWN(AO10*AO13,0),0)</f>
        <v>0</v>
      </c>
      <c r="AP14" s="281" t="s">
        <v>15163</v>
      </c>
      <c r="AQ14" s="281">
        <f>IFERROR(ROUNDDOWN(AQ10*AQ13,0),0)</f>
        <v>0</v>
      </c>
      <c r="AR14" s="281" t="s">
        <v>15164</v>
      </c>
      <c r="AS14" s="281">
        <f>IFERROR(ROUNDDOWN(AS10*AS13,0),0)</f>
        <v>0</v>
      </c>
      <c r="AT14" s="281" t="s">
        <v>15165</v>
      </c>
      <c r="AU14" s="281">
        <f>IFERROR(ROUNDDOWN(AU10*AU13,0),0)</f>
        <v>0</v>
      </c>
      <c r="AV14" s="281" t="s">
        <v>15166</v>
      </c>
      <c r="AW14" s="281">
        <f>IFERROR(ROUNDDOWN(AW10*AW13,0),0)</f>
        <v>0</v>
      </c>
      <c r="AX14" s="281" t="s">
        <v>15167</v>
      </c>
      <c r="AY14" s="281">
        <f>IFERROR(ROUNDDOWN(AY10*AY13,0),0)</f>
        <v>0</v>
      </c>
      <c r="AZ14" s="281" t="s">
        <v>15168</v>
      </c>
      <c r="BA14" s="281">
        <f>IFERROR(ROUNDDOWN(BA10*BA13,0),0)</f>
        <v>0</v>
      </c>
      <c r="BB14" s="281" t="s">
        <v>15169</v>
      </c>
      <c r="BC14" s="281">
        <f>IFERROR(ROUNDDOWN(BC10*BC13,0),0)</f>
        <v>0</v>
      </c>
      <c r="BD14" s="281" t="s">
        <v>15170</v>
      </c>
      <c r="BE14" s="281">
        <f>IFERROR(ROUNDDOWN(BE10*BE13,0),0)</f>
        <v>0</v>
      </c>
      <c r="BF14" s="281" t="s">
        <v>15171</v>
      </c>
      <c r="BG14" s="281">
        <f>IFERROR(ROUNDDOWN(BG10*BG13,0),0)</f>
        <v>0</v>
      </c>
      <c r="BH14" s="281" t="s">
        <v>15172</v>
      </c>
      <c r="BI14" s="281">
        <f>IFERROR(ROUNDDOWN(BI10*BI13,0),0)</f>
        <v>0</v>
      </c>
      <c r="BJ14" s="281" t="s">
        <v>15173</v>
      </c>
      <c r="BK14" s="281">
        <f>IFERROR(ROUNDDOWN(BK10*BK13,0),0)</f>
        <v>0</v>
      </c>
      <c r="BL14" s="281" t="s">
        <v>15174</v>
      </c>
      <c r="BM14" s="281">
        <f>IFERROR(ROUNDDOWN(BM10*BM13,0),0)</f>
        <v>0</v>
      </c>
      <c r="BN14" s="281" t="s">
        <v>15175</v>
      </c>
      <c r="BO14" s="281">
        <f>IFERROR(ROUNDDOWN(BO10*BO13,0),0)</f>
        <v>0</v>
      </c>
      <c r="BP14" s="281" t="s">
        <v>15176</v>
      </c>
      <c r="BQ14" s="281">
        <f>IFERROR(ROUNDDOWN(BQ10*BQ13,0),0)</f>
        <v>0</v>
      </c>
      <c r="BR14" s="281" t="s">
        <v>15177</v>
      </c>
      <c r="BS14" s="281">
        <f>IFERROR(ROUNDDOWN(BS10*BS13,0),0)</f>
        <v>0</v>
      </c>
    </row>
    <row r="15" spans="1:73" ht="20.100000000000001" customHeight="1">
      <c r="B15" s="277"/>
      <c r="C15" s="290"/>
      <c r="D15" s="290"/>
      <c r="E15" s="291"/>
      <c r="F15" s="291"/>
      <c r="G15" s="291"/>
      <c r="H15" s="291"/>
      <c r="I15" s="291"/>
      <c r="J15" s="291"/>
      <c r="K15" s="291"/>
      <c r="L15" s="291"/>
      <c r="M15" s="291"/>
      <c r="N15" s="291"/>
      <c r="O15" s="291"/>
      <c r="P15" s="291"/>
      <c r="Q15" s="291"/>
      <c r="R15" s="291"/>
      <c r="S15" s="291"/>
      <c r="T15" s="291"/>
      <c r="U15" s="291"/>
      <c r="V15" s="291"/>
      <c r="W15" s="291"/>
      <c r="X15" s="291"/>
      <c r="Y15" s="291"/>
      <c r="Z15" s="291"/>
      <c r="AA15" s="291"/>
      <c r="AB15" s="291"/>
      <c r="AC15" s="291"/>
      <c r="AD15" s="291"/>
      <c r="AE15" s="291"/>
      <c r="AF15" s="291"/>
      <c r="AG15" s="291"/>
      <c r="AH15" s="291"/>
      <c r="AI15" s="291"/>
      <c r="AJ15" s="291"/>
      <c r="AK15" s="291"/>
      <c r="AL15" s="291"/>
      <c r="AM15" s="291"/>
      <c r="AN15" s="291"/>
      <c r="AO15" s="291"/>
      <c r="AP15" s="291"/>
      <c r="AQ15" s="291"/>
      <c r="AR15" s="291"/>
      <c r="AS15" s="291"/>
      <c r="AT15" s="291"/>
      <c r="AU15" s="291"/>
      <c r="AV15" s="291"/>
      <c r="AW15" s="291"/>
      <c r="AX15" s="291"/>
      <c r="AY15" s="291"/>
      <c r="AZ15" s="291"/>
      <c r="BA15" s="291"/>
      <c r="BB15" s="291"/>
      <c r="BC15" s="291"/>
      <c r="BD15" s="291"/>
      <c r="BE15" s="291"/>
      <c r="BF15" s="291"/>
      <c r="BG15" s="291"/>
      <c r="BH15" s="291"/>
      <c r="BI15" s="291"/>
      <c r="BJ15" s="291"/>
      <c r="BK15" s="291"/>
      <c r="BL15" s="291"/>
      <c r="BM15" s="291"/>
      <c r="BN15" s="291"/>
      <c r="BO15" s="291"/>
      <c r="BP15" s="291"/>
      <c r="BQ15" s="291"/>
      <c r="BR15" s="291"/>
      <c r="BS15" s="291"/>
    </row>
    <row r="16" spans="1:73" ht="20.100000000000001" customHeight="1">
      <c r="A16" s="70" t="s">
        <v>15178</v>
      </c>
      <c r="B16" s="277"/>
      <c r="C16" s="290"/>
      <c r="D16" s="290"/>
      <c r="E16" s="292"/>
      <c r="F16" s="292"/>
      <c r="G16" s="292"/>
      <c r="H16" s="292"/>
      <c r="I16" s="292"/>
      <c r="J16" s="292"/>
      <c r="K16" s="292"/>
      <c r="L16" s="292"/>
      <c r="M16" s="292"/>
      <c r="N16" s="292"/>
      <c r="O16" s="292"/>
      <c r="P16" s="292"/>
      <c r="Q16" s="292"/>
      <c r="R16" s="292"/>
      <c r="S16" s="292"/>
      <c r="T16" s="292"/>
      <c r="U16" s="292"/>
      <c r="V16" s="292"/>
      <c r="W16" s="292"/>
      <c r="X16" s="292"/>
      <c r="Y16" s="292"/>
      <c r="Z16" s="292"/>
      <c r="AA16" s="292"/>
      <c r="AB16" s="292"/>
      <c r="AC16" s="292"/>
      <c r="AD16" s="292"/>
      <c r="AE16" s="292"/>
      <c r="AF16" s="292"/>
      <c r="AG16" s="292"/>
      <c r="AH16" s="292"/>
      <c r="AI16" s="292"/>
      <c r="AJ16" s="292"/>
      <c r="AK16" s="292"/>
      <c r="AL16" s="292"/>
      <c r="AM16" s="292"/>
      <c r="AN16" s="292"/>
      <c r="AO16" s="292"/>
      <c r="AP16" s="292"/>
      <c r="AQ16" s="292"/>
      <c r="AR16" s="292"/>
      <c r="AS16" s="292"/>
      <c r="AT16" s="292"/>
      <c r="AU16" s="292"/>
      <c r="AV16" s="292"/>
      <c r="AW16" s="292"/>
      <c r="AX16" s="292"/>
      <c r="AY16" s="292"/>
      <c r="AZ16" s="292"/>
      <c r="BA16" s="292"/>
      <c r="BB16" s="292"/>
      <c r="BC16" s="292"/>
      <c r="BD16" s="292"/>
      <c r="BE16" s="292"/>
      <c r="BF16" s="292"/>
      <c r="BG16" s="292"/>
      <c r="BH16" s="292"/>
      <c r="BI16" s="292"/>
      <c r="BJ16" s="292"/>
      <c r="BK16" s="292"/>
      <c r="BL16" s="292"/>
      <c r="BM16" s="292"/>
      <c r="BN16" s="292"/>
      <c r="BO16" s="292"/>
      <c r="BP16" s="292"/>
      <c r="BQ16" s="292"/>
      <c r="BR16" s="292"/>
      <c r="BS16" s="292"/>
    </row>
    <row r="17" spans="1:71" ht="20.100000000000001" customHeight="1">
      <c r="A17" s="429" t="s">
        <v>1614</v>
      </c>
      <c r="B17" s="275" t="s">
        <v>15179</v>
      </c>
      <c r="C17" s="293" t="s">
        <v>15180</v>
      </c>
      <c r="D17" s="293" t="s">
        <v>590</v>
      </c>
      <c r="E17" s="286">
        <f>IF(E12="","",E12)</f>
        <v>3497</v>
      </c>
      <c r="F17" s="286" t="s">
        <v>607</v>
      </c>
      <c r="G17" s="286">
        <f>IF(G12="","",G12)</f>
        <v>0</v>
      </c>
      <c r="H17" s="286" t="s">
        <v>624</v>
      </c>
      <c r="I17" s="286">
        <f>IF(I12="","",I12)</f>
        <v>0</v>
      </c>
      <c r="J17" s="286" t="s">
        <v>641</v>
      </c>
      <c r="K17" s="286">
        <f>IF(K12="","",K12)</f>
        <v>0</v>
      </c>
      <c r="L17" s="286" t="s">
        <v>658</v>
      </c>
      <c r="M17" s="286">
        <f>IF(M12="","",M12)</f>
        <v>0</v>
      </c>
      <c r="N17" s="286" t="s">
        <v>675</v>
      </c>
      <c r="O17" s="286">
        <f>IF(O12="","",O12)</f>
        <v>0</v>
      </c>
      <c r="P17" s="286" t="s">
        <v>692</v>
      </c>
      <c r="Q17" s="286">
        <f>IF(Q12="","",Q12)</f>
        <v>0</v>
      </c>
      <c r="R17" s="286" t="s">
        <v>709</v>
      </c>
      <c r="S17" s="286">
        <f>IF(S12="","",S12)</f>
        <v>0</v>
      </c>
      <c r="T17" s="286" t="s">
        <v>726</v>
      </c>
      <c r="U17" s="286">
        <f>IF(U12="","",U12)</f>
        <v>0</v>
      </c>
      <c r="V17" s="286" t="s">
        <v>743</v>
      </c>
      <c r="W17" s="286">
        <f>IF(W12="","",W12)</f>
        <v>0</v>
      </c>
      <c r="X17" s="286" t="s">
        <v>760</v>
      </c>
      <c r="Y17" s="286">
        <f>IF(Y12="","",Y12)</f>
        <v>0</v>
      </c>
      <c r="Z17" s="286" t="s">
        <v>777</v>
      </c>
      <c r="AA17" s="286">
        <f>IF(AA12="","",AA12)</f>
        <v>0</v>
      </c>
      <c r="AB17" s="286" t="s">
        <v>794</v>
      </c>
      <c r="AC17" s="286">
        <f>IF(AC12="","",AC12)</f>
        <v>0</v>
      </c>
      <c r="AD17" s="286" t="s">
        <v>811</v>
      </c>
      <c r="AE17" s="286">
        <f>IF(AE12="","",AE12)</f>
        <v>0</v>
      </c>
      <c r="AF17" s="286" t="s">
        <v>828</v>
      </c>
      <c r="AG17" s="286">
        <f>IF(AG12="","",AG12)</f>
        <v>0</v>
      </c>
      <c r="AH17" s="286" t="s">
        <v>845</v>
      </c>
      <c r="AI17" s="286">
        <f>IF(AI12="","",AI12)</f>
        <v>0</v>
      </c>
      <c r="AJ17" s="286" t="s">
        <v>862</v>
      </c>
      <c r="AK17" s="286">
        <f>IF(AK12="","",AK12)</f>
        <v>0</v>
      </c>
      <c r="AL17" s="286" t="s">
        <v>879</v>
      </c>
      <c r="AM17" s="286">
        <f>IF(AM12="","",AM12)</f>
        <v>0</v>
      </c>
      <c r="AN17" s="286" t="s">
        <v>896</v>
      </c>
      <c r="AO17" s="286">
        <f>IF(AO12="","",AO12)</f>
        <v>0</v>
      </c>
      <c r="AP17" s="286" t="s">
        <v>913</v>
      </c>
      <c r="AQ17" s="286">
        <f>IF(AQ12="","",AQ12)</f>
        <v>0</v>
      </c>
      <c r="AR17" s="286" t="s">
        <v>930</v>
      </c>
      <c r="AS17" s="286">
        <f>IF(AS12="","",AS12)</f>
        <v>0</v>
      </c>
      <c r="AT17" s="286" t="s">
        <v>947</v>
      </c>
      <c r="AU17" s="286">
        <f>IF(AU12="","",AU12)</f>
        <v>0</v>
      </c>
      <c r="AV17" s="286" t="s">
        <v>964</v>
      </c>
      <c r="AW17" s="286">
        <f>IF(AW12="","",AW12)</f>
        <v>0</v>
      </c>
      <c r="AX17" s="286" t="s">
        <v>981</v>
      </c>
      <c r="AY17" s="286">
        <f>IF(AY12="","",AY12)</f>
        <v>0</v>
      </c>
      <c r="AZ17" s="286" t="s">
        <v>998</v>
      </c>
      <c r="BA17" s="286">
        <f>IF(BA12="","",BA12)</f>
        <v>0</v>
      </c>
      <c r="BB17" s="286" t="s">
        <v>1015</v>
      </c>
      <c r="BC17" s="286">
        <f>IF(BC12="","",BC12)</f>
        <v>0</v>
      </c>
      <c r="BD17" s="286" t="s">
        <v>1032</v>
      </c>
      <c r="BE17" s="286">
        <f>IF(BE12="","",BE12)</f>
        <v>0</v>
      </c>
      <c r="BF17" s="286" t="s">
        <v>1049</v>
      </c>
      <c r="BG17" s="286">
        <f>IF(BG12="","",BG12)</f>
        <v>0</v>
      </c>
      <c r="BH17" s="286" t="s">
        <v>1066</v>
      </c>
      <c r="BI17" s="286">
        <f>IF(BI12="","",BI12)</f>
        <v>0</v>
      </c>
      <c r="BJ17" s="286" t="s">
        <v>1083</v>
      </c>
      <c r="BK17" s="286">
        <f>IF(BK12="","",BK12)</f>
        <v>0</v>
      </c>
      <c r="BL17" s="286" t="s">
        <v>1100</v>
      </c>
      <c r="BM17" s="286">
        <f>IF(BM12="","",BM12)</f>
        <v>0</v>
      </c>
      <c r="BN17" s="286" t="s">
        <v>1117</v>
      </c>
      <c r="BO17" s="286">
        <f>IF(BO12="","",BO12)</f>
        <v>0</v>
      </c>
      <c r="BP17" s="286" t="s">
        <v>1134</v>
      </c>
      <c r="BQ17" s="286">
        <f>IF(BQ12="","",BQ12)</f>
        <v>0</v>
      </c>
      <c r="BR17" s="286" t="s">
        <v>1151</v>
      </c>
      <c r="BS17" s="286">
        <f>IF(BS12="","",BS12)</f>
        <v>0</v>
      </c>
    </row>
    <row r="18" spans="1:71" ht="20.100000000000001" customHeight="1">
      <c r="A18" s="430"/>
      <c r="B18" s="276" t="s">
        <v>15181</v>
      </c>
      <c r="C18" s="276" t="s">
        <v>15182</v>
      </c>
      <c r="D18" s="276" t="s">
        <v>591</v>
      </c>
      <c r="E18" s="281">
        <f>IFERROR(IF(ROUNDDOWN(25000000*E17/4500,0)&lt;12500000,12500000,ROUNDDOWN(25000000*E12/4500,0)),"")</f>
        <v>19427777</v>
      </c>
      <c r="F18" s="281" t="s">
        <v>608</v>
      </c>
      <c r="G18" s="281">
        <f>IF(G17=0,0,IF(ROUNDDOWN(25000000*G17/4500,0)&lt;12500000,12500000,ROUNDDOWN(25000000*G12/4500,0)))</f>
        <v>0</v>
      </c>
      <c r="H18" s="281" t="s">
        <v>625</v>
      </c>
      <c r="I18" s="281">
        <f t="shared" ref="I18:AK18" si="0">IF(I17=0,0,IF(ROUNDDOWN(25000000*I17/4500,0)&lt;12500000,12500000,ROUNDDOWN(25000000*I12/4500,0)))</f>
        <v>0</v>
      </c>
      <c r="J18" s="281" t="s">
        <v>642</v>
      </c>
      <c r="K18" s="281">
        <f t="shared" si="0"/>
        <v>0</v>
      </c>
      <c r="L18" s="281" t="s">
        <v>15183</v>
      </c>
      <c r="M18" s="281">
        <f t="shared" si="0"/>
        <v>0</v>
      </c>
      <c r="N18" s="281" t="s">
        <v>15184</v>
      </c>
      <c r="O18" s="281">
        <f t="shared" si="0"/>
        <v>0</v>
      </c>
      <c r="P18" s="281" t="s">
        <v>15185</v>
      </c>
      <c r="Q18" s="281">
        <f t="shared" si="0"/>
        <v>0</v>
      </c>
      <c r="R18" s="281" t="s">
        <v>15186</v>
      </c>
      <c r="S18" s="281">
        <f t="shared" si="0"/>
        <v>0</v>
      </c>
      <c r="T18" s="281" t="s">
        <v>15187</v>
      </c>
      <c r="U18" s="281">
        <f t="shared" si="0"/>
        <v>0</v>
      </c>
      <c r="V18" s="281" t="s">
        <v>15188</v>
      </c>
      <c r="W18" s="281">
        <f t="shared" si="0"/>
        <v>0</v>
      </c>
      <c r="X18" s="281" t="s">
        <v>15189</v>
      </c>
      <c r="Y18" s="281">
        <f t="shared" si="0"/>
        <v>0</v>
      </c>
      <c r="Z18" s="281" t="s">
        <v>15190</v>
      </c>
      <c r="AA18" s="281">
        <f t="shared" si="0"/>
        <v>0</v>
      </c>
      <c r="AB18" s="281" t="s">
        <v>15191</v>
      </c>
      <c r="AC18" s="281">
        <f t="shared" si="0"/>
        <v>0</v>
      </c>
      <c r="AD18" s="281" t="s">
        <v>15192</v>
      </c>
      <c r="AE18" s="281">
        <f t="shared" si="0"/>
        <v>0</v>
      </c>
      <c r="AF18" s="281" t="s">
        <v>15193</v>
      </c>
      <c r="AG18" s="281">
        <f t="shared" si="0"/>
        <v>0</v>
      </c>
      <c r="AH18" s="281" t="s">
        <v>15194</v>
      </c>
      <c r="AI18" s="281">
        <f t="shared" si="0"/>
        <v>0</v>
      </c>
      <c r="AJ18" s="281" t="s">
        <v>15195</v>
      </c>
      <c r="AK18" s="281">
        <f t="shared" si="0"/>
        <v>0</v>
      </c>
      <c r="AL18" s="281" t="s">
        <v>15196</v>
      </c>
      <c r="AM18" s="281">
        <f t="shared" ref="AM18:BQ18" si="1">IF(AM17=0,0,IF(ROUNDDOWN(25000000*AM17/4500,0)&lt;12500000,12500000,ROUNDDOWN(25000000*AM12/4500,0)))</f>
        <v>0</v>
      </c>
      <c r="AN18" s="281" t="s">
        <v>15197</v>
      </c>
      <c r="AO18" s="281">
        <f t="shared" si="1"/>
        <v>0</v>
      </c>
      <c r="AP18" s="281" t="s">
        <v>15198</v>
      </c>
      <c r="AQ18" s="281">
        <f t="shared" si="1"/>
        <v>0</v>
      </c>
      <c r="AR18" s="281" t="s">
        <v>15199</v>
      </c>
      <c r="AS18" s="281">
        <f t="shared" si="1"/>
        <v>0</v>
      </c>
      <c r="AT18" s="281" t="s">
        <v>15200</v>
      </c>
      <c r="AU18" s="281">
        <f t="shared" si="1"/>
        <v>0</v>
      </c>
      <c r="AV18" s="281" t="s">
        <v>15201</v>
      </c>
      <c r="AW18" s="281">
        <f t="shared" si="1"/>
        <v>0</v>
      </c>
      <c r="AX18" s="281" t="s">
        <v>15202</v>
      </c>
      <c r="AY18" s="281">
        <f t="shared" si="1"/>
        <v>0</v>
      </c>
      <c r="AZ18" s="281" t="s">
        <v>15203</v>
      </c>
      <c r="BA18" s="281">
        <f t="shared" si="1"/>
        <v>0</v>
      </c>
      <c r="BB18" s="281" t="s">
        <v>15204</v>
      </c>
      <c r="BC18" s="281">
        <f t="shared" si="1"/>
        <v>0</v>
      </c>
      <c r="BD18" s="281" t="s">
        <v>15205</v>
      </c>
      <c r="BE18" s="281">
        <f t="shared" si="1"/>
        <v>0</v>
      </c>
      <c r="BF18" s="281" t="s">
        <v>15206</v>
      </c>
      <c r="BG18" s="281">
        <f t="shared" si="1"/>
        <v>0</v>
      </c>
      <c r="BH18" s="281" t="s">
        <v>15207</v>
      </c>
      <c r="BI18" s="281">
        <f t="shared" si="1"/>
        <v>0</v>
      </c>
      <c r="BJ18" s="281" t="s">
        <v>15208</v>
      </c>
      <c r="BK18" s="281">
        <f t="shared" si="1"/>
        <v>0</v>
      </c>
      <c r="BL18" s="281" t="s">
        <v>15209</v>
      </c>
      <c r="BM18" s="281">
        <f t="shared" si="1"/>
        <v>0</v>
      </c>
      <c r="BN18" s="281" t="s">
        <v>15210</v>
      </c>
      <c r="BO18" s="281">
        <f t="shared" si="1"/>
        <v>0</v>
      </c>
      <c r="BP18" s="281" t="s">
        <v>15211</v>
      </c>
      <c r="BQ18" s="281">
        <f t="shared" si="1"/>
        <v>0</v>
      </c>
      <c r="BR18" s="281" t="s">
        <v>15212</v>
      </c>
      <c r="BS18" s="281">
        <f t="shared" ref="BS18" si="2">IF(BS17=0,0,IF(ROUNDDOWN(25000000*BS17/4500,0)&lt;12500000,12500000,ROUNDDOWN(25000000*BS12/4500,0)))</f>
        <v>0</v>
      </c>
    </row>
    <row r="19" spans="1:71" ht="20.100000000000001" customHeight="1">
      <c r="A19" s="430"/>
      <c r="B19" s="284" t="s">
        <v>15213</v>
      </c>
      <c r="C19" s="276" t="s">
        <v>15214</v>
      </c>
      <c r="D19" s="276" t="s">
        <v>592</v>
      </c>
      <c r="E19" s="281">
        <f>IFERROR(930*E17,"")</f>
        <v>3252210</v>
      </c>
      <c r="F19" s="281" t="s">
        <v>609</v>
      </c>
      <c r="G19" s="281">
        <f>IFERROR(930*G17,"")</f>
        <v>0</v>
      </c>
      <c r="H19" s="281" t="s">
        <v>626</v>
      </c>
      <c r="I19" s="281">
        <f>IFERROR(930*I17,"")</f>
        <v>0</v>
      </c>
      <c r="J19" s="281" t="s">
        <v>643</v>
      </c>
      <c r="K19" s="281">
        <f>IFERROR(930*K17,"")</f>
        <v>0</v>
      </c>
      <c r="L19" s="281" t="s">
        <v>660</v>
      </c>
      <c r="M19" s="281">
        <f>IFERROR(930*M17,"")</f>
        <v>0</v>
      </c>
      <c r="N19" s="281" t="s">
        <v>677</v>
      </c>
      <c r="O19" s="281">
        <f>IFERROR(930*O17,"")</f>
        <v>0</v>
      </c>
      <c r="P19" s="281" t="s">
        <v>694</v>
      </c>
      <c r="Q19" s="281">
        <f>IFERROR(930*Q17,"")</f>
        <v>0</v>
      </c>
      <c r="R19" s="281" t="s">
        <v>711</v>
      </c>
      <c r="S19" s="281">
        <f>IFERROR(930*S17,"")</f>
        <v>0</v>
      </c>
      <c r="T19" s="281" t="s">
        <v>728</v>
      </c>
      <c r="U19" s="281">
        <f>IFERROR(930*U17,"")</f>
        <v>0</v>
      </c>
      <c r="V19" s="281" t="s">
        <v>745</v>
      </c>
      <c r="W19" s="281">
        <f>IFERROR(930*W17,"")</f>
        <v>0</v>
      </c>
      <c r="X19" s="281" t="s">
        <v>762</v>
      </c>
      <c r="Y19" s="281">
        <f>IFERROR(930*Y17,"")</f>
        <v>0</v>
      </c>
      <c r="Z19" s="281" t="s">
        <v>779</v>
      </c>
      <c r="AA19" s="281">
        <f>IFERROR(930*AA17,"")</f>
        <v>0</v>
      </c>
      <c r="AB19" s="281" t="s">
        <v>796</v>
      </c>
      <c r="AC19" s="281">
        <f>IFERROR(930*AC17,"")</f>
        <v>0</v>
      </c>
      <c r="AD19" s="281" t="s">
        <v>813</v>
      </c>
      <c r="AE19" s="281">
        <f>IFERROR(930*AE17,"")</f>
        <v>0</v>
      </c>
      <c r="AF19" s="281" t="s">
        <v>830</v>
      </c>
      <c r="AG19" s="281">
        <f>IFERROR(930*AG17,"")</f>
        <v>0</v>
      </c>
      <c r="AH19" s="281" t="s">
        <v>847</v>
      </c>
      <c r="AI19" s="281">
        <f>IFERROR(930*AI17,"")</f>
        <v>0</v>
      </c>
      <c r="AJ19" s="281" t="s">
        <v>864</v>
      </c>
      <c r="AK19" s="281">
        <f>IFERROR(930*AK17,"")</f>
        <v>0</v>
      </c>
      <c r="AL19" s="281" t="s">
        <v>881</v>
      </c>
      <c r="AM19" s="281">
        <f>IFERROR(930*AM17,"")</f>
        <v>0</v>
      </c>
      <c r="AN19" s="281" t="s">
        <v>898</v>
      </c>
      <c r="AO19" s="281">
        <f>IFERROR(930*AO17,"")</f>
        <v>0</v>
      </c>
      <c r="AP19" s="281" t="s">
        <v>915</v>
      </c>
      <c r="AQ19" s="281">
        <f>IFERROR(930*AQ17,"")</f>
        <v>0</v>
      </c>
      <c r="AR19" s="281" t="s">
        <v>932</v>
      </c>
      <c r="AS19" s="281">
        <f>IFERROR(930*AS17,"")</f>
        <v>0</v>
      </c>
      <c r="AT19" s="281" t="s">
        <v>949</v>
      </c>
      <c r="AU19" s="281">
        <f>IFERROR(930*AU17,"")</f>
        <v>0</v>
      </c>
      <c r="AV19" s="281" t="s">
        <v>966</v>
      </c>
      <c r="AW19" s="281">
        <f>IFERROR(930*AW17,"")</f>
        <v>0</v>
      </c>
      <c r="AX19" s="281" t="s">
        <v>983</v>
      </c>
      <c r="AY19" s="281">
        <f>IFERROR(930*AY17,"")</f>
        <v>0</v>
      </c>
      <c r="AZ19" s="281" t="s">
        <v>1000</v>
      </c>
      <c r="BA19" s="281">
        <f>IFERROR(930*BA17,"")</f>
        <v>0</v>
      </c>
      <c r="BB19" s="281" t="s">
        <v>1017</v>
      </c>
      <c r="BC19" s="281">
        <f>IFERROR(930*BC17,"")</f>
        <v>0</v>
      </c>
      <c r="BD19" s="281" t="s">
        <v>1034</v>
      </c>
      <c r="BE19" s="281">
        <f>IFERROR(930*BE17,"")</f>
        <v>0</v>
      </c>
      <c r="BF19" s="281" t="s">
        <v>1051</v>
      </c>
      <c r="BG19" s="281">
        <f>IFERROR(930*BG17,"")</f>
        <v>0</v>
      </c>
      <c r="BH19" s="281" t="s">
        <v>1068</v>
      </c>
      <c r="BI19" s="281">
        <f>IFERROR(930*BI17,"")</f>
        <v>0</v>
      </c>
      <c r="BJ19" s="281" t="s">
        <v>1085</v>
      </c>
      <c r="BK19" s="281">
        <f>IFERROR(930*BK17,"")</f>
        <v>0</v>
      </c>
      <c r="BL19" s="281" t="s">
        <v>1102</v>
      </c>
      <c r="BM19" s="281">
        <f>IFERROR(930*BM17,"")</f>
        <v>0</v>
      </c>
      <c r="BN19" s="281" t="s">
        <v>1119</v>
      </c>
      <c r="BO19" s="281">
        <f>IFERROR(930*BO17,"")</f>
        <v>0</v>
      </c>
      <c r="BP19" s="281" t="s">
        <v>1136</v>
      </c>
      <c r="BQ19" s="281">
        <f>IFERROR(930*BQ17,"")</f>
        <v>0</v>
      </c>
      <c r="BR19" s="281" t="s">
        <v>1153</v>
      </c>
      <c r="BS19" s="281">
        <f>IFERROR(930*BS17,"")</f>
        <v>0</v>
      </c>
    </row>
    <row r="20" spans="1:71" ht="20.100000000000001" customHeight="1">
      <c r="A20" s="431"/>
      <c r="B20" s="294" t="s">
        <v>15215</v>
      </c>
      <c r="C20" s="295" t="s">
        <v>15216</v>
      </c>
      <c r="D20" s="295" t="s">
        <v>593</v>
      </c>
      <c r="E20" s="296">
        <f>SUM(E18:E19)</f>
        <v>22679987</v>
      </c>
      <c r="F20" s="296" t="s">
        <v>610</v>
      </c>
      <c r="G20" s="296">
        <f>SUM(G18:G19)</f>
        <v>0</v>
      </c>
      <c r="H20" s="296" t="s">
        <v>627</v>
      </c>
      <c r="I20" s="296">
        <f>SUM(I18:I19)</f>
        <v>0</v>
      </c>
      <c r="J20" s="296" t="s">
        <v>644</v>
      </c>
      <c r="K20" s="296">
        <f>SUM(K18:K19)</f>
        <v>0</v>
      </c>
      <c r="L20" s="296" t="s">
        <v>661</v>
      </c>
      <c r="M20" s="296">
        <f>SUM(M18:M19)</f>
        <v>0</v>
      </c>
      <c r="N20" s="296" t="s">
        <v>678</v>
      </c>
      <c r="O20" s="296">
        <f>SUM(O18:O19)</f>
        <v>0</v>
      </c>
      <c r="P20" s="296" t="s">
        <v>695</v>
      </c>
      <c r="Q20" s="296">
        <f>SUM(Q18:Q19)</f>
        <v>0</v>
      </c>
      <c r="R20" s="296" t="s">
        <v>712</v>
      </c>
      <c r="S20" s="296">
        <f>SUM(S18:S19)</f>
        <v>0</v>
      </c>
      <c r="T20" s="296" t="s">
        <v>729</v>
      </c>
      <c r="U20" s="296">
        <f>SUM(U18:U19)</f>
        <v>0</v>
      </c>
      <c r="V20" s="296" t="s">
        <v>746</v>
      </c>
      <c r="W20" s="296">
        <f>SUM(W18:W19)</f>
        <v>0</v>
      </c>
      <c r="X20" s="296" t="s">
        <v>763</v>
      </c>
      <c r="Y20" s="296">
        <f>SUM(Y18:Y19)</f>
        <v>0</v>
      </c>
      <c r="Z20" s="296" t="s">
        <v>780</v>
      </c>
      <c r="AA20" s="296">
        <f>SUM(AA18:AA19)</f>
        <v>0</v>
      </c>
      <c r="AB20" s="296" t="s">
        <v>797</v>
      </c>
      <c r="AC20" s="296">
        <f>SUM(AC18:AC19)</f>
        <v>0</v>
      </c>
      <c r="AD20" s="296" t="s">
        <v>814</v>
      </c>
      <c r="AE20" s="296">
        <f>SUM(AE18:AE19)</f>
        <v>0</v>
      </c>
      <c r="AF20" s="296" t="s">
        <v>831</v>
      </c>
      <c r="AG20" s="296">
        <f>SUM(AG18:AG19)</f>
        <v>0</v>
      </c>
      <c r="AH20" s="296" t="s">
        <v>848</v>
      </c>
      <c r="AI20" s="296">
        <f>SUM(AI18:AI19)</f>
        <v>0</v>
      </c>
      <c r="AJ20" s="296" t="s">
        <v>865</v>
      </c>
      <c r="AK20" s="296">
        <f>SUM(AK18:AK19)</f>
        <v>0</v>
      </c>
      <c r="AL20" s="296" t="s">
        <v>882</v>
      </c>
      <c r="AM20" s="296">
        <f>SUM(AM18:AM19)</f>
        <v>0</v>
      </c>
      <c r="AN20" s="296" t="s">
        <v>899</v>
      </c>
      <c r="AO20" s="296">
        <f>SUM(AO18:AO19)</f>
        <v>0</v>
      </c>
      <c r="AP20" s="296" t="s">
        <v>916</v>
      </c>
      <c r="AQ20" s="296">
        <f>SUM(AQ18:AQ19)</f>
        <v>0</v>
      </c>
      <c r="AR20" s="296" t="s">
        <v>933</v>
      </c>
      <c r="AS20" s="296">
        <f>SUM(AS18:AS19)</f>
        <v>0</v>
      </c>
      <c r="AT20" s="296" t="s">
        <v>950</v>
      </c>
      <c r="AU20" s="296">
        <f>SUM(AU18:AU19)</f>
        <v>0</v>
      </c>
      <c r="AV20" s="296" t="s">
        <v>967</v>
      </c>
      <c r="AW20" s="296">
        <f>SUM(AW18:AW19)</f>
        <v>0</v>
      </c>
      <c r="AX20" s="296" t="s">
        <v>984</v>
      </c>
      <c r="AY20" s="296">
        <f>SUM(AY18:AY19)</f>
        <v>0</v>
      </c>
      <c r="AZ20" s="296" t="s">
        <v>1001</v>
      </c>
      <c r="BA20" s="296">
        <f>SUM(BA18:BA19)</f>
        <v>0</v>
      </c>
      <c r="BB20" s="296" t="s">
        <v>1018</v>
      </c>
      <c r="BC20" s="296">
        <f>SUM(BC18:BC19)</f>
        <v>0</v>
      </c>
      <c r="BD20" s="296" t="s">
        <v>1035</v>
      </c>
      <c r="BE20" s="296">
        <f>SUM(BE18:BE19)</f>
        <v>0</v>
      </c>
      <c r="BF20" s="296" t="s">
        <v>1052</v>
      </c>
      <c r="BG20" s="296">
        <f>SUM(BG18:BG19)</f>
        <v>0</v>
      </c>
      <c r="BH20" s="296" t="s">
        <v>1069</v>
      </c>
      <c r="BI20" s="296">
        <f>SUM(BI18:BI19)</f>
        <v>0</v>
      </c>
      <c r="BJ20" s="296" t="s">
        <v>1086</v>
      </c>
      <c r="BK20" s="296">
        <f>SUM(BK18:BK19)</f>
        <v>0</v>
      </c>
      <c r="BL20" s="296" t="s">
        <v>1103</v>
      </c>
      <c r="BM20" s="296">
        <f>SUM(BM18:BM19)</f>
        <v>0</v>
      </c>
      <c r="BN20" s="296" t="s">
        <v>1120</v>
      </c>
      <c r="BO20" s="296">
        <f>SUM(BO18:BO19)</f>
        <v>0</v>
      </c>
      <c r="BP20" s="296" t="s">
        <v>1137</v>
      </c>
      <c r="BQ20" s="296">
        <f>SUM(BQ18:BQ19)</f>
        <v>0</v>
      </c>
      <c r="BR20" s="296" t="s">
        <v>1154</v>
      </c>
      <c r="BS20" s="296">
        <f>SUM(BS18:BS19)</f>
        <v>0</v>
      </c>
    </row>
    <row r="21" spans="1:71" s="297" customFormat="1" ht="20.100000000000001" customHeight="1">
      <c r="C21" s="298"/>
      <c r="D21" s="298"/>
      <c r="E21" s="299"/>
      <c r="F21" s="299"/>
      <c r="G21" s="299"/>
      <c r="H21" s="299"/>
      <c r="I21" s="299"/>
      <c r="J21" s="299"/>
      <c r="K21" s="299"/>
      <c r="L21" s="299"/>
      <c r="M21" s="299"/>
      <c r="N21" s="299"/>
      <c r="O21" s="299"/>
      <c r="P21" s="299"/>
      <c r="Q21" s="299"/>
      <c r="R21" s="299"/>
      <c r="S21" s="299"/>
      <c r="T21" s="299"/>
      <c r="U21" s="299"/>
      <c r="V21" s="299"/>
      <c r="W21" s="299"/>
      <c r="X21" s="299"/>
      <c r="Y21" s="299"/>
      <c r="Z21" s="299"/>
      <c r="AA21" s="299"/>
      <c r="AB21" s="299"/>
      <c r="AC21" s="299"/>
      <c r="AD21" s="299"/>
      <c r="AE21" s="299"/>
      <c r="AF21" s="299"/>
      <c r="AG21" s="299"/>
      <c r="AH21" s="299"/>
      <c r="AI21" s="299"/>
      <c r="AJ21" s="299"/>
      <c r="AK21" s="299"/>
      <c r="AL21" s="299"/>
      <c r="AM21" s="299"/>
      <c r="AN21" s="299"/>
      <c r="AO21" s="299"/>
      <c r="AP21" s="299"/>
      <c r="AQ21" s="299"/>
      <c r="AR21" s="299"/>
      <c r="AS21" s="299"/>
      <c r="AT21" s="299"/>
      <c r="AU21" s="299"/>
      <c r="AV21" s="299"/>
      <c r="AW21" s="299"/>
      <c r="AX21" s="299"/>
      <c r="AY21" s="299"/>
      <c r="AZ21" s="299"/>
      <c r="BA21" s="299"/>
      <c r="BB21" s="299"/>
      <c r="BC21" s="299"/>
      <c r="BD21" s="299"/>
      <c r="BE21" s="299"/>
      <c r="BF21" s="299"/>
      <c r="BG21" s="299"/>
      <c r="BH21" s="299"/>
      <c r="BI21" s="299"/>
      <c r="BJ21" s="299"/>
      <c r="BK21" s="299"/>
      <c r="BL21" s="299"/>
      <c r="BM21" s="299"/>
      <c r="BN21" s="299"/>
      <c r="BO21" s="299"/>
      <c r="BP21" s="299"/>
      <c r="BQ21" s="299"/>
      <c r="BR21" s="299"/>
      <c r="BS21" s="299"/>
    </row>
    <row r="22" spans="1:71" ht="20.100000000000001" customHeight="1">
      <c r="C22" s="300"/>
      <c r="D22" s="300"/>
      <c r="E22" s="301"/>
      <c r="F22" s="301"/>
      <c r="G22" s="301"/>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1"/>
      <c r="BJ22" s="301"/>
      <c r="BK22" s="301"/>
      <c r="BL22" s="301"/>
      <c r="BM22" s="301"/>
      <c r="BN22" s="301"/>
      <c r="BO22" s="301"/>
      <c r="BP22" s="301"/>
      <c r="BQ22" s="301"/>
      <c r="BR22" s="301"/>
      <c r="BS22" s="301"/>
    </row>
    <row r="23" spans="1:71" ht="20.100000000000001" customHeight="1">
      <c r="B23" s="70" t="s">
        <v>15217</v>
      </c>
      <c r="C23" s="300"/>
      <c r="D23" s="300"/>
      <c r="E23" s="301"/>
      <c r="F23" s="301"/>
      <c r="G23" s="301"/>
      <c r="H23" s="301"/>
      <c r="I23" s="301"/>
      <c r="J23" s="301"/>
      <c r="K23" s="301"/>
      <c r="L23" s="301"/>
      <c r="M23" s="301"/>
      <c r="N23" s="301"/>
      <c r="O23" s="302"/>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01"/>
      <c r="BJ23" s="301"/>
      <c r="BK23" s="301"/>
      <c r="BL23" s="301"/>
      <c r="BM23" s="301"/>
      <c r="BN23" s="301"/>
      <c r="BO23" s="301"/>
      <c r="BP23" s="301"/>
      <c r="BQ23" s="301"/>
      <c r="BR23" s="301"/>
      <c r="BS23" s="301"/>
    </row>
    <row r="24" spans="1:71" ht="20.100000000000001" customHeight="1">
      <c r="B24" s="70" t="s">
        <v>15218</v>
      </c>
      <c r="C24" s="300"/>
      <c r="D24" s="300"/>
      <c r="E24" s="301"/>
      <c r="F24" s="301"/>
      <c r="G24" s="301"/>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1"/>
      <c r="AV24" s="301"/>
      <c r="AW24" s="301"/>
      <c r="AX24" s="301"/>
      <c r="AY24" s="301"/>
      <c r="AZ24" s="301"/>
      <c r="BA24" s="301"/>
      <c r="BB24" s="301"/>
      <c r="BC24" s="301"/>
      <c r="BD24" s="301"/>
      <c r="BE24" s="301"/>
      <c r="BF24" s="301"/>
      <c r="BG24" s="301"/>
      <c r="BH24" s="301"/>
      <c r="BI24" s="301"/>
      <c r="BJ24" s="301"/>
      <c r="BK24" s="301"/>
      <c r="BL24" s="301"/>
      <c r="BM24" s="301"/>
      <c r="BN24" s="301"/>
      <c r="BO24" s="301"/>
      <c r="BP24" s="301"/>
      <c r="BQ24" s="301"/>
      <c r="BR24" s="301"/>
      <c r="BS24" s="301"/>
    </row>
    <row r="25" spans="1:71" s="303" customFormat="1" ht="20.100000000000001" customHeight="1">
      <c r="B25" s="304" t="s">
        <v>15219</v>
      </c>
      <c r="C25" s="304"/>
      <c r="D25" s="304" t="s">
        <v>594</v>
      </c>
      <c r="E25" s="305" t="e">
        <f>IF(#REF!="○","-",#REF!)</f>
        <v>#REF!</v>
      </c>
      <c r="F25" s="305" t="s">
        <v>611</v>
      </c>
      <c r="G25" s="305"/>
      <c r="H25" s="305"/>
      <c r="I25" s="305"/>
      <c r="J25" s="305"/>
      <c r="K25" s="305"/>
      <c r="L25" s="305"/>
      <c r="M25" s="305"/>
      <c r="N25" s="305"/>
      <c r="O25" s="305"/>
      <c r="P25" s="305"/>
      <c r="Q25" s="305"/>
      <c r="R25" s="305"/>
      <c r="S25" s="305"/>
      <c r="T25" s="305"/>
      <c r="U25" s="305"/>
      <c r="V25" s="305"/>
      <c r="W25" s="305"/>
      <c r="X25" s="305"/>
      <c r="Y25" s="305"/>
      <c r="Z25" s="305"/>
      <c r="AA25" s="305"/>
      <c r="AB25" s="305"/>
      <c r="AC25" s="305"/>
      <c r="AD25" s="305"/>
      <c r="AE25" s="305"/>
      <c r="AF25" s="305"/>
      <c r="AG25" s="305"/>
      <c r="AH25" s="305"/>
      <c r="AI25" s="305"/>
      <c r="AJ25" s="305"/>
      <c r="AK25" s="305"/>
      <c r="AL25" s="305"/>
      <c r="AM25" s="305"/>
      <c r="AN25" s="305"/>
      <c r="AO25" s="305"/>
      <c r="AP25" s="305"/>
      <c r="AQ25" s="305"/>
      <c r="AR25" s="305"/>
      <c r="AS25" s="305"/>
      <c r="AT25" s="305"/>
      <c r="AU25" s="305"/>
      <c r="AV25" s="305"/>
      <c r="AW25" s="305"/>
      <c r="AX25" s="305"/>
      <c r="AY25" s="305"/>
      <c r="AZ25" s="305"/>
      <c r="BA25" s="305"/>
      <c r="BB25" s="305"/>
      <c r="BC25" s="305"/>
      <c r="BD25" s="305"/>
      <c r="BE25" s="305"/>
      <c r="BF25" s="305"/>
      <c r="BG25" s="305"/>
      <c r="BH25" s="305"/>
      <c r="BI25" s="305"/>
      <c r="BJ25" s="305"/>
      <c r="BK25" s="305"/>
      <c r="BL25" s="305"/>
      <c r="BM25" s="305"/>
      <c r="BN25" s="305"/>
      <c r="BO25" s="305"/>
      <c r="BP25" s="305"/>
      <c r="BQ25" s="305"/>
      <c r="BR25" s="305"/>
      <c r="BS25" s="305"/>
    </row>
    <row r="26" spans="1:71" ht="20.100000000000001" customHeight="1">
      <c r="B26" s="306" t="s">
        <v>15220</v>
      </c>
      <c r="C26" s="25" t="s">
        <v>15221</v>
      </c>
      <c r="D26" s="25" t="s">
        <v>595</v>
      </c>
      <c r="E26" s="281">
        <f>E19</f>
        <v>3252210</v>
      </c>
      <c r="F26" s="281" t="s">
        <v>612</v>
      </c>
      <c r="G26" s="281">
        <f>G19</f>
        <v>0</v>
      </c>
      <c r="H26" s="281" t="s">
        <v>629</v>
      </c>
      <c r="I26" s="281">
        <f>I19</f>
        <v>0</v>
      </c>
      <c r="J26" s="281" t="s">
        <v>646</v>
      </c>
      <c r="K26" s="281">
        <f>K19</f>
        <v>0</v>
      </c>
      <c r="L26" s="281" t="s">
        <v>663</v>
      </c>
      <c r="M26" s="281">
        <f>M19</f>
        <v>0</v>
      </c>
      <c r="N26" s="281" t="s">
        <v>680</v>
      </c>
      <c r="O26" s="281">
        <f>O19</f>
        <v>0</v>
      </c>
      <c r="P26" s="281" t="s">
        <v>697</v>
      </c>
      <c r="Q26" s="281">
        <f>Q19</f>
        <v>0</v>
      </c>
      <c r="R26" s="281" t="s">
        <v>714</v>
      </c>
      <c r="S26" s="281">
        <f>S19</f>
        <v>0</v>
      </c>
      <c r="T26" s="281" t="s">
        <v>731</v>
      </c>
      <c r="U26" s="281">
        <f>U19</f>
        <v>0</v>
      </c>
      <c r="V26" s="281" t="s">
        <v>748</v>
      </c>
      <c r="W26" s="281">
        <f>W19</f>
        <v>0</v>
      </c>
      <c r="X26" s="281" t="s">
        <v>765</v>
      </c>
      <c r="Y26" s="281">
        <f>Y19</f>
        <v>0</v>
      </c>
      <c r="Z26" s="281" t="s">
        <v>782</v>
      </c>
      <c r="AA26" s="281">
        <f>AA19</f>
        <v>0</v>
      </c>
      <c r="AB26" s="281" t="s">
        <v>799</v>
      </c>
      <c r="AC26" s="281">
        <f>AC19</f>
        <v>0</v>
      </c>
      <c r="AD26" s="281" t="s">
        <v>816</v>
      </c>
      <c r="AE26" s="281">
        <f>AE19</f>
        <v>0</v>
      </c>
      <c r="AF26" s="281" t="s">
        <v>833</v>
      </c>
      <c r="AG26" s="281">
        <f>AG19</f>
        <v>0</v>
      </c>
      <c r="AH26" s="281" t="s">
        <v>850</v>
      </c>
      <c r="AI26" s="281">
        <f>AI19</f>
        <v>0</v>
      </c>
      <c r="AJ26" s="281" t="s">
        <v>867</v>
      </c>
      <c r="AK26" s="281">
        <f>AK19</f>
        <v>0</v>
      </c>
      <c r="AL26" s="281" t="s">
        <v>884</v>
      </c>
      <c r="AM26" s="281">
        <f>AM19</f>
        <v>0</v>
      </c>
      <c r="AN26" s="281" t="s">
        <v>901</v>
      </c>
      <c r="AO26" s="281">
        <f>AO19</f>
        <v>0</v>
      </c>
      <c r="AP26" s="281" t="s">
        <v>918</v>
      </c>
      <c r="AQ26" s="281">
        <f>AQ19</f>
        <v>0</v>
      </c>
      <c r="AR26" s="281" t="s">
        <v>935</v>
      </c>
      <c r="AS26" s="281">
        <f>AS19</f>
        <v>0</v>
      </c>
      <c r="AT26" s="281" t="s">
        <v>952</v>
      </c>
      <c r="AU26" s="281">
        <f>AU19</f>
        <v>0</v>
      </c>
      <c r="AV26" s="281" t="s">
        <v>969</v>
      </c>
      <c r="AW26" s="281">
        <f>AW19</f>
        <v>0</v>
      </c>
      <c r="AX26" s="281" t="s">
        <v>986</v>
      </c>
      <c r="AY26" s="281">
        <f>AY19</f>
        <v>0</v>
      </c>
      <c r="AZ26" s="281" t="s">
        <v>1003</v>
      </c>
      <c r="BA26" s="281">
        <f>BA19</f>
        <v>0</v>
      </c>
      <c r="BB26" s="281" t="s">
        <v>1020</v>
      </c>
      <c r="BC26" s="281">
        <f>BC19</f>
        <v>0</v>
      </c>
      <c r="BD26" s="281" t="s">
        <v>1037</v>
      </c>
      <c r="BE26" s="281">
        <f>BE19</f>
        <v>0</v>
      </c>
      <c r="BF26" s="281" t="s">
        <v>1054</v>
      </c>
      <c r="BG26" s="281">
        <f>BG19</f>
        <v>0</v>
      </c>
      <c r="BH26" s="281" t="s">
        <v>1071</v>
      </c>
      <c r="BI26" s="281">
        <f>BI19</f>
        <v>0</v>
      </c>
      <c r="BJ26" s="281" t="s">
        <v>1088</v>
      </c>
      <c r="BK26" s="281">
        <f>BK19</f>
        <v>0</v>
      </c>
      <c r="BL26" s="281" t="s">
        <v>1105</v>
      </c>
      <c r="BM26" s="281">
        <f>BM19</f>
        <v>0</v>
      </c>
      <c r="BN26" s="281" t="s">
        <v>1122</v>
      </c>
      <c r="BO26" s="281">
        <f>BO19</f>
        <v>0</v>
      </c>
      <c r="BP26" s="281" t="s">
        <v>1139</v>
      </c>
      <c r="BQ26" s="281">
        <f>BQ19</f>
        <v>0</v>
      </c>
      <c r="BR26" s="281" t="s">
        <v>1156</v>
      </c>
      <c r="BS26" s="281">
        <f>BS19</f>
        <v>0</v>
      </c>
    </row>
    <row r="27" spans="1:71" ht="20.100000000000001" customHeight="1">
      <c r="B27" s="25" t="s">
        <v>15222</v>
      </c>
      <c r="C27" s="25"/>
      <c r="D27" s="25" t="s">
        <v>596</v>
      </c>
      <c r="E27" s="305">
        <f>シート反映用データ!YE2</f>
        <v>0</v>
      </c>
      <c r="F27" s="305" t="s">
        <v>613</v>
      </c>
      <c r="G27" s="305">
        <f>シート反映用データ!YW2</f>
        <v>0</v>
      </c>
      <c r="H27" s="305" t="s">
        <v>630</v>
      </c>
      <c r="I27" s="305">
        <f>シート反映用データ!ZO2</f>
        <v>0</v>
      </c>
      <c r="J27" s="305" t="s">
        <v>647</v>
      </c>
      <c r="K27" s="305">
        <f>シート反映用データ!AAG2</f>
        <v>0</v>
      </c>
      <c r="L27" s="305" t="s">
        <v>664</v>
      </c>
      <c r="M27" s="305">
        <f>シート反映用データ!AAY2</f>
        <v>0</v>
      </c>
      <c r="N27" s="305" t="s">
        <v>681</v>
      </c>
      <c r="O27" s="305">
        <f>シート反映用データ!ABQ2</f>
        <v>0</v>
      </c>
      <c r="P27" s="305" t="s">
        <v>698</v>
      </c>
      <c r="Q27" s="305">
        <f>シート反映用データ!ACI2</f>
        <v>0</v>
      </c>
      <c r="R27" s="305" t="s">
        <v>715</v>
      </c>
      <c r="S27" s="305">
        <f>シート反映用データ!ADA2</f>
        <v>0</v>
      </c>
      <c r="T27" s="305" t="s">
        <v>732</v>
      </c>
      <c r="U27" s="305">
        <f>シート反映用データ!ADS2</f>
        <v>0</v>
      </c>
      <c r="V27" s="305" t="s">
        <v>749</v>
      </c>
      <c r="W27" s="305">
        <f>シート反映用データ!AEK2</f>
        <v>0</v>
      </c>
      <c r="X27" s="305" t="s">
        <v>766</v>
      </c>
      <c r="Y27" s="305">
        <f>シート反映用データ!AFC2</f>
        <v>0</v>
      </c>
      <c r="Z27" s="305" t="s">
        <v>783</v>
      </c>
      <c r="AA27" s="305">
        <f>シート反映用データ!AFU2</f>
        <v>0</v>
      </c>
      <c r="AB27" s="305" t="s">
        <v>800</v>
      </c>
      <c r="AC27" s="305">
        <f>シート反映用データ!AGM2</f>
        <v>0</v>
      </c>
      <c r="AD27" s="305" t="s">
        <v>817</v>
      </c>
      <c r="AE27" s="305">
        <f>シート反映用データ!AHE2</f>
        <v>0</v>
      </c>
      <c r="AF27" s="305" t="s">
        <v>834</v>
      </c>
      <c r="AG27" s="305">
        <f>シート反映用データ!AHW2</f>
        <v>0</v>
      </c>
      <c r="AH27" s="305" t="s">
        <v>851</v>
      </c>
      <c r="AI27" s="305">
        <f>シート反映用データ!AIO2</f>
        <v>0</v>
      </c>
      <c r="AJ27" s="305" t="s">
        <v>868</v>
      </c>
      <c r="AK27" s="305">
        <f>シート反映用データ!AJG2</f>
        <v>0</v>
      </c>
      <c r="AL27" s="305" t="s">
        <v>885</v>
      </c>
      <c r="AM27" s="305">
        <f>シート反映用データ!AJY2</f>
        <v>0</v>
      </c>
      <c r="AN27" s="305" t="s">
        <v>902</v>
      </c>
      <c r="AO27" s="305">
        <f>シート反映用データ!AKQ2</f>
        <v>0</v>
      </c>
      <c r="AP27" s="305" t="s">
        <v>919</v>
      </c>
      <c r="AQ27" s="305">
        <f>シート反映用データ!ALI2</f>
        <v>0</v>
      </c>
      <c r="AR27" s="305" t="s">
        <v>936</v>
      </c>
      <c r="AS27" s="305">
        <f>シート反映用データ!AMA2</f>
        <v>0</v>
      </c>
      <c r="AT27" s="305" t="s">
        <v>953</v>
      </c>
      <c r="AU27" s="305">
        <f>シート反映用データ!AMS2</f>
        <v>0</v>
      </c>
      <c r="AV27" s="305" t="s">
        <v>970</v>
      </c>
      <c r="AW27" s="305">
        <f>シート反映用データ!ANK2</f>
        <v>0</v>
      </c>
      <c r="AX27" s="305" t="s">
        <v>987</v>
      </c>
      <c r="AY27" s="305">
        <f>シート反映用データ!AOC2</f>
        <v>0</v>
      </c>
      <c r="AZ27" s="305" t="s">
        <v>1004</v>
      </c>
      <c r="BA27" s="305">
        <f>シート反映用データ!AOU2</f>
        <v>0</v>
      </c>
      <c r="BB27" s="305" t="s">
        <v>1021</v>
      </c>
      <c r="BC27" s="305">
        <f>シート反映用データ!APM2</f>
        <v>0</v>
      </c>
      <c r="BD27" s="305" t="s">
        <v>1038</v>
      </c>
      <c r="BE27" s="305">
        <f>シート反映用データ!AQE2</f>
        <v>0</v>
      </c>
      <c r="BF27" s="305" t="s">
        <v>1055</v>
      </c>
      <c r="BG27" s="305">
        <f>シート反映用データ!AQW2</f>
        <v>0</v>
      </c>
      <c r="BH27" s="305" t="s">
        <v>1072</v>
      </c>
      <c r="BI27" s="305">
        <f>シート反映用データ!ARO2</f>
        <v>0</v>
      </c>
      <c r="BJ27" s="305" t="s">
        <v>1089</v>
      </c>
      <c r="BK27" s="305">
        <f>シート反映用データ!ASG2</f>
        <v>0</v>
      </c>
      <c r="BL27" s="305" t="s">
        <v>1106</v>
      </c>
      <c r="BM27" s="305">
        <f>シート反映用データ!ASY2</f>
        <v>0</v>
      </c>
      <c r="BN27" s="305" t="s">
        <v>1123</v>
      </c>
      <c r="BO27" s="305">
        <f>シート反映用データ!ATQ2</f>
        <v>0</v>
      </c>
      <c r="BP27" s="305" t="s">
        <v>1140</v>
      </c>
      <c r="BQ27" s="305">
        <f>シート反映用データ!AUI2</f>
        <v>0</v>
      </c>
      <c r="BR27" s="305" t="s">
        <v>1157</v>
      </c>
      <c r="BS27" s="305">
        <f>シート反映用データ!AVA2</f>
        <v>0</v>
      </c>
    </row>
    <row r="28" spans="1:71" ht="20.100000000000001" customHeight="1">
      <c r="B28" s="307" t="s">
        <v>15223</v>
      </c>
      <c r="C28" s="25" t="s">
        <v>15224</v>
      </c>
      <c r="D28" s="25" t="s">
        <v>597</v>
      </c>
      <c r="E28" s="281">
        <f>IFERROR(ROUNDDOWN(E27*E13,0),0)</f>
        <v>0</v>
      </c>
      <c r="F28" s="281" t="s">
        <v>614</v>
      </c>
      <c r="G28" s="281">
        <f>IFERROR(ROUNDDOWN(G27*G13,0),0)</f>
        <v>0</v>
      </c>
      <c r="H28" s="281" t="s">
        <v>631</v>
      </c>
      <c r="I28" s="281">
        <f>IFERROR(ROUNDDOWN(I27*I13,0),0)</f>
        <v>0</v>
      </c>
      <c r="J28" s="281" t="s">
        <v>648</v>
      </c>
      <c r="K28" s="281">
        <f>IFERROR(ROUNDDOWN(K27*K13,0),0)</f>
        <v>0</v>
      </c>
      <c r="L28" s="281" t="s">
        <v>665</v>
      </c>
      <c r="M28" s="281">
        <f>IFERROR(ROUNDDOWN(M27*M13,0),0)</f>
        <v>0</v>
      </c>
      <c r="N28" s="281" t="s">
        <v>682</v>
      </c>
      <c r="O28" s="281">
        <f>IFERROR(ROUNDDOWN(O27*O13,0),0)</f>
        <v>0</v>
      </c>
      <c r="P28" s="281" t="s">
        <v>699</v>
      </c>
      <c r="Q28" s="281">
        <f>IFERROR(ROUNDDOWN(Q27*Q13,0),0)</f>
        <v>0</v>
      </c>
      <c r="R28" s="281" t="s">
        <v>716</v>
      </c>
      <c r="S28" s="281">
        <f>IFERROR(ROUNDDOWN(S27*S13,0),0)</f>
        <v>0</v>
      </c>
      <c r="T28" s="281" t="s">
        <v>733</v>
      </c>
      <c r="U28" s="281">
        <f>IFERROR(ROUNDDOWN(U27*U13,0),0)</f>
        <v>0</v>
      </c>
      <c r="V28" s="281" t="s">
        <v>750</v>
      </c>
      <c r="W28" s="281">
        <f>IFERROR(ROUNDDOWN(W27*W13,0),0)</f>
        <v>0</v>
      </c>
      <c r="X28" s="281" t="s">
        <v>767</v>
      </c>
      <c r="Y28" s="281">
        <f>IFERROR(ROUNDDOWN(Y27*Y13,0),0)</f>
        <v>0</v>
      </c>
      <c r="Z28" s="281" t="s">
        <v>784</v>
      </c>
      <c r="AA28" s="281">
        <f>IFERROR(ROUNDDOWN(AA27*AA13,0),0)</f>
        <v>0</v>
      </c>
      <c r="AB28" s="281" t="s">
        <v>801</v>
      </c>
      <c r="AC28" s="281">
        <f>IFERROR(ROUNDDOWN(AC27*AC13,0),0)</f>
        <v>0</v>
      </c>
      <c r="AD28" s="281" t="s">
        <v>818</v>
      </c>
      <c r="AE28" s="281">
        <f>IFERROR(ROUNDDOWN(AE27*AE13,0),0)</f>
        <v>0</v>
      </c>
      <c r="AF28" s="281" t="s">
        <v>835</v>
      </c>
      <c r="AG28" s="281">
        <f>IFERROR(ROUNDDOWN(AG27*AG13,0),0)</f>
        <v>0</v>
      </c>
      <c r="AH28" s="281" t="s">
        <v>852</v>
      </c>
      <c r="AI28" s="281">
        <f>IFERROR(ROUNDDOWN(AI27*AI13,0),0)</f>
        <v>0</v>
      </c>
      <c r="AJ28" s="281" t="s">
        <v>869</v>
      </c>
      <c r="AK28" s="281">
        <f>IFERROR(ROUNDDOWN(AK27*AK13,0),0)</f>
        <v>0</v>
      </c>
      <c r="AL28" s="281" t="s">
        <v>886</v>
      </c>
      <c r="AM28" s="281">
        <f>IFERROR(ROUNDDOWN(AM27*AM13,0),0)</f>
        <v>0</v>
      </c>
      <c r="AN28" s="281" t="s">
        <v>903</v>
      </c>
      <c r="AO28" s="281">
        <f>IFERROR(ROUNDDOWN(AO27*AO13,0),0)</f>
        <v>0</v>
      </c>
      <c r="AP28" s="281" t="s">
        <v>920</v>
      </c>
      <c r="AQ28" s="281">
        <f>IFERROR(ROUNDDOWN(AQ27*AQ13,0),0)</f>
        <v>0</v>
      </c>
      <c r="AR28" s="281" t="s">
        <v>937</v>
      </c>
      <c r="AS28" s="281">
        <f>IFERROR(ROUNDDOWN(AS27*AS13,0),0)</f>
        <v>0</v>
      </c>
      <c r="AT28" s="281" t="s">
        <v>954</v>
      </c>
      <c r="AU28" s="281">
        <f>IFERROR(ROUNDDOWN(AU27*AU13,0),0)</f>
        <v>0</v>
      </c>
      <c r="AV28" s="281" t="s">
        <v>971</v>
      </c>
      <c r="AW28" s="281">
        <f>IFERROR(ROUNDDOWN(AW27*AW13,0),0)</f>
        <v>0</v>
      </c>
      <c r="AX28" s="281" t="s">
        <v>988</v>
      </c>
      <c r="AY28" s="281">
        <f>IFERROR(ROUNDDOWN(AY27*AY13,0),0)</f>
        <v>0</v>
      </c>
      <c r="AZ28" s="281" t="s">
        <v>1005</v>
      </c>
      <c r="BA28" s="281">
        <f>IFERROR(ROUNDDOWN(BA27*BA13,0),0)</f>
        <v>0</v>
      </c>
      <c r="BB28" s="281" t="s">
        <v>1022</v>
      </c>
      <c r="BC28" s="281">
        <f>IFERROR(ROUNDDOWN(BC27*BC13,0),0)</f>
        <v>0</v>
      </c>
      <c r="BD28" s="281" t="s">
        <v>1039</v>
      </c>
      <c r="BE28" s="281">
        <f>IFERROR(ROUNDDOWN(BE27*BE13,0),0)</f>
        <v>0</v>
      </c>
      <c r="BF28" s="281" t="s">
        <v>1056</v>
      </c>
      <c r="BG28" s="281">
        <f>IFERROR(ROUNDDOWN(BG27*BG13,0),0)</f>
        <v>0</v>
      </c>
      <c r="BH28" s="281" t="s">
        <v>1073</v>
      </c>
      <c r="BI28" s="281">
        <f>IFERROR(ROUNDDOWN(BI27*BI13,0),0)</f>
        <v>0</v>
      </c>
      <c r="BJ28" s="281" t="s">
        <v>1090</v>
      </c>
      <c r="BK28" s="281">
        <f>IFERROR(ROUNDDOWN(BK27*BK13,0),0)</f>
        <v>0</v>
      </c>
      <c r="BL28" s="281" t="s">
        <v>1107</v>
      </c>
      <c r="BM28" s="281">
        <f>IFERROR(ROUNDDOWN(BM27*BM13,0),0)</f>
        <v>0</v>
      </c>
      <c r="BN28" s="281" t="s">
        <v>1124</v>
      </c>
      <c r="BO28" s="281">
        <f>IFERROR(ROUNDDOWN(BO27*BO13,0),0)</f>
        <v>0</v>
      </c>
      <c r="BP28" s="281" t="s">
        <v>1141</v>
      </c>
      <c r="BQ28" s="281">
        <f>IFERROR(ROUNDDOWN(BQ27*BQ13,0),0)</f>
        <v>0</v>
      </c>
      <c r="BR28" s="281" t="s">
        <v>1158</v>
      </c>
      <c r="BS28" s="281">
        <f>IFERROR(ROUNDDOWN(BS27*BS13,0),0)</f>
        <v>0</v>
      </c>
    </row>
    <row r="29" spans="1:71" ht="20.100000000000001" customHeight="1">
      <c r="B29" s="432" t="s">
        <v>15225</v>
      </c>
      <c r="C29" s="433"/>
      <c r="D29" s="308" t="s">
        <v>598</v>
      </c>
      <c r="E29" s="281">
        <f>MAX(E26,E28)</f>
        <v>3252210</v>
      </c>
      <c r="F29" s="281" t="s">
        <v>615</v>
      </c>
      <c r="G29" s="281">
        <f>MAX(G26,G28)</f>
        <v>0</v>
      </c>
      <c r="H29" s="281" t="s">
        <v>632</v>
      </c>
      <c r="I29" s="281">
        <f>MAX(I26,I28)</f>
        <v>0</v>
      </c>
      <c r="J29" s="281" t="s">
        <v>649</v>
      </c>
      <c r="K29" s="281">
        <f>MAX(K26,K28)</f>
        <v>0</v>
      </c>
      <c r="L29" s="281" t="s">
        <v>666</v>
      </c>
      <c r="M29" s="281">
        <f>MAX(M26,M28)</f>
        <v>0</v>
      </c>
      <c r="N29" s="281" t="s">
        <v>683</v>
      </c>
      <c r="O29" s="281">
        <f>MAX(O26,O28)</f>
        <v>0</v>
      </c>
      <c r="P29" s="281" t="s">
        <v>700</v>
      </c>
      <c r="Q29" s="281">
        <f>MAX(Q26,Q28)</f>
        <v>0</v>
      </c>
      <c r="R29" s="281" t="s">
        <v>717</v>
      </c>
      <c r="S29" s="281">
        <f>MAX(S26,S28)</f>
        <v>0</v>
      </c>
      <c r="T29" s="281" t="s">
        <v>734</v>
      </c>
      <c r="U29" s="281">
        <f>MAX(U26,U28)</f>
        <v>0</v>
      </c>
      <c r="V29" s="281" t="s">
        <v>751</v>
      </c>
      <c r="W29" s="281">
        <f>MAX(W26,W28)</f>
        <v>0</v>
      </c>
      <c r="X29" s="281" t="s">
        <v>768</v>
      </c>
      <c r="Y29" s="281">
        <f>MAX(Y26,Y28)</f>
        <v>0</v>
      </c>
      <c r="Z29" s="281" t="s">
        <v>785</v>
      </c>
      <c r="AA29" s="281">
        <f>MAX(AA26,AA28)</f>
        <v>0</v>
      </c>
      <c r="AB29" s="281" t="s">
        <v>802</v>
      </c>
      <c r="AC29" s="281">
        <f>MAX(AC26,AC28)</f>
        <v>0</v>
      </c>
      <c r="AD29" s="281" t="s">
        <v>819</v>
      </c>
      <c r="AE29" s="281">
        <f>MAX(AE26,AE28)</f>
        <v>0</v>
      </c>
      <c r="AF29" s="281" t="s">
        <v>836</v>
      </c>
      <c r="AG29" s="281">
        <f>MAX(AG26,AG28)</f>
        <v>0</v>
      </c>
      <c r="AH29" s="281" t="s">
        <v>853</v>
      </c>
      <c r="AI29" s="281">
        <f>MAX(AI26,AI28)</f>
        <v>0</v>
      </c>
      <c r="AJ29" s="281" t="s">
        <v>870</v>
      </c>
      <c r="AK29" s="281">
        <f>MAX(AK26,AK28)</f>
        <v>0</v>
      </c>
      <c r="AL29" s="281" t="s">
        <v>887</v>
      </c>
      <c r="AM29" s="281">
        <f>MAX(AM26,AM28)</f>
        <v>0</v>
      </c>
      <c r="AN29" s="281" t="s">
        <v>904</v>
      </c>
      <c r="AO29" s="281">
        <f>MAX(AO26,AO28)</f>
        <v>0</v>
      </c>
      <c r="AP29" s="281" t="s">
        <v>921</v>
      </c>
      <c r="AQ29" s="281">
        <f>MAX(AQ26,AQ28)</f>
        <v>0</v>
      </c>
      <c r="AR29" s="281" t="s">
        <v>938</v>
      </c>
      <c r="AS29" s="281">
        <f>MAX(AS26,AS28)</f>
        <v>0</v>
      </c>
      <c r="AT29" s="281" t="s">
        <v>955</v>
      </c>
      <c r="AU29" s="281">
        <f>MAX(AU26,AU28)</f>
        <v>0</v>
      </c>
      <c r="AV29" s="281" t="s">
        <v>972</v>
      </c>
      <c r="AW29" s="281">
        <f>MAX(AW26,AW28)</f>
        <v>0</v>
      </c>
      <c r="AX29" s="281" t="s">
        <v>989</v>
      </c>
      <c r="AY29" s="281">
        <f>MAX(AY26,AY28)</f>
        <v>0</v>
      </c>
      <c r="AZ29" s="281" t="s">
        <v>1006</v>
      </c>
      <c r="BA29" s="281">
        <f>MAX(BA26,BA28)</f>
        <v>0</v>
      </c>
      <c r="BB29" s="281" t="s">
        <v>1023</v>
      </c>
      <c r="BC29" s="281">
        <f>MAX(BC26,BC28)</f>
        <v>0</v>
      </c>
      <c r="BD29" s="281" t="s">
        <v>1040</v>
      </c>
      <c r="BE29" s="281">
        <f>MAX(BE26,BE28)</f>
        <v>0</v>
      </c>
      <c r="BF29" s="281" t="s">
        <v>1057</v>
      </c>
      <c r="BG29" s="281">
        <f>MAX(BG26,BG28)</f>
        <v>0</v>
      </c>
      <c r="BH29" s="281" t="s">
        <v>1074</v>
      </c>
      <c r="BI29" s="281">
        <f>MAX(BI26,BI28)</f>
        <v>0</v>
      </c>
      <c r="BJ29" s="281" t="s">
        <v>1091</v>
      </c>
      <c r="BK29" s="281">
        <f>MAX(BK26,BK28)</f>
        <v>0</v>
      </c>
      <c r="BL29" s="281" t="s">
        <v>1108</v>
      </c>
      <c r="BM29" s="281">
        <f>MAX(BM26,BM28)</f>
        <v>0</v>
      </c>
      <c r="BN29" s="281" t="s">
        <v>1125</v>
      </c>
      <c r="BO29" s="281">
        <f>MAX(BO26,BO28)</f>
        <v>0</v>
      </c>
      <c r="BP29" s="281" t="s">
        <v>1142</v>
      </c>
      <c r="BQ29" s="281">
        <f>MAX(BQ26,BQ28)</f>
        <v>0</v>
      </c>
      <c r="BR29" s="281" t="s">
        <v>1159</v>
      </c>
      <c r="BS29" s="281">
        <f>MAX(BS26,BS28)</f>
        <v>0</v>
      </c>
    </row>
    <row r="30" spans="1:71" ht="20.100000000000001" customHeight="1">
      <c r="B30" s="425" t="s">
        <v>15226</v>
      </c>
      <c r="C30" s="426"/>
      <c r="D30" s="309" t="s">
        <v>15227</v>
      </c>
      <c r="E30" s="270" t="e">
        <f>IF(#REF!="○","-",IF(E29&gt;0,IF(E29&gt;=E25,"○","×"),"×"))</f>
        <v>#REF!</v>
      </c>
      <c r="F30" s="309" t="s">
        <v>15228</v>
      </c>
      <c r="G30" s="270" t="str">
        <f t="shared" ref="G30:AI30" si="3">IF(G29&gt;0,IF(G29&gt;=G25,"○","×"),"×")</f>
        <v>×</v>
      </c>
      <c r="H30" s="309" t="s">
        <v>15229</v>
      </c>
      <c r="I30" s="270" t="str">
        <f t="shared" si="3"/>
        <v>×</v>
      </c>
      <c r="J30" s="309" t="s">
        <v>15230</v>
      </c>
      <c r="K30" s="270" t="str">
        <f t="shared" si="3"/>
        <v>×</v>
      </c>
      <c r="L30" s="309" t="s">
        <v>15231</v>
      </c>
      <c r="M30" s="270" t="str">
        <f t="shared" si="3"/>
        <v>×</v>
      </c>
      <c r="N30" s="309" t="s">
        <v>15232</v>
      </c>
      <c r="O30" s="270" t="str">
        <f t="shared" si="3"/>
        <v>×</v>
      </c>
      <c r="P30" s="309" t="s">
        <v>15233</v>
      </c>
      <c r="Q30" s="270" t="str">
        <f t="shared" si="3"/>
        <v>×</v>
      </c>
      <c r="R30" s="309" t="s">
        <v>15234</v>
      </c>
      <c r="S30" s="270" t="str">
        <f t="shared" si="3"/>
        <v>×</v>
      </c>
      <c r="T30" s="309" t="s">
        <v>15235</v>
      </c>
      <c r="U30" s="270" t="str">
        <f t="shared" si="3"/>
        <v>×</v>
      </c>
      <c r="V30" s="309" t="s">
        <v>15236</v>
      </c>
      <c r="W30" s="270" t="str">
        <f t="shared" si="3"/>
        <v>×</v>
      </c>
      <c r="X30" s="309" t="s">
        <v>15237</v>
      </c>
      <c r="Y30" s="270" t="str">
        <f t="shared" si="3"/>
        <v>×</v>
      </c>
      <c r="Z30" s="309" t="s">
        <v>15238</v>
      </c>
      <c r="AA30" s="270" t="str">
        <f t="shared" si="3"/>
        <v>×</v>
      </c>
      <c r="AB30" s="309" t="s">
        <v>15239</v>
      </c>
      <c r="AC30" s="270" t="str">
        <f t="shared" si="3"/>
        <v>×</v>
      </c>
      <c r="AD30" s="309" t="s">
        <v>15240</v>
      </c>
      <c r="AE30" s="270" t="str">
        <f t="shared" si="3"/>
        <v>×</v>
      </c>
      <c r="AF30" s="309" t="s">
        <v>15241</v>
      </c>
      <c r="AG30" s="270" t="str">
        <f t="shared" si="3"/>
        <v>×</v>
      </c>
      <c r="AH30" s="309" t="s">
        <v>15242</v>
      </c>
      <c r="AI30" s="270" t="str">
        <f t="shared" si="3"/>
        <v>×</v>
      </c>
      <c r="AJ30" s="309" t="s">
        <v>15243</v>
      </c>
      <c r="AK30" s="270" t="str">
        <f t="shared" ref="AK30:BO30" si="4">IF(AK29&gt;0,IF(AK29&gt;=AK25,"○","×"),"×")</f>
        <v>×</v>
      </c>
      <c r="AL30" s="309" t="s">
        <v>15244</v>
      </c>
      <c r="AM30" s="270" t="str">
        <f t="shared" si="4"/>
        <v>×</v>
      </c>
      <c r="AN30" s="309" t="s">
        <v>15245</v>
      </c>
      <c r="AO30" s="270" t="str">
        <f t="shared" si="4"/>
        <v>×</v>
      </c>
      <c r="AP30" s="309" t="s">
        <v>15246</v>
      </c>
      <c r="AQ30" s="270" t="str">
        <f t="shared" si="4"/>
        <v>×</v>
      </c>
      <c r="AR30" s="309" t="s">
        <v>15247</v>
      </c>
      <c r="AS30" s="270" t="str">
        <f t="shared" si="4"/>
        <v>×</v>
      </c>
      <c r="AT30" s="309" t="s">
        <v>15248</v>
      </c>
      <c r="AU30" s="270" t="str">
        <f t="shared" si="4"/>
        <v>×</v>
      </c>
      <c r="AV30" s="309" t="s">
        <v>15249</v>
      </c>
      <c r="AW30" s="270" t="str">
        <f t="shared" si="4"/>
        <v>×</v>
      </c>
      <c r="AX30" s="309" t="s">
        <v>15250</v>
      </c>
      <c r="AY30" s="270" t="str">
        <f t="shared" si="4"/>
        <v>×</v>
      </c>
      <c r="AZ30" s="309" t="s">
        <v>15251</v>
      </c>
      <c r="BA30" s="270" t="str">
        <f t="shared" si="4"/>
        <v>×</v>
      </c>
      <c r="BB30" s="309" t="s">
        <v>15252</v>
      </c>
      <c r="BC30" s="270" t="str">
        <f t="shared" si="4"/>
        <v>×</v>
      </c>
      <c r="BD30" s="309" t="s">
        <v>15253</v>
      </c>
      <c r="BE30" s="270" t="str">
        <f t="shared" si="4"/>
        <v>×</v>
      </c>
      <c r="BF30" s="309" t="s">
        <v>15254</v>
      </c>
      <c r="BG30" s="270" t="str">
        <f t="shared" si="4"/>
        <v>×</v>
      </c>
      <c r="BH30" s="309" t="s">
        <v>15255</v>
      </c>
      <c r="BI30" s="270" t="str">
        <f t="shared" si="4"/>
        <v>×</v>
      </c>
      <c r="BJ30" s="309" t="s">
        <v>15256</v>
      </c>
      <c r="BK30" s="270" t="str">
        <f t="shared" si="4"/>
        <v>×</v>
      </c>
      <c r="BL30" s="309" t="s">
        <v>15257</v>
      </c>
      <c r="BM30" s="270" t="str">
        <f t="shared" si="4"/>
        <v>×</v>
      </c>
      <c r="BN30" s="309" t="s">
        <v>15258</v>
      </c>
      <c r="BO30" s="270" t="str">
        <f t="shared" si="4"/>
        <v>×</v>
      </c>
      <c r="BP30" s="309" t="s">
        <v>15259</v>
      </c>
      <c r="BQ30" s="270" t="str">
        <f t="shared" ref="BQ30:BS30" si="5">IF(BQ29&gt;0,IF(BQ29&gt;=BQ25,"○","×"),"×")</f>
        <v>×</v>
      </c>
      <c r="BR30" s="309" t="s">
        <v>15260</v>
      </c>
      <c r="BS30" s="270" t="str">
        <f t="shared" si="5"/>
        <v>×</v>
      </c>
    </row>
    <row r="36" spans="8:39">
      <c r="H36" s="301"/>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row>
  </sheetData>
  <sheetProtection sheet="1" objects="1" scenarios="1"/>
  <mergeCells count="6">
    <mergeCell ref="B30:C30"/>
    <mergeCell ref="A2:C2"/>
    <mergeCell ref="B3:C3"/>
    <mergeCell ref="A10:A14"/>
    <mergeCell ref="A17:A20"/>
    <mergeCell ref="B29:C29"/>
  </mergeCells>
  <phoneticPr fontId="3"/>
  <conditionalFormatting sqref="E7:F7">
    <cfRule type="expression" dxfId="12" priority="13">
      <formula>$E$5=""</formula>
    </cfRule>
  </conditionalFormatting>
  <conditionalFormatting sqref="G7:BS7">
    <cfRule type="containsBlanks" dxfId="11" priority="3">
      <formula>LEN(TRIM(G7))=0</formula>
    </cfRule>
    <cfRule type="notContainsBlanks" dxfId="10" priority="4">
      <formula>LEN(TRIM(G7))&gt;0</formula>
    </cfRule>
    <cfRule type="expression" dxfId="9" priority="12">
      <formula>G$5=""</formula>
    </cfRule>
  </conditionalFormatting>
  <conditionalFormatting sqref="E10:F12">
    <cfRule type="expression" dxfId="8" priority="11">
      <formula>$E$5=""</formula>
    </cfRule>
  </conditionalFormatting>
  <conditionalFormatting sqref="G10:BS12">
    <cfRule type="expression" dxfId="7" priority="10">
      <formula>G$5=""</formula>
    </cfRule>
  </conditionalFormatting>
  <conditionalFormatting sqref="G25:BS25">
    <cfRule type="containsBlanks" dxfId="6" priority="9">
      <formula>LEN(TRIM(G25))=0</formula>
    </cfRule>
  </conditionalFormatting>
  <conditionalFormatting sqref="G25:BS25">
    <cfRule type="expression" dxfId="5" priority="8">
      <formula>G$5=""</formula>
    </cfRule>
  </conditionalFormatting>
  <conditionalFormatting sqref="G25:BS25">
    <cfRule type="notContainsBlanks" dxfId="4" priority="7">
      <formula>LEN(TRIM(G25))&gt;0</formula>
    </cfRule>
  </conditionalFormatting>
  <conditionalFormatting sqref="E27:F27">
    <cfRule type="expression" dxfId="3" priority="6">
      <formula>$E$5=""</formula>
    </cfRule>
  </conditionalFormatting>
  <conditionalFormatting sqref="G27:BS27">
    <cfRule type="expression" dxfId="2" priority="5">
      <formula>G$5=""</formula>
    </cfRule>
  </conditionalFormatting>
  <conditionalFormatting sqref="E7">
    <cfRule type="notContainsBlanks" dxfId="1" priority="1">
      <formula>LEN(TRIM(E7))&gt;0</formula>
    </cfRule>
    <cfRule type="containsBlanks" dxfId="0" priority="2">
      <formula>LEN(TRIM(E7))=0</formula>
    </cfRule>
  </conditionalFormatting>
  <dataValidations count="1">
    <dataValidation type="list" allowBlank="1" showInputMessage="1" showErrorMessage="1" sqref="E7:BS7" xr:uid="{8C0FB8A0-3F65-434B-B30F-EA792F84B818}">
      <formula1>$BU$7:$BU$8</formula1>
    </dataValidation>
  </dataValidations>
  <printOptions horizontalCentered="1"/>
  <pageMargins left="0.23622047244094491" right="0.23622047244094491" top="0.74803149606299213" bottom="0.74803149606299213" header="0.31496062992125984" footer="0.31496062992125984"/>
  <pageSetup paperSize="9" scale="82" fitToWidth="0" orientation="landscape" blackAndWhite="1"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52</vt:i4>
      </vt:variant>
    </vt:vector>
  </HeadingPairs>
  <TitlesOfParts>
    <vt:vector size="65" baseType="lpstr">
      <vt:lpstr>所要額データ</vt:lpstr>
      <vt:lpstr>PullDown</vt:lpstr>
      <vt:lpstr>←非表示</vt:lpstr>
      <vt:lpstr>当該年度上限額設定状況</vt:lpstr>
      <vt:lpstr>シート反映用データ</vt:lpstr>
      <vt:lpstr>R１実績</vt:lpstr>
      <vt:lpstr>R２実績</vt:lpstr>
      <vt:lpstr>R３実績</vt:lpstr>
      <vt:lpstr>R４実績</vt:lpstr>
      <vt:lpstr>R５実績</vt:lpstr>
      <vt:lpstr>R６実績 </vt:lpstr>
      <vt:lpstr>R７実績</vt:lpstr>
      <vt:lpstr>（参考）包括・任意事業の上限額算定の手引き</vt:lpstr>
      <vt:lpstr>_01</vt:lpstr>
      <vt:lpstr>_02</vt:lpstr>
      <vt:lpstr>_03</vt:lpstr>
      <vt:lpstr>_04</vt:lpstr>
      <vt:lpstr>_05</vt:lpstr>
      <vt:lpstr>_06</vt:lpstr>
      <vt:lpstr>_07</vt:lpstr>
      <vt:lpstr>_08</vt:lpstr>
      <vt:lpstr>_09</vt:lpstr>
      <vt:lpstr>_10</vt:lpstr>
      <vt:lpstr>_11</vt:lpstr>
      <vt:lpstr>_12</vt:lpstr>
      <vt:lpstr>_13</vt:lpstr>
      <vt:lpstr>_14</vt:lpstr>
      <vt:lpstr>_15</vt:lpstr>
      <vt:lpstr>_16</vt:lpstr>
      <vt:lpstr>_17</vt:lpstr>
      <vt:lpstr>_18</vt:lpstr>
      <vt:lpstr>_19</vt:lpstr>
      <vt:lpstr>_20</vt:lpstr>
      <vt:lpstr>_21</vt:lpstr>
      <vt:lpstr>_22</vt:lpstr>
      <vt:lpstr>_23</vt:lpstr>
      <vt:lpstr>_24</vt:lpstr>
      <vt:lpstr>_25</vt:lpstr>
      <vt:lpstr>_26</vt:lpstr>
      <vt:lpstr>_27</vt:lpstr>
      <vt:lpstr>_28</vt:lpstr>
      <vt:lpstr>_29</vt:lpstr>
      <vt:lpstr>_30</vt:lpstr>
      <vt:lpstr>_31</vt:lpstr>
      <vt:lpstr>_32</vt:lpstr>
      <vt:lpstr>_33</vt:lpstr>
      <vt:lpstr>_34</vt:lpstr>
      <vt:lpstr>_35</vt:lpstr>
      <vt:lpstr>_36</vt:lpstr>
      <vt:lpstr>_37</vt:lpstr>
      <vt:lpstr>_38</vt:lpstr>
      <vt:lpstr>_39</vt:lpstr>
      <vt:lpstr>_40</vt:lpstr>
      <vt:lpstr>_41</vt:lpstr>
      <vt:lpstr>_42</vt:lpstr>
      <vt:lpstr>_43</vt:lpstr>
      <vt:lpstr>_44</vt:lpstr>
      <vt:lpstr>_45</vt:lpstr>
      <vt:lpstr>_46</vt:lpstr>
      <vt:lpstr>_47</vt:lpstr>
      <vt:lpstr>'（参考）包括・任意事業の上限額算定の手引き'!Print_Area</vt:lpstr>
      <vt:lpstr>'R６実績 '!Print_Area</vt:lpstr>
      <vt:lpstr>'R７実績'!Print_Area</vt:lpstr>
      <vt:lpstr>当該年度上限額設定状況!Print_Area</vt:lpstr>
      <vt:lpstr>'（参考）包括・任意事業の上限額算定の手引き'!Print_Titles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千葉 泰斗</dc:creator>
  <cp:lastModifiedBy>折笠裕之</cp:lastModifiedBy>
  <cp:lastPrinted>2026-06-08T05:43:00Z</cp:lastPrinted>
  <dcterms:created xsi:type="dcterms:W3CDTF">2026-05-13T00:41:08Z</dcterms:created>
  <dcterms:modified xsi:type="dcterms:W3CDTF">2026-09-10T07:02:57Z</dcterms:modified>
</cp:coreProperties>
</file>