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7045F1B6-FDB8-4AF2-BE57-662CCA44C4E8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B259" i="25"/>
  <c r="B2" i="23"/>
  <c r="A2" i="23" l="1"/>
  <c r="F2" i="23" l="1"/>
  <c r="J2" i="23" l="1"/>
  <c r="B260" i="25" l="1"/>
</calcChain>
</file>

<file path=xl/sharedStrings.xml><?xml version="1.0" encoding="utf-8"?>
<sst xmlns="http://schemas.openxmlformats.org/spreadsheetml/2006/main" count="1121" uniqueCount="916">
  <si>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</si>
  <si>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</si>
  <si>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</si>
  <si>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</si>
  <si>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</si>
  <si>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</si>
  <si>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</si>
  <si>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</si>
  <si>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</si>
  <si>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</si>
  <si>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</si>
  <si>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</si>
  <si>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</si>
  <si>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</si>
  <si>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</si>
  <si>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</si>
  <si>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</si>
  <si>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</si>
  <si>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</si>
  <si>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</si>
  <si>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</si>
  <si>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</si>
  <si>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</si>
  <si>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</si>
  <si>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</si>
  <si>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</si>
  <si>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</si>
  <si>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</si>
  <si>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</si>
  <si>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</si>
  <si>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</si>
  <si>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</si>
  <si>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</si>
  <si>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</si>
  <si>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</si>
  <si>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</si>
  <si>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</si>
  <si>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</si>
  <si>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</si>
  <si>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</si>
  <si>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</si>
  <si>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</si>
  <si>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</si>
  <si>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</si>
  <si>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</si>
  <si>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</si>
  <si>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</si>
  <si>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</si>
  <si>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</si>
  <si>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</si>
  <si>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</si>
  <si>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</si>
  <si>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</si>
  <si>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</si>
  <si>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</si>
  <si>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</si>
  <si>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</si>
  <si>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</si>
  <si>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</si>
  <si>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</si>
  <si>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</si>
  <si>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</si>
  <si>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</si>
  <si>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</si>
  <si>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</si>
  <si>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</si>
  <si>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</si>
  <si>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</si>
  <si>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</si>
  <si>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</si>
  <si>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</si>
  <si>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</si>
  <si>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</si>
  <si>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</si>
  <si>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</si>
  <si>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</si>
  <si>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</si>
  <si>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</si>
  <si>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</si>
  <si>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</si>
  <si>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</si>
  <si>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</si>
  <si>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</si>
  <si>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</si>
  <si>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</si>
  <si>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</si>
  <si>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</si>
  <si>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</si>
  <si>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</si>
  <si>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</si>
  <si>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</si>
  <si>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</si>
  <si>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</si>
  <si>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</si>
  <si>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</si>
  <si>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</si>
  <si>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</si>
  <si>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</si>
  <si>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</si>
  <si>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</si>
  <si>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</si>
  <si>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</si>
  <si>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</si>
  <si>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</si>
  <si>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</si>
  <si>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</si>
  <si>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</si>
  <si>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</si>
  <si>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</si>
  <si>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</si>
  <si>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</si>
  <si>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</si>
  <si>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</si>
  <si>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</si>
  <si>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</si>
  <si>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</si>
  <si>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</si>
  <si>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</si>
  <si>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</si>
  <si>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</si>
  <si>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</si>
  <si>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</si>
  <si>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</si>
  <si>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</si>
  <si>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</si>
  <si>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</si>
  <si>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</si>
  <si>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</si>
  <si>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</si>
  <si>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</si>
  <si>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</si>
  <si>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</si>
  <si>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</si>
  <si>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</si>
  <si>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</si>
  <si>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</si>
  <si>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</si>
  <si>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</si>
  <si>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</si>
  <si>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</si>
  <si>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</si>
  <si>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</si>
  <si>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</si>
  <si>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</si>
  <si>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</si>
  <si>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</si>
  <si>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</si>
  <si>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</si>
  <si>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</si>
  <si>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</si>
  <si>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</si>
  <si>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</si>
  <si>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</si>
  <si>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</si>
  <si>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</si>
  <si>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</si>
  <si>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</si>
  <si>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</si>
  <si>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</si>
  <si>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</si>
  <si>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</si>
  <si>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</si>
  <si>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</si>
  <si>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</si>
  <si>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</si>
  <si>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</si>
  <si>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</si>
  <si>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</si>
  <si>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</si>
  <si>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</si>
  <si>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</si>
  <si>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</si>
  <si>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</si>
  <si>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</si>
  <si>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</si>
  <si>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</si>
  <si>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</si>
  <si>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</si>
  <si>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</si>
  <si>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</si>
  <si>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</si>
  <si>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</si>
  <si>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</si>
  <si>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</si>
  <si>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</si>
  <si>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</si>
  <si>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</si>
  <si>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</si>
  <si>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</si>
  <si>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</si>
  <si>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</si>
  <si>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</si>
  <si>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</si>
  <si>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</si>
  <si>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</si>
  <si>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</si>
  <si>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</si>
  <si>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</si>
  <si>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</si>
  <si>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</si>
  <si>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</si>
  <si>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</si>
  <si>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</si>
  <si>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</si>
  <si>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</si>
  <si>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</si>
  <si>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</si>
  <si>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</si>
  <si>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</si>
  <si>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</si>
  <si>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</si>
  <si>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</si>
  <si>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</si>
  <si>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</si>
  <si>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</si>
  <si>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</si>
  <si>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</si>
  <si>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</si>
  <si>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</si>
  <si>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</si>
  <si>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</si>
  <si>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</si>
  <si>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</si>
  <si>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</si>
  <si>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</si>
  <si>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</si>
  <si>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</si>
  <si>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</si>
  <si>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</si>
  <si>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</si>
  <si>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</si>
  <si>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</si>
  <si>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</si>
  <si>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</si>
  <si>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</si>
  <si>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</si>
  <si>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</si>
  <si>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</si>
  <si>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</si>
  <si>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</si>
  <si>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</si>
  <si>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</si>
  <si>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</si>
  <si>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</si>
  <si>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</si>
  <si>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</si>
  <si>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</si>
  <si>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</si>
  <si>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</si>
  <si>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</si>
  <si>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</si>
  <si>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</si>
  <si>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</si>
  <si>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</si>
  <si>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</si>
  <si>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</si>
  <si>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</si>
  <si>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</si>
  <si>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</si>
  <si>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</si>
  <si>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</si>
  <si>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</si>
  <si>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</si>
  <si>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</si>
  <si>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</si>
  <si>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</si>
  <si>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</si>
  <si>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</si>
  <si>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</si>
  <si>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</si>
  <si>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</si>
  <si>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</si>
  <si>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</si>
  <si>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</si>
  <si>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</si>
  <si>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</si>
  <si>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</si>
  <si>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</si>
  <si>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</si>
  <si>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</si>
  <si>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</si>
  <si>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</si>
  <si>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</si>
  <si>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</si>
  <si>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</si>
  <si>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</si>
  <si>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</si>
  <si>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</si>
  <si>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</si>
  <si>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</si>
  <si>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</si>
  <si>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</si>
  <si>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</si>
  <si>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</si>
  <si>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</si>
  <si>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</si>
  <si>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</si>
  <si>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</si>
  <si>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</si>
  <si>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</si>
  <si>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</si>
  <si>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</si>
  <si>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</si>
  <si>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</si>
  <si>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</si>
  <si>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</si>
  <si>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</si>
  <si>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</si>
  <si>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</si>
  <si>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</si>
  <si>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</si>
  <si>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</si>
  <si>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</si>
  <si>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</si>
  <si>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</si>
  <si>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</si>
  <si>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</si>
  <si>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</si>
  <si>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</si>
  <si>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</si>
  <si>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</si>
  <si>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</si>
  <si>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</si>
  <si>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</si>
  <si>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</si>
  <si>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</si>
  <si>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</si>
  <si>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</si>
  <si>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</si>
  <si>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</si>
  <si>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</si>
  <si>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</si>
  <si>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</si>
  <si>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</si>
  <si>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</si>
  <si>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</si>
  <si>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</si>
  <si>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</si>
  <si>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</si>
  <si>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</si>
  <si>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</si>
  <si>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</si>
  <si>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</si>
  <si>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</si>
  <si>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</si>
  <si>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</si>
  <si>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</si>
  <si>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</si>
  <si>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</si>
  <si>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</si>
  <si>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</si>
  <si>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</si>
  <si>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</si>
  <si>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</si>
  <si>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</si>
  <si>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</si>
  <si>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</si>
  <si>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</si>
  <si>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</si>
  <si>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</si>
  <si>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</si>
  <si>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</si>
  <si>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</si>
  <si>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</si>
  <si>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</si>
  <si>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</si>
  <si>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</si>
  <si>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</si>
  <si>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</si>
  <si>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</si>
  <si>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</si>
  <si>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</si>
  <si>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</si>
  <si>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</si>
  <si>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</si>
  <si>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</si>
  <si>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</si>
  <si>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</si>
  <si>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</si>
  <si>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</si>
  <si>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</si>
  <si>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</si>
  <si>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</si>
  <si>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</si>
  <si>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</si>
  <si>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</si>
  <si>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</si>
  <si>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</si>
  <si>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</si>
  <si>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</si>
  <si>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</si>
  <si>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</si>
  <si>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</si>
  <si>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</si>
  <si>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</si>
  <si>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</si>
  <si>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</si>
  <si>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</si>
  <si>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</si>
  <si>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</si>
  <si>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</si>
  <si>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</si>
  <si>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</si>
  <si>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</si>
  <si>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</si>
  <si>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</si>
  <si>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</si>
  <si>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</si>
  <si>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</si>
  <si>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</si>
  <si>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</si>
  <si>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</si>
  <si>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</si>
  <si>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</si>
  <si>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</si>
  <si>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</si>
  <si>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</si>
  <si>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</si>
  <si>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</si>
  <si>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</si>
  <si>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</si>
  <si>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</si>
  <si>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</si>
  <si>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</si>
  <si>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</si>
  <si>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</si>
  <si>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</si>
  <si>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</si>
  <si>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</si>
  <si>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</si>
  <si>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</si>
  <si>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</si>
  <si>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</si>
  <si>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</si>
  <si>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</si>
  <si>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</si>
  <si>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</si>
  <si>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</si>
  <si>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</si>
  <si>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</si>
  <si>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</si>
  <si>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</si>
  <si>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</si>
  <si>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</si>
  <si>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</si>
  <si>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</si>
  <si>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</si>
  <si>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</si>
  <si>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</si>
  <si>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</si>
  <si>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</si>
  <si>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</si>
  <si>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</si>
  <si>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</si>
  <si>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</si>
  <si>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</si>
  <si>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</si>
  <si>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</si>
  <si>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</si>
  <si>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</si>
  <si>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</si>
  <si>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</si>
  <si>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</si>
  <si>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</si>
  <si>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</si>
  <si>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</si>
  <si>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</si>
  <si>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</si>
  <si>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</si>
  <si>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</si>
  <si>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</si>
  <si>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</si>
  <si>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</si>
  <si>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</si>
  <si>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</si>
  <si>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</si>
  <si>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</si>
  <si>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</si>
  <si>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</si>
  <si>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</si>
  <si>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</si>
  <si>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</si>
  <si>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</si>
  <si>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</si>
  <si>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</si>
  <si>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</si>
  <si>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</si>
  <si>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</si>
  <si>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</si>
  <si>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</si>
  <si>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</si>
  <si>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</si>
  <si>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</si>
  <si>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</si>
  <si>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</si>
  <si>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</si>
  <si>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</si>
  <si>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</si>
  <si>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</si>
  <si>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</si>
  <si>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</si>
  <si>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</si>
  <si>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</si>
  <si>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</si>
  <si>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</si>
  <si>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</si>
  <si>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</si>
  <si>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</si>
  <si>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</si>
  <si>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</si>
  <si>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</si>
  <si>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</si>
  <si>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</si>
  <si>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</si>
  <si>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</si>
  <si>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</si>
  <si>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</si>
  <si>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</si>
  <si>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</si>
  <si>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</si>
  <si>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</si>
  <si>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</si>
  <si>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</si>
  <si>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</si>
  <si>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</si>
  <si>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</si>
  <si>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</si>
  <si>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</si>
  <si>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</si>
  <si>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</si>
  <si>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</si>
  <si>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</si>
  <si>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</si>
  <si>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</si>
  <si>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</si>
  <si>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</si>
  <si>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</si>
  <si>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</si>
  <si>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</si>
  <si>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</si>
  <si>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</si>
  <si>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</si>
  <si>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</si>
  <si>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</si>
  <si>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</si>
  <si>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</si>
  <si>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</si>
  <si>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</si>
  <si>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</si>
  <si>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</si>
  <si>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</si>
  <si>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</si>
  <si>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</si>
  <si>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</si>
  <si>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</si>
  <si>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</si>
  <si>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</si>
  <si>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</si>
  <si>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</si>
  <si>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</si>
  <si>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</si>
  <si>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</si>
  <si>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</si>
  <si>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</si>
  <si>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</si>
  <si>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</si>
  <si>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</si>
  <si>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</si>
  <si>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</si>
  <si>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</si>
  <si>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</si>
  <si>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</si>
  <si>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</si>
  <si>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</si>
  <si>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</si>
  <si>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</si>
  <si>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</si>
  <si>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</si>
  <si>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</si>
  <si>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</si>
  <si>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</si>
  <si>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</si>
  <si>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</si>
  <si>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</si>
  <si>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</si>
  <si>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</si>
  <si>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</si>
  <si>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</si>
  <si>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</si>
  <si>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</si>
  <si>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</si>
  <si>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</si>
  <si>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</si>
  <si>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</si>
  <si>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</si>
  <si>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</si>
  <si>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</si>
  <si>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</si>
  <si>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</si>
  <si>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</si>
  <si>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</si>
  <si>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</si>
  <si>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</si>
  <si>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</si>
  <si>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</si>
  <si>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</si>
  <si>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</si>
  <si>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</si>
  <si>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</si>
  <si>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</si>
  <si>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</si>
  <si>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</si>
  <si>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</si>
  <si>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</si>
  <si>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</si>
  <si>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</si>
  <si>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</si>
  <si>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</si>
  <si>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</si>
  <si>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</si>
  <si>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</si>
  <si>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</si>
  <si>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</si>
  <si>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</si>
  <si>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</si>
  <si>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</si>
  <si>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</si>
  <si>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</si>
  <si>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</si>
  <si>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</si>
  <si>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</si>
  <si>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</si>
  <si>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</si>
  <si>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</si>
  <si>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</si>
  <si>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</si>
  <si>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</si>
  <si>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</si>
  <si>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</si>
  <si>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</si>
  <si>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</si>
  <si>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</si>
  <si>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</si>
  <si>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</si>
  <si>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</si>
  <si>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</si>
  <si>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</si>
  <si>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</si>
  <si>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</si>
  <si>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</si>
  <si>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</si>
  <si>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</si>
  <si>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</si>
  <si>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</si>
  <si>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</si>
  <si>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</si>
  <si>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</si>
  <si>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</si>
  <si>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</si>
  <si>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</si>
  <si>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</si>
  <si>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</si>
  <si>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</si>
  <si>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</si>
  <si>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</si>
  <si>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</si>
  <si>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</si>
  <si>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</si>
  <si>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</si>
  <si>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</si>
  <si>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</si>
  <si>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</si>
  <si>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</si>
  <si>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</si>
  <si>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</si>
  <si>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</si>
  <si>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</si>
  <si>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</si>
  <si>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</si>
  <si>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</si>
  <si>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</si>
  <si>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</si>
  <si>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</si>
  <si>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</si>
  <si>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</si>
  <si>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</si>
  <si>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</si>
  <si>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</si>
  <si>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</si>
  <si>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</si>
  <si>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</si>
  <si>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</si>
  <si>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</si>
  <si>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</si>
  <si>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</si>
  <si>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</si>
  <si>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</si>
  <si>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</si>
  <si>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</si>
  <si>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</si>
  <si>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</si>
  <si>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</si>
  <si>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</si>
  <si>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</si>
  <si>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</si>
  <si>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</si>
  <si>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</si>
  <si>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</si>
  <si>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</si>
  <si>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</si>
  <si>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</si>
  <si>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</si>
  <si>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</si>
  <si>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</si>
  <si>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</si>
  <si>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</si>
  <si>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</si>
  <si>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</si>
  <si>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</si>
  <si>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</si>
  <si>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</si>
  <si>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</si>
  <si>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</si>
  <si>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</si>
  <si>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</si>
  <si>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</si>
  <si>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</si>
  <si>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</si>
  <si>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</si>
  <si>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</si>
  <si>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</si>
  <si>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</si>
  <si>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</si>
  <si>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</si>
  <si>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</si>
  <si>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</si>
  <si>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</si>
  <si>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</si>
  <si>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</si>
  <si>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</si>
  <si>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</si>
  <si>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</si>
  <si>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</si>
  <si>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</si>
  <si>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</si>
  <si>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</si>
  <si>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</si>
  <si>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</si>
  <si>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</si>
  <si>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</si>
  <si>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</si>
  <si>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</si>
  <si>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</si>
  <si>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</si>
  <si>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</si>
  <si>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</si>
  <si>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</si>
  <si>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</si>
  <si>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</si>
  <si>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</si>
  <si>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</si>
  <si>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</si>
  <si>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</si>
  <si>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</si>
  <si>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</si>
  <si>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</si>
  <si>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</si>
  <si>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</si>
  <si>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</si>
  <si>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</si>
  <si>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</si>
  <si>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</si>
  <si>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</si>
  <si>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</si>
  <si>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</si>
  <si>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</si>
  <si>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</si>
  <si>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</si>
  <si>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</si>
  <si>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</si>
  <si>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</si>
  <si>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</si>
  <si>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</si>
  <si>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</si>
  <si>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</si>
  <si>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</si>
  <si>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</si>
  <si>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</si>
  <si>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</si>
  <si>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</si>
  <si>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</si>
  <si>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</si>
  <si>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</si>
  <si>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</si>
  <si>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</si>
  <si>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</si>
  <si>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</si>
  <si>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</si>
  <si>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</si>
  <si>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</si>
  <si>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</si>
  <si>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</si>
  <si>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</si>
  <si>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</si>
  <si>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</si>
  <si>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</si>
  <si>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</si>
  <si>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</si>
  <si>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</si>
  <si>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</si>
  <si>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</si>
  <si>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</si>
  <si>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</si>
  <si>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</si>
  <si>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</si>
  <si>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</si>
  <si>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</si>
  <si>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</si>
  <si>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</si>
  <si>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</si>
  <si>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</si>
  <si>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</si>
  <si>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</si>
  <si>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</si>
  <si>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</si>
  <si>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</si>
  <si>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</si>
  <si>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</si>
  <si>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</si>
  <si>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</si>
  <si>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</si>
  <si>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</si>
  <si>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</si>
  <si>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</si>
  <si>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</si>
  <si>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</si>
  <si>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</si>
  <si>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</si>
  <si>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</si>
  <si>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</si>
  <si>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</si>
  <si>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</si>
  <si>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</si>
  <si>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</si>
  <si>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</si>
  <si>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</si>
  <si>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</si>
  <si>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</si>
  <si>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</si>
  <si>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</si>
  <si>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</si>
  <si>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</si>
  <si>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</si>
  <si>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</si>
  <si>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</si>
  <si>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</si>
  <si>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</si>
  <si>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</si>
  <si>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</si>
  <si>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</si>
  <si>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</si>
  <si>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</si>
  <si>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</si>
  <si>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</si>
  <si>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</si>
  <si>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</si>
  <si>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</si>
  <si>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平成19年
3月末</t>
  </si>
  <si>
    <t>平成20年
3月末</t>
  </si>
  <si>
    <t>平成21年
3月末</t>
  </si>
  <si>
    <t>平成22年
3月末</t>
  </si>
  <si>
    <t>平成23年
3月末</t>
  </si>
  <si>
    <t>平成24年
3月末</t>
  </si>
  <si>
    <t>平成25年
3月末</t>
  </si>
  <si>
    <t>平成26年
3月末</t>
  </si>
  <si>
    <t>平成27年
3月末</t>
  </si>
  <si>
    <t>平成28年
3月末</t>
  </si>
  <si>
    <t>平成29年
3月末</t>
  </si>
  <si>
    <t>平成30年
3月末</t>
  </si>
  <si>
    <t>令和元年
3月末</t>
  </si>
  <si>
    <t>令和2年
3月末</t>
  </si>
  <si>
    <t>令和3年
3月末</t>
  </si>
  <si>
    <t>令和4年
3月末</t>
  </si>
  <si>
    <t>令和5年
3月末</t>
  </si>
  <si>
    <t>令和6年
3月末</t>
  </si>
  <si>
    <t>令和7年
3月末
時点</t>
  </si>
  <si>
    <t>令和8年
3月末
時点</t>
  </si>
  <si>
    <t>令和8年
6月末
時点</t>
  </si>
  <si>
    <t>要支援１</t>
  </si>
  <si>
    <t>要支援２</t>
  </si>
  <si>
    <t>経過的要介護</t>
  </si>
  <si>
    <t>要介護１</t>
  </si>
  <si>
    <t>要介護２</t>
  </si>
  <si>
    <t>要介護３</t>
  </si>
  <si>
    <t>要介護４</t>
  </si>
  <si>
    <t>要介護５</t>
  </si>
  <si>
    <t>福島県</t>
  </si>
  <si>
    <t>全国</t>
  </si>
  <si>
    <t>要支援・要介護認定者数（要介護度別）</t>
  </si>
  <si>
    <t>令和8年(2026年)</t>
  </si>
  <si>
    <t>小野町</t>
  </si>
  <si>
    <t>要支援・要介護認定者数</t>
  </si>
  <si>
    <t>人</t>
  </si>
  <si>
    <t>厚生労働省「介護保険事業状況報告」年報（令和6,7,8年度のみ「介護保険事業状況報告」月報）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</si>
  <si>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</si>
  <si>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</si>
  <si>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認定者数（要支援１）</t>
  </si>
  <si>
    <t>（人）</t>
  </si>
  <si>
    <t>認定者数（要支援２）</t>
  </si>
  <si>
    <t>認定者数（経過的要介護）</t>
  </si>
  <si>
    <t>認定者数（要介護１）</t>
  </si>
  <si>
    <t>認定者数（要介護２）</t>
  </si>
  <si>
    <t>認定者数（要介護３）</t>
  </si>
  <si>
    <t>認定者数（要介護４）</t>
  </si>
  <si>
    <t>認定者数（要介護５）</t>
  </si>
  <si>
    <t>合計認定者数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</si>
</sst>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2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7" borderId="5" xfId="0" applyBorder="true" applyFont="true" applyFill="true">
      <alignment wrapText="true" vertical="center" horizontal="center"/>
    </xf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E0C45"/>
      <color rgb="FFBE2C75"/>
      <color rgb="FFE798BF"/>
      <color rgb="FF5B93EE"/>
      <color rgb="FFA8CFF7"/>
      <color rgb="FF2BAA00"/>
      <color rgb="FFA8BF00"/>
      <color rgb="FFE6FA5A"/>
      <color rgb="FFDBDB64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602782473389905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E6FA5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BD8E-46F1-9B9C-AB47D64653C7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A8BF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BD8E-46F1-9B9C-AB47D64653C7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2BAA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BD8E-46F1-9B9C-AB47D64653C7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A8CFF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BD8E-46F1-9B9C-AB47D64653C7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B93EE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BD8E-46F1-9B9C-AB47D64653C7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E798BF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BD8E-46F1-9B9C-AB47D64653C7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BE2C7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BD8E-46F1-9B9C-AB47D64653C7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7E0C4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BD8E-46F1-9B9C-AB47D64653C7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BD8E-46F1-9B9C-AB47D64653C7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BD8E-46F1-9B9C-AB47D64653C7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BD8E-46F1-9B9C-AB47D64653C7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BD8E-46F1-9B9C-AB47D64653C7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BD8E-46F1-9B9C-AB47D64653C7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BD8E-46F1-9B9C-AB47D64653C7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BD8E-46F1-9B9C-AB47D64653C7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BD8E-46F1-9B9C-AB47D64653C7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BD8E-46F1-9B9C-AB47D64653C7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BD8E-46F1-9B9C-AB47D64653C7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BD8E-46F1-9B9C-AB47D64653C7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BD8E-46F1-9B9C-AB47D64653C7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BD8E-46F1-9B9C-AB47D64653C7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BD8E-46F1-9B9C-AB47D64653C7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BD8E-46F1-9B9C-AB47D64653C7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BD8E-46F1-9B9C-AB47D64653C7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BD8E-46F1-9B9C-AB47D64653C7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BD8E-46F1-9B9C-AB47D64653C7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BD8E-46F1-9B9C-AB47D64653C7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BD8E-46F1-9B9C-AB47D64653C7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BD8E-46F1-9B9C-AB47D64653C7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0600608"/>
        <c:axId val="450601168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D8E-46F1-9B9C-AB47D64653C7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D8E-46F1-9B9C-AB47D64653C7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D8E-46F1-9B9C-AB47D64653C7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D8E-46F1-9B9C-AB47D64653C7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D8E-46F1-9B9C-AB47D64653C7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D8E-46F1-9B9C-AB47D64653C7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D8E-46F1-9B9C-AB47D64653C7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D8E-46F1-9B9C-AB47D64653C7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D8E-46F1-9B9C-AB47D64653C7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D8E-46F1-9B9C-AB47D64653C7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D8E-46F1-9B9C-AB47D64653C7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D8E-46F1-9B9C-AB47D64653C7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D8E-46F1-9B9C-AB47D64653C7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D8E-46F1-9B9C-AB47D64653C7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D8E-46F1-9B9C-AB47D64653C7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BD8E-46F1-9B9C-AB47D64653C7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D8E-46F1-9B9C-AB47D64653C7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D8E-46F1-9B9C-AB47D64653C7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D8E-46F1-9B9C-AB47D64653C7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D8E-46F1-9B9C-AB47D64653C7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D8E-46F1-9B9C-AB47D64653C7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D8E-46F1-9B9C-AB47D64653C7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D8E-46F1-9B9C-AB47D64653C7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BD8E-46F1-9B9C-AB47D64653C7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D8E-46F1-9B9C-AB47D64653C7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BD8E-46F1-9B9C-AB47D64653C7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D8E-46F1-9B9C-AB47D64653C7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BD8E-46F1-9B9C-AB47D64653C7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D8E-46F1-9B9C-AB47D64653C7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BD8E-46F1-9B9C-AB47D64653C7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D8E-46F1-9B9C-AB47D64653C7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D8E-46F1-9B9C-AB47D64653C7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D8E-46F1-9B9C-AB47D64653C7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BD8E-46F1-9B9C-AB47D64653C7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D8E-46F1-9B9C-AB47D64653C7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BD8E-46F1-9B9C-AB47D64653C7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D8E-46F1-9B9C-AB47D64653C7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BD8E-46F1-9B9C-AB47D64653C7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D8E-46F1-9B9C-AB47D64653C7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BD8E-46F1-9B9C-AB47D64653C7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D8E-46F1-9B9C-AB47D64653C7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BD8E-46F1-9B9C-AB47D64653C7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D8E-46F1-9B9C-AB47D64653C7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BD8E-46F1-9B9C-AB47D64653C7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D8E-46F1-9B9C-AB47D64653C7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BD8E-46F1-9B9C-AB47D64653C7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D8E-46F1-9B9C-AB47D64653C7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BD8E-46F1-9B9C-AB47D64653C7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D8E-46F1-9B9C-AB47D64653C7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BD8E-46F1-9B9C-AB47D64653C7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D8E-46F1-9B9C-AB47D64653C7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BD8E-46F1-9B9C-AB47D64653C7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D8E-46F1-9B9C-AB47D64653C7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BD8E-46F1-9B9C-AB47D64653C7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D8E-46F1-9B9C-AB47D64653C7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BD8E-46F1-9B9C-AB47D64653C7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D8E-46F1-9B9C-AB47D64653C7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BD8E-46F1-9B9C-AB47D64653C7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D8E-46F1-9B9C-AB47D64653C7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BD8E-46F1-9B9C-AB47D64653C7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D8E-46F1-9B9C-AB47D64653C7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BD8E-46F1-9B9C-AB47D64653C7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D8E-46F1-9B9C-AB47D64653C7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BD8E-46F1-9B9C-AB47D64653C7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D8E-46F1-9B9C-AB47D64653C7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BD8E-46F1-9B9C-AB47D64653C7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D8E-46F1-9B9C-AB47D64653C7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BD8E-46F1-9B9C-AB47D64653C7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D8E-46F1-9B9C-AB47D64653C7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BD8E-46F1-9B9C-AB47D64653C7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D8E-46F1-9B9C-AB47D64653C7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BD8E-46F1-9B9C-AB47D64653C7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D8E-46F1-9B9C-AB47D64653C7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BD8E-46F1-9B9C-AB47D64653C7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BD8E-46F1-9B9C-AB47D64653C7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BD8E-46F1-9B9C-AB47D64653C7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D8E-46F1-9B9C-AB47D64653C7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BD8E-46F1-9B9C-AB47D64653C7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BD8E-46F1-9B9C-AB47D64653C7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BD8E-46F1-9B9C-AB47D64653C7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BD8E-46F1-9B9C-AB47D64653C7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BD8E-46F1-9B9C-AB47D64653C7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BD8E-46F1-9B9C-AB47D64653C7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BD8E-46F1-9B9C-AB47D64653C7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BD8E-46F1-9B9C-AB47D64653C7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BD8E-46F1-9B9C-AB47D64653C7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BD8E-46F1-9B9C-AB47D64653C7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BD8E-46F1-9B9C-AB47D64653C7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BD8E-46F1-9B9C-AB47D64653C7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BD8E-46F1-9B9C-AB47D64653C7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BD8E-46F1-9B9C-AB47D64653C7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BD8E-46F1-9B9C-AB47D64653C7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BD8E-46F1-9B9C-AB47D64653C7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BD8E-46F1-9B9C-AB47D64653C7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BD8E-46F1-9B9C-AB47D64653C7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BD8E-46F1-9B9C-AB47D64653C7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BD8E-46F1-9B9C-AB47D64653C7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BD8E-46F1-9B9C-AB47D64653C7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BD8E-46F1-9B9C-AB47D64653C7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BD8E-46F1-9B9C-AB47D64653C7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BD8E-46F1-9B9C-AB47D64653C7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BD8E-46F1-9B9C-AB47D64653C7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BD8E-46F1-9B9C-AB47D64653C7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BD8E-46F1-9B9C-AB47D64653C7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BD8E-46F1-9B9C-AB47D64653C7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BD8E-46F1-9B9C-AB47D64653C7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BD8E-46F1-9B9C-AB47D64653C7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BD8E-46F1-9B9C-AB47D64653C7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BD8E-46F1-9B9C-AB47D64653C7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BD8E-46F1-9B9C-AB47D64653C7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BD8E-46F1-9B9C-AB47D64653C7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BD8E-46F1-9B9C-AB47D64653C7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BD8E-46F1-9B9C-AB47D64653C7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BD8E-46F1-9B9C-AB47D64653C7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BD8E-46F1-9B9C-AB47D64653C7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BD8E-46F1-9B9C-AB47D64653C7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BD8E-46F1-9B9C-AB47D64653C7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BD8E-46F1-9B9C-AB47D64653C7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BD8E-46F1-9B9C-AB47D64653C7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BD8E-46F1-9B9C-AB47D64653C7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BD8E-46F1-9B9C-AB47D64653C7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BD8E-46F1-9B9C-AB47D64653C7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BD8E-46F1-9B9C-AB47D64653C7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BD8E-46F1-9B9C-AB47D64653C7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BD8E-46F1-9B9C-AB47D64653C7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BD8E-46F1-9B9C-AB47D64653C7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BD8E-46F1-9B9C-AB47D64653C7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BD8E-46F1-9B9C-AB47D64653C7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BD8E-46F1-9B9C-AB47D64653C7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BD8E-46F1-9B9C-AB47D64653C7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BD8E-46F1-9B9C-AB47D64653C7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BD8E-46F1-9B9C-AB47D64653C7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BD8E-46F1-9B9C-AB47D64653C7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BD8E-46F1-9B9C-AB47D64653C7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BD8E-46F1-9B9C-AB47D64653C7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BD8E-46F1-9B9C-AB47D64653C7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BD8E-46F1-9B9C-AB47D64653C7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BD8E-46F1-9B9C-AB47D64653C7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BD8E-46F1-9B9C-AB47D64653C7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BD8E-46F1-9B9C-AB47D64653C7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BD8E-46F1-9B9C-AB47D64653C7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BD8E-46F1-9B9C-AB47D64653C7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BD8E-46F1-9B9C-AB47D64653C7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BD8E-46F1-9B9C-AB47D64653C7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BD8E-46F1-9B9C-AB47D64653C7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BD8E-46F1-9B9C-AB47D64653C7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BD8E-46F1-9B9C-AB47D64653C7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BD8E-46F1-9B9C-AB47D64653C7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BD8E-46F1-9B9C-AB47D64653C7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BD8E-46F1-9B9C-AB47D64653C7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BD8E-46F1-9B9C-AB47D64653C7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BD8E-46F1-9B9C-AB47D64653C7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BD8E-46F1-9B9C-AB47D64653C7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BD8E-46F1-9B9C-AB47D64653C7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BD8E-46F1-9B9C-AB47D64653C7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BD8E-46F1-9B9C-AB47D64653C7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BD8E-46F1-9B9C-AB47D64653C7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BD8E-46F1-9B9C-AB47D64653C7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BD8E-46F1-9B9C-AB47D64653C7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BD8E-46F1-9B9C-AB47D64653C7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BD8E-46F1-9B9C-AB47D64653C7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BD8E-46F1-9B9C-AB47D64653C7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BD8E-46F1-9B9C-AB47D64653C7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BD8E-46F1-9B9C-AB47D64653C7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BD8E-46F1-9B9C-AB47D64653C7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BD8E-46F1-9B9C-AB47D64653C7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BD8E-46F1-9B9C-AB47D64653C7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BD8E-46F1-9B9C-AB47D64653C7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BD8E-46F1-9B9C-AB47D64653C7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BD8E-46F1-9B9C-AB47D64653C7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BD8E-46F1-9B9C-AB47D64653C7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BD8E-46F1-9B9C-AB47D64653C7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BD8E-46F1-9B9C-AB47D64653C7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BD8E-46F1-9B9C-AB47D64653C7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BD8E-46F1-9B9C-AB47D64653C7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BD8E-46F1-9B9C-AB47D64653C7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BD8E-46F1-9B9C-AB47D64653C7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BD8E-46F1-9B9C-AB47D64653C7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BD8E-46F1-9B9C-AB47D64653C7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BD8E-46F1-9B9C-AB47D64653C7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BD8E-46F1-9B9C-AB47D64653C7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BD8E-46F1-9B9C-AB47D64653C7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BD8E-46F1-9B9C-AB47D64653C7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BD8E-46F1-9B9C-AB47D64653C7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BD8E-46F1-9B9C-AB47D64653C7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BD8E-46F1-9B9C-AB47D64653C7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BD8E-46F1-9B9C-AB47D64653C7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BD8E-46F1-9B9C-AB47D64653C7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BD8E-46F1-9B9C-AB47D64653C7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BD8E-46F1-9B9C-AB47D64653C7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BD8E-46F1-9B9C-AB47D64653C7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BD8E-46F1-9B9C-AB47D64653C7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BD8E-46F1-9B9C-AB47D64653C7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BD8E-46F1-9B9C-AB47D64653C7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BD8E-46F1-9B9C-AB47D64653C7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BD8E-46F1-9B9C-AB47D64653C7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BD8E-46F1-9B9C-AB47D64653C7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BD8E-46F1-9B9C-AB47D64653C7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BD8E-46F1-9B9C-AB47D64653C7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BD8E-46F1-9B9C-AB47D64653C7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BD8E-46F1-9B9C-AB47D64653C7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BD8E-46F1-9B9C-AB47D64653C7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BD8E-46F1-9B9C-AB47D64653C7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BD8E-46F1-9B9C-AB47D64653C7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BD8E-46F1-9B9C-AB47D64653C7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BD8E-46F1-9B9C-AB47D64653C7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BD8E-46F1-9B9C-AB47D64653C7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BD8E-46F1-9B9C-AB47D64653C7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BD8E-46F1-9B9C-AB47D64653C7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BD8E-46F1-9B9C-AB47D64653C7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BD8E-46F1-9B9C-AB47D64653C7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BD8E-46F1-9B9C-AB47D64653C7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BD8E-46F1-9B9C-AB47D64653C7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BD8E-46F1-9B9C-AB47D64653C7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BD8E-46F1-9B9C-AB47D64653C7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BD8E-46F1-9B9C-AB47D64653C7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BD8E-46F1-9B9C-AB47D64653C7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BD8E-46F1-9B9C-AB47D64653C7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BD8E-46F1-9B9C-AB47D64653C7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BD8E-46F1-9B9C-AB47D64653C7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BD8E-46F1-9B9C-AB47D64653C7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BD8E-46F1-9B9C-AB47D64653C7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BD8E-46F1-9B9C-AB47D64653C7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BD8E-46F1-9B9C-AB47D64653C7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600608"/>
        <c:axId val="450601168"/>
      </c:lineChart>
      <c:catAx>
        <c:axId val="45060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1168"/>
        <c:crosses val="autoZero"/>
        <c:auto val="1"/>
        <c:lblAlgn val="ctr"/>
        <c:lblOffset val="100"/>
        <c:tickLblSkip val="1"/>
        <c:noMultiLvlLbl val="0"/>
      </c:catAx>
      <c:valAx>
        <c:axId val="4506011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060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73853056465472"/>
          <c:y val="0.15190043523026625"/>
          <c:w val="0.63170159686363403"/>
          <c:h val="0.104730782380255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71441</xdr:colOff>
      <xdr:row>1</xdr:row>
      <xdr:rowOff>71438</xdr:rowOff>
    </xdr:from>
    <xdr:to>
      <xdr:col>1</xdr:col>
      <xdr:colOff>488160</xdr:colOff>
      <xdr:row>27</xdr:row>
      <xdr:rowOff>83344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71504" y="273844"/>
          <a:ext cx="416719" cy="5274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C2FEFD16-2180-4EAF-B9B8-F55889DF54FF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0.88419</cdr:y>
    </cdr:from>
    <cdr:to>
      <cdr:x>0.81999</cdr:x>
      <cdr:y>0.94654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820" y="5329506"/>
          <a:ext cx="7826807" cy="3758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85BB1A13-4201-43E3-875E-29BB332C91E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0.00558</cdr:x>
      <cdr:y>0.91657</cdr:y>
    </cdr:from>
    <cdr:to>
      <cdr:x>0.98194</cdr:x>
      <cdr:y>0.97892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3401" y="5540430"/>
          <a:ext cx="9344540" cy="3768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B62F7CB3-9838-4B82-AB23-2476939F457A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3" max="23" customWidth="true" style="3" width="14.625" collapsed="true"/>
    <col min="1" max="1" style="3" width="9.0" collapsed="false"/>
    <col min="2" max="2" customWidth="true" style="14" width="14.4375" collapsed="false" bestFit="true"/>
    <col min="24" max="24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29" t="s">
        <v>880</v>
      </c>
      <c r="Q2" s="29" t="s">
        <v>881</v>
      </c>
      <c r="R2" s="29" t="s">
        <v>882</v>
      </c>
      <c r="S2" s="29" t="s">
        <v>883</v>
      </c>
      <c r="T2" s="29" t="s">
        <v>884</v>
      </c>
      <c r="U2" s="29" t="s">
        <v>885</v>
      </c>
      <c r="V2" s="29" t="s">
        <v>886</v>
      </c>
      <c r="W2" s="29" t="s">
        <v>887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888</v>
      </c>
      <c r="C3" s="32" t="n">
        <v>15.0</v>
      </c>
      <c r="D3" s="32" t="n">
        <v>29.0</v>
      </c>
      <c r="E3" s="32" t="n">
        <v>35.0</v>
      </c>
      <c r="F3" s="32" t="n">
        <v>39.0</v>
      </c>
      <c r="G3" s="32" t="n">
        <v>41.0</v>
      </c>
      <c r="H3" s="32" t="n">
        <v>35.0</v>
      </c>
      <c r="I3" s="32" t="n">
        <v>26.0</v>
      </c>
      <c r="J3" s="32" t="n">
        <v>31.0</v>
      </c>
      <c r="K3" s="32" t="n">
        <v>29.0</v>
      </c>
      <c r="L3" s="32" t="n">
        <v>24.0</v>
      </c>
      <c r="M3" s="32" t="n">
        <v>28.0</v>
      </c>
      <c r="N3" s="32" t="n">
        <v>36.0</v>
      </c>
      <c r="O3" s="32" t="n">
        <v>56.0</v>
      </c>
      <c r="P3" s="32" t="n">
        <v>57.0</v>
      </c>
      <c r="Q3" s="32" t="n">
        <v>49.0</v>
      </c>
      <c r="R3" s="32" t="n">
        <v>50.0</v>
      </c>
      <c r="S3" s="32" t="n">
        <v>54.0</v>
      </c>
      <c r="T3" s="32" t="n">
        <v>58.0</v>
      </c>
      <c r="U3" s="32" t="n">
        <v>64.0</v>
      </c>
      <c r="V3" s="32" t="n">
        <v>70.0</v>
      </c>
      <c r="W3" s="32" t="n">
        <v>75.0</v>
      </c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889</v>
      </c>
      <c r="C4" s="36" t="n">
        <v>49.0</v>
      </c>
      <c r="D4" s="36" t="n">
        <v>49.0</v>
      </c>
      <c r="E4" s="36" t="n">
        <v>75.0</v>
      </c>
      <c r="F4" s="36" t="n">
        <v>72.0</v>
      </c>
      <c r="G4" s="36" t="n">
        <v>70.0</v>
      </c>
      <c r="H4" s="36" t="n">
        <v>73.0</v>
      </c>
      <c r="I4" s="36" t="n">
        <v>72.0</v>
      </c>
      <c r="J4" s="36" t="n">
        <v>66.0</v>
      </c>
      <c r="K4" s="36" t="n">
        <v>78.0</v>
      </c>
      <c r="L4" s="36" t="n">
        <v>81.0</v>
      </c>
      <c r="M4" s="36" t="n">
        <v>75.0</v>
      </c>
      <c r="N4" s="36" t="n">
        <v>71.0</v>
      </c>
      <c r="O4" s="36" t="n">
        <v>81.0</v>
      </c>
      <c r="P4" s="36" t="n">
        <v>95.0</v>
      </c>
      <c r="Q4" s="36" t="n">
        <v>117.0</v>
      </c>
      <c r="R4" s="36" t="n">
        <v>122.0</v>
      </c>
      <c r="S4" s="36" t="n">
        <v>143.0</v>
      </c>
      <c r="T4" s="36" t="n">
        <v>148.0</v>
      </c>
      <c r="U4" s="36" t="n">
        <v>136.0</v>
      </c>
      <c r="V4" s="36" t="n">
        <v>128.0</v>
      </c>
      <c r="W4" s="36" t="n">
        <v>130.0</v>
      </c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890</v>
      </c>
      <c r="C5" s="40" t="n">
        <v>0.0</v>
      </c>
      <c r="D5" s="40" t="n">
        <v>0.0</v>
      </c>
      <c r="E5" s="40" t="n">
        <v>0.0</v>
      </c>
      <c r="F5" s="40" t="n">
        <v>0.0</v>
      </c>
      <c r="G5" s="40" t="n">
        <v>0.0</v>
      </c>
      <c r="H5" s="40" t="n">
        <v>0.0</v>
      </c>
      <c r="I5" s="40" t="n">
        <v>0.0</v>
      </c>
      <c r="J5" s="40" t="n">
        <v>0.0</v>
      </c>
      <c r="K5" s="40" t="n">
        <v>0.0</v>
      </c>
      <c r="L5" s="40" t="n">
        <v>0.0</v>
      </c>
      <c r="M5" s="40" t="n">
        <v>0.0</v>
      </c>
      <c r="N5" s="40" t="n">
        <v>0.0</v>
      </c>
      <c r="O5" s="40" t="n">
        <v>0.0</v>
      </c>
      <c r="P5" s="40" t="n">
        <v>0.0</v>
      </c>
      <c r="Q5" s="40" t="n">
        <v>0.0</v>
      </c>
      <c r="R5" s="40" t="n">
        <v>0.0</v>
      </c>
      <c r="S5" s="40" t="n">
        <v>0.0</v>
      </c>
      <c r="T5" s="40" t="n">
        <v>0.0</v>
      </c>
      <c r="U5" s="40" t="n">
        <v>0.0</v>
      </c>
      <c r="V5" s="40" t="n">
        <v>0.0</v>
      </c>
      <c r="W5" s="40" t="n">
        <v>0.0</v>
      </c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6" t="s">
        <v>891</v>
      </c>
      <c r="C6" s="44" t="n">
        <v>112.0</v>
      </c>
      <c r="D6" s="44" t="n">
        <v>112.0</v>
      </c>
      <c r="E6" s="44" t="n">
        <v>126.0</v>
      </c>
      <c r="F6" s="44" t="n">
        <v>116.0</v>
      </c>
      <c r="G6" s="44" t="n">
        <v>115.0</v>
      </c>
      <c r="H6" s="44" t="n">
        <v>130.0</v>
      </c>
      <c r="I6" s="44" t="n">
        <v>112.0</v>
      </c>
      <c r="J6" s="44" t="n">
        <v>138.0</v>
      </c>
      <c r="K6" s="44" t="n">
        <v>117.0</v>
      </c>
      <c r="L6" s="44" t="n">
        <v>121.0</v>
      </c>
      <c r="M6" s="44" t="n">
        <v>128.0</v>
      </c>
      <c r="N6" s="44" t="n">
        <v>138.0</v>
      </c>
      <c r="O6" s="44" t="n">
        <v>134.0</v>
      </c>
      <c r="P6" s="44" t="n">
        <v>133.0</v>
      </c>
      <c r="Q6" s="44" t="n">
        <v>148.0</v>
      </c>
      <c r="R6" s="44" t="n">
        <v>135.0</v>
      </c>
      <c r="S6" s="44" t="n">
        <v>134.0</v>
      </c>
      <c r="T6" s="44" t="n">
        <v>144.0</v>
      </c>
      <c r="U6" s="44" t="n">
        <v>161.0</v>
      </c>
      <c r="V6" s="44" t="n">
        <v>143.0</v>
      </c>
      <c r="W6" s="44" t="n">
        <v>136.0</v>
      </c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6" t="s">
        <v>892</v>
      </c>
      <c r="C7" s="48" t="n">
        <v>110.0</v>
      </c>
      <c r="D7" s="48" t="n">
        <v>109.0</v>
      </c>
      <c r="E7" s="48" t="n">
        <v>106.0</v>
      </c>
      <c r="F7" s="48" t="n">
        <v>101.0</v>
      </c>
      <c r="G7" s="48" t="n">
        <v>92.0</v>
      </c>
      <c r="H7" s="48" t="n">
        <v>103.0</v>
      </c>
      <c r="I7" s="48" t="n">
        <v>134.0</v>
      </c>
      <c r="J7" s="48" t="n">
        <v>140.0</v>
      </c>
      <c r="K7" s="48" t="n">
        <v>170.0</v>
      </c>
      <c r="L7" s="48" t="n">
        <v>170.0</v>
      </c>
      <c r="M7" s="48" t="n">
        <v>156.0</v>
      </c>
      <c r="N7" s="48" t="n">
        <v>161.0</v>
      </c>
      <c r="O7" s="48" t="n">
        <v>156.0</v>
      </c>
      <c r="P7" s="48" t="n">
        <v>154.0</v>
      </c>
      <c r="Q7" s="48" t="n">
        <v>160.0</v>
      </c>
      <c r="R7" s="48" t="n">
        <v>153.0</v>
      </c>
      <c r="S7" s="48" t="n">
        <v>155.0</v>
      </c>
      <c r="T7" s="48" t="n">
        <v>152.0</v>
      </c>
      <c r="U7" s="48" t="n">
        <v>157.0</v>
      </c>
      <c r="V7" s="48" t="n">
        <v>125.0</v>
      </c>
      <c r="W7" s="48" t="n">
        <v>133.0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6" t="s">
        <v>893</v>
      </c>
      <c r="C8" s="52" t="n">
        <v>97.0</v>
      </c>
      <c r="D8" s="52" t="n">
        <v>100.0</v>
      </c>
      <c r="E8" s="52" t="n">
        <v>94.0</v>
      </c>
      <c r="F8" s="52" t="n">
        <v>90.0</v>
      </c>
      <c r="G8" s="52" t="n">
        <v>90.0</v>
      </c>
      <c r="H8" s="52" t="n">
        <v>82.0</v>
      </c>
      <c r="I8" s="52" t="n">
        <v>99.0</v>
      </c>
      <c r="J8" s="52" t="n">
        <v>100.0</v>
      </c>
      <c r="K8" s="52" t="n">
        <v>97.0</v>
      </c>
      <c r="L8" s="52" t="n">
        <v>97.0</v>
      </c>
      <c r="M8" s="52" t="n">
        <v>105.0</v>
      </c>
      <c r="N8" s="52" t="n">
        <v>104.0</v>
      </c>
      <c r="O8" s="52" t="n">
        <v>114.0</v>
      </c>
      <c r="P8" s="52" t="n">
        <v>113.0</v>
      </c>
      <c r="Q8" s="52" t="n">
        <v>143.0</v>
      </c>
      <c r="R8" s="52" t="n">
        <v>150.0</v>
      </c>
      <c r="S8" s="52" t="n">
        <v>147.0</v>
      </c>
      <c r="T8" s="52" t="n">
        <v>163.0</v>
      </c>
      <c r="U8" s="52" t="n">
        <v>163.0</v>
      </c>
      <c r="V8" s="52" t="n">
        <v>142.0</v>
      </c>
      <c r="W8" s="52" t="n">
        <v>135.0</v>
      </c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>
      <c r="B9" s="16" t="s">
        <v>894</v>
      </c>
      <c r="C9" s="56" t="n">
        <v>77.0</v>
      </c>
      <c r="D9" s="56" t="n">
        <v>70.0</v>
      </c>
      <c r="E9" s="56" t="n">
        <v>71.0</v>
      </c>
      <c r="F9" s="56" t="n">
        <v>85.0</v>
      </c>
      <c r="G9" s="56" t="n">
        <v>89.0</v>
      </c>
      <c r="H9" s="56" t="n">
        <v>86.0</v>
      </c>
      <c r="I9" s="56" t="n">
        <v>102.0</v>
      </c>
      <c r="J9" s="56" t="n">
        <v>106.0</v>
      </c>
      <c r="K9" s="56" t="n">
        <v>109.0</v>
      </c>
      <c r="L9" s="56" t="n">
        <v>112.0</v>
      </c>
      <c r="M9" s="56" t="n">
        <v>92.0</v>
      </c>
      <c r="N9" s="56" t="n">
        <v>87.0</v>
      </c>
      <c r="O9" s="56" t="n">
        <v>88.0</v>
      </c>
      <c r="P9" s="56" t="n">
        <v>107.0</v>
      </c>
      <c r="Q9" s="56" t="n">
        <v>131.0</v>
      </c>
      <c r="R9" s="56" t="n">
        <v>148.0</v>
      </c>
      <c r="S9" s="56" t="n">
        <v>141.0</v>
      </c>
      <c r="T9" s="56" t="n">
        <v>138.0</v>
      </c>
      <c r="U9" s="56" t="n">
        <v>141.0</v>
      </c>
      <c r="V9" s="56" t="n">
        <v>104.0</v>
      </c>
      <c r="W9" s="56" t="n">
        <v>108.0</v>
      </c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>
      <c r="B10" s="16" t="s">
        <v>895</v>
      </c>
      <c r="C10" s="60" t="n">
        <v>52.0</v>
      </c>
      <c r="D10" s="60" t="n">
        <v>65.0</v>
      </c>
      <c r="E10" s="60" t="n">
        <v>64.0</v>
      </c>
      <c r="F10" s="60" t="n">
        <v>80.0</v>
      </c>
      <c r="G10" s="60" t="n">
        <v>77.0</v>
      </c>
      <c r="H10" s="60" t="n">
        <v>95.0</v>
      </c>
      <c r="I10" s="60" t="n">
        <v>79.0</v>
      </c>
      <c r="J10" s="60" t="n">
        <v>74.0</v>
      </c>
      <c r="K10" s="60" t="n">
        <v>75.0</v>
      </c>
      <c r="L10" s="60" t="n">
        <v>80.0</v>
      </c>
      <c r="M10" s="60" t="n">
        <v>95.0</v>
      </c>
      <c r="N10" s="60" t="n">
        <v>83.0</v>
      </c>
      <c r="O10" s="60" t="n">
        <v>82.0</v>
      </c>
      <c r="P10" s="60" t="n">
        <v>87.0</v>
      </c>
      <c r="Q10" s="60" t="n">
        <v>98.0</v>
      </c>
      <c r="R10" s="60" t="n">
        <v>103.0</v>
      </c>
      <c r="S10" s="60" t="n">
        <v>111.0</v>
      </c>
      <c r="T10" s="60" t="n">
        <v>104.0</v>
      </c>
      <c r="U10" s="60" t="n">
        <v>113.0</v>
      </c>
      <c r="V10" s="60" t="n">
        <v>71.0</v>
      </c>
      <c r="W10" s="60" t="n">
        <v>66.0</v>
      </c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896</v>
      </c>
      <c r="C256" s="64" t="n">
        <v>73667.0</v>
      </c>
      <c r="D256" s="64" t="n">
        <v>77792.0</v>
      </c>
      <c r="E256" s="64" t="n">
        <v>79484.0</v>
      </c>
      <c r="F256" s="64" t="n">
        <v>81998.0</v>
      </c>
      <c r="G256" s="64" t="n">
        <v>81945.0</v>
      </c>
      <c r="H256" s="64" t="n">
        <v>89820.0</v>
      </c>
      <c r="I256" s="64" t="n">
        <v>95636.0</v>
      </c>
      <c r="J256" s="64" t="n">
        <v>98443.0</v>
      </c>
      <c r="K256" s="64" t="n">
        <v>101381.0</v>
      </c>
      <c r="L256" s="64" t="n">
        <v>103965.0</v>
      </c>
      <c r="M256" s="64" t="n">
        <v>105594.0</v>
      </c>
      <c r="N256" s="64" t="n">
        <v>107744.0</v>
      </c>
      <c r="O256" s="64" t="n">
        <v>109948.0</v>
      </c>
      <c r="P256" s="64" t="n">
        <v>111346.0</v>
      </c>
      <c r="Q256" s="64" t="n">
        <v>112912.0</v>
      </c>
      <c r="R256" s="64" t="n">
        <v>113387.0</v>
      </c>
      <c r="S256" s="64" t="n">
        <v>112737.0</v>
      </c>
      <c r="T256" s="64" t="n">
        <v>113564.0</v>
      </c>
      <c r="U256" s="64" t="n">
        <v>114676.0</v>
      </c>
      <c r="V256" s="64" t="n">
        <v>116889.0</v>
      </c>
      <c r="W256" s="64" t="n">
        <v>117532.0</v>
      </c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897</v>
      </c>
      <c r="C257" s="68" t="n">
        <v>4251432.0</v>
      </c>
      <c r="D257" s="68" t="n">
        <v>4378140.0</v>
      </c>
      <c r="E257" s="68" t="n">
        <v>4523903.0</v>
      </c>
      <c r="F257" s="68" t="n">
        <v>4696384.0</v>
      </c>
      <c r="G257" s="68" t="n">
        <v>4907439.0</v>
      </c>
      <c r="H257" s="68" t="n">
        <v>5149508.0</v>
      </c>
      <c r="I257" s="68" t="n">
        <v>5457084.0</v>
      </c>
      <c r="J257" s="68" t="n">
        <v>5691190.0</v>
      </c>
      <c r="K257" s="68" t="n">
        <v>5917554.0</v>
      </c>
      <c r="L257" s="68" t="n">
        <v>6068408.0</v>
      </c>
      <c r="M257" s="68" t="n">
        <v>6186862.0</v>
      </c>
      <c r="N257" s="68" t="n">
        <v>6282408.0</v>
      </c>
      <c r="O257" s="68" t="n">
        <v>6452585.0</v>
      </c>
      <c r="P257" s="68" t="n">
        <v>6558324.0</v>
      </c>
      <c r="Q257" s="68" t="n">
        <v>6688653.0</v>
      </c>
      <c r="R257" s="68" t="n">
        <v>6765995.0</v>
      </c>
      <c r="S257" s="68" t="n">
        <v>6814344.0</v>
      </c>
      <c r="T257" s="68" t="n">
        <v>6952265.0</v>
      </c>
      <c r="U257" s="68" t="n">
        <v>7075896.0</v>
      </c>
      <c r="V257" s="68" t="n">
        <v>7225575.0</v>
      </c>
      <c r="W257" s="68" t="n">
        <v>7290395.0</v>
      </c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904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要支援・要介護認定者数（要介護度別）（小野町）</v>
      </c>
      <c r="B2" s="7" t="str">
        <f>"（注目する地域）" &amp; E2</f>
        <v>（注目する地域）小野町</v>
      </c>
      <c r="C2" s="8" t="s">
        <v>898</v>
      </c>
      <c r="D2" s="8" t="s">
        <v>899</v>
      </c>
      <c r="E2" s="8" t="s">
        <v>900</v>
      </c>
      <c r="F2" s="8" t="str">
        <f>G2 &amp; "（" &amp; H2 &amp; "）"</f>
        <v>要支援・要介護認定者数（人）</v>
      </c>
      <c r="G2" s="8" t="s">
        <v>901</v>
      </c>
      <c r="H2" s="8" t="s">
        <v>902</v>
      </c>
      <c r="I2" s="8" t="s">
        <v>903</v>
      </c>
      <c r="J2" s="7" t="str">
        <f>"（出典）" &amp; I2</f>
        <v>（出典）厚生労働省「介護保険事業状況報告」年報（令和6,7,8年度のみ「介護保険事業状況報告」月報）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5" max="25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27.63671875" collapsed="false" bestFit="true"/>
    <col min="4" max="4" customWidth="true" style="10" width="7.8359375" collapsed="false" bestFit="true"/>
    <col min="26" max="26" customWidth="true" style="3" width="14.625" collapsed="false" hidden="true"/>
    <col min="99" max="99" style="3" width="14.625" collapsed="false" hidden="true"/>
  </cols>
  <sheetData>
    <row r="1">
      <c r="A1" t="s">
        <v>905</v>
      </c>
    </row>
    <row r="2" spans="2:259" s="10" customFormat="1" x14ac:dyDescent="0.15">
      <c r="B2" s="11"/>
      <c r="C2" s="11"/>
      <c r="D2" s="11"/>
      <c r="E2" s="73" t="s">
        <v>867</v>
      </c>
      <c r="F2" s="73" t="s">
        <v>868</v>
      </c>
      <c r="G2" s="73" t="s">
        <v>869</v>
      </c>
      <c r="H2" s="73" t="s">
        <v>870</v>
      </c>
      <c r="I2" s="73" t="s">
        <v>871</v>
      </c>
      <c r="J2" s="73" t="s">
        <v>872</v>
      </c>
      <c r="K2" s="73" t="s">
        <v>873</v>
      </c>
      <c r="L2" s="73" t="s">
        <v>874</v>
      </c>
      <c r="M2" s="73" t="s">
        <v>875</v>
      </c>
      <c r="N2" s="73" t="s">
        <v>876</v>
      </c>
      <c r="O2" s="73" t="s">
        <v>877</v>
      </c>
      <c r="P2" s="73" t="s">
        <v>878</v>
      </c>
      <c r="Q2" s="73" t="s">
        <v>879</v>
      </c>
      <c r="R2" s="73" t="s">
        <v>880</v>
      </c>
      <c r="S2" s="73" t="s">
        <v>881</v>
      </c>
      <c r="T2" s="73" t="s">
        <v>882</v>
      </c>
      <c r="U2" s="73" t="s">
        <v>883</v>
      </c>
      <c r="V2" s="73" t="s">
        <v>884</v>
      </c>
      <c r="W2" s="73" t="s">
        <v>885</v>
      </c>
      <c r="X2" s="73" t="s">
        <v>886</v>
      </c>
      <c r="Y2" s="73" t="s">
        <v>887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900</v>
      </c>
      <c r="C3" s="17" t="s">
        <v>906</v>
      </c>
      <c r="D3" s="12" t="s">
        <v>907</v>
      </c>
      <c r="E3" s="76" t="n">
        <v>15.0</v>
      </c>
      <c r="F3" s="76" t="n">
        <v>29.0</v>
      </c>
      <c r="G3" s="76" t="n">
        <v>35.0</v>
      </c>
      <c r="H3" s="76" t="n">
        <v>39.0</v>
      </c>
      <c r="I3" s="76" t="n">
        <v>41.0</v>
      </c>
      <c r="J3" s="76" t="n">
        <v>35.0</v>
      </c>
      <c r="K3" s="76" t="n">
        <v>26.0</v>
      </c>
      <c r="L3" s="76" t="n">
        <v>31.0</v>
      </c>
      <c r="M3" s="76" t="n">
        <v>29.0</v>
      </c>
      <c r="N3" s="76" t="n">
        <v>24.0</v>
      </c>
      <c r="O3" s="76" t="n">
        <v>28.0</v>
      </c>
      <c r="P3" s="76" t="n">
        <v>36.0</v>
      </c>
      <c r="Q3" s="76" t="n">
        <v>56.0</v>
      </c>
      <c r="R3" s="76" t="n">
        <v>57.0</v>
      </c>
      <c r="S3" s="76" t="n">
        <v>49.0</v>
      </c>
      <c r="T3" s="76" t="n">
        <v>50.0</v>
      </c>
      <c r="U3" s="76" t="n">
        <v>54.0</v>
      </c>
      <c r="V3" s="76" t="n">
        <v>58.0</v>
      </c>
      <c r="W3" s="76" t="n">
        <v>64.0</v>
      </c>
      <c r="X3" s="76" t="n">
        <v>70.0</v>
      </c>
      <c r="Y3" s="76" t="n">
        <v>75.0</v>
      </c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900</v>
      </c>
      <c r="C4" s="17" t="s">
        <v>908</v>
      </c>
      <c r="D4" s="12" t="s">
        <v>907</v>
      </c>
      <c r="E4" s="80" t="n">
        <v>49.0</v>
      </c>
      <c r="F4" s="80" t="n">
        <v>49.0</v>
      </c>
      <c r="G4" s="80" t="n">
        <v>75.0</v>
      </c>
      <c r="H4" s="80" t="n">
        <v>72.0</v>
      </c>
      <c r="I4" s="80" t="n">
        <v>70.0</v>
      </c>
      <c r="J4" s="80" t="n">
        <v>73.0</v>
      </c>
      <c r="K4" s="80" t="n">
        <v>72.0</v>
      </c>
      <c r="L4" s="80" t="n">
        <v>66.0</v>
      </c>
      <c r="M4" s="80" t="n">
        <v>78.0</v>
      </c>
      <c r="N4" s="80" t="n">
        <v>81.0</v>
      </c>
      <c r="O4" s="80" t="n">
        <v>75.0</v>
      </c>
      <c r="P4" s="80" t="n">
        <v>71.0</v>
      </c>
      <c r="Q4" s="80" t="n">
        <v>81.0</v>
      </c>
      <c r="R4" s="80" t="n">
        <v>95.0</v>
      </c>
      <c r="S4" s="80" t="n">
        <v>117.0</v>
      </c>
      <c r="T4" s="80" t="n">
        <v>122.0</v>
      </c>
      <c r="U4" s="80" t="n">
        <v>143.0</v>
      </c>
      <c r="V4" s="80" t="n">
        <v>148.0</v>
      </c>
      <c r="W4" s="80" t="n">
        <v>136.0</v>
      </c>
      <c r="X4" s="80" t="n">
        <v>128.0</v>
      </c>
      <c r="Y4" s="80" t="n">
        <v>130.0</v>
      </c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900</v>
      </c>
      <c r="C5" s="17" t="s">
        <v>909</v>
      </c>
      <c r="D5" s="12" t="s">
        <v>907</v>
      </c>
      <c r="E5" s="84" t="n">
        <v>0.0</v>
      </c>
      <c r="F5" s="84" t="n">
        <v>0.0</v>
      </c>
      <c r="G5" s="84" t="n">
        <v>0.0</v>
      </c>
      <c r="H5" s="84" t="n">
        <v>0.0</v>
      </c>
      <c r="I5" s="84" t="n">
        <v>0.0</v>
      </c>
      <c r="J5" s="84" t="n">
        <v>0.0</v>
      </c>
      <c r="K5" s="84" t="n">
        <v>0.0</v>
      </c>
      <c r="L5" s="84" t="n">
        <v>0.0</v>
      </c>
      <c r="M5" s="84" t="n">
        <v>0.0</v>
      </c>
      <c r="N5" s="84" t="n">
        <v>0.0</v>
      </c>
      <c r="O5" s="84" t="n">
        <v>0.0</v>
      </c>
      <c r="P5" s="84" t="n">
        <v>0.0</v>
      </c>
      <c r="Q5" s="84" t="n">
        <v>0.0</v>
      </c>
      <c r="R5" s="84" t="n">
        <v>0.0</v>
      </c>
      <c r="S5" s="84" t="n">
        <v>0.0</v>
      </c>
      <c r="T5" s="84" t="n">
        <v>0.0</v>
      </c>
      <c r="U5" s="84" t="n">
        <v>0.0</v>
      </c>
      <c r="V5" s="84" t="n">
        <v>0.0</v>
      </c>
      <c r="W5" s="84" t="n">
        <v>0.0</v>
      </c>
      <c r="X5" s="84" t="n">
        <v>0.0</v>
      </c>
      <c r="Y5" s="84" t="n">
        <v>0.0</v>
      </c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900</v>
      </c>
      <c r="C6" s="17" t="s">
        <v>910</v>
      </c>
      <c r="D6" s="12" t="s">
        <v>907</v>
      </c>
      <c r="E6" s="88" t="n">
        <v>112.0</v>
      </c>
      <c r="F6" s="88" t="n">
        <v>112.0</v>
      </c>
      <c r="G6" s="88" t="n">
        <v>126.0</v>
      </c>
      <c r="H6" s="88" t="n">
        <v>116.0</v>
      </c>
      <c r="I6" s="88" t="n">
        <v>115.0</v>
      </c>
      <c r="J6" s="88" t="n">
        <v>130.0</v>
      </c>
      <c r="K6" s="88" t="n">
        <v>112.0</v>
      </c>
      <c r="L6" s="88" t="n">
        <v>138.0</v>
      </c>
      <c r="M6" s="88" t="n">
        <v>117.0</v>
      </c>
      <c r="N6" s="88" t="n">
        <v>121.0</v>
      </c>
      <c r="O6" s="88" t="n">
        <v>128.0</v>
      </c>
      <c r="P6" s="88" t="n">
        <v>138.0</v>
      </c>
      <c r="Q6" s="88" t="n">
        <v>134.0</v>
      </c>
      <c r="R6" s="88" t="n">
        <v>133.0</v>
      </c>
      <c r="S6" s="88" t="n">
        <v>148.0</v>
      </c>
      <c r="T6" s="88" t="n">
        <v>135.0</v>
      </c>
      <c r="U6" s="88" t="n">
        <v>134.0</v>
      </c>
      <c r="V6" s="88" t="n">
        <v>144.0</v>
      </c>
      <c r="W6" s="88" t="n">
        <v>161.0</v>
      </c>
      <c r="X6" s="88" t="n">
        <v>143.0</v>
      </c>
      <c r="Y6" s="88" t="n">
        <v>136.0</v>
      </c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900</v>
      </c>
      <c r="C7" s="17" t="s">
        <v>911</v>
      </c>
      <c r="D7" s="12" t="s">
        <v>907</v>
      </c>
      <c r="E7" s="92" t="n">
        <v>110.0</v>
      </c>
      <c r="F7" s="92" t="n">
        <v>109.0</v>
      </c>
      <c r="G7" s="92" t="n">
        <v>106.0</v>
      </c>
      <c r="H7" s="92" t="n">
        <v>101.0</v>
      </c>
      <c r="I7" s="92" t="n">
        <v>92.0</v>
      </c>
      <c r="J7" s="92" t="n">
        <v>103.0</v>
      </c>
      <c r="K7" s="92" t="n">
        <v>134.0</v>
      </c>
      <c r="L7" s="92" t="n">
        <v>140.0</v>
      </c>
      <c r="M7" s="92" t="n">
        <v>170.0</v>
      </c>
      <c r="N7" s="92" t="n">
        <v>170.0</v>
      </c>
      <c r="O7" s="92" t="n">
        <v>156.0</v>
      </c>
      <c r="P7" s="92" t="n">
        <v>161.0</v>
      </c>
      <c r="Q7" s="92" t="n">
        <v>156.0</v>
      </c>
      <c r="R7" s="92" t="n">
        <v>154.0</v>
      </c>
      <c r="S7" s="92" t="n">
        <v>160.0</v>
      </c>
      <c r="T7" s="92" t="n">
        <v>153.0</v>
      </c>
      <c r="U7" s="92" t="n">
        <v>155.0</v>
      </c>
      <c r="V7" s="92" t="n">
        <v>152.0</v>
      </c>
      <c r="W7" s="92" t="n">
        <v>157.0</v>
      </c>
      <c r="X7" s="92" t="n">
        <v>125.0</v>
      </c>
      <c r="Y7" s="92" t="n">
        <v>133.0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900</v>
      </c>
      <c r="C8" s="17" t="s">
        <v>912</v>
      </c>
      <c r="D8" s="12" t="s">
        <v>907</v>
      </c>
      <c r="E8" s="96" t="n">
        <v>97.0</v>
      </c>
      <c r="F8" s="96" t="n">
        <v>100.0</v>
      </c>
      <c r="G8" s="96" t="n">
        <v>94.0</v>
      </c>
      <c r="H8" s="96" t="n">
        <v>90.0</v>
      </c>
      <c r="I8" s="96" t="n">
        <v>90.0</v>
      </c>
      <c r="J8" s="96" t="n">
        <v>82.0</v>
      </c>
      <c r="K8" s="96" t="n">
        <v>99.0</v>
      </c>
      <c r="L8" s="96" t="n">
        <v>100.0</v>
      </c>
      <c r="M8" s="96" t="n">
        <v>97.0</v>
      </c>
      <c r="N8" s="96" t="n">
        <v>97.0</v>
      </c>
      <c r="O8" s="96" t="n">
        <v>105.0</v>
      </c>
      <c r="P8" s="96" t="n">
        <v>104.0</v>
      </c>
      <c r="Q8" s="96" t="n">
        <v>114.0</v>
      </c>
      <c r="R8" s="96" t="n">
        <v>113.0</v>
      </c>
      <c r="S8" s="96" t="n">
        <v>143.0</v>
      </c>
      <c r="T8" s="96" t="n">
        <v>150.0</v>
      </c>
      <c r="U8" s="96" t="n">
        <v>147.0</v>
      </c>
      <c r="V8" s="96" t="n">
        <v>163.0</v>
      </c>
      <c r="W8" s="96" t="n">
        <v>163.0</v>
      </c>
      <c r="X8" s="96" t="n">
        <v>142.0</v>
      </c>
      <c r="Y8" s="96" t="n">
        <v>135.0</v>
      </c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900</v>
      </c>
      <c r="C9" s="17" t="s">
        <v>913</v>
      </c>
      <c r="D9" s="12" t="s">
        <v>907</v>
      </c>
      <c r="E9" s="100" t="n">
        <v>77.0</v>
      </c>
      <c r="F9" s="100" t="n">
        <v>70.0</v>
      </c>
      <c r="G9" s="100" t="n">
        <v>71.0</v>
      </c>
      <c r="H9" s="100" t="n">
        <v>85.0</v>
      </c>
      <c r="I9" s="100" t="n">
        <v>89.0</v>
      </c>
      <c r="J9" s="100" t="n">
        <v>86.0</v>
      </c>
      <c r="K9" s="100" t="n">
        <v>102.0</v>
      </c>
      <c r="L9" s="100" t="n">
        <v>106.0</v>
      </c>
      <c r="M9" s="100" t="n">
        <v>109.0</v>
      </c>
      <c r="N9" s="100" t="n">
        <v>112.0</v>
      </c>
      <c r="O9" s="100" t="n">
        <v>92.0</v>
      </c>
      <c r="P9" s="100" t="n">
        <v>87.0</v>
      </c>
      <c r="Q9" s="100" t="n">
        <v>88.0</v>
      </c>
      <c r="R9" s="100" t="n">
        <v>107.0</v>
      </c>
      <c r="S9" s="100" t="n">
        <v>131.0</v>
      </c>
      <c r="T9" s="100" t="n">
        <v>148.0</v>
      </c>
      <c r="U9" s="100" t="n">
        <v>141.0</v>
      </c>
      <c r="V9" s="100" t="n">
        <v>138.0</v>
      </c>
      <c r="W9" s="100" t="n">
        <v>141.0</v>
      </c>
      <c r="X9" s="100" t="n">
        <v>104.0</v>
      </c>
      <c r="Y9" s="100" t="n">
        <v>108.0</v>
      </c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900</v>
      </c>
      <c r="C10" s="17" t="s">
        <v>914</v>
      </c>
      <c r="D10" s="12" t="s">
        <v>907</v>
      </c>
      <c r="E10" s="104" t="n">
        <v>52.0</v>
      </c>
      <c r="F10" s="104" t="n">
        <v>65.0</v>
      </c>
      <c r="G10" s="104" t="n">
        <v>64.0</v>
      </c>
      <c r="H10" s="104" t="n">
        <v>80.0</v>
      </c>
      <c r="I10" s="104" t="n">
        <v>77.0</v>
      </c>
      <c r="J10" s="104" t="n">
        <v>95.0</v>
      </c>
      <c r="K10" s="104" t="n">
        <v>79.0</v>
      </c>
      <c r="L10" s="104" t="n">
        <v>74.0</v>
      </c>
      <c r="M10" s="104" t="n">
        <v>75.0</v>
      </c>
      <c r="N10" s="104" t="n">
        <v>80.0</v>
      </c>
      <c r="O10" s="104" t="n">
        <v>95.0</v>
      </c>
      <c r="P10" s="104" t="n">
        <v>83.0</v>
      </c>
      <c r="Q10" s="104" t="n">
        <v>82.0</v>
      </c>
      <c r="R10" s="104" t="n">
        <v>87.0</v>
      </c>
      <c r="S10" s="104" t="n">
        <v>98.0</v>
      </c>
      <c r="T10" s="104" t="n">
        <v>103.0</v>
      </c>
      <c r="U10" s="104" t="n">
        <v>111.0</v>
      </c>
      <c r="V10" s="104" t="n">
        <v>104.0</v>
      </c>
      <c r="W10" s="104" t="n">
        <v>113.0</v>
      </c>
      <c r="X10" s="104" t="n">
        <v>71.0</v>
      </c>
      <c r="Y10" s="104" t="n">
        <v>66.0</v>
      </c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900</v>
      </c>
      <c r="C11" s="17" t="s">
        <v>915</v>
      </c>
      <c r="D11" s="12" t="s">
        <v>907</v>
      </c>
      <c r="E11" s="108" t="n">
        <v>512.0</v>
      </c>
      <c r="F11" s="108" t="n">
        <v>534.0</v>
      </c>
      <c r="G11" s="108" t="n">
        <v>571.0</v>
      </c>
      <c r="H11" s="108" t="n">
        <v>583.0</v>
      </c>
      <c r="I11" s="108" t="n">
        <v>574.0</v>
      </c>
      <c r="J11" s="108" t="n">
        <v>604.0</v>
      </c>
      <c r="K11" s="108" t="n">
        <v>624.0</v>
      </c>
      <c r="L11" s="108" t="n">
        <v>655.0</v>
      </c>
      <c r="M11" s="108" t="n">
        <v>675.0</v>
      </c>
      <c r="N11" s="108" t="n">
        <v>685.0</v>
      </c>
      <c r="O11" s="108" t="n">
        <v>679.0</v>
      </c>
      <c r="P11" s="108" t="n">
        <v>680.0</v>
      </c>
      <c r="Q11" s="108" t="n">
        <v>711.0</v>
      </c>
      <c r="R11" s="108" t="n">
        <v>746.0</v>
      </c>
      <c r="S11" s="108" t="n">
        <v>846.0</v>
      </c>
      <c r="T11" s="108" t="n">
        <v>861.0</v>
      </c>
      <c r="U11" s="108" t="n">
        <v>885.0</v>
      </c>
      <c r="V11" s="108" t="n">
        <v>907.0</v>
      </c>
      <c r="W11" s="108" t="n">
        <v>935.0</v>
      </c>
      <c r="X11" s="108" t="n">
        <v>783.0</v>
      </c>
      <c r="Y11" s="108" t="n">
        <v>783.0</v>
      </c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896</v>
      </c>
      <c r="C12" s="17" t="s">
        <v>915</v>
      </c>
      <c r="D12" s="12" t="s">
        <v>907</v>
      </c>
      <c r="E12" s="112" t="n">
        <v>73667.0</v>
      </c>
      <c r="F12" s="112" t="n">
        <v>77792.0</v>
      </c>
      <c r="G12" s="112" t="n">
        <v>79484.0</v>
      </c>
      <c r="H12" s="112" t="n">
        <v>81998.0</v>
      </c>
      <c r="I12" s="112" t="n">
        <v>81945.0</v>
      </c>
      <c r="J12" s="112" t="n">
        <v>89820.0</v>
      </c>
      <c r="K12" s="112" t="n">
        <v>95636.0</v>
      </c>
      <c r="L12" s="112" t="n">
        <v>98443.0</v>
      </c>
      <c r="M12" s="112" t="n">
        <v>101381.0</v>
      </c>
      <c r="N12" s="112" t="n">
        <v>103965.0</v>
      </c>
      <c r="O12" s="112" t="n">
        <v>105594.0</v>
      </c>
      <c r="P12" s="112" t="n">
        <v>107744.0</v>
      </c>
      <c r="Q12" s="112" t="n">
        <v>109948.0</v>
      </c>
      <c r="R12" s="112" t="n">
        <v>111346.0</v>
      </c>
      <c r="S12" s="112" t="n">
        <v>112912.0</v>
      </c>
      <c r="T12" s="112" t="n">
        <v>113387.0</v>
      </c>
      <c r="U12" s="112" t="n">
        <v>112737.0</v>
      </c>
      <c r="V12" s="112" t="n">
        <v>113564.0</v>
      </c>
      <c r="W12" s="112" t="n">
        <v>114676.0</v>
      </c>
      <c r="X12" s="112" t="n">
        <v>116889.0</v>
      </c>
      <c r="Y12" s="112" t="n">
        <v>117532.0</v>
      </c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897</v>
      </c>
      <c r="C13" s="17" t="s">
        <v>915</v>
      </c>
      <c r="D13" s="12" t="s">
        <v>907</v>
      </c>
      <c r="E13" s="116" t="n">
        <v>4251432.0</v>
      </c>
      <c r="F13" s="116" t="n">
        <v>4378140.0</v>
      </c>
      <c r="G13" s="116" t="n">
        <v>4523903.0</v>
      </c>
      <c r="H13" s="116" t="n">
        <v>4696384.0</v>
      </c>
      <c r="I13" s="116" t="n">
        <v>4907439.0</v>
      </c>
      <c r="J13" s="116" t="n">
        <v>5149508.0</v>
      </c>
      <c r="K13" s="116" t="n">
        <v>5457084.0</v>
      </c>
      <c r="L13" s="116" t="n">
        <v>5691190.0</v>
      </c>
      <c r="M13" s="116" t="n">
        <v>5917554.0</v>
      </c>
      <c r="N13" s="116" t="n">
        <v>6068408.0</v>
      </c>
      <c r="O13" s="116" t="n">
        <v>6186862.0</v>
      </c>
      <c r="P13" s="116" t="n">
        <v>6282408.0</v>
      </c>
      <c r="Q13" s="116" t="n">
        <v>6452585.0</v>
      </c>
      <c r="R13" s="116" t="n">
        <v>6558324.0</v>
      </c>
      <c r="S13" s="116" t="n">
        <v>6688653.0</v>
      </c>
      <c r="T13" s="116" t="n">
        <v>6765995.0</v>
      </c>
      <c r="U13" s="116" t="n">
        <v>6814344.0</v>
      </c>
      <c r="V13" s="116" t="n">
        <v>6952265.0</v>
      </c>
      <c r="W13" s="116" t="n">
        <v>7075896.0</v>
      </c>
      <c r="X13" s="116" t="n">
        <v>7225575.0</v>
      </c>
      <c r="Y13" s="116" t="n">
        <v>7290395.0</v>
      </c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（出典）厚生労働省「介護保険事業状況報告」年報（令和6,7,8年度のみ「介護保険事業状況報告」月報）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</row>
  </sheetData>
  <mergeCells count="2">
    <mergeCell ref="B259:I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2015-09-18T04:05:57Z</dcterms:created>
  <dcterms:modified xsi:type="dcterms:W3CDTF">2022-08-19T08:21:05Z</dcterms:modified>
</cp:coreProperties>
</file>