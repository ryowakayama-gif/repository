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<sst xmlns="http://schemas.openxmlformats.org/spreadsheetml/2006/main" count="1077" uniqueCount="893">
  <si>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</si>
  <si>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</si>
  <si>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</si>
  <si>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</si>
  <si>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</si>
  <si>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</si>
  <si>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</si>
  <si>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</si>
  <si>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</si>
  <si>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</si>
  <si>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</si>
  <si>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</si>
  <si>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</si>
  <si>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</si>
  <si>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</si>
  <si>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</si>
  <si>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</si>
  <si>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</si>
  <si>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</si>
  <si>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</si>
  <si>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</si>
  <si>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</si>
  <si>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</si>
  <si>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</si>
  <si>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</si>
  <si>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</si>
  <si>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</si>
  <si>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</si>
  <si>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</si>
  <si>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</si>
  <si>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</si>
  <si>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</si>
  <si>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</si>
  <si>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</si>
  <si>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</si>
  <si>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</si>
  <si>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</si>
  <si>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</si>
  <si>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</si>
  <si>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</si>
  <si>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</si>
  <si>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</si>
  <si>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</si>
  <si>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</si>
  <si>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</si>
  <si>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</si>
  <si>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</si>
  <si>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</si>
  <si>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</si>
  <si>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</si>
  <si>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</si>
  <si>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</si>
  <si>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</si>
  <si>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</si>
  <si>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</si>
  <si>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</si>
  <si>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</si>
  <si>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</si>
  <si>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</si>
  <si>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</si>
  <si>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</si>
  <si>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</si>
  <si>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</si>
  <si>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</si>
  <si>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</si>
  <si>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</si>
  <si>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</si>
  <si>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</si>
  <si>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</si>
  <si>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</si>
  <si>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</si>
  <si>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</si>
  <si>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</si>
  <si>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</si>
  <si>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</si>
  <si>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</si>
  <si>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</si>
  <si>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</si>
  <si>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</si>
  <si>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</si>
  <si>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</si>
  <si>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</si>
  <si>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</si>
  <si>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</si>
  <si>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</si>
  <si>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</si>
  <si>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</si>
  <si>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</si>
  <si>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</si>
  <si>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</si>
  <si>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</si>
  <si>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</si>
  <si>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</si>
  <si>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</si>
  <si>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</si>
  <si>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</si>
  <si>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</si>
  <si>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</si>
  <si>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</si>
  <si>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</si>
  <si>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</si>
  <si>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</si>
  <si>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</si>
  <si>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</si>
  <si>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</si>
  <si>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</si>
  <si>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</si>
  <si>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</si>
  <si>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</si>
  <si>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</si>
  <si>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</si>
  <si>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</si>
  <si>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</si>
  <si>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</si>
  <si>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</si>
  <si>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</si>
  <si>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</si>
  <si>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</si>
  <si>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</si>
  <si>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</si>
  <si>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</si>
  <si>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</si>
  <si>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</si>
  <si>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</si>
  <si>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</si>
  <si>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</si>
  <si>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</si>
  <si>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</si>
  <si>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</si>
  <si>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</si>
  <si>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</si>
  <si>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</si>
  <si>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</si>
  <si>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</si>
  <si>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</si>
  <si>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</si>
  <si>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</si>
  <si>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</si>
  <si>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</si>
  <si>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</si>
  <si>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</si>
  <si>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</si>
  <si>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</si>
  <si>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</si>
  <si>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</si>
  <si>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</si>
  <si>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</si>
  <si>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</si>
  <si>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</si>
  <si>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</si>
  <si>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</si>
  <si>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</si>
  <si>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</si>
  <si>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</si>
  <si>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</si>
  <si>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</si>
  <si>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</si>
  <si>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</si>
  <si>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</si>
  <si>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</si>
  <si>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</si>
  <si>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</si>
  <si>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</si>
  <si>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</si>
  <si>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</si>
  <si>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</si>
  <si>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</si>
  <si>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</si>
  <si>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</si>
  <si>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</si>
  <si>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</si>
  <si>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</si>
  <si>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</si>
  <si>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</si>
  <si>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</si>
  <si>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</si>
  <si>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</si>
  <si>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</si>
  <si>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</si>
  <si>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</si>
  <si>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</si>
  <si>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</si>
  <si>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</si>
  <si>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</si>
  <si>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</si>
  <si>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</si>
  <si>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</si>
  <si>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</si>
  <si>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</si>
  <si>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</si>
  <si>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</si>
  <si>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</si>
  <si>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</si>
  <si>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</si>
  <si>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</si>
  <si>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</si>
  <si>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</si>
  <si>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</si>
  <si>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</si>
  <si>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</si>
  <si>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</si>
  <si>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</si>
  <si>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</si>
  <si>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</si>
  <si>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</si>
  <si>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</si>
  <si>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</si>
  <si>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</si>
  <si>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</si>
  <si>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</si>
  <si>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</si>
  <si>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</si>
  <si>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</si>
  <si>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</si>
  <si>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</si>
  <si>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</si>
  <si>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</si>
  <si>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</si>
  <si>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</si>
  <si>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</si>
  <si>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</si>
  <si>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</si>
  <si>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</si>
  <si>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</si>
  <si>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</si>
  <si>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</si>
  <si>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</si>
  <si>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</si>
  <si>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</si>
  <si>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</si>
  <si>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</si>
  <si>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</si>
  <si>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</si>
  <si>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</si>
  <si>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</si>
  <si>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</si>
  <si>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</si>
  <si>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</si>
  <si>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</si>
  <si>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</si>
  <si>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</si>
  <si>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</si>
  <si>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</si>
  <si>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</si>
  <si>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</si>
  <si>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</si>
  <si>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</si>
  <si>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</si>
  <si>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</si>
  <si>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</si>
  <si>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</si>
  <si>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</si>
  <si>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</si>
  <si>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</si>
  <si>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</si>
  <si>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</si>
  <si>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</si>
  <si>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</si>
  <si>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</si>
  <si>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</si>
  <si>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</si>
  <si>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</si>
  <si>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</si>
  <si>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</si>
  <si>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</si>
  <si>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</si>
  <si>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</si>
  <si>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</si>
  <si>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</si>
  <si>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</si>
  <si>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</si>
  <si>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</si>
  <si>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</si>
  <si>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</si>
  <si>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</si>
  <si>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</si>
  <si>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</si>
  <si>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</si>
  <si>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</si>
  <si>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</si>
  <si>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</si>
  <si>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</si>
  <si>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</si>
  <si>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</si>
  <si>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</si>
  <si>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</si>
  <si>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</si>
  <si>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</si>
  <si>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</si>
  <si>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</si>
  <si>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</si>
  <si>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</si>
  <si>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</si>
  <si>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</si>
  <si>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</si>
  <si>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</si>
  <si>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</si>
  <si>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</si>
  <si>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</si>
  <si>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</si>
  <si>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</si>
  <si>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</si>
  <si>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</si>
  <si>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</si>
  <si>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</si>
  <si>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</si>
  <si>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</si>
  <si>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</si>
  <si>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</si>
  <si>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</si>
  <si>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</si>
  <si>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</si>
  <si>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</si>
  <si>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</si>
  <si>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</si>
  <si>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</si>
  <si>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</si>
  <si>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</si>
  <si>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</si>
  <si>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</si>
  <si>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</si>
  <si>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</si>
  <si>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</si>
  <si>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</si>
  <si>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</si>
  <si>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</si>
  <si>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</si>
  <si>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</si>
  <si>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</si>
  <si>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</si>
  <si>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</si>
  <si>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</si>
  <si>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</si>
  <si>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</si>
  <si>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</si>
  <si>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</si>
  <si>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</si>
  <si>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</si>
  <si>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</si>
  <si>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</si>
  <si>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</si>
  <si>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</si>
  <si>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</si>
  <si>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</si>
  <si>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</si>
  <si>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</si>
  <si>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</si>
  <si>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</si>
  <si>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</si>
  <si>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</si>
  <si>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</si>
  <si>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</si>
  <si>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</si>
  <si>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</si>
  <si>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</si>
  <si>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</si>
  <si>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</si>
  <si>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</si>
  <si>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</si>
  <si>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</si>
  <si>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</si>
  <si>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</si>
  <si>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</si>
  <si>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</si>
  <si>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</si>
  <si>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</si>
  <si>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</si>
  <si>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</si>
  <si>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</si>
  <si>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</si>
  <si>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</si>
  <si>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</si>
  <si>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</si>
  <si>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</si>
  <si>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</si>
  <si>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</si>
  <si>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</si>
  <si>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</si>
  <si>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</si>
  <si>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</si>
  <si>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</si>
  <si>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</si>
  <si>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</si>
  <si>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</si>
  <si>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</si>
  <si>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</si>
  <si>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</si>
  <si>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</si>
  <si>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</si>
  <si>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</si>
  <si>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</si>
  <si>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</si>
  <si>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</si>
  <si>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</si>
  <si>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</si>
  <si>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</si>
  <si>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</si>
  <si>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</si>
  <si>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</si>
  <si>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</si>
  <si>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</si>
  <si>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</si>
  <si>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</si>
  <si>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</si>
  <si>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</si>
  <si>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</si>
  <si>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</si>
  <si>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</si>
  <si>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</si>
  <si>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</si>
  <si>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</si>
  <si>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</si>
  <si>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</si>
  <si>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</si>
  <si>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</si>
  <si>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</si>
  <si>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</si>
  <si>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</si>
  <si>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</si>
  <si>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</si>
  <si>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</si>
  <si>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</si>
  <si>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</si>
  <si>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</si>
  <si>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</si>
  <si>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</si>
  <si>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</si>
  <si>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</si>
  <si>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</si>
  <si>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</si>
  <si>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</si>
  <si>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</si>
  <si>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</si>
  <si>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</si>
  <si>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</si>
  <si>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</si>
  <si>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</si>
  <si>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</si>
  <si>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</si>
  <si>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</si>
  <si>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</si>
  <si>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</si>
  <si>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</si>
  <si>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</si>
  <si>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</si>
  <si>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</si>
  <si>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</si>
  <si>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</si>
  <si>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</si>
  <si>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</si>
  <si>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</si>
  <si>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</si>
  <si>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</si>
  <si>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</si>
  <si>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</si>
  <si>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</si>
  <si>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</si>
  <si>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</si>
  <si>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</si>
  <si>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</si>
  <si>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</si>
  <si>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</si>
  <si>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</si>
  <si>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</si>
  <si>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</si>
  <si>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</si>
  <si>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</si>
  <si>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</si>
  <si>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</si>
  <si>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</si>
  <si>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</si>
  <si>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</si>
  <si>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</si>
  <si>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</si>
  <si>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</si>
  <si>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</si>
  <si>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</si>
  <si>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</si>
  <si>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</si>
  <si>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</si>
  <si>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</si>
  <si>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</si>
  <si>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</si>
  <si>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</si>
  <si>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</si>
  <si>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</si>
  <si>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</si>
  <si>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</si>
  <si>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</si>
  <si>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</si>
  <si>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</si>
  <si>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</si>
  <si>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</si>
  <si>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</si>
  <si>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</si>
  <si>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</si>
  <si>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</si>
  <si>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</si>
  <si>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</si>
  <si>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</si>
  <si>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</si>
  <si>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</si>
  <si>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</si>
  <si>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</si>
  <si>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</si>
  <si>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</si>
  <si>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</si>
  <si>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</si>
  <si>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</si>
  <si>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</si>
  <si>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</si>
  <si>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</si>
  <si>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</si>
  <si>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</si>
  <si>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</si>
  <si>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</si>
  <si>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</si>
  <si>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</si>
  <si>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</si>
  <si>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</si>
  <si>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</si>
  <si>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</si>
  <si>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</si>
  <si>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</si>
  <si>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</si>
  <si>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</si>
  <si>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</si>
  <si>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</si>
  <si>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</si>
  <si>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</si>
  <si>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</si>
  <si>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</si>
  <si>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</si>
  <si>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</si>
  <si>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</si>
  <si>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</si>
  <si>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</si>
  <si>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</si>
  <si>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</si>
  <si>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</si>
  <si>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</si>
  <si>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</si>
  <si>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</si>
  <si>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</si>
  <si>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</si>
  <si>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</si>
  <si>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</si>
  <si>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</si>
  <si>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</si>
  <si>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</si>
  <si>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</si>
  <si>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</si>
  <si>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</si>
  <si>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</si>
  <si>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</si>
  <si>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</si>
  <si>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</si>
  <si>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</si>
  <si>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</si>
  <si>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</si>
  <si>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</si>
  <si>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</si>
  <si>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</si>
  <si>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</si>
  <si>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</si>
  <si>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</si>
  <si>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</si>
  <si>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</si>
  <si>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</si>
  <si>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</si>
  <si>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</si>
  <si>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</si>
  <si>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</si>
  <si>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</si>
  <si>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</si>
  <si>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</si>
  <si>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</si>
  <si>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</si>
  <si>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</si>
  <si>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</si>
  <si>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</si>
  <si>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</si>
  <si>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</si>
  <si>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</si>
  <si>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</si>
  <si>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</si>
  <si>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</si>
  <si>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</si>
  <si>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</si>
  <si>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</si>
  <si>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</si>
  <si>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</si>
  <si>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</si>
  <si>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</si>
  <si>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</si>
  <si>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</si>
  <si>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</si>
  <si>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</si>
  <si>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</si>
  <si>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</si>
  <si>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</si>
  <si>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</si>
  <si>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</si>
  <si>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</si>
  <si>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</si>
  <si>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</si>
  <si>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</si>
  <si>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</si>
  <si>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</si>
  <si>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</si>
  <si>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</si>
  <si>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</si>
  <si>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</si>
  <si>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</si>
  <si>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</si>
  <si>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</si>
  <si>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</si>
  <si>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</si>
  <si>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</si>
  <si>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</si>
  <si>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</si>
  <si>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</si>
  <si>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</si>
  <si>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</si>
  <si>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</si>
  <si>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</si>
  <si>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</si>
  <si>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</si>
  <si>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</si>
  <si>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</si>
  <si>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</si>
  <si>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</si>
  <si>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</si>
  <si>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</si>
  <si>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</si>
  <si>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</si>
  <si>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</si>
  <si>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</si>
  <si>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</si>
  <si>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</si>
  <si>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</si>
  <si>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</si>
  <si>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</si>
  <si>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</si>
  <si>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</si>
  <si>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</si>
  <si>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</si>
  <si>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</si>
  <si>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</si>
  <si>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</si>
  <si>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</si>
  <si>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</si>
  <si>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</si>
  <si>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</si>
  <si>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</si>
  <si>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</si>
  <si>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</si>
  <si>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</si>
  <si>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</si>
  <si>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</si>
  <si>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</si>
  <si>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</si>
  <si>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</si>
  <si>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</si>
  <si>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</si>
  <si>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</si>
  <si>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</si>
  <si>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</si>
  <si>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</si>
  <si>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</si>
  <si>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</si>
  <si>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</si>
  <si>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</si>
  <si>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</si>
  <si>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</si>
  <si>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</si>
  <si>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</si>
  <si>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</si>
  <si>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</si>
  <si>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</si>
  <si>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</si>
  <si>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</si>
  <si>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</si>
  <si>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</si>
  <si>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</si>
  <si>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</si>
  <si>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</si>
  <si>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</si>
  <si>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</si>
  <si>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</si>
  <si>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</si>
  <si>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</si>
  <si>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</si>
  <si>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</si>
  <si>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</si>
  <si>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</si>
  <si>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</si>
  <si>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</si>
  <si>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</si>
  <si>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</si>
  <si>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</si>
  <si>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</si>
  <si>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</si>
  <si>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</si>
  <si>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</si>
  <si>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</si>
  <si>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</si>
  <si>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</si>
  <si>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</si>
  <si>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</si>
  <si>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</si>
  <si>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</si>
  <si>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</si>
  <si>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</si>
  <si>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</si>
  <si>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</si>
  <si>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</si>
  <si>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</si>
  <si>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</si>
  <si>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</si>
  <si>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</si>
  <si>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</si>
  <si>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</si>
  <si>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</si>
  <si>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</si>
  <si>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</si>
  <si>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</si>
  <si>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</si>
  <si>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</si>
  <si>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</si>
  <si>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</si>
  <si>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</si>
  <si>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</si>
  <si>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</si>
  <si>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</si>
  <si>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</si>
  <si>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</si>
  <si>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</si>
  <si>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</si>
  <si>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</si>
  <si>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</si>
  <si>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</si>
  <si>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</si>
  <si>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</si>
  <si>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</si>
  <si>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</si>
  <si>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</si>
  <si>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</si>
  <si>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</si>
  <si>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</si>
  <si>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</si>
  <si>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</si>
  <si>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</si>
  <si>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</si>
  <si>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</si>
  <si>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</si>
  <si>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</si>
  <si>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</si>
  <si>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</si>
  <si>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</si>
  <si>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</si>
  <si>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</si>
  <si>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</si>
  <si>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</si>
  <si>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</si>
  <si>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</si>
  <si>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</si>
  <si>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</si>
  <si>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</si>
  <si>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</si>
  <si>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</si>
  <si>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</si>
  <si>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</si>
  <si>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</si>
  <si>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</si>
  <si>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</si>
  <si>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</si>
  <si>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</si>
  <si>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</si>
  <si>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</si>
  <si>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</si>
  <si>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</si>
  <si>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</si>
  <si>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</si>
  <si>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</si>
  <si>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</si>
  <si>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</si>
  <si>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</si>
  <si>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</si>
  <si>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</si>
  <si>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</si>
  <si>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</si>
  <si>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</si>
  <si>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</si>
  <si>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</si>
  <si>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</si>
  <si>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</si>
  <si>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</si>
  <si>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</si>
  <si>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</si>
  <si>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</si>
  <si>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</si>
  <si>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</si>
  <si>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</si>
  <si>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</si>
  <si>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</si>
  <si>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</si>
  <si>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</si>
  <si>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</si>
  <si>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</si>
  <si>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</si>
  <si>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</si>
  <si>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</si>
  <si>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</si>
  <si>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</si>
  <si>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</si>
  <si>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</si>
  <si>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</si>
  <si>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</si>
  <si>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</si>
  <si>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</si>
  <si>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</si>
  <si>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</si>
  <si>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</si>
  <si>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</si>
  <si>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</si>
  <si>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</si>
  <si>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</si>
  <si>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</si>
  <si>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</si>
  <si>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</si>
  <si>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</si>
  <si>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</si>
  <si>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</si>
  <si>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</si>
  <si>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</si>
  <si>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</si>
  <si>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</si>
  <si>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</si>
  <si>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</si>
  <si>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</si>
  <si>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</si>
  <si>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</si>
  <si>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</si>
  <si>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</si>
  <si>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</si>
  <si>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</si>
  <si>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</si>
  <si>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</si>
  <si>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</si>
  <si>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</si>
  <si>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</si>
  <si>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</si>
  <si>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</si>
  <si>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</si>
  <si>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</si>
  <si>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</si>
  <si>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</si>
  <si>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</si>
  <si>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</si>
  <si>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</si>
  <si>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</si>
  <si>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</si>
  <si>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</si>
  <si>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</si>
  <si>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</si>
  <si>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</si>
  <si>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平成24
年度</t>
  </si>
  <si>
    <t>平成25
年度</t>
  </si>
  <si>
    <t>平成26
年度</t>
  </si>
  <si>
    <t>平成27
年度</t>
  </si>
  <si>
    <t>平成28
年度</t>
  </si>
  <si>
    <t>平成29
年度</t>
  </si>
  <si>
    <t>平成30
年度</t>
  </si>
  <si>
    <t>令和元
年度</t>
  </si>
  <si>
    <t>令和2
年度</t>
  </si>
  <si>
    <t>令和3
年度</t>
  </si>
  <si>
    <t>令和4
年度</t>
  </si>
  <si>
    <t>令和5
年度</t>
  </si>
  <si>
    <t>令和6
年度</t>
  </si>
  <si>
    <t>サービス提供事業所数（短期入所療養介護（老健））[人口１０万対]</t>
  </si>
  <si>
    <t>福島県</t>
  </si>
  <si>
    <t>全国</t>
  </si>
  <si>
    <t>サービス提供事業所数（短期入所療養介護（老健））</t>
  </si>
  <si>
    <t>令和6年(2024年)</t>
  </si>
  <si>
    <t>小野町</t>
  </si>
  <si>
    <t>施設数</t>
  </si>
  <si>
    <t>施設[人口１０万対]</t>
  </si>
  <si>
    <t>厚生労働省「介護保険総合データベース」および総務省「住民基本台帳に基づく人口、人口動態及び世帯数調査」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</si>
  <si>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</si>
  <si>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</si>
  <si>
    <t>（施設[人口１０万対]）</t>
  </si>
  <si>
    <t>（施設）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</si>
</sst>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,##0.0_ "/>
    <numFmt numFmtId="177" formatCode="#,##0.0"/>
  </numFmts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177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7" fillId="0" borderId="5" xfId="0" applyBorder="true" applyFont="true"/>
    <xf numFmtId="177" fontId="8" fillId="0" borderId="5" xfId="0" applyBorder="true" applyFont="true" applyNumberFormat="true">
      <alignment shrinkToFit="true"/>
    </xf>
    <xf numFmtId="3" fontId="8" fillId="0" borderId="5" xfId="0" applyBorder="true" applyFont="true" applyNumberFormat="true">
      <alignment shrinkToFit="true"/>
    </xf>
    <xf numFmtId="0" fontId="8" fillId="0" borderId="5" xfId="0" applyBorder="true" applyFont="true"/>
    <xf numFmtId="0" fontId="8" fillId="0" borderId="5" xfId="0" applyBorder="true" applyFont="true"/>
    <xf numFmtId="177" fontId="9" fillId="0" borderId="5" xfId="0" applyBorder="true" applyFont="true" applyNumberFormat="true">
      <alignment shrinkToFit="true"/>
    </xf>
    <xf numFmtId="3" fontId="9" fillId="0" borderId="5" xfId="0" applyBorder="true" applyFont="true" applyNumberFormat="true">
      <alignment shrinkToFit="true"/>
    </xf>
    <xf numFmtId="0" fontId="9" fillId="0" borderId="5" xfId="0" applyBorder="true" applyFont="true"/>
    <xf numFmtId="0" fontId="9" fillId="0" borderId="5" xfId="0" applyBorder="true" applyFont="true"/>
    <xf numFmtId="0" fontId="10" fillId="0" borderId="5" xfId="0" applyBorder="true" applyFont="true"/>
    <xf numFmtId="0" fontId="10" fillId="0" borderId="5" xfId="0" applyBorder="true" applyFont="true"/>
    <xf numFmtId="0" fontId="10" fillId="7" borderId="5" xfId="0" applyBorder="true" applyFont="true" applyFill="true">
      <alignment wrapText="true" vertical="center" horizontal="center"/>
    </xf>
    <xf numFmtId="0" fontId="10" fillId="0" borderId="5" xfId="0" applyBorder="true" applyFont="true"/>
    <xf numFmtId="177" fontId="11" fillId="0" borderId="5" xfId="0" applyBorder="true" applyFont="true" applyNumberFormat="true">
      <alignment shrinkToFit="true"/>
    </xf>
    <xf numFmtId="0" fontId="11" fillId="0" borderId="5" xfId="0" applyBorder="true" applyFont="true"/>
    <xf numFmtId="0" fontId="11" fillId="0" borderId="5" xfId="0" applyBorder="true" applyFont="true"/>
    <xf numFmtId="0" fontId="11" fillId="0" borderId="5" xfId="0" applyBorder="true" applyFont="true"/>
    <xf numFmtId="0" fontId="12" fillId="0" borderId="5" xfId="0" applyBorder="true" applyFont="true"/>
    <xf numFmtId="3" fontId="12" fillId="0" borderId="5" xfId="0" applyBorder="true" applyFont="true" applyNumberFormat="true">
      <alignment shrinkToFit="true"/>
    </xf>
    <xf numFmtId="0" fontId="12" fillId="0" borderId="5" xfId="0" applyBorder="true" applyFont="true"/>
    <xf numFmtId="0" fontId="12" fillId="0" borderId="5" xfId="0" applyBorder="true" applyFont="true"/>
    <xf numFmtId="177" fontId="13" fillId="0" borderId="5" xfId="0" applyBorder="true" applyFont="true" applyNumberFormat="true">
      <alignment shrinkToFit="true"/>
    </xf>
    <xf numFmtId="0" fontId="13" fillId="0" borderId="5" xfId="0" applyBorder="true" applyFont="true"/>
    <xf numFmtId="0" fontId="13" fillId="0" borderId="5" xfId="0" applyBorder="true" applyFont="true"/>
    <xf numFmtId="0" fontId="13" fillId="0" borderId="5" xfId="0" applyBorder="true" applyFont="true"/>
    <xf numFmtId="177" fontId="14" fillId="0" borderId="5" xfId="0" applyBorder="true" applyFont="true" applyNumberFormat="true">
      <alignment shrinkToFit="true"/>
    </xf>
    <xf numFmtId="0" fontId="14" fillId="0" borderId="5" xfId="0" applyBorder="true" applyFont="true"/>
    <xf numFmtId="0" fontId="14" fillId="0" borderId="5" xfId="0" applyBorder="true" applyFont="true"/>
    <xf numFmtId="0" fontId="14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3" max="15" customWidth="true" style="3" width="14.625" collapsed="true"/>
    <col min="1" max="1" style="3" width="9.0" collapsed="false"/>
    <col min="2" max="2" customWidth="true" style="14" width="69.16796875" collapsed="false" bestFit="true"/>
    <col min="16" max="16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29" t="s">
        <v>869</v>
      </c>
      <c r="F2" s="29" t="s">
        <v>870</v>
      </c>
      <c r="G2" s="29" t="s">
        <v>871</v>
      </c>
      <c r="H2" s="29" t="s">
        <v>872</v>
      </c>
      <c r="I2" s="29" t="s">
        <v>873</v>
      </c>
      <c r="J2" s="29" t="s">
        <v>874</v>
      </c>
      <c r="K2" s="29" t="s">
        <v>875</v>
      </c>
      <c r="L2" s="29" t="s">
        <v>876</v>
      </c>
      <c r="M2" s="29" t="s">
        <v>877</v>
      </c>
      <c r="N2" s="29" t="s">
        <v>878</v>
      </c>
      <c r="O2" s="29" t="s">
        <v>879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880</v>
      </c>
      <c r="C3" s="31" t="n">
        <v>0.0</v>
      </c>
      <c r="D3" s="31" t="n">
        <v>0.0</v>
      </c>
      <c r="E3" s="31" t="n">
        <v>0.0</v>
      </c>
      <c r="F3" s="31" t="n">
        <v>0.0</v>
      </c>
      <c r="G3" s="31" t="n">
        <v>0.0</v>
      </c>
      <c r="H3" s="31" t="n">
        <v>0.0</v>
      </c>
      <c r="I3" s="31" t="n">
        <v>0.0</v>
      </c>
      <c r="J3" s="31" t="n">
        <v>0.0</v>
      </c>
      <c r="K3" s="31" t="n">
        <v>0.0</v>
      </c>
      <c r="L3" s="31" t="n">
        <v>0.0</v>
      </c>
      <c r="M3" s="31" t="n">
        <v>0.0</v>
      </c>
      <c r="N3" s="31" t="n">
        <v>0.0</v>
      </c>
      <c r="O3" s="31" t="n">
        <v>0.0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>
      <c r="B256" s="16" t="s">
        <v>881</v>
      </c>
      <c r="C256" s="35" t="n">
        <v>3.8</v>
      </c>
      <c r="D256" s="35" t="n">
        <v>3.9</v>
      </c>
      <c r="E256" s="36" t="n">
        <v>4.0</v>
      </c>
      <c r="F256" s="35" t="n">
        <v>4.1</v>
      </c>
      <c r="G256" s="35" t="n">
        <v>4.4</v>
      </c>
      <c r="H256" s="35" t="n">
        <v>4.5</v>
      </c>
      <c r="I256" s="35" t="n">
        <v>4.5</v>
      </c>
      <c r="J256" s="35" t="n">
        <v>4.5</v>
      </c>
      <c r="K256" s="35" t="n">
        <v>4.5</v>
      </c>
      <c r="L256" s="35" t="n">
        <v>4.3</v>
      </c>
      <c r="M256" s="35" t="n">
        <v>4.2</v>
      </c>
      <c r="N256" s="35" t="n">
        <v>4.1</v>
      </c>
      <c r="O256" s="35" t="n">
        <v>4.3</v>
      </c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>
      <c r="B257" s="16" t="s">
        <v>882</v>
      </c>
      <c r="C257" s="39" t="n">
        <v>2.8</v>
      </c>
      <c r="D257" s="39" t="n">
        <v>2.9</v>
      </c>
      <c r="E257" s="39" t="n">
        <v>2.9</v>
      </c>
      <c r="F257" s="40" t="n">
        <v>3.0</v>
      </c>
      <c r="G257" s="40" t="n">
        <v>3.0</v>
      </c>
      <c r="H257" s="40" t="n">
        <v>3.0</v>
      </c>
      <c r="I257" s="39" t="n">
        <v>3.1</v>
      </c>
      <c r="J257" s="39" t="n">
        <v>3.1</v>
      </c>
      <c r="K257" s="40" t="n">
        <v>3.0</v>
      </c>
      <c r="L257" s="40" t="n">
        <v>3.0</v>
      </c>
      <c r="M257" s="40" t="n">
        <v>3.0</v>
      </c>
      <c r="N257" s="39" t="n">
        <v>3.1</v>
      </c>
      <c r="O257" s="39" t="n">
        <v>3.1</v>
      </c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889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サービス提供事業所数（短期入所療養介護（老健））（小野町）</v>
      </c>
      <c r="B2" s="7" t="str">
        <f>"（注目する地域）" &amp; E2</f>
        <v>（注目する地域）小野町</v>
      </c>
      <c r="C2" s="8" t="s">
        <v>883</v>
      </c>
      <c r="D2" s="8" t="s">
        <v>884</v>
      </c>
      <c r="E2" s="8" t="s">
        <v>885</v>
      </c>
      <c r="F2" s="8" t="str">
        <f>IF(H2="",G2,G2 &amp; "（" &amp; H2 &amp; "）")</f>
        <v>施設数（施設[人口１０万対]）</v>
      </c>
      <c r="G2" s="8" t="s">
        <v>886</v>
      </c>
      <c r="H2" s="8" t="s">
        <v>887</v>
      </c>
      <c r="I2" s="8" t="s">
        <v>888</v>
      </c>
      <c r="J2" s="7" t="str">
        <f>"（出典）" &amp; I2</f>
        <v>（出典）厚生労働省「介護保険総合データベース」および総務省「住民基本台帳に基づく人口、人口動態及び世帯数調査」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5" max="17" customWidth="true" style="3" width="14.625" collapsed="true"/>
    <col min="1" max="1" customWidth="true" style="3" width="9.0" collapsed="false"/>
    <col min="2" max="2" customWidth="true" style="10" width="7.8359375" collapsed="false" bestFit="true"/>
    <col min="3" max="3" customWidth="true" style="10" width="69.16796875" collapsed="false" bestFit="true"/>
    <col min="4" max="4" customWidth="true" style="10" width="25.16796875" collapsed="false" bestFit="true"/>
    <col min="18" max="18" customWidth="true" style="3" width="14.625" collapsed="false" hidden="true"/>
    <col min="99" max="99" style="3" width="14.625" collapsed="false" hidden="true"/>
  </cols>
  <sheetData>
    <row r="1">
      <c r="A1" t="s">
        <v>890</v>
      </c>
    </row>
    <row r="2" spans="2:259" s="10" customFormat="1" x14ac:dyDescent="0.15">
      <c r="B2" s="11"/>
      <c r="C2" s="11"/>
      <c r="D2" s="11"/>
      <c r="E2" s="45" t="s">
        <v>867</v>
      </c>
      <c r="F2" s="45" t="s">
        <v>868</v>
      </c>
      <c r="G2" s="45" t="s">
        <v>869</v>
      </c>
      <c r="H2" s="45" t="s">
        <v>870</v>
      </c>
      <c r="I2" s="45" t="s">
        <v>871</v>
      </c>
      <c r="J2" s="45" t="s">
        <v>872</v>
      </c>
      <c r="K2" s="45" t="s">
        <v>873</v>
      </c>
      <c r="L2" s="45" t="s">
        <v>874</v>
      </c>
      <c r="M2" s="45" t="s">
        <v>875</v>
      </c>
      <c r="N2" s="45" t="s">
        <v>876</v>
      </c>
      <c r="O2" s="45" t="s">
        <v>877</v>
      </c>
      <c r="P2" s="45" t="s">
        <v>878</v>
      </c>
      <c r="Q2" s="45" t="s">
        <v>879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>
      <c r="B3" s="17" t="s">
        <v>885</v>
      </c>
      <c r="C3" s="17" t="s">
        <v>880</v>
      </c>
      <c r="D3" s="12" t="s">
        <v>891</v>
      </c>
      <c r="E3" s="47" t="n">
        <v>0.0</v>
      </c>
      <c r="F3" s="47" t="n">
        <v>0.0</v>
      </c>
      <c r="G3" s="47" t="n">
        <v>0.0</v>
      </c>
      <c r="H3" s="47" t="n">
        <v>0.0</v>
      </c>
      <c r="I3" s="47" t="n">
        <v>0.0</v>
      </c>
      <c r="J3" s="47" t="n">
        <v>0.0</v>
      </c>
      <c r="K3" s="47" t="n">
        <v>0.0</v>
      </c>
      <c r="L3" s="47" t="n">
        <v>0.0</v>
      </c>
      <c r="M3" s="47" t="n">
        <v>0.0</v>
      </c>
      <c r="N3" s="47" t="n">
        <v>0.0</v>
      </c>
      <c r="O3" s="47" t="n">
        <v>0.0</v>
      </c>
      <c r="P3" s="47" t="n">
        <v>0.0</v>
      </c>
      <c r="Q3" s="47" t="n">
        <v>0.0</v>
      </c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>
      <c r="B4" s="17" t="s">
        <v>885</v>
      </c>
      <c r="C4" s="17" t="s">
        <v>883</v>
      </c>
      <c r="D4" s="12" t="s">
        <v>892</v>
      </c>
      <c r="E4" s="52" t="n">
        <v>0.0</v>
      </c>
      <c r="F4" s="52" t="n">
        <v>0.0</v>
      </c>
      <c r="G4" s="52" t="n">
        <v>0.0</v>
      </c>
      <c r="H4" s="52" t="n">
        <v>0.0</v>
      </c>
      <c r="I4" s="52" t="n">
        <v>0.0</v>
      </c>
      <c r="J4" s="52" t="n">
        <v>0.0</v>
      </c>
      <c r="K4" s="52" t="n">
        <v>0.0</v>
      </c>
      <c r="L4" s="52" t="n">
        <v>0.0</v>
      </c>
      <c r="M4" s="52" t="n">
        <v>0.0</v>
      </c>
      <c r="N4" s="52" t="n">
        <v>0.0</v>
      </c>
      <c r="O4" s="52" t="n">
        <v>0.0</v>
      </c>
      <c r="P4" s="52" t="n">
        <v>0.0</v>
      </c>
      <c r="Q4" s="52" t="n">
        <v>0.0</v>
      </c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>
      <c r="B5" s="17" t="s">
        <v>881</v>
      </c>
      <c r="C5" s="17" t="s">
        <v>880</v>
      </c>
      <c r="D5" s="12" t="s">
        <v>891</v>
      </c>
      <c r="E5" s="55" t="n">
        <v>3.8</v>
      </c>
      <c r="F5" s="55" t="n">
        <v>3.9</v>
      </c>
      <c r="G5" s="55" t="n">
        <v>4.0</v>
      </c>
      <c r="H5" s="55" t="n">
        <v>4.1</v>
      </c>
      <c r="I5" s="55" t="n">
        <v>4.4</v>
      </c>
      <c r="J5" s="55" t="n">
        <v>4.5</v>
      </c>
      <c r="K5" s="55" t="n">
        <v>4.5</v>
      </c>
      <c r="L5" s="55" t="n">
        <v>4.5</v>
      </c>
      <c r="M5" s="55" t="n">
        <v>4.5</v>
      </c>
      <c r="N5" s="55" t="n">
        <v>4.3</v>
      </c>
      <c r="O5" s="55" t="n">
        <v>4.2</v>
      </c>
      <c r="P5" s="55" t="n">
        <v>4.1</v>
      </c>
      <c r="Q5" s="55" t="n">
        <v>4.3</v>
      </c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>
      <c r="B6" s="17" t="s">
        <v>882</v>
      </c>
      <c r="C6" s="17" t="s">
        <v>880</v>
      </c>
      <c r="D6" s="12" t="s">
        <v>891</v>
      </c>
      <c r="E6" s="59" t="n">
        <v>2.8</v>
      </c>
      <c r="F6" s="59" t="n">
        <v>2.9</v>
      </c>
      <c r="G6" s="59" t="n">
        <v>2.9</v>
      </c>
      <c r="H6" s="59" t="n">
        <v>3.0</v>
      </c>
      <c r="I6" s="59" t="n">
        <v>3.0</v>
      </c>
      <c r="J6" s="59" t="n">
        <v>3.0</v>
      </c>
      <c r="K6" s="59" t="n">
        <v>3.1</v>
      </c>
      <c r="L6" s="59" t="n">
        <v>3.1</v>
      </c>
      <c r="M6" s="59" t="n">
        <v>3.0</v>
      </c>
      <c r="N6" s="59" t="n">
        <v>3.0</v>
      </c>
      <c r="O6" s="59" t="n">
        <v>3.0</v>
      </c>
      <c r="P6" s="59" t="n">
        <v>3.1</v>
      </c>
      <c r="Q6" s="59" t="n">
        <v>3.1</v>
      </c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（出典）厚生労働省「介護保険総合データベース」および総務省「住民基本台帳に基づく人口、人口動態及び世帯数調査」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