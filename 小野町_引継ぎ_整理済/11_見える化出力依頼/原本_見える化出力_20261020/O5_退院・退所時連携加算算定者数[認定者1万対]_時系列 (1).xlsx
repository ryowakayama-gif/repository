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<sst xmlns="http://schemas.openxmlformats.org/spreadsheetml/2006/main" count="1076" uniqueCount="892">
  <si>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</si>
  <si>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</si>
  <si>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</si>
  <si>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</si>
  <si>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</si>
  <si>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</si>
  <si>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</si>
  <si>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</si>
  <si>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</si>
  <si>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</si>
  <si>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</si>
  <si>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</si>
  <si>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</si>
  <si>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</si>
  <si>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</si>
  <si>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</si>
  <si>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</si>
  <si>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</si>
  <si>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</si>
  <si>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</si>
  <si>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</si>
  <si>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</si>
  <si>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</si>
  <si>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</si>
  <si>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</si>
  <si>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</si>
  <si>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</si>
  <si>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</si>
  <si>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</si>
  <si>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</si>
  <si>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</si>
  <si>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</si>
  <si>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</si>
  <si>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</si>
  <si>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</si>
  <si>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</si>
  <si>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</si>
  <si>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</si>
  <si>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</si>
  <si>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</si>
  <si>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</si>
  <si>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</si>
  <si>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</si>
  <si>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</si>
  <si>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</si>
  <si>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</si>
  <si>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</si>
  <si>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</si>
  <si>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</si>
  <si>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</si>
  <si>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</si>
  <si>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</si>
  <si>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</si>
  <si>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</si>
  <si>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</si>
  <si>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</si>
  <si>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</si>
  <si>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</si>
  <si>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</si>
  <si>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</si>
  <si>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</si>
  <si>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</si>
  <si>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</si>
  <si>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</si>
  <si>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</si>
  <si>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</si>
  <si>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</si>
  <si>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</si>
  <si>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</si>
  <si>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</si>
  <si>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</si>
  <si>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</si>
  <si>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</si>
  <si>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</si>
  <si>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</si>
  <si>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</si>
  <si>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</si>
  <si>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</si>
  <si>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</si>
  <si>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</si>
  <si>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</si>
  <si>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</si>
  <si>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</si>
  <si>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</si>
  <si>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</si>
  <si>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</si>
  <si>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</si>
  <si>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</si>
  <si>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</si>
  <si>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</si>
  <si>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</si>
  <si>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</si>
  <si>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</si>
  <si>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</si>
  <si>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</si>
  <si>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</si>
  <si>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</si>
  <si>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</si>
  <si>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</si>
  <si>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</si>
  <si>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</si>
  <si>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</si>
  <si>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</si>
  <si>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</si>
  <si>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</si>
  <si>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</si>
  <si>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</si>
  <si>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</si>
  <si>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</si>
  <si>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</si>
  <si>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</si>
  <si>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</si>
  <si>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</si>
  <si>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</si>
  <si>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</si>
  <si>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</si>
  <si>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</si>
  <si>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</si>
  <si>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</si>
  <si>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</si>
  <si>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</si>
  <si>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</si>
  <si>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</si>
  <si>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</si>
  <si>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</si>
  <si>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</si>
  <si>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</si>
  <si>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</si>
  <si>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</si>
  <si>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</si>
  <si>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</si>
  <si>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</si>
  <si>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</si>
  <si>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</si>
  <si>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</si>
  <si>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</si>
  <si>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</si>
  <si>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</si>
  <si>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</si>
  <si>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</si>
  <si>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</si>
  <si>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</si>
  <si>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</si>
  <si>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</si>
  <si>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</si>
  <si>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</si>
  <si>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</si>
  <si>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</si>
  <si>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</si>
  <si>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</si>
  <si>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</si>
  <si>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</si>
  <si>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</si>
  <si>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</si>
  <si>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</si>
  <si>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</si>
  <si>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</si>
  <si>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</si>
  <si>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</si>
  <si>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</si>
  <si>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</si>
  <si>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</si>
  <si>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</si>
  <si>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</si>
  <si>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</si>
  <si>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</si>
  <si>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</si>
  <si>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</si>
  <si>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</si>
  <si>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</si>
  <si>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</si>
  <si>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</si>
  <si>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</si>
  <si>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</si>
  <si>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</si>
  <si>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</si>
  <si>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</si>
  <si>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</si>
  <si>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</si>
  <si>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</si>
  <si>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</si>
  <si>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</si>
  <si>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</si>
  <si>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</si>
  <si>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</si>
  <si>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</si>
  <si>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</si>
  <si>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</si>
  <si>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</si>
  <si>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</si>
  <si>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</si>
  <si>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</si>
  <si>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</si>
  <si>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</si>
  <si>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</si>
  <si>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</si>
  <si>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</si>
  <si>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</si>
  <si>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</si>
  <si>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</si>
  <si>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</si>
  <si>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</si>
  <si>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</si>
  <si>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</si>
  <si>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</si>
  <si>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</si>
  <si>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</si>
  <si>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</si>
  <si>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</si>
  <si>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</si>
  <si>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</si>
  <si>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</si>
  <si>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</si>
  <si>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</si>
  <si>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</si>
  <si>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</si>
  <si>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</si>
  <si>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</si>
  <si>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</si>
  <si>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</si>
  <si>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</si>
  <si>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</si>
  <si>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</si>
  <si>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</si>
  <si>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</si>
  <si>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</si>
  <si>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</si>
  <si>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</si>
  <si>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</si>
  <si>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</si>
  <si>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</si>
  <si>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</si>
  <si>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</si>
  <si>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</si>
  <si>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</si>
  <si>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</si>
  <si>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</si>
  <si>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</si>
  <si>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</si>
  <si>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</si>
  <si>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</si>
  <si>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</si>
  <si>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</si>
  <si>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</si>
  <si>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</si>
  <si>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</si>
  <si>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</si>
  <si>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</si>
  <si>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</si>
  <si>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</si>
  <si>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</si>
  <si>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</si>
  <si>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</si>
  <si>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</si>
  <si>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</si>
  <si>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</si>
  <si>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</si>
  <si>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</si>
  <si>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</si>
  <si>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</si>
  <si>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</si>
  <si>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</si>
  <si>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</si>
  <si>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</si>
  <si>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</si>
  <si>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</si>
  <si>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</si>
  <si>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</si>
  <si>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</si>
  <si>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</si>
  <si>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</si>
  <si>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</si>
  <si>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</si>
  <si>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</si>
  <si>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</si>
  <si>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</si>
  <si>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</si>
  <si>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</si>
  <si>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</si>
  <si>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</si>
  <si>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</si>
  <si>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</si>
  <si>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</si>
  <si>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</si>
  <si>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</si>
  <si>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</si>
  <si>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</si>
  <si>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</si>
  <si>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</si>
  <si>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</si>
  <si>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</si>
  <si>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</si>
  <si>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</si>
  <si>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</si>
  <si>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</si>
  <si>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</si>
  <si>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</si>
  <si>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</si>
  <si>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</si>
  <si>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</si>
  <si>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</si>
  <si>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</si>
  <si>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</si>
  <si>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</si>
  <si>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</si>
  <si>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</si>
  <si>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</si>
  <si>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</si>
  <si>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</si>
  <si>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</si>
  <si>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</si>
  <si>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</si>
  <si>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</si>
  <si>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</si>
  <si>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</si>
  <si>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</si>
  <si>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</si>
  <si>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</si>
  <si>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</si>
  <si>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</si>
  <si>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</si>
  <si>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</si>
  <si>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</si>
  <si>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</si>
  <si>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</si>
  <si>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</si>
  <si>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</si>
  <si>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</si>
  <si>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</si>
  <si>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</si>
  <si>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</si>
  <si>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</si>
  <si>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</si>
  <si>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</si>
  <si>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</si>
  <si>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</si>
  <si>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</si>
  <si>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</si>
  <si>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</si>
  <si>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</si>
  <si>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</si>
  <si>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</si>
  <si>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</si>
  <si>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</si>
  <si>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</si>
  <si>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</si>
  <si>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</si>
  <si>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</si>
  <si>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</si>
  <si>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</si>
  <si>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</si>
  <si>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</si>
  <si>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</si>
  <si>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</si>
  <si>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</si>
  <si>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</si>
  <si>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</si>
  <si>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</si>
  <si>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</si>
  <si>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</si>
  <si>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</si>
  <si>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</si>
  <si>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</si>
  <si>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</si>
  <si>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</si>
  <si>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</si>
  <si>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</si>
  <si>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</si>
  <si>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</si>
  <si>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</si>
  <si>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</si>
  <si>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</si>
  <si>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</si>
  <si>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</si>
  <si>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</si>
  <si>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</si>
  <si>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</si>
  <si>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</si>
  <si>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</si>
  <si>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</si>
  <si>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</si>
  <si>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</si>
  <si>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</si>
  <si>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</si>
  <si>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</si>
  <si>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</si>
  <si>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</si>
  <si>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</si>
  <si>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</si>
  <si>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</si>
  <si>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</si>
  <si>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</si>
  <si>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</si>
  <si>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</si>
  <si>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</si>
  <si>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</si>
  <si>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</si>
  <si>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</si>
  <si>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</si>
  <si>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</si>
  <si>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</si>
  <si>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</si>
  <si>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</si>
  <si>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</si>
  <si>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</si>
  <si>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</si>
  <si>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</si>
  <si>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</si>
  <si>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</si>
  <si>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</si>
  <si>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</si>
  <si>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</si>
  <si>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</si>
  <si>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</si>
  <si>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</si>
  <si>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</si>
  <si>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</si>
  <si>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</si>
  <si>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</si>
  <si>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</si>
  <si>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</si>
  <si>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</si>
  <si>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</si>
  <si>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</si>
  <si>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</si>
  <si>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</si>
  <si>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</si>
  <si>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</si>
  <si>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</si>
  <si>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</si>
  <si>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</si>
  <si>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</si>
  <si>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</si>
  <si>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</si>
  <si>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</si>
  <si>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</si>
  <si>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</si>
  <si>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</si>
  <si>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</si>
  <si>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</si>
  <si>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</si>
  <si>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</si>
  <si>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</si>
  <si>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</si>
  <si>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</si>
  <si>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</si>
  <si>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</si>
  <si>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</si>
  <si>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</si>
  <si>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</si>
  <si>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</si>
  <si>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</si>
  <si>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</si>
  <si>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</si>
  <si>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</si>
  <si>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</si>
  <si>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</si>
  <si>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</si>
  <si>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</si>
  <si>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</si>
  <si>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</si>
  <si>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</si>
  <si>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</si>
  <si>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</si>
  <si>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</si>
  <si>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</si>
  <si>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</si>
  <si>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</si>
  <si>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</si>
  <si>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</si>
  <si>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</si>
  <si>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</si>
  <si>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</si>
  <si>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</si>
  <si>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</si>
  <si>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</si>
  <si>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</si>
  <si>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</si>
  <si>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</si>
  <si>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</si>
  <si>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</si>
  <si>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</si>
  <si>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</si>
  <si>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</si>
  <si>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</si>
  <si>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</si>
  <si>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</si>
  <si>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</si>
  <si>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</si>
  <si>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</si>
  <si>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</si>
  <si>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</si>
  <si>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</si>
  <si>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</si>
  <si>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</si>
  <si>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</si>
  <si>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</si>
  <si>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</si>
  <si>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</si>
  <si>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</si>
  <si>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</si>
  <si>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</si>
  <si>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</si>
  <si>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</si>
  <si>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</si>
  <si>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</si>
  <si>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</si>
  <si>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</si>
  <si>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</si>
  <si>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</si>
  <si>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</si>
  <si>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</si>
  <si>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</si>
  <si>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</si>
  <si>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</si>
  <si>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</si>
  <si>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</si>
  <si>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</si>
  <si>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</si>
  <si>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</si>
  <si>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</si>
  <si>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</si>
  <si>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</si>
  <si>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</si>
  <si>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</si>
  <si>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</si>
  <si>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</si>
  <si>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</si>
  <si>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</si>
  <si>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</si>
  <si>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</si>
  <si>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</si>
  <si>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</si>
  <si>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</si>
  <si>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</si>
  <si>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</si>
  <si>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</si>
  <si>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</si>
  <si>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</si>
  <si>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</si>
  <si>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</si>
  <si>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</si>
  <si>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</si>
  <si>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</si>
  <si>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</si>
  <si>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</si>
  <si>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</si>
  <si>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</si>
  <si>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</si>
  <si>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</si>
  <si>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</si>
  <si>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</si>
  <si>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</si>
  <si>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</si>
  <si>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</si>
  <si>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</si>
  <si>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</si>
  <si>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</si>
  <si>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</si>
  <si>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</si>
  <si>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</si>
  <si>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</si>
  <si>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</si>
  <si>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</si>
  <si>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</si>
  <si>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</si>
  <si>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</si>
  <si>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</si>
  <si>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</si>
  <si>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</si>
  <si>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</si>
  <si>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</si>
  <si>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</si>
  <si>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</si>
  <si>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</si>
  <si>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</si>
  <si>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</si>
  <si>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</si>
  <si>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</si>
  <si>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</si>
  <si>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</si>
  <si>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</si>
  <si>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</si>
  <si>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</si>
  <si>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</si>
  <si>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</si>
  <si>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</si>
  <si>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</si>
  <si>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</si>
  <si>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</si>
  <si>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</si>
  <si>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</si>
  <si>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</si>
  <si>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</si>
  <si>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</si>
  <si>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</si>
  <si>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</si>
  <si>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</si>
  <si>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</si>
  <si>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</si>
  <si>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</si>
  <si>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</si>
  <si>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</si>
  <si>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</si>
  <si>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</si>
  <si>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</si>
  <si>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</si>
  <si>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</si>
  <si>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</si>
  <si>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</si>
  <si>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</si>
  <si>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</si>
  <si>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</si>
  <si>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</si>
  <si>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</si>
  <si>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</si>
  <si>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</si>
  <si>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</si>
  <si>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</si>
  <si>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</si>
  <si>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</si>
  <si>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</si>
  <si>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</si>
  <si>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</si>
  <si>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</si>
  <si>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</si>
  <si>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</si>
  <si>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</si>
  <si>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</si>
  <si>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</si>
  <si>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</si>
  <si>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</si>
  <si>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</si>
  <si>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</si>
  <si>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</si>
  <si>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</si>
  <si>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</si>
  <si>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</si>
  <si>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</si>
  <si>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</si>
  <si>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</si>
  <si>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</si>
  <si>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</si>
  <si>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</si>
  <si>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</si>
  <si>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</si>
  <si>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</si>
  <si>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</si>
  <si>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</si>
  <si>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</si>
  <si>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</si>
  <si>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</si>
  <si>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</si>
  <si>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</si>
  <si>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</si>
  <si>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</si>
  <si>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</si>
  <si>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</si>
  <si>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</si>
  <si>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</si>
  <si>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</si>
  <si>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</si>
  <si>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</si>
  <si>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</si>
  <si>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</si>
  <si>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</si>
  <si>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</si>
  <si>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</si>
  <si>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</si>
  <si>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</si>
  <si>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</si>
  <si>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</si>
  <si>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</si>
  <si>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</si>
  <si>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</si>
  <si>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</si>
  <si>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</si>
  <si>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</si>
  <si>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</si>
  <si>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</si>
  <si>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</si>
  <si>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</si>
  <si>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</si>
  <si>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</si>
  <si>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</si>
  <si>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</si>
  <si>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</si>
  <si>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</si>
  <si>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</si>
  <si>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</si>
  <si>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</si>
  <si>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</si>
  <si>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</si>
  <si>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</si>
  <si>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</si>
  <si>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</si>
  <si>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</si>
  <si>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</si>
  <si>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</si>
  <si>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</si>
  <si>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</si>
  <si>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</si>
  <si>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</si>
  <si>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</si>
  <si>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</si>
  <si>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</si>
  <si>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</si>
  <si>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</si>
  <si>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</si>
  <si>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</si>
  <si>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</si>
  <si>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</si>
  <si>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</si>
  <si>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</si>
  <si>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</si>
  <si>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</si>
  <si>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</si>
  <si>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</si>
  <si>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</si>
  <si>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</si>
  <si>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</si>
  <si>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</si>
  <si>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</si>
  <si>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</si>
  <si>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</si>
  <si>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</si>
  <si>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</si>
  <si>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</si>
  <si>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</si>
  <si>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</si>
  <si>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</si>
  <si>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</si>
  <si>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</si>
  <si>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</si>
  <si>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</si>
  <si>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</si>
  <si>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</si>
  <si>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</si>
  <si>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</si>
  <si>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</si>
  <si>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</si>
  <si>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</si>
  <si>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</si>
  <si>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</si>
  <si>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</si>
  <si>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</si>
  <si>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</si>
  <si>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</si>
  <si>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</si>
  <si>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</si>
  <si>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</si>
  <si>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</si>
  <si>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</si>
  <si>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</si>
  <si>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</si>
  <si>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</si>
  <si>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</si>
  <si>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</si>
  <si>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</si>
  <si>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</si>
  <si>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</si>
  <si>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</si>
  <si>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</si>
  <si>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</si>
  <si>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</si>
  <si>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</si>
  <si>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</si>
  <si>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</si>
  <si>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</si>
  <si>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</si>
  <si>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</si>
  <si>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</si>
  <si>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</si>
  <si>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</si>
  <si>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</si>
  <si>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</si>
  <si>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</si>
  <si>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</si>
  <si>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</si>
  <si>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</si>
  <si>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</si>
  <si>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</si>
  <si>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</si>
  <si>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</si>
  <si>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</si>
  <si>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</si>
  <si>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</si>
  <si>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</si>
  <si>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</si>
  <si>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</si>
  <si>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</si>
  <si>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</si>
  <si>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</si>
  <si>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</si>
  <si>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</si>
  <si>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</si>
  <si>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</si>
  <si>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</si>
  <si>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</si>
  <si>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</si>
  <si>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</si>
  <si>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</si>
  <si>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</si>
  <si>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</si>
  <si>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</si>
  <si>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</si>
  <si>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</si>
  <si>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</si>
  <si>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</si>
  <si>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</si>
  <si>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</si>
  <si>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</si>
  <si>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</si>
  <si>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</si>
  <si>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</si>
  <si>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</si>
  <si>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</si>
  <si>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</si>
  <si>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</si>
  <si>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</si>
  <si>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</si>
  <si>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</si>
  <si>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</si>
  <si>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</si>
  <si>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</si>
  <si>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</si>
  <si>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</si>
  <si>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</si>
  <si>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</si>
  <si>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</si>
  <si>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</si>
  <si>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</si>
  <si>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</si>
  <si>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</si>
  <si>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</si>
  <si>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</si>
  <si>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</si>
  <si>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</si>
  <si>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</si>
  <si>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</si>
  <si>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</si>
  <si>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</si>
  <si>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</si>
  <si>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</si>
  <si>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</si>
  <si>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</si>
  <si>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</si>
  <si>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</si>
  <si>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</si>
  <si>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</si>
  <si>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</si>
  <si>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</si>
  <si>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</si>
  <si>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</si>
  <si>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</si>
  <si>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</si>
  <si>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</si>
  <si>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</si>
  <si>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</si>
  <si>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</si>
  <si>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</si>
  <si>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</si>
  <si>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</si>
  <si>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</si>
  <si>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</si>
  <si>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</si>
  <si>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</si>
  <si>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</si>
  <si>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</si>
  <si>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令和2
年度</t>
  </si>
  <si>
    <t>令和3
年度</t>
  </si>
  <si>
    <t>令和4
年度</t>
  </si>
  <si>
    <t>令和5
年度</t>
  </si>
  <si>
    <t>特定施設入居者生活介護</t>
  </si>
  <si>
    <t>地域密着型特定施設入居者生活介護</t>
  </si>
  <si>
    <t>福島県</t>
  </si>
  <si>
    <t>全国</t>
  </si>
  <si>
    <t>退院・退所時連携加算算定者数[認定者1万対]</t>
  </si>
  <si>
    <t>令和5年(2023年)</t>
  </si>
  <si>
    <t>小野町</t>
  </si>
  <si>
    <t>算定者数</t>
  </si>
  <si>
    <t>人[認定者１万対]</t>
  </si>
  <si>
    <t>厚生労働省「介護保険総合データベース」および厚生労働省「介護保険事業状況報告」年報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</si>
  <si>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</si>
  <si>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</si>
  <si>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退院・退所時連携加算算定者数（特定施設入居者生活介護）[認定者1万対]</t>
  </si>
  <si>
    <t>（人[認定者１万対]）</t>
  </si>
  <si>
    <t>退院・退所時連携加算算定者数（地域密着型特定施設入居者生活介護）[認定者1万対]</t>
  </si>
  <si>
    <t>退院・退所時連携加算算定者数合計[認定者1万対]</t>
  </si>
  <si>
    <t>退院・退所時連携加算算定者数（特定施設入居者生活介護）</t>
  </si>
  <si>
    <t>退院・退所時連携加算算定者数（地域密着型特定施設入居者生活介護）</t>
  </si>
  <si>
    <t>退院・退所時連携加算算定者数合計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</si>
</sst>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7" borderId="5" xfId="0" applyBorder="true" applyFont="true" applyFill="true">
      <alignment wrapText="true" vertical="center" horizontal="center"/>
    </xf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3" max="8" customWidth="true" style="3" width="14.625" collapsed="true"/>
    <col min="1" max="1" style="3" width="9.0" collapsed="false"/>
    <col min="2" max="2" customWidth="true" style="14" width="36.4375" collapsed="false" bestFit="true"/>
    <col min="9" max="9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873</v>
      </c>
      <c r="C3" s="31" t="n">
        <v>0.0</v>
      </c>
      <c r="D3" s="31" t="n">
        <v>4.42</v>
      </c>
      <c r="E3" s="31" t="n">
        <v>0.0</v>
      </c>
      <c r="F3" s="31" t="n">
        <v>0.0</v>
      </c>
      <c r="G3" s="31" t="n">
        <v>0.0</v>
      </c>
      <c r="H3" s="31" t="n">
        <v>1.87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874</v>
      </c>
      <c r="C4" s="35" t="n">
        <v>0.0</v>
      </c>
      <c r="D4" s="35" t="n">
        <v>0.0</v>
      </c>
      <c r="E4" s="35" t="n">
        <v>0.0</v>
      </c>
      <c r="F4" s="35" t="n">
        <v>0.0</v>
      </c>
      <c r="G4" s="35" t="n">
        <v>0.0</v>
      </c>
      <c r="H4" s="35" t="n">
        <v>0.0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875</v>
      </c>
      <c r="C256" s="39" t="n">
        <v>4.02</v>
      </c>
      <c r="D256" s="39" t="n">
        <v>4.26</v>
      </c>
      <c r="E256" s="39" t="n">
        <v>4.57</v>
      </c>
      <c r="F256" s="39" t="n">
        <v>3.63</v>
      </c>
      <c r="G256" s="39" t="n">
        <v>3.35</v>
      </c>
      <c r="H256" s="39" t="n">
        <v>3.43</v>
      </c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876</v>
      </c>
      <c r="C257" s="43" t="n">
        <v>5.44</v>
      </c>
      <c r="D257" s="43" t="n">
        <v>6.24</v>
      </c>
      <c r="E257" s="43" t="n">
        <v>5.73</v>
      </c>
      <c r="F257" s="43" t="n">
        <v>5.9</v>
      </c>
      <c r="G257" s="43" t="n">
        <v>6.25</v>
      </c>
      <c r="H257" s="43" t="n">
        <v>6.65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退院・退所時連携加算算定者数[認定者1万対]（小野町）</v>
      </c>
      <c r="B2" s="7" t="str">
        <f>"（注目する地域）" &amp; E2</f>
        <v>（注目する地域）小野町</v>
      </c>
      <c r="C2" s="8" t="s">
        <v>877</v>
      </c>
      <c r="D2" s="8" t="s">
        <v>878</v>
      </c>
      <c r="E2" s="8" t="s">
        <v>879</v>
      </c>
      <c r="F2" s="8" t="str">
        <f>IF(H2="",G2,G2 &amp; "（" &amp; H2 &amp; "）")</f>
        <v>算定者数（人[認定者１万対]）</v>
      </c>
      <c r="G2" s="8" t="s">
        <v>880</v>
      </c>
      <c r="H2" s="8" t="s">
        <v>881</v>
      </c>
      <c r="I2" s="8" t="s">
        <v>882</v>
      </c>
      <c r="J2" s="7" t="str">
        <f>"（出典）" &amp; I2</f>
        <v>（出典）厚生労働省「介護保険総合データベース」および厚生労働省「介護保険事業状況報告」年報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5" max="10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85.9375" collapsed="false" bestFit="true"/>
    <col min="4" max="4" customWidth="true" style="10" width="22.96875" collapsed="false" bestFit="true"/>
    <col min="11" max="11" customWidth="true" style="3" width="14.625" collapsed="false" hidden="true"/>
    <col min="99" max="99" style="3" width="14.625" collapsed="false" hidden="true"/>
  </cols>
  <sheetData>
    <row r="1">
      <c r="A1" t="s">
        <v>884</v>
      </c>
    </row>
    <row r="2" spans="2:259" s="10" customFormat="1" x14ac:dyDescent="0.15">
      <c r="B2" s="11"/>
      <c r="C2" s="11"/>
      <c r="D2" s="11"/>
      <c r="E2" s="49" t="s">
        <v>867</v>
      </c>
      <c r="F2" s="49" t="s">
        <v>868</v>
      </c>
      <c r="G2" s="49" t="s">
        <v>869</v>
      </c>
      <c r="H2" s="49" t="s">
        <v>870</v>
      </c>
      <c r="I2" s="49" t="s">
        <v>871</v>
      </c>
      <c r="J2" s="49" t="s">
        <v>872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879</v>
      </c>
      <c r="C3" s="17" t="s">
        <v>885</v>
      </c>
      <c r="D3" s="12" t="s">
        <v>886</v>
      </c>
      <c r="E3" s="51" t="n">
        <v>0.0</v>
      </c>
      <c r="F3" s="51" t="n">
        <v>4.42</v>
      </c>
      <c r="G3" s="51" t="n">
        <v>0.0</v>
      </c>
      <c r="H3" s="51" t="n">
        <v>0.0</v>
      </c>
      <c r="I3" s="51" t="n">
        <v>0.0</v>
      </c>
      <c r="J3" s="51" t="n">
        <v>1.87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879</v>
      </c>
      <c r="C4" s="17" t="s">
        <v>887</v>
      </c>
      <c r="D4" s="12" t="s">
        <v>886</v>
      </c>
      <c r="E4" s="55" t="n">
        <v>0.0</v>
      </c>
      <c r="F4" s="55" t="n">
        <v>0.0</v>
      </c>
      <c r="G4" s="55" t="n">
        <v>0.0</v>
      </c>
      <c r="H4" s="55" t="n">
        <v>0.0</v>
      </c>
      <c r="I4" s="55" t="n">
        <v>0.0</v>
      </c>
      <c r="J4" s="55" t="n">
        <v>0.0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879</v>
      </c>
      <c r="C5" s="17" t="s">
        <v>888</v>
      </c>
      <c r="D5" s="12" t="s">
        <v>886</v>
      </c>
      <c r="E5" s="59" t="n">
        <v>0.0</v>
      </c>
      <c r="F5" s="59" t="n">
        <v>4.42</v>
      </c>
      <c r="G5" s="59" t="n">
        <v>0.0</v>
      </c>
      <c r="H5" s="59" t="n">
        <v>0.0</v>
      </c>
      <c r="I5" s="59" t="n">
        <v>0.0</v>
      </c>
      <c r="J5" s="59" t="n">
        <v>1.87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879</v>
      </c>
      <c r="C6" s="17" t="s">
        <v>889</v>
      </c>
      <c r="D6" s="12" t="s">
        <v>886</v>
      </c>
      <c r="E6" s="64" t="n">
        <v>0.0</v>
      </c>
      <c r="F6" s="64" t="n">
        <v>0.0</v>
      </c>
      <c r="G6" s="64" t="n">
        <v>0.0</v>
      </c>
      <c r="H6" s="64" t="n">
        <v>0.0</v>
      </c>
      <c r="I6" s="64" t="n">
        <v>0.0</v>
      </c>
      <c r="J6" s="64" t="n">
        <v>0.0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879</v>
      </c>
      <c r="C7" s="17" t="s">
        <v>890</v>
      </c>
      <c r="D7" s="12" t="s">
        <v>886</v>
      </c>
      <c r="E7" s="68" t="n">
        <v>0.0</v>
      </c>
      <c r="F7" s="68" t="n">
        <v>0.0</v>
      </c>
      <c r="G7" s="68" t="n">
        <v>0.0</v>
      </c>
      <c r="H7" s="68" t="n">
        <v>0.0</v>
      </c>
      <c r="I7" s="68" t="n">
        <v>0.0</v>
      </c>
      <c r="J7" s="68" t="n">
        <v>0.0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879</v>
      </c>
      <c r="C8" s="17" t="s">
        <v>891</v>
      </c>
      <c r="D8" s="12" t="s">
        <v>886</v>
      </c>
      <c r="E8" s="72" t="n">
        <v>0.0</v>
      </c>
      <c r="F8" s="72" t="n">
        <v>0.0</v>
      </c>
      <c r="G8" s="72" t="n">
        <v>0.0</v>
      </c>
      <c r="H8" s="72" t="n">
        <v>0.0</v>
      </c>
      <c r="I8" s="72" t="n">
        <v>0.0</v>
      </c>
      <c r="J8" s="72" t="n">
        <v>0.0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875</v>
      </c>
      <c r="C9" s="17" t="s">
        <v>888</v>
      </c>
      <c r="D9" s="12" t="s">
        <v>886</v>
      </c>
      <c r="E9" s="75" t="n">
        <v>4.02</v>
      </c>
      <c r="F9" s="75" t="n">
        <v>4.26</v>
      </c>
      <c r="G9" s="75" t="n">
        <v>4.57</v>
      </c>
      <c r="H9" s="75" t="n">
        <v>3.63</v>
      </c>
      <c r="I9" s="75" t="n">
        <v>3.35</v>
      </c>
      <c r="J9" s="75" t="n">
        <v>3.43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876</v>
      </c>
      <c r="C10" s="17" t="s">
        <v>888</v>
      </c>
      <c r="D10" s="12" t="s">
        <v>886</v>
      </c>
      <c r="E10" s="79" t="n">
        <v>5.44</v>
      </c>
      <c r="F10" s="79" t="n">
        <v>6.24</v>
      </c>
      <c r="G10" s="79" t="n">
        <v>5.73</v>
      </c>
      <c r="H10" s="79" t="n">
        <v>5.9</v>
      </c>
      <c r="I10" s="79" t="n">
        <v>6.25</v>
      </c>
      <c r="J10" s="79" t="n">
        <v>6.65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