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<sst xmlns="http://schemas.openxmlformats.org/spreadsheetml/2006/main" count="1077" uniqueCount="893">
  <si>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</si>
  <si>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</si>
  <si>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</si>
  <si>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</si>
  <si>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</si>
  <si>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</si>
  <si>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</si>
  <si>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</si>
  <si>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</si>
  <si>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</si>
  <si>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</si>
  <si>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</si>
  <si>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</si>
  <si>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</si>
  <si>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</si>
  <si>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</si>
  <si>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</si>
  <si>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</si>
  <si>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</si>
  <si>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</si>
  <si>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</si>
  <si>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</si>
  <si>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</si>
  <si>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</si>
  <si>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</si>
  <si>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</si>
  <si>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</si>
  <si>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</si>
  <si>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</si>
  <si>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</si>
  <si>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</si>
  <si>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</si>
  <si>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</si>
  <si>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</si>
  <si>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</si>
  <si>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</si>
  <si>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</si>
  <si>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</si>
  <si>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</si>
  <si>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</si>
  <si>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</si>
  <si>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</si>
  <si>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</si>
  <si>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</si>
  <si>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</si>
  <si>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</si>
  <si>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</si>
  <si>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</si>
  <si>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</si>
  <si>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</si>
  <si>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</si>
  <si>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</si>
  <si>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</si>
  <si>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</si>
  <si>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</si>
  <si>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</si>
  <si>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</si>
  <si>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</si>
  <si>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</si>
  <si>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</si>
  <si>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</si>
  <si>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</si>
  <si>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</si>
  <si>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</si>
  <si>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</si>
  <si>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</si>
  <si>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</si>
  <si>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</si>
  <si>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</si>
  <si>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</si>
  <si>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</si>
  <si>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</si>
  <si>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</si>
  <si>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</si>
  <si>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</si>
  <si>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</si>
  <si>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</si>
  <si>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</si>
  <si>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</si>
  <si>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</si>
  <si>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</si>
  <si>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</si>
  <si>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</si>
  <si>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</si>
  <si>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</si>
  <si>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</si>
  <si>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</si>
  <si>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</si>
  <si>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</si>
  <si>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</si>
  <si>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</si>
  <si>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</si>
  <si>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</si>
  <si>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</si>
  <si>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</si>
  <si>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</si>
  <si>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</si>
  <si>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</si>
  <si>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</si>
  <si>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</si>
  <si>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</si>
  <si>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</si>
  <si>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</si>
  <si>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</si>
  <si>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</si>
  <si>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</si>
  <si>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</si>
  <si>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</si>
  <si>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</si>
  <si>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</si>
  <si>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</si>
  <si>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</si>
  <si>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</si>
  <si>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</si>
  <si>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</si>
  <si>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</si>
  <si>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</si>
  <si>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</si>
  <si>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</si>
  <si>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</si>
  <si>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</si>
  <si>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</si>
  <si>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</si>
  <si>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</si>
  <si>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</si>
  <si>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</si>
  <si>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</si>
  <si>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</si>
  <si>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</si>
  <si>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</si>
  <si>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</si>
  <si>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</si>
  <si>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</si>
  <si>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</si>
  <si>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</si>
  <si>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</si>
  <si>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</si>
  <si>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</si>
  <si>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</si>
  <si>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</si>
  <si>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</si>
  <si>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</si>
  <si>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</si>
  <si>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</si>
  <si>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</si>
  <si>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</si>
  <si>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</si>
  <si>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</si>
  <si>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</si>
  <si>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</si>
  <si>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</si>
  <si>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</si>
  <si>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</si>
  <si>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</si>
  <si>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</si>
  <si>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</si>
  <si>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</si>
  <si>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</si>
  <si>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</si>
  <si>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</si>
  <si>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</si>
  <si>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</si>
  <si>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</si>
  <si>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</si>
  <si>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</si>
  <si>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</si>
  <si>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</si>
  <si>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</si>
  <si>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</si>
  <si>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</si>
  <si>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</si>
  <si>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</si>
  <si>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</si>
  <si>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</si>
  <si>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</si>
  <si>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</si>
  <si>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</si>
  <si>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</si>
  <si>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</si>
  <si>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</si>
  <si>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</si>
  <si>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</si>
  <si>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</si>
  <si>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</si>
  <si>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</si>
  <si>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</si>
  <si>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</si>
  <si>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</si>
  <si>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</si>
  <si>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</si>
  <si>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</si>
  <si>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</si>
  <si>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</si>
  <si>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</si>
  <si>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</si>
  <si>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</si>
  <si>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</si>
  <si>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</si>
  <si>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</si>
  <si>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</si>
  <si>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</si>
  <si>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</si>
  <si>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</si>
  <si>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</si>
  <si>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</si>
  <si>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</si>
  <si>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</si>
  <si>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</si>
  <si>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</si>
  <si>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</si>
  <si>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</si>
  <si>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</si>
  <si>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</si>
  <si>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</si>
  <si>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</si>
  <si>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</si>
  <si>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</si>
  <si>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</si>
  <si>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</si>
  <si>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</si>
  <si>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</si>
  <si>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</si>
  <si>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</si>
  <si>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</si>
  <si>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</si>
  <si>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</si>
  <si>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</si>
  <si>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</si>
  <si>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</si>
  <si>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</si>
  <si>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</si>
  <si>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</si>
  <si>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</si>
  <si>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</si>
  <si>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</si>
  <si>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</si>
  <si>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</si>
  <si>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</si>
  <si>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</si>
  <si>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</si>
  <si>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</si>
  <si>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</si>
  <si>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</si>
  <si>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</si>
  <si>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</si>
  <si>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</si>
  <si>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</si>
  <si>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</si>
  <si>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</si>
  <si>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</si>
  <si>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</si>
  <si>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</si>
  <si>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</si>
  <si>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</si>
  <si>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</si>
  <si>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</si>
  <si>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</si>
  <si>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</si>
  <si>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</si>
  <si>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</si>
  <si>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</si>
  <si>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</si>
  <si>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</si>
  <si>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</si>
  <si>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</si>
  <si>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</si>
  <si>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</si>
  <si>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</si>
  <si>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</si>
  <si>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</si>
  <si>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</si>
  <si>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</si>
  <si>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</si>
  <si>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</si>
  <si>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</si>
  <si>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</si>
  <si>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</si>
  <si>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</si>
  <si>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</si>
  <si>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</si>
  <si>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</si>
  <si>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</si>
  <si>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</si>
  <si>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</si>
  <si>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</si>
  <si>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</si>
  <si>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</si>
  <si>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</si>
  <si>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</si>
  <si>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</si>
  <si>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</si>
  <si>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</si>
  <si>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</si>
  <si>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</si>
  <si>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</si>
  <si>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</si>
  <si>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</si>
  <si>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</si>
  <si>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</si>
  <si>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</si>
  <si>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</si>
  <si>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</si>
  <si>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</si>
  <si>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</si>
  <si>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</si>
  <si>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</si>
  <si>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</si>
  <si>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</si>
  <si>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</si>
  <si>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</si>
  <si>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</si>
  <si>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</si>
  <si>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</si>
  <si>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</si>
  <si>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</si>
  <si>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</si>
  <si>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</si>
  <si>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</si>
  <si>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</si>
  <si>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</si>
  <si>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</si>
  <si>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</si>
  <si>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</si>
  <si>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</si>
  <si>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</si>
  <si>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</si>
  <si>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</si>
  <si>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</si>
  <si>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</si>
  <si>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</si>
  <si>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</si>
  <si>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</si>
  <si>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</si>
  <si>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</si>
  <si>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</si>
  <si>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</si>
  <si>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</si>
  <si>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</si>
  <si>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</si>
  <si>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</si>
  <si>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</si>
  <si>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</si>
  <si>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</si>
  <si>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</si>
  <si>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</si>
  <si>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</si>
  <si>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</si>
  <si>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</si>
  <si>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</si>
  <si>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</si>
  <si>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</si>
  <si>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</si>
  <si>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</si>
  <si>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</si>
  <si>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</si>
  <si>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</si>
  <si>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</si>
  <si>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</si>
  <si>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</si>
  <si>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</si>
  <si>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</si>
  <si>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</si>
  <si>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</si>
  <si>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</si>
  <si>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</si>
  <si>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</si>
  <si>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</si>
  <si>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</si>
  <si>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</si>
  <si>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</si>
  <si>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</si>
  <si>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</si>
  <si>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</si>
  <si>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</si>
  <si>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</si>
  <si>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</si>
  <si>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</si>
  <si>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</si>
  <si>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</si>
  <si>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</si>
  <si>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</si>
  <si>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</si>
  <si>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</si>
  <si>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</si>
  <si>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</si>
  <si>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</si>
  <si>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</si>
  <si>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</si>
  <si>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</si>
  <si>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</si>
  <si>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</si>
  <si>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</si>
  <si>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</si>
  <si>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</si>
  <si>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</si>
  <si>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</si>
  <si>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</si>
  <si>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</si>
  <si>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</si>
  <si>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</si>
  <si>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</si>
  <si>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</si>
  <si>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</si>
  <si>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</si>
  <si>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</si>
  <si>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</si>
  <si>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</si>
  <si>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</si>
  <si>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</si>
  <si>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</si>
  <si>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</si>
  <si>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</si>
  <si>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</si>
  <si>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</si>
  <si>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</si>
  <si>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</si>
  <si>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</si>
  <si>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</si>
  <si>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</si>
  <si>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</si>
  <si>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</si>
  <si>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</si>
  <si>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</si>
  <si>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</si>
  <si>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</si>
  <si>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</si>
  <si>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</si>
  <si>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</si>
  <si>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</si>
  <si>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</si>
  <si>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</si>
  <si>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</si>
  <si>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</si>
  <si>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</si>
  <si>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</si>
  <si>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</si>
  <si>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</si>
  <si>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</si>
  <si>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</si>
  <si>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</si>
  <si>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</si>
  <si>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</si>
  <si>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</si>
  <si>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</si>
  <si>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</si>
  <si>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</si>
  <si>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</si>
  <si>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</si>
  <si>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</si>
  <si>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</si>
  <si>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</si>
  <si>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</si>
  <si>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</si>
  <si>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</si>
  <si>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</si>
  <si>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</si>
  <si>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</si>
  <si>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</si>
  <si>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</si>
  <si>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</si>
  <si>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</si>
  <si>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</si>
  <si>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</si>
  <si>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</si>
  <si>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</si>
  <si>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</si>
  <si>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</si>
  <si>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</si>
  <si>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</si>
  <si>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</si>
  <si>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</si>
  <si>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</si>
  <si>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</si>
  <si>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</si>
  <si>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</si>
  <si>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</si>
  <si>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</si>
  <si>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</si>
  <si>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</si>
  <si>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</si>
  <si>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</si>
  <si>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</si>
  <si>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</si>
  <si>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</si>
  <si>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</si>
  <si>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</si>
  <si>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</si>
  <si>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</si>
  <si>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</si>
  <si>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</si>
  <si>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</si>
  <si>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</si>
  <si>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</si>
  <si>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</si>
  <si>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</si>
  <si>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</si>
  <si>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</si>
  <si>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</si>
  <si>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</si>
  <si>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</si>
  <si>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</si>
  <si>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</si>
  <si>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</si>
  <si>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</si>
  <si>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</si>
  <si>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</si>
  <si>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</si>
  <si>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</si>
  <si>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</si>
  <si>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</si>
  <si>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</si>
  <si>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</si>
  <si>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</si>
  <si>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</si>
  <si>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</si>
  <si>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</si>
  <si>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</si>
  <si>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</si>
  <si>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</si>
  <si>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</si>
  <si>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</si>
  <si>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</si>
  <si>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</si>
  <si>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</si>
  <si>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</si>
  <si>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</si>
  <si>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</si>
  <si>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</si>
  <si>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</si>
  <si>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</si>
  <si>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</si>
  <si>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</si>
  <si>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</si>
  <si>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</si>
  <si>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</si>
  <si>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</si>
  <si>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</si>
  <si>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</si>
  <si>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</si>
  <si>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</si>
  <si>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</si>
  <si>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</si>
  <si>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</si>
  <si>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</si>
  <si>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</si>
  <si>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</si>
  <si>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</si>
  <si>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</si>
  <si>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</si>
  <si>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</si>
  <si>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</si>
  <si>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</si>
  <si>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</si>
  <si>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</si>
  <si>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</si>
  <si>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</si>
  <si>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</si>
  <si>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</si>
  <si>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</si>
  <si>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</si>
  <si>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</si>
  <si>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</si>
  <si>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</si>
  <si>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</si>
  <si>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</si>
  <si>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</si>
  <si>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</si>
  <si>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</si>
  <si>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</si>
  <si>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</si>
  <si>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</si>
  <si>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</si>
  <si>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</si>
  <si>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</si>
  <si>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</si>
  <si>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</si>
  <si>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</si>
  <si>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</si>
  <si>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</si>
  <si>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</si>
  <si>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</si>
  <si>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</si>
  <si>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</si>
  <si>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</si>
  <si>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</si>
  <si>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</si>
  <si>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</si>
  <si>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</si>
  <si>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</si>
  <si>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</si>
  <si>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</si>
  <si>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</si>
  <si>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</si>
  <si>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</si>
  <si>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</si>
  <si>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</si>
  <si>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</si>
  <si>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</si>
  <si>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</si>
  <si>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</si>
  <si>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</si>
  <si>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</si>
  <si>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</si>
  <si>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</si>
  <si>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</si>
  <si>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</si>
  <si>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</si>
  <si>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</si>
  <si>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</si>
  <si>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</si>
  <si>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</si>
  <si>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</si>
  <si>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</si>
  <si>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</si>
  <si>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</si>
  <si>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</si>
  <si>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</si>
  <si>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</si>
  <si>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</si>
  <si>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</si>
  <si>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</si>
  <si>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</si>
  <si>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</si>
  <si>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</si>
  <si>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</si>
  <si>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</si>
  <si>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</si>
  <si>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</si>
  <si>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</si>
  <si>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</si>
  <si>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</si>
  <si>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</si>
  <si>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</si>
  <si>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</si>
  <si>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</si>
  <si>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</si>
  <si>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</si>
  <si>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</si>
  <si>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</si>
  <si>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</si>
  <si>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</si>
  <si>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</si>
  <si>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</si>
  <si>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</si>
  <si>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</si>
  <si>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</si>
  <si>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</si>
  <si>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</si>
  <si>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</si>
  <si>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</si>
  <si>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</si>
  <si>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</si>
  <si>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</si>
  <si>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</si>
  <si>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</si>
  <si>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</si>
  <si>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</si>
  <si>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</si>
  <si>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</si>
  <si>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</si>
  <si>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</si>
  <si>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</si>
  <si>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</si>
  <si>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</si>
  <si>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</si>
  <si>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</si>
  <si>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</si>
  <si>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</si>
  <si>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</si>
  <si>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</si>
  <si>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</si>
  <si>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</si>
  <si>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</si>
  <si>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</si>
  <si>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</si>
  <si>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</si>
  <si>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</si>
  <si>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</si>
  <si>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</si>
  <si>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</si>
  <si>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</si>
  <si>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</si>
  <si>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</si>
  <si>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</si>
  <si>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</si>
  <si>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</si>
  <si>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</si>
  <si>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</si>
  <si>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</si>
  <si>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</si>
  <si>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</si>
  <si>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</si>
  <si>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</si>
  <si>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</si>
  <si>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</si>
  <si>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</si>
  <si>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</si>
  <si>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</si>
  <si>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</si>
  <si>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</si>
  <si>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</si>
  <si>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</si>
  <si>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</si>
  <si>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</si>
  <si>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</si>
  <si>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</si>
  <si>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</si>
  <si>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</si>
  <si>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</si>
  <si>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</si>
  <si>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</si>
  <si>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</si>
  <si>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</si>
  <si>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</si>
  <si>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</si>
  <si>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</si>
  <si>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</si>
  <si>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</si>
  <si>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</si>
  <si>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</si>
  <si>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</si>
  <si>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</si>
  <si>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</si>
  <si>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</si>
  <si>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</si>
  <si>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</si>
  <si>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</si>
  <si>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</si>
  <si>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</si>
  <si>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</si>
  <si>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</si>
  <si>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</si>
  <si>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</si>
  <si>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</si>
  <si>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</si>
  <si>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</si>
  <si>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</si>
  <si>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</si>
  <si>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</si>
  <si>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</si>
  <si>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</si>
  <si>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</si>
  <si>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</si>
  <si>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</si>
  <si>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</si>
  <si>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</si>
  <si>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</si>
  <si>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</si>
  <si>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</si>
  <si>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</si>
  <si>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</si>
  <si>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</si>
  <si>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</si>
  <si>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</si>
  <si>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</si>
  <si>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</si>
  <si>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</si>
  <si>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</si>
  <si>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</si>
  <si>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</si>
  <si>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</si>
  <si>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</si>
  <si>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</si>
  <si>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</si>
  <si>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</si>
  <si>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</si>
  <si>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</si>
  <si>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</si>
  <si>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</si>
  <si>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</si>
  <si>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</si>
  <si>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</si>
  <si>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</si>
  <si>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</si>
  <si>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</si>
  <si>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</si>
  <si>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</si>
  <si>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</si>
  <si>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</si>
  <si>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</si>
  <si>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</si>
  <si>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</si>
  <si>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</si>
  <si>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</si>
  <si>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</si>
  <si>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</si>
  <si>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</si>
  <si>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</si>
  <si>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</si>
  <si>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</si>
  <si>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</si>
  <si>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</si>
  <si>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</si>
  <si>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</si>
  <si>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</si>
  <si>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</si>
  <si>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</si>
  <si>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</si>
  <si>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</si>
  <si>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</si>
  <si>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</si>
  <si>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</si>
  <si>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</si>
  <si>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</si>
  <si>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</si>
  <si>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</si>
  <si>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</si>
  <si>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</si>
  <si>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</si>
  <si>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</si>
  <si>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</si>
  <si>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</si>
  <si>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</si>
  <si>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</si>
  <si>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</si>
  <si>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</si>
  <si>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</si>
  <si>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</si>
  <si>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</si>
  <si>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</si>
  <si>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</si>
  <si>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</si>
  <si>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</si>
  <si>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</si>
  <si>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</si>
  <si>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</si>
  <si>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</si>
  <si>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</si>
  <si>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</si>
  <si>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</si>
  <si>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</si>
  <si>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</si>
  <si>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</si>
  <si>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</si>
  <si>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</si>
  <si>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</si>
  <si>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</si>
  <si>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</si>
  <si>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</si>
  <si>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</si>
  <si>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</si>
  <si>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</si>
  <si>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</si>
  <si>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</si>
  <si>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</si>
  <si>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</si>
  <si>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</si>
  <si>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</si>
  <si>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</si>
  <si>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</si>
  <si>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</si>
  <si>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</si>
  <si>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</si>
  <si>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</si>
  <si>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</si>
  <si>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</si>
  <si>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</si>
  <si>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</si>
  <si>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</si>
  <si>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</si>
  <si>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</si>
  <si>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</si>
  <si>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</si>
  <si>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</si>
  <si>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</si>
  <si>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</si>
  <si>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</si>
  <si>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平成24
年度</t>
  </si>
  <si>
    <t>平成25
年度</t>
  </si>
  <si>
    <t>平成26
年度</t>
  </si>
  <si>
    <t>平成27
年度</t>
  </si>
  <si>
    <t>平成28
年度</t>
  </si>
  <si>
    <t>平成29
年度</t>
  </si>
  <si>
    <t>平成30
年度</t>
  </si>
  <si>
    <t>令和元
年度</t>
  </si>
  <si>
    <t>令和2
年度</t>
  </si>
  <si>
    <t>令和3
年度</t>
  </si>
  <si>
    <t>令和4
年度</t>
  </si>
  <si>
    <t>令和5
年度</t>
  </si>
  <si>
    <t>令和6
年度</t>
  </si>
  <si>
    <t>サービス提供事業所数（通所介護）[人口１０万対]</t>
  </si>
  <si>
    <t>福島県</t>
  </si>
  <si>
    <t>全国</t>
  </si>
  <si>
    <t>サービス提供事業所数（通所介護）</t>
  </si>
  <si>
    <t>令和6年(2024年)</t>
  </si>
  <si>
    <t>小野町</t>
  </si>
  <si>
    <t>事業所数</t>
  </si>
  <si>
    <t>事業所[人口１０万対]</t>
  </si>
  <si>
    <t>厚生労働省「介護保険総合データベース」および総務省「住民基本台帳に基づく人口、人口動態及び世帯数調査」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</si>
  <si>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</si>
  <si>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出力日:2026/10/20</t>
  </si>
  <si>
    <t>（事業所[人口１０万対]）</t>
  </si>
  <si>
    <t>（事業所）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</si>
</sst>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1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177" fontId="7" fillId="0" borderId="5" xfId="0" applyBorder="true" applyFont="true" applyNumberFormat="true">
      <alignment shrinkToFit="true"/>
    </xf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177" fontId="8" fillId="0" borderId="5" xfId="0" applyBorder="true" applyFont="true" applyNumberFormat="true">
      <alignment shrinkToFit="true"/>
    </xf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177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0" fillId="7" borderId="5" xfId="0" applyBorder="true" applyFont="true" applyFill="true">
      <alignment wrapText="true" vertical="center" horizontal="center"/>
    </xf>
    <xf numFmtId="0" fontId="10" fillId="0" borderId="5" xfId="0" applyBorder="true" applyFont="true"/>
    <xf numFmtId="177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177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177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出力日:2026/10/20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3" max="15" customWidth="true" style="3" width="14.625" collapsed="true"/>
    <col min="1" max="1" style="3" width="9.0" collapsed="false"/>
    <col min="2" max="2" customWidth="true" style="14" width="51.5703125" collapsed="false" bestFit="true"/>
    <col min="16" max="16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29" t="s">
        <v>878</v>
      </c>
      <c r="O2" s="29" t="s">
        <v>879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880</v>
      </c>
      <c r="C3" s="31" t="n">
        <v>26.9</v>
      </c>
      <c r="D3" s="31" t="n">
        <v>27.1</v>
      </c>
      <c r="E3" s="31" t="n">
        <v>27.5</v>
      </c>
      <c r="F3" s="31" t="n">
        <v>27.9</v>
      </c>
      <c r="G3" s="31" t="n">
        <v>37.8</v>
      </c>
      <c r="H3" s="31" t="n">
        <v>28.7</v>
      </c>
      <c r="I3" s="31" t="n">
        <v>29.4</v>
      </c>
      <c r="J3" s="32" t="n">
        <v>30.0</v>
      </c>
      <c r="K3" s="31" t="n">
        <v>30.6</v>
      </c>
      <c r="L3" s="31" t="n">
        <v>31.4</v>
      </c>
      <c r="M3" s="31" t="n">
        <v>32.2</v>
      </c>
      <c r="N3" s="32" t="n">
        <v>33.0</v>
      </c>
      <c r="O3" s="31" t="n">
        <v>33.8</v>
      </c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 hidden="true">
      <c r="B36" s="16" t="s">
        <v>295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 hidden="true">
      <c r="B37" s="16" t="s">
        <v>296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 hidden="true">
      <c r="B38" s="16" t="s">
        <v>297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 hidden="true">
      <c r="B39" s="16" t="s">
        <v>298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 hidden="true">
      <c r="B40" s="16" t="s">
        <v>299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 hidden="true">
      <c r="B41" s="16" t="s">
        <v>300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 hidden="true">
      <c r="B42" s="16" t="s">
        <v>301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 hidden="true">
      <c r="B43" s="16" t="s">
        <v>302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 hidden="true">
      <c r="B44" s="16" t="s">
        <v>303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 hidden="true">
      <c r="B45" s="16" t="s">
        <v>304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 hidden="true">
      <c r="B46" s="16" t="s">
        <v>305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 hidden="true">
      <c r="B47" s="16" t="s">
        <v>306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 hidden="true">
      <c r="B48" s="16" t="s">
        <v>307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 hidden="true">
      <c r="B49" s="16" t="s">
        <v>308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 hidden="true">
      <c r="B50" s="16" t="s">
        <v>309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 hidden="true">
      <c r="B51" s="16" t="s">
        <v>310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 hidden="true">
      <c r="B52" s="16" t="s">
        <v>311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 hidden="true">
      <c r="B53" s="16" t="s">
        <v>312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 hidden="true">
      <c r="B54" s="16" t="s">
        <v>313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 hidden="true">
      <c r="B55" s="16" t="s">
        <v>314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 hidden="true">
      <c r="B56" s="16" t="s">
        <v>315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 hidden="true">
      <c r="B57" s="16" t="s">
        <v>316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 hidden="true">
      <c r="B58" s="16" t="s">
        <v>317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 hidden="true">
      <c r="B59" s="16" t="s">
        <v>318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 hidden="true">
      <c r="B60" s="16" t="s">
        <v>319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 hidden="true">
      <c r="B61" s="16" t="s">
        <v>320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 hidden="true">
      <c r="B62" s="16" t="s">
        <v>321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 hidden="true">
      <c r="B63" s="16" t="s">
        <v>322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 hidden="true">
      <c r="B64" s="16" t="s">
        <v>323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 hidden="true">
      <c r="B65" s="16" t="s">
        <v>324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 hidden="true">
      <c r="B66" s="16" t="s">
        <v>325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 hidden="true">
      <c r="B67" s="16" t="s">
        <v>326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 hidden="true">
      <c r="B68" s="16" t="s">
        <v>327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 hidden="true">
      <c r="B69" s="16" t="s">
        <v>328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 hidden="true">
      <c r="B70" s="16" t="s">
        <v>329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 hidden="true">
      <c r="B71" s="16" t="s">
        <v>330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 hidden="true">
      <c r="B72" s="16" t="s">
        <v>331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 hidden="true">
      <c r="B73" s="16" t="s">
        <v>332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 hidden="true">
      <c r="B74" s="16" t="s">
        <v>333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 hidden="true">
      <c r="B75" s="16" t="s">
        <v>334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 hidden="true">
      <c r="B76" s="16" t="s">
        <v>335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 hidden="true">
      <c r="B77" s="16" t="s">
        <v>336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 hidden="true">
      <c r="B78" s="16" t="s">
        <v>337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 hidden="true">
      <c r="B79" s="16" t="s">
        <v>338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 hidden="true">
      <c r="B80" s="16" t="s">
        <v>339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 hidden="true">
      <c r="B81" s="16" t="s">
        <v>340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 hidden="true">
      <c r="B82" s="16" t="s">
        <v>341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 hidden="true">
      <c r="B83" s="16" t="s">
        <v>342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 hidden="true">
      <c r="B84" s="16" t="s">
        <v>343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 hidden="true">
      <c r="B85" s="16" t="s">
        <v>344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 hidden="true">
      <c r="B86" s="16" t="s">
        <v>345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 hidden="true">
      <c r="B87" s="16" t="s">
        <v>346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 hidden="true">
      <c r="B88" s="16" t="s">
        <v>347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 hidden="true">
      <c r="B89" s="16" t="s">
        <v>348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 hidden="true">
      <c r="B90" s="16" t="s">
        <v>349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 hidden="true">
      <c r="B91" s="16" t="s">
        <v>350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 hidden="true">
      <c r="B92" s="16" t="s">
        <v>351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 hidden="true">
      <c r="B93" s="16" t="s">
        <v>352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881</v>
      </c>
      <c r="C256" s="35" t="n">
        <v>24.4</v>
      </c>
      <c r="D256" s="35" t="n">
        <v>28.6</v>
      </c>
      <c r="E256" s="35" t="n">
        <v>32.2</v>
      </c>
      <c r="F256" s="35" t="n">
        <v>34.5</v>
      </c>
      <c r="G256" s="35" t="n">
        <v>31.3</v>
      </c>
      <c r="H256" s="35" t="n">
        <v>25.7</v>
      </c>
      <c r="I256" s="35" t="n">
        <v>21.7</v>
      </c>
      <c r="J256" s="35" t="n">
        <v>21.9</v>
      </c>
      <c r="K256" s="36" t="n">
        <v>23.0</v>
      </c>
      <c r="L256" s="35" t="n">
        <v>22.7</v>
      </c>
      <c r="M256" s="35" t="n">
        <v>22.8</v>
      </c>
      <c r="N256" s="35" t="n">
        <v>23.2</v>
      </c>
      <c r="O256" s="35" t="n">
        <v>22.9</v>
      </c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>
      <c r="B257" s="16" t="s">
        <v>882</v>
      </c>
      <c r="C257" s="39" t="n">
        <v>28.5</v>
      </c>
      <c r="D257" s="39" t="n">
        <v>31.6</v>
      </c>
      <c r="E257" s="39" t="n">
        <v>34.4</v>
      </c>
      <c r="F257" s="39" t="n">
        <v>35.7</v>
      </c>
      <c r="G257" s="39" t="n">
        <v>31.4</v>
      </c>
      <c r="H257" s="39" t="n">
        <v>26.5</v>
      </c>
      <c r="I257" s="39" t="n">
        <v>19.3</v>
      </c>
      <c r="J257" s="39" t="n">
        <v>19.5</v>
      </c>
      <c r="K257" s="39" t="n">
        <v>19.9</v>
      </c>
      <c r="L257" s="39" t="n">
        <v>19.9</v>
      </c>
      <c r="M257" s="39" t="n">
        <v>20.1</v>
      </c>
      <c r="N257" s="39" t="n">
        <v>20.2</v>
      </c>
      <c r="O257" s="39" t="n">
        <v>20.3</v>
      </c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889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サービス提供事業所数（通所介護）（小野町）</v>
      </c>
      <c r="B2" s="7" t="str">
        <f>"（注目する地域）" &amp; E2</f>
        <v>（注目する地域）小野町</v>
      </c>
      <c r="C2" s="8" t="s">
        <v>883</v>
      </c>
      <c r="D2" s="8" t="s">
        <v>884</v>
      </c>
      <c r="E2" s="8" t="s">
        <v>885</v>
      </c>
      <c r="F2" s="8" t="str">
        <f>IF(H2="",G2,G2 &amp; "（" &amp; H2 &amp; "）")</f>
        <v>事業所数（事業所[人口１０万対]）</v>
      </c>
      <c r="G2" s="8" t="s">
        <v>886</v>
      </c>
      <c r="H2" s="8" t="s">
        <v>887</v>
      </c>
      <c r="I2" s="8" t="s">
        <v>888</v>
      </c>
      <c r="J2" s="7" t="str">
        <f>"（出典）" &amp; I2</f>
        <v>（出典）厚生労働省「介護保険総合データベース」および総務省「住民基本台帳に基づく人口、人口動態及び世帯数調査」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5" max="17" customWidth="true" style="3" width="14.625" collapsed="true"/>
    <col min="1" max="1" customWidth="true" style="3" width="9.0" collapsed="false"/>
    <col min="2" max="2" customWidth="true" style="10" width="7.8359375" collapsed="false" bestFit="true"/>
    <col min="3" max="3" customWidth="true" style="10" width="51.5703125" collapsed="false" bestFit="true"/>
    <col min="4" max="4" customWidth="true" style="10" width="27.37109375" collapsed="false" bestFit="true"/>
    <col min="18" max="18" customWidth="true" style="3" width="14.625" collapsed="false" hidden="true"/>
    <col min="99" max="99" style="3" width="14.625" collapsed="false" hidden="true"/>
  </cols>
  <sheetData>
    <row r="1">
      <c r="A1" t="s">
        <v>890</v>
      </c>
    </row>
    <row r="2" spans="2:259" s="10" customFormat="1" x14ac:dyDescent="0.15">
      <c r="B2" s="11"/>
      <c r="C2" s="11"/>
      <c r="D2" s="11"/>
      <c r="E2" s="45" t="s">
        <v>867</v>
      </c>
      <c r="F2" s="45" t="s">
        <v>868</v>
      </c>
      <c r="G2" s="45" t="s">
        <v>869</v>
      </c>
      <c r="H2" s="45" t="s">
        <v>870</v>
      </c>
      <c r="I2" s="45" t="s">
        <v>871</v>
      </c>
      <c r="J2" s="45" t="s">
        <v>872</v>
      </c>
      <c r="K2" s="45" t="s">
        <v>873</v>
      </c>
      <c r="L2" s="45" t="s">
        <v>874</v>
      </c>
      <c r="M2" s="45" t="s">
        <v>875</v>
      </c>
      <c r="N2" s="45" t="s">
        <v>876</v>
      </c>
      <c r="O2" s="45" t="s">
        <v>877</v>
      </c>
      <c r="P2" s="45" t="s">
        <v>878</v>
      </c>
      <c r="Q2" s="45" t="s">
        <v>879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885</v>
      </c>
      <c r="C3" s="17" t="s">
        <v>880</v>
      </c>
      <c r="D3" s="12" t="s">
        <v>891</v>
      </c>
      <c r="E3" s="47" t="n">
        <v>26.9</v>
      </c>
      <c r="F3" s="47" t="n">
        <v>27.1</v>
      </c>
      <c r="G3" s="47" t="n">
        <v>27.5</v>
      </c>
      <c r="H3" s="47" t="n">
        <v>27.9</v>
      </c>
      <c r="I3" s="47" t="n">
        <v>37.8</v>
      </c>
      <c r="J3" s="47" t="n">
        <v>28.7</v>
      </c>
      <c r="K3" s="47" t="n">
        <v>29.4</v>
      </c>
      <c r="L3" s="47" t="n">
        <v>30.0</v>
      </c>
      <c r="M3" s="47" t="n">
        <v>30.6</v>
      </c>
      <c r="N3" s="47" t="n">
        <v>31.4</v>
      </c>
      <c r="O3" s="47" t="n">
        <v>32.2</v>
      </c>
      <c r="P3" s="47" t="n">
        <v>33.0</v>
      </c>
      <c r="Q3" s="47" t="n">
        <v>33.8</v>
      </c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885</v>
      </c>
      <c r="C4" s="17" t="s">
        <v>883</v>
      </c>
      <c r="D4" s="12" t="s">
        <v>892</v>
      </c>
      <c r="E4" s="52" t="n">
        <v>3.0</v>
      </c>
      <c r="F4" s="52" t="n">
        <v>3.0</v>
      </c>
      <c r="G4" s="52" t="n">
        <v>3.0</v>
      </c>
      <c r="H4" s="52" t="n">
        <v>3.0</v>
      </c>
      <c r="I4" s="52" t="n">
        <v>4.0</v>
      </c>
      <c r="J4" s="52" t="n">
        <v>3.0</v>
      </c>
      <c r="K4" s="52" t="n">
        <v>3.0</v>
      </c>
      <c r="L4" s="52" t="n">
        <v>3.0</v>
      </c>
      <c r="M4" s="52" t="n">
        <v>3.0</v>
      </c>
      <c r="N4" s="52" t="n">
        <v>3.0</v>
      </c>
      <c r="O4" s="52" t="n">
        <v>3.0</v>
      </c>
      <c r="P4" s="52" t="n">
        <v>3.0</v>
      </c>
      <c r="Q4" s="52" t="n">
        <v>3.0</v>
      </c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881</v>
      </c>
      <c r="C5" s="17" t="s">
        <v>880</v>
      </c>
      <c r="D5" s="12" t="s">
        <v>891</v>
      </c>
      <c r="E5" s="55" t="n">
        <v>24.4</v>
      </c>
      <c r="F5" s="55" t="n">
        <v>28.6</v>
      </c>
      <c r="G5" s="55" t="n">
        <v>32.2</v>
      </c>
      <c r="H5" s="55" t="n">
        <v>34.5</v>
      </c>
      <c r="I5" s="55" t="n">
        <v>31.3</v>
      </c>
      <c r="J5" s="55" t="n">
        <v>25.7</v>
      </c>
      <c r="K5" s="55" t="n">
        <v>21.7</v>
      </c>
      <c r="L5" s="55" t="n">
        <v>21.9</v>
      </c>
      <c r="M5" s="55" t="n">
        <v>23.0</v>
      </c>
      <c r="N5" s="55" t="n">
        <v>22.7</v>
      </c>
      <c r="O5" s="55" t="n">
        <v>22.8</v>
      </c>
      <c r="P5" s="55" t="n">
        <v>23.2</v>
      </c>
      <c r="Q5" s="55" t="n">
        <v>22.9</v>
      </c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882</v>
      </c>
      <c r="C6" s="17" t="s">
        <v>880</v>
      </c>
      <c r="D6" s="12" t="s">
        <v>891</v>
      </c>
      <c r="E6" s="59" t="n">
        <v>28.5</v>
      </c>
      <c r="F6" s="59" t="n">
        <v>31.6</v>
      </c>
      <c r="G6" s="59" t="n">
        <v>34.4</v>
      </c>
      <c r="H6" s="59" t="n">
        <v>35.7</v>
      </c>
      <c r="I6" s="59" t="n">
        <v>31.4</v>
      </c>
      <c r="J6" s="59" t="n">
        <v>26.5</v>
      </c>
      <c r="K6" s="59" t="n">
        <v>19.3</v>
      </c>
      <c r="L6" s="59" t="n">
        <v>19.5</v>
      </c>
      <c r="M6" s="59" t="n">
        <v>19.9</v>
      </c>
      <c r="N6" s="59" t="n">
        <v>19.9</v>
      </c>
      <c r="O6" s="59" t="n">
        <v>20.1</v>
      </c>
      <c r="P6" s="59" t="n">
        <v>20.2</v>
      </c>
      <c r="Q6" s="59" t="n">
        <v>20.3</v>
      </c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 hidden="true">
      <c r="B7" s="17" t="s">
        <v>521</v>
      </c>
      <c r="C7" s="17"/>
      <c r="D7" s="1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 hidden="true">
      <c r="B8" s="17" t="s">
        <v>522</v>
      </c>
      <c r="C8" s="17"/>
      <c r="D8" s="1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 hidden="true">
      <c r="B9" s="17" t="s">
        <v>523</v>
      </c>
      <c r="C9" s="17"/>
      <c r="D9" s="1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 hidden="true">
      <c r="B10" s="17" t="s">
        <v>524</v>
      </c>
      <c r="C10" s="17"/>
      <c r="D10" s="1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 hidden="true">
      <c r="B11" s="17" t="s">
        <v>525</v>
      </c>
      <c r="C11" s="17"/>
      <c r="D11" s="1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 hidden="true">
      <c r="B12" s="17" t="s">
        <v>526</v>
      </c>
      <c r="C12" s="17"/>
      <c r="D12" s="1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 hidden="true">
      <c r="B13" s="17" t="s">
        <v>527</v>
      </c>
      <c r="C13" s="17"/>
      <c r="D13" s="1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 hidden="true">
      <c r="B14" s="17" t="s">
        <v>528</v>
      </c>
      <c r="C14" s="17"/>
      <c r="D14" s="1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 hidden="true">
      <c r="B15" s="17" t="s">
        <v>529</v>
      </c>
      <c r="C15" s="17"/>
      <c r="D15" s="1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 hidden="true">
      <c r="B16" s="17" t="s">
        <v>530</v>
      </c>
      <c r="C16" s="17"/>
      <c r="D16" s="1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 hidden="true">
      <c r="B17" s="17" t="s">
        <v>531</v>
      </c>
      <c r="C17" s="17"/>
      <c r="D17" s="1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 hidden="true">
      <c r="B18" s="17" t="s">
        <v>532</v>
      </c>
      <c r="C18" s="17"/>
      <c r="D18" s="1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 hidden="true">
      <c r="B19" s="17" t="s">
        <v>533</v>
      </c>
      <c r="C19" s="17"/>
      <c r="D19" s="1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 hidden="true">
      <c r="B20" s="17" t="s">
        <v>534</v>
      </c>
      <c r="C20" s="17"/>
      <c r="D20" s="1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 hidden="true">
      <c r="B21" s="17" t="s">
        <v>535</v>
      </c>
      <c r="C21" s="17"/>
      <c r="D21" s="1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 hidden="true">
      <c r="B22" s="17" t="s">
        <v>536</v>
      </c>
      <c r="C22" s="17"/>
      <c r="D22" s="1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 hidden="true">
      <c r="B23" s="17" t="s">
        <v>537</v>
      </c>
      <c r="C23" s="17"/>
      <c r="D23" s="1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 hidden="true">
      <c r="B24" s="17" t="s">
        <v>538</v>
      </c>
      <c r="C24" s="17"/>
      <c r="D24" s="1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 hidden="true">
      <c r="B25" s="17" t="s">
        <v>539</v>
      </c>
      <c r="C25" s="17"/>
      <c r="D25" s="1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 hidden="true">
      <c r="B26" s="17" t="s">
        <v>540</v>
      </c>
      <c r="C26" s="17"/>
      <c r="D26" s="1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 hidden="true">
      <c r="B27" s="17" t="s">
        <v>541</v>
      </c>
      <c r="C27" s="17"/>
      <c r="D27" s="1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 hidden="true">
      <c r="B28" s="17" t="s">
        <v>542</v>
      </c>
      <c r="C28" s="17"/>
      <c r="D28" s="1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 hidden="true">
      <c r="B29" s="17" t="s">
        <v>543</v>
      </c>
      <c r="C29" s="17"/>
      <c r="D29" s="1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 hidden="true">
      <c r="B30" s="17" t="s">
        <v>544</v>
      </c>
      <c r="C30" s="17"/>
      <c r="D30" s="1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 hidden="true">
      <c r="B31" s="17" t="s">
        <v>545</v>
      </c>
      <c r="C31" s="17"/>
      <c r="D31" s="1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 hidden="true">
      <c r="B32" s="17" t="s">
        <v>546</v>
      </c>
      <c r="C32" s="17"/>
      <c r="D32" s="1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 hidden="true">
      <c r="B33" s="17" t="s">
        <v>547</v>
      </c>
      <c r="C33" s="17"/>
      <c r="D33" s="1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 hidden="true">
      <c r="B34" s="17" t="s">
        <v>548</v>
      </c>
      <c r="C34" s="17"/>
      <c r="D34" s="1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 hidden="true">
      <c r="B35" s="17" t="s">
        <v>549</v>
      </c>
      <c r="C35" s="17"/>
      <c r="D35" s="1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 hidden="true">
      <c r="B36" s="17" t="s">
        <v>550</v>
      </c>
      <c r="C36" s="17"/>
      <c r="D36" s="1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 hidden="true">
      <c r="B37" s="17" t="s">
        <v>551</v>
      </c>
      <c r="C37" s="17"/>
      <c r="D37" s="1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 hidden="true">
      <c r="B38" s="17" t="s">
        <v>552</v>
      </c>
      <c r="C38" s="17"/>
      <c r="D38" s="1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 hidden="true">
      <c r="B39" s="17" t="s">
        <v>553</v>
      </c>
      <c r="C39" s="17"/>
      <c r="D39" s="1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 hidden="true">
      <c r="B40" s="17" t="s">
        <v>554</v>
      </c>
      <c r="C40" s="17"/>
      <c r="D40" s="1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 hidden="true">
      <c r="B41" s="17" t="s">
        <v>555</v>
      </c>
      <c r="C41" s="17"/>
      <c r="D41" s="1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 hidden="true">
      <c r="B42" s="17" t="s">
        <v>556</v>
      </c>
      <c r="C42" s="17"/>
      <c r="D42" s="1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 hidden="true">
      <c r="B43" s="17" t="s">
        <v>557</v>
      </c>
      <c r="C43" s="17"/>
      <c r="D43" s="1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 hidden="true">
      <c r="B44" s="17" t="s">
        <v>558</v>
      </c>
      <c r="C44" s="17"/>
      <c r="D44" s="1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 hidden="true">
      <c r="B45" s="17" t="s">
        <v>559</v>
      </c>
      <c r="C45" s="17"/>
      <c r="D45" s="1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 hidden="true">
      <c r="B46" s="17" t="s">
        <v>560</v>
      </c>
      <c r="C46" s="17"/>
      <c r="D46" s="1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 hidden="true">
      <c r="B47" s="17" t="s">
        <v>561</v>
      </c>
      <c r="C47" s="17"/>
      <c r="D47" s="1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 hidden="true">
      <c r="B48" s="17" t="s">
        <v>562</v>
      </c>
      <c r="C48" s="17"/>
      <c r="D48" s="1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 hidden="true">
      <c r="B49" s="17" t="s">
        <v>563</v>
      </c>
      <c r="C49" s="17"/>
      <c r="D49" s="1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 hidden="true">
      <c r="B50" s="17" t="s">
        <v>564</v>
      </c>
      <c r="C50" s="17"/>
      <c r="D50" s="1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 hidden="true">
      <c r="B51" s="17" t="s">
        <v>565</v>
      </c>
      <c r="C51" s="17"/>
      <c r="D51" s="1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 hidden="true">
      <c r="B52" s="17" t="s">
        <v>566</v>
      </c>
      <c r="C52" s="17"/>
      <c r="D52" s="1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 hidden="true">
      <c r="B53" s="17" t="s">
        <v>567</v>
      </c>
      <c r="C53" s="17"/>
      <c r="D53" s="1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 hidden="true">
      <c r="B54" s="17" t="s">
        <v>568</v>
      </c>
      <c r="C54" s="17"/>
      <c r="D54" s="1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 hidden="true">
      <c r="B55" s="17" t="s">
        <v>569</v>
      </c>
      <c r="C55" s="17"/>
      <c r="D55" s="1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 hidden="true">
      <c r="B56" s="17" t="s">
        <v>570</v>
      </c>
      <c r="C56" s="17"/>
      <c r="D56" s="1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 hidden="true">
      <c r="B57" s="17" t="s">
        <v>571</v>
      </c>
      <c r="C57" s="17"/>
      <c r="D57" s="1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 hidden="true">
      <c r="B58" s="17" t="s">
        <v>572</v>
      </c>
      <c r="C58" s="17"/>
      <c r="D58" s="1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 hidden="true">
      <c r="B59" s="17" t="s">
        <v>573</v>
      </c>
      <c r="C59" s="17"/>
      <c r="D59" s="1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 hidden="true">
      <c r="B60" s="17" t="s">
        <v>574</v>
      </c>
      <c r="C60" s="17"/>
      <c r="D60" s="1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 hidden="true">
      <c r="B61" s="17" t="s">
        <v>575</v>
      </c>
      <c r="C61" s="17"/>
      <c r="D61" s="1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 hidden="true">
      <c r="B62" s="17" t="s">
        <v>576</v>
      </c>
      <c r="C62" s="17"/>
      <c r="D62" s="1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（出典）厚生労働省「介護保険総合データベース」および総務省「住民基本台帳に基づく人口、人口動態及び世帯数調査」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