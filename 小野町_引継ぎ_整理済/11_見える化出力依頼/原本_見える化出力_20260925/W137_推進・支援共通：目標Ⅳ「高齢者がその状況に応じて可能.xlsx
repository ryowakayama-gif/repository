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<sst xmlns="http://schemas.openxmlformats.org/spreadsheetml/2006/main" count="1061" uniqueCount="792">
  <si>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</si>
  <si>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</si>
  <si>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</si>
  <si>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</si>
  <si>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</si>
  <si>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</si>
  <si>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</si>
  <si>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</si>
  <si>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</si>
  <si>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</si>
  <si>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</si>
  <si>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</si>
  <si>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</si>
  <si>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</si>
  <si>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</si>
  <si>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</si>
  <si>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</si>
  <si>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</si>
  <si>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</si>
  <si>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</si>
  <si>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</si>
  <si>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</si>
  <si>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</si>
  <si>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</si>
  <si>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</si>
  <si>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</si>
  <si>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</si>
  <si>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</si>
  <si>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</si>
  <si>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</si>
  <si>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</si>
  <si>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</si>
  <si>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</si>
  <si>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</si>
  <si>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</si>
  <si>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</si>
  <si>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</si>
  <si>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</si>
  <si>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</si>
  <si>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</si>
  <si>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</si>
  <si>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</si>
  <si>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</si>
  <si>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</si>
  <si>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</si>
  <si>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</si>
  <si>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</si>
  <si>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</si>
  <si>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</si>
  <si>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</si>
  <si>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</si>
  <si>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</si>
  <si>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</si>
  <si>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</si>
  <si>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</si>
  <si>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</si>
  <si>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</si>
  <si>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</si>
  <si>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</si>
  <si>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</si>
  <si>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</si>
  <si>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</si>
  <si>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</si>
  <si>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</si>
  <si>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</si>
  <si>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</si>
  <si>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</si>
  <si>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</si>
  <si>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</si>
  <si>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</si>
  <si>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</si>
  <si>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</si>
  <si>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</si>
  <si>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</si>
  <si>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</si>
  <si>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</si>
  <si>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</si>
  <si>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</si>
  <si>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</si>
  <si>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</si>
  <si>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</si>
  <si>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</si>
  <si>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</si>
  <si>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</si>
  <si>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</si>
  <si>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</si>
  <si>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</si>
  <si>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</si>
  <si>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</si>
  <si>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</si>
  <si>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</si>
  <si>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</si>
  <si>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</si>
  <si>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</si>
  <si>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</si>
  <si>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</si>
  <si>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</si>
  <si>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</si>
  <si>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</si>
  <si>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</si>
  <si>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</si>
  <si>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</si>
  <si>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</si>
  <si>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</si>
  <si>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</si>
  <si>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</si>
  <si>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</si>
  <si>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</si>
  <si>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</si>
  <si>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</si>
  <si>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</si>
  <si>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</si>
  <si>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</si>
  <si>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</si>
  <si>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</si>
  <si>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</si>
  <si>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</si>
  <si>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</si>
  <si>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</si>
  <si>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</si>
  <si>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</si>
  <si>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</si>
  <si>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</si>
  <si>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</si>
  <si>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</si>
  <si>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</si>
  <si>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</si>
  <si>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</si>
  <si>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</si>
  <si>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</si>
  <si>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</si>
  <si>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</si>
  <si>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</si>
  <si>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</si>
  <si>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</si>
  <si>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</si>
  <si>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</si>
  <si>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</si>
  <si>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</si>
  <si>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</si>
  <si>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</si>
  <si>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</si>
  <si>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</si>
  <si>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</si>
  <si>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</si>
  <si>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</si>
  <si>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</si>
  <si>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</si>
  <si>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</si>
  <si>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</si>
  <si>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</si>
  <si>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</si>
  <si>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</si>
  <si>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</si>
  <si>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</si>
  <si>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</si>
  <si>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</si>
  <si>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</si>
  <si>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</si>
  <si>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</si>
  <si>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</si>
  <si>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</si>
  <si>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</si>
  <si>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</si>
  <si>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</si>
  <si>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</si>
  <si>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</si>
  <si>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</si>
  <si>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</si>
  <si>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</si>
  <si>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</si>
  <si>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</si>
  <si>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</si>
  <si>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</si>
  <si>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</si>
  <si>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</si>
  <si>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</si>
  <si>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</si>
  <si>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</si>
  <si>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</si>
  <si>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</si>
  <si>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</si>
  <si>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</si>
  <si>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</si>
  <si>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</si>
  <si>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</si>
  <si>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</si>
  <si>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</si>
  <si>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</si>
  <si>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</si>
  <si>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</si>
  <si>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</si>
  <si>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</si>
  <si>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</si>
  <si>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</si>
  <si>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</si>
  <si>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</si>
  <si>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</si>
  <si>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</si>
  <si>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</si>
  <si>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</si>
  <si>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</si>
  <si>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</si>
  <si>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</si>
  <si>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</si>
  <si>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</si>
  <si>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</si>
  <si>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</si>
  <si>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</si>
  <si>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</si>
  <si>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</si>
  <si>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</si>
  <si>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</si>
  <si>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</si>
  <si>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</si>
  <si>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</si>
  <si>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</si>
  <si>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</si>
  <si>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</si>
  <si>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</si>
  <si>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</si>
  <si>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</si>
  <si>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</si>
  <si>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</si>
  <si>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</si>
  <si>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</si>
  <si>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</si>
  <si>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</si>
  <si>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</si>
  <si>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</si>
  <si>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</si>
  <si>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</si>
  <si>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</si>
  <si>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</si>
  <si>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</si>
  <si>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</si>
  <si>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</si>
  <si>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</si>
  <si>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</si>
  <si>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</si>
  <si>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</si>
  <si>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</si>
  <si>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</si>
  <si>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</si>
  <si>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</si>
  <si>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</si>
  <si>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</si>
  <si>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</si>
  <si>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</si>
  <si>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</si>
  <si>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</si>
  <si>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</si>
  <si>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</si>
  <si>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</si>
  <si>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</si>
  <si>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</si>
  <si>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</si>
  <si>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</si>
  <si>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</si>
  <si>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</si>
  <si>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</si>
  <si>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</si>
  <si>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</si>
  <si>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</si>
  <si>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</si>
  <si>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</si>
  <si>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</si>
  <si>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</si>
  <si>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</si>
  <si>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</si>
  <si>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</si>
  <si>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</si>
  <si>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</si>
  <si>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</si>
  <si>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</si>
  <si>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</si>
  <si>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</si>
  <si>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</si>
  <si>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</si>
  <si>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</si>
  <si>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</si>
  <si>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</si>
  <si>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</si>
  <si>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</si>
  <si>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</si>
  <si>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</si>
  <si>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</si>
  <si>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</si>
  <si>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</si>
  <si>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</si>
  <si>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</si>
  <si>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</si>
  <si>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</si>
  <si>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</si>
  <si>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</si>
  <si>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</si>
  <si>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</si>
  <si>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</si>
  <si>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</si>
  <si>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</si>
  <si>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</si>
  <si>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</si>
  <si>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</si>
  <si>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</si>
  <si>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</si>
  <si>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</si>
  <si>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</si>
  <si>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</si>
  <si>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</si>
  <si>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</si>
  <si>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</si>
  <si>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</si>
  <si>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</si>
  <si>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</si>
  <si>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</si>
  <si>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</si>
  <si>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</si>
  <si>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</si>
  <si>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</si>
  <si>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</si>
  <si>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</si>
  <si>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</si>
  <si>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</si>
  <si>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</si>
  <si>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</si>
  <si>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</si>
  <si>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</si>
  <si>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</si>
  <si>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</si>
  <si>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</si>
  <si>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</si>
  <si>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</si>
  <si>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</si>
  <si>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</si>
  <si>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</si>
  <si>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</si>
  <si>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</si>
  <si>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</si>
  <si>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</si>
  <si>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</si>
  <si>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</si>
  <si>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</si>
  <si>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</si>
  <si>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</si>
  <si>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</si>
  <si>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</si>
  <si>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</si>
  <si>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</si>
  <si>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</si>
  <si>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</si>
  <si>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</si>
  <si>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</si>
  <si>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</si>
  <si>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</si>
  <si>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</si>
  <si>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</si>
  <si>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</si>
  <si>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</si>
  <si>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</si>
  <si>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</si>
  <si>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</si>
  <si>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</si>
  <si>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</si>
  <si>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</si>
  <si>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</si>
  <si>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</si>
  <si>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</si>
  <si>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</si>
  <si>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</si>
  <si>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</si>
  <si>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</si>
  <si>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</si>
  <si>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</si>
  <si>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</si>
  <si>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</si>
  <si>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</si>
  <si>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</si>
  <si>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</si>
  <si>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</si>
  <si>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</si>
  <si>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</si>
  <si>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</si>
  <si>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</si>
  <si>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</si>
  <si>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</si>
  <si>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</si>
  <si>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</si>
  <si>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</si>
  <si>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</si>
  <si>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</si>
  <si>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</si>
  <si>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</si>
  <si>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</si>
  <si>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</si>
  <si>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</si>
  <si>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</si>
  <si>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</si>
  <si>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</si>
  <si>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</si>
  <si>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</si>
  <si>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</si>
  <si>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</si>
  <si>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</si>
  <si>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</si>
  <si>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</si>
  <si>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</si>
  <si>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</si>
  <si>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</si>
  <si>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</si>
  <si>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</si>
  <si>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</si>
  <si>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</si>
  <si>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</si>
  <si>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</si>
  <si>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</si>
  <si>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</si>
  <si>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</si>
  <si>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</si>
  <si>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</si>
  <si>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</si>
  <si>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</si>
  <si>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</si>
  <si>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</si>
  <si>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</si>
  <si>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</si>
  <si>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</si>
  <si>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</si>
  <si>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</si>
  <si>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</si>
  <si>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</si>
  <si>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</si>
  <si>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</si>
  <si>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</si>
  <si>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</si>
  <si>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</si>
  <si>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</si>
  <si>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</si>
  <si>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</si>
  <si>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</si>
  <si>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</si>
  <si>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</si>
  <si>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</si>
  <si>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</si>
  <si>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</si>
  <si>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</si>
  <si>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</si>
  <si>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</si>
  <si>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</si>
  <si>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</si>
  <si>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</si>
  <si>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</si>
  <si>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</si>
  <si>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</si>
  <si>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</si>
  <si>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</si>
  <si>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</si>
  <si>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</si>
  <si>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</si>
  <si>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</si>
  <si>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</si>
  <si>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</si>
  <si>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</si>
  <si>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</si>
  <si>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</si>
  <si>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</si>
  <si>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</si>
  <si>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</si>
  <si>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</si>
  <si>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</si>
  <si>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</si>
  <si>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</si>
  <si>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</si>
  <si>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</si>
  <si>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</si>
  <si>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</si>
  <si>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</si>
  <si>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</si>
  <si>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</si>
  <si>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</si>
  <si>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</si>
  <si>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</si>
  <si>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</si>
  <si>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</si>
  <si>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</si>
  <si>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</si>
  <si>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</si>
  <si>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</si>
  <si>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</si>
  <si>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</si>
  <si>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</si>
  <si>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</si>
  <si>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</si>
  <si>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</si>
  <si>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</si>
  <si>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</si>
  <si>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</si>
  <si>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</si>
  <si>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</si>
  <si>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</si>
  <si>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</si>
  <si>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</si>
  <si>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</si>
  <si>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</si>
  <si>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</si>
  <si>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</si>
  <si>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</si>
  <si>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</si>
  <si>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</si>
  <si>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</si>
  <si>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</si>
  <si>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</si>
  <si>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</si>
  <si>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</si>
  <si>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</si>
  <si>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</si>
  <si>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</si>
  <si>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</si>
  <si>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</si>
  <si>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</si>
  <si>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</si>
  <si>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</si>
  <si>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</si>
  <si>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</si>
  <si>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</si>
  <si>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</si>
  <si>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</si>
  <si>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</si>
  <si>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</si>
  <si>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</si>
  <si>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</si>
  <si>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</si>
  <si>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</si>
  <si>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</si>
  <si>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</si>
  <si>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</si>
  <si>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</si>
  <si>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</si>
  <si>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</si>
  <si>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</si>
  <si>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</si>
  <si>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</si>
  <si>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</si>
  <si>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</si>
  <si>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</si>
  <si>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</si>
  <si>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</si>
  <si>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</si>
  <si>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</si>
  <si>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</si>
  <si>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</si>
  <si>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</si>
  <si>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</si>
  <si>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</si>
  <si>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</si>
  <si>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</si>
  <si>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</si>
  <si>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</si>
  <si>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</si>
  <si>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</si>
  <si>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</si>
  <si>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</si>
  <si>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</si>
  <si>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</si>
  <si>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</si>
  <si>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</si>
  <si>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</si>
  <si>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</si>
  <si>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</si>
  <si>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</si>
  <si>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</si>
  <si>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</si>
  <si>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</si>
  <si>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</si>
  <si>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</si>
  <si>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</si>
  <si>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</si>
  <si>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</si>
  <si>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</si>
  <si>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</si>
  <si>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</si>
  <si>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</si>
  <si>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</si>
  <si>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</si>
  <si>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</si>
  <si>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</si>
  <si>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</si>
  <si>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</si>
  <si>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</si>
  <si>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</si>
  <si>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</si>
  <si>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</si>
  <si>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</si>
  <si>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</si>
  <si>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</si>
  <si>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</si>
  <si>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</si>
  <si>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</si>
  <si>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</si>
  <si>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</si>
  <si>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</si>
  <si>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</si>
  <si>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</si>
  <si>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</si>
  <si>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</si>
  <si>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</si>
  <si>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</si>
  <si>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</si>
  <si>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</si>
  <si>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</si>
  <si>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</si>
  <si>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</si>
  <si>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</si>
  <si>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</si>
  <si>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</si>
  <si>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</si>
  <si>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</si>
  <si>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</si>
  <si>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</si>
  <si>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</si>
  <si>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</si>
  <si>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</si>
  <si>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</si>
  <si>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</si>
  <si>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</si>
  <si>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</si>
  <si>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</si>
  <si>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</si>
  <si>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</si>
  <si>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</si>
  <si>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</si>
  <si>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</si>
  <si>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</si>
  <si>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</si>
  <si>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</si>
  <si>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</si>
  <si>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</si>
  <si>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</si>
  <si>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</si>
  <si>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</si>
  <si>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</si>
  <si>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</si>
  <si>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</si>
  <si>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</si>
  <si>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</si>
  <si>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</si>
  <si>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</si>
  <si>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</si>
  <si>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</si>
  <si>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</si>
  <si>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</si>
  <si>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</si>
  <si>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</si>
  <si>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</si>
  <si>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</si>
  <si>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</si>
  <si>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</si>
  <si>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</si>
  <si>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</si>
  <si>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</si>
  <si>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</si>
  <si>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</si>
  <si>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</si>
  <si>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</si>
  <si>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</si>
  <si>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</si>
  <si>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</si>
  <si>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</si>
  <si>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</si>
  <si>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</si>
  <si>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</si>
  <si>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</si>
  <si>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</si>
  <si>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</si>
  <si>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</si>
  <si>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</si>
  <si>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</si>
  <si>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</si>
  <si>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</si>
  <si>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</si>
  <si>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</si>
  <si>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</si>
  <si>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</si>
  <si>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</si>
  <si>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</si>
  <si>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</si>
  <si>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</si>
  <si>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</si>
  <si>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</si>
  <si>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</si>
  <si>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</si>
  <si>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</si>
  <si>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</si>
  <si>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</si>
  <si>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</si>
  <si>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</si>
  <si>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</si>
  <si>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</si>
  <si>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</si>
  <si>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</si>
  <si>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</si>
  <si>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</si>
  <si>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</si>
  <si>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</si>
  <si>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</si>
  <si>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</si>
  <si>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</si>
  <si>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</si>
  <si>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</si>
  <si>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</si>
  <si>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</si>
  <si>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</si>
  <si>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</si>
  <si>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</si>
  <si>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</si>
  <si>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</si>
  <si>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</si>
  <si>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</si>
  <si>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</si>
  <si>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</si>
  <si>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</si>
  <si>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</si>
  <si>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</si>
  <si>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</si>
  <si>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</si>
  <si>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</si>
  <si>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</si>
  <si>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</si>
  <si>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</si>
  <si>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</si>
  <si>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</si>
  <si>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</si>
  <si>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</si>
  <si>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</si>
  <si>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</si>
  <si>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</si>
  <si>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</si>
  <si>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</si>
  <si>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</si>
  <si>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</si>
  <si>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</si>
  <si>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</si>
  <si>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</si>
  <si>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</si>
  <si>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</si>
  <si>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</si>
  <si>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</si>
  <si>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</si>
  <si>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</si>
  <si>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</si>
  <si>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</si>
  <si>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</si>
  <si>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</si>
  <si>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</si>
  <si>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</si>
  <si>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</si>
  <si>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</si>
  <si>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</si>
  <si>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</si>
  <si>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</si>
  <si>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</si>
  <si>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</si>
  <si>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</si>
  <si>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</si>
  <si>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</si>
  <si>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</si>
  <si>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</si>
  <si>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</si>
  <si>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</si>
  <si>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</si>
  <si>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</si>
  <si>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</si>
  <si>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</si>
  <si>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</si>
  <si>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</si>
  <si>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</si>
  <si>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</si>
  <si>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</si>
  <si>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</si>
  <si>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短期的な要介護度の変化（要介護１・２）</t>
  </si>
  <si>
    <t>長期的な要介護度の変化（要介護１・２）</t>
  </si>
  <si>
    <t>短期的な要介護度の変化（要介護３～５）</t>
  </si>
  <si>
    <t>長期的な要介護度の変化（要介護３～５）</t>
  </si>
  <si>
    <t>健康寿命延伸の状況（要介護2以上の認定率、認定率の変化率）</t>
  </si>
  <si>
    <t>推進・支援共通：目標Ⅳ「高齢者がその状況に応じて可能な限り自立した日常生活を営む」得点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</si>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</sst>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0" fontId="10" fillId="6" borderId="6" xfId="0" applyBorder="true" applyFont="true" applyFill="true">
      <alignment wrapText="true" vertical="center" horizontal="center"/>
    </xf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64.20312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10.7</v>
      </c>
      <c r="D3" s="30" t="n">
        <v>9.2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8.1</v>
      </c>
      <c r="D4" s="34" t="n">
        <v>6.1</v>
      </c>
      <c r="E4" s="34" t="n">
        <v>10.0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10.2</v>
      </c>
      <c r="D5" s="38" t="n">
        <v>11.4</v>
      </c>
      <c r="E5" s="38" t="n">
        <v>5.0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8.0</v>
      </c>
      <c r="D6" s="42" t="n">
        <v>7.7</v>
      </c>
      <c r="E6" s="43" t="n">
        <v>0.0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782</v>
      </c>
      <c r="C7" s="46" t="n">
        <v>11.7</v>
      </c>
      <c r="D7" s="46" t="n">
        <v>8.8</v>
      </c>
      <c r="E7" s="47" t="n">
        <v>0.0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788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推進・支援共通：目標Ⅳ「高齢者がその状況に応じて可能な限り自立した日常生活を営む」得点（令和5年(2023年)）</v>
      </c>
      <c r="B2" s="9" t="str">
        <f>"（時点）" &amp; D2</f>
        <v>（時点）令和5年(2023年)</v>
      </c>
      <c r="C2" s="10" t="s">
        <v>783</v>
      </c>
      <c r="D2" s="10" t="s">
        <v>784</v>
      </c>
      <c r="E2" s="10" t="s">
        <v>777</v>
      </c>
      <c r="F2" s="10" t="str">
        <f>G2 &amp; "（" &amp; H2 &amp; "）"</f>
        <v>点数（点）</v>
      </c>
      <c r="G2" s="10" t="s">
        <v>785</v>
      </c>
      <c r="H2" s="10" t="s">
        <v>786</v>
      </c>
      <c r="I2" s="10" t="s">
        <v>787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64.20312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789</v>
      </c>
    </row>
    <row r="2" spans="2:258" s="13" customFormat="1" x14ac:dyDescent="0.15">
      <c r="B2" s="11"/>
      <c r="C2" s="11"/>
      <c r="D2" s="52" t="s">
        <v>775</v>
      </c>
      <c r="E2" s="52" t="s">
        <v>776</v>
      </c>
      <c r="F2" s="52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790</v>
      </c>
      <c r="D3" s="54" t="n">
        <v>10.7</v>
      </c>
      <c r="E3" s="54" t="n">
        <v>9.2</v>
      </c>
      <c r="F3" s="54" t="n">
        <v>0.0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790</v>
      </c>
      <c r="D4" s="58" t="n">
        <v>8.1</v>
      </c>
      <c r="E4" s="58" t="n">
        <v>6.1</v>
      </c>
      <c r="F4" s="58" t="n">
        <v>10.0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790</v>
      </c>
      <c r="D5" s="62" t="n">
        <v>10.2</v>
      </c>
      <c r="E5" s="62" t="n">
        <v>11.4</v>
      </c>
      <c r="F5" s="62" t="n">
        <v>5.0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790</v>
      </c>
      <c r="D6" s="66" t="n">
        <v>8.0</v>
      </c>
      <c r="E6" s="66" t="n">
        <v>7.7</v>
      </c>
      <c r="F6" s="66" t="n">
        <v>0.0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782</v>
      </c>
      <c r="C7" s="12" t="s">
        <v>790</v>
      </c>
      <c r="D7" s="70" t="n">
        <v>11.7</v>
      </c>
      <c r="E7" s="70" t="n">
        <v>8.8</v>
      </c>
      <c r="F7" s="70" t="n">
        <v>0.0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791</v>
      </c>
      <c r="C8" s="12" t="s">
        <v>790</v>
      </c>
      <c r="D8" s="74" t="n">
        <v>48.6</v>
      </c>
      <c r="E8" s="74" t="n">
        <v>43.1</v>
      </c>
      <c r="F8" s="74" t="n">
        <v>15.0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