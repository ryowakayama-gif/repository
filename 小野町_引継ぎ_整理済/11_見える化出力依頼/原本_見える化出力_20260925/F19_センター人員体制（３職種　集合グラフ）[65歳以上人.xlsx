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<sst xmlns="http://schemas.openxmlformats.org/spreadsheetml/2006/main" count="1100" uniqueCount="876">
  <si>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</si>
  <si>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</si>
  <si>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</si>
  <si>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</si>
  <si>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</si>
  <si>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</si>
  <si>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</si>
  <si>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</si>
  <si>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</si>
  <si>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</si>
  <si>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</si>
  <si>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</si>
  <si>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</si>
  <si>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</si>
  <si>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</si>
  <si>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</si>
  <si>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</si>
  <si>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</si>
  <si>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</si>
  <si>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</si>
  <si>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</si>
  <si>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</si>
  <si>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</si>
  <si>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</si>
  <si>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</si>
  <si>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</si>
  <si>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</si>
  <si>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</si>
  <si>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</si>
  <si>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</si>
  <si>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</si>
  <si>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</si>
  <si>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</si>
  <si>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</si>
  <si>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</si>
  <si>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</si>
  <si>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</si>
  <si>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</si>
  <si>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</si>
  <si>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</si>
  <si>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</si>
  <si>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</si>
  <si>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</si>
  <si>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</si>
  <si>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</si>
  <si>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</si>
  <si>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</si>
  <si>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</si>
  <si>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</si>
  <si>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</si>
  <si>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</si>
  <si>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</si>
  <si>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</si>
  <si>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</si>
  <si>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</si>
  <si>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</si>
  <si>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</si>
  <si>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</si>
  <si>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</si>
  <si>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</si>
  <si>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</si>
  <si>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</si>
  <si>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</si>
  <si>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</si>
  <si>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</si>
  <si>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</si>
  <si>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</si>
  <si>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</si>
  <si>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</si>
  <si>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</si>
  <si>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</si>
  <si>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</si>
  <si>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</si>
  <si>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</si>
  <si>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</si>
  <si>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</si>
  <si>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</si>
  <si>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</si>
  <si>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</si>
  <si>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</si>
  <si>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</si>
  <si>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</si>
  <si>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</si>
  <si>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</si>
  <si>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</si>
  <si>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</si>
  <si>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</si>
  <si>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</si>
  <si>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</si>
  <si>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</si>
  <si>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</si>
  <si>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</si>
  <si>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</si>
  <si>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</si>
  <si>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</si>
  <si>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</si>
  <si>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</si>
  <si>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</si>
  <si>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</si>
  <si>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</si>
  <si>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</si>
  <si>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</si>
  <si>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</si>
  <si>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</si>
  <si>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</si>
  <si>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</si>
  <si>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</si>
  <si>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</si>
  <si>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</si>
  <si>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</si>
  <si>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</si>
  <si>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</si>
  <si>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</si>
  <si>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</si>
  <si>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</si>
  <si>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</si>
  <si>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</si>
  <si>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</si>
  <si>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</si>
  <si>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</si>
  <si>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</si>
  <si>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</si>
  <si>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</si>
  <si>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</si>
  <si>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</si>
  <si>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</si>
  <si>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</si>
  <si>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</si>
  <si>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</si>
  <si>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</si>
  <si>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</si>
  <si>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</si>
  <si>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</si>
  <si>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</si>
  <si>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</si>
  <si>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</si>
  <si>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</si>
  <si>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</si>
  <si>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</si>
  <si>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</si>
  <si>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</si>
  <si>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</si>
  <si>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</si>
  <si>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</si>
  <si>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</si>
  <si>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</si>
  <si>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</si>
  <si>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</si>
  <si>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</si>
  <si>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</si>
  <si>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</si>
  <si>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</si>
  <si>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</si>
  <si>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</si>
  <si>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</si>
  <si>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</si>
  <si>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</si>
  <si>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</si>
  <si>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</si>
  <si>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</si>
  <si>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</si>
  <si>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</si>
  <si>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</si>
  <si>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</si>
  <si>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</si>
  <si>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</si>
  <si>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</si>
  <si>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</si>
  <si>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</si>
  <si>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</si>
  <si>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</si>
  <si>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</si>
  <si>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</si>
  <si>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</si>
  <si>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</si>
  <si>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</si>
  <si>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</si>
  <si>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</si>
  <si>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</si>
  <si>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</si>
  <si>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</si>
  <si>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</si>
  <si>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</si>
  <si>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</si>
  <si>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</si>
  <si>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</si>
  <si>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</si>
  <si>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</si>
  <si>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</si>
  <si>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</si>
  <si>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</si>
  <si>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</si>
  <si>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</si>
  <si>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</si>
  <si>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</si>
  <si>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</si>
  <si>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</si>
  <si>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</si>
  <si>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</si>
  <si>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</si>
  <si>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</si>
  <si>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</si>
  <si>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</si>
  <si>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</si>
  <si>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</si>
  <si>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</si>
  <si>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</si>
  <si>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</si>
  <si>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</si>
  <si>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</si>
  <si>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</si>
  <si>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</si>
  <si>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</si>
  <si>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</si>
  <si>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</si>
  <si>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</si>
  <si>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</si>
  <si>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</si>
  <si>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</si>
  <si>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</si>
  <si>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</si>
  <si>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</si>
  <si>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</si>
  <si>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</si>
  <si>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</si>
  <si>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</si>
  <si>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</si>
  <si>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</si>
  <si>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</si>
  <si>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</si>
  <si>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</si>
  <si>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</si>
  <si>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</si>
  <si>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</si>
  <si>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</si>
  <si>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</si>
  <si>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</si>
  <si>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</si>
  <si>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</si>
  <si>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</si>
  <si>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</si>
  <si>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</si>
  <si>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</si>
  <si>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</si>
  <si>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</si>
  <si>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</si>
  <si>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</si>
  <si>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</si>
  <si>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</si>
  <si>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</si>
  <si>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</si>
  <si>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</si>
  <si>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</si>
  <si>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</si>
  <si>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</si>
  <si>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</si>
  <si>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</si>
  <si>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</si>
  <si>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</si>
  <si>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</si>
  <si>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</si>
  <si>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</si>
  <si>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</si>
  <si>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</si>
  <si>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</si>
  <si>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</si>
  <si>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</si>
  <si>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</si>
  <si>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</si>
  <si>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</si>
  <si>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</si>
  <si>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</si>
  <si>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</si>
  <si>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</si>
  <si>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</si>
  <si>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</si>
  <si>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</si>
  <si>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</si>
  <si>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</si>
  <si>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</si>
  <si>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</si>
  <si>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</si>
  <si>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</si>
  <si>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</si>
  <si>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</si>
  <si>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</si>
  <si>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</si>
  <si>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</si>
  <si>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</si>
  <si>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</si>
  <si>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</si>
  <si>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</si>
  <si>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</si>
  <si>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</si>
  <si>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</si>
  <si>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</si>
  <si>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</si>
  <si>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</si>
  <si>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</si>
  <si>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</si>
  <si>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</si>
  <si>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</si>
  <si>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</si>
  <si>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</si>
  <si>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</si>
  <si>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</si>
  <si>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</si>
  <si>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</si>
  <si>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</si>
  <si>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</si>
  <si>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</si>
  <si>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</si>
  <si>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</si>
  <si>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</si>
  <si>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</si>
  <si>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</si>
  <si>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</si>
  <si>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</si>
  <si>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</si>
  <si>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</si>
  <si>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</si>
  <si>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</si>
  <si>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</si>
  <si>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</si>
  <si>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</si>
  <si>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</si>
  <si>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</si>
  <si>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</si>
  <si>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</si>
  <si>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</si>
  <si>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</si>
  <si>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</si>
  <si>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</si>
  <si>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</si>
  <si>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</si>
  <si>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</si>
  <si>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</si>
  <si>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</si>
  <si>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</si>
  <si>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</si>
  <si>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</si>
  <si>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</si>
  <si>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</si>
  <si>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</si>
  <si>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</si>
  <si>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</si>
  <si>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</si>
  <si>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</si>
  <si>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</si>
  <si>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</si>
  <si>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</si>
  <si>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</si>
  <si>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</si>
  <si>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</si>
  <si>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</si>
  <si>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</si>
  <si>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</si>
  <si>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</si>
  <si>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</si>
  <si>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</si>
  <si>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</si>
  <si>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</si>
  <si>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</si>
  <si>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</si>
  <si>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</si>
  <si>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</si>
  <si>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</si>
  <si>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</si>
  <si>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</si>
  <si>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</si>
  <si>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</si>
  <si>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</si>
  <si>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</si>
  <si>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</si>
  <si>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</si>
  <si>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</si>
  <si>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</si>
  <si>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</si>
  <si>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</si>
  <si>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</si>
  <si>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</si>
  <si>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</si>
  <si>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</si>
  <si>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</si>
  <si>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</si>
  <si>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</si>
  <si>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</si>
  <si>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</si>
  <si>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</si>
  <si>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</si>
  <si>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</si>
  <si>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</si>
  <si>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</si>
  <si>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</si>
  <si>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</si>
  <si>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</si>
  <si>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</si>
  <si>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</si>
  <si>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</si>
  <si>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</si>
  <si>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</si>
  <si>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</si>
  <si>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</si>
  <si>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</si>
  <si>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</si>
  <si>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</si>
  <si>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</si>
  <si>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</si>
  <si>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</si>
  <si>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</si>
  <si>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</si>
  <si>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</si>
  <si>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</si>
  <si>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</si>
  <si>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</si>
  <si>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</si>
  <si>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</si>
  <si>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</si>
  <si>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</si>
  <si>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</si>
  <si>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</si>
  <si>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</si>
  <si>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</si>
  <si>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</si>
  <si>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</si>
  <si>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</si>
  <si>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</si>
  <si>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</si>
  <si>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</si>
  <si>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</si>
  <si>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</si>
  <si>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</si>
  <si>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</si>
  <si>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</si>
  <si>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</si>
  <si>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</si>
  <si>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</si>
  <si>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</si>
  <si>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</si>
  <si>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</si>
  <si>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</si>
  <si>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</si>
  <si>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</si>
  <si>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</si>
  <si>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</si>
  <si>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</si>
  <si>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</si>
  <si>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</si>
  <si>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</si>
  <si>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</si>
  <si>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</si>
  <si>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</si>
  <si>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</si>
  <si>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</si>
  <si>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</si>
  <si>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</si>
  <si>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</si>
  <si>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</si>
  <si>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</si>
  <si>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</si>
  <si>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</si>
  <si>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</si>
  <si>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</si>
  <si>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</si>
  <si>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</si>
  <si>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</si>
  <si>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</si>
  <si>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</si>
  <si>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</si>
  <si>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</si>
  <si>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</si>
  <si>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</si>
  <si>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</si>
  <si>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</si>
  <si>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</si>
  <si>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</si>
  <si>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</si>
  <si>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</si>
  <si>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</si>
  <si>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</si>
  <si>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</si>
  <si>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</si>
  <si>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</si>
  <si>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</si>
  <si>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</si>
  <si>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</si>
  <si>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</si>
  <si>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</si>
  <si>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</si>
  <si>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</si>
  <si>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</si>
  <si>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</si>
  <si>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</si>
  <si>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</si>
  <si>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</si>
  <si>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</si>
  <si>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</si>
  <si>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</si>
  <si>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</si>
  <si>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</si>
  <si>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</si>
  <si>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</si>
  <si>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</si>
  <si>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</si>
  <si>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</si>
  <si>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</si>
  <si>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</si>
  <si>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</si>
  <si>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</si>
  <si>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</si>
  <si>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</si>
  <si>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</si>
  <si>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</si>
  <si>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</si>
  <si>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</si>
  <si>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</si>
  <si>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</si>
  <si>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</si>
  <si>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</si>
  <si>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</si>
  <si>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</si>
  <si>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</si>
  <si>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</si>
  <si>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</si>
  <si>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</si>
  <si>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</si>
  <si>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</si>
  <si>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</si>
  <si>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</si>
  <si>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</si>
  <si>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</si>
  <si>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</si>
  <si>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</si>
  <si>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</si>
  <si>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</si>
  <si>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</si>
  <si>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</si>
  <si>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</si>
  <si>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</si>
  <si>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</si>
  <si>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</si>
  <si>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</si>
  <si>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</si>
  <si>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</si>
  <si>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</si>
  <si>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</si>
  <si>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</si>
  <si>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</si>
  <si>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</si>
  <si>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</si>
  <si>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</si>
  <si>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</si>
  <si>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</si>
  <si>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</si>
  <si>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</si>
  <si>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</si>
  <si>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</si>
  <si>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</si>
  <si>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</si>
  <si>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</si>
  <si>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</si>
  <si>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</si>
  <si>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</si>
  <si>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</si>
  <si>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</si>
  <si>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</si>
  <si>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</si>
  <si>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</si>
  <si>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</si>
  <si>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</si>
  <si>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</si>
  <si>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</si>
  <si>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</si>
  <si>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</si>
  <si>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</si>
  <si>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</si>
  <si>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</si>
  <si>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</si>
  <si>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</si>
  <si>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</si>
  <si>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</si>
  <si>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</si>
  <si>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</si>
  <si>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</si>
  <si>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</si>
  <si>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</si>
  <si>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</si>
  <si>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</si>
  <si>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</si>
  <si>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</si>
  <si>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</si>
  <si>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</si>
  <si>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</si>
  <si>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</si>
  <si>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</si>
  <si>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</si>
  <si>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</si>
  <si>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</si>
  <si>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</si>
  <si>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</si>
  <si>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</si>
  <si>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</si>
  <si>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</si>
  <si>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</si>
  <si>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</si>
  <si>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</si>
  <si>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</si>
  <si>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</si>
  <si>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</si>
  <si>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</si>
  <si>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</si>
  <si>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</si>
  <si>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</si>
  <si>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</si>
  <si>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</si>
  <si>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</si>
  <si>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</si>
  <si>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</si>
  <si>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</si>
  <si>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</si>
  <si>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</si>
  <si>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</si>
  <si>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</si>
  <si>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</si>
  <si>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</si>
  <si>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</si>
  <si>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</si>
  <si>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</si>
  <si>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</si>
  <si>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</si>
  <si>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</si>
  <si>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</si>
  <si>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</si>
  <si>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</si>
  <si>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</si>
  <si>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</si>
  <si>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</si>
  <si>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</si>
  <si>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</si>
  <si>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</si>
  <si>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</si>
  <si>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</si>
  <si>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</si>
  <si>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</si>
  <si>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</si>
  <si>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</si>
  <si>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</si>
  <si>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</si>
  <si>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</si>
  <si>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</si>
  <si>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</si>
  <si>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</si>
  <si>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</si>
  <si>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</si>
  <si>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</si>
  <si>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</si>
  <si>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</si>
  <si>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</si>
  <si>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</si>
  <si>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</si>
  <si>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</si>
  <si>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</si>
  <si>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</si>
  <si>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</si>
  <si>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</si>
  <si>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</si>
  <si>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</si>
  <si>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</si>
  <si>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</si>
  <si>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</si>
  <si>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</si>
  <si>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</si>
  <si>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</si>
  <si>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</si>
  <si>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</si>
  <si>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</si>
  <si>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</si>
  <si>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</si>
  <si>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</si>
  <si>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</si>
  <si>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</si>
  <si>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</si>
  <si>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</si>
  <si>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</si>
  <si>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</si>
  <si>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</si>
  <si>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</si>
  <si>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</si>
  <si>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</si>
  <si>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</si>
  <si>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</si>
  <si>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</si>
  <si>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</si>
  <si>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</si>
  <si>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</si>
  <si>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</si>
  <si>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</si>
  <si>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</si>
  <si>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</si>
  <si>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</si>
  <si>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</si>
  <si>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</si>
  <si>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</si>
  <si>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</si>
  <si>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</si>
  <si>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</si>
  <si>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</si>
  <si>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</si>
  <si>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</si>
  <si>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</si>
  <si>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</si>
  <si>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</si>
  <si>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</si>
  <si>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</si>
  <si>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</si>
  <si>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</si>
  <si>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</si>
  <si>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</si>
  <si>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</si>
  <si>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</si>
  <si>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</si>
  <si>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</si>
  <si>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</si>
  <si>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</si>
  <si>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</si>
  <si>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</si>
  <si>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</si>
  <si>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</si>
  <si>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</si>
  <si>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</si>
  <si>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</si>
  <si>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</si>
  <si>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</si>
  <si>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</si>
  <si>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</si>
  <si>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</si>
  <si>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</si>
  <si>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</si>
  <si>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</si>
  <si>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</si>
  <si>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</si>
  <si>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</si>
  <si>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</si>
  <si>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</si>
  <si>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</si>
  <si>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</si>
  <si>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</si>
  <si>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</si>
  <si>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</si>
  <si>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</si>
  <si>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</si>
  <si>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</si>
  <si>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</si>
  <si>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</si>
  <si>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</si>
  <si>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</si>
  <si>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</si>
  <si>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</si>
  <si>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</si>
  <si>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</si>
  <si>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</si>
  <si>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</si>
  <si>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</si>
  <si>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</si>
  <si>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</si>
  <si>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</si>
  <si>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</si>
  <si>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</si>
  <si>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</si>
  <si>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</si>
  <si>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</si>
  <si>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</si>
  <si>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</si>
  <si>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</si>
  <si>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</si>
  <si>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</si>
  <si>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</si>
  <si>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</si>
  <si>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</si>
  <si>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</si>
  <si>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</si>
  <si>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</si>
  <si>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</si>
  <si>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</si>
  <si>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</si>
  <si>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</si>
  <si>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</si>
  <si>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</si>
  <si>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</si>
  <si>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</si>
  <si>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</si>
  <si>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</si>
  <si>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</si>
  <si>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</si>
  <si>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</si>
  <si>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</si>
  <si>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</si>
  <si>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</si>
  <si>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</si>
  <si>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</si>
  <si>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</si>
  <si>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</si>
  <si>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</si>
  <si>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</si>
  <si>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</si>
  <si>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</si>
  <si>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</si>
  <si>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</si>
  <si>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</si>
  <si>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</si>
  <si>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</si>
  <si>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</si>
  <si>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</si>
  <si>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</si>
  <si>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</si>
  <si>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</si>
  <si>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</si>
  <si>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</si>
  <si>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</si>
  <si>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</si>
  <si>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</si>
  <si>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</si>
  <si>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</si>
  <si>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</si>
  <si>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</si>
  <si>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</si>
  <si>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</si>
  <si>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</si>
  <si>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</si>
  <si>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</si>
  <si>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</si>
  <si>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</si>
  <si>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</si>
  <si>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</si>
  <si>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</si>
  <si>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</si>
  <si>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</si>
  <si>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保健師（準ずる者を含む）</t>
  </si>
  <si>
    <t>社会福祉士（準ずる者を含む）</t>
  </si>
  <si>
    <t>主任介護支援専門員（準ずる者を含む）</t>
  </si>
  <si>
    <t>センター人員体制（３職種　集合グラフ）[65歳以上人口1万対]</t>
  </si>
  <si>
    <t>令和6年(2024年)</t>
  </si>
  <si>
    <t>配置職員数</t>
  </si>
  <si>
    <t>人[65歳以上人口1万対]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</si>
  <si>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</si>
  <si>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</si>
  <si>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</si>
  <si>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センター人員体制（保健師）[65歳以上人口1万対]</t>
  </si>
  <si>
    <t>（人[65歳以上人口1万対]）</t>
  </si>
  <si>
    <t>センター人員体制（保健師に準ずる者）[65歳以上人口1万対]</t>
  </si>
  <si>
    <t>センター人員体制（社会福祉士）[65歳以上人口1万対]</t>
  </si>
  <si>
    <t>センター人員体制（社会福祉士に準ずる者）[65歳以上人口1万対]</t>
  </si>
  <si>
    <t>センター人員体制（主任介護支援専門員）[65歳以上人口1万対]</t>
  </si>
  <si>
    <t>センター人員体制（主任介護支援専門員に準ずる者）[65歳以上人口1万対]</t>
  </si>
  <si>
    <t>センター人員体制（保健師（準ずる者を含む））[65歳以上人口1万対]</t>
  </si>
  <si>
    <t>センター人員体制（社会福祉士（準ずる者を含む））[65歳以上人口1万対]</t>
  </si>
  <si>
    <t>センター人員体制（主任介護支援専門員（準ずる者を含む））[65歳以上人口1万対]</t>
  </si>
  <si>
    <t>センター人員体制（その他の専門職員）[65歳以上人口1万対]</t>
  </si>
  <si>
    <t>センター人員体制（事務職員）[65歳以上人口1万対]</t>
  </si>
  <si>
    <t>センター人員体制（総数（３職種））[65歳以上人口1万対]</t>
  </si>
  <si>
    <t>センター人員体制（総数（３職種、その他、事務））[65歳以上人口1万対]</t>
  </si>
  <si>
    <t>センター人員体制（保健師）</t>
  </si>
  <si>
    <t>（人）</t>
  </si>
  <si>
    <t>センター人員体制（保健師に準ずる者）</t>
  </si>
  <si>
    <t>センター人員体制（社会福祉士）</t>
  </si>
  <si>
    <t>センター人員体制（社会福祉士に準ずる者）</t>
  </si>
  <si>
    <t>センター人員体制（主任介護支援専門員）</t>
  </si>
  <si>
    <t>センター人員体制（主任介護支援専門員に準ずる者）</t>
  </si>
  <si>
    <t>センター人員体制（保健師（準ずる者を含む））</t>
  </si>
  <si>
    <t>センター人員体制（社会福祉士（準ずる者を含む））</t>
  </si>
  <si>
    <t>センター人員体制（主任介護支援専門員（準ずる者を含む））</t>
  </si>
  <si>
    <t>センター人員体制（その他の専門職員）</t>
  </si>
  <si>
    <t>センター人員体制（事務職員）</t>
  </si>
  <si>
    <t>センター人員体制（総数（３職種））</t>
  </si>
  <si>
    <t>センター人員体制（総数（３職種、その他、事務））</t>
  </si>
  <si>
    <t>65歳以上人口（地域包括支援センター運営状況調査に基づく）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</si>
</sst>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3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4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6" borderId="5" xfId="0" applyBorder="true" applyFont="true" applyFill="true">
      <alignment wrapText="true" vertical="center" horizontal="center"/>
    </xf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4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4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4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4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0.8359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2.31</v>
      </c>
      <c r="D3" s="30" t="n">
        <v>2.61</v>
      </c>
      <c r="E3" s="30" t="n">
        <v>2.87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9" t="s">
        <v>838</v>
      </c>
      <c r="C4" s="34" t="n">
        <v>2.87</v>
      </c>
      <c r="D4" s="34" t="n">
        <v>3.71</v>
      </c>
      <c r="E4" s="34" t="n">
        <v>5.73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9" t="s">
        <v>839</v>
      </c>
      <c r="C5" s="38" t="n">
        <v>2.04</v>
      </c>
      <c r="D5" s="38" t="n">
        <v>2.81</v>
      </c>
      <c r="E5" s="38" t="n">
        <v>2.87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845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センター人員体制（３職種　集合グラフ）[65歳以上人口1万対]（令和6年(2024年)）</v>
      </c>
      <c r="B2" s="11" t="str">
        <f>"（時点）"&amp;D2</f>
        <v>（時点）令和6年(2024年)</v>
      </c>
      <c r="C2" s="12" t="s">
        <v>840</v>
      </c>
      <c r="D2" s="12" t="s">
        <v>841</v>
      </c>
      <c r="E2" s="12" t="s">
        <v>836</v>
      </c>
      <c r="F2" s="12" t="str">
        <f>IF(H2="",G2,G2 &amp; "（" &amp; H2 &amp; "）")</f>
        <v>配置職員数（人[65歳以上人口1万対]）</v>
      </c>
      <c r="G2" s="12" t="s">
        <v>842</v>
      </c>
      <c r="H2" s="12" t="s">
        <v>843</v>
      </c>
      <c r="I2" s="12" t="s">
        <v>844</v>
      </c>
      <c r="J2" s="11" t="str">
        <f>"（出典）"&amp;I2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84.26953125" collapsed="false" bestFit="true"/>
    <col min="3" max="3" customWidth="true" style="15" width="29.269531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846</v>
      </c>
    </row>
    <row r="2" spans="2:258" s="15" customFormat="1" x14ac:dyDescent="0.15">
      <c r="B2" s="13"/>
      <c r="C2" s="13"/>
      <c r="D2" s="44" t="s">
        <v>834</v>
      </c>
      <c r="E2" s="44" t="s">
        <v>835</v>
      </c>
      <c r="F2" s="44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847</v>
      </c>
      <c r="C3" s="14" t="s">
        <v>848</v>
      </c>
      <c r="D3" s="46" t="n">
        <v>1.5</v>
      </c>
      <c r="E3" s="46" t="n">
        <v>1.57</v>
      </c>
      <c r="F3" s="46" t="n">
        <v>0.0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>
      <c r="B4" s="17" t="s">
        <v>849</v>
      </c>
      <c r="C4" s="14" t="s">
        <v>848</v>
      </c>
      <c r="D4" s="50" t="n">
        <v>0.82</v>
      </c>
      <c r="E4" s="50" t="n">
        <v>1.04</v>
      </c>
      <c r="F4" s="50" t="n">
        <v>2.87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>
      <c r="B5" s="17" t="s">
        <v>850</v>
      </c>
      <c r="C5" s="14" t="s">
        <v>848</v>
      </c>
      <c r="D5" s="54" t="n">
        <v>2.79</v>
      </c>
      <c r="E5" s="54" t="n">
        <v>3.46</v>
      </c>
      <c r="F5" s="54" t="n">
        <v>2.87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>
      <c r="B6" s="17" t="s">
        <v>851</v>
      </c>
      <c r="C6" s="14" t="s">
        <v>848</v>
      </c>
      <c r="D6" s="58" t="n">
        <v>0.08</v>
      </c>
      <c r="E6" s="58" t="n">
        <v>0.25</v>
      </c>
      <c r="F6" s="58" t="n">
        <v>2.87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>
      <c r="B7" s="17" t="s">
        <v>852</v>
      </c>
      <c r="C7" s="14" t="s">
        <v>848</v>
      </c>
      <c r="D7" s="62" t="n">
        <v>2.01</v>
      </c>
      <c r="E7" s="62" t="n">
        <v>2.76</v>
      </c>
      <c r="F7" s="62" t="n">
        <v>2.87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>
      <c r="B8" s="17" t="s">
        <v>853</v>
      </c>
      <c r="C8" s="14" t="s">
        <v>848</v>
      </c>
      <c r="D8" s="66" t="n">
        <v>0.04</v>
      </c>
      <c r="E8" s="66" t="n">
        <v>0.05</v>
      </c>
      <c r="F8" s="66" t="n">
        <v>0.0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>
      <c r="B9" s="17" t="s">
        <v>854</v>
      </c>
      <c r="C9" s="14" t="s">
        <v>848</v>
      </c>
      <c r="D9" s="70" t="n">
        <v>2.31</v>
      </c>
      <c r="E9" s="70" t="n">
        <v>2.61</v>
      </c>
      <c r="F9" s="70" t="n">
        <v>2.87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>
      <c r="B10" s="17" t="s">
        <v>855</v>
      </c>
      <c r="C10" s="14" t="s">
        <v>848</v>
      </c>
      <c r="D10" s="74" t="n">
        <v>2.87</v>
      </c>
      <c r="E10" s="74" t="n">
        <v>3.71</v>
      </c>
      <c r="F10" s="74" t="n">
        <v>5.73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>
      <c r="B11" s="17" t="s">
        <v>856</v>
      </c>
      <c r="C11" s="14" t="s">
        <v>848</v>
      </c>
      <c r="D11" s="78" t="n">
        <v>2.04</v>
      </c>
      <c r="E11" s="78" t="n">
        <v>2.81</v>
      </c>
      <c r="F11" s="78" t="n">
        <v>2.87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>
      <c r="B12" s="17" t="s">
        <v>857</v>
      </c>
      <c r="C12" s="14" t="s">
        <v>848</v>
      </c>
      <c r="D12" s="82" t="n">
        <v>1.12</v>
      </c>
      <c r="E12" s="82" t="n">
        <v>1.12</v>
      </c>
      <c r="F12" s="82" t="n">
        <v>2.87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>
      <c r="B13" s="17" t="s">
        <v>858</v>
      </c>
      <c r="C13" s="14" t="s">
        <v>848</v>
      </c>
      <c r="D13" s="86" t="n">
        <v>0.57</v>
      </c>
      <c r="E13" s="86" t="n">
        <v>0.27</v>
      </c>
      <c r="F13" s="86" t="n">
        <v>0.0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>
      <c r="B14" s="17" t="s">
        <v>859</v>
      </c>
      <c r="C14" s="14" t="s">
        <v>848</v>
      </c>
      <c r="D14" s="90" t="n">
        <v>7.22</v>
      </c>
      <c r="E14" s="90" t="n">
        <v>9.13</v>
      </c>
      <c r="F14" s="90" t="n">
        <v>11.46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>
      <c r="B15" s="17" t="s">
        <v>860</v>
      </c>
      <c r="C15" s="14" t="s">
        <v>848</v>
      </c>
      <c r="D15" s="94" t="n">
        <v>8.91</v>
      </c>
      <c r="E15" s="94" t="n">
        <v>10.52</v>
      </c>
      <c r="F15" s="94" t="n">
        <v>14.33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>
      <c r="B16" s="17" t="s">
        <v>861</v>
      </c>
      <c r="C16" s="14" t="s">
        <v>862</v>
      </c>
      <c r="D16" s="99" t="n">
        <v>5445.0</v>
      </c>
      <c r="E16" s="99" t="n">
        <v>93.0</v>
      </c>
      <c r="F16" s="99" t="n">
        <v>0.0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>
      <c r="B17" s="17" t="s">
        <v>863</v>
      </c>
      <c r="C17" s="14" t="s">
        <v>862</v>
      </c>
      <c r="D17" s="103" t="n">
        <v>2967.0</v>
      </c>
      <c r="E17" s="103" t="n">
        <v>62.0</v>
      </c>
      <c r="F17" s="103" t="n">
        <v>1.0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>
      <c r="B18" s="17" t="s">
        <v>864</v>
      </c>
      <c r="C18" s="14" t="s">
        <v>862</v>
      </c>
      <c r="D18" s="107" t="n">
        <v>10142.0</v>
      </c>
      <c r="E18" s="107" t="n">
        <v>205.0</v>
      </c>
      <c r="F18" s="107" t="n">
        <v>1.0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>
      <c r="B19" s="17" t="s">
        <v>865</v>
      </c>
      <c r="C19" s="14" t="s">
        <v>862</v>
      </c>
      <c r="D19" s="111" t="n">
        <v>288.0</v>
      </c>
      <c r="E19" s="111" t="n">
        <v>15.0</v>
      </c>
      <c r="F19" s="111" t="n">
        <v>1.0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>
      <c r="B20" s="17" t="s">
        <v>866</v>
      </c>
      <c r="C20" s="14" t="s">
        <v>862</v>
      </c>
      <c r="D20" s="115" t="n">
        <v>7303.0</v>
      </c>
      <c r="E20" s="115" t="n">
        <v>163.0</v>
      </c>
      <c r="F20" s="115" t="n">
        <v>1.0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>
      <c r="B21" s="17" t="s">
        <v>867</v>
      </c>
      <c r="C21" s="14" t="s">
        <v>862</v>
      </c>
      <c r="D21" s="119" t="n">
        <v>132.0</v>
      </c>
      <c r="E21" s="119" t="n">
        <v>3.0</v>
      </c>
      <c r="F21" s="119" t="n">
        <v>0.0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>
      <c r="B22" s="17" t="s">
        <v>868</v>
      </c>
      <c r="C22" s="14" t="s">
        <v>862</v>
      </c>
      <c r="D22" s="123" t="n">
        <v>8412.0</v>
      </c>
      <c r="E22" s="123" t="n">
        <v>155.0</v>
      </c>
      <c r="F22" s="123" t="n">
        <v>1.0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>
      <c r="B23" s="17" t="s">
        <v>869</v>
      </c>
      <c r="C23" s="14" t="s">
        <v>862</v>
      </c>
      <c r="D23" s="127" t="n">
        <v>10429.0</v>
      </c>
      <c r="E23" s="127" t="n">
        <v>220.0</v>
      </c>
      <c r="F23" s="127" t="n">
        <v>2.0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>
      <c r="B24" s="17" t="s">
        <v>870</v>
      </c>
      <c r="C24" s="14" t="s">
        <v>862</v>
      </c>
      <c r="D24" s="131" t="n">
        <v>7435.0</v>
      </c>
      <c r="E24" s="131" t="n">
        <v>166.0</v>
      </c>
      <c r="F24" s="131" t="n">
        <v>1.0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>
      <c r="B25" s="17" t="s">
        <v>871</v>
      </c>
      <c r="C25" s="14" t="s">
        <v>862</v>
      </c>
      <c r="D25" s="135" t="n">
        <v>4066.0</v>
      </c>
      <c r="E25" s="135" t="n">
        <v>67.0</v>
      </c>
      <c r="F25" s="135" t="n">
        <v>1.0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>
      <c r="B26" s="17" t="s">
        <v>872</v>
      </c>
      <c r="C26" s="14" t="s">
        <v>862</v>
      </c>
      <c r="D26" s="139" t="n">
        <v>2056.0</v>
      </c>
      <c r="E26" s="139" t="n">
        <v>16.0</v>
      </c>
      <c r="F26" s="139" t="n">
        <v>0.0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>
      <c r="B27" s="17" t="s">
        <v>873</v>
      </c>
      <c r="C27" s="14" t="s">
        <v>862</v>
      </c>
      <c r="D27" s="143" t="n">
        <v>26276.0</v>
      </c>
      <c r="E27" s="143" t="n">
        <v>541.0</v>
      </c>
      <c r="F27" s="143" t="n">
        <v>4.0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>
      <c r="B28" s="17" t="s">
        <v>874</v>
      </c>
      <c r="C28" s="14" t="s">
        <v>862</v>
      </c>
      <c r="D28" s="147" t="n">
        <v>32390.0</v>
      </c>
      <c r="E28" s="147" t="n">
        <v>624.0</v>
      </c>
      <c r="F28" s="147" t="n">
        <v>5.0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>
      <c r="B29" s="17" t="s">
        <v>875</v>
      </c>
      <c r="C29" s="14" t="s">
        <v>862</v>
      </c>
      <c r="D29" s="151" t="n">
        <v>3.6369617E7</v>
      </c>
      <c r="E29" s="151" t="n">
        <v>593053.0</v>
      </c>
      <c r="F29" s="151" t="n">
        <v>3489.0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（時点）令和6年(2024年)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（出典）厚生労働省「地域包括支援センター運営状況調査」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