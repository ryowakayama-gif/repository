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<sst xmlns="http://schemas.openxmlformats.org/spreadsheetml/2006/main" count="1061" uniqueCount="792">
  <si>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</si>
  <si>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</si>
  <si>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</si>
  <si>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</si>
  <si>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</si>
  <si>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</si>
  <si>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</si>
  <si>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</si>
  <si>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</si>
  <si>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</si>
  <si>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</si>
  <si>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</si>
  <si>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</si>
  <si>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</si>
  <si>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</si>
  <si>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</si>
  <si>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</si>
  <si>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</si>
  <si>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</si>
  <si>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</si>
  <si>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</si>
  <si>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</si>
  <si>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</si>
  <si>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</si>
  <si>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</si>
  <si>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</si>
  <si>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</si>
  <si>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</si>
  <si>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</si>
  <si>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</si>
  <si>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</si>
  <si>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</si>
  <si>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</si>
  <si>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</si>
  <si>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</si>
  <si>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</si>
  <si>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</si>
  <si>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</si>
  <si>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</si>
  <si>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</si>
  <si>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</si>
  <si>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</si>
  <si>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</si>
  <si>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</si>
  <si>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</si>
  <si>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</si>
  <si>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</si>
  <si>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</si>
  <si>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</si>
  <si>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</si>
  <si>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</si>
  <si>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</si>
  <si>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</si>
  <si>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</si>
  <si>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</si>
  <si>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</si>
  <si>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</si>
  <si>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</si>
  <si>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</si>
  <si>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</si>
  <si>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</si>
  <si>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</si>
  <si>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</si>
  <si>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</si>
  <si>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</si>
  <si>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</si>
  <si>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</si>
  <si>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</si>
  <si>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</si>
  <si>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</si>
  <si>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</si>
  <si>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</si>
  <si>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</si>
  <si>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</si>
  <si>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</si>
  <si>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</si>
  <si>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</si>
  <si>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</si>
  <si>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</si>
  <si>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</si>
  <si>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</si>
  <si>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</si>
  <si>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</si>
  <si>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</si>
  <si>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</si>
  <si>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</si>
  <si>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</si>
  <si>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</si>
  <si>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</si>
  <si>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</si>
  <si>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</si>
  <si>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</si>
  <si>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</si>
  <si>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</si>
  <si>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</si>
  <si>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</si>
  <si>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</si>
  <si>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</si>
  <si>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</si>
  <si>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</si>
  <si>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</si>
  <si>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</si>
  <si>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</si>
  <si>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</si>
  <si>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</si>
  <si>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</si>
  <si>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</si>
  <si>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</si>
  <si>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</si>
  <si>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</si>
  <si>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</si>
  <si>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</si>
  <si>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</si>
  <si>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</si>
  <si>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</si>
  <si>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</si>
  <si>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</si>
  <si>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</si>
  <si>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</si>
  <si>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</si>
  <si>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</si>
  <si>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</si>
  <si>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</si>
  <si>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</si>
  <si>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</si>
  <si>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</si>
  <si>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</si>
  <si>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</si>
  <si>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</si>
  <si>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</si>
  <si>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</si>
  <si>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</si>
  <si>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</si>
  <si>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</si>
  <si>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</si>
  <si>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</si>
  <si>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</si>
  <si>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</si>
  <si>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</si>
  <si>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</si>
  <si>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</si>
  <si>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</si>
  <si>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</si>
  <si>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</si>
  <si>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</si>
  <si>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</si>
  <si>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</si>
  <si>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</si>
  <si>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</si>
  <si>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</si>
  <si>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</si>
  <si>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</si>
  <si>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</si>
  <si>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</si>
  <si>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</si>
  <si>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</si>
  <si>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</si>
  <si>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</si>
  <si>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</si>
  <si>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</si>
  <si>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</si>
  <si>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</si>
  <si>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</si>
  <si>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</si>
  <si>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</si>
  <si>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</si>
  <si>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</si>
  <si>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</si>
  <si>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</si>
  <si>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</si>
  <si>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</si>
  <si>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</si>
  <si>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</si>
  <si>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</si>
  <si>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</si>
  <si>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</si>
  <si>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</si>
  <si>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</si>
  <si>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</si>
  <si>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</si>
  <si>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</si>
  <si>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</si>
  <si>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</si>
  <si>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</si>
  <si>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</si>
  <si>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</si>
  <si>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</si>
  <si>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</si>
  <si>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</si>
  <si>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</si>
  <si>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</si>
  <si>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</si>
  <si>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</si>
  <si>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</si>
  <si>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</si>
  <si>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</si>
  <si>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</si>
  <si>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</si>
  <si>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</si>
  <si>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</si>
  <si>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</si>
  <si>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</si>
  <si>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</si>
  <si>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</si>
  <si>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</si>
  <si>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</si>
  <si>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</si>
  <si>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</si>
  <si>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</si>
  <si>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</si>
  <si>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</si>
  <si>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</si>
  <si>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</si>
  <si>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</si>
  <si>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</si>
  <si>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</si>
  <si>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</si>
  <si>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</si>
  <si>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</si>
  <si>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</si>
  <si>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</si>
  <si>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</si>
  <si>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</si>
  <si>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</si>
  <si>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</si>
  <si>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</si>
  <si>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</si>
  <si>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</si>
  <si>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</si>
  <si>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</si>
  <si>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</si>
  <si>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</si>
  <si>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</si>
  <si>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</si>
  <si>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</si>
  <si>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</si>
  <si>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</si>
  <si>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</si>
  <si>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</si>
  <si>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</si>
  <si>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</si>
  <si>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</si>
  <si>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</si>
  <si>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</si>
  <si>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</si>
  <si>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</si>
  <si>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</si>
  <si>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</si>
  <si>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</si>
  <si>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</si>
  <si>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</si>
  <si>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</si>
  <si>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</si>
  <si>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</si>
  <si>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</si>
  <si>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</si>
  <si>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</si>
  <si>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</si>
  <si>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</si>
  <si>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</si>
  <si>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</si>
  <si>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</si>
  <si>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</si>
  <si>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</si>
  <si>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</si>
  <si>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</si>
  <si>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</si>
  <si>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</si>
  <si>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</si>
  <si>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</si>
  <si>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</si>
  <si>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</si>
  <si>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</si>
  <si>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</si>
  <si>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</si>
  <si>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</si>
  <si>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</si>
  <si>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</si>
  <si>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</si>
  <si>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</si>
  <si>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</si>
  <si>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</si>
  <si>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</si>
  <si>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</si>
  <si>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</si>
  <si>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</si>
  <si>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</si>
  <si>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</si>
  <si>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</si>
  <si>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</si>
  <si>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</si>
  <si>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</si>
  <si>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</si>
  <si>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</si>
  <si>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</si>
  <si>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</si>
  <si>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</si>
  <si>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</si>
  <si>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</si>
  <si>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</si>
  <si>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</si>
  <si>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</si>
  <si>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</si>
  <si>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</si>
  <si>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</si>
  <si>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</si>
  <si>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</si>
  <si>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</si>
  <si>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</si>
  <si>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</si>
  <si>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</si>
  <si>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</si>
  <si>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</si>
  <si>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</si>
  <si>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</si>
  <si>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</si>
  <si>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</si>
  <si>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</si>
  <si>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</si>
  <si>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</si>
  <si>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</si>
  <si>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</si>
  <si>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</si>
  <si>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</si>
  <si>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</si>
  <si>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</si>
  <si>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</si>
  <si>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</si>
  <si>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</si>
  <si>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</si>
  <si>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</si>
  <si>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</si>
  <si>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</si>
  <si>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</si>
  <si>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</si>
  <si>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</si>
  <si>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</si>
  <si>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</si>
  <si>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</si>
  <si>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</si>
  <si>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</si>
  <si>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</si>
  <si>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</si>
  <si>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</si>
  <si>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</si>
  <si>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</si>
  <si>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</si>
  <si>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</si>
  <si>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</si>
  <si>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</si>
  <si>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</si>
  <si>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</si>
  <si>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</si>
  <si>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</si>
  <si>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</si>
  <si>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</si>
  <si>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</si>
  <si>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</si>
  <si>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</si>
  <si>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</si>
  <si>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</si>
  <si>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</si>
  <si>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</si>
  <si>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</si>
  <si>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</si>
  <si>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</si>
  <si>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</si>
  <si>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</si>
  <si>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</si>
  <si>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</si>
  <si>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</si>
  <si>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</si>
  <si>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</si>
  <si>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</si>
  <si>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</si>
  <si>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</si>
  <si>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</si>
  <si>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</si>
  <si>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</si>
  <si>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</si>
  <si>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</si>
  <si>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</si>
  <si>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</si>
  <si>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</si>
  <si>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</si>
  <si>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</si>
  <si>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</si>
  <si>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</si>
  <si>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</si>
  <si>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</si>
  <si>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</si>
  <si>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</si>
  <si>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</si>
  <si>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</si>
  <si>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</si>
  <si>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</si>
  <si>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</si>
  <si>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</si>
  <si>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</si>
  <si>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</si>
  <si>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</si>
  <si>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</si>
  <si>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</si>
  <si>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</si>
  <si>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</si>
  <si>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</si>
  <si>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</si>
  <si>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</si>
  <si>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</si>
  <si>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</si>
  <si>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</si>
  <si>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</si>
  <si>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</si>
  <si>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</si>
  <si>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</si>
  <si>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</si>
  <si>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</si>
  <si>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</si>
  <si>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</si>
  <si>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</si>
  <si>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</si>
  <si>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</si>
  <si>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</si>
  <si>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</si>
  <si>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</si>
  <si>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</si>
  <si>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</si>
  <si>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</si>
  <si>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</si>
  <si>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</si>
  <si>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</si>
  <si>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</si>
  <si>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</si>
  <si>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</si>
  <si>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</si>
  <si>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</si>
  <si>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</si>
  <si>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</si>
  <si>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</si>
  <si>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</si>
  <si>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</si>
  <si>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</si>
  <si>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</si>
  <si>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</si>
  <si>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</si>
  <si>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</si>
  <si>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</si>
  <si>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</si>
  <si>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</si>
  <si>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</si>
  <si>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</si>
  <si>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</si>
  <si>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</si>
  <si>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</si>
  <si>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</si>
  <si>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</si>
  <si>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</si>
  <si>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</si>
  <si>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</si>
  <si>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</si>
  <si>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</si>
  <si>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</si>
  <si>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</si>
  <si>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</si>
  <si>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</si>
  <si>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</si>
  <si>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</si>
  <si>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</si>
  <si>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</si>
  <si>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</si>
  <si>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</si>
  <si>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</si>
  <si>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</si>
  <si>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</si>
  <si>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</si>
  <si>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</si>
  <si>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</si>
  <si>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</si>
  <si>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</si>
  <si>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</si>
  <si>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</si>
  <si>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</si>
  <si>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</si>
  <si>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</si>
  <si>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</si>
  <si>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</si>
  <si>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</si>
  <si>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</si>
  <si>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</si>
  <si>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</si>
  <si>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</si>
  <si>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</si>
  <si>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</si>
  <si>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</si>
  <si>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</si>
  <si>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</si>
  <si>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</si>
  <si>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</si>
  <si>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</si>
  <si>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</si>
  <si>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</si>
  <si>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</si>
  <si>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</si>
  <si>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</si>
  <si>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</si>
  <si>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</si>
  <si>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</si>
  <si>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</si>
  <si>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</si>
  <si>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</si>
  <si>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</si>
  <si>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</si>
  <si>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</si>
  <si>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</si>
  <si>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</si>
  <si>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</si>
  <si>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</si>
  <si>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</si>
  <si>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</si>
  <si>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</si>
  <si>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</si>
  <si>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</si>
  <si>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</si>
  <si>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</si>
  <si>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</si>
  <si>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</si>
  <si>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</si>
  <si>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</si>
  <si>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</si>
  <si>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</si>
  <si>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</si>
  <si>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</si>
  <si>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</si>
  <si>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</si>
  <si>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</si>
  <si>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</si>
  <si>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</si>
  <si>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</si>
  <si>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</si>
  <si>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</si>
  <si>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</si>
  <si>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</si>
  <si>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</si>
  <si>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</si>
  <si>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</si>
  <si>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</si>
  <si>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</si>
  <si>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</si>
  <si>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</si>
  <si>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</si>
  <si>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</si>
  <si>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</si>
  <si>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</si>
  <si>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</si>
  <si>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</si>
  <si>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</si>
  <si>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</si>
  <si>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</si>
  <si>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</si>
  <si>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</si>
  <si>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</si>
  <si>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</si>
  <si>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</si>
  <si>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</si>
  <si>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</si>
  <si>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</si>
  <si>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</si>
  <si>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</si>
  <si>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</si>
  <si>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</si>
  <si>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</si>
  <si>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</si>
  <si>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</si>
  <si>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</si>
  <si>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</si>
  <si>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</si>
  <si>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</si>
  <si>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</si>
  <si>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</si>
  <si>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</si>
  <si>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</si>
  <si>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</si>
  <si>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</si>
  <si>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</si>
  <si>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</si>
  <si>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</si>
  <si>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</si>
  <si>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</si>
  <si>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</si>
  <si>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</si>
  <si>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</si>
  <si>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</si>
  <si>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</si>
  <si>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</si>
  <si>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</si>
  <si>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</si>
  <si>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</si>
  <si>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</si>
  <si>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</si>
  <si>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</si>
  <si>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</si>
  <si>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</si>
  <si>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</si>
  <si>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</si>
  <si>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</si>
  <si>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</si>
  <si>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</si>
  <si>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</si>
  <si>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</si>
  <si>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</si>
  <si>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</si>
  <si>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</si>
  <si>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</si>
  <si>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</si>
  <si>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</si>
  <si>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</si>
  <si>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</si>
  <si>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</si>
  <si>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</si>
  <si>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</si>
  <si>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</si>
  <si>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</si>
  <si>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</si>
  <si>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</si>
  <si>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</si>
  <si>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</si>
  <si>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</si>
  <si>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</si>
  <si>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</si>
  <si>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</si>
  <si>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</si>
  <si>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</si>
  <si>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</si>
  <si>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</si>
  <si>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</si>
  <si>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</si>
  <si>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</si>
  <si>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</si>
  <si>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</si>
  <si>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</si>
  <si>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</si>
  <si>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</si>
  <si>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</si>
  <si>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</si>
  <si>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</si>
  <si>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</si>
  <si>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</si>
  <si>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</si>
  <si>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</si>
  <si>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</si>
  <si>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</si>
  <si>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</si>
  <si>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</si>
  <si>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</si>
  <si>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</si>
  <si>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</si>
  <si>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</si>
  <si>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</si>
  <si>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</si>
  <si>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</si>
  <si>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</si>
  <si>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</si>
  <si>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</si>
  <si>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</si>
  <si>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</si>
  <si>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</si>
  <si>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</si>
  <si>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</si>
  <si>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</si>
  <si>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</si>
  <si>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</si>
  <si>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</si>
  <si>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</si>
  <si>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</si>
  <si>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</si>
  <si>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</si>
  <si>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</si>
  <si>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</si>
  <si>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</si>
  <si>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</si>
  <si>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</si>
  <si>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</si>
  <si>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</si>
  <si>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</si>
  <si>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</si>
  <si>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</si>
  <si>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</si>
  <si>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</si>
  <si>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</si>
  <si>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</si>
  <si>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</si>
  <si>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</si>
  <si>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</si>
  <si>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</si>
  <si>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</si>
  <si>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</si>
  <si>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</si>
  <si>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</si>
  <si>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</si>
  <si>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</si>
  <si>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</si>
  <si>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</si>
  <si>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</si>
  <si>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</si>
  <si>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</si>
  <si>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</si>
  <si>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</si>
  <si>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</si>
  <si>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</si>
  <si>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</si>
  <si>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</si>
  <si>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</si>
  <si>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</si>
  <si>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</si>
  <si>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</si>
  <si>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</si>
  <si>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</si>
  <si>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</si>
  <si>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</si>
  <si>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</si>
  <si>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</si>
  <si>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</si>
  <si>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</si>
  <si>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</si>
  <si>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</si>
  <si>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</si>
  <si>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</si>
  <si>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</si>
  <si>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</si>
  <si>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</si>
  <si>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</si>
  <si>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</si>
  <si>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</si>
  <si>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</si>
  <si>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</si>
  <si>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</si>
  <si>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</si>
  <si>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</si>
  <si>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</si>
  <si>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</si>
  <si>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</si>
  <si>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</si>
  <si>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</si>
  <si>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</si>
  <si>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</si>
  <si>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</si>
  <si>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</si>
  <si>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</si>
  <si>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</si>
  <si>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</si>
  <si>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</si>
  <si>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</si>
  <si>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</si>
  <si>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</si>
  <si>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</si>
  <si>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</si>
  <si>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</si>
  <si>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</si>
  <si>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</si>
  <si>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</si>
  <si>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</si>
  <si>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</si>
  <si>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</si>
  <si>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</si>
  <si>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</si>
  <si>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</si>
  <si>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</si>
  <si>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</si>
  <si>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</si>
  <si>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</si>
  <si>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</si>
  <si>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</si>
  <si>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</si>
  <si>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</si>
  <si>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</si>
  <si>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</si>
  <si>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</si>
  <si>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</si>
  <si>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在宅医療・介護連携に関する課題の検討・対応策の具体化</t>
  </si>
  <si>
    <t>在宅医療・介護連携の具体的取組状況</t>
  </si>
  <si>
    <t>医療・介護関係者間の情報共有</t>
  </si>
  <si>
    <t>入退院支援の実施状況</t>
  </si>
  <si>
    <t>人生の最終段階における支援の実施状況</t>
  </si>
  <si>
    <t>支援：目標Ⅲ「在宅医療・在宅介護連携の体制を構築する」得点</t>
  </si>
  <si>
    <t>令和5年(2023年)</t>
  </si>
  <si>
    <t>点数</t>
  </si>
  <si>
    <t>点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</si>
  <si>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</si>
  <si>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</si>
  <si>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</si>
  <si>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（点）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</si>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</sst>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0" fontId="9" fillId="0" borderId="6" xfId="0" applyBorder="true" applyFont="true"/>
    <xf numFmtId="0" fontId="10" fillId="0" borderId="6" xfId="0" applyBorder="true" applyFont="true"/>
    <xf numFmtId="0" fontId="10" fillId="0" borderId="6" xfId="0" applyBorder="true" applyFont="true"/>
    <xf numFmtId="0" fontId="10" fillId="6" borderId="6" xfId="0" applyBorder="true" applyFont="true" applyFill="true">
      <alignment wrapText="true" vertical="center" horizontal="center"/>
    </xf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2" fillId="0" borderId="6" xfId="0" applyBorder="true" applyFont="true"/>
    <xf numFmtId="164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0" fontId="13" fillId="0" borderId="6" xfId="0" applyBorder="true" applyFont="true"/>
    <xf numFmtId="164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0" fontId="14" fillId="0" borderId="6" xfId="0" applyBorder="true" applyFont="true"/>
    <xf numFmtId="164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0" fontId="15" fillId="0" borderId="6" xfId="0" applyBorder="true" applyFont="true"/>
    <xf numFmtId="164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/>
    <xf numFmtId="0" fontId="16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58.437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15.9</v>
      </c>
      <c r="D3" s="30" t="n">
        <v>11.9</v>
      </c>
      <c r="E3" s="30" t="n">
        <v>16.0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16.7</v>
      </c>
      <c r="D4" s="34" t="n">
        <v>12.6</v>
      </c>
      <c r="E4" s="34" t="n">
        <v>11.0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780</v>
      </c>
      <c r="C5" s="38" t="n">
        <v>16.7</v>
      </c>
      <c r="D5" s="38" t="n">
        <v>15.1</v>
      </c>
      <c r="E5" s="38" t="n">
        <v>11.0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781</v>
      </c>
      <c r="C6" s="42" t="n">
        <v>6.4</v>
      </c>
      <c r="D6" s="42" t="n">
        <v>7.2</v>
      </c>
      <c r="E6" s="42" t="n">
        <v>6.0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782</v>
      </c>
      <c r="C7" s="46" t="n">
        <v>6.4</v>
      </c>
      <c r="D7" s="46" t="n">
        <v>4.6</v>
      </c>
      <c r="E7" s="46" t="n">
        <v>6.0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5" t="s">
        <v>351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5" t="s">
        <v>352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788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支援：目標Ⅲ「在宅医療・在宅介護連携の体制を構築する」得点（令和5年(2023年)）</v>
      </c>
      <c r="B2" s="9" t="str">
        <f>"（時点）" &amp; D2</f>
        <v>（時点）令和5年(2023年)</v>
      </c>
      <c r="C2" s="10" t="s">
        <v>783</v>
      </c>
      <c r="D2" s="10" t="s">
        <v>784</v>
      </c>
      <c r="E2" s="10" t="s">
        <v>777</v>
      </c>
      <c r="F2" s="10" t="str">
        <f>G2 &amp; "（" &amp; H2 &amp; "）"</f>
        <v>点数（点）</v>
      </c>
      <c r="G2" s="10" t="s">
        <v>785</v>
      </c>
      <c r="H2" s="10" t="s">
        <v>786</v>
      </c>
      <c r="I2" s="10" t="s">
        <v>787</v>
      </c>
      <c r="J2" s="9" t="str">
        <f>"（出典）" &amp; 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58.4375" collapsed="false"/>
    <col min="3" max="3" customWidth="true" style="13" width="7.83593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789</v>
      </c>
    </row>
    <row r="2" spans="2:258" s="13" customFormat="1" x14ac:dyDescent="0.15">
      <c r="B2" s="11"/>
      <c r="C2" s="11"/>
      <c r="D2" s="52" t="s">
        <v>775</v>
      </c>
      <c r="E2" s="52" t="s">
        <v>776</v>
      </c>
      <c r="F2" s="52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778</v>
      </c>
      <c r="C3" s="12" t="s">
        <v>790</v>
      </c>
      <c r="D3" s="54" t="n">
        <v>15.9</v>
      </c>
      <c r="E3" s="54" t="n">
        <v>11.9</v>
      </c>
      <c r="F3" s="54" t="n">
        <v>16.0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779</v>
      </c>
      <c r="C4" s="12" t="s">
        <v>790</v>
      </c>
      <c r="D4" s="58" t="n">
        <v>16.7</v>
      </c>
      <c r="E4" s="58" t="n">
        <v>12.6</v>
      </c>
      <c r="F4" s="58" t="n">
        <v>11.0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780</v>
      </c>
      <c r="C5" s="12" t="s">
        <v>790</v>
      </c>
      <c r="D5" s="62" t="n">
        <v>16.7</v>
      </c>
      <c r="E5" s="62" t="n">
        <v>15.1</v>
      </c>
      <c r="F5" s="62" t="n">
        <v>11.0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781</v>
      </c>
      <c r="C6" s="12" t="s">
        <v>790</v>
      </c>
      <c r="D6" s="66" t="n">
        <v>6.4</v>
      </c>
      <c r="E6" s="66" t="n">
        <v>7.2</v>
      </c>
      <c r="F6" s="66" t="n">
        <v>6.0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782</v>
      </c>
      <c r="C7" s="12" t="s">
        <v>790</v>
      </c>
      <c r="D7" s="70" t="n">
        <v>6.4</v>
      </c>
      <c r="E7" s="70" t="n">
        <v>4.6</v>
      </c>
      <c r="F7" s="70" t="n">
        <v>6.0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791</v>
      </c>
      <c r="C8" s="12" t="s">
        <v>790</v>
      </c>
      <c r="D8" s="74" t="n">
        <v>62.1</v>
      </c>
      <c r="E8" s="74" t="n">
        <v>51.4</v>
      </c>
      <c r="F8" s="74" t="n">
        <v>50.0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 hidden="true">
      <c r="B9" s="15" t="s">
        <v>14</v>
      </c>
      <c r="C9" s="12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 hidden="true">
      <c r="B10" s="15" t="s">
        <v>15</v>
      </c>
      <c r="C10" s="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（時点）令和5年(2023年)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