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<sst xmlns="http://schemas.openxmlformats.org/spreadsheetml/2006/main" count="1052" uniqueCount="789">
  <si>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</si>
  <si>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</si>
  <si>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</si>
  <si>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</si>
  <si>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</si>
  <si>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</si>
  <si>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</si>
  <si>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</si>
  <si>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</si>
  <si>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</si>
  <si>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</si>
  <si>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</si>
  <si>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</si>
  <si>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</si>
  <si>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</si>
  <si>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</si>
  <si>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</si>
  <si>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</si>
  <si>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</si>
  <si>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</si>
  <si>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</si>
  <si>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</si>
  <si>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</si>
  <si>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</si>
  <si>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</si>
  <si>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</si>
  <si>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</si>
  <si>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</si>
  <si>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</si>
  <si>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</si>
  <si>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</si>
  <si>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</si>
  <si>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</si>
  <si>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</si>
  <si>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</si>
  <si>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</si>
  <si>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</si>
  <si>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</si>
  <si>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</si>
  <si>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</si>
  <si>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</si>
  <si>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</si>
  <si>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</si>
  <si>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</si>
  <si>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</si>
  <si>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</si>
  <si>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</si>
  <si>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</si>
  <si>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</si>
  <si>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</si>
  <si>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</si>
  <si>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</si>
  <si>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</si>
  <si>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</si>
  <si>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</si>
  <si>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</si>
  <si>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</si>
  <si>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</si>
  <si>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</si>
  <si>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</si>
  <si>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</si>
  <si>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</si>
  <si>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</si>
  <si>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</si>
  <si>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</si>
  <si>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</si>
  <si>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</si>
  <si>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</si>
  <si>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</si>
  <si>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</si>
  <si>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</si>
  <si>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</si>
  <si>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</si>
  <si>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</si>
  <si>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</si>
  <si>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</si>
  <si>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</si>
  <si>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</si>
  <si>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</si>
  <si>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</si>
  <si>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</si>
  <si>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</si>
  <si>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</si>
  <si>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</si>
  <si>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</si>
  <si>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</si>
  <si>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</si>
  <si>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</si>
  <si>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</si>
  <si>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</si>
  <si>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</si>
  <si>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</si>
  <si>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</si>
  <si>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</si>
  <si>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</si>
  <si>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</si>
  <si>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</si>
  <si>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</si>
  <si>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</si>
  <si>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</si>
  <si>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</si>
  <si>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</si>
  <si>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</si>
  <si>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</si>
  <si>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</si>
  <si>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</si>
  <si>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</si>
  <si>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</si>
  <si>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</si>
  <si>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</si>
  <si>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</si>
  <si>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</si>
  <si>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</si>
  <si>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</si>
  <si>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</si>
  <si>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</si>
  <si>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</si>
  <si>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</si>
  <si>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</si>
  <si>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</si>
  <si>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</si>
  <si>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</si>
  <si>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</si>
  <si>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</si>
  <si>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</si>
  <si>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</si>
  <si>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</si>
  <si>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</si>
  <si>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</si>
  <si>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</si>
  <si>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</si>
  <si>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</si>
  <si>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</si>
  <si>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</si>
  <si>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</si>
  <si>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</si>
  <si>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</si>
  <si>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</si>
  <si>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</si>
  <si>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</si>
  <si>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</si>
  <si>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</si>
  <si>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</si>
  <si>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</si>
  <si>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</si>
  <si>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</si>
  <si>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</si>
  <si>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</si>
  <si>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</si>
  <si>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</si>
  <si>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</si>
  <si>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</si>
  <si>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</si>
  <si>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</si>
  <si>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</si>
  <si>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</si>
  <si>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</si>
  <si>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</si>
  <si>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</si>
  <si>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</si>
  <si>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</si>
  <si>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</si>
  <si>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</si>
  <si>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</si>
  <si>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</si>
  <si>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</si>
  <si>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</si>
  <si>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</si>
  <si>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</si>
  <si>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</si>
  <si>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</si>
  <si>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</si>
  <si>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</si>
  <si>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</si>
  <si>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</si>
  <si>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</si>
  <si>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</si>
  <si>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</si>
  <si>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</si>
  <si>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</si>
  <si>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</si>
  <si>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</si>
  <si>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</si>
  <si>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</si>
  <si>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</si>
  <si>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</si>
  <si>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</si>
  <si>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</si>
  <si>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</si>
  <si>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</si>
  <si>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</si>
  <si>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</si>
  <si>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</si>
  <si>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</si>
  <si>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</si>
  <si>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</si>
  <si>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</si>
  <si>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</si>
  <si>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</si>
  <si>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</si>
  <si>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</si>
  <si>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</si>
  <si>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</si>
  <si>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</si>
  <si>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</si>
  <si>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</si>
  <si>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</si>
  <si>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</si>
  <si>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</si>
  <si>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</si>
  <si>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</si>
  <si>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</si>
  <si>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</si>
  <si>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</si>
  <si>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</si>
  <si>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</si>
  <si>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</si>
  <si>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</si>
  <si>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</si>
  <si>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</si>
  <si>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</si>
  <si>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</si>
  <si>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</si>
  <si>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</si>
  <si>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</si>
  <si>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</si>
  <si>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</si>
  <si>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</si>
  <si>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</si>
  <si>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</si>
  <si>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</si>
  <si>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</si>
  <si>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</si>
  <si>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</si>
  <si>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</si>
  <si>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</si>
  <si>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</si>
  <si>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</si>
  <si>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</si>
  <si>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</si>
  <si>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</si>
  <si>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</si>
  <si>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</si>
  <si>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</si>
  <si>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</si>
  <si>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</si>
  <si>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</si>
  <si>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</si>
  <si>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</si>
  <si>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</si>
  <si>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</si>
  <si>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</si>
  <si>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</si>
  <si>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</si>
  <si>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</si>
  <si>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</si>
  <si>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</si>
  <si>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</si>
  <si>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</si>
  <si>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</si>
  <si>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</si>
  <si>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</si>
  <si>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</si>
  <si>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</si>
  <si>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</si>
  <si>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</si>
  <si>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</si>
  <si>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</si>
  <si>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</si>
  <si>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</si>
  <si>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</si>
  <si>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</si>
  <si>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</si>
  <si>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</si>
  <si>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</si>
  <si>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</si>
  <si>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</si>
  <si>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</si>
  <si>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</si>
  <si>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</si>
  <si>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</si>
  <si>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</si>
  <si>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</si>
  <si>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</si>
  <si>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</si>
  <si>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</si>
  <si>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</si>
  <si>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</si>
  <si>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</si>
  <si>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</si>
  <si>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</si>
  <si>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</si>
  <si>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</si>
  <si>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</si>
  <si>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</si>
  <si>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</si>
  <si>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</si>
  <si>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</si>
  <si>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</si>
  <si>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</si>
  <si>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</si>
  <si>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</si>
  <si>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</si>
  <si>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</si>
  <si>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</si>
  <si>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</si>
  <si>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</si>
  <si>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</si>
  <si>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</si>
  <si>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</si>
  <si>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</si>
  <si>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</si>
  <si>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</si>
  <si>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</si>
  <si>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</si>
  <si>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</si>
  <si>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</si>
  <si>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</si>
  <si>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</si>
  <si>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</si>
  <si>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</si>
  <si>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</si>
  <si>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</si>
  <si>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</si>
  <si>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</si>
  <si>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</si>
  <si>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</si>
  <si>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</si>
  <si>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</si>
  <si>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</si>
  <si>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</si>
  <si>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</si>
  <si>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</si>
  <si>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</si>
  <si>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</si>
  <si>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</si>
  <si>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</si>
  <si>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</si>
  <si>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</si>
  <si>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</si>
  <si>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</si>
  <si>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</si>
  <si>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</si>
  <si>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</si>
  <si>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</si>
  <si>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</si>
  <si>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</si>
  <si>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</si>
  <si>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</si>
  <si>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</si>
  <si>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</si>
  <si>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</si>
  <si>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</si>
  <si>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</si>
  <si>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</si>
  <si>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</si>
  <si>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</si>
  <si>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</si>
  <si>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</si>
  <si>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</si>
  <si>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</si>
  <si>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</si>
  <si>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</si>
  <si>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</si>
  <si>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</si>
  <si>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</si>
  <si>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</si>
  <si>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</si>
  <si>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</si>
  <si>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</si>
  <si>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</si>
  <si>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</si>
  <si>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</si>
  <si>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</si>
  <si>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</si>
  <si>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</si>
  <si>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</si>
  <si>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</si>
  <si>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</si>
  <si>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</si>
  <si>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</si>
  <si>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</si>
  <si>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</si>
  <si>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</si>
  <si>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</si>
  <si>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</si>
  <si>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</si>
  <si>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</si>
  <si>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</si>
  <si>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</si>
  <si>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</si>
  <si>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</si>
  <si>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</si>
  <si>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</si>
  <si>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</si>
  <si>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</si>
  <si>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</si>
  <si>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</si>
  <si>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</si>
  <si>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</si>
  <si>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</si>
  <si>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</si>
  <si>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</si>
  <si>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</si>
  <si>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</si>
  <si>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</si>
  <si>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</si>
  <si>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</si>
  <si>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</si>
  <si>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</si>
  <si>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</si>
  <si>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</si>
  <si>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</si>
  <si>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</si>
  <si>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</si>
  <si>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</si>
  <si>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</si>
  <si>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</si>
  <si>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</si>
  <si>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</si>
  <si>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</si>
  <si>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</si>
  <si>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</si>
  <si>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</si>
  <si>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</si>
  <si>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</si>
  <si>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</si>
  <si>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</si>
  <si>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</si>
  <si>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</si>
  <si>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</si>
  <si>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</si>
  <si>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</si>
  <si>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</si>
  <si>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</si>
  <si>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</si>
  <si>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</si>
  <si>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</si>
  <si>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</si>
  <si>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</si>
  <si>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</si>
  <si>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</si>
  <si>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</si>
  <si>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</si>
  <si>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</si>
  <si>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</si>
  <si>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</si>
  <si>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</si>
  <si>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</si>
  <si>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</si>
  <si>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</si>
  <si>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</si>
  <si>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</si>
  <si>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</si>
  <si>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</si>
  <si>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</si>
  <si>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</si>
  <si>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</si>
  <si>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</si>
  <si>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</si>
  <si>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</si>
  <si>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</si>
  <si>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</si>
  <si>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</si>
  <si>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</si>
  <si>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</si>
  <si>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</si>
  <si>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</si>
  <si>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</si>
  <si>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</si>
  <si>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</si>
  <si>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</si>
  <si>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</si>
  <si>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</si>
  <si>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</si>
  <si>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</si>
  <si>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</si>
  <si>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</si>
  <si>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</si>
  <si>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</si>
  <si>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</si>
  <si>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</si>
  <si>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</si>
  <si>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</si>
  <si>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</si>
  <si>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</si>
  <si>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</si>
  <si>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</si>
  <si>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</si>
  <si>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</si>
  <si>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</si>
  <si>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</si>
  <si>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</si>
  <si>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</si>
  <si>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</si>
  <si>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</si>
  <si>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</si>
  <si>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</si>
  <si>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</si>
  <si>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</si>
  <si>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</si>
  <si>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</si>
  <si>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</si>
  <si>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</si>
  <si>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</si>
  <si>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</si>
  <si>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</si>
  <si>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</si>
  <si>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</si>
  <si>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</si>
  <si>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</si>
  <si>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</si>
  <si>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</si>
  <si>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</si>
  <si>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</si>
  <si>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</si>
  <si>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</si>
  <si>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</si>
  <si>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</si>
  <si>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</si>
  <si>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</si>
  <si>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</si>
  <si>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</si>
  <si>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</si>
  <si>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</si>
  <si>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</si>
  <si>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</si>
  <si>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</si>
  <si>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</si>
  <si>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</si>
  <si>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</si>
  <si>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</si>
  <si>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</si>
  <si>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</si>
  <si>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</si>
  <si>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</si>
  <si>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</si>
  <si>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</si>
  <si>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</si>
  <si>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</si>
  <si>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</si>
  <si>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</si>
  <si>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</si>
  <si>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</si>
  <si>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</si>
  <si>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</si>
  <si>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</si>
  <si>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</si>
  <si>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</si>
  <si>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</si>
  <si>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</si>
  <si>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</si>
  <si>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</si>
  <si>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</si>
  <si>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</si>
  <si>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</si>
  <si>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</si>
  <si>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</si>
  <si>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</si>
  <si>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</si>
  <si>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</si>
  <si>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</si>
  <si>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</si>
  <si>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</si>
  <si>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</si>
  <si>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</si>
  <si>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</si>
  <si>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</si>
  <si>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</si>
  <si>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</si>
  <si>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</si>
  <si>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</si>
  <si>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</si>
  <si>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</si>
  <si>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</si>
  <si>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</si>
  <si>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</si>
  <si>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</si>
  <si>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</si>
  <si>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</si>
  <si>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</si>
  <si>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</si>
  <si>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</si>
  <si>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</si>
  <si>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</si>
  <si>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</si>
  <si>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</si>
  <si>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</si>
  <si>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</si>
  <si>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</si>
  <si>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</si>
  <si>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</si>
  <si>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</si>
  <si>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</si>
  <si>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</si>
  <si>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</si>
  <si>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</si>
  <si>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</si>
  <si>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</si>
  <si>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</si>
  <si>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</si>
  <si>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</si>
  <si>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</si>
  <si>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</si>
  <si>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</si>
  <si>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</si>
  <si>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</si>
  <si>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</si>
  <si>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</si>
  <si>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</si>
  <si>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</si>
  <si>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</si>
  <si>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</si>
  <si>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</si>
  <si>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</si>
  <si>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</si>
  <si>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</si>
  <si>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</si>
  <si>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</si>
  <si>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</si>
  <si>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</si>
  <si>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</si>
  <si>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</si>
  <si>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</si>
  <si>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</si>
  <si>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</si>
  <si>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</si>
  <si>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</si>
  <si>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</si>
  <si>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</si>
  <si>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</si>
  <si>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</si>
  <si>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</si>
  <si>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</si>
  <si>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</si>
  <si>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</si>
  <si>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</si>
  <si>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</si>
  <si>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</si>
  <si>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</si>
  <si>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</si>
  <si>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</si>
  <si>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</si>
  <si>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</si>
  <si>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</si>
  <si>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</si>
  <si>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</si>
  <si>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</si>
  <si>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</si>
  <si>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</si>
  <si>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</si>
  <si>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</si>
  <si>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</si>
  <si>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</si>
  <si>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</si>
  <si>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</si>
  <si>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</si>
  <si>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</si>
  <si>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</si>
  <si>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</si>
  <si>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</si>
  <si>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</si>
  <si>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</si>
  <si>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</si>
  <si>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</si>
  <si>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</si>
  <si>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</si>
  <si>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</si>
  <si>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</si>
  <si>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</si>
  <si>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</si>
  <si>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</si>
  <si>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</si>
  <si>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</si>
  <si>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</si>
  <si>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</si>
  <si>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</si>
  <si>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</si>
  <si>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</si>
  <si>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</si>
  <si>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</si>
  <si>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</si>
  <si>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</si>
  <si>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</si>
  <si>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</si>
  <si>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</si>
  <si>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</si>
  <si>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</si>
  <si>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</si>
  <si>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</si>
  <si>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</si>
  <si>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</si>
  <si>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</si>
  <si>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</si>
  <si>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</si>
  <si>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</si>
  <si>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</si>
  <si>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</si>
  <si>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</si>
  <si>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</si>
  <si>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</si>
  <si>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</si>
  <si>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</si>
  <si>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</si>
  <si>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</si>
  <si>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</si>
  <si>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</si>
  <si>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</si>
  <si>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</si>
  <si>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</si>
  <si>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</si>
  <si>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</si>
  <si>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</si>
  <si>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</si>
  <si>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</si>
  <si>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</si>
  <si>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</si>
  <si>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</si>
  <si>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</si>
  <si>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</si>
  <si>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</si>
  <si>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</si>
  <si>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</si>
  <si>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</si>
  <si>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</si>
  <si>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</si>
  <si>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</si>
  <si>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</si>
  <si>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</si>
  <si>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</si>
  <si>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</si>
  <si>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</si>
  <si>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</si>
  <si>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</si>
  <si>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</si>
  <si>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</si>
  <si>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</si>
  <si>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</si>
  <si>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</si>
  <si>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</si>
  <si>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</si>
  <si>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</si>
  <si>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</si>
  <si>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</si>
  <si>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</si>
  <si>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</si>
  <si>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</si>
  <si>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</si>
  <si>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</si>
  <si>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</si>
  <si>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</si>
  <si>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</si>
  <si>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</si>
  <si>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</si>
  <si>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</si>
  <si>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</si>
  <si>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</si>
  <si>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</si>
  <si>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</si>
  <si>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</si>
  <si>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</si>
  <si>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</si>
  <si>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</si>
  <si>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</si>
  <si>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</si>
  <si>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</si>
  <si>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</si>
  <si>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</si>
  <si>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</si>
  <si>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</si>
  <si>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</si>
  <si>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</si>
  <si>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</si>
  <si>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</si>
  <si>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</si>
  <si>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</si>
  <si>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</si>
  <si>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</si>
  <si>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推進合計</t>
  </si>
  <si>
    <t>支援合計</t>
  </si>
  <si>
    <t>保険者機能強化推進交付金等に係る総合得点＜推進+支援＞</t>
  </si>
  <si>
    <t>令和5年(2023年)</t>
  </si>
  <si>
    <t>点数</t>
  </si>
  <si>
    <t>点</t>
  </si>
  <si>
    <t>厚生労働省「保険者機能強化推進交付金・介護保険保険者努力支援交付金」に係る評価指標（市町村分）」※時点に記載の年は調査実施年であり、本指標は翌年度分指標となる。推進と支援の点数の合計値を使用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</si>
  <si>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</si>
  <si>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</si>
  <si>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（点）</t>
  </si>
  <si>
    <t>推進・支援合計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</si>
</sst>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6" fillId="0" borderId="6" xfId="0" applyBorder="true" applyFont="true"/>
    <xf numFmtId="0" fontId="7" fillId="0" borderId="6" xfId="0" applyBorder="true" applyFont="true"/>
    <xf numFmtId="0" fontId="7" fillId="0" borderId="6" xfId="0" applyBorder="true" applyFont="true"/>
    <xf numFmtId="0" fontId="7" fillId="6" borderId="6" xfId="0" applyBorder="true" applyFont="true" applyFill="true">
      <alignment wrapText="true" vertical="center" horizontal="center"/>
    </xf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0" fontId="10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10.0351562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205.6</v>
      </c>
      <c r="D3" s="30" t="n">
        <v>167.5</v>
      </c>
      <c r="E3" s="30" t="n">
        <v>93.0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216.7</v>
      </c>
      <c r="D4" s="34" t="n">
        <v>186.6</v>
      </c>
      <c r="E4" s="34" t="n">
        <v>140.0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5" t="s">
        <v>348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5" t="s">
        <v>349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5" t="s">
        <v>350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5" t="s">
        <v>351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5" t="s">
        <v>352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5" t="s">
        <v>353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5" t="s">
        <v>354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785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保険者機能強化推進交付金等に係る総合得点＜推進+支援＞（令和5年(2023年)）</v>
      </c>
      <c r="B2" s="9" t="str">
        <f>"（時点）" &amp; D2</f>
        <v>（時点）令和5年(2023年)</v>
      </c>
      <c r="C2" s="10" t="s">
        <v>780</v>
      </c>
      <c r="D2" s="10" t="s">
        <v>781</v>
      </c>
      <c r="E2" s="10" t="s">
        <v>777</v>
      </c>
      <c r="F2" s="10" t="str">
        <f>G2 &amp; "（" &amp; H2 &amp; "）"</f>
        <v>点数（点）</v>
      </c>
      <c r="G2" s="10" t="s">
        <v>782</v>
      </c>
      <c r="H2" s="10" t="s">
        <v>783</v>
      </c>
      <c r="I2" s="10" t="s">
        <v>784</v>
      </c>
      <c r="J2" s="9" t="str">
        <f>"（出典）" &amp; I2</f>
        <v>（出典）厚生労働省「保険者機能強化推進交付金・介護保険保険者努力支援交付金」に係る評価指標（市町村分）」※時点に記載の年は調査実施年であり、本指標は翌年度分指標となる。推進と支援の点数の合計値を使用。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16.63671875" collapsed="false"/>
    <col min="3" max="3" customWidth="true" style="13" width="7.835937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786</v>
      </c>
    </row>
    <row r="2" spans="2:258" s="13" customFormat="1" x14ac:dyDescent="0.15">
      <c r="B2" s="11"/>
      <c r="C2" s="11"/>
      <c r="D2" s="40" t="s">
        <v>775</v>
      </c>
      <c r="E2" s="40" t="s">
        <v>776</v>
      </c>
      <c r="F2" s="40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778</v>
      </c>
      <c r="C3" s="12" t="s">
        <v>787</v>
      </c>
      <c r="D3" s="42" t="n">
        <v>205.6</v>
      </c>
      <c r="E3" s="42" t="n">
        <v>167.5</v>
      </c>
      <c r="F3" s="42" t="n">
        <v>93.0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779</v>
      </c>
      <c r="C4" s="12" t="s">
        <v>787</v>
      </c>
      <c r="D4" s="46" t="n">
        <v>216.7</v>
      </c>
      <c r="E4" s="46" t="n">
        <v>186.6</v>
      </c>
      <c r="F4" s="46" t="n">
        <v>140.0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788</v>
      </c>
      <c r="C5" s="12" t="s">
        <v>787</v>
      </c>
      <c r="D5" s="50" t="n">
        <v>422.4</v>
      </c>
      <c r="E5" s="50" t="n">
        <v>354.1</v>
      </c>
      <c r="F5" s="50" t="n">
        <v>233.0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 hidden="true">
      <c r="B6" s="15" t="s">
        <v>11</v>
      </c>
      <c r="C6" s="12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 hidden="true">
      <c r="B7" s="15" t="s">
        <v>12</v>
      </c>
      <c r="C7" s="12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 hidden="true">
      <c r="B8" s="15" t="s">
        <v>13</v>
      </c>
      <c r="C8" s="12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 hidden="true">
      <c r="B9" s="15" t="s">
        <v>14</v>
      </c>
      <c r="C9" s="12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 hidden="true">
      <c r="B10" s="15" t="s">
        <v>15</v>
      </c>
      <c r="C10" s="1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 hidden="true">
      <c r="B11" s="15" t="s">
        <v>16</v>
      </c>
      <c r="C11" s="1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 hidden="true">
      <c r="B12" s="15" t="s">
        <v>17</v>
      </c>
      <c r="C12" s="1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 hidden="true">
      <c r="B13" s="15" t="s">
        <v>18</v>
      </c>
      <c r="C13" s="1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 hidden="true">
      <c r="B14" s="15" t="s">
        <v>19</v>
      </c>
      <c r="C14" s="1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 hidden="true">
      <c r="B15" s="15" t="s">
        <v>20</v>
      </c>
      <c r="C15" s="1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 hidden="true">
      <c r="B16" s="15" t="s">
        <v>21</v>
      </c>
      <c r="C16" s="1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 hidden="true">
      <c r="B17" s="15" t="s">
        <v>22</v>
      </c>
      <c r="C17" s="1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 hidden="true">
      <c r="B18" s="15" t="s">
        <v>23</v>
      </c>
      <c r="C18" s="1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 hidden="true">
      <c r="B19" s="15" t="s">
        <v>24</v>
      </c>
      <c r="C19" s="1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（時点）令和5年(2023年)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推進と支援の点数の合計値を使用。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